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USA\SuppXLS\"/>
    </mc:Choice>
  </mc:AlternateContent>
  <xr:revisionPtr revIDLastSave="0" documentId="8_{37247427-DB6A-4EA7-8964-1B2EC6D3EE65}" xr6:coauthVersionLast="47" xr6:coauthVersionMax="47" xr10:uidLastSave="{00000000-0000-0000-0000-000000000000}"/>
  <bookViews>
    <workbookView xWindow="-98" yWindow="-98" windowWidth="28996" windowHeight="17475" firstSheet="18" activeTab="18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s1p1v1_d" sheetId="7" r:id="rId6"/>
    <sheet name="s3p3v3_d" sheetId="8" r:id="rId7"/>
    <sheet name="s5p5v5_d" sheetId="9" r:id="rId8"/>
    <sheet name="s2_w" sheetId="10" r:id="rId9"/>
    <sheet name="s2_w_p2_d" sheetId="11" r:id="rId10"/>
    <sheet name="ts_012" sheetId="12" r:id="rId11"/>
    <sheet name="ts_024" sheetId="13" r:id="rId12"/>
    <sheet name="ts_048" sheetId="14" r:id="rId13"/>
    <sheet name="ts_064" sheetId="15" r:id="rId14"/>
    <sheet name="ts_096P50" sheetId="16" r:id="rId15"/>
    <sheet name="ts_096P10" sheetId="17" r:id="rId16"/>
    <sheet name="ts_096P90" sheetId="18" r:id="rId17"/>
    <sheet name="ts_annual" sheetId="19" r:id="rId18"/>
    <sheet name="ts_12t" sheetId="20" r:id="rId19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20" l="1"/>
  <c r="AG9" i="20"/>
  <c r="AC9" i="20"/>
  <c r="A10" i="6"/>
  <c r="X9" i="20"/>
  <c r="S9" i="20"/>
  <c r="N9" i="20"/>
  <c r="I9" i="20"/>
  <c r="A11" i="20"/>
  <c r="C9" i="20" s="1"/>
  <c r="AK9" i="19"/>
  <c r="AG9" i="19"/>
  <c r="AC9" i="19"/>
  <c r="X9" i="19"/>
  <c r="S9" i="19"/>
  <c r="N9" i="19"/>
  <c r="I9" i="19"/>
  <c r="A11" i="19"/>
  <c r="C9" i="19" s="1"/>
  <c r="AK9" i="18"/>
  <c r="AG9" i="18"/>
  <c r="AC9" i="18"/>
  <c r="X9" i="18"/>
  <c r="S9" i="18"/>
  <c r="N9" i="18"/>
  <c r="I9" i="18"/>
  <c r="A11" i="18"/>
  <c r="C9" i="18" s="1"/>
  <c r="AK9" i="17"/>
  <c r="AG9" i="17"/>
  <c r="AC9" i="17"/>
  <c r="X9" i="17"/>
  <c r="S9" i="17"/>
  <c r="N9" i="17"/>
  <c r="I9" i="17"/>
  <c r="A11" i="17"/>
  <c r="C9" i="17" s="1"/>
  <c r="AK9" i="16"/>
  <c r="AG9" i="16"/>
  <c r="AC9" i="16"/>
  <c r="X9" i="16"/>
  <c r="S9" i="16"/>
  <c r="N9" i="16"/>
  <c r="I9" i="16"/>
  <c r="A11" i="16"/>
  <c r="C9" i="16" s="1"/>
  <c r="AK9" i="15"/>
  <c r="AG9" i="15"/>
  <c r="AC9" i="15"/>
  <c r="X9" i="15"/>
  <c r="S9" i="15"/>
  <c r="N9" i="15"/>
  <c r="I9" i="15"/>
  <c r="A11" i="15"/>
  <c r="C9" i="15" s="1"/>
  <c r="AK9" i="14"/>
  <c r="AG9" i="14"/>
  <c r="AC9" i="14"/>
  <c r="X9" i="14"/>
  <c r="S9" i="14"/>
  <c r="N9" i="14"/>
  <c r="I9" i="14"/>
  <c r="A11" i="14"/>
  <c r="C9" i="14" s="1"/>
  <c r="AK9" i="13"/>
  <c r="AG9" i="13"/>
  <c r="AC9" i="13"/>
  <c r="X9" i="13"/>
  <c r="S9" i="13"/>
  <c r="N9" i="13"/>
  <c r="I9" i="13"/>
  <c r="A11" i="13"/>
  <c r="C9" i="13" s="1"/>
  <c r="AK9" i="12"/>
  <c r="AG9" i="12"/>
  <c r="AC9" i="12"/>
  <c r="X9" i="12"/>
  <c r="S9" i="12"/>
  <c r="N9" i="12"/>
  <c r="I9" i="12"/>
  <c r="A11" i="12"/>
  <c r="C9" i="12" s="1"/>
  <c r="AK9" i="11"/>
  <c r="AG9" i="11"/>
  <c r="AC9" i="11"/>
  <c r="X9" i="11"/>
  <c r="S9" i="11"/>
  <c r="N9" i="11"/>
  <c r="I9" i="11"/>
  <c r="A11" i="11"/>
  <c r="C9" i="11" s="1"/>
  <c r="AK9" i="10"/>
  <c r="AG9" i="10"/>
  <c r="AC9" i="10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4" i="6"/>
  <c r="H23" i="6"/>
  <c r="D5" i="1"/>
  <c r="H21" i="6" l="1"/>
  <c r="AJ25" i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K48" i="1" s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sharedStrings.xml><?xml version="1.0" encoding="utf-8"?>
<sst xmlns="http://schemas.openxmlformats.org/spreadsheetml/2006/main" count="44062" uniqueCount="2145">
  <si>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</si>
  <si>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</si>
  <si>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</si>
  <si>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</si>
  <si>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</si>
  <si>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</si>
  <si>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</si>
  <si>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</si>
  <si>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</si>
  <si>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</si>
  <si>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</si>
  <si>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</si>
  <si>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</si>
  <si>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</si>
  <si>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</si>
  <si>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</si>
  <si>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</si>
  <si>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</si>
  <si>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</si>
  <si>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</si>
  <si>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</si>
  <si>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</si>
  <si>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</si>
  <si>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</si>
  <si>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</si>
  <si>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</si>
  <si>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</si>
  <si>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</si>
  <si>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</si>
  <si>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</si>
  <si>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</si>
  <si>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</si>
  <si>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</si>
  <si>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</si>
  <si>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</si>
  <si>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</si>
  <si>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</si>
  <si>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</si>
  <si>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</si>
  <si>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</si>
  <si>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</si>
  <si>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</si>
  <si>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</si>
  <si>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</si>
  <si>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</si>
  <si>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</si>
  <si>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</si>
  <si>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</si>
  <si>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</si>
  <si>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</si>
  <si>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</si>
  <si>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</si>
  <si>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</si>
  <si>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</si>
  <si>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</si>
  <si>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</si>
  <si>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</si>
  <si>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</si>
  <si>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</si>
  <si>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</si>
  <si>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</si>
  <si>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</si>
  <si>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</si>
  <si>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</si>
  <si>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</si>
  <si>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</si>
  <si>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</si>
  <si>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</si>
  <si>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</si>
  <si>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</si>
  <si>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</si>
  <si>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</si>
  <si>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</si>
  <si>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</si>
  <si>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</si>
  <si>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</si>
  <si>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</si>
  <si>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</si>
  <si>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</si>
  <si>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</si>
  <si>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</si>
  <si>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</si>
  <si>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</si>
  <si>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</si>
  <si>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</si>
  <si>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</si>
  <si>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</si>
  <si>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</si>
  <si>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</si>
  <si>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</si>
  <si>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</si>
  <si>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</si>
  <si>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</si>
  <si>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</si>
  <si>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</si>
  <si>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</si>
  <si>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</si>
  <si>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</si>
  <si>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</si>
  <si>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</si>
  <si>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</si>
  <si>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</si>
  <si>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</si>
  <si>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</si>
  <si>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</si>
  <si>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</si>
  <si>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</si>
  <si>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</si>
  <si>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</si>
  <si>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</si>
  <si>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</si>
  <si>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</si>
  <si>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</si>
  <si>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</si>
  <si>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</si>
  <si>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</si>
  <si>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</si>
  <si>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</si>
  <si>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</si>
  <si>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</si>
  <si>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</si>
  <si>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</si>
  <si>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</si>
  <si>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</si>
  <si>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</si>
  <si>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</si>
  <si>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</si>
  <si>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</si>
  <si>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</si>
  <si>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</si>
  <si>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</si>
  <si>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</si>
  <si>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</si>
  <si>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</si>
  <si>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</si>
  <si>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f97p50</t>
  </si>
  <si>
    <t>g64</t>
  </si>
  <si>
    <t>h48</t>
  </si>
  <si>
    <t>i24</t>
  </si>
  <si>
    <t>j12</t>
  </si>
  <si>
    <t>k12</t>
  </si>
  <si>
    <t>kAnn</t>
  </si>
  <si>
    <t>USA</t>
  </si>
  <si>
    <t>R10NORTH_AM</t>
  </si>
  <si>
    <t>Shale gas revolution, coal declining</t>
  </si>
  <si>
    <t>1-70</t>
  </si>
  <si>
    <t>season</t>
  </si>
  <si>
    <t>weekly</t>
  </si>
  <si>
    <t>daynite</t>
  </si>
  <si>
    <t>wparent</t>
  </si>
  <si>
    <t>dparent</t>
  </si>
  <si>
    <t>S01</t>
  </si>
  <si>
    <t>a</t>
  </si>
  <si>
    <t>0301h01</t>
  </si>
  <si>
    <t>S01,S02,S03,S04,S05,S06,S07,S08,S09,S10,S11,S12</t>
  </si>
  <si>
    <t>b</t>
  </si>
  <si>
    <t>S02</t>
  </si>
  <si>
    <t>0301h02</t>
  </si>
  <si>
    <t>S03</t>
  </si>
  <si>
    <t>c</t>
  </si>
  <si>
    <t>0301h03</t>
  </si>
  <si>
    <t>S04</t>
  </si>
  <si>
    <t>d</t>
  </si>
  <si>
    <t>0301h04</t>
  </si>
  <si>
    <t>S09</t>
  </si>
  <si>
    <t>S05</t>
  </si>
  <si>
    <t>0301h05</t>
  </si>
  <si>
    <t>S06</t>
  </si>
  <si>
    <t>0301h06</t>
  </si>
  <si>
    <t>S07</t>
  </si>
  <si>
    <t>0301h07</t>
  </si>
  <si>
    <t>S08</t>
  </si>
  <si>
    <t>0301h08</t>
  </si>
  <si>
    <t>0301h09</t>
  </si>
  <si>
    <t>S10</t>
  </si>
  <si>
    <t>0301h10</t>
  </si>
  <si>
    <t>S11</t>
  </si>
  <si>
    <t>0301h11</t>
  </si>
  <si>
    <t>S12</t>
  </si>
  <si>
    <t>0301h12</t>
  </si>
  <si>
    <t>0301h13</t>
  </si>
  <si>
    <t>0301h14</t>
  </si>
  <si>
    <t>0301h15</t>
  </si>
  <si>
    <t>0301h16</t>
  </si>
  <si>
    <t>0301h17</t>
  </si>
  <si>
    <t>0301h18</t>
  </si>
  <si>
    <t>0301h19</t>
  </si>
  <si>
    <t>0301h20</t>
  </si>
  <si>
    <t>0301h21</t>
  </si>
  <si>
    <t>0301h22</t>
  </si>
  <si>
    <t>0301h23</t>
  </si>
  <si>
    <t>0301h24</t>
  </si>
  <si>
    <t>0418h01</t>
  </si>
  <si>
    <t>0418h02</t>
  </si>
  <si>
    <t>0418h03</t>
  </si>
  <si>
    <t>0418h04</t>
  </si>
  <si>
    <t>0418h05</t>
  </si>
  <si>
    <t>0418h06</t>
  </si>
  <si>
    <t>0418h07</t>
  </si>
  <si>
    <t>0418h08</t>
  </si>
  <si>
    <t>0418h09</t>
  </si>
  <si>
    <t>0418h10</t>
  </si>
  <si>
    <t>0418h11</t>
  </si>
  <si>
    <t>0418h12</t>
  </si>
  <si>
    <t>0418h13</t>
  </si>
  <si>
    <t>0418h14</t>
  </si>
  <si>
    <t>0418h15</t>
  </si>
  <si>
    <t>0418h16</t>
  </si>
  <si>
    <t>0418h17</t>
  </si>
  <si>
    <t>0418h18</t>
  </si>
  <si>
    <t>0418h19</t>
  </si>
  <si>
    <t>0418h20</t>
  </si>
  <si>
    <t>0418h21</t>
  </si>
  <si>
    <t>0418h22</t>
  </si>
  <si>
    <t>0418h23</t>
  </si>
  <si>
    <t>0418h24</t>
  </si>
  <si>
    <t>0911h01</t>
  </si>
  <si>
    <t>0911h02</t>
  </si>
  <si>
    <t>0911h03</t>
  </si>
  <si>
    <t>0911h04</t>
  </si>
  <si>
    <t>0911h05</t>
  </si>
  <si>
    <t>0911h06</t>
  </si>
  <si>
    <t>0911h07</t>
  </si>
  <si>
    <t>0911h08</t>
  </si>
  <si>
    <t>0911h09</t>
  </si>
  <si>
    <t>0911h10</t>
  </si>
  <si>
    <t>0911h11</t>
  </si>
  <si>
    <t>0911h12</t>
  </si>
  <si>
    <t>0911h13</t>
  </si>
  <si>
    <t>0911h14</t>
  </si>
  <si>
    <t>0911h15</t>
  </si>
  <si>
    <t>0911h16</t>
  </si>
  <si>
    <t>0911h17</t>
  </si>
  <si>
    <t>0911h18</t>
  </si>
  <si>
    <t>0911h19</t>
  </si>
  <si>
    <t>0911h20</t>
  </si>
  <si>
    <t>0911h21</t>
  </si>
  <si>
    <t>0911h22</t>
  </si>
  <si>
    <t>0911h23</t>
  </si>
  <si>
    <t>0911h24</t>
  </si>
  <si>
    <t>H01</t>
  </si>
  <si>
    <t>H02</t>
  </si>
  <si>
    <t>H03</t>
  </si>
  <si>
    <t>H04</t>
  </si>
  <si>
    <t>H05</t>
  </si>
  <si>
    <t>H06</t>
  </si>
  <si>
    <t>H07</t>
  </si>
  <si>
    <t>H08</t>
  </si>
  <si>
    <t>com_fr</t>
  </si>
  <si>
    <t>elc_spv-USA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</si>
  <si>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</si>
  <si>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</si>
  <si>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</si>
  <si>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</si>
  <si>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</si>
  <si>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</si>
  <si>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</si>
  <si>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</si>
  <si>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</si>
  <si>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</si>
  <si>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</si>
  <si>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</si>
  <si>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</si>
  <si>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</si>
  <si>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</si>
  <si>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</si>
  <si>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</si>
  <si>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</si>
  <si>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</si>
  <si>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</si>
  <si>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</si>
  <si>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</si>
  <si>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</si>
  <si>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</si>
  <si>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</si>
  <si>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S03b0301h01</t>
  </si>
  <si>
    <t>S03b0301h02</t>
  </si>
  <si>
    <t>S03b0301h03</t>
  </si>
  <si>
    <t>S03b0301h04</t>
  </si>
  <si>
    <t>S03b0301h05</t>
  </si>
  <si>
    <t>S03b0301h06</t>
  </si>
  <si>
    <t>S03b0301h07</t>
  </si>
  <si>
    <t>S03b0301h08</t>
  </si>
  <si>
    <t>S03b0301h09</t>
  </si>
  <si>
    <t>S03b0301h10</t>
  </si>
  <si>
    <t>S03b0301h11</t>
  </si>
  <si>
    <t>S03b0301h12</t>
  </si>
  <si>
    <t>S03b0301h13</t>
  </si>
  <si>
    <t>S03b0301h14</t>
  </si>
  <si>
    <t>S03b0301h15</t>
  </si>
  <si>
    <t>S03b0301h16</t>
  </si>
  <si>
    <t>S03b0301h17</t>
  </si>
  <si>
    <t>S03b0301h18</t>
  </si>
  <si>
    <t>S03b0301h19</t>
  </si>
  <si>
    <t>S03b0301h20</t>
  </si>
  <si>
    <t>S03b0301h21</t>
  </si>
  <si>
    <t>S03b0301h22</t>
  </si>
  <si>
    <t>S03b0301h23</t>
  </si>
  <si>
    <t>S03b0301h24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</si>
  <si>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</si>
  <si>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</si>
  <si>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</si>
  <si>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</si>
  <si>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</si>
  <si>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</si>
  <si>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</si>
  <si>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</si>
  <si>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S04c0418h01</t>
  </si>
  <si>
    <t>S04c0418h02</t>
  </si>
  <si>
    <t>S04c0418h03</t>
  </si>
  <si>
    <t>S04c0418h04</t>
  </si>
  <si>
    <t>S04c0418h05</t>
  </si>
  <si>
    <t>S04c0418h06</t>
  </si>
  <si>
    <t>S04c0418h07</t>
  </si>
  <si>
    <t>S04c0418h08</t>
  </si>
  <si>
    <t>S04c0418h09</t>
  </si>
  <si>
    <t>S04c0418h10</t>
  </si>
  <si>
    <t>S04c0418h11</t>
  </si>
  <si>
    <t>S04c0418h12</t>
  </si>
  <si>
    <t>S04c0418h13</t>
  </si>
  <si>
    <t>S04c0418h14</t>
  </si>
  <si>
    <t>S04c0418h15</t>
  </si>
  <si>
    <t>S04c0418h16</t>
  </si>
  <si>
    <t>S04c0418h17</t>
  </si>
  <si>
    <t>S04c0418h18</t>
  </si>
  <si>
    <t>S04c0418h19</t>
  </si>
  <si>
    <t>S04c0418h20</t>
  </si>
  <si>
    <t>S04c0418h21</t>
  </si>
  <si>
    <t>S04c0418h22</t>
  </si>
  <si>
    <t>S04c0418h23</t>
  </si>
  <si>
    <t>S04c0418h24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</si>
  <si>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</si>
  <si>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</si>
  <si>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</si>
  <si>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</si>
  <si>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</si>
  <si>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</si>
  <si>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</si>
  <si>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</si>
  <si>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</si>
  <si>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</si>
  <si>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</si>
  <si>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</si>
  <si>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</si>
  <si>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</si>
  <si>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</si>
  <si>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</si>
  <si>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S07aH01</t>
  </si>
  <si>
    <t>S07aH02</t>
  </si>
  <si>
    <t>S07aH03</t>
  </si>
  <si>
    <t>S07aH04</t>
  </si>
  <si>
    <t>S07aH05</t>
  </si>
  <si>
    <t>S07aH06</t>
  </si>
  <si>
    <t>S07aH07</t>
  </si>
  <si>
    <t>S07aH08</t>
  </si>
  <si>
    <t>S08aH01</t>
  </si>
  <si>
    <t>S08aH02</t>
  </si>
  <si>
    <t>S08aH03</t>
  </si>
  <si>
    <t>S08aH04</t>
  </si>
  <si>
    <t>S08aH05</t>
  </si>
  <si>
    <t>S08aH06</t>
  </si>
  <si>
    <t>S08aH07</t>
  </si>
  <si>
    <t>S08aH08</t>
  </si>
  <si>
    <t>S09aH01</t>
  </si>
  <si>
    <t>S09aH02</t>
  </si>
  <si>
    <t>S09aH03</t>
  </si>
  <si>
    <t>S09aH04</t>
  </si>
  <si>
    <t>S09aH05</t>
  </si>
  <si>
    <t>S09aH06</t>
  </si>
  <si>
    <t>S09aH07</t>
  </si>
  <si>
    <t>S09aH08</t>
  </si>
  <si>
    <t>S09d0911h01</t>
  </si>
  <si>
    <t>S09d0911h02</t>
  </si>
  <si>
    <t>S09d0911h03</t>
  </si>
  <si>
    <t>S09d0911h04</t>
  </si>
  <si>
    <t>S09d0911h05</t>
  </si>
  <si>
    <t>S09d0911h06</t>
  </si>
  <si>
    <t>S09d0911h07</t>
  </si>
  <si>
    <t>S09d0911h08</t>
  </si>
  <si>
    <t>S09d0911h09</t>
  </si>
  <si>
    <t>S09d0911h10</t>
  </si>
  <si>
    <t>S09d0911h11</t>
  </si>
  <si>
    <t>S09d0911h12</t>
  </si>
  <si>
    <t>S09d0911h13</t>
  </si>
  <si>
    <t>S09d0911h14</t>
  </si>
  <si>
    <t>S09d0911h15</t>
  </si>
  <si>
    <t>S09d0911h16</t>
  </si>
  <si>
    <t>S09d0911h17</t>
  </si>
  <si>
    <t>S09d0911h18</t>
  </si>
  <si>
    <t>S09d0911h19</t>
  </si>
  <si>
    <t>S09d0911h20</t>
  </si>
  <si>
    <t>S09d0911h21</t>
  </si>
  <si>
    <t>S09d0911h22</t>
  </si>
  <si>
    <t>S09d0911h23</t>
  </si>
  <si>
    <t>S09d0911h24</t>
  </si>
  <si>
    <t>S10aH01</t>
  </si>
  <si>
    <t>S10aH02</t>
  </si>
  <si>
    <t>S10aH03</t>
  </si>
  <si>
    <t>S10aH04</t>
  </si>
  <si>
    <t>S10aH05</t>
  </si>
  <si>
    <t>S10aH06</t>
  </si>
  <si>
    <t>S10aH07</t>
  </si>
  <si>
    <t>S10aH08</t>
  </si>
  <si>
    <t>S11aH01</t>
  </si>
  <si>
    <t>S11aH02</t>
  </si>
  <si>
    <t>S11aH03</t>
  </si>
  <si>
    <t>S11aH04</t>
  </si>
  <si>
    <t>S11aH05</t>
  </si>
  <si>
    <t>S11aH06</t>
  </si>
  <si>
    <t>S11aH07</t>
  </si>
  <si>
    <t>S11aH08</t>
  </si>
  <si>
    <t>S12aH01</t>
  </si>
  <si>
    <t>S12aH02</t>
  </si>
  <si>
    <t>S12aH03</t>
  </si>
  <si>
    <t>S12aH04</t>
  </si>
  <si>
    <t>S12aH05</t>
  </si>
  <si>
    <t>S12aH06</t>
  </si>
  <si>
    <t>S12aH07</t>
  </si>
  <si>
    <t>S12aH08</t>
  </si>
  <si>
    <t>elc_won-USA</t>
  </si>
  <si>
    <t>elc_wof-USA</t>
  </si>
  <si>
    <t>g_yrfr</t>
  </si>
  <si>
    <t>day_night</t>
  </si>
  <si>
    <t>D</t>
  </si>
  <si>
    <t>S02aH02,S03b0301h08,S03b0301h16,S04c0418h16,S06aH06,S09d0911h07,S09d0911h11,S01aH06,S02aH03,S03b0301h09,S04c0418h09,S05aH07,S07aH03,S08aH06,S10aH07,S04aH05,S09d0911h08,S09d0911h15,S08aH02,S09aH06,S02aH06,S03aH05,S04aH07,S05aH05,S06aH04,S08aH04,S11aH02,S03aH04,S04c0418h15,S08aH05,S09aH07,S09d0911h17,S11aH05,S12aH03,S02aH04,S02aH05,S04c0418h18,S06aH07,S07aH07,S09d0911h13,S10aH03,S10aH05,S03b0301h14,S04aH02,S04c0418h07,S04c0418h14,S08aH07,S09aH02,S09aH03,S11aH03,S11aH04,S01aH04,S01aH07,S02aH07,S03b0301h18,S04c0418h17,S07aH02,S07aH06,S09d0911h12,S09d0911h16,S01aH05,S03aH06,S03aH07,S03b0301h17,S04c0418h12,S06aH05,S10aH02,S10aH06,S11aH06,S12aH04,S12aH05,S03b0301h13,S04aH06,S05aH04,S06aH02,S06aH03,S09d0911h14,S10aH04,S12aH06,S03aH03,S03b0301h12,S03b0301h15,S09aH05,S09d0911h09,S12aH07,S01aH03,S05aH02,S05aH03,S05aH06,S09d0911h18,S01aH02,S04aH04,S04c0418h08,S09d0911h10,S03b0301h07,S03b0301h10,S04aH03,S04c0418h11,S07aH04,S08aH03,S09aH04,S11aH07,S12aH02,S03aH02,S03b0301h11,S04c0418h10,S04c0418h13,S07aH05</t>
  </si>
  <si>
    <t>N</t>
  </si>
  <si>
    <t>S03aH01,S03b0301h22,S09d0911h01,S01aH01,S04aH01,S04c0418h21,S09aH08,S09d0911h21,S11aH01,S03b0301h23,S05aH08,S10aH08,S04aH08,S04c0418h01,S06aH01,S12aH08,S03b0301h21,S04c0418h22,S07aH08,S08aH08,S09d0911h02,S04c0418h06,S05aH01,S09d0911h03,S03aH08,S04c0418h24,S06aH08,S09d0911h06,S12aH01,S03b0301h01,S03b0301h03,S03b0301h04,S03b0301h24,S04c0418h03,S04c0418h04,S03b0301h06,S08aH01,S09d0911h23,S10aH01,S09d0911h22,S04c0418h05,S04c0418h23,S07aH01,S09d0911h04,S09d0911h24,S11aH08,S03b0301h02,S03b0301h20,S04c0418h19,S09aH01,S09d0911h19,S09d0911h20,S01aH08,S02aH08,S02aH01,S09d0911h05,S03b0301h05,S03b0301h19,S04c0418h02,S04c0418h20</t>
  </si>
  <si>
    <t>com_pkflx</t>
  </si>
  <si>
    <t>ncap_afs</t>
  </si>
  <si>
    <t>pset_ci</t>
  </si>
  <si>
    <t>0228h01</t>
  </si>
  <si>
    <t>0228h02</t>
  </si>
  <si>
    <t>0228h03</t>
  </si>
  <si>
    <t>0228h04</t>
  </si>
  <si>
    <t>e</t>
  </si>
  <si>
    <t>0228h05</t>
  </si>
  <si>
    <t>f</t>
  </si>
  <si>
    <t>0228h06</t>
  </si>
  <si>
    <t>g</t>
  </si>
  <si>
    <t>0228h07</t>
  </si>
  <si>
    <t>h</t>
  </si>
  <si>
    <t>0228h08</t>
  </si>
  <si>
    <t>i</t>
  </si>
  <si>
    <t>0228h09</t>
  </si>
  <si>
    <t>j</t>
  </si>
  <si>
    <t>0228h10</t>
  </si>
  <si>
    <t>0228h11</t>
  </si>
  <si>
    <t>0228h12</t>
  </si>
  <si>
    <t>0228h13</t>
  </si>
  <si>
    <t>0228h14</t>
  </si>
  <si>
    <t>0228h15</t>
  </si>
  <si>
    <t>0228h16</t>
  </si>
  <si>
    <t>0228h17</t>
  </si>
  <si>
    <t>0228h18</t>
  </si>
  <si>
    <t>0228h19</t>
  </si>
  <si>
    <t>0228h20</t>
  </si>
  <si>
    <t>0228h21</t>
  </si>
  <si>
    <t>0228h22</t>
  </si>
  <si>
    <t>0228h23</t>
  </si>
  <si>
    <t>0228h24</t>
  </si>
  <si>
    <t>0414h01</t>
  </si>
  <si>
    <t>0414h02</t>
  </si>
  <si>
    <t>0414h03</t>
  </si>
  <si>
    <t>0414h04</t>
  </si>
  <si>
    <t>0414h05</t>
  </si>
  <si>
    <t>0414h06</t>
  </si>
  <si>
    <t>0414h07</t>
  </si>
  <si>
    <t>0414h08</t>
  </si>
  <si>
    <t>0414h09</t>
  </si>
  <si>
    <t>0414h10</t>
  </si>
  <si>
    <t>0414h11</t>
  </si>
  <si>
    <t>0414h12</t>
  </si>
  <si>
    <t>0414h13</t>
  </si>
  <si>
    <t>0414h14</t>
  </si>
  <si>
    <t>0414h15</t>
  </si>
  <si>
    <t>0414h16</t>
  </si>
  <si>
    <t>0414h17</t>
  </si>
  <si>
    <t>0414h18</t>
  </si>
  <si>
    <t>0414h19</t>
  </si>
  <si>
    <t>0414h20</t>
  </si>
  <si>
    <t>0414h21</t>
  </si>
  <si>
    <t>0414h22</t>
  </si>
  <si>
    <t>0414h23</t>
  </si>
  <si>
    <t>0414h24</t>
  </si>
  <si>
    <t>0531h01</t>
  </si>
  <si>
    <t>0531h02</t>
  </si>
  <si>
    <t>0531h03</t>
  </si>
  <si>
    <t>0531h04</t>
  </si>
  <si>
    <t>0531h05</t>
  </si>
  <si>
    <t>0531h06</t>
  </si>
  <si>
    <t>0531h07</t>
  </si>
  <si>
    <t>0531h08</t>
  </si>
  <si>
    <t>0531h09</t>
  </si>
  <si>
    <t>0531h10</t>
  </si>
  <si>
    <t>0531h11</t>
  </si>
  <si>
    <t>0531h12</t>
  </si>
  <si>
    <t>0531h13</t>
  </si>
  <si>
    <t>0531h14</t>
  </si>
  <si>
    <t>0531h15</t>
  </si>
  <si>
    <t>0531h16</t>
  </si>
  <si>
    <t>0531h17</t>
  </si>
  <si>
    <t>0531h18</t>
  </si>
  <si>
    <t>0531h19</t>
  </si>
  <si>
    <t>0531h20</t>
  </si>
  <si>
    <t>0531h21</t>
  </si>
  <si>
    <t>0531h22</t>
  </si>
  <si>
    <t>0531h23</t>
  </si>
  <si>
    <t>0531h24</t>
  </si>
  <si>
    <t>1022h01</t>
  </si>
  <si>
    <t>1022h02</t>
  </si>
  <si>
    <t>1022h03</t>
  </si>
  <si>
    <t>1022h04</t>
  </si>
  <si>
    <t>1022h05</t>
  </si>
  <si>
    <t>1022h06</t>
  </si>
  <si>
    <t>1022h07</t>
  </si>
  <si>
    <t>1022h08</t>
  </si>
  <si>
    <t>1022h09</t>
  </si>
  <si>
    <t>1022h10</t>
  </si>
  <si>
    <t>1022h11</t>
  </si>
  <si>
    <t>1022h12</t>
  </si>
  <si>
    <t>1022h13</t>
  </si>
  <si>
    <t>1022h14</t>
  </si>
  <si>
    <t>1022h15</t>
  </si>
  <si>
    <t>1022h16</t>
  </si>
  <si>
    <t>1022h17</t>
  </si>
  <si>
    <t>1022h18</t>
  </si>
  <si>
    <t>1022h19</t>
  </si>
  <si>
    <t>1022h20</t>
  </si>
  <si>
    <t>1022h21</t>
  </si>
  <si>
    <t>1022h22</t>
  </si>
  <si>
    <t>1022h23</t>
  </si>
  <si>
    <t>1022h24</t>
  </si>
  <si>
    <t>1123h01</t>
  </si>
  <si>
    <t>1123h02</t>
  </si>
  <si>
    <t>1123h03</t>
  </si>
  <si>
    <t>1123h04</t>
  </si>
  <si>
    <t>1123h05</t>
  </si>
  <si>
    <t>1123h06</t>
  </si>
  <si>
    <t>1123h07</t>
  </si>
  <si>
    <t>1123h08</t>
  </si>
  <si>
    <t>1123h09</t>
  </si>
  <si>
    <t>1123h10</t>
  </si>
  <si>
    <t>1123h11</t>
  </si>
  <si>
    <t>1123h12</t>
  </si>
  <si>
    <t>1123h13</t>
  </si>
  <si>
    <t>1123h14</t>
  </si>
  <si>
    <t>1123h15</t>
  </si>
  <si>
    <t>1123h16</t>
  </si>
  <si>
    <t>1123h17</t>
  </si>
  <si>
    <t>1123h18</t>
  </si>
  <si>
    <t>1123h19</t>
  </si>
  <si>
    <t>1123h20</t>
  </si>
  <si>
    <t>1123h21</t>
  </si>
  <si>
    <t>1123h22</t>
  </si>
  <si>
    <t>1123h23</t>
  </si>
  <si>
    <t>1123h24</t>
  </si>
  <si>
    <t>1221h01</t>
  </si>
  <si>
    <t>1221h02</t>
  </si>
  <si>
    <t>1221h03</t>
  </si>
  <si>
    <t>1221h04</t>
  </si>
  <si>
    <t>1221h05</t>
  </si>
  <si>
    <t>1221h06</t>
  </si>
  <si>
    <t>1221h07</t>
  </si>
  <si>
    <t>1221h08</t>
  </si>
  <si>
    <t>1221h09</t>
  </si>
  <si>
    <t>1221h10</t>
  </si>
  <si>
    <t>1221h11</t>
  </si>
  <si>
    <t>1221h12</t>
  </si>
  <si>
    <t>1221h13</t>
  </si>
  <si>
    <t>1221h14</t>
  </si>
  <si>
    <t>1221h15</t>
  </si>
  <si>
    <t>1221h16</t>
  </si>
  <si>
    <t>1221h17</t>
  </si>
  <si>
    <t>1221h18</t>
  </si>
  <si>
    <t>1221h19</t>
  </si>
  <si>
    <t>1221h20</t>
  </si>
  <si>
    <t>1221h21</t>
  </si>
  <si>
    <t>1221h22</t>
  </si>
  <si>
    <t>1221h23</t>
  </si>
  <si>
    <t>1221h24</t>
  </si>
  <si>
    <t>S02b0228h01</t>
  </si>
  <si>
    <t>S02b0228h02</t>
  </si>
  <si>
    <t>S02b0228h03</t>
  </si>
  <si>
    <t>S02b0228h04</t>
  </si>
  <si>
    <t>S02b0228h05</t>
  </si>
  <si>
    <t>S02b0228h06</t>
  </si>
  <si>
    <t>S02b0228h07</t>
  </si>
  <si>
    <t>S02b0228h08</t>
  </si>
  <si>
    <t>S02b0228h09</t>
  </si>
  <si>
    <t>S02b0228h10</t>
  </si>
  <si>
    <t>S02b0228h11</t>
  </si>
  <si>
    <t>S02b0228h12</t>
  </si>
  <si>
    <t>S02b0228h13</t>
  </si>
  <si>
    <t>S02b0228h14</t>
  </si>
  <si>
    <t>S02b0228h15</t>
  </si>
  <si>
    <t>S02b0228h16</t>
  </si>
  <si>
    <t>S02b0228h17</t>
  </si>
  <si>
    <t>S02b0228h18</t>
  </si>
  <si>
    <t>S02b0228h19</t>
  </si>
  <si>
    <t>S02b0228h20</t>
  </si>
  <si>
    <t>S02b0228h21</t>
  </si>
  <si>
    <t>S02b0228h22</t>
  </si>
  <si>
    <t>S02b0228h23</t>
  </si>
  <si>
    <t>S02b0228h24</t>
  </si>
  <si>
    <t>S03c0301h01</t>
  </si>
  <si>
    <t>S03c0301h02</t>
  </si>
  <si>
    <t>S03c0301h03</t>
  </si>
  <si>
    <t>S03c0301h04</t>
  </si>
  <si>
    <t>S03c0301h05</t>
  </si>
  <si>
    <t>S03c0301h06</t>
  </si>
  <si>
    <t>S03c0301h07</t>
  </si>
  <si>
    <t>S03c0301h08</t>
  </si>
  <si>
    <t>S03c0301h09</t>
  </si>
  <si>
    <t>S03c0301h10</t>
  </si>
  <si>
    <t>S03c0301h11</t>
  </si>
  <si>
    <t>S03c0301h12</t>
  </si>
  <si>
    <t>S03c0301h13</t>
  </si>
  <si>
    <t>S03c0301h14</t>
  </si>
  <si>
    <t>S03c0301h15</t>
  </si>
  <si>
    <t>S03c0301h16</t>
  </si>
  <si>
    <t>S03c0301h17</t>
  </si>
  <si>
    <t>S03c0301h18</t>
  </si>
  <si>
    <t>S03c0301h19</t>
  </si>
  <si>
    <t>S03c0301h20</t>
  </si>
  <si>
    <t>S03c0301h21</t>
  </si>
  <si>
    <t>S03c0301h22</t>
  </si>
  <si>
    <t>S03c0301h23</t>
  </si>
  <si>
    <t>S03c0301h24</t>
  </si>
  <si>
    <t>S04d0414h01</t>
  </si>
  <si>
    <t>S04d0414h02</t>
  </si>
  <si>
    <t>S04d0414h03</t>
  </si>
  <si>
    <t>S04d0414h04</t>
  </si>
  <si>
    <t>S04d0414h05</t>
  </si>
  <si>
    <t>S04d0414h06</t>
  </si>
  <si>
    <t>S04d0414h07</t>
  </si>
  <si>
    <t>S04d0414h08</t>
  </si>
  <si>
    <t>S04d0414h09</t>
  </si>
  <si>
    <t>S04d0414h10</t>
  </si>
  <si>
    <t>S04d0414h11</t>
  </si>
  <si>
    <t>S04d0414h12</t>
  </si>
  <si>
    <t>S04d0414h13</t>
  </si>
  <si>
    <t>S04d0414h14</t>
  </si>
  <si>
    <t>S04d0414h15</t>
  </si>
  <si>
    <t>S04d0414h16</t>
  </si>
  <si>
    <t>S04d0414h17</t>
  </si>
  <si>
    <t>S04d0414h18</t>
  </si>
  <si>
    <t>S04d0414h19</t>
  </si>
  <si>
    <t>S04d0414h20</t>
  </si>
  <si>
    <t>S04d0414h21</t>
  </si>
  <si>
    <t>S04d0414h22</t>
  </si>
  <si>
    <t>S04d0414h23</t>
  </si>
  <si>
    <t>S04d0414h24</t>
  </si>
  <si>
    <t>S04e0418h01</t>
  </si>
  <si>
    <t>S04e0418h02</t>
  </si>
  <si>
    <t>S04e0418h03</t>
  </si>
  <si>
    <t>S04e0418h04</t>
  </si>
  <si>
    <t>S04e0418h05</t>
  </si>
  <si>
    <t>S04e0418h06</t>
  </si>
  <si>
    <t>S04e0418h07</t>
  </si>
  <si>
    <t>S04e0418h08</t>
  </si>
  <si>
    <t>S04e0418h09</t>
  </si>
  <si>
    <t>S04e0418h10</t>
  </si>
  <si>
    <t>S04e0418h11</t>
  </si>
  <si>
    <t>S04e0418h12</t>
  </si>
  <si>
    <t>S04e0418h13</t>
  </si>
  <si>
    <t>S04e0418h14</t>
  </si>
  <si>
    <t>S04e0418h15</t>
  </si>
  <si>
    <t>S04e0418h16</t>
  </si>
  <si>
    <t>S04e0418h17</t>
  </si>
  <si>
    <t>S04e0418h18</t>
  </si>
  <si>
    <t>S04e0418h19</t>
  </si>
  <si>
    <t>S04e0418h20</t>
  </si>
  <si>
    <t>S04e0418h21</t>
  </si>
  <si>
    <t>S04e0418h22</t>
  </si>
  <si>
    <t>S04e0418h23</t>
  </si>
  <si>
    <t>S04e0418h24</t>
  </si>
  <si>
    <t>S05f0531h01</t>
  </si>
  <si>
    <t>S05f0531h02</t>
  </si>
  <si>
    <t>S05f0531h03</t>
  </si>
  <si>
    <t>S05f0531h04</t>
  </si>
  <si>
    <t>S05f0531h05</t>
  </si>
  <si>
    <t>S05f0531h06</t>
  </si>
  <si>
    <t>S05f0531h07</t>
  </si>
  <si>
    <t>S05f0531h08</t>
  </si>
  <si>
    <t>S05f0531h09</t>
  </si>
  <si>
    <t>S05f0531h10</t>
  </si>
  <si>
    <t>S05f0531h11</t>
  </si>
  <si>
    <t>S05f0531h12</t>
  </si>
  <si>
    <t>S05f0531h13</t>
  </si>
  <si>
    <t>S05f0531h14</t>
  </si>
  <si>
    <t>S05f0531h15</t>
  </si>
  <si>
    <t>S05f0531h16</t>
  </si>
  <si>
    <t>S05f0531h17</t>
  </si>
  <si>
    <t>S05f0531h18</t>
  </si>
  <si>
    <t>S05f0531h19</t>
  </si>
  <si>
    <t>S05f0531h20</t>
  </si>
  <si>
    <t>S05f0531h21</t>
  </si>
  <si>
    <t>S05f0531h22</t>
  </si>
  <si>
    <t>S05f0531h23</t>
  </si>
  <si>
    <t>S05f0531h24</t>
  </si>
  <si>
    <t>S09g0911h01</t>
  </si>
  <si>
    <t>S09g0911h02</t>
  </si>
  <si>
    <t>S09g0911h03</t>
  </si>
  <si>
    <t>S09g0911h04</t>
  </si>
  <si>
    <t>S09g0911h05</t>
  </si>
  <si>
    <t>S09g0911h06</t>
  </si>
  <si>
    <t>S09g0911h07</t>
  </si>
  <si>
    <t>S09g0911h08</t>
  </si>
  <si>
    <t>S09g0911h09</t>
  </si>
  <si>
    <t>S09g0911h10</t>
  </si>
  <si>
    <t>S09g0911h11</t>
  </si>
  <si>
    <t>S09g0911h12</t>
  </si>
  <si>
    <t>S09g0911h13</t>
  </si>
  <si>
    <t>S09g0911h14</t>
  </si>
  <si>
    <t>S09g0911h15</t>
  </si>
  <si>
    <t>S09g0911h16</t>
  </si>
  <si>
    <t>S09g0911h17</t>
  </si>
  <si>
    <t>S09g0911h18</t>
  </si>
  <si>
    <t>S09g0911h19</t>
  </si>
  <si>
    <t>S09g0911h20</t>
  </si>
  <si>
    <t>S09g0911h21</t>
  </si>
  <si>
    <t>S09g0911h22</t>
  </si>
  <si>
    <t>S09g0911h23</t>
  </si>
  <si>
    <t>S09g0911h24</t>
  </si>
  <si>
    <t>S10h1022h01</t>
  </si>
  <si>
    <t>S10h1022h02</t>
  </si>
  <si>
    <t>S10h1022h03</t>
  </si>
  <si>
    <t>S10h1022h04</t>
  </si>
  <si>
    <t>S10h1022h05</t>
  </si>
  <si>
    <t>S10h1022h06</t>
  </si>
  <si>
    <t>S10h1022h07</t>
  </si>
  <si>
    <t>S10h1022h08</t>
  </si>
  <si>
    <t>S10h1022h09</t>
  </si>
  <si>
    <t>S10h1022h10</t>
  </si>
  <si>
    <t>S10h1022h11</t>
  </si>
  <si>
    <t>S10h1022h12</t>
  </si>
  <si>
    <t>S10h1022h13</t>
  </si>
  <si>
    <t>S10h1022h14</t>
  </si>
  <si>
    <t>S10h1022h15</t>
  </si>
  <si>
    <t>S10h1022h16</t>
  </si>
  <si>
    <t>S10h1022h17</t>
  </si>
  <si>
    <t>S10h1022h18</t>
  </si>
  <si>
    <t>S10h1022h19</t>
  </si>
  <si>
    <t>S10h1022h20</t>
  </si>
  <si>
    <t>S10h1022h21</t>
  </si>
  <si>
    <t>S10h1022h22</t>
  </si>
  <si>
    <t>S10h1022h23</t>
  </si>
  <si>
    <t>S10h1022h24</t>
  </si>
  <si>
    <t>S11i1123h01</t>
  </si>
  <si>
    <t>S11i1123h02</t>
  </si>
  <si>
    <t>S11i1123h03</t>
  </si>
  <si>
    <t>S11i1123h04</t>
  </si>
  <si>
    <t>S11i1123h05</t>
  </si>
  <si>
    <t>S11i1123h06</t>
  </si>
  <si>
    <t>S11i1123h07</t>
  </si>
  <si>
    <t>S11i1123h08</t>
  </si>
  <si>
    <t>S11i1123h09</t>
  </si>
  <si>
    <t>S11i1123h10</t>
  </si>
  <si>
    <t>S11i1123h11</t>
  </si>
  <si>
    <t>S11i1123h12</t>
  </si>
  <si>
    <t>S11i1123h13</t>
  </si>
  <si>
    <t>S11i1123h14</t>
  </si>
  <si>
    <t>S11i1123h15</t>
  </si>
  <si>
    <t>S11i1123h16</t>
  </si>
  <si>
    <t>S11i1123h17</t>
  </si>
  <si>
    <t>S11i1123h18</t>
  </si>
  <si>
    <t>S11i1123h19</t>
  </si>
  <si>
    <t>S11i1123h20</t>
  </si>
  <si>
    <t>S11i1123h21</t>
  </si>
  <si>
    <t>S11i1123h22</t>
  </si>
  <si>
    <t>S11i1123h23</t>
  </si>
  <si>
    <t>S11i1123h24</t>
  </si>
  <si>
    <t>S12j1221h01</t>
  </si>
  <si>
    <t>S12j1221h02</t>
  </si>
  <si>
    <t>S12j1221h03</t>
  </si>
  <si>
    <t>S12j1221h04</t>
  </si>
  <si>
    <t>S12j1221h05</t>
  </si>
  <si>
    <t>S12j1221h06</t>
  </si>
  <si>
    <t>S12j1221h07</t>
  </si>
  <si>
    <t>S12j1221h08</t>
  </si>
  <si>
    <t>S12j1221h09</t>
  </si>
  <si>
    <t>S12j1221h10</t>
  </si>
  <si>
    <t>S12j1221h11</t>
  </si>
  <si>
    <t>S12j1221h12</t>
  </si>
  <si>
    <t>S12j1221h13</t>
  </si>
  <si>
    <t>S12j1221h14</t>
  </si>
  <si>
    <t>S12j1221h15</t>
  </si>
  <si>
    <t>S12j1221h16</t>
  </si>
  <si>
    <t>S12j1221h17</t>
  </si>
  <si>
    <t>S12j1221h18</t>
  </si>
  <si>
    <t>S12j1221h19</t>
  </si>
  <si>
    <t>S12j1221h20</t>
  </si>
  <si>
    <t>S12j1221h21</t>
  </si>
  <si>
    <t>S12j1221h22</t>
  </si>
  <si>
    <t>S12j1221h23</t>
  </si>
  <si>
    <t>S12j1221h24</t>
  </si>
  <si>
    <t>S03aH03,S09aH05,S09g0911h08,S09g0911h14,S12aH07,S12j1221h17,S02b0228h07,S02b0228h09,S03aH04,S03c0301h11,S03c0301h15,S04d0414h14,S08aH05,S09aH07,S10h1022h13,S11aH05,S12aH03,S02b0228h17,S04aH02,S04d0414h09,S04d0414h15,S04e0418h12,S05f0531h07,S05f0531h08,S05f0531h15,S08aH07,S09aH02,S09aH03,S11aH03,S11aH04,S01aH02,S03c0301h10,S03c0301h13,S03c0301h17,S03c0301h18,S04aH04,S04e0418h14,S05f0531h16,S09g0911h13,S09g0911h18,S10h1022h18,S02aH06,S03aH05,S04aH07,S04d0414h10,S04e0418h13,S04e0418h18,S05aH05,S06aH04,S08aH04,S10h1022h08,S10h1022h11,S10h1022h12,S10h1022h17,S11aH02,S11i1123h14,S11i1123h18,S12j1221h12,S02aH04,S02aH05,S03c0301h16,S04e0418h10,S06aH07,S07aH07,S10aH03,S10aH05,S10h1022h14,S10h1022h15,S12j1221h14,S01aH06,S02aH03,S04d0414h07,S04d0414h13,S05aH07,S05f0531h10,S07aH03,S08aH06,S09g0911h12,S10aH07,S11i1123h13,S11i1123h16,S12j1221h07,S12j1221h09,S01aH04,S01aH07,S02aH07,S02b0228h08,S04d0414h12,S04d0414h16,S04d0414h17,S04e0418h09,S05f0531h09,S07aH02,S07aH06,S09g0911h16,S10h1022h10,S12j1221h15,S02b0228h12,S02b0228h15,S03c0301h07,S03c0301h09,S04aH03,S04d0414h08,S07aH04,S08aH03,S09aH04,S10h1022h16,S11aH07,S11i1123h11,S12aH02,S12j1221h10,S12j1221h18,S01aH03,S02b0228h13,S02b0228h18,S04d0414h18,S04e0418h17,S05aH02,S05aH03,S05aH06,S05f0531h17,S05f0531h18,S09g0911h09,S10h1022h07,S10h1022h09,S11i1123h08,S11i1123h09,S02b0228h16,S03c0301h12,S04aH05,S05f0531h12,S01aH05,S03aH06,S03aH07,S04d0414h11,S05f0531h13,S06aH05,S10aH02,S10aH06,S11aH06,S12aH04,S12aH05,S05f0531h11,S08aH02,S09aH06,S09g0911h11,S09g0911h15,S11i1123h07,S11i1123h12,S12j1221h11,S02aH02,S03c0301h08,S03c0301h14,S04e0418h07,S04e0418h11,S04e0418h15,S06aH06,S11i1123h10,S12j1221h08,S12j1221h13,S12j1221h16,S02b0228h10,S02b0228h11,S03aH02,S04e0418h08,S04e0418h16,S05f0531h14,S07aH05,S09g0911h07,S09g0911h17,S02b0228h14,S04aH06,S05aH04,S06aH02,S06aH03,S09g0911h10,S10aH04,S11i1123h15,S11i1123h17,S12aH06</t>
  </si>
  <si>
    <t>S02b0228h06,S02b0228h23,S04d0414h20,S09g0911h04,S09g0911h21,S11aH08,S11i1123h01,S02b0228h24,S05aH01,S05f0531h20,S09g0911h06,S09g0911h24,S10h1022h24,S11i1123h19,S11i1123h24,S12j1221h24,S03c0301h04,S04d0414h02,S04d0414h23,S04e0418h02,S04e0418h24,S11i1123h20,S01aH08,S02aH08,S03c0301h21,S04d0414h03,S10h1022h23,S11i1123h03,S12j1221h03,S12j1221h20,S03c0301h23,S04d0414h24,S04e0418h01,S05f0531h03,S07aH08,S08aH08,S09g0911h01,S10h1022h20,S11i1123h06,S12j1221h02,S12j1221h04,S03aH08,S05f0531h05,S06aH08,S10h1022h04,S12aH01,S12j1221h22,S01aH01,S04aH01,S04e0418h03,S09aH08,S09g0911h22,S10h1022h03,S10h1022h05,S11aH01,S11i1123h21,S03c0301h02,S04d0414h06,S05f0531h02,S05f0531h21,S08aH01,S09g0911h03,S09g0911h20,S09g0911h23,S10aH01,S10h1022h02,S10h1022h22,S11i1123h22,S12j1221h01,S02aH01,S02b0228h04,S03c0301h05,S03c0301h06,S03c0301h20,S04e0418h19,S02b0228h03,S02b0228h20,S03c0301h03,S05f0531h19,S09aH01,S10h1022h06,S10h1022h21,S11i1123h04,S11i1123h05,S12j1221h21,S12j1221h23,S03c0301h01,S04e0418h05,S05aH08,S05f0531h24,S09g0911h19,S10aH08,S11i1123h02,S12j1221h05,S12j1221h19,S02b0228h01,S03c0301h24,S04d0414h01,S04e0418h04,S04e0418h21,S05f0531h01,S09g0911h02,S02b0228h19,S03c0301h19,S04aH08,S04d0414h22,S06aH01,S12aH08,S03aH01,S04d0414h04,S04e0418h22,S04e0418h23,S10h1022h01,S10h1022h19,S12j1221h06,S02b0228h02,S02b0228h22,S03c0301h22,S04d0414h05,S04e0418h06,S05f0531h04,S05f0531h06,S05f0531h23,S11i1123h23,S02b0228h05,S02b0228h21,S04d0414h19,S04d0414h21,S04e0418h20,S05f0531h22,S07aH01,S09g0911h05</t>
  </si>
  <si>
    <t>k</t>
  </si>
  <si>
    <t>l</t>
  </si>
  <si>
    <t>m</t>
  </si>
  <si>
    <t>n</t>
  </si>
  <si>
    <t>o</t>
  </si>
  <si>
    <t>p</t>
  </si>
  <si>
    <t>0430h01</t>
  </si>
  <si>
    <t>0430h02</t>
  </si>
  <si>
    <t>0430h03</t>
  </si>
  <si>
    <t>0430h04</t>
  </si>
  <si>
    <t>0430h05</t>
  </si>
  <si>
    <t>0430h06</t>
  </si>
  <si>
    <t>0430h07</t>
  </si>
  <si>
    <t>0430h08</t>
  </si>
  <si>
    <t>0430h09</t>
  </si>
  <si>
    <t>0430h10</t>
  </si>
  <si>
    <t>0430h11</t>
  </si>
  <si>
    <t>0430h12</t>
  </si>
  <si>
    <t>0430h13</t>
  </si>
  <si>
    <t>0430h14</t>
  </si>
  <si>
    <t>0430h15</t>
  </si>
  <si>
    <t>0430h16</t>
  </si>
  <si>
    <t>0430h17</t>
  </si>
  <si>
    <t>0430h18</t>
  </si>
  <si>
    <t>0430h19</t>
  </si>
  <si>
    <t>0430h20</t>
  </si>
  <si>
    <t>0430h21</t>
  </si>
  <si>
    <t>0430h22</t>
  </si>
  <si>
    <t>0430h23</t>
  </si>
  <si>
    <t>0430h24</t>
  </si>
  <si>
    <t>0530h01</t>
  </si>
  <si>
    <t>0530h02</t>
  </si>
  <si>
    <t>0530h03</t>
  </si>
  <si>
    <t>0530h04</t>
  </si>
  <si>
    <t>0530h05</t>
  </si>
  <si>
    <t>0530h06</t>
  </si>
  <si>
    <t>0530h07</t>
  </si>
  <si>
    <t>0530h08</t>
  </si>
  <si>
    <t>0530h09</t>
  </si>
  <si>
    <t>0530h10</t>
  </si>
  <si>
    <t>0530h11</t>
  </si>
  <si>
    <t>0530h12</t>
  </si>
  <si>
    <t>0530h13</t>
  </si>
  <si>
    <t>0530h14</t>
  </si>
  <si>
    <t>0530h15</t>
  </si>
  <si>
    <t>0530h16</t>
  </si>
  <si>
    <t>0530h17</t>
  </si>
  <si>
    <t>0530h18</t>
  </si>
  <si>
    <t>0530h19</t>
  </si>
  <si>
    <t>0530h20</t>
  </si>
  <si>
    <t>0530h21</t>
  </si>
  <si>
    <t>0530h22</t>
  </si>
  <si>
    <t>0530h23</t>
  </si>
  <si>
    <t>0530h24</t>
  </si>
  <si>
    <t>1017h01</t>
  </si>
  <si>
    <t>1017h02</t>
  </si>
  <si>
    <t>1017h03</t>
  </si>
  <si>
    <t>1017h04</t>
  </si>
  <si>
    <t>1017h05</t>
  </si>
  <si>
    <t>1017h06</t>
  </si>
  <si>
    <t>1017h07</t>
  </si>
  <si>
    <t>1017h08</t>
  </si>
  <si>
    <t>1017h09</t>
  </si>
  <si>
    <t>1017h10</t>
  </si>
  <si>
    <t>1017h11</t>
  </si>
  <si>
    <t>1017h12</t>
  </si>
  <si>
    <t>1017h13</t>
  </si>
  <si>
    <t>1017h14</t>
  </si>
  <si>
    <t>1017h15</t>
  </si>
  <si>
    <t>1017h16</t>
  </si>
  <si>
    <t>1017h17</t>
  </si>
  <si>
    <t>1017h18</t>
  </si>
  <si>
    <t>1017h19</t>
  </si>
  <si>
    <t>1017h20</t>
  </si>
  <si>
    <t>1017h21</t>
  </si>
  <si>
    <t>1017h22</t>
  </si>
  <si>
    <t>1017h23</t>
  </si>
  <si>
    <t>1017h24</t>
  </si>
  <si>
    <t>1018h01</t>
  </si>
  <si>
    <t>1018h02</t>
  </si>
  <si>
    <t>1018h03</t>
  </si>
  <si>
    <t>1018h04</t>
  </si>
  <si>
    <t>1018h05</t>
  </si>
  <si>
    <t>1018h06</t>
  </si>
  <si>
    <t>1018h07</t>
  </si>
  <si>
    <t>1018h08</t>
  </si>
  <si>
    <t>1018h09</t>
  </si>
  <si>
    <t>1018h10</t>
  </si>
  <si>
    <t>1018h11</t>
  </si>
  <si>
    <t>1018h12</t>
  </si>
  <si>
    <t>1018h13</t>
  </si>
  <si>
    <t>1018h14</t>
  </si>
  <si>
    <t>1018h15</t>
  </si>
  <si>
    <t>1018h16</t>
  </si>
  <si>
    <t>1018h17</t>
  </si>
  <si>
    <t>1018h18</t>
  </si>
  <si>
    <t>1018h19</t>
  </si>
  <si>
    <t>1018h20</t>
  </si>
  <si>
    <t>1018h21</t>
  </si>
  <si>
    <t>1018h22</t>
  </si>
  <si>
    <t>1018h23</t>
  </si>
  <si>
    <t>1018h24</t>
  </si>
  <si>
    <t>1201h01</t>
  </si>
  <si>
    <t>1201h02</t>
  </si>
  <si>
    <t>1201h03</t>
  </si>
  <si>
    <t>1201h04</t>
  </si>
  <si>
    <t>1201h05</t>
  </si>
  <si>
    <t>1201h06</t>
  </si>
  <si>
    <t>1201h07</t>
  </si>
  <si>
    <t>1201h08</t>
  </si>
  <si>
    <t>1201h09</t>
  </si>
  <si>
    <t>1201h10</t>
  </si>
  <si>
    <t>1201h11</t>
  </si>
  <si>
    <t>1201h12</t>
  </si>
  <si>
    <t>1201h13</t>
  </si>
  <si>
    <t>1201h14</t>
  </si>
  <si>
    <t>1201h15</t>
  </si>
  <si>
    <t>1201h16</t>
  </si>
  <si>
    <t>1201h17</t>
  </si>
  <si>
    <t>1201h18</t>
  </si>
  <si>
    <t>1201h19</t>
  </si>
  <si>
    <t>1201h20</t>
  </si>
  <si>
    <t>1201h21</t>
  </si>
  <si>
    <t>1201h22</t>
  </si>
  <si>
    <t>1201h23</t>
  </si>
  <si>
    <t>1201h24</t>
  </si>
  <si>
    <t>1207h01</t>
  </si>
  <si>
    <t>1207h02</t>
  </si>
  <si>
    <t>1207h03</t>
  </si>
  <si>
    <t>1207h04</t>
  </si>
  <si>
    <t>1207h05</t>
  </si>
  <si>
    <t>1207h06</t>
  </si>
  <si>
    <t>1207h07</t>
  </si>
  <si>
    <t>1207h08</t>
  </si>
  <si>
    <t>1207h09</t>
  </si>
  <si>
    <t>1207h10</t>
  </si>
  <si>
    <t>1207h11</t>
  </si>
  <si>
    <t>1207h12</t>
  </si>
  <si>
    <t>1207h13</t>
  </si>
  <si>
    <t>1207h14</t>
  </si>
  <si>
    <t>1207h15</t>
  </si>
  <si>
    <t>1207h16</t>
  </si>
  <si>
    <t>1207h17</t>
  </si>
  <si>
    <t>1207h18</t>
  </si>
  <si>
    <t>1207h19</t>
  </si>
  <si>
    <t>1207h20</t>
  </si>
  <si>
    <t>1207h21</t>
  </si>
  <si>
    <t>1207h22</t>
  </si>
  <si>
    <t>1207h23</t>
  </si>
  <si>
    <t>1207h24</t>
  </si>
  <si>
    <t>S04f0430h01</t>
  </si>
  <si>
    <t>S04f0430h02</t>
  </si>
  <si>
    <t>S04f0430h03</t>
  </si>
  <si>
    <t>S04f0430h04</t>
  </si>
  <si>
    <t>S04f0430h05</t>
  </si>
  <si>
    <t>S04f0430h06</t>
  </si>
  <si>
    <t>S04f0430h07</t>
  </si>
  <si>
    <t>S04f0430h08</t>
  </si>
  <si>
    <t>S04f0430h09</t>
  </si>
  <si>
    <t>S04f0430h10</t>
  </si>
  <si>
    <t>S04f0430h11</t>
  </si>
  <si>
    <t>S04f0430h12</t>
  </si>
  <si>
    <t>S04f0430h13</t>
  </si>
  <si>
    <t>S04f0430h14</t>
  </si>
  <si>
    <t>S04f0430h15</t>
  </si>
  <si>
    <t>S04f0430h16</t>
  </si>
  <si>
    <t>S04f0430h17</t>
  </si>
  <si>
    <t>S04f0430h18</t>
  </si>
  <si>
    <t>S04f0430h19</t>
  </si>
  <si>
    <t>S04f0430h20</t>
  </si>
  <si>
    <t>S04f0430h21</t>
  </si>
  <si>
    <t>S04f0430h22</t>
  </si>
  <si>
    <t>S04f0430h23</t>
  </si>
  <si>
    <t>S04f0430h24</t>
  </si>
  <si>
    <t>S05g0530h01</t>
  </si>
  <si>
    <t>S05g0530h02</t>
  </si>
  <si>
    <t>S05g0530h03</t>
  </si>
  <si>
    <t>S05g0530h04</t>
  </si>
  <si>
    <t>S05g0530h05</t>
  </si>
  <si>
    <t>S05g0530h06</t>
  </si>
  <si>
    <t>S05g0530h07</t>
  </si>
  <si>
    <t>S05g0530h08</t>
  </si>
  <si>
    <t>S05g0530h09</t>
  </si>
  <si>
    <t>S05g0530h10</t>
  </si>
  <si>
    <t>S05g0530h11</t>
  </si>
  <si>
    <t>S05g0530h12</t>
  </si>
  <si>
    <t>S05g0530h13</t>
  </si>
  <si>
    <t>S05g0530h14</t>
  </si>
  <si>
    <t>S05g0530h15</t>
  </si>
  <si>
    <t>S05g0530h16</t>
  </si>
  <si>
    <t>S05g0530h17</t>
  </si>
  <si>
    <t>S05g0530h18</t>
  </si>
  <si>
    <t>S05g0530h19</t>
  </si>
  <si>
    <t>S05g0530h20</t>
  </si>
  <si>
    <t>S05g0530h21</t>
  </si>
  <si>
    <t>S05g0530h22</t>
  </si>
  <si>
    <t>S05g0530h23</t>
  </si>
  <si>
    <t>S05g0530h24</t>
  </si>
  <si>
    <t>S05h0531h01</t>
  </si>
  <si>
    <t>S05h0531h02</t>
  </si>
  <si>
    <t>S05h0531h03</t>
  </si>
  <si>
    <t>S05h0531h04</t>
  </si>
  <si>
    <t>S05h0531h05</t>
  </si>
  <si>
    <t>S05h0531h06</t>
  </si>
  <si>
    <t>S05h0531h07</t>
  </si>
  <si>
    <t>S05h0531h08</t>
  </si>
  <si>
    <t>S05h0531h09</t>
  </si>
  <si>
    <t>S05h0531h10</t>
  </si>
  <si>
    <t>S05h0531h11</t>
  </si>
  <si>
    <t>S05h0531h12</t>
  </si>
  <si>
    <t>S05h0531h13</t>
  </si>
  <si>
    <t>S05h0531h14</t>
  </si>
  <si>
    <t>S05h0531h15</t>
  </si>
  <si>
    <t>S05h0531h16</t>
  </si>
  <si>
    <t>S05h0531h17</t>
  </si>
  <si>
    <t>S05h0531h18</t>
  </si>
  <si>
    <t>S05h0531h19</t>
  </si>
  <si>
    <t>S05h0531h20</t>
  </si>
  <si>
    <t>S05h0531h21</t>
  </si>
  <si>
    <t>S05h0531h22</t>
  </si>
  <si>
    <t>S05h0531h23</t>
  </si>
  <si>
    <t>S05h0531h24</t>
  </si>
  <si>
    <t>S09i0911h01</t>
  </si>
  <si>
    <t>S09i0911h02</t>
  </si>
  <si>
    <t>S09i0911h03</t>
  </si>
  <si>
    <t>S09i0911h04</t>
  </si>
  <si>
    <t>S09i0911h05</t>
  </si>
  <si>
    <t>S09i0911h06</t>
  </si>
  <si>
    <t>S09i0911h07</t>
  </si>
  <si>
    <t>S09i0911h08</t>
  </si>
  <si>
    <t>S09i0911h09</t>
  </si>
  <si>
    <t>S09i0911h10</t>
  </si>
  <si>
    <t>S09i0911h11</t>
  </si>
  <si>
    <t>S09i0911h12</t>
  </si>
  <si>
    <t>S09i0911h13</t>
  </si>
  <si>
    <t>S09i0911h14</t>
  </si>
  <si>
    <t>S09i0911h15</t>
  </si>
  <si>
    <t>S09i0911h16</t>
  </si>
  <si>
    <t>S09i0911h17</t>
  </si>
  <si>
    <t>S09i0911h18</t>
  </si>
  <si>
    <t>S09i0911h19</t>
  </si>
  <si>
    <t>S09i0911h20</t>
  </si>
  <si>
    <t>S09i0911h21</t>
  </si>
  <si>
    <t>S09i0911h22</t>
  </si>
  <si>
    <t>S09i0911h23</t>
  </si>
  <si>
    <t>S09i0911h24</t>
  </si>
  <si>
    <t>S10j1017h01</t>
  </si>
  <si>
    <t>S10j1017h02</t>
  </si>
  <si>
    <t>S10j1017h03</t>
  </si>
  <si>
    <t>S10j1017h04</t>
  </si>
  <si>
    <t>S10j1017h05</t>
  </si>
  <si>
    <t>S10j1017h06</t>
  </si>
  <si>
    <t>S10j1017h07</t>
  </si>
  <si>
    <t>S10j1017h08</t>
  </si>
  <si>
    <t>S10j1017h09</t>
  </si>
  <si>
    <t>S10j1017h10</t>
  </si>
  <si>
    <t>S10j1017h11</t>
  </si>
  <si>
    <t>S10j1017h12</t>
  </si>
  <si>
    <t>S10j1017h13</t>
  </si>
  <si>
    <t>S10j1017h14</t>
  </si>
  <si>
    <t>S10j1017h15</t>
  </si>
  <si>
    <t>S10j1017h16</t>
  </si>
  <si>
    <t>S10j1017h17</t>
  </si>
  <si>
    <t>S10j1017h18</t>
  </si>
  <si>
    <t>S10j1017h19</t>
  </si>
  <si>
    <t>S10j1017h20</t>
  </si>
  <si>
    <t>S10j1017h21</t>
  </si>
  <si>
    <t>S10j1017h22</t>
  </si>
  <si>
    <t>S10j1017h23</t>
  </si>
  <si>
    <t>S10j1017h24</t>
  </si>
  <si>
    <t>S10k1018h01</t>
  </si>
  <si>
    <t>S10k1018h02</t>
  </si>
  <si>
    <t>S10k1018h03</t>
  </si>
  <si>
    <t>S10k1018h04</t>
  </si>
  <si>
    <t>S10k1018h05</t>
  </si>
  <si>
    <t>S10k1018h06</t>
  </si>
  <si>
    <t>S10k1018h07</t>
  </si>
  <si>
    <t>S10k1018h08</t>
  </si>
  <si>
    <t>S10k1018h09</t>
  </si>
  <si>
    <t>S10k1018h10</t>
  </si>
  <si>
    <t>S10k1018h11</t>
  </si>
  <si>
    <t>S10k1018h12</t>
  </si>
  <si>
    <t>S10k1018h13</t>
  </si>
  <si>
    <t>S10k1018h14</t>
  </si>
  <si>
    <t>S10k1018h15</t>
  </si>
  <si>
    <t>S10k1018h16</t>
  </si>
  <si>
    <t>S10k1018h17</t>
  </si>
  <si>
    <t>S10k1018h18</t>
  </si>
  <si>
    <t>S10k1018h19</t>
  </si>
  <si>
    <t>S10k1018h20</t>
  </si>
  <si>
    <t>S10k1018h21</t>
  </si>
  <si>
    <t>S10k1018h22</t>
  </si>
  <si>
    <t>S10k1018h23</t>
  </si>
  <si>
    <t>S10k1018h24</t>
  </si>
  <si>
    <t>S10l1022h01</t>
  </si>
  <si>
    <t>S10l1022h02</t>
  </si>
  <si>
    <t>S10l1022h03</t>
  </si>
  <si>
    <t>S10l1022h04</t>
  </si>
  <si>
    <t>S10l1022h05</t>
  </si>
  <si>
    <t>S10l1022h06</t>
  </si>
  <si>
    <t>S10l1022h07</t>
  </si>
  <si>
    <t>S10l1022h08</t>
  </si>
  <si>
    <t>S10l1022h09</t>
  </si>
  <si>
    <t>S10l1022h10</t>
  </si>
  <si>
    <t>S10l1022h11</t>
  </si>
  <si>
    <t>S10l1022h12</t>
  </si>
  <si>
    <t>S10l1022h13</t>
  </si>
  <si>
    <t>S10l1022h14</t>
  </si>
  <si>
    <t>S10l1022h15</t>
  </si>
  <si>
    <t>S10l1022h16</t>
  </si>
  <si>
    <t>S10l1022h17</t>
  </si>
  <si>
    <t>S10l1022h18</t>
  </si>
  <si>
    <t>S10l1022h19</t>
  </si>
  <si>
    <t>S10l1022h20</t>
  </si>
  <si>
    <t>S10l1022h21</t>
  </si>
  <si>
    <t>S10l1022h22</t>
  </si>
  <si>
    <t>S10l1022h23</t>
  </si>
  <si>
    <t>S10l1022h24</t>
  </si>
  <si>
    <t>S11m1123h01</t>
  </si>
  <si>
    <t>S11m1123h02</t>
  </si>
  <si>
    <t>S11m1123h03</t>
  </si>
  <si>
    <t>S11m1123h04</t>
  </si>
  <si>
    <t>S11m1123h05</t>
  </si>
  <si>
    <t>S11m1123h06</t>
  </si>
  <si>
    <t>S11m1123h07</t>
  </si>
  <si>
    <t>S11m1123h08</t>
  </si>
  <si>
    <t>S11m1123h09</t>
  </si>
  <si>
    <t>S11m1123h10</t>
  </si>
  <si>
    <t>S11m1123h11</t>
  </si>
  <si>
    <t>S11m1123h12</t>
  </si>
  <si>
    <t>S11m1123h13</t>
  </si>
  <si>
    <t>S11m1123h14</t>
  </si>
  <si>
    <t>S11m1123h15</t>
  </si>
  <si>
    <t>S11m1123h16</t>
  </si>
  <si>
    <t>S11m1123h17</t>
  </si>
  <si>
    <t>S11m1123h18</t>
  </si>
  <si>
    <t>S11m1123h19</t>
  </si>
  <si>
    <t>S11m1123h20</t>
  </si>
  <si>
    <t>S11m1123h21</t>
  </si>
  <si>
    <t>S11m1123h22</t>
  </si>
  <si>
    <t>S11m1123h23</t>
  </si>
  <si>
    <t>S11m1123h24</t>
  </si>
  <si>
    <t>S12n1201h01</t>
  </si>
  <si>
    <t>S12n1201h02</t>
  </si>
  <si>
    <t>S12n1201h03</t>
  </si>
  <si>
    <t>S12n1201h04</t>
  </si>
  <si>
    <t>S12n1201h05</t>
  </si>
  <si>
    <t>S12n1201h06</t>
  </si>
  <si>
    <t>S12n1201h07</t>
  </si>
  <si>
    <t>S12n1201h08</t>
  </si>
  <si>
    <t>S12n1201h09</t>
  </si>
  <si>
    <t>S12n1201h10</t>
  </si>
  <si>
    <t>S12n1201h11</t>
  </si>
  <si>
    <t>S12n1201h12</t>
  </si>
  <si>
    <t>S12n1201h13</t>
  </si>
  <si>
    <t>S12n1201h14</t>
  </si>
  <si>
    <t>S12n1201h15</t>
  </si>
  <si>
    <t>S12n1201h16</t>
  </si>
  <si>
    <t>S12n1201h17</t>
  </si>
  <si>
    <t>S12n1201h18</t>
  </si>
  <si>
    <t>S12n1201h19</t>
  </si>
  <si>
    <t>S12n1201h20</t>
  </si>
  <si>
    <t>S12n1201h21</t>
  </si>
  <si>
    <t>S12n1201h22</t>
  </si>
  <si>
    <t>S12n1201h23</t>
  </si>
  <si>
    <t>S12n1201h24</t>
  </si>
  <si>
    <t>S12o1207h01</t>
  </si>
  <si>
    <t>S12o1207h02</t>
  </si>
  <si>
    <t>S12o1207h03</t>
  </si>
  <si>
    <t>S12o1207h04</t>
  </si>
  <si>
    <t>S12o1207h05</t>
  </si>
  <si>
    <t>S12o1207h06</t>
  </si>
  <si>
    <t>S12o1207h07</t>
  </si>
  <si>
    <t>S12o1207h08</t>
  </si>
  <si>
    <t>S12o1207h09</t>
  </si>
  <si>
    <t>S12o1207h10</t>
  </si>
  <si>
    <t>S12o1207h11</t>
  </si>
  <si>
    <t>S12o1207h12</t>
  </si>
  <si>
    <t>S12o1207h13</t>
  </si>
  <si>
    <t>S12o1207h14</t>
  </si>
  <si>
    <t>S12o1207h15</t>
  </si>
  <si>
    <t>S12o1207h16</t>
  </si>
  <si>
    <t>S12o1207h17</t>
  </si>
  <si>
    <t>S12o1207h18</t>
  </si>
  <si>
    <t>S12o1207h19</t>
  </si>
  <si>
    <t>S12o1207h20</t>
  </si>
  <si>
    <t>S12o1207h21</t>
  </si>
  <si>
    <t>S12o1207h22</t>
  </si>
  <si>
    <t>S12o1207h23</t>
  </si>
  <si>
    <t>S12o1207h24</t>
  </si>
  <si>
    <t>S12p1221h01</t>
  </si>
  <si>
    <t>S12p1221h02</t>
  </si>
  <si>
    <t>S12p1221h03</t>
  </si>
  <si>
    <t>S12p1221h04</t>
  </si>
  <si>
    <t>S12p1221h05</t>
  </si>
  <si>
    <t>S12p1221h06</t>
  </si>
  <si>
    <t>S12p1221h07</t>
  </si>
  <si>
    <t>S12p1221h08</t>
  </si>
  <si>
    <t>S12p1221h09</t>
  </si>
  <si>
    <t>S12p1221h10</t>
  </si>
  <si>
    <t>S12p1221h11</t>
  </si>
  <si>
    <t>S12p1221h12</t>
  </si>
  <si>
    <t>S12p1221h13</t>
  </si>
  <si>
    <t>S12p1221h14</t>
  </si>
  <si>
    <t>S12p1221h15</t>
  </si>
  <si>
    <t>S12p1221h16</t>
  </si>
  <si>
    <t>S12p1221h17</t>
  </si>
  <si>
    <t>S12p1221h18</t>
  </si>
  <si>
    <t>S12p1221h19</t>
  </si>
  <si>
    <t>S12p1221h20</t>
  </si>
  <si>
    <t>S12p1221h21</t>
  </si>
  <si>
    <t>S12p1221h22</t>
  </si>
  <si>
    <t>S12p1221h23</t>
  </si>
  <si>
    <t>S12p1221h24</t>
  </si>
  <si>
    <t>S02b0228h12,S02b0228h15,S03c0301h07,S03c0301h09,S04aH03,S04d0414h08,S04f0430h16,S05g0530h16,S07aH04,S08aH03,S09aH04,S09i0911h18,S10j1017h07,S10k1018h11,S10k1018h12,S11aH07,S12aH02,S12n1201h15,S01aH02,S03c0301h10,S03c0301h13,S03c0301h17,S03c0301h18,S04aH04,S04e0418h14,S05g0530h18,S10k1018h18,S11m1123h07,S11m1123h12,S12o1207h13,S12o1207h15,S02aH02,S03c0301h08,S03c0301h14,S04e0418h07,S04e0418h11,S04e0418h15,S04f0430h08,S04f0430h15,S05h0531h13,S06aH06,S09i0911h16,S10k1018h08,S10l1022h17,S12o1207h16,S01aH04,S01aH07,S02aH07,S02b0228h08,S04d0414h12,S04d0414h16,S04d0414h17,S04e0418h09,S04f0430h07,S07aH02,S07aH06,S09i0911h14,S10j1017h18,S12n1201h10,S12o1207h12,S03aH03,S04f0430h09,S04f0430h13,S05h0531h09,S09aH05,S09i0911h12,S10k1018h07,S10l1022h12,S11m1123h11,S11m1123h17,S12aH07,S12p1221h08,S02aH06,S03aH05,S04aH07,S04d0414h10,S04e0418h13,S04e0418h18,S05aH05,S05g0530h08,S05g0530h11,S06aH04,S08aH04,S11aH02,S12n1201h12,S12n1201h18,S12o1207h17,S12p1221h16,S01aH06,S02aH03,S04d0414h07,S04d0414h13,S05aH07,S05g0530h15,S05h0531h12,S07aH03,S08aH06,S09i0911h10,S10aH07,S10j1017h13,S10k1018h14,S10k1018h15,S11m1123h13,S11m1123h14,S11m1123h15,S12n1201h11,S12p1221h13,S01aH05,S03aH06,S03aH07,S04d0414h11,S05g0530h12,S05h0531h14,S06aH05,S10aH02,S10aH06,S10j1017h16,S11aH06,S11m1123h18,S12aH04,S12aH05,S12n1201h17,S12o1207h10,S12o1207h14,S02aH04,S02aH05,S03c0301h16,S04e0418h10,S05g0530h14,S06aH07,S07aH07,S09i0911h08,S09i0911h15,S10aH03,S10aH05,S10j1017h10,S10j1017h15,S10l1022h08,S10l1022h15,S10l1022h18,S12p1221h07,S12p1221h11,S02b0228h17,S04aH02,S04d0414h09,S04d0414h15,S04e0418h12,S04f0430h11,S04f0430h12,S05g0530h09,S05g0530h10,S05h0531h08,S05h0531h11,S05h0531h16,S08aH07,S09aH02,S09aH03,S09i0911h07,S09i0911h11,S10j1017h09,S10j1017h17,S10l1022h07,S10l1022h10,S10l1022h16,S11aH03,S11aH04,S11m1123h10,S12n1201h16,S12o1207h11,S02b0228h07,S02b0228h09,S03aH04,S03c0301h11,S03c0301h15,S04d0414h14,S05g0530h07,S08aH05,S09aH07,S09i0911h09,S09i0911h13,S10k1018h13,S10l1022h09,S10l1022h11,S10l1022h14,S11aH05,S11m1123h16,S12aH03,S12n1201h13,S12o1207h07,S12p1221h15,S02b0228h14,S04aH06,S04f0430h10,S04f0430h14,S05aH04,S05h0531h07,S05h0531h10,S05h0531h15,S06aH02,S06aH03,S10aH04,S10k1018h09,S10k1018h17,S12aH06,S12o1207h18,S12p1221h14,S01aH03,S02b0228h13,S02b0228h18,S04d0414h18,S04e0418h17,S05aH02,S05aH03,S05aH06,S12n1201h08,S12n1201h14,S02b0228h16,S03c0301h12,S04aH05,S04f0430h17,S05g0530h13,S05h0531h17,S10j1017h11,S11m1123h09,S12p1221h17,S02b0228h10,S02b0228h11,S03aH02,S04e0418h08,S04e0418h16,S05g0530h17,S07aH05,S10j1017h08,S10j1017h12,S10k1018h10,S10k1018h16,S10l1022h13,S11m1123h08,S12p1221h10,S12p1221h12,S12p1221h18,S04f0430h18,S05h0531h18,S08aH02,S09aH06,S09i0911h17,S10j1017h14,S12n1201h07,S12n1201h09,S12o1207h08,S12o1207h09,S12p1221h09</t>
  </si>
  <si>
    <t>S02aH01,S02b0228h04,S03c0301h05,S03c0301h06,S03c0301h20,S04e0418h19,S04f0430h02,S05g0530h01,S05g0530h03,S09i0911h23,S10j1017h03,S10l1022h01,S10l1022h22,S10l1022h23,S11m1123h04,S01aH08,S02aH08,S03c0301h21,S04d0414h03,S04f0430h03,S05h0531h20,S10j1017h23,S10k1018h22,S10k1018h23,S10l1022h05,S12n1201h04,S12p1221h20,S03aH01,S04d0414h04,S04e0418h22,S04e0418h23,S04f0430h22,S09i0911h19,S10j1017h06,S10k1018h01,S10k1018h02,S12n1201h01,S12n1201h02,S12n1201h05,S12o1207h06,S12p1221h01,S03c0301h02,S04d0414h06,S04f0430h23,S05h0531h01,S05h0531h24,S08aH01,S10aH01,S10j1017h19,S10k1018h20,S02b0228h06,S02b0228h23,S04d0414h20,S04f0430h21,S05g0530h04,S10l1022h06,S11aH08,S12n1201h06,S12n1201h19,S12n1201h22,S12p1221h22,S03c0301h23,S04d0414h24,S04e0418h01,S04f0430h20,S04f0430h24,S07aH08,S08aH08,S10j1017h21,S10k1018h21,S10k1018h24,S10l1022h04,S12n1201h03,S12n1201h23,S01aH01,S04aH01,S04e0418h03,S05g0530h02,S05g0530h21,S05h0531h04,S09aH08,S11aH01,S11m1123h03,S11m1123h06,S11m1123h23,S12o1207h05,S12p1221h02,S12p1221h05,S02b0228h01,S03c0301h24,S04d0414h01,S04e0418h04,S04e0418h21,S04f0430h05,S04f0430h06,S04f0430h19,S05g0530h06,S05g0530h20,S05h0531h22,S05h0531h23,S09i0911h02,S11m1123h02,S12o1207h01,S12o1207h03,S12o1207h21,S03aH08,S05g0530h05,S05h0531h03,S05h0531h05,S06aH08,S09i0911h22,S10j1017h02,S10j1017h05,S10j1017h20,S10k1018h06,S10l1022h20,S11m1123h19,S12aH01,S03c0301h04,S04d0414h02,S04d0414h23,S04e0418h02,S04e0418h24,S04f0430h04,S05h0531h06,S09i0911h21,S10j1017h04,S12n1201h24,S12o1207h23,S12p1221h03,S12p1221h04,S02b0228h24,S04f0430h01,S05aH01,S05g0530h23,S05h0531h19,S09i0911h06,S10j1017h01,S10k1018h04,S10l1022h03,S12o1207h20,S12p1221h21,S12p1221h23,S02b0228h05,S02b0228h21,S04d0414h19,S04d0414h21,S04e0418h20,S05h0531h21,S07aH01,S09i0911h03,S09i0911h24,S11m1123h05,S11m1123h21,S11m1123h22,S12o1207h04,S12o1207h19,S12o1207h22,S12p1221h06,S02b0228h03,S02b0228h20,S03c0301h03,S05h0531h02,S09aH01,S10j1017h24,S10l1022h19,S11m1123h20,S11m1123h24,S12n1201h21,S12p1221h24,S03c0301h01,S04e0418h05,S05aH08,S09i0911h20,S10aH08,S10l1022h21,S12o1207h24,S02b0228h02,S02b0228h22,S03c0301h22,S04d0414h05,S04e0418h06,S09i0911h01,S09i0911h04,S10j1017h22,S10k1018h03,S11m1123h01,S12o1207h02,S12p1221h19,S02b0228h19,S03c0301h19,S04aH08,S04d0414h22,S05g0530h19,S05g0530h22,S05g0530h24,S06aH01,S09i0911h05,S10k1018h05,S10k1018h19,S10l1022h02,S10l1022h24,S12aH08,S12n1201h20</t>
  </si>
  <si>
    <t>0122h01</t>
  </si>
  <si>
    <t>0122h02</t>
  </si>
  <si>
    <t>0122h03</t>
  </si>
  <si>
    <t>0122h04</t>
  </si>
  <si>
    <t>0122h05</t>
  </si>
  <si>
    <t>0122h06</t>
  </si>
  <si>
    <t>0122h07</t>
  </si>
  <si>
    <t>0122h08</t>
  </si>
  <si>
    <t>0122h09</t>
  </si>
  <si>
    <t>0122h10</t>
  </si>
  <si>
    <t>0122h11</t>
  </si>
  <si>
    <t>0122h12</t>
  </si>
  <si>
    <t>0122h13</t>
  </si>
  <si>
    <t>0122h14</t>
  </si>
  <si>
    <t>0122h15</t>
  </si>
  <si>
    <t>0122h16</t>
  </si>
  <si>
    <t>0122h17</t>
  </si>
  <si>
    <t>0122h18</t>
  </si>
  <si>
    <t>0122h19</t>
  </si>
  <si>
    <t>0122h20</t>
  </si>
  <si>
    <t>0122h21</t>
  </si>
  <si>
    <t>0122h22</t>
  </si>
  <si>
    <t>0122h23</t>
  </si>
  <si>
    <t>0122h24</t>
  </si>
  <si>
    <t>0123h01</t>
  </si>
  <si>
    <t>0123h02</t>
  </si>
  <si>
    <t>0123h03</t>
  </si>
  <si>
    <t>0123h04</t>
  </si>
  <si>
    <t>0123h05</t>
  </si>
  <si>
    <t>0123h06</t>
  </si>
  <si>
    <t>0123h07</t>
  </si>
  <si>
    <t>0123h08</t>
  </si>
  <si>
    <t>0123h09</t>
  </si>
  <si>
    <t>0123h10</t>
  </si>
  <si>
    <t>0123h11</t>
  </si>
  <si>
    <t>0123h12</t>
  </si>
  <si>
    <t>0123h13</t>
  </si>
  <si>
    <t>0123h14</t>
  </si>
  <si>
    <t>0123h15</t>
  </si>
  <si>
    <t>0123h16</t>
  </si>
  <si>
    <t>0123h17</t>
  </si>
  <si>
    <t>0123h18</t>
  </si>
  <si>
    <t>0123h19</t>
  </si>
  <si>
    <t>0123h20</t>
  </si>
  <si>
    <t>0123h21</t>
  </si>
  <si>
    <t>0123h22</t>
  </si>
  <si>
    <t>0123h23</t>
  </si>
  <si>
    <t>0123h24</t>
  </si>
  <si>
    <t>0124h01</t>
  </si>
  <si>
    <t>0124h02</t>
  </si>
  <si>
    <t>0124h03</t>
  </si>
  <si>
    <t>0124h04</t>
  </si>
  <si>
    <t>0124h05</t>
  </si>
  <si>
    <t>0124h06</t>
  </si>
  <si>
    <t>0124h07</t>
  </si>
  <si>
    <t>0124h08</t>
  </si>
  <si>
    <t>0124h09</t>
  </si>
  <si>
    <t>0124h10</t>
  </si>
  <si>
    <t>0124h11</t>
  </si>
  <si>
    <t>0124h12</t>
  </si>
  <si>
    <t>0124h13</t>
  </si>
  <si>
    <t>0124h14</t>
  </si>
  <si>
    <t>0124h15</t>
  </si>
  <si>
    <t>0124h16</t>
  </si>
  <si>
    <t>0124h17</t>
  </si>
  <si>
    <t>0124h18</t>
  </si>
  <si>
    <t>0124h19</t>
  </si>
  <si>
    <t>0124h20</t>
  </si>
  <si>
    <t>0124h21</t>
  </si>
  <si>
    <t>0124h22</t>
  </si>
  <si>
    <t>0124h23</t>
  </si>
  <si>
    <t>0124h24</t>
  </si>
  <si>
    <t>0125h01</t>
  </si>
  <si>
    <t>0125h02</t>
  </si>
  <si>
    <t>0125h03</t>
  </si>
  <si>
    <t>0125h04</t>
  </si>
  <si>
    <t>0125h05</t>
  </si>
  <si>
    <t>0125h06</t>
  </si>
  <si>
    <t>0125h07</t>
  </si>
  <si>
    <t>0125h08</t>
  </si>
  <si>
    <t>0125h09</t>
  </si>
  <si>
    <t>0125h10</t>
  </si>
  <si>
    <t>0125h11</t>
  </si>
  <si>
    <t>0125h12</t>
  </si>
  <si>
    <t>0125h13</t>
  </si>
  <si>
    <t>0125h14</t>
  </si>
  <si>
    <t>0125h15</t>
  </si>
  <si>
    <t>0125h16</t>
  </si>
  <si>
    <t>0125h17</t>
  </si>
  <si>
    <t>0125h18</t>
  </si>
  <si>
    <t>0125h19</t>
  </si>
  <si>
    <t>0125h20</t>
  </si>
  <si>
    <t>0125h21</t>
  </si>
  <si>
    <t>0125h22</t>
  </si>
  <si>
    <t>0125h23</t>
  </si>
  <si>
    <t>0125h24</t>
  </si>
  <si>
    <t>0126h01</t>
  </si>
  <si>
    <t>0126h02</t>
  </si>
  <si>
    <t>0126h03</t>
  </si>
  <si>
    <t>0126h04</t>
  </si>
  <si>
    <t>0126h05</t>
  </si>
  <si>
    <t>0126h06</t>
  </si>
  <si>
    <t>0126h07</t>
  </si>
  <si>
    <t>0126h08</t>
  </si>
  <si>
    <t>0126h09</t>
  </si>
  <si>
    <t>0126h10</t>
  </si>
  <si>
    <t>0126h11</t>
  </si>
  <si>
    <t>0126h12</t>
  </si>
  <si>
    <t>0126h13</t>
  </si>
  <si>
    <t>0126h14</t>
  </si>
  <si>
    <t>0126h15</t>
  </si>
  <si>
    <t>0126h16</t>
  </si>
  <si>
    <t>0126h17</t>
  </si>
  <si>
    <t>0126h18</t>
  </si>
  <si>
    <t>0126h19</t>
  </si>
  <si>
    <t>0126h20</t>
  </si>
  <si>
    <t>0126h21</t>
  </si>
  <si>
    <t>0126h22</t>
  </si>
  <si>
    <t>0126h23</t>
  </si>
  <si>
    <t>0126h24</t>
  </si>
  <si>
    <t>0127h01</t>
  </si>
  <si>
    <t>0127h02</t>
  </si>
  <si>
    <t>0127h03</t>
  </si>
  <si>
    <t>0127h04</t>
  </si>
  <si>
    <t>0127h05</t>
  </si>
  <si>
    <t>0127h06</t>
  </si>
  <si>
    <t>0127h07</t>
  </si>
  <si>
    <t>0127h08</t>
  </si>
  <si>
    <t>0127h09</t>
  </si>
  <si>
    <t>0127h10</t>
  </si>
  <si>
    <t>0127h11</t>
  </si>
  <si>
    <t>0127h12</t>
  </si>
  <si>
    <t>0127h13</t>
  </si>
  <si>
    <t>0127h14</t>
  </si>
  <si>
    <t>0127h15</t>
  </si>
  <si>
    <t>0127h16</t>
  </si>
  <si>
    <t>0127h17</t>
  </si>
  <si>
    <t>0127h18</t>
  </si>
  <si>
    <t>0127h19</t>
  </si>
  <si>
    <t>0127h20</t>
  </si>
  <si>
    <t>0127h21</t>
  </si>
  <si>
    <t>0127h22</t>
  </si>
  <si>
    <t>0127h23</t>
  </si>
  <si>
    <t>0127h24</t>
  </si>
  <si>
    <t>0128h01</t>
  </si>
  <si>
    <t>0128h02</t>
  </si>
  <si>
    <t>0128h03</t>
  </si>
  <si>
    <t>0128h04</t>
  </si>
  <si>
    <t>0128h05</t>
  </si>
  <si>
    <t>0128h06</t>
  </si>
  <si>
    <t>0128h07</t>
  </si>
  <si>
    <t>0128h08</t>
  </si>
  <si>
    <t>0128h09</t>
  </si>
  <si>
    <t>0128h10</t>
  </si>
  <si>
    <t>0128h11</t>
  </si>
  <si>
    <t>0128h12</t>
  </si>
  <si>
    <t>0128h13</t>
  </si>
  <si>
    <t>0128h14</t>
  </si>
  <si>
    <t>0128h15</t>
  </si>
  <si>
    <t>0128h16</t>
  </si>
  <si>
    <t>0128h17</t>
  </si>
  <si>
    <t>0128h18</t>
  </si>
  <si>
    <t>0128h19</t>
  </si>
  <si>
    <t>0128h20</t>
  </si>
  <si>
    <t>0128h21</t>
  </si>
  <si>
    <t>0128h22</t>
  </si>
  <si>
    <t>0128h23</t>
  </si>
  <si>
    <t>0128h24</t>
  </si>
  <si>
    <t>0806h01</t>
  </si>
  <si>
    <t>0806h02</t>
  </si>
  <si>
    <t>0806h03</t>
  </si>
  <si>
    <t>0806h04</t>
  </si>
  <si>
    <t>0806h05</t>
  </si>
  <si>
    <t>0806h06</t>
  </si>
  <si>
    <t>0806h07</t>
  </si>
  <si>
    <t>0806h08</t>
  </si>
  <si>
    <t>0806h09</t>
  </si>
  <si>
    <t>0806h10</t>
  </si>
  <si>
    <t>0806h11</t>
  </si>
  <si>
    <t>0806h12</t>
  </si>
  <si>
    <t>0806h13</t>
  </si>
  <si>
    <t>0806h14</t>
  </si>
  <si>
    <t>0806h15</t>
  </si>
  <si>
    <t>0806h16</t>
  </si>
  <si>
    <t>0806h17</t>
  </si>
  <si>
    <t>0806h18</t>
  </si>
  <si>
    <t>0806h19</t>
  </si>
  <si>
    <t>0806h20</t>
  </si>
  <si>
    <t>0806h21</t>
  </si>
  <si>
    <t>0806h22</t>
  </si>
  <si>
    <t>0806h23</t>
  </si>
  <si>
    <t>0806h24</t>
  </si>
  <si>
    <t>0807h01</t>
  </si>
  <si>
    <t>0807h02</t>
  </si>
  <si>
    <t>0807h03</t>
  </si>
  <si>
    <t>0807h04</t>
  </si>
  <si>
    <t>0807h05</t>
  </si>
  <si>
    <t>0807h06</t>
  </si>
  <si>
    <t>0807h07</t>
  </si>
  <si>
    <t>0807h08</t>
  </si>
  <si>
    <t>0807h09</t>
  </si>
  <si>
    <t>0807h10</t>
  </si>
  <si>
    <t>0807h11</t>
  </si>
  <si>
    <t>0807h12</t>
  </si>
  <si>
    <t>0807h13</t>
  </si>
  <si>
    <t>0807h14</t>
  </si>
  <si>
    <t>0807h15</t>
  </si>
  <si>
    <t>0807h16</t>
  </si>
  <si>
    <t>0807h17</t>
  </si>
  <si>
    <t>0807h18</t>
  </si>
  <si>
    <t>0807h19</t>
  </si>
  <si>
    <t>0807h20</t>
  </si>
  <si>
    <t>0807h21</t>
  </si>
  <si>
    <t>0807h22</t>
  </si>
  <si>
    <t>0807h23</t>
  </si>
  <si>
    <t>0807h24</t>
  </si>
  <si>
    <t>0808h01</t>
  </si>
  <si>
    <t>0808h02</t>
  </si>
  <si>
    <t>0808h03</t>
  </si>
  <si>
    <t>0808h04</t>
  </si>
  <si>
    <t>0808h05</t>
  </si>
  <si>
    <t>0808h06</t>
  </si>
  <si>
    <t>0808h07</t>
  </si>
  <si>
    <t>0808h08</t>
  </si>
  <si>
    <t>0808h09</t>
  </si>
  <si>
    <t>0808h10</t>
  </si>
  <si>
    <t>0808h11</t>
  </si>
  <si>
    <t>0808h12</t>
  </si>
  <si>
    <t>0808h13</t>
  </si>
  <si>
    <t>0808h14</t>
  </si>
  <si>
    <t>0808h15</t>
  </si>
  <si>
    <t>0808h16</t>
  </si>
  <si>
    <t>0808h17</t>
  </si>
  <si>
    <t>0808h18</t>
  </si>
  <si>
    <t>0808h19</t>
  </si>
  <si>
    <t>0808h20</t>
  </si>
  <si>
    <t>0808h21</t>
  </si>
  <si>
    <t>0808h22</t>
  </si>
  <si>
    <t>0808h23</t>
  </si>
  <si>
    <t>0808h24</t>
  </si>
  <si>
    <t>0809h01</t>
  </si>
  <si>
    <t>0809h02</t>
  </si>
  <si>
    <t>0809h03</t>
  </si>
  <si>
    <t>0809h04</t>
  </si>
  <si>
    <t>0809h05</t>
  </si>
  <si>
    <t>0809h06</t>
  </si>
  <si>
    <t>0809h07</t>
  </si>
  <si>
    <t>0809h08</t>
  </si>
  <si>
    <t>0809h09</t>
  </si>
  <si>
    <t>0809h10</t>
  </si>
  <si>
    <t>0809h11</t>
  </si>
  <si>
    <t>0809h12</t>
  </si>
  <si>
    <t>0809h13</t>
  </si>
  <si>
    <t>0809h14</t>
  </si>
  <si>
    <t>0809h15</t>
  </si>
  <si>
    <t>0809h16</t>
  </si>
  <si>
    <t>0809h17</t>
  </si>
  <si>
    <t>0809h18</t>
  </si>
  <si>
    <t>0809h19</t>
  </si>
  <si>
    <t>0809h20</t>
  </si>
  <si>
    <t>0809h21</t>
  </si>
  <si>
    <t>0809h22</t>
  </si>
  <si>
    <t>0809h23</t>
  </si>
  <si>
    <t>0809h24</t>
  </si>
  <si>
    <t>0810h01</t>
  </si>
  <si>
    <t>0810h02</t>
  </si>
  <si>
    <t>0810h03</t>
  </si>
  <si>
    <t>0810h04</t>
  </si>
  <si>
    <t>0810h05</t>
  </si>
  <si>
    <t>0810h06</t>
  </si>
  <si>
    <t>0810h07</t>
  </si>
  <si>
    <t>0810h08</t>
  </si>
  <si>
    <t>0810h09</t>
  </si>
  <si>
    <t>0810h10</t>
  </si>
  <si>
    <t>0810h11</t>
  </si>
  <si>
    <t>0810h12</t>
  </si>
  <si>
    <t>0810h13</t>
  </si>
  <si>
    <t>0810h14</t>
  </si>
  <si>
    <t>0810h15</t>
  </si>
  <si>
    <t>0810h16</t>
  </si>
  <si>
    <t>0810h17</t>
  </si>
  <si>
    <t>0810h18</t>
  </si>
  <si>
    <t>0810h19</t>
  </si>
  <si>
    <t>0810h20</t>
  </si>
  <si>
    <t>0810h21</t>
  </si>
  <si>
    <t>0810h22</t>
  </si>
  <si>
    <t>0810h23</t>
  </si>
  <si>
    <t>0810h24</t>
  </si>
  <si>
    <t>0811h01</t>
  </si>
  <si>
    <t>0811h02</t>
  </si>
  <si>
    <t>0811h03</t>
  </si>
  <si>
    <t>0811h04</t>
  </si>
  <si>
    <t>0811h05</t>
  </si>
  <si>
    <t>0811h06</t>
  </si>
  <si>
    <t>0811h07</t>
  </si>
  <si>
    <t>0811h08</t>
  </si>
  <si>
    <t>0811h09</t>
  </si>
  <si>
    <t>0811h10</t>
  </si>
  <si>
    <t>0811h11</t>
  </si>
  <si>
    <t>0811h12</t>
  </si>
  <si>
    <t>0811h13</t>
  </si>
  <si>
    <t>0811h14</t>
  </si>
  <si>
    <t>0811h15</t>
  </si>
  <si>
    <t>0811h16</t>
  </si>
  <si>
    <t>0811h17</t>
  </si>
  <si>
    <t>0811h18</t>
  </si>
  <si>
    <t>0811h19</t>
  </si>
  <si>
    <t>0811h20</t>
  </si>
  <si>
    <t>0811h21</t>
  </si>
  <si>
    <t>0811h22</t>
  </si>
  <si>
    <t>0811h23</t>
  </si>
  <si>
    <t>0811h24</t>
  </si>
  <si>
    <t>0812h01</t>
  </si>
  <si>
    <t>0812h02</t>
  </si>
  <si>
    <t>0812h03</t>
  </si>
  <si>
    <t>0812h04</t>
  </si>
  <si>
    <t>0812h05</t>
  </si>
  <si>
    <t>0812h06</t>
  </si>
  <si>
    <t>0812h07</t>
  </si>
  <si>
    <t>0812h08</t>
  </si>
  <si>
    <t>0812h09</t>
  </si>
  <si>
    <t>0812h10</t>
  </si>
  <si>
    <t>0812h11</t>
  </si>
  <si>
    <t>0812h12</t>
  </si>
  <si>
    <t>0812h13</t>
  </si>
  <si>
    <t>0812h14</t>
  </si>
  <si>
    <t>0812h15</t>
  </si>
  <si>
    <t>0812h16</t>
  </si>
  <si>
    <t>0812h17</t>
  </si>
  <si>
    <t>0812h18</t>
  </si>
  <si>
    <t>0812h19</t>
  </si>
  <si>
    <t>0812h20</t>
  </si>
  <si>
    <t>0812h21</t>
  </si>
  <si>
    <t>0812h22</t>
  </si>
  <si>
    <t>0812h23</t>
  </si>
  <si>
    <t>0812h24</t>
  </si>
  <si>
    <t>S01b0122h01</t>
  </si>
  <si>
    <t>S01b0122h02</t>
  </si>
  <si>
    <t>S01b0122h03</t>
  </si>
  <si>
    <t>S01b0122h04</t>
  </si>
  <si>
    <t>S01b0122h05</t>
  </si>
  <si>
    <t>S01b0122h06</t>
  </si>
  <si>
    <t>S01b0122h07</t>
  </si>
  <si>
    <t>S01b0122h08</t>
  </si>
  <si>
    <t>S01b0122h09</t>
  </si>
  <si>
    <t>S01b0122h10</t>
  </si>
  <si>
    <t>S01b0122h11</t>
  </si>
  <si>
    <t>S01b0122h12</t>
  </si>
  <si>
    <t>S01b0122h13</t>
  </si>
  <si>
    <t>S01b0122h14</t>
  </si>
  <si>
    <t>S01b0122h15</t>
  </si>
  <si>
    <t>S01b0122h16</t>
  </si>
  <si>
    <t>S01b0122h17</t>
  </si>
  <si>
    <t>S01b0122h18</t>
  </si>
  <si>
    <t>S01b0122h19</t>
  </si>
  <si>
    <t>S01b0122h20</t>
  </si>
  <si>
    <t>S01b0122h21</t>
  </si>
  <si>
    <t>S01b0122h22</t>
  </si>
  <si>
    <t>S01b0122h23</t>
  </si>
  <si>
    <t>S01b0122h24</t>
  </si>
  <si>
    <t>S01b0123h01</t>
  </si>
  <si>
    <t>S01b0123h02</t>
  </si>
  <si>
    <t>S01b0123h03</t>
  </si>
  <si>
    <t>S01b0123h04</t>
  </si>
  <si>
    <t>S01b0123h05</t>
  </si>
  <si>
    <t>S01b0123h06</t>
  </si>
  <si>
    <t>S01b0123h07</t>
  </si>
  <si>
    <t>S01b0123h08</t>
  </si>
  <si>
    <t>S01b0123h09</t>
  </si>
  <si>
    <t>S01b0123h10</t>
  </si>
  <si>
    <t>S01b0123h11</t>
  </si>
  <si>
    <t>S01b0123h12</t>
  </si>
  <si>
    <t>S01b0123h13</t>
  </si>
  <si>
    <t>S01b0123h14</t>
  </si>
  <si>
    <t>S01b0123h15</t>
  </si>
  <si>
    <t>S01b0123h16</t>
  </si>
  <si>
    <t>S01b0123h17</t>
  </si>
  <si>
    <t>S01b0123h18</t>
  </si>
  <si>
    <t>S01b0123h19</t>
  </si>
  <si>
    <t>S01b0123h20</t>
  </si>
  <si>
    <t>S01b0123h21</t>
  </si>
  <si>
    <t>S01b0123h22</t>
  </si>
  <si>
    <t>S01b0123h23</t>
  </si>
  <si>
    <t>S01b0123h24</t>
  </si>
  <si>
    <t>S01b0124h01</t>
  </si>
  <si>
    <t>S01b0124h02</t>
  </si>
  <si>
    <t>S01b0124h03</t>
  </si>
  <si>
    <t>S01b0124h04</t>
  </si>
  <si>
    <t>S01b0124h05</t>
  </si>
  <si>
    <t>S01b0124h06</t>
  </si>
  <si>
    <t>S01b0124h07</t>
  </si>
  <si>
    <t>S01b0124h08</t>
  </si>
  <si>
    <t>S01b0124h09</t>
  </si>
  <si>
    <t>S01b0124h10</t>
  </si>
  <si>
    <t>S01b0124h11</t>
  </si>
  <si>
    <t>S01b0124h12</t>
  </si>
  <si>
    <t>S01b0124h13</t>
  </si>
  <si>
    <t>S01b0124h14</t>
  </si>
  <si>
    <t>S01b0124h15</t>
  </si>
  <si>
    <t>S01b0124h16</t>
  </si>
  <si>
    <t>S01b0124h17</t>
  </si>
  <si>
    <t>S01b0124h18</t>
  </si>
  <si>
    <t>S01b0124h19</t>
  </si>
  <si>
    <t>S01b0124h20</t>
  </si>
  <si>
    <t>S01b0124h21</t>
  </si>
  <si>
    <t>S01b0124h22</t>
  </si>
  <si>
    <t>S01b0124h23</t>
  </si>
  <si>
    <t>S01b0124h24</t>
  </si>
  <si>
    <t>S01b0125h01</t>
  </si>
  <si>
    <t>S01b0125h02</t>
  </si>
  <si>
    <t>S01b0125h03</t>
  </si>
  <si>
    <t>S01b0125h04</t>
  </si>
  <si>
    <t>S01b0125h05</t>
  </si>
  <si>
    <t>S01b0125h06</t>
  </si>
  <si>
    <t>S01b0125h07</t>
  </si>
  <si>
    <t>S01b0125h08</t>
  </si>
  <si>
    <t>S01b0125h09</t>
  </si>
  <si>
    <t>S01b0125h10</t>
  </si>
  <si>
    <t>S01b0125h11</t>
  </si>
  <si>
    <t>S01b0125h12</t>
  </si>
  <si>
    <t>S01b0125h13</t>
  </si>
  <si>
    <t>S01b0125h14</t>
  </si>
  <si>
    <t>S01b0125h15</t>
  </si>
  <si>
    <t>S01b0125h16</t>
  </si>
  <si>
    <t>S01b0125h17</t>
  </si>
  <si>
    <t>S01b0125h18</t>
  </si>
  <si>
    <t>S01b0125h19</t>
  </si>
  <si>
    <t>S01b0125h20</t>
  </si>
  <si>
    <t>S01b0125h21</t>
  </si>
  <si>
    <t>S01b0125h22</t>
  </si>
  <si>
    <t>S01b0125h23</t>
  </si>
  <si>
    <t>S01b0125h24</t>
  </si>
  <si>
    <t>S01b0126h01</t>
  </si>
  <si>
    <t>S01b0126h02</t>
  </si>
  <si>
    <t>S01b0126h03</t>
  </si>
  <si>
    <t>S01b0126h04</t>
  </si>
  <si>
    <t>S01b0126h05</t>
  </si>
  <si>
    <t>S01b0126h06</t>
  </si>
  <si>
    <t>S01b0126h07</t>
  </si>
  <si>
    <t>S01b0126h08</t>
  </si>
  <si>
    <t>S01b0126h09</t>
  </si>
  <si>
    <t>S01b0126h10</t>
  </si>
  <si>
    <t>S01b0126h11</t>
  </si>
  <si>
    <t>S01b0126h12</t>
  </si>
  <si>
    <t>S01b0126h13</t>
  </si>
  <si>
    <t>S01b0126h14</t>
  </si>
  <si>
    <t>S01b0126h15</t>
  </si>
  <si>
    <t>S01b0126h16</t>
  </si>
  <si>
    <t>S01b0126h17</t>
  </si>
  <si>
    <t>S01b0126h18</t>
  </si>
  <si>
    <t>S01b0126h19</t>
  </si>
  <si>
    <t>S01b0126h20</t>
  </si>
  <si>
    <t>S01b0126h21</t>
  </si>
  <si>
    <t>S01b0126h22</t>
  </si>
  <si>
    <t>S01b0126h23</t>
  </si>
  <si>
    <t>S01b0126h24</t>
  </si>
  <si>
    <t>S01b0127h01</t>
  </si>
  <si>
    <t>S01b0127h02</t>
  </si>
  <si>
    <t>S01b0127h03</t>
  </si>
  <si>
    <t>S01b0127h04</t>
  </si>
  <si>
    <t>S01b0127h05</t>
  </si>
  <si>
    <t>S01b0127h06</t>
  </si>
  <si>
    <t>S01b0127h07</t>
  </si>
  <si>
    <t>S01b0127h08</t>
  </si>
  <si>
    <t>S01b0127h09</t>
  </si>
  <si>
    <t>S01b0127h10</t>
  </si>
  <si>
    <t>S01b0127h11</t>
  </si>
  <si>
    <t>S01b0127h12</t>
  </si>
  <si>
    <t>S01b0127h13</t>
  </si>
  <si>
    <t>S01b0127h14</t>
  </si>
  <si>
    <t>S01b0127h15</t>
  </si>
  <si>
    <t>S01b0127h16</t>
  </si>
  <si>
    <t>S01b0127h17</t>
  </si>
  <si>
    <t>S01b0127h18</t>
  </si>
  <si>
    <t>S01b0127h19</t>
  </si>
  <si>
    <t>S01b0127h20</t>
  </si>
  <si>
    <t>S01b0127h21</t>
  </si>
  <si>
    <t>S01b0127h22</t>
  </si>
  <si>
    <t>S01b0127h23</t>
  </si>
  <si>
    <t>S01b0127h24</t>
  </si>
  <si>
    <t>S01b0128h01</t>
  </si>
  <si>
    <t>S01b0128h02</t>
  </si>
  <si>
    <t>S01b0128h03</t>
  </si>
  <si>
    <t>S01b0128h04</t>
  </si>
  <si>
    <t>S01b0128h05</t>
  </si>
  <si>
    <t>S01b0128h06</t>
  </si>
  <si>
    <t>S01b0128h07</t>
  </si>
  <si>
    <t>S01b0128h08</t>
  </si>
  <si>
    <t>S01b0128h09</t>
  </si>
  <si>
    <t>S01b0128h10</t>
  </si>
  <si>
    <t>S01b0128h11</t>
  </si>
  <si>
    <t>S01b0128h12</t>
  </si>
  <si>
    <t>S01b0128h13</t>
  </si>
  <si>
    <t>S01b0128h14</t>
  </si>
  <si>
    <t>S01b0128h15</t>
  </si>
  <si>
    <t>S01b0128h16</t>
  </si>
  <si>
    <t>S01b0128h17</t>
  </si>
  <si>
    <t>S01b0128h18</t>
  </si>
  <si>
    <t>S01b0128h19</t>
  </si>
  <si>
    <t>S01b0128h20</t>
  </si>
  <si>
    <t>S01b0128h21</t>
  </si>
  <si>
    <t>S01b0128h22</t>
  </si>
  <si>
    <t>S01b0128h23</t>
  </si>
  <si>
    <t>S01b0128h24</t>
  </si>
  <si>
    <t>S08c0806h01</t>
  </si>
  <si>
    <t>S08c0806h02</t>
  </si>
  <si>
    <t>S08c0806h03</t>
  </si>
  <si>
    <t>S08c0806h04</t>
  </si>
  <si>
    <t>S08c0806h05</t>
  </si>
  <si>
    <t>S08c0806h06</t>
  </si>
  <si>
    <t>S08c0806h07</t>
  </si>
  <si>
    <t>S08c0806h08</t>
  </si>
  <si>
    <t>S08c0806h09</t>
  </si>
  <si>
    <t>S08c0806h10</t>
  </si>
  <si>
    <t>S08c0806h11</t>
  </si>
  <si>
    <t>S08c0806h12</t>
  </si>
  <si>
    <t>S08c0806h13</t>
  </si>
  <si>
    <t>S08c0806h14</t>
  </si>
  <si>
    <t>S08c0806h15</t>
  </si>
  <si>
    <t>S08c0806h16</t>
  </si>
  <si>
    <t>S08c0806h17</t>
  </si>
  <si>
    <t>S08c0806h18</t>
  </si>
  <si>
    <t>S08c0806h19</t>
  </si>
  <si>
    <t>S08c0806h20</t>
  </si>
  <si>
    <t>S08c0806h21</t>
  </si>
  <si>
    <t>S08c0806h22</t>
  </si>
  <si>
    <t>S08c0806h23</t>
  </si>
  <si>
    <t>S08c0806h24</t>
  </si>
  <si>
    <t>S08c0807h01</t>
  </si>
  <si>
    <t>S08c0807h02</t>
  </si>
  <si>
    <t>S08c0807h03</t>
  </si>
  <si>
    <t>S08c0807h04</t>
  </si>
  <si>
    <t>S08c0807h05</t>
  </si>
  <si>
    <t>S08c0807h06</t>
  </si>
  <si>
    <t>S08c0807h07</t>
  </si>
  <si>
    <t>S08c0807h08</t>
  </si>
  <si>
    <t>S08c0807h09</t>
  </si>
  <si>
    <t>S08c0807h10</t>
  </si>
  <si>
    <t>S08c0807h11</t>
  </si>
  <si>
    <t>S08c0807h12</t>
  </si>
  <si>
    <t>S08c0807h13</t>
  </si>
  <si>
    <t>S08c0807h14</t>
  </si>
  <si>
    <t>S08c0807h15</t>
  </si>
  <si>
    <t>S08c0807h16</t>
  </si>
  <si>
    <t>S08c0807h17</t>
  </si>
  <si>
    <t>S08c0807h18</t>
  </si>
  <si>
    <t>S08c0807h19</t>
  </si>
  <si>
    <t>S08c0807h20</t>
  </si>
  <si>
    <t>S08c0807h21</t>
  </si>
  <si>
    <t>S08c0807h22</t>
  </si>
  <si>
    <t>S08c0807h23</t>
  </si>
  <si>
    <t>S08c0807h24</t>
  </si>
  <si>
    <t>S08c0808h01</t>
  </si>
  <si>
    <t>S08c0808h02</t>
  </si>
  <si>
    <t>S08c0808h03</t>
  </si>
  <si>
    <t>S08c0808h04</t>
  </si>
  <si>
    <t>S08c0808h05</t>
  </si>
  <si>
    <t>S08c0808h06</t>
  </si>
  <si>
    <t>S08c0808h07</t>
  </si>
  <si>
    <t>S08c0808h08</t>
  </si>
  <si>
    <t>S08c0808h09</t>
  </si>
  <si>
    <t>S08c0808h10</t>
  </si>
  <si>
    <t>S08c0808h11</t>
  </si>
  <si>
    <t>S08c0808h12</t>
  </si>
  <si>
    <t>S08c0808h13</t>
  </si>
  <si>
    <t>S08c0808h14</t>
  </si>
  <si>
    <t>S08c0808h15</t>
  </si>
  <si>
    <t>S08c0808h16</t>
  </si>
  <si>
    <t>S08c0808h17</t>
  </si>
  <si>
    <t>S08c0808h18</t>
  </si>
  <si>
    <t>S08c0808h19</t>
  </si>
  <si>
    <t>S08c0808h20</t>
  </si>
  <si>
    <t>S08c0808h21</t>
  </si>
  <si>
    <t>S08c0808h22</t>
  </si>
  <si>
    <t>S08c0808h23</t>
  </si>
  <si>
    <t>S08c0808h24</t>
  </si>
  <si>
    <t>S08c0809h01</t>
  </si>
  <si>
    <t>S08c0809h02</t>
  </si>
  <si>
    <t>S08c0809h03</t>
  </si>
  <si>
    <t>S08c0809h04</t>
  </si>
  <si>
    <t>S08c0809h05</t>
  </si>
  <si>
    <t>S08c0809h06</t>
  </si>
  <si>
    <t>S08c0809h07</t>
  </si>
  <si>
    <t>S08c0809h08</t>
  </si>
  <si>
    <t>S08c0809h09</t>
  </si>
  <si>
    <t>S08c0809h10</t>
  </si>
  <si>
    <t>S08c0809h11</t>
  </si>
  <si>
    <t>S08c0809h12</t>
  </si>
  <si>
    <t>S08c0809h13</t>
  </si>
  <si>
    <t>S08c0809h14</t>
  </si>
  <si>
    <t>S08c0809h15</t>
  </si>
  <si>
    <t>S08c0809h16</t>
  </si>
  <si>
    <t>S08c0809h17</t>
  </si>
  <si>
    <t>S08c0809h18</t>
  </si>
  <si>
    <t>S08c0809h19</t>
  </si>
  <si>
    <t>S08c0809h20</t>
  </si>
  <si>
    <t>S08c0809h21</t>
  </si>
  <si>
    <t>S08c0809h22</t>
  </si>
  <si>
    <t>S08c0809h23</t>
  </si>
  <si>
    <t>S08c0809h24</t>
  </si>
  <si>
    <t>S08c0810h01</t>
  </si>
  <si>
    <t>S08c0810h02</t>
  </si>
  <si>
    <t>S08c0810h03</t>
  </si>
  <si>
    <t>S08c0810h04</t>
  </si>
  <si>
    <t>S08c0810h05</t>
  </si>
  <si>
    <t>S08c0810h06</t>
  </si>
  <si>
    <t>S08c0810h07</t>
  </si>
  <si>
    <t>S08c0810h08</t>
  </si>
  <si>
    <t>S08c0810h09</t>
  </si>
  <si>
    <t>S08c0810h10</t>
  </si>
  <si>
    <t>S08c0810h11</t>
  </si>
  <si>
    <t>S08c0810h12</t>
  </si>
  <si>
    <t>S08c0810h13</t>
  </si>
  <si>
    <t>S08c0810h14</t>
  </si>
  <si>
    <t>S08c0810h15</t>
  </si>
  <si>
    <t>S08c0810h16</t>
  </si>
  <si>
    <t>S08c0810h17</t>
  </si>
  <si>
    <t>S08c0810h18</t>
  </si>
  <si>
    <t>S08c0810h19</t>
  </si>
  <si>
    <t>S08c0810h20</t>
  </si>
  <si>
    <t>S08c0810h21</t>
  </si>
  <si>
    <t>S08c0810h22</t>
  </si>
  <si>
    <t>S08c0810h23</t>
  </si>
  <si>
    <t>S08c0810h24</t>
  </si>
  <si>
    <t>S08c0811h01</t>
  </si>
  <si>
    <t>S08c0811h02</t>
  </si>
  <si>
    <t>S08c0811h03</t>
  </si>
  <si>
    <t>S08c0811h04</t>
  </si>
  <si>
    <t>S08c0811h05</t>
  </si>
  <si>
    <t>S08c0811h06</t>
  </si>
  <si>
    <t>S08c0811h07</t>
  </si>
  <si>
    <t>S08c0811h08</t>
  </si>
  <si>
    <t>S08c0811h09</t>
  </si>
  <si>
    <t>S08c0811h10</t>
  </si>
  <si>
    <t>S08c0811h11</t>
  </si>
  <si>
    <t>S08c0811h12</t>
  </si>
  <si>
    <t>S08c0811h13</t>
  </si>
  <si>
    <t>S08c0811h14</t>
  </si>
  <si>
    <t>S08c0811h15</t>
  </si>
  <si>
    <t>S08c0811h16</t>
  </si>
  <si>
    <t>S08c0811h17</t>
  </si>
  <si>
    <t>S08c0811h18</t>
  </si>
  <si>
    <t>S08c0811h19</t>
  </si>
  <si>
    <t>S08c0811h20</t>
  </si>
  <si>
    <t>S08c0811h21</t>
  </si>
  <si>
    <t>S08c0811h22</t>
  </si>
  <si>
    <t>S08c0811h23</t>
  </si>
  <si>
    <t>S08c0811h24</t>
  </si>
  <si>
    <t>S08c0812h01</t>
  </si>
  <si>
    <t>S08c0812h02</t>
  </si>
  <si>
    <t>S08c0812h03</t>
  </si>
  <si>
    <t>S08c0812h04</t>
  </si>
  <si>
    <t>S08c0812h05</t>
  </si>
  <si>
    <t>S08c0812h06</t>
  </si>
  <si>
    <t>S08c0812h07</t>
  </si>
  <si>
    <t>S08c0812h08</t>
  </si>
  <si>
    <t>S08c0812h09</t>
  </si>
  <si>
    <t>S08c0812h10</t>
  </si>
  <si>
    <t>S08c0812h11</t>
  </si>
  <si>
    <t>S08c0812h12</t>
  </si>
  <si>
    <t>S08c0812h13</t>
  </si>
  <si>
    <t>S08c0812h14</t>
  </si>
  <si>
    <t>S08c0812h15</t>
  </si>
  <si>
    <t>S08c0812h16</t>
  </si>
  <si>
    <t>S08c0812h17</t>
  </si>
  <si>
    <t>S08c0812h18</t>
  </si>
  <si>
    <t>S08c0812h19</t>
  </si>
  <si>
    <t>S08c0812h20</t>
  </si>
  <si>
    <t>S08c0812h21</t>
  </si>
  <si>
    <t>S08c0812h22</t>
  </si>
  <si>
    <t>S08c0812h23</t>
  </si>
  <si>
    <t>S08c0812h24</t>
  </si>
  <si>
    <t>S01aH04,S01aH07,S01b0124h08,S01b0125h10,S01b0126h10,S02aH07,S07aH02,S07aH06,S08c0806h09,S08c0807h12,S08c0809h12,S08c0812h16,S01b0125h07,S01b0126h14,S01b0127h07,S01b0127h11,S02aH02,S06aH06,S08c0807h08,S08c0807h10,S08c0807h14,S08c0808h18,S08c0809h14,S08c0810h14,S01b0122h08,S01b0124h18,S01b0125h12,S01b0125h16,S01b0125h17,S01b0127h08,S03aH03,S08c0811h13,S08c0812h11,S09aH05,S12aH07,S01b0122h09,S01b0123h07,S01b0123h13,S01b0127h14,S01b0128h14,S03aH02,S07aH05,S08c0806h12,S08c0807h11,S08c0807h17,S08c0808h12,S08c0811h17,S08c0812h17,S01b0123h18,S01b0124h10,S01b0126h12,S01b0127h17,S01b0128h17,S04aH05,S08c0806h07,S08c0806h18,S08c0812h08,S01aH05,S01b0122h12,S01b0122h16,S01b0123h09,S01b0123h12,S01b0125h15,S01b0125h18,S01b0126h08,S01b0126h11,S01b0126h18,S01b0128h07,S01b0128h18,S03aH06,S03aH07,S06aH05,S08c0806h10,S08c0807h15,S08c0808h15,S08c0809h07,S08c0812h12,S08c0812h15,S10aH02,S10aH06,S11aH06,S12aH04,S12aH05,S01aH02,S01b0123h10,S01b0124h09,S01b0124h14,S01b0126h09,S01b0126h16,S01b0127h13,S01b0128h11,S01b0128h12,S01b0128h15,S04aH04,S08c0806h11,S08c0808h07,S08c0808h08,S08c0808h11,S08c0811h11,S01b0124h07,S01b0124h12,S01b0127h18,S02aH06,S03aH05,S04aH07,S05aH05,S06aH04,S08aH04,S08c0806h08,S08c0806h14,S08c0806h16,S08c0806h17,S08c0808h14,S08c0810h08,S08c0810h15,S08c0811h10,S11aH02,S01b0122h10,S01b0125h09,S01b0125h11,S01b0125h14,S04aH03,S07aH04,S08aH03,S08c0807h07,S08c0807h13,S08c0808h09,S08c0808h10,S08c0808h16,S08c0810h13,S08c0810h17,S08c0811h09,S08c0811h14,S08c0812h07,S09aH04,S11aH07,S12aH02,S01b0122h17,S01b0124h15,S01b0126h15,S01b0128h10,S04aH02,S08aH07,S08c0811h08,S08c0812h18,S09aH02,S09aH03,S11aH03,S11aH04,S01b0122h07,S01b0123h17,S01b0127h16,S01b0128h13,S04aH06,S05aH04,S06aH02,S06aH03,S08c0809h17,S08c0810h12,S10aH04,S12aH06,S01b0123h16,S01b0124h16,S01b0124h17,S01b0126h17,S03aH04,S08aH05,S08c0809h08,S08c0809h10,S08c0811h07,S08c0811h15,S08c0811h16,S09aH07,S11aH05,S12aH03,S01aH03,S01b0124h13,S01b0125h08,S01b0126h13,S01b0127h12,S01b0127h15,S01b0128h08,S05aH02,S05aH03,S05aH06,S08c0809h11,S08c0809h13,S08c0809h16,S08c0810h09,S08c0810h18,S08c0812h14,S01b0122h13,S01b0122h15,S01b0123h08,S01b0124h11,S01b0125h13,S01b0128h16,S08aH02,S08c0807h09,S08c0807h16,S08c0809h18,S08c0810h10,S08c0810h11,S08c0811h12,S09aH06,S01b0122h11,S01b0122h18,S01b0123h11,S01b0126h07,S01b0128h09,S02aH04,S02aH05,S06aH07,S07aH07,S08c0806h13,S08c0806h15,S08c0807h18,S08c0808h13,S08c0809h15,S08c0810h07,S08c0811h18,S08c0812h09,S08c0812h13,S10aH03,S10aH05,S01aH06,S01b0122h14,S01b0123h14,S01b0123h15,S01b0127h09,S01b0127h10,S02aH03,S05aH07,S07aH03,S08aH06,S08c0808h17,S08c0809h09,S08c0810h16,S08c0812h10,S10aH07</t>
  </si>
  <si>
    <t>S01b0122h05,S01b0124h23,S01b0125h20,S01b0126h24,S01b0128h04,S08aH01,S08c0806h24,S08c0809h04,S08c0810h05,S08c0810h21,S08c0811h02,S08c0811h05,S10aH01,S01b0126h20,S01b0127h21,S03aH01,S08c0806h03,S08c0807h19,S08c0808h05,S08c0810h20,S01b0122h21,S01b0124h22,S01b0125h24,S01b0127h19,S01b0127h22,S08c0807h02,S08c0807h04,S08c0809h23,S08c0811h06,S08c0811h21,S11aH08,S01b0122h01,S01b0122h19,S01b0123h23,S01b0124h05,S01b0124h19,S01b0125h05,S01b0125h23,S01b0126h01,S01b0127h20,S01b0127h24,S01b0128h05,S08c0806h06,S08c0807h22,S08c0808h01,S01b0122h24,S01b0123h06,S01b0124h04,S05aH08,S08c0806h05,S08c0809h21,S08c0811h22,S08c0811h24,S10aH08,S01b0122h04,S01b0123h22,S01b0124h06,S01b0125h06,S01b0126h23,S01b0127h02,S01b0127h23,S08c0806h19,S08c0806h22,S08c0808h02,S08c0808h19,S08c0808h23,S08c0809h02,S08c0809h05,S08c0811h01,S08c0812h05,S01aH08,S01b0122h22,S01b0127h01,S01b0127h03,S01b0128h03,S01b0128h20,S01b0128h21,S01b0128h22,S01b0128h24,S02aH08,S08c0807h24,S08c0808h04,S08c0810h22,S01b0123h03,S01b0123h24,S01b0125h02,S01b0126h03,S07aH08,S08aH08,S08c0806h20,S08c0808h24,S08c0809h22,S08c0810h01,S08c0810h03,S08c0810h24,S08c0811h03,S08c0811h04,S08c0812h02,S01b0122h03,S01b0123h01,S01b0123h21,S01b0125h19,S01b0125h22,S01b0126h05,S01b0128h19,S02aH01,S08c0806h23,S08c0807h06,S08c0808h06,S08c0812h03,S01b0123h20,S01b0124h24,S01b0126h06,S08c0806h02,S08c0806h04,S08c0806h21,S08c0807h01,S08c0810h23,S08c0812h21,S01b0122h23,S01b0123h04,S01b0124h02,S01b0125h21,S01b0126h21,S07aH01,S08c0810h02,S08c0812h04,S08c0812h19,S08c0812h23,S08c0812h24,S01b0124h03,S01b0124h21,S01b0125h04,S01b0127h06,S05aH01,S08c0807h21,S08c0808h22,S08c0809h01,S08c0812h06,S01b0123h02,S01b0123h05,S01b0123h19,S01b0124h01,S01b0124h20,S01b0127h05,S08c0808h21,S08c0809h19,S08c0810h04,S08c0811h20,S08c0812h20,S09aH01,S01b0122h02,S01b0126h02,S01b0126h04,S01b0126h22,S01b0128h01,S01b0128h06,S01b0128h23,S04aH08,S06aH01,S08c0809h20,S08c0811h19,S12aH08,S01b0122h06,S01b0122h20,S01b0125h01,S03aH08,S06aH08,S08c0806h01,S08c0807h20,S08c0807h23,S08c0809h03,S08c0809h06,S12aH01,S01aH01,S01b0125h03,S01b0126h19,S01b0127h04,S01b0128h02,S04aH01,S08c0807h03,S08c0807h05,S08c0808h03,S08c0808h20,S08c0809h24,S08c0810h06,S08c0810h19,S08c0811h23,S08c0812h01,S08c0812h22,S09aH08,S11aH01</t>
  </si>
  <si>
    <t>S04c0414h01</t>
  </si>
  <si>
    <t>S04c0414h02</t>
  </si>
  <si>
    <t>S04c0414h03</t>
  </si>
  <si>
    <t>S04c0414h04</t>
  </si>
  <si>
    <t>S04c0414h05</t>
  </si>
  <si>
    <t>S04c0414h06</t>
  </si>
  <si>
    <t>S04c0414h07</t>
  </si>
  <si>
    <t>S04c0414h08</t>
  </si>
  <si>
    <t>S04c0414h09</t>
  </si>
  <si>
    <t>S04c0414h10</t>
  </si>
  <si>
    <t>S04c0414h11</t>
  </si>
  <si>
    <t>S04c0414h12</t>
  </si>
  <si>
    <t>S04c0414h13</t>
  </si>
  <si>
    <t>S04c0414h14</t>
  </si>
  <si>
    <t>S04c0414h15</t>
  </si>
  <si>
    <t>S04c0414h16</t>
  </si>
  <si>
    <t>S04c0414h17</t>
  </si>
  <si>
    <t>S04c0414h18</t>
  </si>
  <si>
    <t>S04c0414h19</t>
  </si>
  <si>
    <t>S04c0414h20</t>
  </si>
  <si>
    <t>S04c0414h21</t>
  </si>
  <si>
    <t>S04c0414h22</t>
  </si>
  <si>
    <t>S04c0414h23</t>
  </si>
  <si>
    <t>S04c0414h24</t>
  </si>
  <si>
    <t>S04d0418h01</t>
  </si>
  <si>
    <t>S04d0418h02</t>
  </si>
  <si>
    <t>S04d0418h03</t>
  </si>
  <si>
    <t>S04d0418h04</t>
  </si>
  <si>
    <t>S04d0418h05</t>
  </si>
  <si>
    <t>S04d0418h06</t>
  </si>
  <si>
    <t>S04d0418h07</t>
  </si>
  <si>
    <t>S04d0418h08</t>
  </si>
  <si>
    <t>S04d0418h09</t>
  </si>
  <si>
    <t>S04d0418h10</t>
  </si>
  <si>
    <t>S04d0418h11</t>
  </si>
  <si>
    <t>S04d0418h12</t>
  </si>
  <si>
    <t>S04d0418h13</t>
  </si>
  <si>
    <t>S04d0418h14</t>
  </si>
  <si>
    <t>S04d0418h15</t>
  </si>
  <si>
    <t>S04d0418h16</t>
  </si>
  <si>
    <t>S04d0418h17</t>
  </si>
  <si>
    <t>S04d0418h18</t>
  </si>
  <si>
    <t>S04d0418h19</t>
  </si>
  <si>
    <t>S04d0418h20</t>
  </si>
  <si>
    <t>S04d0418h21</t>
  </si>
  <si>
    <t>S04d0418h22</t>
  </si>
  <si>
    <t>S04d0418h23</t>
  </si>
  <si>
    <t>S04d0418h24</t>
  </si>
  <si>
    <t>S08e0806h01</t>
  </si>
  <si>
    <t>S08e0806h02</t>
  </si>
  <si>
    <t>S08e0806h03</t>
  </si>
  <si>
    <t>S08e0806h04</t>
  </si>
  <si>
    <t>S08e0806h05</t>
  </si>
  <si>
    <t>S08e0806h06</t>
  </si>
  <si>
    <t>S08e0806h07</t>
  </si>
  <si>
    <t>S08e0806h08</t>
  </si>
  <si>
    <t>S08e0806h09</t>
  </si>
  <si>
    <t>S08e0806h10</t>
  </si>
  <si>
    <t>S08e0806h11</t>
  </si>
  <si>
    <t>S08e0806h12</t>
  </si>
  <si>
    <t>S08e0806h13</t>
  </si>
  <si>
    <t>S08e0806h14</t>
  </si>
  <si>
    <t>S08e0806h15</t>
  </si>
  <si>
    <t>S08e0806h16</t>
  </si>
  <si>
    <t>S08e0806h17</t>
  </si>
  <si>
    <t>S08e0806h18</t>
  </si>
  <si>
    <t>S08e0806h19</t>
  </si>
  <si>
    <t>S08e0806h20</t>
  </si>
  <si>
    <t>S08e0806h21</t>
  </si>
  <si>
    <t>S08e0806h22</t>
  </si>
  <si>
    <t>S08e0806h23</t>
  </si>
  <si>
    <t>S08e0806h24</t>
  </si>
  <si>
    <t>S08e0807h01</t>
  </si>
  <si>
    <t>S08e0807h02</t>
  </si>
  <si>
    <t>S08e0807h03</t>
  </si>
  <si>
    <t>S08e0807h04</t>
  </si>
  <si>
    <t>S08e0807h05</t>
  </si>
  <si>
    <t>S08e0807h06</t>
  </si>
  <si>
    <t>S08e0807h07</t>
  </si>
  <si>
    <t>S08e0807h08</t>
  </si>
  <si>
    <t>S08e0807h09</t>
  </si>
  <si>
    <t>S08e0807h10</t>
  </si>
  <si>
    <t>S08e0807h11</t>
  </si>
  <si>
    <t>S08e0807h12</t>
  </si>
  <si>
    <t>S08e0807h13</t>
  </si>
  <si>
    <t>S08e0807h14</t>
  </si>
  <si>
    <t>S08e0807h15</t>
  </si>
  <si>
    <t>S08e0807h16</t>
  </si>
  <si>
    <t>S08e0807h17</t>
  </si>
  <si>
    <t>S08e0807h18</t>
  </si>
  <si>
    <t>S08e0807h19</t>
  </si>
  <si>
    <t>S08e0807h20</t>
  </si>
  <si>
    <t>S08e0807h21</t>
  </si>
  <si>
    <t>S08e0807h22</t>
  </si>
  <si>
    <t>S08e0807h23</t>
  </si>
  <si>
    <t>S08e0807h24</t>
  </si>
  <si>
    <t>S08e0808h01</t>
  </si>
  <si>
    <t>S08e0808h02</t>
  </si>
  <si>
    <t>S08e0808h03</t>
  </si>
  <si>
    <t>S08e0808h04</t>
  </si>
  <si>
    <t>S08e0808h05</t>
  </si>
  <si>
    <t>S08e0808h06</t>
  </si>
  <si>
    <t>S08e0808h07</t>
  </si>
  <si>
    <t>S08e0808h08</t>
  </si>
  <si>
    <t>S08e0808h09</t>
  </si>
  <si>
    <t>S08e0808h10</t>
  </si>
  <si>
    <t>S08e0808h11</t>
  </si>
  <si>
    <t>S08e0808h12</t>
  </si>
  <si>
    <t>S08e0808h13</t>
  </si>
  <si>
    <t>S08e0808h14</t>
  </si>
  <si>
    <t>S08e0808h15</t>
  </si>
  <si>
    <t>S08e0808h16</t>
  </si>
  <si>
    <t>S08e0808h17</t>
  </si>
  <si>
    <t>S08e0808h18</t>
  </si>
  <si>
    <t>S08e0808h19</t>
  </si>
  <si>
    <t>S08e0808h20</t>
  </si>
  <si>
    <t>S08e0808h21</t>
  </si>
  <si>
    <t>S08e0808h22</t>
  </si>
  <si>
    <t>S08e0808h23</t>
  </si>
  <si>
    <t>S08e0808h24</t>
  </si>
  <si>
    <t>S08e0809h01</t>
  </si>
  <si>
    <t>S08e0809h02</t>
  </si>
  <si>
    <t>S08e0809h03</t>
  </si>
  <si>
    <t>S08e0809h04</t>
  </si>
  <si>
    <t>S08e0809h05</t>
  </si>
  <si>
    <t>S08e0809h06</t>
  </si>
  <si>
    <t>S08e0809h07</t>
  </si>
  <si>
    <t>S08e0809h08</t>
  </si>
  <si>
    <t>S08e0809h09</t>
  </si>
  <si>
    <t>S08e0809h10</t>
  </si>
  <si>
    <t>S08e0809h11</t>
  </si>
  <si>
    <t>S08e0809h12</t>
  </si>
  <si>
    <t>S08e0809h13</t>
  </si>
  <si>
    <t>S08e0809h14</t>
  </si>
  <si>
    <t>S08e0809h15</t>
  </si>
  <si>
    <t>S08e0809h16</t>
  </si>
  <si>
    <t>S08e0809h17</t>
  </si>
  <si>
    <t>S08e0809h18</t>
  </si>
  <si>
    <t>S08e0809h19</t>
  </si>
  <si>
    <t>S08e0809h20</t>
  </si>
  <si>
    <t>S08e0809h21</t>
  </si>
  <si>
    <t>S08e0809h22</t>
  </si>
  <si>
    <t>S08e0809h23</t>
  </si>
  <si>
    <t>S08e0809h24</t>
  </si>
  <si>
    <t>S08e0810h01</t>
  </si>
  <si>
    <t>S08e0810h02</t>
  </si>
  <si>
    <t>S08e0810h03</t>
  </si>
  <si>
    <t>S08e0810h04</t>
  </si>
  <si>
    <t>S08e0810h05</t>
  </si>
  <si>
    <t>S08e0810h06</t>
  </si>
  <si>
    <t>S08e0810h07</t>
  </si>
  <si>
    <t>S08e0810h08</t>
  </si>
  <si>
    <t>S08e0810h09</t>
  </si>
  <si>
    <t>S08e0810h10</t>
  </si>
  <si>
    <t>S08e0810h11</t>
  </si>
  <si>
    <t>S08e0810h12</t>
  </si>
  <si>
    <t>S08e0810h13</t>
  </si>
  <si>
    <t>S08e0810h14</t>
  </si>
  <si>
    <t>S08e0810h15</t>
  </si>
  <si>
    <t>S08e0810h16</t>
  </si>
  <si>
    <t>S08e0810h17</t>
  </si>
  <si>
    <t>S08e0810h18</t>
  </si>
  <si>
    <t>S08e0810h19</t>
  </si>
  <si>
    <t>S08e0810h20</t>
  </si>
  <si>
    <t>S08e0810h21</t>
  </si>
  <si>
    <t>S08e0810h22</t>
  </si>
  <si>
    <t>S08e0810h23</t>
  </si>
  <si>
    <t>S08e0810h24</t>
  </si>
  <si>
    <t>S08e0811h01</t>
  </si>
  <si>
    <t>S08e0811h02</t>
  </si>
  <si>
    <t>S08e0811h03</t>
  </si>
  <si>
    <t>S08e0811h04</t>
  </si>
  <si>
    <t>S08e0811h05</t>
  </si>
  <si>
    <t>S08e0811h06</t>
  </si>
  <si>
    <t>S08e0811h07</t>
  </si>
  <si>
    <t>S08e0811h08</t>
  </si>
  <si>
    <t>S08e0811h09</t>
  </si>
  <si>
    <t>S08e0811h10</t>
  </si>
  <si>
    <t>S08e0811h11</t>
  </si>
  <si>
    <t>S08e0811h12</t>
  </si>
  <si>
    <t>S08e0811h13</t>
  </si>
  <si>
    <t>S08e0811h14</t>
  </si>
  <si>
    <t>S08e0811h15</t>
  </si>
  <si>
    <t>S08e0811h16</t>
  </si>
  <si>
    <t>S08e0811h17</t>
  </si>
  <si>
    <t>S08e0811h18</t>
  </si>
  <si>
    <t>S08e0811h19</t>
  </si>
  <si>
    <t>S08e0811h20</t>
  </si>
  <si>
    <t>S08e0811h21</t>
  </si>
  <si>
    <t>S08e0811h22</t>
  </si>
  <si>
    <t>S08e0811h23</t>
  </si>
  <si>
    <t>S08e0811h24</t>
  </si>
  <si>
    <t>S08e0812h01</t>
  </si>
  <si>
    <t>S08e0812h02</t>
  </si>
  <si>
    <t>S08e0812h03</t>
  </si>
  <si>
    <t>S08e0812h04</t>
  </si>
  <si>
    <t>S08e0812h05</t>
  </si>
  <si>
    <t>S08e0812h06</t>
  </si>
  <si>
    <t>S08e0812h07</t>
  </si>
  <si>
    <t>S08e0812h08</t>
  </si>
  <si>
    <t>S08e0812h09</t>
  </si>
  <si>
    <t>S08e0812h10</t>
  </si>
  <si>
    <t>S08e0812h11</t>
  </si>
  <si>
    <t>S08e0812h12</t>
  </si>
  <si>
    <t>S08e0812h13</t>
  </si>
  <si>
    <t>S08e0812h14</t>
  </si>
  <si>
    <t>S08e0812h15</t>
  </si>
  <si>
    <t>S08e0812h16</t>
  </si>
  <si>
    <t>S08e0812h17</t>
  </si>
  <si>
    <t>S08e0812h18</t>
  </si>
  <si>
    <t>S08e0812h19</t>
  </si>
  <si>
    <t>S08e0812h20</t>
  </si>
  <si>
    <t>S08e0812h21</t>
  </si>
  <si>
    <t>S08e0812h22</t>
  </si>
  <si>
    <t>S08e0812h23</t>
  </si>
  <si>
    <t>S08e0812h24</t>
  </si>
  <si>
    <t>S01b0123h16,S01b0124h16,S01b0124h17,S01b0126h17,S03aH04,S04c0414h08,S08aH05,S08e0806h09,S08e0808h13,S08e0810h17,S08e0811h11,S08e0812h09,S08e0812h10,S09aH07,S11aH05,S12aH03,S01b0122h10,S01b0125h09,S01b0125h11,S01b0125h14,S04aH03,S04c0414h15,S07aH04,S08aH03,S08e0809h08,S08e0810h14,S09aH04,S11aH07,S12aH02,S01aH06,S01b0122h14,S01b0123h14,S01b0123h15,S01b0127h09,S01b0127h10,S02aH03,S04c0414h09,S05aH07,S07aH03,S08aH06,S08e0806h14,S08e0807h08,S08e0809h07,S08e0811h12,S08e0811h14,S10aH07,S01b0122h07,S01b0123h17,S01b0127h16,S01b0128h13,S04aH06,S04d0418h14,S05aH04,S06aH02,S06aH03,S08e0807h12,S08e0808h09,S08e0809h13,S08e0810h11,S08e0811h10,S08e0812h08,S08e0812h14,S10aH04,S12aH06,S01aH02,S01b0123h10,S01b0124h09,S01b0124h14,S01b0126h09,S01b0126h16,S01b0127h13,S01b0128h11,S01b0128h12,S01b0128h15,S04aH04,S04c0414h17,S08e0808h07,S08e0810h08,S08e0810h12,S08e0810h18,S01aH04,S01aH07,S01b0124h08,S01b0125h10,S01b0126h10,S02aH07,S04c0414h13,S04c0414h16,S04d0418h10,S07aH02,S07aH06,S08e0806h08,S08e0806h18,S08e0807h11,S08e0807h13,S08e0808h15,S08e0808h16,S08e0808h17,S01b0125h07,S01b0126h14,S01b0127h07,S01b0127h11,S02aH02,S06aH06,S08e0807h14,S08e0809h17,S08e0810h15,S01b0122h08,S01b0124h18,S01b0125h12,S01b0125h16,S01b0125h17,S01b0127h08,S03aH03,S04c0414h14,S04c0414h18,S04d0418h11,S04d0418h16,S08e0806h17,S08e0807h10,S08e0808h08,S08e0810h13,S08e0811h09,S08e0811h16,S08e0812h07,S08e0812h12,S09aH05,S12aH07,S01b0122h17,S01b0124h15,S01b0126h15,S01b0128h10,S04aH02,S04d0418h17,S08aH07,S08e0806h11,S08e0806h13,S08e0809h09,S08e0809h11,S08e0810h07,S08e0810h10,S09aH02,S09aH03,S11aH03,S11aH04,S01b0122h13,S01b0122h15,S01b0123h08,S01b0124h11,S01b0125h13,S01b0128h16,S04c0414h11,S04d0418h18,S08aH02,S08e0806h10,S08e0807h07,S08e0807h17,S08e0810h16,S08e0811h07,S08e0811h17,S09aH06,S01b0123h18,S01b0124h10,S01b0126h12,S01b0127h17,S01b0128h17,S04aH05,S08e0806h16,S08e0807h15,S08e0809h14,S08e0811h13,S08e0811h15,S08e0812h13,S01b0124h07,S01b0124h12,S01b0127h18,S02aH06,S03aH05,S04aH07,S04d0418h12,S04d0418h13,S05aH05,S06aH04,S08aH04,S08e0806h15,S08e0807h18,S08e0808h10,S08e0808h11,S08e0812h16,S08e0812h17,S11aH02,S01b0122h11,S01b0122h18,S01b0123h11,S01b0126h07,S01b0128h09,S02aH04,S02aH05,S04c0414h12,S04d0418h09,S06aH07,S07aH07,S08e0806h07,S08e0807h16,S08e0808h12,S10aH03,S10aH05,S01aH03,S01b0124h13,S01b0125h08,S01b0126h13,S01b0127h12,S01b0127h15,S01b0128h08,S04c0414h07,S04d0418h07,S04d0418h08,S04d0418h15,S05aH02,S05aH03,S05aH06,S08e0809h15,S08e0812h11,S08e0812h18,S01b0122h09,S01b0123h07,S01b0123h13,S01b0127h14,S01b0128h14,S03aH02,S04c0414h10,S07aH05,S08e0808h18,S08e0810h09,S08e0811h08,S01aH05,S01b0122h12,S01b0122h16,S01b0123h09,S01b0123h12,S01b0125h15,S01b0125h18,S01b0126h08,S01b0126h11,S01b0126h18,S01b0128h07,S01b0128h18,S03aH06,S03aH07,S06aH05,S08e0806h12,S08e0807h09,S08e0808h14,S08e0809h10,S08e0809h12,S08e0809h16,S08e0809h18,S08e0811h18,S08e0812h15,S10aH02,S10aH06,S11aH06,S12aH04,S12aH05</t>
  </si>
  <si>
    <t>S01b0124h03,S01b0124h21,S01b0125h04,S01b0127h06,S04d0418h01,S05aH01,S08e0806h03,S08e0806h23,S08e0806h24,S08e0809h05,S08e0809h24,S08e0810h19,S08e0810h20,S01b0122h03,S01b0123h01,S01b0123h21,S01b0125h19,S01b0125h22,S01b0126h05,S01b0128h19,S02aH01,S04d0418h22,S08e0807h20,S08e0809h20,S08e0810h22,S08e0812h24,S01aH01,S01b0125h03,S01b0126h19,S01b0127h04,S01b0128h02,S04aH01,S04c0414h02,S04c0414h06,S04c0414h19,S04d0418h04,S08e0811h22,S08e0812h05,S09aH08,S11aH01,S01b0122h23,S01b0123h04,S01b0124h02,S01b0125h21,S01b0126h21,S04c0414h01,S07aH01,S08e0808h20,S08e0811h01,S08e0812h06,S08e0812h22,S01aH08,S01b0122h22,S01b0127h01,S01b0127h03,S01b0128h03,S01b0128h20,S01b0128h21,S01b0128h22,S01b0128h24,S02aH08,S04c0414h03,S08e0807h02,S08e0808h23,S08e0809h19,S08e0810h06,S08e0811h02,S08e0811h03,S08e0812h20,S01b0122h05,S01b0124h23,S01b0125h20,S01b0126h24,S01b0128h04,S04c0414h05,S04c0414h21,S08aH01,S08e0806h04,S08e0806h19,S08e0807h22,S08e0808h02,S08e0810h23,S08e0811h06,S08e0811h19,S10aH01,S01b0126h20,S01b0127h21,S03aH01,S04c0414h04,S04d0418h06,S08e0806h05,S08e0809h22,S08e0809h23,S08e0811h23,S01b0122h21,S01b0124h22,S01b0125h24,S01b0127h19,S01b0127h22,S04d0418h02,S04d0418h21,S08e0807h04,S08e0808h21,S08e0811h24,S08e0812h19,S11aH08,S01b0123h20,S01b0124h24,S01b0126h06,S08e0806h20,S08e0808h01,S08e0808h04,S08e0809h03,S08e0810h02,S08e0811h20,S01b0122h02,S01b0126h02,S01b0126h04,S01b0126h22,S01b0128h01,S01b0128h06,S01b0128h23,S04aH08,S06aH01,S08e0808h22,S08e0812h02,S12aH08,S01b0122h24,S01b0123h06,S01b0124h04,S04d0418h05,S04d0418h19,S05aH08,S08e0807h03,S08e0807h05,S08e0809h02,S08e0810h21,S08e0811h05,S10aH08,S01b0123h03,S01b0123h24,S01b0125h02,S01b0126h03,S04d0418h03,S07aH08,S08aH08,S08e0806h06,S08e0806h21,S08e0806h22,S08e0807h23,S08e0807h24,S08e0809h01,S08e0809h04,S08e0810h03,S08e0811h04,S01b0122h06,S01b0122h20,S01b0125h01,S03aH08,S06aH08,S08e0806h01,S08e0807h19,S08e0808h06,S08e0809h06,S08e0810h01,S12aH01,S01b0123h02,S01b0123h05,S01b0123h19,S01b0124h01,S01b0124h20,S01b0127h05,S04d0418h23,S04d0418h24,S08e0808h24,S08e0810h05,S08e0812h01,S08e0812h23,S09aH01,S01b0122h01,S01b0122h19,S01b0123h23,S01b0124h05,S01b0124h19,S01b0125h05,S01b0125h23,S01b0126h01,S01b0127h20,S01b0127h24,S01b0128h05,S04c0414h20,S04c0414h22,S08e0808h05,S08e0808h19,S08e0810h04,S08e0810h24,S08e0812h03,S08e0812h04,S01b0122h04,S01b0123h22,S01b0124h06,S01b0125h06,S01b0126h23,S01b0127h02,S01b0127h23,S04c0414h23,S04c0414h24,S04d0418h20,S08e0806h02,S08e0807h01,S08e0807h06,S08e0807h21,S08e0808h03,S08e0809h21,S08e0811h21,S08e0812h21</t>
  </si>
  <si>
    <t>S01,S02,S03,S04</t>
  </si>
  <si>
    <t>S03aH02,S04aH02,S01aH02,S02aH02</t>
  </si>
  <si>
    <t>S04aH03,S01aH01,S04aH01,S01aH03,S02aH01,S02aH03,S03aH01,S03aH03</t>
  </si>
  <si>
    <t>S01aH04,S02aH02,S03aH03,S04aH02,S03aH05,S02aH04,S02aH05,S01aH03,S02aH03,S01aH02,S04aH04,S04aH05,S03aH04,S04aH03,S03aH02,S01aH05</t>
  </si>
  <si>
    <t>S03aH01,S01aH06,S02aH06,S01aH01,S04aH01,S04aH06,S03aH06,S02aH01</t>
  </si>
  <si>
    <t>S01,S02,S03,S04,S05,S06,S07</t>
  </si>
  <si>
    <t>S03aH04,S01aH03,S05aH02,S05aH03,S03aH02,S07aH05,S04aH05,S01aH05,S06aH05,S04aH03,S07aH04,S02aH03,S07aH03,S03aH05,S05aH05,S06aH04,S02aH04,S02aH05,S03aH03,S01aH02,S04aH04,S01aH04,S07aH02,S02aH02,S04aH02,S05aH04,S06aH02,S06aH03</t>
  </si>
  <si>
    <t>S05aH01,S07aH06,S02aH01,S05aH06,S06aH01,S01aH01,S04aH01,S04aH06,S02aH06,S06aH06,S03aH06,S03aH01,S01aH06,S07aH01</t>
  </si>
  <si>
    <t>S03aH03,S01aH02,S04aH04,S01aH04,S01aH07,S02aH07,S07aH02,S07aH06,S01aH03,S05aH02,S05aH03,S05aH06,S04aH06,S05aH04,S06aH02,S06aH03,S02aH06,S03aH05,S04aH07,S05aH05,S06aH04,S02aH02,S06aH06,S03aH02,S07aH05,S03aH04,S02aH04,S02aH05,S06aH07,S07aH07,S01aH06,S02aH03,S05aH07,S07aH03,S04aH05,S04aH03,S07aH04,S01aH05,S03aH06,S03aH07,S06aH05,S04aH02</t>
  </si>
  <si>
    <t>S01aH08,S02aH08,S07aH01,S07aH08,S03aH01,S04aH08,S06aH01,S05aH01,S03aH08,S06aH08,S01aH01,S04aH01,S05aH08,S02aH01</t>
  </si>
  <si>
    <t>S02aH02,S06aH06,S08aH02,S09aH06,S02aH06,S03aH05,S04aH07,S05aH05,S06aH04,S08aH04,S11aH02,S01aH03,S05aH02,S05aH03,S05aH06,S04aH06,S05aH04,S06aH02,S06aH03,S10aH04,S12aH06,S04aH05,S02aH04,S02aH05,S06aH07,S07aH07,S10aH03,S10aH05,S03aH02,S07aH05,S01aH02,S04aH04,S04aH03,S07aH04,S08aH03,S09aH04,S11aH07,S12aH02,S01aH05,S03aH06,S03aH07,S06aH05,S10aH02,S10aH06,S11aH06,S12aH04,S12aH05,S03aH04,S08aH05,S09aH07,S11aH05,S12aH03,S03aH03,S09aH05,S12aH07,S01aH06,S02aH03,S05aH07,S07aH03,S08aH06,S10aH07,S01aH04,S01aH07,S02aH07,S07aH02,S07aH06,S04aH02,S08aH07,S09aH02,S09aH03,S11aH03,S11aH04</t>
  </si>
  <si>
    <t>S03aH01,S04aH08,S06aH01,S12aH08,S07aH08,S08aH08,S09aH01,S07aH01,S05aH08,S10aH08,S03aH08,S06aH08,S12aH01,S01aH08,S02aH08,S02aH01,S05aH01,S11aH08,S01aH01,S04aH01,S09aH08,S11aH01,S08aH01,S10aH01</t>
  </si>
  <si>
    <t>S01aH04,S01aH07,S02aH07,S07aH02,S07aH06,S03aH02,S07aH05,S02aH04,S02aH05,S06aH07,S07aH07,S10aH03,S10aH05,S04aH03,S07aH04,S08aH03,S09aH04,S11aH07,S12aH02,S08aH02,S09aH06,S01aH02,S04aH04,S01aH06,S02aH03,S05aH07,S07aH03,S08aH06,S10aH07,S02aH06,S03aH05,S04aH07,S05aH05,S06aH04,S08aH04,S11aH02,S01aH03,S05aH02,S05aH03,S05aH06,S04aH05,S03aH04,S08aH05,S09aH07,S11aH05,S12aH03,S04aH06,S05aH04,S06aH02,S06aH03,S10aH04,S12aH06,S01aH05,S03aH06,S03aH07,S06aH05,S10aH02,S10aH06,S11aH06,S12aH04,S12aH05,S02aH02,S06aH06,S03aH03,S09aH05,S12aH07,S04aH02,S08aH07,S09aH02,S09aH03,S11aH03,S11aH04</t>
  </si>
  <si>
    <t>S08aH01,S10aH01,S03aH08,S06aH08,S12aH01,S02aH01,S04aH08,S06aH01,S12aH08,S01aH08,S02aH08,S01aH01,S04aH01,S09aH08,S11aH01,S07aH08,S08aH08,S09aH01,S05aH08,S10aH08,S05aH01,S07aH01,S03aH01,S11aH08</t>
  </si>
  <si>
    <t>S02aH02,S06aH06,S08aH02,S09aH06,S02aH06,S03aH05,S04aH07,S05aH05,S06aH04,S08aH04,S11aH02,S01aH03,S05aH02,S05aH03,S05aH06,S04aH02,S08aH07,S09aH02,S09aH03,S11aH03,S11aH04,S02aH04,S02aH05,S06aH07,S07aH07,S10aH03,S10aH05,S01aH02,S04aH04,S03aH03,S09aH05,S12aH07,S03aH04,S08aH05,S09aH07,S11aH05,S12aH03,S03aH02,S07aH05,S01aH04,S01aH07,S02aH07,S07aH02,S07aH06,S01aH06,S02aH03,S05aH07,S07aH03,S08aH06,S10aH07,S01aH05,S03aH06,S03aH07,S06aH05,S10aH02,S10aH06,S11aH06,S12aH04,S12aH05,S04aH03,S07aH04,S08aH03,S09aH04,S11aH07,S12aH02,S04aH06,S05aH04,S06aH02,S06aH03,S10aH04,S12aH06,S04aH05</t>
  </si>
  <si>
    <t>S03aH01,S04aH08,S06aH01,S12aH08,S07aH08,S08aH08,S09aH01,S03aH08,S06aH08,S12aH01,S01aH08,S02aH08,S11aH08,S05aH01,S08aH01,S10aH01,S01aH01,S04aH01,S09aH08,S11aH01,S02aH01,S07aH01,S05aH08,S10aH08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</si>
  <si>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</si>
  <si>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</si>
  <si>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</si>
  <si>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</si>
  <si>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</si>
  <si>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</si>
  <si>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</si>
  <si>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</si>
  <si>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</si>
  <si>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</si>
  <si>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</si>
  <si>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</si>
  <si>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</si>
  <si>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</si>
  <si>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</si>
  <si>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</si>
  <si>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</si>
  <si>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</si>
  <si>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</si>
  <si>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</si>
  <si>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</si>
  <si>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WaP,SaD,RaD,FaD,WaD,RaP,FaP,SaP</t>
  </si>
  <si>
    <t>RaN,FaN,FaP,SaP,RaP,SaN,WaN,WaP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</si>
</sst>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4514.1099999999997</c:v>
                </c:pt>
                <c:pt idx="1">
                  <c:v>4559.2510999999995</c:v>
                </c:pt>
                <c:pt idx="2">
                  <c:v>4920.3798999999999</c:v>
                </c:pt>
                <c:pt idx="3">
                  <c:v>5326.6497999999992</c:v>
                </c:pt>
                <c:pt idx="4">
                  <c:v>5868.3429999999998</c:v>
                </c:pt>
                <c:pt idx="5">
                  <c:v>6771.1649999999991</c:v>
                </c:pt>
                <c:pt idx="6">
                  <c:v>7673.9869999999992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79.900000000000006</c:v>
                </c:pt>
                <c:pt idx="3">
                  <c:v>104.42</c:v>
                </c:pt>
                <c:pt idx="4">
                  <c:v>134.84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78"/>
  <sheetViews>
    <sheetView workbookViewId="0">
      <selection activeCell="A21" sqref="A21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8" x14ac:dyDescent="0.45">
      <c r="G1" s="18" t="s">
        <v>145</v>
      </c>
    </row>
    <row r="2" spans="1:38" x14ac:dyDescent="0.45">
      <c r="D2" s="1" t="str">
        <f>"~Inputcell: "&amp;_xlfn.TEXTJOIN(",",TRUE,G1:EE1)</f>
        <v>~Inputcell: 1-70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8" x14ac:dyDescent="0.45">
      <c r="D3" s="9">
        <v>3</v>
      </c>
    </row>
    <row r="5" spans="1:38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8" x14ac:dyDescent="0.45">
      <c r="B7" s="16" t="s">
        <v>119</v>
      </c>
    </row>
    <row r="8" spans="1:38" ht="14.65" thickBot="1" x14ac:dyDescent="0.5">
      <c r="A8" s="4" t="s">
        <v>124</v>
      </c>
      <c r="B8" s="4" t="s">
        <v>120</v>
      </c>
      <c r="C8" s="4" t="s">
        <v>121</v>
      </c>
      <c r="D8" s="4" t="s">
        <v>122</v>
      </c>
      <c r="E8" s="4" t="s">
        <v>123</v>
      </c>
    </row>
    <row r="9" spans="1:38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107</v>
      </c>
      <c r="AI9" t="s">
        <v>141</v>
      </c>
      <c r="AJ9" s="10">
        <v>1</v>
      </c>
      <c r="AK9" t="s">
        <v>0</v>
      </c>
      <c r="AL9" t="s">
        <v>110</v>
      </c>
    </row>
    <row r="10" spans="1:38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132</v>
      </c>
      <c r="AI10" t="s">
        <v>140</v>
      </c>
      <c r="AJ10" s="10">
        <v>1</v>
      </c>
      <c r="AK10" t="s">
        <v>2</v>
      </c>
      <c r="AL10" t="s">
        <v>112</v>
      </c>
    </row>
    <row r="11" spans="1:38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125</v>
      </c>
      <c r="AI11" t="s">
        <v>139</v>
      </c>
      <c r="AJ11" s="10">
        <v>1</v>
      </c>
      <c r="AK11" t="s">
        <v>5</v>
      </c>
      <c r="AL11" t="s">
        <v>114</v>
      </c>
    </row>
    <row r="12" spans="1:38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4514.1099999999997</v>
      </c>
      <c r="T12" s="2" t="s">
        <v>57</v>
      </c>
      <c r="AG12">
        <v>4</v>
      </c>
      <c r="AH12" t="s">
        <v>126</v>
      </c>
      <c r="AI12" t="s">
        <v>138</v>
      </c>
      <c r="AJ12" s="10">
        <v>1</v>
      </c>
      <c r="AK12" t="s">
        <v>7</v>
      </c>
      <c r="AL12" t="s">
        <v>116</v>
      </c>
    </row>
    <row r="13" spans="1:38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127</v>
      </c>
      <c r="AI13" t="s">
        <v>137</v>
      </c>
      <c r="AJ13" s="10">
        <v>1</v>
      </c>
      <c r="AK13" t="s">
        <v>9</v>
      </c>
      <c r="AL13" t="s">
        <v>117</v>
      </c>
    </row>
    <row r="14" spans="1:38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4514.1099999999997</v>
      </c>
      <c r="U14" s="8">
        <f t="shared" ref="U14:Z14" si="3">$S$12*J15</f>
        <v>4559.2510999999995</v>
      </c>
      <c r="V14" s="8">
        <f t="shared" si="3"/>
        <v>4920.3798999999999</v>
      </c>
      <c r="W14" s="8">
        <f t="shared" si="3"/>
        <v>5326.6497999999992</v>
      </c>
      <c r="X14" s="8">
        <f t="shared" si="3"/>
        <v>5868.3429999999998</v>
      </c>
      <c r="Y14" s="8">
        <f t="shared" si="3"/>
        <v>6771.1649999999991</v>
      </c>
      <c r="Z14" s="8">
        <f t="shared" si="3"/>
        <v>7673.9869999999992</v>
      </c>
      <c r="AG14">
        <v>6</v>
      </c>
      <c r="AH14" t="s">
        <v>128</v>
      </c>
      <c r="AI14" t="s">
        <v>136</v>
      </c>
      <c r="AJ14" s="10">
        <f>AJ9+1</f>
        <v>2</v>
      </c>
    </row>
    <row r="15" spans="1:38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1.01</v>
      </c>
      <c r="K15" s="11">
        <f>SUMIFS(ar6_r10!$F$2:$F$999,ar6_r10!$A$2:$A$999,Veda!$E$5,ar6_r10!$C$2:$C$999,Veda!K$17,ar6_r10!$M$2:$M$999,Veda!$G15)</f>
        <v>1.0900000000000001</v>
      </c>
      <c r="L15" s="11">
        <f>SUMIFS(ar6_r10!$F$2:$F$999,ar6_r10!$A$2:$A$999,Veda!$E$5,ar6_r10!$C$2:$C$999,Veda!L$17,ar6_r10!$M$2:$M$999,Veda!$G15)</f>
        <v>1.18</v>
      </c>
      <c r="M15" s="11">
        <f>SUMIFS(ar6_r10!$F$2:$F$999,ar6_r10!$A$2:$A$999,Veda!$E$5,ar6_r10!$C$2:$C$999,Veda!M$17,ar6_r10!$M$2:$M$999,Veda!$G15)</f>
        <v>1.3</v>
      </c>
      <c r="N15" s="11">
        <f>SUMIFS(ar6_r10!$F$2:$F$999,ar6_r10!$A$2:$A$999,Veda!$E$5,ar6_r10!$C$2:$C$999,Veda!N$17,ar6_r10!$M$2:$M$999,Veda!$G15)</f>
        <v>1.5</v>
      </c>
      <c r="O15" s="11">
        <f>SUMIFS(ar6_r10!$F$2:$F$999,ar6_r10!$A$2:$A$999,Veda!$E$5,ar6_r10!$C$2:$C$999,Veda!O$17,ar6_r10!$M$2:$M$999,Veda!$G15)</f>
        <v>1.7</v>
      </c>
      <c r="AG15">
        <v>7</v>
      </c>
      <c r="AH15" t="s">
        <v>129</v>
      </c>
      <c r="AI15" t="s">
        <v>135</v>
      </c>
      <c r="AJ15" s="10">
        <f t="shared" ref="AJ15:AJ78" si="5">AJ10+1</f>
        <v>2</v>
      </c>
    </row>
    <row r="16" spans="1:38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130</v>
      </c>
      <c r="AI16" t="s">
        <v>134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131</v>
      </c>
      <c r="AI17" t="s">
        <v>133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0.01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0.02</v>
      </c>
      <c r="N18" s="11">
        <f>SUMIFS(ar6_r10!$F$2:$F$999,ar6_r10!$A$2:$A$999,Veda!$E$5,ar6_r10!$C$2:$C$999,Veda!N$17,ar6_r10!$M$2:$M$999,Veda!$G18)</f>
        <v>0.01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49.203799000000004</v>
      </c>
      <c r="W18" s="6">
        <f t="shared" si="7"/>
        <v>53.266497999999991</v>
      </c>
      <c r="X18" s="6">
        <f t="shared" si="7"/>
        <v>117.36686</v>
      </c>
      <c r="Y18" s="6">
        <f t="shared" si="7"/>
        <v>67.711649999999992</v>
      </c>
      <c r="Z18" s="6">
        <f t="shared" si="7"/>
        <v>230.21960999999996</v>
      </c>
      <c r="AA18" t="s">
        <v>17</v>
      </c>
      <c r="AC18" s="2"/>
      <c r="AG18">
        <v>10</v>
      </c>
      <c r="AH18" t="s">
        <v>102</v>
      </c>
      <c r="AI18" t="s">
        <v>109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0.22</v>
      </c>
      <c r="J19" s="11">
        <f>SUMIFS(ar6_r10!$F$2:$F$999,ar6_r10!$A$2:$A$999,Veda!$E$5,ar6_r10!$C$2:$C$999,Veda!J$17,ar6_r10!$M$2:$M$999,Veda!$G19)</f>
        <v>0.21</v>
      </c>
      <c r="K19" s="11">
        <f>SUMIFS(ar6_r10!$F$2:$F$999,ar6_r10!$A$2:$A$999,Veda!$E$5,ar6_r10!$C$2:$C$999,Veda!K$17,ar6_r10!$M$2:$M$999,Veda!$G19)</f>
        <v>0.21</v>
      </c>
      <c r="L19" s="11">
        <f>SUMIFS(ar6_r10!$F$2:$F$999,ar6_r10!$A$2:$A$999,Veda!$E$5,ar6_r10!$C$2:$C$999,Veda!L$17,ar6_r10!$M$2:$M$999,Veda!$G19)</f>
        <v>0.21</v>
      </c>
      <c r="M19" s="11">
        <f>SUMIFS(ar6_r10!$F$2:$F$999,ar6_r10!$A$2:$A$999,Veda!$E$5,ar6_r10!$C$2:$C$999,Veda!M$17,ar6_r10!$M$2:$M$999,Veda!$G19)</f>
        <v>0.21</v>
      </c>
      <c r="N19" s="11">
        <f>SUMIFS(ar6_r10!$F$2:$F$999,ar6_r10!$A$2:$A$999,Veda!$E$5,ar6_r10!$C$2:$C$999,Veda!N$17,ar6_r10!$M$2:$M$999,Veda!$G19)</f>
        <v>0.22</v>
      </c>
      <c r="O19" s="11">
        <f>SUMIFS(ar6_r10!$F$2:$F$999,ar6_r10!$A$2:$A$999,Veda!$E$5,ar6_r10!$C$2:$C$999,Veda!O$17,ar6_r10!$M$2:$M$999,Veda!$G19)</f>
        <v>0.24</v>
      </c>
      <c r="S19" s="10" t="s">
        <v>19</v>
      </c>
      <c r="T19" s="6">
        <f t="shared" si="7"/>
        <v>993.10419999999988</v>
      </c>
      <c r="U19" s="6">
        <f t="shared" si="7"/>
        <v>957.44273099999987</v>
      </c>
      <c r="V19" s="6">
        <f t="shared" si="7"/>
        <v>1033.279779</v>
      </c>
      <c r="W19" s="6">
        <f t="shared" si="7"/>
        <v>1118.5964579999998</v>
      </c>
      <c r="X19" s="6">
        <f t="shared" si="7"/>
        <v>1232.35203</v>
      </c>
      <c r="Y19" s="6">
        <f t="shared" si="7"/>
        <v>1489.6562999999999</v>
      </c>
      <c r="Z19" s="6">
        <f t="shared" si="7"/>
        <v>1841.7568799999997</v>
      </c>
      <c r="AA19" t="s">
        <v>17</v>
      </c>
      <c r="AG19">
        <v>11</v>
      </c>
      <c r="AH19" t="s">
        <v>103</v>
      </c>
      <c r="AI19" t="s">
        <v>111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0.76</v>
      </c>
      <c r="J20" s="11">
        <f>SUMIFS(ar6_r10!$F$2:$F$999,ar6_r10!$A$2:$A$999,Veda!$E$5,ar6_r10!$C$2:$C$999,Veda!J$17,ar6_r10!$M$2:$M$999,Veda!$G20)</f>
        <v>0.77</v>
      </c>
      <c r="K20" s="11">
        <f>SUMIFS(ar6_r10!$F$2:$F$999,ar6_r10!$A$2:$A$999,Veda!$E$5,ar6_r10!$C$2:$C$999,Veda!K$17,ar6_r10!$M$2:$M$999,Veda!$G20)</f>
        <v>0.75</v>
      </c>
      <c r="L20" s="11">
        <f>SUMIFS(ar6_r10!$F$2:$F$999,ar6_r10!$A$2:$A$999,Veda!$E$5,ar6_r10!$C$2:$C$999,Veda!L$17,ar6_r10!$M$2:$M$999,Veda!$G20)</f>
        <v>0.71</v>
      </c>
      <c r="M20" s="11">
        <f>SUMIFS(ar6_r10!$F$2:$F$999,ar6_r10!$A$2:$A$999,Veda!$E$5,ar6_r10!$C$2:$C$999,Veda!M$17,ar6_r10!$M$2:$M$999,Veda!$G20)</f>
        <v>0.69</v>
      </c>
      <c r="N20" s="11">
        <f>SUMIFS(ar6_r10!$F$2:$F$999,ar6_r10!$A$2:$A$999,Veda!$E$5,ar6_r10!$C$2:$C$999,Veda!N$17,ar6_r10!$M$2:$M$999,Veda!$G20)</f>
        <v>0.64</v>
      </c>
      <c r="O20" s="11">
        <f>SUMIFS(ar6_r10!$F$2:$F$999,ar6_r10!$A$2:$A$999,Veda!$E$5,ar6_r10!$C$2:$C$999,Veda!O$17,ar6_r10!$M$2:$M$999,Veda!$G20)</f>
        <v>0.6</v>
      </c>
      <c r="S20" s="10" t="s">
        <v>22</v>
      </c>
      <c r="T20" s="6">
        <f t="shared" si="7"/>
        <v>3430.7235999999998</v>
      </c>
      <c r="U20" s="6">
        <f t="shared" si="7"/>
        <v>3510.6233469999997</v>
      </c>
      <c r="V20" s="6">
        <f t="shared" si="7"/>
        <v>3690.2849249999999</v>
      </c>
      <c r="W20" s="6">
        <f t="shared" si="7"/>
        <v>3781.9213579999991</v>
      </c>
      <c r="X20" s="6">
        <f t="shared" si="7"/>
        <v>4049.1566699999994</v>
      </c>
      <c r="Y20" s="6">
        <f t="shared" si="7"/>
        <v>4333.5455999999995</v>
      </c>
      <c r="Z20" s="6">
        <f t="shared" si="7"/>
        <v>4604.3921999999993</v>
      </c>
      <c r="AA20" t="s">
        <v>17</v>
      </c>
      <c r="AG20">
        <v>12</v>
      </c>
      <c r="AH20" t="s">
        <v>106</v>
      </c>
      <c r="AI20" t="s">
        <v>118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</v>
      </c>
      <c r="J21" s="11">
        <f>SUMIFS(ar6_r10!$F$2:$F$999,ar6_r10!$A$2:$A$999,Veda!$E$5,ar6_r10!$C$2:$C$999,Veda!J$17,ar6_r10!$M$2:$M$999,Veda!$G21)</f>
        <v>0.02</v>
      </c>
      <c r="K21" s="11">
        <f>SUMIFS(ar6_r10!$F$2:$F$999,ar6_r10!$A$2:$A$999,Veda!$E$5,ar6_r10!$C$2:$C$999,Veda!K$17,ar6_r10!$M$2:$M$999,Veda!$G21)</f>
        <v>0.03</v>
      </c>
      <c r="L21" s="11">
        <f>SUMIFS(ar6_r10!$F$2:$F$999,ar6_r10!$A$2:$A$999,Veda!$E$5,ar6_r10!$C$2:$C$999,Veda!L$17,ar6_r10!$M$2:$M$999,Veda!$G21)</f>
        <v>0.06</v>
      </c>
      <c r="M21" s="11">
        <f>SUMIFS(ar6_r10!$F$2:$F$999,ar6_r10!$A$2:$A$999,Veda!$E$5,ar6_r10!$C$2:$C$999,Veda!M$17,ar6_r10!$M$2:$M$999,Veda!$G21)</f>
        <v>0.09</v>
      </c>
      <c r="N21" s="11">
        <f>SUMIFS(ar6_r10!$F$2:$F$999,ar6_r10!$A$2:$A$999,Veda!$E$5,ar6_r10!$C$2:$C$999,Veda!N$17,ar6_r10!$M$2:$M$999,Veda!$G21)</f>
        <v>0.12</v>
      </c>
      <c r="O21" s="11">
        <f>SUMIFS(ar6_r10!$F$2:$F$999,ar6_r10!$A$2:$A$999,Veda!$E$5,ar6_r10!$C$2:$C$999,Veda!O$17,ar6_r10!$M$2:$M$999,Veda!$G21)</f>
        <v>0.14000000000000001</v>
      </c>
      <c r="S21" s="10" t="s">
        <v>24</v>
      </c>
      <c r="T21" s="6">
        <f>I21*T$14</f>
        <v>0</v>
      </c>
      <c r="U21" s="6">
        <f t="shared" ref="U21:Z21" si="8">T21</f>
        <v>0</v>
      </c>
      <c r="V21" s="6">
        <f t="shared" si="8"/>
        <v>0</v>
      </c>
      <c r="W21" s="6">
        <f t="shared" si="8"/>
        <v>0</v>
      </c>
      <c r="X21" s="6">
        <f t="shared" si="8"/>
        <v>0</v>
      </c>
      <c r="Y21" s="6">
        <f t="shared" si="8"/>
        <v>0</v>
      </c>
      <c r="Z21" s="6">
        <f t="shared" si="8"/>
        <v>0</v>
      </c>
      <c r="AA21" t="s">
        <v>17</v>
      </c>
      <c r="AC21" s="2" t="s">
        <v>20</v>
      </c>
      <c r="AG21">
        <v>13</v>
      </c>
      <c r="AH21" t="s">
        <v>104</v>
      </c>
      <c r="AI21" t="s">
        <v>113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90.282199999999648</v>
      </c>
      <c r="U22" s="6">
        <f t="shared" si="9"/>
        <v>91.185021999999663</v>
      </c>
      <c r="V22" s="6">
        <f t="shared" si="9"/>
        <v>196.81519599999956</v>
      </c>
      <c r="W22" s="6">
        <f t="shared" si="9"/>
        <v>426.13198400000056</v>
      </c>
      <c r="X22" s="6">
        <f t="shared" si="9"/>
        <v>586.83430000000044</v>
      </c>
      <c r="Y22" s="6">
        <f t="shared" si="9"/>
        <v>947.96309999999994</v>
      </c>
      <c r="Z22" s="6">
        <f t="shared" si="9"/>
        <v>1227.8379199999999</v>
      </c>
      <c r="AA22" t="s">
        <v>17</v>
      </c>
      <c r="AG22">
        <v>14</v>
      </c>
      <c r="AH22" t="s">
        <v>105</v>
      </c>
      <c r="AI22" t="s">
        <v>115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79.900000000000006</v>
      </c>
      <c r="L24" s="8">
        <f>SUMIFS(ar6_r10!$F$2:$F$999,ar6_r10!$A$2:$A$999,Veda!$E$5,ar6_r10!$C$2:$C$999,Veda!L$17,ar6_r10!$M$2:$M$999,Veda!$G24)</f>
        <v>104.42</v>
      </c>
      <c r="M24" s="8">
        <f>SUMIFS(ar6_r10!$F$2:$F$999,ar6_r10!$A$2:$A$999,Veda!$E$5,ar6_r10!$C$2:$C$999,Veda!M$17,ar6_r10!$M$2:$M$999,Veda!$G24)</f>
        <v>134.84</v>
      </c>
      <c r="N24" s="8">
        <f>SUMIFS(ar6_r10!$F$2:$F$999,ar6_r10!$A$2:$A$999,Veda!$E$5,ar6_r10!$C$2:$C$999,Veda!N$17,ar6_r10!$M$2:$M$999,Veda!$G24)</f>
        <v>178.1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7.9899999999999999E-2</v>
      </c>
      <c r="W24" s="11">
        <f>L24/1000</f>
        <v>0.10442</v>
      </c>
      <c r="X24" s="11">
        <f>M24/1000</f>
        <v>0.13484000000000002</v>
      </c>
      <c r="Y24" s="11">
        <f>N24/1000</f>
        <v>0.17809999999999998</v>
      </c>
      <c r="Z24" s="11">
        <f>O24/1000</f>
        <v>0.20945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56.97</v>
      </c>
      <c r="S28" t="s">
        <v>32</v>
      </c>
      <c r="T28" s="3">
        <f>Q28</f>
        <v>56.97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-15.76</v>
      </c>
      <c r="S29" t="s">
        <v>35</v>
      </c>
      <c r="T29" s="3">
        <f>-1*Q29</f>
        <v>15.76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1.1200000000000001</v>
      </c>
      <c r="K37" s="11">
        <f>SUMIFS(ar6_r10!$F$2:$F$999,ar6_r10!$A$2:$A$999,Veda!$G$36,ar6_r10!$C$2:$C$999,Veda!K$17,ar6_r10!$M$2:$M$999,Veda!$G37)</f>
        <v>1.1000000000000001</v>
      </c>
      <c r="L37" s="11">
        <f>SUMIFS(ar6_r10!$F$2:$F$999,ar6_r10!$A$2:$A$999,Veda!$G$36,ar6_r10!$C$2:$C$999,Veda!L$17,ar6_r10!$M$2:$M$999,Veda!$G37)</f>
        <v>1.1100000000000001</v>
      </c>
      <c r="M37" s="11">
        <f>SUMIFS(ar6_r10!$F$2:$F$999,ar6_r10!$A$2:$A$999,Veda!$G$36,ar6_r10!$C$2:$C$999,Veda!M$17,ar6_r10!$M$2:$M$999,Veda!$G37)</f>
        <v>1.17</v>
      </c>
      <c r="N37" s="11">
        <f>SUMIFS(ar6_r10!$F$2:$F$999,ar6_r10!$A$2:$A$999,Veda!$G$36,ar6_r10!$C$2:$C$999,Veda!N$17,ar6_r10!$M$2:$M$999,Veda!$G37)</f>
        <v>1.1499999999999999</v>
      </c>
      <c r="O37" s="11">
        <f>SUMIFS(ar6_r10!$F$2:$F$999,ar6_r10!$A$2:$A$999,Veda!$G$36,ar6_r10!$C$2:$C$999,Veda!O$17,ar6_r10!$M$2:$M$999,Veda!$G37)</f>
        <v>1.26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1.05</v>
      </c>
      <c r="K38" s="11">
        <f>SUMIFS(ar6_r10!$F$2:$F$999,ar6_r10!$A$2:$A$999,Veda!$G$36,ar6_r10!$C$2:$C$999,Veda!K$17,ar6_r10!$M$2:$M$999,Veda!$G38)</f>
        <v>1.1100000000000001</v>
      </c>
      <c r="L38" s="11">
        <f>SUMIFS(ar6_r10!$F$2:$F$999,ar6_r10!$A$2:$A$999,Veda!$G$36,ar6_r10!$C$2:$C$999,Veda!L$17,ar6_r10!$M$2:$M$999,Veda!$G38)</f>
        <v>1.1399999999999999</v>
      </c>
      <c r="M38" s="11">
        <f>SUMIFS(ar6_r10!$F$2:$F$999,ar6_r10!$A$2:$A$999,Veda!$G$36,ar6_r10!$C$2:$C$999,Veda!M$17,ar6_r10!$M$2:$M$999,Veda!$G38)</f>
        <v>1.2</v>
      </c>
      <c r="N38" s="11">
        <f>SUMIFS(ar6_r10!$F$2:$F$999,ar6_r10!$A$2:$A$999,Veda!$G$36,ar6_r10!$C$2:$C$999,Veda!N$17,ar6_r10!$M$2:$M$999,Veda!$G38)</f>
        <v>1.27</v>
      </c>
      <c r="O38" s="11">
        <f>SUMIFS(ar6_r10!$F$2:$F$999,ar6_r10!$A$2:$A$999,Veda!$G$36,ar6_r10!$C$2:$C$999,Veda!O$17,ar6_r10!$M$2:$M$999,Veda!$G38)</f>
        <v>1.2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OS.f97p50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1.01</v>
      </c>
      <c r="K39" s="11">
        <f>SUMIFS(ar6_r10!$F$2:$F$999,ar6_r10!$A$2:$A$999,Veda!$G$36,ar6_r10!$C$2:$C$999,Veda!K$17,ar6_r10!$M$2:$M$999,Veda!$G39)</f>
        <v>1.03</v>
      </c>
      <c r="L39" s="11">
        <f>SUMIFS(ar6_r10!$F$2:$F$999,ar6_r10!$A$2:$A$999,Veda!$G$36,ar6_r10!$C$2:$C$999,Veda!L$17,ar6_r10!$M$2:$M$999,Veda!$G39)</f>
        <v>1</v>
      </c>
      <c r="M39" s="11">
        <f>SUMIFS(ar6_r10!$F$2:$F$999,ar6_r10!$A$2:$A$999,Veda!$G$36,ar6_r10!$C$2:$C$999,Veda!M$17,ar6_r10!$M$2:$M$999,Veda!$G39)</f>
        <v>1.04</v>
      </c>
      <c r="N39" s="11">
        <f>SUMIFS(ar6_r10!$F$2:$F$999,ar6_r10!$A$2:$A$999,Veda!$G$36,ar6_r10!$C$2:$C$999,Veda!N$17,ar6_r10!$M$2:$M$999,Veda!$G39)</f>
        <v>1.17</v>
      </c>
      <c r="O39" s="11">
        <f>SUMIFS(ar6_r10!$F$2:$F$999,ar6_r10!$A$2:$A$999,Veda!$G$36,ar6_r10!$C$2:$C$999,Veda!O$17,ar6_r10!$M$2:$M$999,Veda!$G39)</f>
        <v>1.22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OS.f97p50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1.05</v>
      </c>
      <c r="K40" s="11">
        <f>SUMIFS(ar6_r10!$F$2:$F$999,ar6_r10!$A$2:$A$999,Veda!$G$36,ar6_r10!$C$2:$C$999,Veda!K$17,ar6_r10!$M$2:$M$999,Veda!$G40)</f>
        <v>1.08</v>
      </c>
      <c r="L40" s="11">
        <f>SUMIFS(ar6_r10!$F$2:$F$999,ar6_r10!$A$2:$A$999,Veda!$G$36,ar6_r10!$C$2:$C$999,Veda!L$17,ar6_r10!$M$2:$M$999,Veda!$G40)</f>
        <v>1.06</v>
      </c>
      <c r="M40" s="11">
        <f>SUMIFS(ar6_r10!$F$2:$F$999,ar6_r10!$A$2:$A$999,Veda!$G$36,ar6_r10!$C$2:$C$999,Veda!M$17,ar6_r10!$M$2:$M$999,Veda!$G40)</f>
        <v>1.04</v>
      </c>
      <c r="N40" s="11">
        <f>SUMIFS(ar6_r10!$F$2:$F$999,ar6_r10!$A$2:$A$999,Veda!$G$36,ar6_r10!$C$2:$C$999,Veda!N$17,ar6_r10!$M$2:$M$999,Veda!$G40)</f>
        <v>1.07</v>
      </c>
      <c r="O40" s="11">
        <f>SUMIFS(ar6_r10!$F$2:$F$999,ar6_r10!$A$2:$A$999,Veda!$G$36,ar6_r10!$C$2:$C$999,Veda!O$17,ar6_r10!$M$2:$M$999,Veda!$G40)</f>
        <v>1.2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(67%).f97p50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(50%).f97p50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deg.f97p50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84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108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2">AVERAGE($R45:$S45)*I37</f>
        <v>12</v>
      </c>
      <c r="J45">
        <f t="shared" si="12"/>
        <v>13.440000000000001</v>
      </c>
      <c r="K45">
        <f t="shared" si="12"/>
        <v>13.200000000000001</v>
      </c>
      <c r="L45">
        <f t="shared" si="12"/>
        <v>13.32</v>
      </c>
      <c r="M45">
        <f t="shared" si="12"/>
        <v>14.04</v>
      </c>
      <c r="N45">
        <f t="shared" si="12"/>
        <v>13.799999999999999</v>
      </c>
      <c r="O45">
        <f t="shared" si="12"/>
        <v>15.120000000000001</v>
      </c>
      <c r="R45">
        <f>HLOOKUP($G45&amp;"_"&amp;R$44,fuel_prices!$B$10:$I$11,2,FALSE)</f>
        <v>10.3</v>
      </c>
      <c r="S45">
        <f>HLOOKUP($G45&amp;"_"&amp;S$44,fuel_prices!$B$10:$I$11,2,FALSE)</f>
        <v>13.7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79</v>
      </c>
      <c r="H46" t="str">
        <f t="shared" ref="H46:H48" si="13">G46</f>
        <v>Coal</v>
      </c>
      <c r="I46">
        <f t="shared" si="12"/>
        <v>13</v>
      </c>
      <c r="J46">
        <f t="shared" si="12"/>
        <v>13.65</v>
      </c>
      <c r="K46">
        <f t="shared" si="12"/>
        <v>14.430000000000001</v>
      </c>
      <c r="L46">
        <f t="shared" si="12"/>
        <v>14.819999999999999</v>
      </c>
      <c r="M46">
        <f t="shared" si="12"/>
        <v>15.6</v>
      </c>
      <c r="N46">
        <f t="shared" si="12"/>
        <v>16.510000000000002</v>
      </c>
      <c r="O46">
        <f t="shared" si="12"/>
        <v>15.6</v>
      </c>
      <c r="R46">
        <f>HLOOKUP($G46&amp;"_"&amp;R$44,fuel_prices!$B$10:$I$11,2,FALSE)</f>
        <v>11.5</v>
      </c>
      <c r="S46">
        <f>HLOOKUP($G46&amp;"_"&amp;S$44,fuel_prices!$B$10:$I$11,2,FALSE)</f>
        <v>14.5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80</v>
      </c>
      <c r="H47" t="str">
        <f t="shared" si="13"/>
        <v>Oil</v>
      </c>
      <c r="I47">
        <f t="shared" si="12"/>
        <v>50</v>
      </c>
      <c r="J47">
        <f t="shared" si="12"/>
        <v>50.5</v>
      </c>
      <c r="K47">
        <f t="shared" si="12"/>
        <v>51.5</v>
      </c>
      <c r="L47">
        <f t="shared" si="12"/>
        <v>50</v>
      </c>
      <c r="M47">
        <f t="shared" si="12"/>
        <v>52</v>
      </c>
      <c r="N47">
        <f t="shared" si="12"/>
        <v>58.5</v>
      </c>
      <c r="O47">
        <f t="shared" si="12"/>
        <v>61</v>
      </c>
      <c r="R47">
        <f>HLOOKUP($G47&amp;"_"&amp;R$44,fuel_prices!$B$10:$I$11,2,FALSE)</f>
        <v>45</v>
      </c>
      <c r="S47">
        <f>HLOOKUP($G47&amp;"_"&amp;S$44,fuel_prices!$B$10:$I$11,2,FALSE)</f>
        <v>55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81</v>
      </c>
      <c r="H48" t="str">
        <f t="shared" si="13"/>
        <v>Bioenergy</v>
      </c>
      <c r="I48">
        <f t="shared" si="12"/>
        <v>22</v>
      </c>
      <c r="J48">
        <f t="shared" si="12"/>
        <v>23.1</v>
      </c>
      <c r="K48">
        <f t="shared" si="12"/>
        <v>23.76</v>
      </c>
      <c r="L48">
        <f t="shared" si="12"/>
        <v>23.32</v>
      </c>
      <c r="M48">
        <f t="shared" si="12"/>
        <v>22.880000000000003</v>
      </c>
      <c r="N48">
        <f t="shared" si="12"/>
        <v>23.540000000000003</v>
      </c>
      <c r="O48">
        <f t="shared" si="12"/>
        <v>26.4</v>
      </c>
      <c r="R48">
        <f>HLOOKUP($G48&amp;"_"&amp;R$44,fuel_prices!$B$10:$I$11,2,FALSE)</f>
        <v>18</v>
      </c>
      <c r="S48">
        <f>HLOOKUP($G48&amp;"_"&amp;S$44,fuel_prices!$B$10:$I$11,2,FALSE)</f>
        <v>26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>
        <v>5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142</v>
      </c>
      <c r="B11">
        <v>10.3</v>
      </c>
      <c r="C11">
        <v>13.7</v>
      </c>
      <c r="D11">
        <v>11.5</v>
      </c>
      <c r="E11">
        <v>14.5</v>
      </c>
      <c r="F11">
        <v>45</v>
      </c>
      <c r="G11">
        <v>55</v>
      </c>
      <c r="H11">
        <v>18</v>
      </c>
      <c r="I11">
        <v>26</v>
      </c>
      <c r="J11" t="s">
        <v>144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142</v>
      </c>
      <c r="B11">
        <v>2000</v>
      </c>
      <c r="C11">
        <v>1697.49</v>
      </c>
      <c r="D11">
        <v>2352.75</v>
      </c>
      <c r="E11">
        <v>4.42</v>
      </c>
      <c r="F11">
        <v>0</v>
      </c>
      <c r="G11">
        <v>48.59</v>
      </c>
      <c r="H11">
        <v>-14.68</v>
      </c>
      <c r="I11">
        <v>4025.88</v>
      </c>
    </row>
    <row r="12" spans="1:9" x14ac:dyDescent="0.45">
      <c r="A12" t="s">
        <v>142</v>
      </c>
      <c r="B12">
        <v>2001</v>
      </c>
      <c r="C12">
        <v>1446.53</v>
      </c>
      <c r="D12">
        <v>2400.96</v>
      </c>
      <c r="E12">
        <v>4.59</v>
      </c>
      <c r="F12">
        <v>0</v>
      </c>
      <c r="G12">
        <v>38.5</v>
      </c>
      <c r="H12">
        <v>-16.47</v>
      </c>
      <c r="I12">
        <v>3838.83</v>
      </c>
    </row>
    <row r="13" spans="1:9" x14ac:dyDescent="0.45">
      <c r="A13" t="s">
        <v>142</v>
      </c>
      <c r="B13">
        <v>2002</v>
      </c>
      <c r="C13">
        <v>1358.49</v>
      </c>
      <c r="D13">
        <v>2509.35</v>
      </c>
      <c r="E13">
        <v>5.96</v>
      </c>
      <c r="F13">
        <v>0.06</v>
      </c>
      <c r="G13">
        <v>36.369999999999997</v>
      </c>
      <c r="H13">
        <v>-13.56</v>
      </c>
      <c r="I13">
        <v>4026.4</v>
      </c>
    </row>
    <row r="14" spans="1:9" x14ac:dyDescent="0.45">
      <c r="A14" t="s">
        <v>142</v>
      </c>
      <c r="B14">
        <v>2003</v>
      </c>
      <c r="C14">
        <v>1359.62</v>
      </c>
      <c r="D14">
        <v>2516.13</v>
      </c>
      <c r="E14">
        <v>5.91</v>
      </c>
      <c r="F14">
        <v>7.0000000000000007E-2</v>
      </c>
      <c r="G14">
        <v>30.39</v>
      </c>
      <c r="H14">
        <v>-23.97</v>
      </c>
      <c r="I14">
        <v>4054.65</v>
      </c>
    </row>
    <row r="15" spans="1:9" x14ac:dyDescent="0.45">
      <c r="A15" t="s">
        <v>142</v>
      </c>
      <c r="B15">
        <v>2004</v>
      </c>
      <c r="C15">
        <v>1410.36</v>
      </c>
      <c r="D15">
        <v>2562.4699999999998</v>
      </c>
      <c r="E15">
        <v>6.04</v>
      </c>
      <c r="F15">
        <v>7.0000000000000007E-2</v>
      </c>
      <c r="G15">
        <v>34.21</v>
      </c>
      <c r="H15">
        <v>-22.9</v>
      </c>
      <c r="I15">
        <v>4148.08</v>
      </c>
    </row>
    <row r="16" spans="1:9" x14ac:dyDescent="0.45">
      <c r="A16" t="s">
        <v>142</v>
      </c>
      <c r="B16">
        <v>2005</v>
      </c>
      <c r="C16">
        <v>1451.1</v>
      </c>
      <c r="D16">
        <v>2675.35</v>
      </c>
      <c r="E16">
        <v>6.13</v>
      </c>
      <c r="F16">
        <v>0.08</v>
      </c>
      <c r="G16">
        <v>44.53</v>
      </c>
      <c r="H16">
        <v>-19.8</v>
      </c>
      <c r="I16">
        <v>4268.8900000000003</v>
      </c>
    </row>
    <row r="17" spans="1:9" x14ac:dyDescent="0.45">
      <c r="A17" t="s">
        <v>142</v>
      </c>
      <c r="B17">
        <v>2006</v>
      </c>
      <c r="C17">
        <v>1436.04</v>
      </c>
      <c r="D17">
        <v>2692.23</v>
      </c>
      <c r="E17">
        <v>6.14</v>
      </c>
      <c r="F17">
        <v>0.09</v>
      </c>
      <c r="G17">
        <v>42.69</v>
      </c>
      <c r="H17">
        <v>-24.27</v>
      </c>
      <c r="I17">
        <v>4275.01</v>
      </c>
    </row>
    <row r="18" spans="1:9" x14ac:dyDescent="0.45">
      <c r="A18" t="s">
        <v>142</v>
      </c>
      <c r="B18">
        <v>2007</v>
      </c>
      <c r="C18">
        <v>1409.14</v>
      </c>
      <c r="D18">
        <v>2768.37</v>
      </c>
      <c r="E18">
        <v>6.59</v>
      </c>
      <c r="F18">
        <v>0.1</v>
      </c>
      <c r="G18">
        <v>51.4</v>
      </c>
      <c r="H18">
        <v>-20.14</v>
      </c>
      <c r="I18">
        <v>4323.92</v>
      </c>
    </row>
    <row r="19" spans="1:9" x14ac:dyDescent="0.45">
      <c r="A19" t="s">
        <v>142</v>
      </c>
      <c r="B19">
        <v>2008</v>
      </c>
      <c r="C19">
        <v>1424.69</v>
      </c>
      <c r="D19">
        <v>2754.59</v>
      </c>
      <c r="E19">
        <v>6.72</v>
      </c>
      <c r="F19">
        <v>0.1</v>
      </c>
      <c r="G19">
        <v>57.02</v>
      </c>
      <c r="H19">
        <v>-24.2</v>
      </c>
      <c r="I19">
        <v>4342.9799999999996</v>
      </c>
    </row>
    <row r="20" spans="1:9" x14ac:dyDescent="0.45">
      <c r="A20" t="s">
        <v>142</v>
      </c>
      <c r="B20">
        <v>2009</v>
      </c>
      <c r="C20">
        <v>1334.57</v>
      </c>
      <c r="D20">
        <v>2711.81</v>
      </c>
      <c r="E20">
        <v>6.23</v>
      </c>
      <c r="F20">
        <v>0.1</v>
      </c>
      <c r="G20">
        <v>52.19</v>
      </c>
      <c r="H20">
        <v>-18.14</v>
      </c>
      <c r="I20">
        <v>4165.3999999999996</v>
      </c>
    </row>
    <row r="21" spans="1:9" x14ac:dyDescent="0.45">
      <c r="A21" t="s">
        <v>142</v>
      </c>
      <c r="B21">
        <v>2010</v>
      </c>
      <c r="C21">
        <v>1398.31</v>
      </c>
      <c r="D21">
        <v>2814.31</v>
      </c>
      <c r="E21">
        <v>6.32</v>
      </c>
      <c r="F21">
        <v>0.1</v>
      </c>
      <c r="G21">
        <v>45.08</v>
      </c>
      <c r="H21">
        <v>-19.11</v>
      </c>
      <c r="I21">
        <v>4354.3599999999997</v>
      </c>
    </row>
    <row r="22" spans="1:9" x14ac:dyDescent="0.45">
      <c r="A22" t="s">
        <v>142</v>
      </c>
      <c r="B22">
        <v>2011</v>
      </c>
      <c r="C22">
        <v>1417.12</v>
      </c>
      <c r="D22">
        <v>2785.03</v>
      </c>
      <c r="E22">
        <v>6.39</v>
      </c>
      <c r="F22">
        <v>0.17</v>
      </c>
      <c r="G22">
        <v>52.3</v>
      </c>
      <c r="H22">
        <v>-15.04</v>
      </c>
      <c r="I22">
        <v>4326.6400000000003</v>
      </c>
    </row>
    <row r="23" spans="1:9" x14ac:dyDescent="0.45">
      <c r="A23" t="s">
        <v>142</v>
      </c>
      <c r="B23">
        <v>2012</v>
      </c>
      <c r="C23">
        <v>1419.44</v>
      </c>
      <c r="D23">
        <v>2729.2</v>
      </c>
      <c r="E23">
        <v>6.48</v>
      </c>
      <c r="F23">
        <v>0.36</v>
      </c>
      <c r="G23">
        <v>59.26</v>
      </c>
      <c r="H23">
        <v>-12</v>
      </c>
      <c r="I23">
        <v>4270.88</v>
      </c>
    </row>
    <row r="24" spans="1:9" x14ac:dyDescent="0.45">
      <c r="A24" t="s">
        <v>142</v>
      </c>
      <c r="B24">
        <v>2013</v>
      </c>
      <c r="C24">
        <v>1406.11</v>
      </c>
      <c r="D24">
        <v>2759.12</v>
      </c>
      <c r="E24">
        <v>6.63</v>
      </c>
      <c r="F24">
        <v>0.6</v>
      </c>
      <c r="G24">
        <v>68.95</v>
      </c>
      <c r="H24">
        <v>-11.35</v>
      </c>
      <c r="I24">
        <v>4287.1099999999997</v>
      </c>
    </row>
    <row r="25" spans="1:9" x14ac:dyDescent="0.45">
      <c r="A25" t="s">
        <v>142</v>
      </c>
      <c r="B25">
        <v>2014</v>
      </c>
      <c r="C25">
        <v>1385.2</v>
      </c>
      <c r="D25">
        <v>2794.58</v>
      </c>
      <c r="E25">
        <v>6.72</v>
      </c>
      <c r="F25">
        <v>0.88</v>
      </c>
      <c r="G25">
        <v>66.510000000000005</v>
      </c>
      <c r="H25">
        <v>-13.3</v>
      </c>
      <c r="I25">
        <v>4320.32</v>
      </c>
    </row>
    <row r="26" spans="1:9" x14ac:dyDescent="0.45">
      <c r="A26" t="s">
        <v>142</v>
      </c>
      <c r="B26">
        <v>2015</v>
      </c>
      <c r="C26">
        <v>1373.2</v>
      </c>
      <c r="D26">
        <v>2799.19</v>
      </c>
      <c r="E26">
        <v>6.83</v>
      </c>
      <c r="F26">
        <v>2.04</v>
      </c>
      <c r="G26">
        <v>75.77</v>
      </c>
      <c r="H26">
        <v>-9.1</v>
      </c>
      <c r="I26">
        <v>4297.05</v>
      </c>
    </row>
    <row r="27" spans="1:9" x14ac:dyDescent="0.45">
      <c r="A27" t="s">
        <v>142</v>
      </c>
      <c r="B27">
        <v>2016</v>
      </c>
      <c r="C27">
        <v>1331.52</v>
      </c>
      <c r="D27">
        <v>2811.1</v>
      </c>
      <c r="E27">
        <v>6.82</v>
      </c>
      <c r="F27">
        <v>3.78</v>
      </c>
      <c r="G27">
        <v>72.72</v>
      </c>
      <c r="H27">
        <v>-6.21</v>
      </c>
      <c r="I27">
        <v>4299.6000000000004</v>
      </c>
    </row>
    <row r="28" spans="1:9" x14ac:dyDescent="0.45">
      <c r="A28" t="s">
        <v>142</v>
      </c>
      <c r="B28">
        <v>2017</v>
      </c>
      <c r="C28">
        <v>1324.97</v>
      </c>
      <c r="D28">
        <v>2771.37</v>
      </c>
      <c r="E28">
        <v>7.14</v>
      </c>
      <c r="F28">
        <v>3.95</v>
      </c>
      <c r="G28">
        <v>65.680000000000007</v>
      </c>
      <c r="H28">
        <v>-9.3699999999999992</v>
      </c>
      <c r="I28">
        <v>4263.68</v>
      </c>
    </row>
    <row r="29" spans="1:9" x14ac:dyDescent="0.45">
      <c r="A29" t="s">
        <v>142</v>
      </c>
      <c r="B29">
        <v>2018</v>
      </c>
      <c r="C29">
        <v>1333.6</v>
      </c>
      <c r="D29">
        <v>2879.18</v>
      </c>
      <c r="E29">
        <v>7.04</v>
      </c>
      <c r="F29">
        <v>5.25</v>
      </c>
      <c r="G29">
        <v>58.26</v>
      </c>
      <c r="H29">
        <v>-13.8</v>
      </c>
      <c r="I29">
        <v>4433.9399999999996</v>
      </c>
    </row>
    <row r="30" spans="1:9" x14ac:dyDescent="0.45">
      <c r="A30" t="s">
        <v>142</v>
      </c>
      <c r="B30">
        <v>2019</v>
      </c>
      <c r="C30">
        <v>1312.83</v>
      </c>
      <c r="D30">
        <v>2875.78</v>
      </c>
      <c r="E30">
        <v>7.33</v>
      </c>
      <c r="F30">
        <v>6.5</v>
      </c>
      <c r="G30">
        <v>59.05</v>
      </c>
      <c r="H30">
        <v>-20.010000000000002</v>
      </c>
      <c r="I30">
        <v>4370.99</v>
      </c>
    </row>
    <row r="31" spans="1:9" x14ac:dyDescent="0.45">
      <c r="A31" t="s">
        <v>142</v>
      </c>
      <c r="B31">
        <v>2020</v>
      </c>
      <c r="C31">
        <v>1202.6300000000001</v>
      </c>
      <c r="D31">
        <v>2824.89</v>
      </c>
      <c r="E31">
        <v>4.6500000000000004</v>
      </c>
      <c r="F31">
        <v>5.6</v>
      </c>
      <c r="G31">
        <v>61.45</v>
      </c>
      <c r="H31">
        <v>-14.13</v>
      </c>
      <c r="I31">
        <v>4238.97</v>
      </c>
    </row>
    <row r="32" spans="1:9" x14ac:dyDescent="0.45">
      <c r="A32" t="s">
        <v>142</v>
      </c>
      <c r="B32">
        <v>2021</v>
      </c>
      <c r="C32">
        <v>1377.84</v>
      </c>
      <c r="D32">
        <v>2866.31</v>
      </c>
      <c r="E32">
        <v>5.55</v>
      </c>
      <c r="F32">
        <v>7.26</v>
      </c>
      <c r="G32">
        <v>53.17</v>
      </c>
      <c r="H32">
        <v>-13.86</v>
      </c>
      <c r="I32">
        <v>4354.0600000000004</v>
      </c>
    </row>
    <row r="33" spans="1:9" x14ac:dyDescent="0.45">
      <c r="A33" t="s">
        <v>142</v>
      </c>
      <c r="B33">
        <v>2022</v>
      </c>
      <c r="C33">
        <v>1335.73</v>
      </c>
      <c r="D33">
        <v>2928.09</v>
      </c>
      <c r="E33">
        <v>7.3</v>
      </c>
      <c r="F33">
        <v>9.44</v>
      </c>
      <c r="G33">
        <v>56.97</v>
      </c>
      <c r="H33">
        <v>-15.76</v>
      </c>
      <c r="I33">
        <v>4472.8999999999996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143</v>
      </c>
      <c r="C11">
        <v>2020</v>
      </c>
      <c r="D11">
        <v>60</v>
      </c>
      <c r="E11">
        <v>9.09</v>
      </c>
      <c r="F11">
        <v>0.28000000000000003</v>
      </c>
      <c r="G11">
        <v>11.39</v>
      </c>
      <c r="H11">
        <v>0</v>
      </c>
      <c r="I11">
        <v>27.01</v>
      </c>
      <c r="J11">
        <v>0</v>
      </c>
      <c r="K11">
        <v>19.61</v>
      </c>
      <c r="L11" t="s">
        <v>1</v>
      </c>
      <c r="M11" t="s">
        <v>27</v>
      </c>
    </row>
    <row r="12" spans="1:13" x14ac:dyDescent="0.45">
      <c r="A12" t="s">
        <v>0</v>
      </c>
      <c r="B12" t="s">
        <v>143</v>
      </c>
      <c r="C12">
        <v>2025</v>
      </c>
      <c r="D12">
        <v>60</v>
      </c>
      <c r="E12">
        <v>206.51</v>
      </c>
      <c r="F12">
        <v>186.41</v>
      </c>
      <c r="G12">
        <v>121.36</v>
      </c>
      <c r="H12">
        <v>33.32</v>
      </c>
      <c r="I12">
        <v>626.48</v>
      </c>
      <c r="J12">
        <v>132.25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143</v>
      </c>
      <c r="C13">
        <v>2030</v>
      </c>
      <c r="D13">
        <v>60</v>
      </c>
      <c r="E13">
        <v>266.32</v>
      </c>
      <c r="F13">
        <v>241.69</v>
      </c>
      <c r="G13">
        <v>128.69999999999999</v>
      </c>
      <c r="H13">
        <v>65.59</v>
      </c>
      <c r="I13">
        <v>673.46</v>
      </c>
      <c r="J13">
        <v>182.47</v>
      </c>
      <c r="K13">
        <v>320.88</v>
      </c>
      <c r="L13" t="s">
        <v>1</v>
      </c>
      <c r="M13" t="s">
        <v>27</v>
      </c>
    </row>
    <row r="14" spans="1:13" x14ac:dyDescent="0.45">
      <c r="A14" t="s">
        <v>0</v>
      </c>
      <c r="B14" t="s">
        <v>143</v>
      </c>
      <c r="C14">
        <v>2035</v>
      </c>
      <c r="D14">
        <v>60</v>
      </c>
      <c r="E14">
        <v>357.78</v>
      </c>
      <c r="F14">
        <v>339.03</v>
      </c>
      <c r="G14">
        <v>168.46</v>
      </c>
      <c r="H14">
        <v>2.57</v>
      </c>
      <c r="I14">
        <v>859.53</v>
      </c>
      <c r="J14">
        <v>227.05</v>
      </c>
      <c r="K14">
        <v>455.16</v>
      </c>
      <c r="L14" t="s">
        <v>1</v>
      </c>
      <c r="M14" t="s">
        <v>27</v>
      </c>
    </row>
    <row r="15" spans="1:13" x14ac:dyDescent="0.45">
      <c r="A15" t="s">
        <v>0</v>
      </c>
      <c r="B15" t="s">
        <v>143</v>
      </c>
      <c r="C15">
        <v>2040</v>
      </c>
      <c r="D15">
        <v>60</v>
      </c>
      <c r="E15">
        <v>465.58</v>
      </c>
      <c r="F15">
        <v>410.28</v>
      </c>
      <c r="G15">
        <v>216.16</v>
      </c>
      <c r="H15">
        <v>162.1</v>
      </c>
      <c r="I15">
        <v>1097.01</v>
      </c>
      <c r="J15">
        <v>298.63</v>
      </c>
      <c r="K15">
        <v>617.6</v>
      </c>
      <c r="L15" t="s">
        <v>1</v>
      </c>
      <c r="M15" t="s">
        <v>27</v>
      </c>
    </row>
    <row r="16" spans="1:13" x14ac:dyDescent="0.45">
      <c r="A16" t="s">
        <v>0</v>
      </c>
      <c r="B16" t="s">
        <v>143</v>
      </c>
      <c r="C16">
        <v>2045</v>
      </c>
      <c r="D16">
        <v>60</v>
      </c>
      <c r="E16">
        <v>557.95000000000005</v>
      </c>
      <c r="F16">
        <v>494.2</v>
      </c>
      <c r="G16">
        <v>248.47</v>
      </c>
      <c r="H16">
        <v>193.42</v>
      </c>
      <c r="I16">
        <v>1269.8800000000001</v>
      </c>
      <c r="J16">
        <v>352.78</v>
      </c>
      <c r="K16">
        <v>716.45</v>
      </c>
      <c r="L16" t="s">
        <v>1</v>
      </c>
      <c r="M16" t="s">
        <v>27</v>
      </c>
    </row>
    <row r="17" spans="1:13" x14ac:dyDescent="0.45">
      <c r="A17" t="s">
        <v>0</v>
      </c>
      <c r="B17" t="s">
        <v>143</v>
      </c>
      <c r="C17">
        <v>2050</v>
      </c>
      <c r="D17">
        <v>60</v>
      </c>
      <c r="E17">
        <v>640.07000000000005</v>
      </c>
      <c r="F17">
        <v>644.35</v>
      </c>
      <c r="G17">
        <v>263.85000000000002</v>
      </c>
      <c r="H17">
        <v>209.76</v>
      </c>
      <c r="I17">
        <v>1170.26</v>
      </c>
      <c r="J17">
        <v>409.79</v>
      </c>
      <c r="K17">
        <v>850.15</v>
      </c>
      <c r="L17" t="s">
        <v>1</v>
      </c>
      <c r="M17" t="s">
        <v>27</v>
      </c>
    </row>
    <row r="18" spans="1:13" x14ac:dyDescent="0.45">
      <c r="A18" t="s">
        <v>2</v>
      </c>
      <c r="B18" t="s">
        <v>143</v>
      </c>
      <c r="C18">
        <v>2020</v>
      </c>
      <c r="D18">
        <v>86</v>
      </c>
      <c r="E18">
        <v>4.93</v>
      </c>
      <c r="F18">
        <v>0</v>
      </c>
      <c r="G18">
        <v>9.17</v>
      </c>
      <c r="H18">
        <v>0</v>
      </c>
      <c r="I18">
        <v>26.79</v>
      </c>
      <c r="J18">
        <v>0</v>
      </c>
      <c r="K18">
        <v>3.32</v>
      </c>
      <c r="L18" t="s">
        <v>3</v>
      </c>
      <c r="M18" t="s">
        <v>27</v>
      </c>
    </row>
    <row r="19" spans="1:13" x14ac:dyDescent="0.45">
      <c r="A19" t="s">
        <v>2</v>
      </c>
      <c r="B19" t="s">
        <v>143</v>
      </c>
      <c r="C19">
        <v>2025</v>
      </c>
      <c r="D19">
        <v>75</v>
      </c>
      <c r="E19">
        <v>71.569999999999993</v>
      </c>
      <c r="F19">
        <v>53.52</v>
      </c>
      <c r="G19">
        <v>44.95</v>
      </c>
      <c r="H19">
        <v>20.07</v>
      </c>
      <c r="I19">
        <v>220.01</v>
      </c>
      <c r="J19">
        <v>40.81</v>
      </c>
      <c r="K19">
        <v>96.45</v>
      </c>
      <c r="L19" t="s">
        <v>3</v>
      </c>
      <c r="M19" t="s">
        <v>27</v>
      </c>
    </row>
    <row r="20" spans="1:13" x14ac:dyDescent="0.45">
      <c r="A20" t="s">
        <v>2</v>
      </c>
      <c r="B20" t="s">
        <v>143</v>
      </c>
      <c r="C20">
        <v>2030</v>
      </c>
      <c r="D20">
        <v>86</v>
      </c>
      <c r="E20">
        <v>82.28</v>
      </c>
      <c r="F20">
        <v>72.87</v>
      </c>
      <c r="G20">
        <v>51.41</v>
      </c>
      <c r="H20">
        <v>0</v>
      </c>
      <c r="I20">
        <v>293.35000000000002</v>
      </c>
      <c r="J20">
        <v>48.73</v>
      </c>
      <c r="K20">
        <v>108.63</v>
      </c>
      <c r="L20" t="s">
        <v>3</v>
      </c>
      <c r="M20" t="s">
        <v>27</v>
      </c>
    </row>
    <row r="21" spans="1:13" x14ac:dyDescent="0.45">
      <c r="A21" t="s">
        <v>2</v>
      </c>
      <c r="B21" t="s">
        <v>143</v>
      </c>
      <c r="C21">
        <v>2035</v>
      </c>
      <c r="D21">
        <v>75</v>
      </c>
      <c r="E21">
        <v>205.45</v>
      </c>
      <c r="F21">
        <v>153.66</v>
      </c>
      <c r="G21">
        <v>290.08999999999997</v>
      </c>
      <c r="H21">
        <v>60.83</v>
      </c>
      <c r="I21">
        <v>2037.12</v>
      </c>
      <c r="J21">
        <v>89.74</v>
      </c>
      <c r="K21">
        <v>206.26</v>
      </c>
      <c r="L21" t="s">
        <v>3</v>
      </c>
      <c r="M21" t="s">
        <v>27</v>
      </c>
    </row>
    <row r="22" spans="1:13" x14ac:dyDescent="0.45">
      <c r="A22" t="s">
        <v>2</v>
      </c>
      <c r="B22" t="s">
        <v>143</v>
      </c>
      <c r="C22">
        <v>2040</v>
      </c>
      <c r="D22">
        <v>86</v>
      </c>
      <c r="E22">
        <v>253.23</v>
      </c>
      <c r="F22">
        <v>172.09</v>
      </c>
      <c r="G22">
        <v>360.43</v>
      </c>
      <c r="H22">
        <v>0</v>
      </c>
      <c r="I22">
        <v>2600</v>
      </c>
      <c r="J22">
        <v>116.42</v>
      </c>
      <c r="K22">
        <v>258.41000000000003</v>
      </c>
      <c r="L22" t="s">
        <v>3</v>
      </c>
      <c r="M22" t="s">
        <v>27</v>
      </c>
    </row>
    <row r="23" spans="1:13" x14ac:dyDescent="0.45">
      <c r="A23" t="s">
        <v>2</v>
      </c>
      <c r="B23" t="s">
        <v>143</v>
      </c>
      <c r="C23">
        <v>2045</v>
      </c>
      <c r="D23">
        <v>75</v>
      </c>
      <c r="E23">
        <v>300.07</v>
      </c>
      <c r="F23">
        <v>253.87</v>
      </c>
      <c r="G23">
        <v>190.72</v>
      </c>
      <c r="H23">
        <v>103.36</v>
      </c>
      <c r="I23">
        <v>1213.1199999999999</v>
      </c>
      <c r="J23">
        <v>168.51</v>
      </c>
      <c r="K23">
        <v>351.39</v>
      </c>
      <c r="L23" t="s">
        <v>3</v>
      </c>
      <c r="M23" t="s">
        <v>27</v>
      </c>
    </row>
    <row r="24" spans="1:13" x14ac:dyDescent="0.45">
      <c r="A24" t="s">
        <v>2</v>
      </c>
      <c r="B24" t="s">
        <v>143</v>
      </c>
      <c r="C24">
        <v>2050</v>
      </c>
      <c r="D24">
        <v>86</v>
      </c>
      <c r="E24">
        <v>309.05</v>
      </c>
      <c r="F24">
        <v>285.02999999999997</v>
      </c>
      <c r="G24">
        <v>170.01</v>
      </c>
      <c r="H24">
        <v>0</v>
      </c>
      <c r="I24">
        <v>729.74</v>
      </c>
      <c r="J24">
        <v>194.45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143</v>
      </c>
      <c r="C25">
        <v>2020</v>
      </c>
      <c r="D25">
        <v>190</v>
      </c>
      <c r="E25">
        <v>10.23</v>
      </c>
      <c r="F25">
        <v>0</v>
      </c>
      <c r="G25">
        <v>16.02</v>
      </c>
      <c r="H25">
        <v>0</v>
      </c>
      <c r="I25">
        <v>138.4</v>
      </c>
      <c r="J25">
        <v>0</v>
      </c>
      <c r="K25">
        <v>19.66</v>
      </c>
      <c r="L25" t="s">
        <v>6</v>
      </c>
      <c r="M25" t="s">
        <v>27</v>
      </c>
    </row>
    <row r="26" spans="1:13" x14ac:dyDescent="0.45">
      <c r="A26" t="s">
        <v>5</v>
      </c>
      <c r="B26" t="s">
        <v>143</v>
      </c>
      <c r="C26">
        <v>2025</v>
      </c>
      <c r="D26">
        <v>167</v>
      </c>
      <c r="E26">
        <v>69.319999999999993</v>
      </c>
      <c r="F26">
        <v>53.56</v>
      </c>
      <c r="G26">
        <v>46.54</v>
      </c>
      <c r="H26">
        <v>12.5</v>
      </c>
      <c r="I26">
        <v>260.38</v>
      </c>
      <c r="J26">
        <v>38.94</v>
      </c>
      <c r="K26">
        <v>98.16</v>
      </c>
      <c r="L26" t="s">
        <v>6</v>
      </c>
      <c r="M26" t="s">
        <v>27</v>
      </c>
    </row>
    <row r="27" spans="1:13" x14ac:dyDescent="0.45">
      <c r="A27" t="s">
        <v>5</v>
      </c>
      <c r="B27" t="s">
        <v>143</v>
      </c>
      <c r="C27">
        <v>2030</v>
      </c>
      <c r="D27">
        <v>190</v>
      </c>
      <c r="E27">
        <v>94.02</v>
      </c>
      <c r="F27">
        <v>79.900000000000006</v>
      </c>
      <c r="G27">
        <v>53.67</v>
      </c>
      <c r="H27">
        <v>7.9</v>
      </c>
      <c r="I27">
        <v>347.18</v>
      </c>
      <c r="J27">
        <v>52.11</v>
      </c>
      <c r="K27">
        <v>120.05</v>
      </c>
      <c r="L27" t="s">
        <v>6</v>
      </c>
      <c r="M27" t="s">
        <v>27</v>
      </c>
    </row>
    <row r="28" spans="1:13" x14ac:dyDescent="0.45">
      <c r="A28" t="s">
        <v>5</v>
      </c>
      <c r="B28" t="s">
        <v>143</v>
      </c>
      <c r="C28">
        <v>2035</v>
      </c>
      <c r="D28">
        <v>167</v>
      </c>
      <c r="E28">
        <v>129.71</v>
      </c>
      <c r="F28">
        <v>104.42</v>
      </c>
      <c r="G28">
        <v>98.65</v>
      </c>
      <c r="H28">
        <v>11.85</v>
      </c>
      <c r="I28">
        <v>960.63</v>
      </c>
      <c r="J28">
        <v>72.599999999999994</v>
      </c>
      <c r="K28">
        <v>166.17</v>
      </c>
      <c r="L28" t="s">
        <v>6</v>
      </c>
      <c r="M28" t="s">
        <v>27</v>
      </c>
    </row>
    <row r="29" spans="1:13" x14ac:dyDescent="0.45">
      <c r="A29" t="s">
        <v>5</v>
      </c>
      <c r="B29" t="s">
        <v>143</v>
      </c>
      <c r="C29">
        <v>2040</v>
      </c>
      <c r="D29">
        <v>190</v>
      </c>
      <c r="E29">
        <v>166.56</v>
      </c>
      <c r="F29">
        <v>134.84</v>
      </c>
      <c r="G29">
        <v>118.6</v>
      </c>
      <c r="H29">
        <v>46.91</v>
      </c>
      <c r="I29">
        <v>1226.04</v>
      </c>
      <c r="J29">
        <v>98.66</v>
      </c>
      <c r="K29">
        <v>211.54</v>
      </c>
      <c r="L29" t="s">
        <v>6</v>
      </c>
      <c r="M29" t="s">
        <v>27</v>
      </c>
    </row>
    <row r="30" spans="1:13" x14ac:dyDescent="0.45">
      <c r="A30" t="s">
        <v>5</v>
      </c>
      <c r="B30" t="s">
        <v>143</v>
      </c>
      <c r="C30">
        <v>2045</v>
      </c>
      <c r="D30">
        <v>167</v>
      </c>
      <c r="E30">
        <v>207.79</v>
      </c>
      <c r="F30">
        <v>178.1</v>
      </c>
      <c r="G30">
        <v>149.51</v>
      </c>
      <c r="H30">
        <v>46.46</v>
      </c>
      <c r="I30">
        <v>1564.8</v>
      </c>
      <c r="J30">
        <v>120.71</v>
      </c>
      <c r="K30">
        <v>262.83999999999997</v>
      </c>
      <c r="L30" t="s">
        <v>6</v>
      </c>
      <c r="M30" t="s">
        <v>27</v>
      </c>
    </row>
    <row r="31" spans="1:13" x14ac:dyDescent="0.45">
      <c r="A31" t="s">
        <v>5</v>
      </c>
      <c r="B31" t="s">
        <v>143</v>
      </c>
      <c r="C31">
        <v>2050</v>
      </c>
      <c r="D31">
        <v>190</v>
      </c>
      <c r="E31">
        <v>240.05</v>
      </c>
      <c r="F31">
        <v>209.45</v>
      </c>
      <c r="G31">
        <v>122.98</v>
      </c>
      <c r="H31">
        <v>50.41</v>
      </c>
      <c r="I31">
        <v>712.07</v>
      </c>
      <c r="J31">
        <v>147.69999999999999</v>
      </c>
      <c r="K31">
        <v>301.86</v>
      </c>
      <c r="L31" t="s">
        <v>6</v>
      </c>
      <c r="M31" t="s">
        <v>27</v>
      </c>
    </row>
    <row r="32" spans="1:13" x14ac:dyDescent="0.45">
      <c r="A32" t="s">
        <v>7</v>
      </c>
      <c r="B32" t="s">
        <v>143</v>
      </c>
      <c r="C32">
        <v>2020</v>
      </c>
      <c r="D32">
        <v>74</v>
      </c>
      <c r="E32">
        <v>3.73</v>
      </c>
      <c r="F32">
        <v>0</v>
      </c>
      <c r="G32">
        <v>8.06</v>
      </c>
      <c r="H32">
        <v>0</v>
      </c>
      <c r="I32">
        <v>26.79</v>
      </c>
      <c r="J32">
        <v>0</v>
      </c>
      <c r="K32">
        <v>0</v>
      </c>
      <c r="L32" t="s">
        <v>8</v>
      </c>
      <c r="M32" t="s">
        <v>27</v>
      </c>
    </row>
    <row r="33" spans="1:13" x14ac:dyDescent="0.45">
      <c r="A33" t="s">
        <v>7</v>
      </c>
      <c r="B33" t="s">
        <v>143</v>
      </c>
      <c r="C33">
        <v>2025</v>
      </c>
      <c r="D33">
        <v>68</v>
      </c>
      <c r="E33">
        <v>35.26</v>
      </c>
      <c r="F33">
        <v>32.29</v>
      </c>
      <c r="G33">
        <v>20.190000000000001</v>
      </c>
      <c r="H33">
        <v>0</v>
      </c>
      <c r="I33">
        <v>107.15</v>
      </c>
      <c r="J33">
        <v>23.59</v>
      </c>
      <c r="K33">
        <v>40.18</v>
      </c>
      <c r="L33" t="s">
        <v>8</v>
      </c>
      <c r="M33" t="s">
        <v>27</v>
      </c>
    </row>
    <row r="34" spans="1:13" x14ac:dyDescent="0.45">
      <c r="A34" t="s">
        <v>7</v>
      </c>
      <c r="B34" t="s">
        <v>143</v>
      </c>
      <c r="C34">
        <v>2030</v>
      </c>
      <c r="D34">
        <v>74</v>
      </c>
      <c r="E34">
        <v>63.74</v>
      </c>
      <c r="F34">
        <v>53.39</v>
      </c>
      <c r="G34">
        <v>33.14</v>
      </c>
      <c r="H34">
        <v>0</v>
      </c>
      <c r="I34">
        <v>128.4</v>
      </c>
      <c r="J34">
        <v>38.83</v>
      </c>
      <c r="K34">
        <v>97.41</v>
      </c>
      <c r="L34" t="s">
        <v>8</v>
      </c>
      <c r="M34" t="s">
        <v>27</v>
      </c>
    </row>
    <row r="35" spans="1:13" x14ac:dyDescent="0.45">
      <c r="A35" t="s">
        <v>7</v>
      </c>
      <c r="B35" t="s">
        <v>143</v>
      </c>
      <c r="C35">
        <v>2035</v>
      </c>
      <c r="D35">
        <v>68</v>
      </c>
      <c r="E35">
        <v>61.58</v>
      </c>
      <c r="F35">
        <v>52.06</v>
      </c>
      <c r="G35">
        <v>29.82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143</v>
      </c>
      <c r="C36">
        <v>2040</v>
      </c>
      <c r="D36">
        <v>74</v>
      </c>
      <c r="E36">
        <v>86.46</v>
      </c>
      <c r="F36">
        <v>75.8</v>
      </c>
      <c r="G36">
        <v>43.44</v>
      </c>
      <c r="H36">
        <v>31.83</v>
      </c>
      <c r="I36">
        <v>283.33</v>
      </c>
      <c r="J36">
        <v>57.1</v>
      </c>
      <c r="K36">
        <v>108.19</v>
      </c>
      <c r="L36" t="s">
        <v>8</v>
      </c>
      <c r="M36" t="s">
        <v>27</v>
      </c>
    </row>
    <row r="37" spans="1:13" x14ac:dyDescent="0.45">
      <c r="A37" t="s">
        <v>7</v>
      </c>
      <c r="B37" t="s">
        <v>143</v>
      </c>
      <c r="C37">
        <v>2045</v>
      </c>
      <c r="D37">
        <v>68</v>
      </c>
      <c r="E37">
        <v>112.23</v>
      </c>
      <c r="F37">
        <v>95.39</v>
      </c>
      <c r="G37">
        <v>56.97</v>
      </c>
      <c r="H37">
        <v>42.44</v>
      </c>
      <c r="I37">
        <v>319.42</v>
      </c>
      <c r="J37">
        <v>73.23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143</v>
      </c>
      <c r="C38">
        <v>2050</v>
      </c>
      <c r="D38">
        <v>74</v>
      </c>
      <c r="E38">
        <v>132.32</v>
      </c>
      <c r="F38">
        <v>112.38</v>
      </c>
      <c r="G38">
        <v>60.08</v>
      </c>
      <c r="H38">
        <v>54.16</v>
      </c>
      <c r="I38">
        <v>331.7</v>
      </c>
      <c r="J38">
        <v>92.51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143</v>
      </c>
      <c r="C39">
        <v>2020</v>
      </c>
      <c r="D39">
        <v>55</v>
      </c>
      <c r="E39">
        <v>4.2</v>
      </c>
      <c r="F39">
        <v>0</v>
      </c>
      <c r="G39">
        <v>8.2799999999999994</v>
      </c>
      <c r="H39">
        <v>0</v>
      </c>
      <c r="I39">
        <v>27.01</v>
      </c>
      <c r="J39">
        <v>0</v>
      </c>
      <c r="K39">
        <v>3.32</v>
      </c>
      <c r="L39" t="s">
        <v>10</v>
      </c>
      <c r="M39" t="s">
        <v>27</v>
      </c>
    </row>
    <row r="40" spans="1:13" x14ac:dyDescent="0.45">
      <c r="A40" t="s">
        <v>9</v>
      </c>
      <c r="B40" t="s">
        <v>143</v>
      </c>
      <c r="C40">
        <v>2025</v>
      </c>
      <c r="D40">
        <v>50</v>
      </c>
      <c r="E40">
        <v>4.01</v>
      </c>
      <c r="F40">
        <v>0</v>
      </c>
      <c r="G40">
        <v>7.99</v>
      </c>
      <c r="H40">
        <v>0</v>
      </c>
      <c r="I40">
        <v>25.21</v>
      </c>
      <c r="J40">
        <v>0</v>
      </c>
      <c r="K40">
        <v>1.71</v>
      </c>
      <c r="L40" t="s">
        <v>10</v>
      </c>
      <c r="M40" t="s">
        <v>27</v>
      </c>
    </row>
    <row r="41" spans="1:13" x14ac:dyDescent="0.45">
      <c r="A41" t="s">
        <v>9</v>
      </c>
      <c r="B41" t="s">
        <v>143</v>
      </c>
      <c r="C41">
        <v>2030</v>
      </c>
      <c r="D41">
        <v>55</v>
      </c>
      <c r="E41">
        <v>10.46</v>
      </c>
      <c r="F41">
        <v>0</v>
      </c>
      <c r="G41">
        <v>29.23</v>
      </c>
      <c r="H41">
        <v>0</v>
      </c>
      <c r="I41">
        <v>129.01</v>
      </c>
      <c r="J41">
        <v>0</v>
      </c>
      <c r="K41">
        <v>4.22</v>
      </c>
      <c r="L41" t="s">
        <v>10</v>
      </c>
      <c r="M41" t="s">
        <v>27</v>
      </c>
    </row>
    <row r="42" spans="1:13" x14ac:dyDescent="0.45">
      <c r="A42" t="s">
        <v>9</v>
      </c>
      <c r="B42" t="s">
        <v>143</v>
      </c>
      <c r="C42">
        <v>2035</v>
      </c>
      <c r="D42">
        <v>50</v>
      </c>
      <c r="E42">
        <v>4.38</v>
      </c>
      <c r="F42">
        <v>0</v>
      </c>
      <c r="G42">
        <v>7.41</v>
      </c>
      <c r="H42">
        <v>0</v>
      </c>
      <c r="I42">
        <v>22.44</v>
      </c>
      <c r="J42">
        <v>0</v>
      </c>
      <c r="K42">
        <v>5</v>
      </c>
      <c r="L42" t="s">
        <v>10</v>
      </c>
      <c r="M42" t="s">
        <v>27</v>
      </c>
    </row>
    <row r="43" spans="1:13" x14ac:dyDescent="0.45">
      <c r="A43" t="s">
        <v>9</v>
      </c>
      <c r="B43" t="s">
        <v>143</v>
      </c>
      <c r="C43">
        <v>2040</v>
      </c>
      <c r="D43">
        <v>55</v>
      </c>
      <c r="E43">
        <v>4.0199999999999996</v>
      </c>
      <c r="F43">
        <v>0</v>
      </c>
      <c r="G43">
        <v>6.89</v>
      </c>
      <c r="H43">
        <v>0</v>
      </c>
      <c r="I43">
        <v>21.14</v>
      </c>
      <c r="J43">
        <v>0</v>
      </c>
      <c r="K43">
        <v>3.75</v>
      </c>
      <c r="L43" t="s">
        <v>10</v>
      </c>
      <c r="M43" t="s">
        <v>27</v>
      </c>
    </row>
    <row r="44" spans="1:13" x14ac:dyDescent="0.45">
      <c r="A44" t="s">
        <v>9</v>
      </c>
      <c r="B44" t="s">
        <v>143</v>
      </c>
      <c r="C44">
        <v>2045</v>
      </c>
      <c r="D44">
        <v>50</v>
      </c>
      <c r="E44">
        <v>4.47</v>
      </c>
      <c r="F44">
        <v>0</v>
      </c>
      <c r="G44">
        <v>6.86</v>
      </c>
      <c r="H44">
        <v>0</v>
      </c>
      <c r="I44">
        <v>19.899999999999999</v>
      </c>
      <c r="J44">
        <v>0</v>
      </c>
      <c r="K44">
        <v>5.93</v>
      </c>
      <c r="L44" t="s">
        <v>10</v>
      </c>
      <c r="M44" t="s">
        <v>27</v>
      </c>
    </row>
    <row r="45" spans="1:13" x14ac:dyDescent="0.45">
      <c r="A45" t="s">
        <v>9</v>
      </c>
      <c r="B45" t="s">
        <v>143</v>
      </c>
      <c r="C45">
        <v>2050</v>
      </c>
      <c r="D45">
        <v>55</v>
      </c>
      <c r="E45">
        <v>4.08</v>
      </c>
      <c r="F45">
        <v>0</v>
      </c>
      <c r="G45">
        <v>6.49</v>
      </c>
      <c r="H45">
        <v>-0.01</v>
      </c>
      <c r="I45">
        <v>21.35</v>
      </c>
      <c r="J45">
        <v>0</v>
      </c>
      <c r="K45">
        <v>5.22</v>
      </c>
      <c r="L45" t="s">
        <v>10</v>
      </c>
      <c r="M45" t="s">
        <v>27</v>
      </c>
    </row>
    <row r="46" spans="1:13" x14ac:dyDescent="0.45">
      <c r="A46" t="s">
        <v>0</v>
      </c>
      <c r="B46" t="s">
        <v>143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143</v>
      </c>
      <c r="C47">
        <v>2025</v>
      </c>
      <c r="D47">
        <v>64</v>
      </c>
      <c r="E47">
        <v>0.99</v>
      </c>
      <c r="F47">
        <v>0.97</v>
      </c>
      <c r="G47">
        <v>0.08</v>
      </c>
      <c r="H47">
        <v>0.84</v>
      </c>
      <c r="I47">
        <v>1.25</v>
      </c>
      <c r="J47">
        <v>0.95</v>
      </c>
      <c r="K47">
        <v>1</v>
      </c>
      <c r="L47" t="s">
        <v>1</v>
      </c>
      <c r="M47" t="s">
        <v>11</v>
      </c>
    </row>
    <row r="48" spans="1:13" x14ac:dyDescent="0.45">
      <c r="A48" t="s">
        <v>0</v>
      </c>
      <c r="B48" t="s">
        <v>143</v>
      </c>
      <c r="C48">
        <v>2030</v>
      </c>
      <c r="D48">
        <v>64</v>
      </c>
      <c r="E48">
        <v>1.0900000000000001</v>
      </c>
      <c r="F48">
        <v>1.07</v>
      </c>
      <c r="G48">
        <v>0.15</v>
      </c>
      <c r="H48">
        <v>0.85</v>
      </c>
      <c r="I48">
        <v>1.79</v>
      </c>
      <c r="J48">
        <v>1.02</v>
      </c>
      <c r="K48">
        <v>1.1200000000000001</v>
      </c>
      <c r="L48" t="s">
        <v>1</v>
      </c>
      <c r="M48" t="s">
        <v>11</v>
      </c>
    </row>
    <row r="49" spans="1:13" x14ac:dyDescent="0.45">
      <c r="A49" t="s">
        <v>0</v>
      </c>
      <c r="B49" t="s">
        <v>143</v>
      </c>
      <c r="C49">
        <v>2035</v>
      </c>
      <c r="D49">
        <v>64</v>
      </c>
      <c r="E49">
        <v>1.29</v>
      </c>
      <c r="F49">
        <v>1.26</v>
      </c>
      <c r="G49">
        <v>0.2</v>
      </c>
      <c r="H49">
        <v>1.03</v>
      </c>
      <c r="I49">
        <v>2.06</v>
      </c>
      <c r="J49">
        <v>1.1599999999999999</v>
      </c>
      <c r="K49">
        <v>1.34</v>
      </c>
      <c r="L49" t="s">
        <v>1</v>
      </c>
      <c r="M49" t="s">
        <v>11</v>
      </c>
    </row>
    <row r="50" spans="1:13" x14ac:dyDescent="0.45">
      <c r="A50" t="s">
        <v>0</v>
      </c>
      <c r="B50" t="s">
        <v>143</v>
      </c>
      <c r="C50">
        <v>2040</v>
      </c>
      <c r="D50">
        <v>64</v>
      </c>
      <c r="E50">
        <v>1.52</v>
      </c>
      <c r="F50">
        <v>1.49</v>
      </c>
      <c r="G50">
        <v>0.25</v>
      </c>
      <c r="H50">
        <v>0.95</v>
      </c>
      <c r="I50">
        <v>2.21</v>
      </c>
      <c r="J50">
        <v>1.33</v>
      </c>
      <c r="K50">
        <v>1.64</v>
      </c>
      <c r="L50" t="s">
        <v>1</v>
      </c>
      <c r="M50" t="s">
        <v>11</v>
      </c>
    </row>
    <row r="51" spans="1:13" x14ac:dyDescent="0.45">
      <c r="A51" t="s">
        <v>0</v>
      </c>
      <c r="B51" t="s">
        <v>143</v>
      </c>
      <c r="C51">
        <v>2045</v>
      </c>
      <c r="D51">
        <v>64</v>
      </c>
      <c r="E51">
        <v>1.72</v>
      </c>
      <c r="F51">
        <v>1.67</v>
      </c>
      <c r="G51">
        <v>0.3</v>
      </c>
      <c r="H51">
        <v>1.04</v>
      </c>
      <c r="I51">
        <v>2.4700000000000002</v>
      </c>
      <c r="J51">
        <v>1.5</v>
      </c>
      <c r="K51">
        <v>1.95</v>
      </c>
      <c r="L51" t="s">
        <v>1</v>
      </c>
      <c r="M51" t="s">
        <v>11</v>
      </c>
    </row>
    <row r="52" spans="1:13" x14ac:dyDescent="0.45">
      <c r="A52" t="s">
        <v>0</v>
      </c>
      <c r="B52" t="s">
        <v>143</v>
      </c>
      <c r="C52">
        <v>2050</v>
      </c>
      <c r="D52">
        <v>64</v>
      </c>
      <c r="E52">
        <v>1.88</v>
      </c>
      <c r="F52">
        <v>1.88</v>
      </c>
      <c r="G52">
        <v>0.35</v>
      </c>
      <c r="H52">
        <v>1.1299999999999999</v>
      </c>
      <c r="I52">
        <v>2.66</v>
      </c>
      <c r="J52">
        <v>1.68</v>
      </c>
      <c r="K52">
        <v>2.13</v>
      </c>
      <c r="L52" t="s">
        <v>1</v>
      </c>
      <c r="M52" t="s">
        <v>11</v>
      </c>
    </row>
    <row r="53" spans="1:13" x14ac:dyDescent="0.45">
      <c r="A53" t="s">
        <v>2</v>
      </c>
      <c r="B53" t="s">
        <v>143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143</v>
      </c>
      <c r="C54">
        <v>2025</v>
      </c>
      <c r="D54">
        <v>89</v>
      </c>
      <c r="E54">
        <v>1.02</v>
      </c>
      <c r="F54">
        <v>1.01</v>
      </c>
      <c r="G54">
        <v>0.06</v>
      </c>
      <c r="H54">
        <v>0.8</v>
      </c>
      <c r="I54">
        <v>1.3</v>
      </c>
      <c r="J54">
        <v>0.98</v>
      </c>
      <c r="K54">
        <v>1.04</v>
      </c>
      <c r="L54" t="s">
        <v>3</v>
      </c>
      <c r="M54" t="s">
        <v>11</v>
      </c>
    </row>
    <row r="55" spans="1:13" x14ac:dyDescent="0.45">
      <c r="A55" t="s">
        <v>2</v>
      </c>
      <c r="B55" t="s">
        <v>143</v>
      </c>
      <c r="C55">
        <v>2030</v>
      </c>
      <c r="D55">
        <v>100</v>
      </c>
      <c r="E55">
        <v>1.1000000000000001</v>
      </c>
      <c r="F55">
        <v>1.0900000000000001</v>
      </c>
      <c r="G55">
        <v>0.09</v>
      </c>
      <c r="H55">
        <v>0.77</v>
      </c>
      <c r="I55">
        <v>1.47</v>
      </c>
      <c r="J55">
        <v>1.06</v>
      </c>
      <c r="K55">
        <v>1.1399999999999999</v>
      </c>
      <c r="L55" t="s">
        <v>3</v>
      </c>
      <c r="M55" t="s">
        <v>11</v>
      </c>
    </row>
    <row r="56" spans="1:13" x14ac:dyDescent="0.45">
      <c r="A56" t="s">
        <v>2</v>
      </c>
      <c r="B56" t="s">
        <v>143</v>
      </c>
      <c r="C56">
        <v>2035</v>
      </c>
      <c r="D56">
        <v>89</v>
      </c>
      <c r="E56">
        <v>1.18</v>
      </c>
      <c r="F56">
        <v>1.17</v>
      </c>
      <c r="G56">
        <v>0.12</v>
      </c>
      <c r="H56">
        <v>0.89</v>
      </c>
      <c r="I56">
        <v>1.66</v>
      </c>
      <c r="J56">
        <v>1.1000000000000001</v>
      </c>
      <c r="K56">
        <v>1.27</v>
      </c>
      <c r="L56" t="s">
        <v>3</v>
      </c>
      <c r="M56" t="s">
        <v>11</v>
      </c>
    </row>
    <row r="57" spans="1:13" x14ac:dyDescent="0.45">
      <c r="A57" t="s">
        <v>2</v>
      </c>
      <c r="B57" t="s">
        <v>143</v>
      </c>
      <c r="C57">
        <v>2040</v>
      </c>
      <c r="D57">
        <v>100</v>
      </c>
      <c r="E57">
        <v>1.38</v>
      </c>
      <c r="F57">
        <v>1.36</v>
      </c>
      <c r="G57">
        <v>0.17</v>
      </c>
      <c r="H57">
        <v>1.07</v>
      </c>
      <c r="I57">
        <v>1.98</v>
      </c>
      <c r="J57">
        <v>1.26</v>
      </c>
      <c r="K57">
        <v>1.49</v>
      </c>
      <c r="L57" t="s">
        <v>3</v>
      </c>
      <c r="M57" t="s">
        <v>11</v>
      </c>
    </row>
    <row r="58" spans="1:13" x14ac:dyDescent="0.45">
      <c r="A58" t="s">
        <v>2</v>
      </c>
      <c r="B58" t="s">
        <v>143</v>
      </c>
      <c r="C58">
        <v>2045</v>
      </c>
      <c r="D58">
        <v>89</v>
      </c>
      <c r="E58">
        <v>1.54</v>
      </c>
      <c r="F58">
        <v>1.48</v>
      </c>
      <c r="G58">
        <v>0.22</v>
      </c>
      <c r="H58">
        <v>1.1399999999999999</v>
      </c>
      <c r="I58">
        <v>2.2000000000000002</v>
      </c>
      <c r="J58">
        <v>1.38</v>
      </c>
      <c r="K58">
        <v>1.73</v>
      </c>
      <c r="L58" t="s">
        <v>3</v>
      </c>
      <c r="M58" t="s">
        <v>11</v>
      </c>
    </row>
    <row r="59" spans="1:13" x14ac:dyDescent="0.45">
      <c r="A59" t="s">
        <v>2</v>
      </c>
      <c r="B59" t="s">
        <v>143</v>
      </c>
      <c r="C59">
        <v>2050</v>
      </c>
      <c r="D59">
        <v>100</v>
      </c>
      <c r="E59">
        <v>1.75</v>
      </c>
      <c r="F59">
        <v>1.72</v>
      </c>
      <c r="G59">
        <v>0.26</v>
      </c>
      <c r="H59">
        <v>1.17</v>
      </c>
      <c r="I59">
        <v>2.46</v>
      </c>
      <c r="J59">
        <v>1.59</v>
      </c>
      <c r="K59">
        <v>1.94</v>
      </c>
      <c r="L59" t="s">
        <v>3</v>
      </c>
      <c r="M59" t="s">
        <v>11</v>
      </c>
    </row>
    <row r="60" spans="1:13" x14ac:dyDescent="0.45">
      <c r="A60" t="s">
        <v>5</v>
      </c>
      <c r="B60" t="s">
        <v>143</v>
      </c>
      <c r="C60">
        <v>2020</v>
      </c>
      <c r="D60">
        <v>233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143</v>
      </c>
      <c r="C61">
        <v>2025</v>
      </c>
      <c r="D61">
        <v>210</v>
      </c>
      <c r="E61">
        <v>1.02</v>
      </c>
      <c r="F61">
        <v>1.01</v>
      </c>
      <c r="G61">
        <v>0.06</v>
      </c>
      <c r="H61">
        <v>0.86</v>
      </c>
      <c r="I61">
        <v>1.24</v>
      </c>
      <c r="J61">
        <v>0.98</v>
      </c>
      <c r="K61">
        <v>1.04</v>
      </c>
      <c r="L61" t="s">
        <v>6</v>
      </c>
      <c r="M61" t="s">
        <v>11</v>
      </c>
    </row>
    <row r="62" spans="1:13" x14ac:dyDescent="0.45">
      <c r="A62" t="s">
        <v>5</v>
      </c>
      <c r="B62" t="s">
        <v>143</v>
      </c>
      <c r="C62">
        <v>2030</v>
      </c>
      <c r="D62">
        <v>233</v>
      </c>
      <c r="E62">
        <v>1.0900000000000001</v>
      </c>
      <c r="F62">
        <v>1.0900000000000001</v>
      </c>
      <c r="G62">
        <v>0.09</v>
      </c>
      <c r="H62">
        <v>0.86</v>
      </c>
      <c r="I62">
        <v>1.44</v>
      </c>
      <c r="J62">
        <v>1.04</v>
      </c>
      <c r="K62">
        <v>1.1200000000000001</v>
      </c>
      <c r="L62" t="s">
        <v>6</v>
      </c>
      <c r="M62" t="s">
        <v>11</v>
      </c>
    </row>
    <row r="63" spans="1:13" x14ac:dyDescent="0.45">
      <c r="A63" t="s">
        <v>5</v>
      </c>
      <c r="B63" t="s">
        <v>143</v>
      </c>
      <c r="C63">
        <v>2035</v>
      </c>
      <c r="D63">
        <v>210</v>
      </c>
      <c r="E63">
        <v>1.19</v>
      </c>
      <c r="F63">
        <v>1.18</v>
      </c>
      <c r="G63">
        <v>0.15</v>
      </c>
      <c r="H63">
        <v>0.93</v>
      </c>
      <c r="I63">
        <v>2.08</v>
      </c>
      <c r="J63">
        <v>1.1000000000000001</v>
      </c>
      <c r="K63">
        <v>1.25</v>
      </c>
      <c r="L63" t="s">
        <v>6</v>
      </c>
      <c r="M63" t="s">
        <v>11</v>
      </c>
    </row>
    <row r="64" spans="1:13" x14ac:dyDescent="0.45">
      <c r="A64" t="s">
        <v>5</v>
      </c>
      <c r="B64" t="s">
        <v>143</v>
      </c>
      <c r="C64">
        <v>2040</v>
      </c>
      <c r="D64">
        <v>233</v>
      </c>
      <c r="E64">
        <v>1.36</v>
      </c>
      <c r="F64">
        <v>1.3</v>
      </c>
      <c r="G64">
        <v>0.22</v>
      </c>
      <c r="H64">
        <v>0.95</v>
      </c>
      <c r="I64">
        <v>2.5299999999999998</v>
      </c>
      <c r="J64">
        <v>1.21</v>
      </c>
      <c r="K64">
        <v>1.5</v>
      </c>
      <c r="L64" t="s">
        <v>6</v>
      </c>
      <c r="M64" t="s">
        <v>11</v>
      </c>
    </row>
    <row r="65" spans="1:13" x14ac:dyDescent="0.45">
      <c r="A65" t="s">
        <v>5</v>
      </c>
      <c r="B65" t="s">
        <v>143</v>
      </c>
      <c r="C65">
        <v>2045</v>
      </c>
      <c r="D65">
        <v>210</v>
      </c>
      <c r="E65">
        <v>1.59</v>
      </c>
      <c r="F65">
        <v>1.5</v>
      </c>
      <c r="G65">
        <v>0.3</v>
      </c>
      <c r="H65">
        <v>1.01</v>
      </c>
      <c r="I65">
        <v>2.63</v>
      </c>
      <c r="J65">
        <v>1.38</v>
      </c>
      <c r="K65">
        <v>1.72</v>
      </c>
      <c r="L65" t="s">
        <v>6</v>
      </c>
      <c r="M65" t="s">
        <v>11</v>
      </c>
    </row>
    <row r="66" spans="1:13" x14ac:dyDescent="0.45">
      <c r="A66" t="s">
        <v>5</v>
      </c>
      <c r="B66" t="s">
        <v>143</v>
      </c>
      <c r="C66">
        <v>2050</v>
      </c>
      <c r="D66">
        <v>233</v>
      </c>
      <c r="E66">
        <v>1.76</v>
      </c>
      <c r="F66">
        <v>1.7</v>
      </c>
      <c r="G66">
        <v>0.33</v>
      </c>
      <c r="H66">
        <v>1.05</v>
      </c>
      <c r="I66">
        <v>2.83</v>
      </c>
      <c r="J66">
        <v>1.53</v>
      </c>
      <c r="K66">
        <v>1.92</v>
      </c>
      <c r="L66" t="s">
        <v>6</v>
      </c>
      <c r="M66" t="s">
        <v>11</v>
      </c>
    </row>
    <row r="67" spans="1:13" x14ac:dyDescent="0.45">
      <c r="A67" t="s">
        <v>7</v>
      </c>
      <c r="B67" t="s">
        <v>143</v>
      </c>
      <c r="C67">
        <v>2020</v>
      </c>
      <c r="D67">
        <v>87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143</v>
      </c>
      <c r="C68">
        <v>2025</v>
      </c>
      <c r="D68">
        <v>81</v>
      </c>
      <c r="E68">
        <v>1.05</v>
      </c>
      <c r="F68">
        <v>1.04</v>
      </c>
      <c r="G68">
        <v>0.08</v>
      </c>
      <c r="H68">
        <v>0.96</v>
      </c>
      <c r="I68">
        <v>1.19</v>
      </c>
      <c r="J68">
        <v>0.99</v>
      </c>
      <c r="K68">
        <v>1.07</v>
      </c>
      <c r="L68" t="s">
        <v>8</v>
      </c>
      <c r="M68" t="s">
        <v>11</v>
      </c>
    </row>
    <row r="69" spans="1:13" x14ac:dyDescent="0.45">
      <c r="A69" t="s">
        <v>7</v>
      </c>
      <c r="B69" t="s">
        <v>143</v>
      </c>
      <c r="C69">
        <v>2030</v>
      </c>
      <c r="D69">
        <v>87</v>
      </c>
      <c r="E69">
        <v>1.1000000000000001</v>
      </c>
      <c r="F69">
        <v>1.1100000000000001</v>
      </c>
      <c r="G69">
        <v>0.08</v>
      </c>
      <c r="H69">
        <v>0.98</v>
      </c>
      <c r="I69">
        <v>1.27</v>
      </c>
      <c r="J69">
        <v>1.04</v>
      </c>
      <c r="K69">
        <v>1.1599999999999999</v>
      </c>
      <c r="L69" t="s">
        <v>8</v>
      </c>
      <c r="M69" t="s">
        <v>11</v>
      </c>
    </row>
    <row r="70" spans="1:13" x14ac:dyDescent="0.45">
      <c r="A70" t="s">
        <v>7</v>
      </c>
      <c r="B70" t="s">
        <v>143</v>
      </c>
      <c r="C70">
        <v>2035</v>
      </c>
      <c r="D70">
        <v>81</v>
      </c>
      <c r="E70">
        <v>1.1100000000000001</v>
      </c>
      <c r="F70">
        <v>1.08</v>
      </c>
      <c r="G70">
        <v>0.1</v>
      </c>
      <c r="H70">
        <v>0.94</v>
      </c>
      <c r="I70">
        <v>1.4</v>
      </c>
      <c r="J70">
        <v>1.03</v>
      </c>
      <c r="K70">
        <v>1.18</v>
      </c>
      <c r="L70" t="s">
        <v>8</v>
      </c>
      <c r="M70" t="s">
        <v>11</v>
      </c>
    </row>
    <row r="71" spans="1:13" x14ac:dyDescent="0.45">
      <c r="A71" t="s">
        <v>7</v>
      </c>
      <c r="B71" t="s">
        <v>143</v>
      </c>
      <c r="C71">
        <v>2040</v>
      </c>
      <c r="D71">
        <v>87</v>
      </c>
      <c r="E71">
        <v>1.2</v>
      </c>
      <c r="F71">
        <v>1.19</v>
      </c>
      <c r="G71">
        <v>0.13</v>
      </c>
      <c r="H71">
        <v>0.95</v>
      </c>
      <c r="I71">
        <v>1.6</v>
      </c>
      <c r="J71">
        <v>1.1100000000000001</v>
      </c>
      <c r="K71">
        <v>1.26</v>
      </c>
      <c r="L71" t="s">
        <v>8</v>
      </c>
      <c r="M71" t="s">
        <v>11</v>
      </c>
    </row>
    <row r="72" spans="1:13" x14ac:dyDescent="0.45">
      <c r="A72" t="s">
        <v>7</v>
      </c>
      <c r="B72" t="s">
        <v>143</v>
      </c>
      <c r="C72">
        <v>2045</v>
      </c>
      <c r="D72">
        <v>81</v>
      </c>
      <c r="E72">
        <v>1.31</v>
      </c>
      <c r="F72">
        <v>1.31</v>
      </c>
      <c r="G72">
        <v>0.16</v>
      </c>
      <c r="H72">
        <v>0.99</v>
      </c>
      <c r="I72">
        <v>1.78</v>
      </c>
      <c r="J72">
        <v>1.2</v>
      </c>
      <c r="K72">
        <v>1.41</v>
      </c>
      <c r="L72" t="s">
        <v>8</v>
      </c>
      <c r="M72" t="s">
        <v>11</v>
      </c>
    </row>
    <row r="73" spans="1:13" x14ac:dyDescent="0.45">
      <c r="A73" t="s">
        <v>7</v>
      </c>
      <c r="B73" t="s">
        <v>143</v>
      </c>
      <c r="C73">
        <v>2050</v>
      </c>
      <c r="D73">
        <v>87</v>
      </c>
      <c r="E73">
        <v>1.45</v>
      </c>
      <c r="F73">
        <v>1.47</v>
      </c>
      <c r="G73">
        <v>0.19</v>
      </c>
      <c r="H73">
        <v>1.01</v>
      </c>
      <c r="I73">
        <v>1.95</v>
      </c>
      <c r="J73">
        <v>1.34</v>
      </c>
      <c r="K73">
        <v>1.58</v>
      </c>
      <c r="L73" t="s">
        <v>8</v>
      </c>
      <c r="M73" t="s">
        <v>11</v>
      </c>
    </row>
    <row r="74" spans="1:13" x14ac:dyDescent="0.45">
      <c r="A74" t="s">
        <v>9</v>
      </c>
      <c r="B74" t="s">
        <v>143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143</v>
      </c>
      <c r="C75">
        <v>2025</v>
      </c>
      <c r="D75">
        <v>56</v>
      </c>
      <c r="E75">
        <v>1.05</v>
      </c>
      <c r="F75">
        <v>1.06</v>
      </c>
      <c r="G75">
        <v>0.04</v>
      </c>
      <c r="H75">
        <v>0.96</v>
      </c>
      <c r="I75">
        <v>1.1499999999999999</v>
      </c>
      <c r="J75">
        <v>1.04</v>
      </c>
      <c r="K75">
        <v>1.07</v>
      </c>
      <c r="L75" t="s">
        <v>10</v>
      </c>
      <c r="M75" t="s">
        <v>11</v>
      </c>
    </row>
    <row r="76" spans="1:13" x14ac:dyDescent="0.45">
      <c r="A76" t="s">
        <v>9</v>
      </c>
      <c r="B76" t="s">
        <v>143</v>
      </c>
      <c r="C76">
        <v>2030</v>
      </c>
      <c r="D76">
        <v>61</v>
      </c>
      <c r="E76">
        <v>1.1000000000000001</v>
      </c>
      <c r="F76">
        <v>1.0900000000000001</v>
      </c>
      <c r="G76">
        <v>7.0000000000000007E-2</v>
      </c>
      <c r="H76">
        <v>0.86</v>
      </c>
      <c r="I76">
        <v>1.28</v>
      </c>
      <c r="J76">
        <v>1.07</v>
      </c>
      <c r="K76">
        <v>1.1499999999999999</v>
      </c>
      <c r="L76" t="s">
        <v>10</v>
      </c>
      <c r="M76" t="s">
        <v>11</v>
      </c>
    </row>
    <row r="77" spans="1:13" x14ac:dyDescent="0.45">
      <c r="A77" t="s">
        <v>9</v>
      </c>
      <c r="B77" t="s">
        <v>143</v>
      </c>
      <c r="C77">
        <v>2035</v>
      </c>
      <c r="D77">
        <v>56</v>
      </c>
      <c r="E77">
        <v>1.1599999999999999</v>
      </c>
      <c r="F77">
        <v>1.1499999999999999</v>
      </c>
      <c r="G77">
        <v>0.1</v>
      </c>
      <c r="H77">
        <v>0.84</v>
      </c>
      <c r="I77">
        <v>1.4</v>
      </c>
      <c r="J77">
        <v>1.1100000000000001</v>
      </c>
      <c r="K77">
        <v>1.22</v>
      </c>
      <c r="L77" t="s">
        <v>10</v>
      </c>
      <c r="M77" t="s">
        <v>11</v>
      </c>
    </row>
    <row r="78" spans="1:13" x14ac:dyDescent="0.45">
      <c r="A78" t="s">
        <v>9</v>
      </c>
      <c r="B78" t="s">
        <v>143</v>
      </c>
      <c r="C78">
        <v>2040</v>
      </c>
      <c r="D78">
        <v>61</v>
      </c>
      <c r="E78">
        <v>1.21</v>
      </c>
      <c r="F78">
        <v>1.2</v>
      </c>
      <c r="G78">
        <v>0.12</v>
      </c>
      <c r="H78">
        <v>0.85</v>
      </c>
      <c r="I78">
        <v>1.5</v>
      </c>
      <c r="J78">
        <v>1.1399999999999999</v>
      </c>
      <c r="K78">
        <v>1.29</v>
      </c>
      <c r="L78" t="s">
        <v>10</v>
      </c>
      <c r="M78" t="s">
        <v>11</v>
      </c>
    </row>
    <row r="79" spans="1:13" x14ac:dyDescent="0.45">
      <c r="A79" t="s">
        <v>9</v>
      </c>
      <c r="B79" t="s">
        <v>143</v>
      </c>
      <c r="C79">
        <v>2045</v>
      </c>
      <c r="D79">
        <v>56</v>
      </c>
      <c r="E79">
        <v>1.27</v>
      </c>
      <c r="F79">
        <v>1.25</v>
      </c>
      <c r="G79">
        <v>0.16</v>
      </c>
      <c r="H79">
        <v>0.9</v>
      </c>
      <c r="I79">
        <v>1.63</v>
      </c>
      <c r="J79">
        <v>1.1599999999999999</v>
      </c>
      <c r="K79">
        <v>1.36</v>
      </c>
      <c r="L79" t="s">
        <v>10</v>
      </c>
      <c r="M79" t="s">
        <v>11</v>
      </c>
    </row>
    <row r="80" spans="1:13" x14ac:dyDescent="0.45">
      <c r="A80" t="s">
        <v>9</v>
      </c>
      <c r="B80" t="s">
        <v>143</v>
      </c>
      <c r="C80">
        <v>2050</v>
      </c>
      <c r="D80">
        <v>61</v>
      </c>
      <c r="E80">
        <v>1.32</v>
      </c>
      <c r="F80">
        <v>1.31</v>
      </c>
      <c r="G80">
        <v>0.18</v>
      </c>
      <c r="H80">
        <v>0.97</v>
      </c>
      <c r="I80">
        <v>1.77</v>
      </c>
      <c r="J80">
        <v>1.2</v>
      </c>
      <c r="K80">
        <v>1.41</v>
      </c>
      <c r="L80" t="s">
        <v>10</v>
      </c>
      <c r="M80" t="s">
        <v>11</v>
      </c>
    </row>
    <row r="81" spans="1:13" x14ac:dyDescent="0.45">
      <c r="A81" t="s">
        <v>0</v>
      </c>
      <c r="B81" t="s">
        <v>143</v>
      </c>
      <c r="C81">
        <v>2020</v>
      </c>
      <c r="D81">
        <v>63</v>
      </c>
      <c r="E81">
        <v>0</v>
      </c>
      <c r="F81">
        <v>0</v>
      </c>
      <c r="G81">
        <v>0</v>
      </c>
      <c r="H81">
        <v>0</v>
      </c>
      <c r="I81">
        <v>0.01</v>
      </c>
      <c r="J81">
        <v>0</v>
      </c>
      <c r="K81">
        <v>0</v>
      </c>
      <c r="L81" t="s">
        <v>1</v>
      </c>
      <c r="M81" t="s">
        <v>15</v>
      </c>
    </row>
    <row r="82" spans="1:13" x14ac:dyDescent="0.45">
      <c r="A82" t="s">
        <v>0</v>
      </c>
      <c r="B82" t="s">
        <v>143</v>
      </c>
      <c r="C82">
        <v>2025</v>
      </c>
      <c r="D82">
        <v>63</v>
      </c>
      <c r="E82">
        <v>0.01</v>
      </c>
      <c r="F82">
        <v>0.01</v>
      </c>
      <c r="G82">
        <v>0.01</v>
      </c>
      <c r="H82">
        <v>0</v>
      </c>
      <c r="I82">
        <v>0.03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143</v>
      </c>
      <c r="C83">
        <v>2030</v>
      </c>
      <c r="D83">
        <v>63</v>
      </c>
      <c r="E83">
        <v>0.01</v>
      </c>
      <c r="F83">
        <v>0.01</v>
      </c>
      <c r="G83">
        <v>0.01</v>
      </c>
      <c r="H83">
        <v>0</v>
      </c>
      <c r="I83">
        <v>0.06</v>
      </c>
      <c r="J83">
        <v>0</v>
      </c>
      <c r="K83">
        <v>0.02</v>
      </c>
      <c r="L83" t="s">
        <v>1</v>
      </c>
      <c r="M83" t="s">
        <v>15</v>
      </c>
    </row>
    <row r="84" spans="1:13" x14ac:dyDescent="0.45">
      <c r="A84" t="s">
        <v>0</v>
      </c>
      <c r="B84" t="s">
        <v>143</v>
      </c>
      <c r="C84">
        <v>2035</v>
      </c>
      <c r="D84">
        <v>63</v>
      </c>
      <c r="E84">
        <v>0.03</v>
      </c>
      <c r="F84">
        <v>0.02</v>
      </c>
      <c r="G84">
        <v>0.03</v>
      </c>
      <c r="H84">
        <v>0</v>
      </c>
      <c r="I84">
        <v>0.13</v>
      </c>
      <c r="J84">
        <v>0.01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143</v>
      </c>
      <c r="C85">
        <v>2040</v>
      </c>
      <c r="D85">
        <v>63</v>
      </c>
      <c r="E85">
        <v>0.05</v>
      </c>
      <c r="F85">
        <v>0.04</v>
      </c>
      <c r="G85">
        <v>0.06</v>
      </c>
      <c r="H85">
        <v>0</v>
      </c>
      <c r="I85">
        <v>0.31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143</v>
      </c>
      <c r="C86">
        <v>2045</v>
      </c>
      <c r="D86">
        <v>63</v>
      </c>
      <c r="E86">
        <v>7.0000000000000007E-2</v>
      </c>
      <c r="F86">
        <v>0.05</v>
      </c>
      <c r="G86">
        <v>0.08</v>
      </c>
      <c r="H86">
        <v>0</v>
      </c>
      <c r="I86">
        <v>0.46</v>
      </c>
      <c r="J86">
        <v>0.02</v>
      </c>
      <c r="K86">
        <v>0.08</v>
      </c>
      <c r="L86" t="s">
        <v>1</v>
      </c>
      <c r="M86" t="s">
        <v>15</v>
      </c>
    </row>
    <row r="87" spans="1:13" x14ac:dyDescent="0.45">
      <c r="A87" t="s">
        <v>0</v>
      </c>
      <c r="B87" t="s">
        <v>143</v>
      </c>
      <c r="C87">
        <v>2050</v>
      </c>
      <c r="D87">
        <v>63</v>
      </c>
      <c r="E87">
        <v>0.08</v>
      </c>
      <c r="F87">
        <v>0.05</v>
      </c>
      <c r="G87">
        <v>0.08</v>
      </c>
      <c r="H87">
        <v>0</v>
      </c>
      <c r="I87">
        <v>0.35</v>
      </c>
      <c r="J87">
        <v>0.03</v>
      </c>
      <c r="K87">
        <v>0.1</v>
      </c>
      <c r="L87" t="s">
        <v>1</v>
      </c>
      <c r="M87" t="s">
        <v>15</v>
      </c>
    </row>
    <row r="88" spans="1:13" x14ac:dyDescent="0.45">
      <c r="A88" t="s">
        <v>2</v>
      </c>
      <c r="B88" t="s">
        <v>143</v>
      </c>
      <c r="C88">
        <v>2020</v>
      </c>
      <c r="D88">
        <v>99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143</v>
      </c>
      <c r="C89">
        <v>2025</v>
      </c>
      <c r="D89">
        <v>88</v>
      </c>
      <c r="E89">
        <v>0</v>
      </c>
      <c r="F89">
        <v>0</v>
      </c>
      <c r="G89">
        <v>0.01</v>
      </c>
      <c r="H89">
        <v>0</v>
      </c>
      <c r="I89">
        <v>0.03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143</v>
      </c>
      <c r="C90">
        <v>2030</v>
      </c>
      <c r="D90">
        <v>99</v>
      </c>
      <c r="E90">
        <v>0.01</v>
      </c>
      <c r="F90">
        <v>0</v>
      </c>
      <c r="G90">
        <v>0.01</v>
      </c>
      <c r="H90">
        <v>0</v>
      </c>
      <c r="I90">
        <v>0.05</v>
      </c>
      <c r="J90">
        <v>0</v>
      </c>
      <c r="K90">
        <v>0.01</v>
      </c>
      <c r="L90" t="s">
        <v>3</v>
      </c>
      <c r="M90" t="s">
        <v>15</v>
      </c>
    </row>
    <row r="91" spans="1:13" x14ac:dyDescent="0.45">
      <c r="A91" t="s">
        <v>2</v>
      </c>
      <c r="B91" t="s">
        <v>143</v>
      </c>
      <c r="C91">
        <v>2035</v>
      </c>
      <c r="D91">
        <v>88</v>
      </c>
      <c r="E91">
        <v>0.01</v>
      </c>
      <c r="F91">
        <v>0.01</v>
      </c>
      <c r="G91">
        <v>0.01</v>
      </c>
      <c r="H91">
        <v>0</v>
      </c>
      <c r="I91">
        <v>0.06</v>
      </c>
      <c r="J91">
        <v>0</v>
      </c>
      <c r="K91">
        <v>0.02</v>
      </c>
      <c r="L91" t="s">
        <v>3</v>
      </c>
      <c r="M91" t="s">
        <v>15</v>
      </c>
    </row>
    <row r="92" spans="1:13" x14ac:dyDescent="0.45">
      <c r="A92" t="s">
        <v>2</v>
      </c>
      <c r="B92" t="s">
        <v>143</v>
      </c>
      <c r="C92">
        <v>2040</v>
      </c>
      <c r="D92">
        <v>99</v>
      </c>
      <c r="E92">
        <v>0.02</v>
      </c>
      <c r="F92">
        <v>0.01</v>
      </c>
      <c r="G92">
        <v>0.04</v>
      </c>
      <c r="H92">
        <v>0</v>
      </c>
      <c r="I92">
        <v>0.16</v>
      </c>
      <c r="J92">
        <v>0</v>
      </c>
      <c r="K92">
        <v>0.03</v>
      </c>
      <c r="L92" t="s">
        <v>3</v>
      </c>
      <c r="M92" t="s">
        <v>15</v>
      </c>
    </row>
    <row r="93" spans="1:13" x14ac:dyDescent="0.45">
      <c r="A93" t="s">
        <v>2</v>
      </c>
      <c r="B93" t="s">
        <v>143</v>
      </c>
      <c r="C93">
        <v>2045</v>
      </c>
      <c r="D93">
        <v>88</v>
      </c>
      <c r="E93">
        <v>0.04</v>
      </c>
      <c r="F93">
        <v>0.03</v>
      </c>
      <c r="G93">
        <v>0.06</v>
      </c>
      <c r="H93">
        <v>0</v>
      </c>
      <c r="I93">
        <v>0.2</v>
      </c>
      <c r="J93">
        <v>0</v>
      </c>
      <c r="K93">
        <v>0.06</v>
      </c>
      <c r="L93" t="s">
        <v>3</v>
      </c>
      <c r="M93" t="s">
        <v>15</v>
      </c>
    </row>
    <row r="94" spans="1:13" x14ac:dyDescent="0.45">
      <c r="A94" t="s">
        <v>2</v>
      </c>
      <c r="B94" t="s">
        <v>143</v>
      </c>
      <c r="C94">
        <v>2050</v>
      </c>
      <c r="D94">
        <v>99</v>
      </c>
      <c r="E94">
        <v>0.06</v>
      </c>
      <c r="F94">
        <v>0.04</v>
      </c>
      <c r="G94">
        <v>7.0000000000000007E-2</v>
      </c>
      <c r="H94">
        <v>0</v>
      </c>
      <c r="I94">
        <v>0.28999999999999998</v>
      </c>
      <c r="J94">
        <v>0</v>
      </c>
      <c r="K94">
        <v>0.08</v>
      </c>
      <c r="L94" t="s">
        <v>3</v>
      </c>
      <c r="M94" t="s">
        <v>15</v>
      </c>
    </row>
    <row r="95" spans="1:13" x14ac:dyDescent="0.45">
      <c r="A95" t="s">
        <v>5</v>
      </c>
      <c r="B95" t="s">
        <v>143</v>
      </c>
      <c r="C95">
        <v>2020</v>
      </c>
      <c r="D95">
        <v>228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</v>
      </c>
      <c r="L95" t="s">
        <v>6</v>
      </c>
      <c r="M95" t="s">
        <v>15</v>
      </c>
    </row>
    <row r="96" spans="1:13" x14ac:dyDescent="0.45">
      <c r="A96" t="s">
        <v>5</v>
      </c>
      <c r="B96" t="s">
        <v>143</v>
      </c>
      <c r="C96">
        <v>2025</v>
      </c>
      <c r="D96">
        <v>205</v>
      </c>
      <c r="E96">
        <v>0.01</v>
      </c>
      <c r="F96">
        <v>0</v>
      </c>
      <c r="G96">
        <v>0.01</v>
      </c>
      <c r="H96">
        <v>0</v>
      </c>
      <c r="I96">
        <v>0.03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143</v>
      </c>
      <c r="C97">
        <v>2030</v>
      </c>
      <c r="D97">
        <v>228</v>
      </c>
      <c r="E97">
        <v>0.01</v>
      </c>
      <c r="F97">
        <v>0.01</v>
      </c>
      <c r="G97">
        <v>0.01</v>
      </c>
      <c r="H97">
        <v>0</v>
      </c>
      <c r="I97">
        <v>0.05</v>
      </c>
      <c r="J97">
        <v>0</v>
      </c>
      <c r="K97">
        <v>0.02</v>
      </c>
      <c r="L97" t="s">
        <v>6</v>
      </c>
      <c r="M97" t="s">
        <v>15</v>
      </c>
    </row>
    <row r="98" spans="1:13" x14ac:dyDescent="0.45">
      <c r="A98" t="s">
        <v>5</v>
      </c>
      <c r="B98" t="s">
        <v>143</v>
      </c>
      <c r="C98">
        <v>2035</v>
      </c>
      <c r="D98">
        <v>205</v>
      </c>
      <c r="E98">
        <v>0.02</v>
      </c>
      <c r="F98">
        <v>0.01</v>
      </c>
      <c r="G98">
        <v>0.02</v>
      </c>
      <c r="H98">
        <v>0</v>
      </c>
      <c r="I98">
        <v>0.08</v>
      </c>
      <c r="J98">
        <v>0</v>
      </c>
      <c r="K98">
        <v>0.03</v>
      </c>
      <c r="L98" t="s">
        <v>6</v>
      </c>
      <c r="M98" t="s">
        <v>15</v>
      </c>
    </row>
    <row r="99" spans="1:13" x14ac:dyDescent="0.45">
      <c r="A99" t="s">
        <v>5</v>
      </c>
      <c r="B99" t="s">
        <v>143</v>
      </c>
      <c r="C99">
        <v>2040</v>
      </c>
      <c r="D99">
        <v>228</v>
      </c>
      <c r="E99">
        <v>0.03</v>
      </c>
      <c r="F99">
        <v>0.02</v>
      </c>
      <c r="G99">
        <v>0.03</v>
      </c>
      <c r="H99">
        <v>0</v>
      </c>
      <c r="I99">
        <v>0.16</v>
      </c>
      <c r="J99">
        <v>0</v>
      </c>
      <c r="K99">
        <v>0.04</v>
      </c>
      <c r="L99" t="s">
        <v>6</v>
      </c>
      <c r="M99" t="s">
        <v>15</v>
      </c>
    </row>
    <row r="100" spans="1:13" x14ac:dyDescent="0.45">
      <c r="A100" t="s">
        <v>5</v>
      </c>
      <c r="B100" t="s">
        <v>143</v>
      </c>
      <c r="C100">
        <v>2045</v>
      </c>
      <c r="D100">
        <v>205</v>
      </c>
      <c r="E100">
        <v>0.03</v>
      </c>
      <c r="F100">
        <v>0.01</v>
      </c>
      <c r="G100">
        <v>0.04</v>
      </c>
      <c r="H100">
        <v>0</v>
      </c>
      <c r="I100">
        <v>0.21</v>
      </c>
      <c r="J100">
        <v>0</v>
      </c>
      <c r="K100">
        <v>0.04</v>
      </c>
      <c r="L100" t="s">
        <v>6</v>
      </c>
      <c r="M100" t="s">
        <v>15</v>
      </c>
    </row>
    <row r="101" spans="1:13" x14ac:dyDescent="0.45">
      <c r="A101" t="s">
        <v>5</v>
      </c>
      <c r="B101" t="s">
        <v>143</v>
      </c>
      <c r="C101">
        <v>2050</v>
      </c>
      <c r="D101">
        <v>228</v>
      </c>
      <c r="E101">
        <v>0.04</v>
      </c>
      <c r="F101">
        <v>0.03</v>
      </c>
      <c r="G101">
        <v>0.05</v>
      </c>
      <c r="H101">
        <v>0</v>
      </c>
      <c r="I101">
        <v>0.22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143</v>
      </c>
      <c r="C102">
        <v>2020</v>
      </c>
      <c r="D102">
        <v>87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143</v>
      </c>
      <c r="C103">
        <v>2025</v>
      </c>
      <c r="D103">
        <v>81</v>
      </c>
      <c r="E103">
        <v>0</v>
      </c>
      <c r="F103">
        <v>0</v>
      </c>
      <c r="G103">
        <v>0</v>
      </c>
      <c r="H103">
        <v>0</v>
      </c>
      <c r="I103">
        <v>0.01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143</v>
      </c>
      <c r="C104">
        <v>2030</v>
      </c>
      <c r="D104">
        <v>87</v>
      </c>
      <c r="E104">
        <v>0</v>
      </c>
      <c r="F104">
        <v>0</v>
      </c>
      <c r="G104">
        <v>0.01</v>
      </c>
      <c r="H104">
        <v>0</v>
      </c>
      <c r="I104">
        <v>0.02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143</v>
      </c>
      <c r="C105">
        <v>2035</v>
      </c>
      <c r="D105">
        <v>81</v>
      </c>
      <c r="E105">
        <v>0.01</v>
      </c>
      <c r="F105">
        <v>0</v>
      </c>
      <c r="G105">
        <v>0.01</v>
      </c>
      <c r="H105">
        <v>0</v>
      </c>
      <c r="I105">
        <v>0.04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143</v>
      </c>
      <c r="C106">
        <v>2040</v>
      </c>
      <c r="D106">
        <v>87</v>
      </c>
      <c r="E106">
        <v>0.01</v>
      </c>
      <c r="F106">
        <v>0</v>
      </c>
      <c r="G106">
        <v>0.02</v>
      </c>
      <c r="H106">
        <v>0</v>
      </c>
      <c r="I106">
        <v>0.08</v>
      </c>
      <c r="J106">
        <v>0</v>
      </c>
      <c r="K106">
        <v>0.02</v>
      </c>
      <c r="L106" t="s">
        <v>8</v>
      </c>
      <c r="M106" t="s">
        <v>15</v>
      </c>
    </row>
    <row r="107" spans="1:13" x14ac:dyDescent="0.45">
      <c r="A107" t="s">
        <v>7</v>
      </c>
      <c r="B107" t="s">
        <v>143</v>
      </c>
      <c r="C107">
        <v>2045</v>
      </c>
      <c r="D107">
        <v>81</v>
      </c>
      <c r="E107">
        <v>0.01</v>
      </c>
      <c r="F107">
        <v>0</v>
      </c>
      <c r="G107">
        <v>0.03</v>
      </c>
      <c r="H107">
        <v>0</v>
      </c>
      <c r="I107">
        <v>0.09</v>
      </c>
      <c r="J107">
        <v>0</v>
      </c>
      <c r="K107">
        <v>0.02</v>
      </c>
      <c r="L107" t="s">
        <v>8</v>
      </c>
      <c r="M107" t="s">
        <v>15</v>
      </c>
    </row>
    <row r="108" spans="1:13" x14ac:dyDescent="0.45">
      <c r="A108" t="s">
        <v>7</v>
      </c>
      <c r="B108" t="s">
        <v>143</v>
      </c>
      <c r="C108">
        <v>2050</v>
      </c>
      <c r="D108">
        <v>87</v>
      </c>
      <c r="E108">
        <v>0.02</v>
      </c>
      <c r="F108">
        <v>0</v>
      </c>
      <c r="G108">
        <v>0.03</v>
      </c>
      <c r="H108">
        <v>0</v>
      </c>
      <c r="I108">
        <v>0.1</v>
      </c>
      <c r="J108">
        <v>0</v>
      </c>
      <c r="K108">
        <v>0.04</v>
      </c>
      <c r="L108" t="s">
        <v>8</v>
      </c>
      <c r="M108" t="s">
        <v>15</v>
      </c>
    </row>
    <row r="109" spans="1:13" x14ac:dyDescent="0.45">
      <c r="A109" t="s">
        <v>9</v>
      </c>
      <c r="B109" t="s">
        <v>143</v>
      </c>
      <c r="C109">
        <v>2020</v>
      </c>
      <c r="D109">
        <v>58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</v>
      </c>
      <c r="L109" t="s">
        <v>10</v>
      </c>
      <c r="M109" t="s">
        <v>15</v>
      </c>
    </row>
    <row r="110" spans="1:13" x14ac:dyDescent="0.45">
      <c r="A110" t="s">
        <v>9</v>
      </c>
      <c r="B110" t="s">
        <v>143</v>
      </c>
      <c r="C110">
        <v>2025</v>
      </c>
      <c r="D110">
        <v>53</v>
      </c>
      <c r="E110">
        <v>0.01</v>
      </c>
      <c r="F110">
        <v>0</v>
      </c>
      <c r="G110">
        <v>0.01</v>
      </c>
      <c r="H110">
        <v>0</v>
      </c>
      <c r="I110">
        <v>0.03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143</v>
      </c>
      <c r="C111">
        <v>2030</v>
      </c>
      <c r="D111">
        <v>58</v>
      </c>
      <c r="E111">
        <v>0.01</v>
      </c>
      <c r="F111">
        <v>0.01</v>
      </c>
      <c r="G111">
        <v>0.01</v>
      </c>
      <c r="H111">
        <v>0</v>
      </c>
      <c r="I111">
        <v>0.05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45">
      <c r="A112" t="s">
        <v>9</v>
      </c>
      <c r="B112" t="s">
        <v>143</v>
      </c>
      <c r="C112">
        <v>2035</v>
      </c>
      <c r="D112">
        <v>53</v>
      </c>
      <c r="E112">
        <v>0.02</v>
      </c>
      <c r="F112">
        <v>0.01</v>
      </c>
      <c r="G112">
        <v>0.02</v>
      </c>
      <c r="H112">
        <v>0</v>
      </c>
      <c r="I112">
        <v>0.06</v>
      </c>
      <c r="J112">
        <v>0</v>
      </c>
      <c r="K112">
        <v>0.03</v>
      </c>
      <c r="L112" t="s">
        <v>10</v>
      </c>
      <c r="M112" t="s">
        <v>15</v>
      </c>
    </row>
    <row r="113" spans="1:13" x14ac:dyDescent="0.45">
      <c r="A113" t="s">
        <v>9</v>
      </c>
      <c r="B113" t="s">
        <v>143</v>
      </c>
      <c r="C113">
        <v>2040</v>
      </c>
      <c r="D113">
        <v>58</v>
      </c>
      <c r="E113">
        <v>0.02</v>
      </c>
      <c r="F113">
        <v>0.02</v>
      </c>
      <c r="G113">
        <v>0.02</v>
      </c>
      <c r="H113">
        <v>0</v>
      </c>
      <c r="I113">
        <v>0.08</v>
      </c>
      <c r="J113">
        <v>0.01</v>
      </c>
      <c r="K113">
        <v>0.04</v>
      </c>
      <c r="L113" t="s">
        <v>10</v>
      </c>
      <c r="M113" t="s">
        <v>15</v>
      </c>
    </row>
    <row r="114" spans="1:13" x14ac:dyDescent="0.45">
      <c r="A114" t="s">
        <v>9</v>
      </c>
      <c r="B114" t="s">
        <v>143</v>
      </c>
      <c r="C114">
        <v>2045</v>
      </c>
      <c r="D114">
        <v>53</v>
      </c>
      <c r="E114">
        <v>0.03</v>
      </c>
      <c r="F114">
        <v>0.03</v>
      </c>
      <c r="G114">
        <v>0.03</v>
      </c>
      <c r="H114">
        <v>0</v>
      </c>
      <c r="I114">
        <v>0.09</v>
      </c>
      <c r="J114">
        <v>0.01</v>
      </c>
      <c r="K114">
        <v>0.04</v>
      </c>
      <c r="L114" t="s">
        <v>10</v>
      </c>
      <c r="M114" t="s">
        <v>15</v>
      </c>
    </row>
    <row r="115" spans="1:13" x14ac:dyDescent="0.45">
      <c r="A115" t="s">
        <v>9</v>
      </c>
      <c r="B115" t="s">
        <v>143</v>
      </c>
      <c r="C115">
        <v>2050</v>
      </c>
      <c r="D115">
        <v>58</v>
      </c>
      <c r="E115">
        <v>0.03</v>
      </c>
      <c r="F115">
        <v>0.03</v>
      </c>
      <c r="G115">
        <v>0.03</v>
      </c>
      <c r="H115">
        <v>0</v>
      </c>
      <c r="I115">
        <v>0.11</v>
      </c>
      <c r="J115">
        <v>0.01</v>
      </c>
      <c r="K115">
        <v>0.05</v>
      </c>
      <c r="L115" t="s">
        <v>10</v>
      </c>
      <c r="M115" t="s">
        <v>15</v>
      </c>
    </row>
    <row r="116" spans="1:13" x14ac:dyDescent="0.45">
      <c r="A116" t="s">
        <v>0</v>
      </c>
      <c r="B116" t="s">
        <v>143</v>
      </c>
      <c r="C116">
        <v>2020</v>
      </c>
      <c r="D116">
        <v>64</v>
      </c>
      <c r="E116">
        <v>0.22</v>
      </c>
      <c r="F116">
        <v>0.22</v>
      </c>
      <c r="G116">
        <v>0.02</v>
      </c>
      <c r="H116">
        <v>0.2</v>
      </c>
      <c r="I116">
        <v>0.28999999999999998</v>
      </c>
      <c r="J116">
        <v>0.2</v>
      </c>
      <c r="K116">
        <v>0.24</v>
      </c>
      <c r="L116" t="s">
        <v>1</v>
      </c>
      <c r="M116" t="s">
        <v>18</v>
      </c>
    </row>
    <row r="117" spans="1:13" x14ac:dyDescent="0.45">
      <c r="A117" t="s">
        <v>0</v>
      </c>
      <c r="B117" t="s">
        <v>143</v>
      </c>
      <c r="C117">
        <v>2025</v>
      </c>
      <c r="D117">
        <v>64</v>
      </c>
      <c r="E117">
        <v>0.22</v>
      </c>
      <c r="F117">
        <v>0.2</v>
      </c>
      <c r="G117">
        <v>0.04</v>
      </c>
      <c r="H117">
        <v>0.15</v>
      </c>
      <c r="I117">
        <v>0.32</v>
      </c>
      <c r="J117">
        <v>0.19</v>
      </c>
      <c r="K117">
        <v>0.24</v>
      </c>
      <c r="L117" t="s">
        <v>1</v>
      </c>
      <c r="M117" t="s">
        <v>18</v>
      </c>
    </row>
    <row r="118" spans="1:13" x14ac:dyDescent="0.45">
      <c r="A118" t="s">
        <v>0</v>
      </c>
      <c r="B118" t="s">
        <v>143</v>
      </c>
      <c r="C118">
        <v>2030</v>
      </c>
      <c r="D118">
        <v>64</v>
      </c>
      <c r="E118">
        <v>0.22</v>
      </c>
      <c r="F118">
        <v>0.2</v>
      </c>
      <c r="G118">
        <v>0.05</v>
      </c>
      <c r="H118">
        <v>0.16</v>
      </c>
      <c r="I118">
        <v>0.4</v>
      </c>
      <c r="J118">
        <v>0.19</v>
      </c>
      <c r="K118">
        <v>0.25</v>
      </c>
      <c r="L118" t="s">
        <v>1</v>
      </c>
      <c r="M118" t="s">
        <v>18</v>
      </c>
    </row>
    <row r="119" spans="1:13" x14ac:dyDescent="0.45">
      <c r="A119" t="s">
        <v>0</v>
      </c>
      <c r="B119" t="s">
        <v>143</v>
      </c>
      <c r="C119">
        <v>2035</v>
      </c>
      <c r="D119">
        <v>64</v>
      </c>
      <c r="E119">
        <v>0.23</v>
      </c>
      <c r="F119">
        <v>0.2</v>
      </c>
      <c r="G119">
        <v>0.06</v>
      </c>
      <c r="H119">
        <v>0.16</v>
      </c>
      <c r="I119">
        <v>0.41</v>
      </c>
      <c r="J119">
        <v>0.19</v>
      </c>
      <c r="K119">
        <v>0.25</v>
      </c>
      <c r="L119" t="s">
        <v>1</v>
      </c>
      <c r="M119" t="s">
        <v>18</v>
      </c>
    </row>
    <row r="120" spans="1:13" x14ac:dyDescent="0.45">
      <c r="A120" t="s">
        <v>0</v>
      </c>
      <c r="B120" t="s">
        <v>143</v>
      </c>
      <c r="C120">
        <v>2040</v>
      </c>
      <c r="D120">
        <v>64</v>
      </c>
      <c r="E120">
        <v>0.24</v>
      </c>
      <c r="F120">
        <v>0.22</v>
      </c>
      <c r="G120">
        <v>0.06</v>
      </c>
      <c r="H120">
        <v>0.16</v>
      </c>
      <c r="I120">
        <v>0.4</v>
      </c>
      <c r="J120">
        <v>0.2</v>
      </c>
      <c r="K120">
        <v>0.25</v>
      </c>
      <c r="L120" t="s">
        <v>1</v>
      </c>
      <c r="M120" t="s">
        <v>18</v>
      </c>
    </row>
    <row r="121" spans="1:13" x14ac:dyDescent="0.45">
      <c r="A121" t="s">
        <v>0</v>
      </c>
      <c r="B121" t="s">
        <v>143</v>
      </c>
      <c r="C121">
        <v>2045</v>
      </c>
      <c r="D121">
        <v>64</v>
      </c>
      <c r="E121">
        <v>0.24</v>
      </c>
      <c r="F121">
        <v>0.23</v>
      </c>
      <c r="G121">
        <v>7.0000000000000007E-2</v>
      </c>
      <c r="H121">
        <v>0.15</v>
      </c>
      <c r="I121">
        <v>0.4</v>
      </c>
      <c r="J121">
        <v>0.18</v>
      </c>
      <c r="K121">
        <v>0.26</v>
      </c>
      <c r="L121" t="s">
        <v>1</v>
      </c>
      <c r="M121" t="s">
        <v>18</v>
      </c>
    </row>
    <row r="122" spans="1:13" x14ac:dyDescent="0.45">
      <c r="A122" t="s">
        <v>0</v>
      </c>
      <c r="B122" t="s">
        <v>143</v>
      </c>
      <c r="C122">
        <v>2050</v>
      </c>
      <c r="D122">
        <v>64</v>
      </c>
      <c r="E122">
        <v>0.25</v>
      </c>
      <c r="F122">
        <v>0.26</v>
      </c>
      <c r="G122">
        <v>7.0000000000000007E-2</v>
      </c>
      <c r="H122">
        <v>0.14000000000000001</v>
      </c>
      <c r="I122">
        <v>0.4</v>
      </c>
      <c r="J122">
        <v>0.18</v>
      </c>
      <c r="K122">
        <v>0.3</v>
      </c>
      <c r="L122" t="s">
        <v>1</v>
      </c>
      <c r="M122" t="s">
        <v>18</v>
      </c>
    </row>
    <row r="123" spans="1:13" x14ac:dyDescent="0.45">
      <c r="A123" t="s">
        <v>2</v>
      </c>
      <c r="B123" t="s">
        <v>143</v>
      </c>
      <c r="C123">
        <v>2020</v>
      </c>
      <c r="D123">
        <v>99</v>
      </c>
      <c r="E123">
        <v>0.22</v>
      </c>
      <c r="F123">
        <v>0.22</v>
      </c>
      <c r="G123">
        <v>0.02</v>
      </c>
      <c r="H123">
        <v>0.2</v>
      </c>
      <c r="I123">
        <v>0.28999999999999998</v>
      </c>
      <c r="J123">
        <v>0.2</v>
      </c>
      <c r="K123">
        <v>0.23</v>
      </c>
      <c r="L123" t="s">
        <v>3</v>
      </c>
      <c r="M123" t="s">
        <v>18</v>
      </c>
    </row>
    <row r="124" spans="1:13" x14ac:dyDescent="0.45">
      <c r="A124" t="s">
        <v>2</v>
      </c>
      <c r="B124" t="s">
        <v>143</v>
      </c>
      <c r="C124">
        <v>2025</v>
      </c>
      <c r="D124">
        <v>88</v>
      </c>
      <c r="E124">
        <v>0.22</v>
      </c>
      <c r="F124">
        <v>0.22</v>
      </c>
      <c r="G124">
        <v>0.03</v>
      </c>
      <c r="H124">
        <v>0</v>
      </c>
      <c r="I124">
        <v>0.3</v>
      </c>
      <c r="J124">
        <v>0.21</v>
      </c>
      <c r="K124">
        <v>0.23</v>
      </c>
      <c r="L124" t="s">
        <v>3</v>
      </c>
      <c r="M124" t="s">
        <v>18</v>
      </c>
    </row>
    <row r="125" spans="1:13" x14ac:dyDescent="0.45">
      <c r="A125" t="s">
        <v>2</v>
      </c>
      <c r="B125" t="s">
        <v>143</v>
      </c>
      <c r="C125">
        <v>2030</v>
      </c>
      <c r="D125">
        <v>99</v>
      </c>
      <c r="E125">
        <v>0.21</v>
      </c>
      <c r="F125">
        <v>0.21</v>
      </c>
      <c r="G125">
        <v>0.04</v>
      </c>
      <c r="H125">
        <v>0</v>
      </c>
      <c r="I125">
        <v>0.34</v>
      </c>
      <c r="J125">
        <v>0.19</v>
      </c>
      <c r="K125">
        <v>0.23</v>
      </c>
      <c r="L125" t="s">
        <v>3</v>
      </c>
      <c r="M125" t="s">
        <v>18</v>
      </c>
    </row>
    <row r="126" spans="1:13" x14ac:dyDescent="0.45">
      <c r="A126" t="s">
        <v>2</v>
      </c>
      <c r="B126" t="s">
        <v>143</v>
      </c>
      <c r="C126">
        <v>2035</v>
      </c>
      <c r="D126">
        <v>88</v>
      </c>
      <c r="E126">
        <v>0.23</v>
      </c>
      <c r="F126">
        <v>0.22</v>
      </c>
      <c r="G126">
        <v>0.04</v>
      </c>
      <c r="H126">
        <v>0.16</v>
      </c>
      <c r="I126">
        <v>0.35</v>
      </c>
      <c r="J126">
        <v>0.2</v>
      </c>
      <c r="K126">
        <v>0.24</v>
      </c>
      <c r="L126" t="s">
        <v>3</v>
      </c>
      <c r="M126" t="s">
        <v>18</v>
      </c>
    </row>
    <row r="127" spans="1:13" x14ac:dyDescent="0.45">
      <c r="A127" t="s">
        <v>2</v>
      </c>
      <c r="B127" t="s">
        <v>143</v>
      </c>
      <c r="C127">
        <v>2040</v>
      </c>
      <c r="D127">
        <v>99</v>
      </c>
      <c r="E127">
        <v>0.22</v>
      </c>
      <c r="F127">
        <v>0.21</v>
      </c>
      <c r="G127">
        <v>0.05</v>
      </c>
      <c r="H127">
        <v>0.13</v>
      </c>
      <c r="I127">
        <v>0.34</v>
      </c>
      <c r="J127">
        <v>0.19</v>
      </c>
      <c r="K127">
        <v>0.24</v>
      </c>
      <c r="L127" t="s">
        <v>3</v>
      </c>
      <c r="M127" t="s">
        <v>18</v>
      </c>
    </row>
    <row r="128" spans="1:13" x14ac:dyDescent="0.45">
      <c r="A128" t="s">
        <v>2</v>
      </c>
      <c r="B128" t="s">
        <v>143</v>
      </c>
      <c r="C128">
        <v>2045</v>
      </c>
      <c r="D128">
        <v>88</v>
      </c>
      <c r="E128">
        <v>0.23</v>
      </c>
      <c r="F128">
        <v>0.23</v>
      </c>
      <c r="G128">
        <v>0.04</v>
      </c>
      <c r="H128">
        <v>0.16</v>
      </c>
      <c r="I128">
        <v>0.36</v>
      </c>
      <c r="J128">
        <v>0.19</v>
      </c>
      <c r="K128">
        <v>0.24</v>
      </c>
      <c r="L128" t="s">
        <v>3</v>
      </c>
      <c r="M128" t="s">
        <v>18</v>
      </c>
    </row>
    <row r="129" spans="1:13" x14ac:dyDescent="0.45">
      <c r="A129" t="s">
        <v>2</v>
      </c>
      <c r="B129" t="s">
        <v>143</v>
      </c>
      <c r="C129">
        <v>2050</v>
      </c>
      <c r="D129">
        <v>99</v>
      </c>
      <c r="E129">
        <v>0.22</v>
      </c>
      <c r="F129">
        <v>0.23</v>
      </c>
      <c r="G129">
        <v>0.06</v>
      </c>
      <c r="H129">
        <v>0.13</v>
      </c>
      <c r="I129">
        <v>0.38</v>
      </c>
      <c r="J129">
        <v>0.17</v>
      </c>
      <c r="K129">
        <v>0.26</v>
      </c>
      <c r="L129" t="s">
        <v>3</v>
      </c>
      <c r="M129" t="s">
        <v>18</v>
      </c>
    </row>
    <row r="130" spans="1:13" x14ac:dyDescent="0.45">
      <c r="A130" t="s">
        <v>5</v>
      </c>
      <c r="B130" t="s">
        <v>143</v>
      </c>
      <c r="C130">
        <v>2020</v>
      </c>
      <c r="D130">
        <v>231</v>
      </c>
      <c r="E130">
        <v>0.23</v>
      </c>
      <c r="F130">
        <v>0.22</v>
      </c>
      <c r="G130">
        <v>0.02</v>
      </c>
      <c r="H130">
        <v>0.2</v>
      </c>
      <c r="I130">
        <v>0.28999999999999998</v>
      </c>
      <c r="J130">
        <v>0.2</v>
      </c>
      <c r="K130">
        <v>0.25</v>
      </c>
      <c r="L130" t="s">
        <v>6</v>
      </c>
      <c r="M130" t="s">
        <v>18</v>
      </c>
    </row>
    <row r="131" spans="1:13" x14ac:dyDescent="0.45">
      <c r="A131" t="s">
        <v>5</v>
      </c>
      <c r="B131" t="s">
        <v>143</v>
      </c>
      <c r="C131">
        <v>2025</v>
      </c>
      <c r="D131">
        <v>208</v>
      </c>
      <c r="E131">
        <v>0.2</v>
      </c>
      <c r="F131">
        <v>0.21</v>
      </c>
      <c r="G131">
        <v>7.0000000000000007E-2</v>
      </c>
      <c r="H131">
        <v>0</v>
      </c>
      <c r="I131">
        <v>0.3</v>
      </c>
      <c r="J131">
        <v>0.19</v>
      </c>
      <c r="K131">
        <v>0.23</v>
      </c>
      <c r="L131" t="s">
        <v>6</v>
      </c>
      <c r="M131" t="s">
        <v>18</v>
      </c>
    </row>
    <row r="132" spans="1:13" x14ac:dyDescent="0.45">
      <c r="A132" t="s">
        <v>5</v>
      </c>
      <c r="B132" t="s">
        <v>143</v>
      </c>
      <c r="C132">
        <v>2030</v>
      </c>
      <c r="D132">
        <v>231</v>
      </c>
      <c r="E132">
        <v>0.21</v>
      </c>
      <c r="F132">
        <v>0.21</v>
      </c>
      <c r="G132">
        <v>7.0000000000000007E-2</v>
      </c>
      <c r="H132">
        <v>0</v>
      </c>
      <c r="I132">
        <v>0.34</v>
      </c>
      <c r="J132">
        <v>0.19</v>
      </c>
      <c r="K132">
        <v>0.25</v>
      </c>
      <c r="L132" t="s">
        <v>6</v>
      </c>
      <c r="M132" t="s">
        <v>18</v>
      </c>
    </row>
    <row r="133" spans="1:13" x14ac:dyDescent="0.45">
      <c r="A133" t="s">
        <v>5</v>
      </c>
      <c r="B133" t="s">
        <v>143</v>
      </c>
      <c r="C133">
        <v>2035</v>
      </c>
      <c r="D133">
        <v>208</v>
      </c>
      <c r="E133">
        <v>0.22</v>
      </c>
      <c r="F133">
        <v>0.21</v>
      </c>
      <c r="G133">
        <v>0.05</v>
      </c>
      <c r="H133">
        <v>0.16</v>
      </c>
      <c r="I133">
        <v>0.39</v>
      </c>
      <c r="J133">
        <v>0.19</v>
      </c>
      <c r="K133">
        <v>0.25</v>
      </c>
      <c r="L133" t="s">
        <v>6</v>
      </c>
      <c r="M133" t="s">
        <v>18</v>
      </c>
    </row>
    <row r="134" spans="1:13" x14ac:dyDescent="0.45">
      <c r="A134" t="s">
        <v>5</v>
      </c>
      <c r="B134" t="s">
        <v>143</v>
      </c>
      <c r="C134">
        <v>2040</v>
      </c>
      <c r="D134">
        <v>231</v>
      </c>
      <c r="E134">
        <v>0.22</v>
      </c>
      <c r="F134">
        <v>0.21</v>
      </c>
      <c r="G134">
        <v>0.05</v>
      </c>
      <c r="H134">
        <v>0.14000000000000001</v>
      </c>
      <c r="I134">
        <v>0.39</v>
      </c>
      <c r="J134">
        <v>0.19</v>
      </c>
      <c r="K134">
        <v>0.25</v>
      </c>
      <c r="L134" t="s">
        <v>6</v>
      </c>
      <c r="M134" t="s">
        <v>18</v>
      </c>
    </row>
    <row r="135" spans="1:13" x14ac:dyDescent="0.45">
      <c r="A135" t="s">
        <v>5</v>
      </c>
      <c r="B135" t="s">
        <v>143</v>
      </c>
      <c r="C135">
        <v>2045</v>
      </c>
      <c r="D135">
        <v>208</v>
      </c>
      <c r="E135">
        <v>0.23</v>
      </c>
      <c r="F135">
        <v>0.22</v>
      </c>
      <c r="G135">
        <v>0.06</v>
      </c>
      <c r="H135">
        <v>0.16</v>
      </c>
      <c r="I135">
        <v>0.39</v>
      </c>
      <c r="J135">
        <v>0.19</v>
      </c>
      <c r="K135">
        <v>0.25</v>
      </c>
      <c r="L135" t="s">
        <v>6</v>
      </c>
      <c r="M135" t="s">
        <v>18</v>
      </c>
    </row>
    <row r="136" spans="1:13" x14ac:dyDescent="0.45">
      <c r="A136" t="s">
        <v>5</v>
      </c>
      <c r="B136" t="s">
        <v>143</v>
      </c>
      <c r="C136">
        <v>2050</v>
      </c>
      <c r="D136">
        <v>231</v>
      </c>
      <c r="E136">
        <v>0.24</v>
      </c>
      <c r="F136">
        <v>0.24</v>
      </c>
      <c r="G136">
        <v>7.0000000000000007E-2</v>
      </c>
      <c r="H136">
        <v>0.13</v>
      </c>
      <c r="I136">
        <v>0.39</v>
      </c>
      <c r="J136">
        <v>0.17</v>
      </c>
      <c r="K136">
        <v>0.28000000000000003</v>
      </c>
      <c r="L136" t="s">
        <v>6</v>
      </c>
      <c r="M136" t="s">
        <v>18</v>
      </c>
    </row>
    <row r="137" spans="1:13" x14ac:dyDescent="0.45">
      <c r="A137" t="s">
        <v>7</v>
      </c>
      <c r="B137" t="s">
        <v>143</v>
      </c>
      <c r="C137">
        <v>2020</v>
      </c>
      <c r="D137">
        <v>87</v>
      </c>
      <c r="E137">
        <v>0.23</v>
      </c>
      <c r="F137">
        <v>0.24</v>
      </c>
      <c r="G137">
        <v>0.02</v>
      </c>
      <c r="H137">
        <v>0.2</v>
      </c>
      <c r="I137">
        <v>0.27</v>
      </c>
      <c r="J137">
        <v>0.22</v>
      </c>
      <c r="K137">
        <v>0.25</v>
      </c>
      <c r="L137" t="s">
        <v>8</v>
      </c>
      <c r="M137" t="s">
        <v>18</v>
      </c>
    </row>
    <row r="138" spans="1:13" x14ac:dyDescent="0.45">
      <c r="A138" t="s">
        <v>7</v>
      </c>
      <c r="B138" t="s">
        <v>143</v>
      </c>
      <c r="C138">
        <v>2025</v>
      </c>
      <c r="D138">
        <v>81</v>
      </c>
      <c r="E138">
        <v>0.23</v>
      </c>
      <c r="F138">
        <v>0.23</v>
      </c>
      <c r="G138">
        <v>0.02</v>
      </c>
      <c r="H138">
        <v>0.19</v>
      </c>
      <c r="I138">
        <v>0.3</v>
      </c>
      <c r="J138">
        <v>0.22</v>
      </c>
      <c r="K138">
        <v>0.25</v>
      </c>
      <c r="L138" t="s">
        <v>8</v>
      </c>
      <c r="M138" t="s">
        <v>18</v>
      </c>
    </row>
    <row r="139" spans="1:13" x14ac:dyDescent="0.45">
      <c r="A139" t="s">
        <v>7</v>
      </c>
      <c r="B139" t="s">
        <v>143</v>
      </c>
      <c r="C139">
        <v>2030</v>
      </c>
      <c r="D139">
        <v>87</v>
      </c>
      <c r="E139">
        <v>0.23</v>
      </c>
      <c r="F139">
        <v>0.23</v>
      </c>
      <c r="G139">
        <v>0.03</v>
      </c>
      <c r="H139">
        <v>0.19</v>
      </c>
      <c r="I139">
        <v>0.31</v>
      </c>
      <c r="J139">
        <v>0.21</v>
      </c>
      <c r="K139">
        <v>0.25</v>
      </c>
      <c r="L139" t="s">
        <v>8</v>
      </c>
      <c r="M139" t="s">
        <v>18</v>
      </c>
    </row>
    <row r="140" spans="1:13" x14ac:dyDescent="0.45">
      <c r="A140" t="s">
        <v>7</v>
      </c>
      <c r="B140" t="s">
        <v>143</v>
      </c>
      <c r="C140">
        <v>2035</v>
      </c>
      <c r="D140">
        <v>81</v>
      </c>
      <c r="E140">
        <v>0.24</v>
      </c>
      <c r="F140">
        <v>0.23</v>
      </c>
      <c r="G140">
        <v>0.03</v>
      </c>
      <c r="H140">
        <v>0.17</v>
      </c>
      <c r="I140">
        <v>0.32</v>
      </c>
      <c r="J140">
        <v>0.22</v>
      </c>
      <c r="K140">
        <v>0.26</v>
      </c>
      <c r="L140" t="s">
        <v>8</v>
      </c>
      <c r="M140" t="s">
        <v>18</v>
      </c>
    </row>
    <row r="141" spans="1:13" x14ac:dyDescent="0.45">
      <c r="A141" t="s">
        <v>7</v>
      </c>
      <c r="B141" t="s">
        <v>143</v>
      </c>
      <c r="C141">
        <v>2040</v>
      </c>
      <c r="D141">
        <v>87</v>
      </c>
      <c r="E141">
        <v>0.24</v>
      </c>
      <c r="F141">
        <v>0.23</v>
      </c>
      <c r="G141">
        <v>0.04</v>
      </c>
      <c r="H141">
        <v>0.19</v>
      </c>
      <c r="I141">
        <v>0.35</v>
      </c>
      <c r="J141">
        <v>0.2</v>
      </c>
      <c r="K141">
        <v>0.27</v>
      </c>
      <c r="L141" t="s">
        <v>8</v>
      </c>
      <c r="M141" t="s">
        <v>18</v>
      </c>
    </row>
    <row r="142" spans="1:13" x14ac:dyDescent="0.45">
      <c r="A142" t="s">
        <v>7</v>
      </c>
      <c r="B142" t="s">
        <v>143</v>
      </c>
      <c r="C142">
        <v>2045</v>
      </c>
      <c r="D142">
        <v>81</v>
      </c>
      <c r="E142">
        <v>0.23</v>
      </c>
      <c r="F142">
        <v>0.22</v>
      </c>
      <c r="G142">
        <v>0.05</v>
      </c>
      <c r="H142">
        <v>0.18</v>
      </c>
      <c r="I142">
        <v>0.36</v>
      </c>
      <c r="J142">
        <v>0.19</v>
      </c>
      <c r="K142">
        <v>0.28000000000000003</v>
      </c>
      <c r="L142" t="s">
        <v>8</v>
      </c>
      <c r="M142" t="s">
        <v>18</v>
      </c>
    </row>
    <row r="143" spans="1:13" x14ac:dyDescent="0.45">
      <c r="A143" t="s">
        <v>7</v>
      </c>
      <c r="B143" t="s">
        <v>143</v>
      </c>
      <c r="C143">
        <v>2050</v>
      </c>
      <c r="D143">
        <v>87</v>
      </c>
      <c r="E143">
        <v>0.23</v>
      </c>
      <c r="F143">
        <v>0.22</v>
      </c>
      <c r="G143">
        <v>0.06</v>
      </c>
      <c r="H143">
        <v>0.16</v>
      </c>
      <c r="I143">
        <v>0.38</v>
      </c>
      <c r="J143">
        <v>0.17</v>
      </c>
      <c r="K143">
        <v>0.26</v>
      </c>
      <c r="L143" t="s">
        <v>8</v>
      </c>
      <c r="M143" t="s">
        <v>18</v>
      </c>
    </row>
    <row r="144" spans="1:13" x14ac:dyDescent="0.45">
      <c r="A144" t="s">
        <v>9</v>
      </c>
      <c r="B144" t="s">
        <v>143</v>
      </c>
      <c r="C144">
        <v>2020</v>
      </c>
      <c r="D144">
        <v>61</v>
      </c>
      <c r="E144">
        <v>0.23</v>
      </c>
      <c r="F144">
        <v>0.22</v>
      </c>
      <c r="G144">
        <v>0.03</v>
      </c>
      <c r="H144">
        <v>0.2</v>
      </c>
      <c r="I144">
        <v>0.3</v>
      </c>
      <c r="J144">
        <v>0.21</v>
      </c>
      <c r="K144">
        <v>0.25</v>
      </c>
      <c r="L144" t="s">
        <v>10</v>
      </c>
      <c r="M144" t="s">
        <v>18</v>
      </c>
    </row>
    <row r="145" spans="1:13" x14ac:dyDescent="0.45">
      <c r="A145" t="s">
        <v>9</v>
      </c>
      <c r="B145" t="s">
        <v>143</v>
      </c>
      <c r="C145">
        <v>2025</v>
      </c>
      <c r="D145">
        <v>56</v>
      </c>
      <c r="E145">
        <v>0.22</v>
      </c>
      <c r="F145">
        <v>0.22</v>
      </c>
      <c r="G145">
        <v>0.03</v>
      </c>
      <c r="H145">
        <v>0.19</v>
      </c>
      <c r="I145">
        <v>0.28000000000000003</v>
      </c>
      <c r="J145">
        <v>0.2</v>
      </c>
      <c r="K145">
        <v>0.25</v>
      </c>
      <c r="L145" t="s">
        <v>10</v>
      </c>
      <c r="M145" t="s">
        <v>18</v>
      </c>
    </row>
    <row r="146" spans="1:13" x14ac:dyDescent="0.45">
      <c r="A146" t="s">
        <v>9</v>
      </c>
      <c r="B146" t="s">
        <v>143</v>
      </c>
      <c r="C146">
        <v>2030</v>
      </c>
      <c r="D146">
        <v>61</v>
      </c>
      <c r="E146">
        <v>0.23</v>
      </c>
      <c r="F146">
        <v>0.23</v>
      </c>
      <c r="G146">
        <v>0.03</v>
      </c>
      <c r="H146">
        <v>0.18</v>
      </c>
      <c r="I146">
        <v>0.3</v>
      </c>
      <c r="J146">
        <v>0.19</v>
      </c>
      <c r="K146">
        <v>0.25</v>
      </c>
      <c r="L146" t="s">
        <v>10</v>
      </c>
      <c r="M146" t="s">
        <v>18</v>
      </c>
    </row>
    <row r="147" spans="1:13" x14ac:dyDescent="0.45">
      <c r="A147" t="s">
        <v>9</v>
      </c>
      <c r="B147" t="s">
        <v>143</v>
      </c>
      <c r="C147">
        <v>2035</v>
      </c>
      <c r="D147">
        <v>56</v>
      </c>
      <c r="E147">
        <v>0.23</v>
      </c>
      <c r="F147">
        <v>0.22</v>
      </c>
      <c r="G147">
        <v>0.04</v>
      </c>
      <c r="H147">
        <v>0.18</v>
      </c>
      <c r="I147">
        <v>0.32</v>
      </c>
      <c r="J147">
        <v>0.19</v>
      </c>
      <c r="K147">
        <v>0.26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143</v>
      </c>
      <c r="C148">
        <v>2040</v>
      </c>
      <c r="D148">
        <v>61</v>
      </c>
      <c r="E148">
        <v>0.23</v>
      </c>
      <c r="F148">
        <v>0.22</v>
      </c>
      <c r="G148">
        <v>0.04</v>
      </c>
      <c r="H148">
        <v>0.18</v>
      </c>
      <c r="I148">
        <v>0.33</v>
      </c>
      <c r="J148">
        <v>0.2</v>
      </c>
      <c r="K148">
        <v>0.26</v>
      </c>
      <c r="L148" t="s">
        <v>10</v>
      </c>
      <c r="M148" t="s">
        <v>18</v>
      </c>
    </row>
    <row r="149" spans="1:13" x14ac:dyDescent="0.45">
      <c r="A149" t="s">
        <v>9</v>
      </c>
      <c r="B149" t="s">
        <v>143</v>
      </c>
      <c r="C149">
        <v>2045</v>
      </c>
      <c r="D149">
        <v>56</v>
      </c>
      <c r="E149">
        <v>0.23</v>
      </c>
      <c r="F149">
        <v>0.22</v>
      </c>
      <c r="G149">
        <v>0.04</v>
      </c>
      <c r="H149">
        <v>0.18</v>
      </c>
      <c r="I149">
        <v>0.35</v>
      </c>
      <c r="J149">
        <v>0.2</v>
      </c>
      <c r="K149">
        <v>0.25</v>
      </c>
      <c r="L149" t="s">
        <v>10</v>
      </c>
      <c r="M149" t="s">
        <v>18</v>
      </c>
    </row>
    <row r="150" spans="1:13" x14ac:dyDescent="0.45">
      <c r="A150" t="s">
        <v>9</v>
      </c>
      <c r="B150" t="s">
        <v>143</v>
      </c>
      <c r="C150">
        <v>2050</v>
      </c>
      <c r="D150">
        <v>61</v>
      </c>
      <c r="E150">
        <v>0.22</v>
      </c>
      <c r="F150">
        <v>0.22</v>
      </c>
      <c r="G150">
        <v>0.04</v>
      </c>
      <c r="H150">
        <v>0.17</v>
      </c>
      <c r="I150">
        <v>0.36</v>
      </c>
      <c r="J150">
        <v>0.2</v>
      </c>
      <c r="K150">
        <v>0.25</v>
      </c>
      <c r="L150" t="s">
        <v>10</v>
      </c>
      <c r="M150" t="s">
        <v>18</v>
      </c>
    </row>
    <row r="151" spans="1:13" x14ac:dyDescent="0.45">
      <c r="A151" t="s">
        <v>0</v>
      </c>
      <c r="B151" t="s">
        <v>143</v>
      </c>
      <c r="C151">
        <v>2020</v>
      </c>
      <c r="D151">
        <v>59</v>
      </c>
      <c r="E151">
        <v>0.77</v>
      </c>
      <c r="F151">
        <v>0.78</v>
      </c>
      <c r="G151">
        <v>0.03</v>
      </c>
      <c r="H151">
        <v>0.7</v>
      </c>
      <c r="I151">
        <v>0.79</v>
      </c>
      <c r="J151">
        <v>0.75</v>
      </c>
      <c r="K151">
        <v>0.79</v>
      </c>
      <c r="L151" t="s">
        <v>1</v>
      </c>
      <c r="M151" t="s">
        <v>21</v>
      </c>
    </row>
    <row r="152" spans="1:13" x14ac:dyDescent="0.45">
      <c r="A152" t="s">
        <v>0</v>
      </c>
      <c r="B152" t="s">
        <v>143</v>
      </c>
      <c r="C152">
        <v>2025</v>
      </c>
      <c r="D152">
        <v>59</v>
      </c>
      <c r="E152">
        <v>0.76</v>
      </c>
      <c r="F152">
        <v>0.77</v>
      </c>
      <c r="G152">
        <v>0.04</v>
      </c>
      <c r="H152">
        <v>0.68</v>
      </c>
      <c r="I152">
        <v>0.8</v>
      </c>
      <c r="J152">
        <v>0.72</v>
      </c>
      <c r="K152">
        <v>0.79</v>
      </c>
      <c r="L152" t="s">
        <v>1</v>
      </c>
      <c r="M152" t="s">
        <v>21</v>
      </c>
    </row>
    <row r="153" spans="1:13" x14ac:dyDescent="0.45">
      <c r="A153" t="s">
        <v>0</v>
      </c>
      <c r="B153" t="s">
        <v>143</v>
      </c>
      <c r="C153">
        <v>2030</v>
      </c>
      <c r="D153">
        <v>59</v>
      </c>
      <c r="E153">
        <v>0.73</v>
      </c>
      <c r="F153">
        <v>0.74</v>
      </c>
      <c r="G153">
        <v>0.05</v>
      </c>
      <c r="H153">
        <v>0.59</v>
      </c>
      <c r="I153">
        <v>0.78</v>
      </c>
      <c r="J153">
        <v>0.7</v>
      </c>
      <c r="K153">
        <v>0.77</v>
      </c>
      <c r="L153" t="s">
        <v>1</v>
      </c>
      <c r="M153" t="s">
        <v>21</v>
      </c>
    </row>
    <row r="154" spans="1:13" x14ac:dyDescent="0.45">
      <c r="A154" t="s">
        <v>0</v>
      </c>
      <c r="B154" t="s">
        <v>143</v>
      </c>
      <c r="C154">
        <v>2035</v>
      </c>
      <c r="D154">
        <v>59</v>
      </c>
      <c r="E154">
        <v>0.68</v>
      </c>
      <c r="F154">
        <v>0.7</v>
      </c>
      <c r="G154">
        <v>0.06</v>
      </c>
      <c r="H154">
        <v>0.56000000000000005</v>
      </c>
      <c r="I154">
        <v>0.76</v>
      </c>
      <c r="J154">
        <v>0.66</v>
      </c>
      <c r="K154">
        <v>0.73</v>
      </c>
      <c r="L154" t="s">
        <v>1</v>
      </c>
      <c r="M154" t="s">
        <v>21</v>
      </c>
    </row>
    <row r="155" spans="1:13" x14ac:dyDescent="0.45">
      <c r="A155" t="s">
        <v>0</v>
      </c>
      <c r="B155" t="s">
        <v>143</v>
      </c>
      <c r="C155">
        <v>2040</v>
      </c>
      <c r="D155">
        <v>59</v>
      </c>
      <c r="E155">
        <v>0.64</v>
      </c>
      <c r="F155">
        <v>0.65</v>
      </c>
      <c r="G155">
        <v>0.05</v>
      </c>
      <c r="H155">
        <v>0.51</v>
      </c>
      <c r="I155">
        <v>0.71</v>
      </c>
      <c r="J155">
        <v>0.62</v>
      </c>
      <c r="K155">
        <v>0.68</v>
      </c>
      <c r="L155" t="s">
        <v>1</v>
      </c>
      <c r="M155" t="s">
        <v>21</v>
      </c>
    </row>
    <row r="156" spans="1:13" x14ac:dyDescent="0.45">
      <c r="A156" t="s">
        <v>0</v>
      </c>
      <c r="B156" t="s">
        <v>143</v>
      </c>
      <c r="C156">
        <v>2045</v>
      </c>
      <c r="D156">
        <v>59</v>
      </c>
      <c r="E156">
        <v>0.61</v>
      </c>
      <c r="F156">
        <v>0.61</v>
      </c>
      <c r="G156">
        <v>0.05</v>
      </c>
      <c r="H156">
        <v>0.48</v>
      </c>
      <c r="I156">
        <v>0.68</v>
      </c>
      <c r="J156">
        <v>0.57999999999999996</v>
      </c>
      <c r="K156">
        <v>0.64</v>
      </c>
      <c r="L156" t="s">
        <v>1</v>
      </c>
      <c r="M156" t="s">
        <v>21</v>
      </c>
    </row>
    <row r="157" spans="1:13" x14ac:dyDescent="0.45">
      <c r="A157" t="s">
        <v>0</v>
      </c>
      <c r="B157" t="s">
        <v>143</v>
      </c>
      <c r="C157">
        <v>2050</v>
      </c>
      <c r="D157">
        <v>59</v>
      </c>
      <c r="E157">
        <v>0.56999999999999995</v>
      </c>
      <c r="F157">
        <v>0.56999999999999995</v>
      </c>
      <c r="G157">
        <v>0.05</v>
      </c>
      <c r="H157">
        <v>0.47</v>
      </c>
      <c r="I157">
        <v>0.67</v>
      </c>
      <c r="J157">
        <v>0.55000000000000004</v>
      </c>
      <c r="K157">
        <v>0.59</v>
      </c>
      <c r="L157" t="s">
        <v>1</v>
      </c>
      <c r="M157" t="s">
        <v>21</v>
      </c>
    </row>
    <row r="158" spans="1:13" x14ac:dyDescent="0.45">
      <c r="A158" t="s">
        <v>2</v>
      </c>
      <c r="B158" t="s">
        <v>143</v>
      </c>
      <c r="C158">
        <v>2020</v>
      </c>
      <c r="D158">
        <v>96</v>
      </c>
      <c r="E158">
        <v>0.77</v>
      </c>
      <c r="F158">
        <v>0.78</v>
      </c>
      <c r="G158">
        <v>0.03</v>
      </c>
      <c r="H158">
        <v>0.7</v>
      </c>
      <c r="I158">
        <v>0.8</v>
      </c>
      <c r="J158">
        <v>0.75</v>
      </c>
      <c r="K158">
        <v>0.79</v>
      </c>
      <c r="L158" t="s">
        <v>3</v>
      </c>
      <c r="M158" t="s">
        <v>21</v>
      </c>
    </row>
    <row r="159" spans="1:13" x14ac:dyDescent="0.45">
      <c r="A159" t="s">
        <v>2</v>
      </c>
      <c r="B159" t="s">
        <v>143</v>
      </c>
      <c r="C159">
        <v>2025</v>
      </c>
      <c r="D159">
        <v>85</v>
      </c>
      <c r="E159">
        <v>0.76</v>
      </c>
      <c r="F159">
        <v>0.76</v>
      </c>
      <c r="G159">
        <v>0.03</v>
      </c>
      <c r="H159">
        <v>0.68</v>
      </c>
      <c r="I159">
        <v>0.8</v>
      </c>
      <c r="J159">
        <v>0.73</v>
      </c>
      <c r="K159">
        <v>0.77</v>
      </c>
      <c r="L159" t="s">
        <v>3</v>
      </c>
      <c r="M159" t="s">
        <v>21</v>
      </c>
    </row>
    <row r="160" spans="1:13" x14ac:dyDescent="0.45">
      <c r="A160" t="s">
        <v>2</v>
      </c>
      <c r="B160" t="s">
        <v>143</v>
      </c>
      <c r="C160">
        <v>2030</v>
      </c>
      <c r="D160">
        <v>96</v>
      </c>
      <c r="E160">
        <v>0.74</v>
      </c>
      <c r="F160">
        <v>0.75</v>
      </c>
      <c r="G160">
        <v>0.04</v>
      </c>
      <c r="H160">
        <v>0.64</v>
      </c>
      <c r="I160">
        <v>0.79</v>
      </c>
      <c r="J160">
        <v>0.72</v>
      </c>
      <c r="K160">
        <v>0.77</v>
      </c>
      <c r="L160" t="s">
        <v>3</v>
      </c>
      <c r="M160" t="s">
        <v>21</v>
      </c>
    </row>
    <row r="161" spans="1:13" x14ac:dyDescent="0.45">
      <c r="A161" t="s">
        <v>2</v>
      </c>
      <c r="B161" t="s">
        <v>143</v>
      </c>
      <c r="C161">
        <v>2035</v>
      </c>
      <c r="D161">
        <v>85</v>
      </c>
      <c r="E161">
        <v>0.7</v>
      </c>
      <c r="F161">
        <v>0.71</v>
      </c>
      <c r="G161">
        <v>0.04</v>
      </c>
      <c r="H161">
        <v>0.57999999999999996</v>
      </c>
      <c r="I161">
        <v>0.76</v>
      </c>
      <c r="J161">
        <v>0.68</v>
      </c>
      <c r="K161">
        <v>0.73</v>
      </c>
      <c r="L161" t="s">
        <v>3</v>
      </c>
      <c r="M161" t="s">
        <v>21</v>
      </c>
    </row>
    <row r="162" spans="1:13" x14ac:dyDescent="0.45">
      <c r="A162" t="s">
        <v>2</v>
      </c>
      <c r="B162" t="s">
        <v>143</v>
      </c>
      <c r="C162">
        <v>2040</v>
      </c>
      <c r="D162">
        <v>96</v>
      </c>
      <c r="E162">
        <v>0.66</v>
      </c>
      <c r="F162">
        <v>0.67</v>
      </c>
      <c r="G162">
        <v>0.05</v>
      </c>
      <c r="H162">
        <v>0.53</v>
      </c>
      <c r="I162">
        <v>0.75</v>
      </c>
      <c r="J162">
        <v>0.64</v>
      </c>
      <c r="K162">
        <v>0.69</v>
      </c>
      <c r="L162" t="s">
        <v>3</v>
      </c>
      <c r="M162" t="s">
        <v>21</v>
      </c>
    </row>
    <row r="163" spans="1:13" x14ac:dyDescent="0.45">
      <c r="A163" t="s">
        <v>2</v>
      </c>
      <c r="B163" t="s">
        <v>143</v>
      </c>
      <c r="C163">
        <v>2045</v>
      </c>
      <c r="D163">
        <v>85</v>
      </c>
      <c r="E163">
        <v>0.63</v>
      </c>
      <c r="F163">
        <v>0.63</v>
      </c>
      <c r="G163">
        <v>0.05</v>
      </c>
      <c r="H163">
        <v>0.48</v>
      </c>
      <c r="I163">
        <v>0.75</v>
      </c>
      <c r="J163">
        <v>0.6</v>
      </c>
      <c r="K163">
        <v>0.65</v>
      </c>
      <c r="L163" t="s">
        <v>3</v>
      </c>
      <c r="M163" t="s">
        <v>21</v>
      </c>
    </row>
    <row r="164" spans="1:13" x14ac:dyDescent="0.45">
      <c r="A164" t="s">
        <v>2</v>
      </c>
      <c r="B164" t="s">
        <v>143</v>
      </c>
      <c r="C164">
        <v>2050</v>
      </c>
      <c r="D164">
        <v>96</v>
      </c>
      <c r="E164">
        <v>0.59</v>
      </c>
      <c r="F164">
        <v>0.57999999999999996</v>
      </c>
      <c r="G164">
        <v>0.06</v>
      </c>
      <c r="H164">
        <v>0.43</v>
      </c>
      <c r="I164">
        <v>0.77</v>
      </c>
      <c r="J164">
        <v>0.56000000000000005</v>
      </c>
      <c r="K164">
        <v>0.62</v>
      </c>
      <c r="L164" t="s">
        <v>3</v>
      </c>
      <c r="M164" t="s">
        <v>21</v>
      </c>
    </row>
    <row r="165" spans="1:13" x14ac:dyDescent="0.45">
      <c r="A165" t="s">
        <v>5</v>
      </c>
      <c r="B165" t="s">
        <v>143</v>
      </c>
      <c r="C165">
        <v>2020</v>
      </c>
      <c r="D165">
        <v>208</v>
      </c>
      <c r="E165">
        <v>0.76</v>
      </c>
      <c r="F165">
        <v>0.76</v>
      </c>
      <c r="G165">
        <v>0.03</v>
      </c>
      <c r="H165">
        <v>0.69</v>
      </c>
      <c r="I165">
        <v>0.8</v>
      </c>
      <c r="J165">
        <v>0.74</v>
      </c>
      <c r="K165">
        <v>0.79</v>
      </c>
      <c r="L165" t="s">
        <v>6</v>
      </c>
      <c r="M165" t="s">
        <v>21</v>
      </c>
    </row>
    <row r="166" spans="1:13" x14ac:dyDescent="0.45">
      <c r="A166" t="s">
        <v>5</v>
      </c>
      <c r="B166" t="s">
        <v>143</v>
      </c>
      <c r="C166">
        <v>2025</v>
      </c>
      <c r="D166">
        <v>185</v>
      </c>
      <c r="E166">
        <v>0.76</v>
      </c>
      <c r="F166">
        <v>0.77</v>
      </c>
      <c r="G166">
        <v>0.03</v>
      </c>
      <c r="H166">
        <v>0.68</v>
      </c>
      <c r="I166">
        <v>0.8</v>
      </c>
      <c r="J166">
        <v>0.73</v>
      </c>
      <c r="K166">
        <v>0.79</v>
      </c>
      <c r="L166" t="s">
        <v>6</v>
      </c>
      <c r="M166" t="s">
        <v>21</v>
      </c>
    </row>
    <row r="167" spans="1:13" x14ac:dyDescent="0.45">
      <c r="A167" t="s">
        <v>5</v>
      </c>
      <c r="B167" t="s">
        <v>143</v>
      </c>
      <c r="C167">
        <v>2030</v>
      </c>
      <c r="D167">
        <v>208</v>
      </c>
      <c r="E167">
        <v>0.74</v>
      </c>
      <c r="F167">
        <v>0.75</v>
      </c>
      <c r="G167">
        <v>0.04</v>
      </c>
      <c r="H167">
        <v>0.63</v>
      </c>
      <c r="I167">
        <v>0.79</v>
      </c>
      <c r="J167">
        <v>0.73</v>
      </c>
      <c r="K167">
        <v>0.77</v>
      </c>
      <c r="L167" t="s">
        <v>6</v>
      </c>
      <c r="M167" t="s">
        <v>21</v>
      </c>
    </row>
    <row r="168" spans="1:13" x14ac:dyDescent="0.45">
      <c r="A168" t="s">
        <v>5</v>
      </c>
      <c r="B168" t="s">
        <v>143</v>
      </c>
      <c r="C168">
        <v>2035</v>
      </c>
      <c r="D168">
        <v>185</v>
      </c>
      <c r="E168">
        <v>0.71</v>
      </c>
      <c r="F168">
        <v>0.71</v>
      </c>
      <c r="G168">
        <v>0.04</v>
      </c>
      <c r="H168">
        <v>0.56999999999999995</v>
      </c>
      <c r="I168">
        <v>0.78</v>
      </c>
      <c r="J168">
        <v>0.69</v>
      </c>
      <c r="K168">
        <v>0.74</v>
      </c>
      <c r="L168" t="s">
        <v>6</v>
      </c>
      <c r="M168" t="s">
        <v>21</v>
      </c>
    </row>
    <row r="169" spans="1:13" x14ac:dyDescent="0.45">
      <c r="A169" t="s">
        <v>5</v>
      </c>
      <c r="B169" t="s">
        <v>143</v>
      </c>
      <c r="C169">
        <v>2040</v>
      </c>
      <c r="D169">
        <v>208</v>
      </c>
      <c r="E169">
        <v>0.68</v>
      </c>
      <c r="F169">
        <v>0.69</v>
      </c>
      <c r="G169">
        <v>0.05</v>
      </c>
      <c r="H169">
        <v>0.51</v>
      </c>
      <c r="I169">
        <v>0.77</v>
      </c>
      <c r="J169">
        <v>0.66</v>
      </c>
      <c r="K169">
        <v>0.72</v>
      </c>
      <c r="L169" t="s">
        <v>6</v>
      </c>
      <c r="M169" t="s">
        <v>21</v>
      </c>
    </row>
    <row r="170" spans="1:13" x14ac:dyDescent="0.45">
      <c r="A170" t="s">
        <v>5</v>
      </c>
      <c r="B170" t="s">
        <v>143</v>
      </c>
      <c r="C170">
        <v>2045</v>
      </c>
      <c r="D170">
        <v>185</v>
      </c>
      <c r="E170">
        <v>0.64</v>
      </c>
      <c r="F170">
        <v>0.64</v>
      </c>
      <c r="G170">
        <v>0.05</v>
      </c>
      <c r="H170">
        <v>0.48</v>
      </c>
      <c r="I170">
        <v>0.77</v>
      </c>
      <c r="J170">
        <v>0.6</v>
      </c>
      <c r="K170">
        <v>0.67</v>
      </c>
      <c r="L170" t="s">
        <v>6</v>
      </c>
      <c r="M170" t="s">
        <v>21</v>
      </c>
    </row>
    <row r="171" spans="1:13" x14ac:dyDescent="0.45">
      <c r="A171" t="s">
        <v>5</v>
      </c>
      <c r="B171" t="s">
        <v>143</v>
      </c>
      <c r="C171">
        <v>2050</v>
      </c>
      <c r="D171">
        <v>208</v>
      </c>
      <c r="E171">
        <v>0.61</v>
      </c>
      <c r="F171">
        <v>0.6</v>
      </c>
      <c r="G171">
        <v>0.06</v>
      </c>
      <c r="H171">
        <v>0.46</v>
      </c>
      <c r="I171">
        <v>0.8</v>
      </c>
      <c r="J171">
        <v>0.56999999999999995</v>
      </c>
      <c r="K171">
        <v>0.64</v>
      </c>
      <c r="L171" t="s">
        <v>6</v>
      </c>
      <c r="M171" t="s">
        <v>21</v>
      </c>
    </row>
    <row r="172" spans="1:13" x14ac:dyDescent="0.45">
      <c r="A172" t="s">
        <v>7</v>
      </c>
      <c r="B172" t="s">
        <v>143</v>
      </c>
      <c r="C172">
        <v>2020</v>
      </c>
      <c r="D172">
        <v>87</v>
      </c>
      <c r="E172">
        <v>0.76</v>
      </c>
      <c r="F172">
        <v>0.76</v>
      </c>
      <c r="G172">
        <v>0.02</v>
      </c>
      <c r="H172">
        <v>0.72</v>
      </c>
      <c r="I172">
        <v>0.79</v>
      </c>
      <c r="J172">
        <v>0.75</v>
      </c>
      <c r="K172">
        <v>0.78</v>
      </c>
      <c r="L172" t="s">
        <v>8</v>
      </c>
      <c r="M172" t="s">
        <v>21</v>
      </c>
    </row>
    <row r="173" spans="1:13" x14ac:dyDescent="0.45">
      <c r="A173" t="s">
        <v>7</v>
      </c>
      <c r="B173" t="s">
        <v>143</v>
      </c>
      <c r="C173">
        <v>2025</v>
      </c>
      <c r="D173">
        <v>81</v>
      </c>
      <c r="E173">
        <v>0.75</v>
      </c>
      <c r="F173">
        <v>0.75</v>
      </c>
      <c r="G173">
        <v>0.02</v>
      </c>
      <c r="H173">
        <v>0.7</v>
      </c>
      <c r="I173">
        <v>0.79</v>
      </c>
      <c r="J173">
        <v>0.73</v>
      </c>
      <c r="K173">
        <v>0.77</v>
      </c>
      <c r="L173" t="s">
        <v>8</v>
      </c>
      <c r="M173" t="s">
        <v>21</v>
      </c>
    </row>
    <row r="174" spans="1:13" x14ac:dyDescent="0.45">
      <c r="A174" t="s">
        <v>7</v>
      </c>
      <c r="B174" t="s">
        <v>143</v>
      </c>
      <c r="C174">
        <v>2030</v>
      </c>
      <c r="D174">
        <v>87</v>
      </c>
      <c r="E174">
        <v>0.74</v>
      </c>
      <c r="F174">
        <v>0.75</v>
      </c>
      <c r="G174">
        <v>0.03</v>
      </c>
      <c r="H174">
        <v>0.68</v>
      </c>
      <c r="I174">
        <v>0.79</v>
      </c>
      <c r="J174">
        <v>0.72</v>
      </c>
      <c r="K174">
        <v>0.77</v>
      </c>
      <c r="L174" t="s">
        <v>8</v>
      </c>
      <c r="M174" t="s">
        <v>21</v>
      </c>
    </row>
    <row r="175" spans="1:13" x14ac:dyDescent="0.45">
      <c r="A175" t="s">
        <v>7</v>
      </c>
      <c r="B175" t="s">
        <v>143</v>
      </c>
      <c r="C175">
        <v>2035</v>
      </c>
      <c r="D175">
        <v>81</v>
      </c>
      <c r="E175">
        <v>0.72</v>
      </c>
      <c r="F175">
        <v>0.71</v>
      </c>
      <c r="G175">
        <v>0.03</v>
      </c>
      <c r="H175">
        <v>0.66</v>
      </c>
      <c r="I175">
        <v>0.76</v>
      </c>
      <c r="J175">
        <v>0.7</v>
      </c>
      <c r="K175">
        <v>0.74</v>
      </c>
      <c r="L175" t="s">
        <v>8</v>
      </c>
      <c r="M175" t="s">
        <v>21</v>
      </c>
    </row>
    <row r="176" spans="1:13" x14ac:dyDescent="0.45">
      <c r="A176" t="s">
        <v>7</v>
      </c>
      <c r="B176" t="s">
        <v>143</v>
      </c>
      <c r="C176">
        <v>2040</v>
      </c>
      <c r="D176">
        <v>87</v>
      </c>
      <c r="E176">
        <v>0.7</v>
      </c>
      <c r="F176">
        <v>0.7</v>
      </c>
      <c r="G176">
        <v>0.04</v>
      </c>
      <c r="H176">
        <v>0.62</v>
      </c>
      <c r="I176">
        <v>0.77</v>
      </c>
      <c r="J176">
        <v>0.68</v>
      </c>
      <c r="K176">
        <v>0.74</v>
      </c>
      <c r="L176" t="s">
        <v>8</v>
      </c>
      <c r="M176" t="s">
        <v>21</v>
      </c>
    </row>
    <row r="177" spans="1:13" x14ac:dyDescent="0.45">
      <c r="A177" t="s">
        <v>7</v>
      </c>
      <c r="B177" t="s">
        <v>143</v>
      </c>
      <c r="C177">
        <v>2045</v>
      </c>
      <c r="D177">
        <v>81</v>
      </c>
      <c r="E177">
        <v>0.67</v>
      </c>
      <c r="F177">
        <v>0.66</v>
      </c>
      <c r="G177">
        <v>0.06</v>
      </c>
      <c r="H177">
        <v>0.57999999999999996</v>
      </c>
      <c r="I177">
        <v>0.78</v>
      </c>
      <c r="J177">
        <v>0.63</v>
      </c>
      <c r="K177">
        <v>0.72</v>
      </c>
      <c r="L177" t="s">
        <v>8</v>
      </c>
      <c r="M177" t="s">
        <v>21</v>
      </c>
    </row>
    <row r="178" spans="1:13" x14ac:dyDescent="0.45">
      <c r="A178" t="s">
        <v>7</v>
      </c>
      <c r="B178" t="s">
        <v>143</v>
      </c>
      <c r="C178">
        <v>2050</v>
      </c>
      <c r="D178">
        <v>87</v>
      </c>
      <c r="E178">
        <v>0.65</v>
      </c>
      <c r="F178">
        <v>0.64</v>
      </c>
      <c r="G178">
        <v>7.0000000000000007E-2</v>
      </c>
      <c r="H178">
        <v>0.54</v>
      </c>
      <c r="I178">
        <v>0.79</v>
      </c>
      <c r="J178">
        <v>0.59</v>
      </c>
      <c r="K178">
        <v>0.71</v>
      </c>
      <c r="L178" t="s">
        <v>8</v>
      </c>
      <c r="M178" t="s">
        <v>21</v>
      </c>
    </row>
    <row r="179" spans="1:13" x14ac:dyDescent="0.45">
      <c r="A179" t="s">
        <v>9</v>
      </c>
      <c r="B179" t="s">
        <v>143</v>
      </c>
      <c r="C179">
        <v>2020</v>
      </c>
      <c r="D179">
        <v>58</v>
      </c>
      <c r="E179">
        <v>0.76</v>
      </c>
      <c r="F179">
        <v>0.77</v>
      </c>
      <c r="G179">
        <v>0.03</v>
      </c>
      <c r="H179">
        <v>0.69</v>
      </c>
      <c r="I179">
        <v>0.79</v>
      </c>
      <c r="J179">
        <v>0.73</v>
      </c>
      <c r="K179">
        <v>0.79</v>
      </c>
      <c r="L179" t="s">
        <v>10</v>
      </c>
      <c r="M179" t="s">
        <v>21</v>
      </c>
    </row>
    <row r="180" spans="1:13" x14ac:dyDescent="0.45">
      <c r="A180" t="s">
        <v>9</v>
      </c>
      <c r="B180" t="s">
        <v>143</v>
      </c>
      <c r="C180">
        <v>2025</v>
      </c>
      <c r="D180">
        <v>53</v>
      </c>
      <c r="E180">
        <v>0.76</v>
      </c>
      <c r="F180">
        <v>0.77</v>
      </c>
      <c r="G180">
        <v>0.03</v>
      </c>
      <c r="H180">
        <v>0.68</v>
      </c>
      <c r="I180">
        <v>0.8</v>
      </c>
      <c r="J180">
        <v>0.73</v>
      </c>
      <c r="K180">
        <v>0.79</v>
      </c>
      <c r="L180" t="s">
        <v>10</v>
      </c>
      <c r="M180" t="s">
        <v>21</v>
      </c>
    </row>
    <row r="181" spans="1:13" x14ac:dyDescent="0.45">
      <c r="A181" t="s">
        <v>9</v>
      </c>
      <c r="B181" t="s">
        <v>143</v>
      </c>
      <c r="C181">
        <v>2030</v>
      </c>
      <c r="D181">
        <v>58</v>
      </c>
      <c r="E181">
        <v>0.75</v>
      </c>
      <c r="F181">
        <v>0.75</v>
      </c>
      <c r="G181">
        <v>0.04</v>
      </c>
      <c r="H181">
        <v>0.66</v>
      </c>
      <c r="I181">
        <v>0.8</v>
      </c>
      <c r="J181">
        <v>0.73</v>
      </c>
      <c r="K181">
        <v>0.78</v>
      </c>
      <c r="L181" t="s">
        <v>10</v>
      </c>
      <c r="M181" t="s">
        <v>21</v>
      </c>
    </row>
    <row r="182" spans="1:13" x14ac:dyDescent="0.45">
      <c r="A182" t="s">
        <v>9</v>
      </c>
      <c r="B182" t="s">
        <v>143</v>
      </c>
      <c r="C182">
        <v>2035</v>
      </c>
      <c r="D182">
        <v>53</v>
      </c>
      <c r="E182">
        <v>0.73</v>
      </c>
      <c r="F182">
        <v>0.74</v>
      </c>
      <c r="G182">
        <v>0.04</v>
      </c>
      <c r="H182">
        <v>0.63</v>
      </c>
      <c r="I182">
        <v>0.79</v>
      </c>
      <c r="J182">
        <v>0.71</v>
      </c>
      <c r="K182">
        <v>0.76</v>
      </c>
      <c r="L182" t="s">
        <v>10</v>
      </c>
      <c r="M182" t="s">
        <v>21</v>
      </c>
    </row>
    <row r="183" spans="1:13" x14ac:dyDescent="0.45">
      <c r="A183" t="s">
        <v>9</v>
      </c>
      <c r="B183" t="s">
        <v>143</v>
      </c>
      <c r="C183">
        <v>2040</v>
      </c>
      <c r="D183">
        <v>58</v>
      </c>
      <c r="E183">
        <v>0.71</v>
      </c>
      <c r="F183">
        <v>0.73</v>
      </c>
      <c r="G183">
        <v>0.04</v>
      </c>
      <c r="H183">
        <v>0.57999999999999996</v>
      </c>
      <c r="I183">
        <v>0.78</v>
      </c>
      <c r="J183">
        <v>0.68</v>
      </c>
      <c r="K183">
        <v>0.75</v>
      </c>
      <c r="L183" t="s">
        <v>10</v>
      </c>
      <c r="M183" t="s">
        <v>21</v>
      </c>
    </row>
    <row r="184" spans="1:13" x14ac:dyDescent="0.45">
      <c r="A184" t="s">
        <v>9</v>
      </c>
      <c r="B184" t="s">
        <v>143</v>
      </c>
      <c r="C184">
        <v>2045</v>
      </c>
      <c r="D184">
        <v>53</v>
      </c>
      <c r="E184">
        <v>0.69</v>
      </c>
      <c r="F184">
        <v>0.69</v>
      </c>
      <c r="G184">
        <v>0.05</v>
      </c>
      <c r="H184">
        <v>0.54</v>
      </c>
      <c r="I184">
        <v>0.77</v>
      </c>
      <c r="J184">
        <v>0.66</v>
      </c>
      <c r="K184">
        <v>0.74</v>
      </c>
      <c r="L184" t="s">
        <v>10</v>
      </c>
      <c r="M184" t="s">
        <v>21</v>
      </c>
    </row>
    <row r="185" spans="1:13" x14ac:dyDescent="0.45">
      <c r="A185" t="s">
        <v>9</v>
      </c>
      <c r="B185" t="s">
        <v>143</v>
      </c>
      <c r="C185">
        <v>2050</v>
      </c>
      <c r="D185">
        <v>58</v>
      </c>
      <c r="E185">
        <v>0.68</v>
      </c>
      <c r="F185">
        <v>0.66</v>
      </c>
      <c r="G185">
        <v>0.06</v>
      </c>
      <c r="H185">
        <v>0.52</v>
      </c>
      <c r="I185">
        <v>0.76</v>
      </c>
      <c r="J185">
        <v>0.64</v>
      </c>
      <c r="K185">
        <v>0.73</v>
      </c>
      <c r="L185" t="s">
        <v>10</v>
      </c>
      <c r="M185" t="s">
        <v>21</v>
      </c>
    </row>
    <row r="186" spans="1:13" x14ac:dyDescent="0.45">
      <c r="A186" t="s">
        <v>0</v>
      </c>
      <c r="B186" t="s">
        <v>143</v>
      </c>
      <c r="C186">
        <v>2020</v>
      </c>
      <c r="D186">
        <v>63</v>
      </c>
      <c r="E186">
        <v>0.01</v>
      </c>
      <c r="F186">
        <v>0</v>
      </c>
      <c r="G186">
        <v>0.01</v>
      </c>
      <c r="H186">
        <v>0</v>
      </c>
      <c r="I186">
        <v>0.03</v>
      </c>
      <c r="J186">
        <v>0</v>
      </c>
      <c r="K186">
        <v>0.01</v>
      </c>
      <c r="L186" t="s">
        <v>1</v>
      </c>
      <c r="M186" t="s">
        <v>23</v>
      </c>
    </row>
    <row r="187" spans="1:13" x14ac:dyDescent="0.45">
      <c r="A187" t="s">
        <v>0</v>
      </c>
      <c r="B187" t="s">
        <v>143</v>
      </c>
      <c r="C187">
        <v>2025</v>
      </c>
      <c r="D187">
        <v>63</v>
      </c>
      <c r="E187">
        <v>0.02</v>
      </c>
      <c r="F187">
        <v>0.02</v>
      </c>
      <c r="G187">
        <v>0.01</v>
      </c>
      <c r="H187">
        <v>0</v>
      </c>
      <c r="I187">
        <v>0.05</v>
      </c>
      <c r="J187">
        <v>0.01</v>
      </c>
      <c r="K187">
        <v>0.03</v>
      </c>
      <c r="L187" t="s">
        <v>1</v>
      </c>
      <c r="M187" t="s">
        <v>23</v>
      </c>
    </row>
    <row r="188" spans="1:13" x14ac:dyDescent="0.45">
      <c r="A188" t="s">
        <v>0</v>
      </c>
      <c r="B188" t="s">
        <v>143</v>
      </c>
      <c r="C188">
        <v>2030</v>
      </c>
      <c r="D188">
        <v>63</v>
      </c>
      <c r="E188">
        <v>0.05</v>
      </c>
      <c r="F188">
        <v>0.04</v>
      </c>
      <c r="G188">
        <v>0.02</v>
      </c>
      <c r="H188">
        <v>0</v>
      </c>
      <c r="I188">
        <v>0.11</v>
      </c>
      <c r="J188">
        <v>0.03</v>
      </c>
      <c r="K188">
        <v>0.06</v>
      </c>
      <c r="L188" t="s">
        <v>1</v>
      </c>
      <c r="M188" t="s">
        <v>23</v>
      </c>
    </row>
    <row r="189" spans="1:13" x14ac:dyDescent="0.45">
      <c r="A189" t="s">
        <v>0</v>
      </c>
      <c r="B189" t="s">
        <v>143</v>
      </c>
      <c r="C189">
        <v>2035</v>
      </c>
      <c r="D189">
        <v>63</v>
      </c>
      <c r="E189">
        <v>0.08</v>
      </c>
      <c r="F189">
        <v>0.08</v>
      </c>
      <c r="G189">
        <v>0.03</v>
      </c>
      <c r="H189">
        <v>0</v>
      </c>
      <c r="I189">
        <v>0.15</v>
      </c>
      <c r="J189">
        <v>0.06</v>
      </c>
      <c r="K189">
        <v>0.1</v>
      </c>
      <c r="L189" t="s">
        <v>1</v>
      </c>
      <c r="M189" t="s">
        <v>23</v>
      </c>
    </row>
    <row r="190" spans="1:13" x14ac:dyDescent="0.45">
      <c r="A190" t="s">
        <v>0</v>
      </c>
      <c r="B190" t="s">
        <v>143</v>
      </c>
      <c r="C190">
        <v>2040</v>
      </c>
      <c r="D190">
        <v>63</v>
      </c>
      <c r="E190">
        <v>0.11</v>
      </c>
      <c r="F190">
        <v>0.11</v>
      </c>
      <c r="G190">
        <v>0.04</v>
      </c>
      <c r="H190">
        <v>0.01</v>
      </c>
      <c r="I190">
        <v>0.21</v>
      </c>
      <c r="J190">
        <v>0.09</v>
      </c>
      <c r="K190">
        <v>0.13</v>
      </c>
      <c r="L190" t="s">
        <v>1</v>
      </c>
      <c r="M190" t="s">
        <v>23</v>
      </c>
    </row>
    <row r="191" spans="1:13" x14ac:dyDescent="0.45">
      <c r="A191" t="s">
        <v>0</v>
      </c>
      <c r="B191" t="s">
        <v>143</v>
      </c>
      <c r="C191">
        <v>2045</v>
      </c>
      <c r="D191">
        <v>63</v>
      </c>
      <c r="E191">
        <v>0.14000000000000001</v>
      </c>
      <c r="F191">
        <v>0.14000000000000001</v>
      </c>
      <c r="G191">
        <v>0.06</v>
      </c>
      <c r="H191">
        <v>0.02</v>
      </c>
      <c r="I191">
        <v>0.25</v>
      </c>
      <c r="J191">
        <v>0.09</v>
      </c>
      <c r="K191">
        <v>0.18</v>
      </c>
      <c r="L191" t="s">
        <v>1</v>
      </c>
      <c r="M191" t="s">
        <v>23</v>
      </c>
    </row>
    <row r="192" spans="1:13" x14ac:dyDescent="0.45">
      <c r="A192" t="s">
        <v>0</v>
      </c>
      <c r="B192" t="s">
        <v>143</v>
      </c>
      <c r="C192">
        <v>2050</v>
      </c>
      <c r="D192">
        <v>63</v>
      </c>
      <c r="E192">
        <v>0.15</v>
      </c>
      <c r="F192">
        <v>0.16</v>
      </c>
      <c r="G192">
        <v>0.06</v>
      </c>
      <c r="H192">
        <v>0.02</v>
      </c>
      <c r="I192">
        <v>0.27</v>
      </c>
      <c r="J192">
        <v>0.11</v>
      </c>
      <c r="K192">
        <v>0.2</v>
      </c>
      <c r="L192" t="s">
        <v>1</v>
      </c>
      <c r="M192" t="s">
        <v>23</v>
      </c>
    </row>
    <row r="193" spans="1:13" x14ac:dyDescent="0.45">
      <c r="A193" t="s">
        <v>2</v>
      </c>
      <c r="B193" t="s">
        <v>143</v>
      </c>
      <c r="C193">
        <v>2020</v>
      </c>
      <c r="D193">
        <v>100</v>
      </c>
      <c r="E193">
        <v>0.01</v>
      </c>
      <c r="F193">
        <v>0</v>
      </c>
      <c r="G193">
        <v>0.01</v>
      </c>
      <c r="H193">
        <v>0</v>
      </c>
      <c r="I193">
        <v>0.03</v>
      </c>
      <c r="J193">
        <v>0</v>
      </c>
      <c r="K193">
        <v>0.01</v>
      </c>
      <c r="L193" t="s">
        <v>3</v>
      </c>
      <c r="M193" t="s">
        <v>23</v>
      </c>
    </row>
    <row r="194" spans="1:13" x14ac:dyDescent="0.45">
      <c r="A194" t="s">
        <v>2</v>
      </c>
      <c r="B194" t="s">
        <v>143</v>
      </c>
      <c r="C194">
        <v>2025</v>
      </c>
      <c r="D194">
        <v>89</v>
      </c>
      <c r="E194">
        <v>0.02</v>
      </c>
      <c r="F194">
        <v>0.02</v>
      </c>
      <c r="G194">
        <v>0.01</v>
      </c>
      <c r="H194">
        <v>0</v>
      </c>
      <c r="I194">
        <v>0.04</v>
      </c>
      <c r="J194">
        <v>0.01</v>
      </c>
      <c r="K194">
        <v>0.02</v>
      </c>
      <c r="L194" t="s">
        <v>3</v>
      </c>
      <c r="M194" t="s">
        <v>23</v>
      </c>
    </row>
    <row r="195" spans="1:13" x14ac:dyDescent="0.45">
      <c r="A195" t="s">
        <v>2</v>
      </c>
      <c r="B195" t="s">
        <v>143</v>
      </c>
      <c r="C195">
        <v>2030</v>
      </c>
      <c r="D195">
        <v>100</v>
      </c>
      <c r="E195">
        <v>0.04</v>
      </c>
      <c r="F195">
        <v>0.04</v>
      </c>
      <c r="G195">
        <v>0.02</v>
      </c>
      <c r="H195">
        <v>0</v>
      </c>
      <c r="I195">
        <v>0.08</v>
      </c>
      <c r="J195">
        <v>0.03</v>
      </c>
      <c r="K195">
        <v>0.05</v>
      </c>
      <c r="L195" t="s">
        <v>3</v>
      </c>
      <c r="M195" t="s">
        <v>23</v>
      </c>
    </row>
    <row r="196" spans="1:13" x14ac:dyDescent="0.45">
      <c r="A196" t="s">
        <v>2</v>
      </c>
      <c r="B196" t="s">
        <v>143</v>
      </c>
      <c r="C196">
        <v>2035</v>
      </c>
      <c r="D196">
        <v>89</v>
      </c>
      <c r="E196">
        <v>7.0000000000000007E-2</v>
      </c>
      <c r="F196">
        <v>0.06</v>
      </c>
      <c r="G196">
        <v>0.03</v>
      </c>
      <c r="H196">
        <v>0</v>
      </c>
      <c r="I196">
        <v>0.14000000000000001</v>
      </c>
      <c r="J196">
        <v>0.04</v>
      </c>
      <c r="K196">
        <v>0.09</v>
      </c>
      <c r="L196" t="s">
        <v>3</v>
      </c>
      <c r="M196" t="s">
        <v>23</v>
      </c>
    </row>
    <row r="197" spans="1:13" x14ac:dyDescent="0.45">
      <c r="A197" t="s">
        <v>2</v>
      </c>
      <c r="B197" t="s">
        <v>143</v>
      </c>
      <c r="C197">
        <v>2040</v>
      </c>
      <c r="D197">
        <v>100</v>
      </c>
      <c r="E197">
        <v>0.12</v>
      </c>
      <c r="F197">
        <v>0.11</v>
      </c>
      <c r="G197">
        <v>7.0000000000000007E-2</v>
      </c>
      <c r="H197">
        <v>0</v>
      </c>
      <c r="I197">
        <v>0.26</v>
      </c>
      <c r="J197">
        <v>0.08</v>
      </c>
      <c r="K197">
        <v>0.15</v>
      </c>
      <c r="L197" t="s">
        <v>3</v>
      </c>
      <c r="M197" t="s">
        <v>23</v>
      </c>
    </row>
    <row r="198" spans="1:13" x14ac:dyDescent="0.45">
      <c r="A198" t="s">
        <v>2</v>
      </c>
      <c r="B198" t="s">
        <v>143</v>
      </c>
      <c r="C198">
        <v>2045</v>
      </c>
      <c r="D198">
        <v>89</v>
      </c>
      <c r="E198">
        <v>0.13</v>
      </c>
      <c r="F198">
        <v>0.14000000000000001</v>
      </c>
      <c r="G198">
        <v>7.0000000000000007E-2</v>
      </c>
      <c r="H198">
        <v>0</v>
      </c>
      <c r="I198">
        <v>0.25</v>
      </c>
      <c r="J198">
        <v>0.06</v>
      </c>
      <c r="K198">
        <v>0.19</v>
      </c>
      <c r="L198" t="s">
        <v>3</v>
      </c>
      <c r="M198" t="s">
        <v>23</v>
      </c>
    </row>
    <row r="199" spans="1:13" x14ac:dyDescent="0.45">
      <c r="A199" t="s">
        <v>2</v>
      </c>
      <c r="B199" t="s">
        <v>143</v>
      </c>
      <c r="C199">
        <v>2050</v>
      </c>
      <c r="D199">
        <v>100</v>
      </c>
      <c r="E199">
        <v>0.17</v>
      </c>
      <c r="F199">
        <v>0.16</v>
      </c>
      <c r="G199">
        <v>0.09</v>
      </c>
      <c r="H199">
        <v>0</v>
      </c>
      <c r="I199">
        <v>0.31</v>
      </c>
      <c r="J199">
        <v>0.09</v>
      </c>
      <c r="K199">
        <v>0.26</v>
      </c>
      <c r="L199" t="s">
        <v>3</v>
      </c>
      <c r="M199" t="s">
        <v>23</v>
      </c>
    </row>
    <row r="200" spans="1:13" x14ac:dyDescent="0.45">
      <c r="A200" t="s">
        <v>5</v>
      </c>
      <c r="B200" t="s">
        <v>143</v>
      </c>
      <c r="C200">
        <v>2020</v>
      </c>
      <c r="D200">
        <v>233</v>
      </c>
      <c r="E200">
        <v>0.01</v>
      </c>
      <c r="F200">
        <v>0</v>
      </c>
      <c r="G200">
        <v>0.01</v>
      </c>
      <c r="H200">
        <v>0</v>
      </c>
      <c r="I200">
        <v>0.03</v>
      </c>
      <c r="J200">
        <v>0</v>
      </c>
      <c r="K200">
        <v>0.01</v>
      </c>
      <c r="L200" t="s">
        <v>6</v>
      </c>
      <c r="M200" t="s">
        <v>23</v>
      </c>
    </row>
    <row r="201" spans="1:13" x14ac:dyDescent="0.45">
      <c r="A201" t="s">
        <v>5</v>
      </c>
      <c r="B201" t="s">
        <v>143</v>
      </c>
      <c r="C201">
        <v>2025</v>
      </c>
      <c r="D201">
        <v>210</v>
      </c>
      <c r="E201">
        <v>0.02</v>
      </c>
      <c r="F201">
        <v>0.02</v>
      </c>
      <c r="G201">
        <v>0.01</v>
      </c>
      <c r="H201">
        <v>0</v>
      </c>
      <c r="I201">
        <v>0.06</v>
      </c>
      <c r="J201">
        <v>0.01</v>
      </c>
      <c r="K201">
        <v>0.02</v>
      </c>
      <c r="L201" t="s">
        <v>6</v>
      </c>
      <c r="M201" t="s">
        <v>23</v>
      </c>
    </row>
    <row r="202" spans="1:13" x14ac:dyDescent="0.45">
      <c r="A202" t="s">
        <v>5</v>
      </c>
      <c r="B202" t="s">
        <v>143</v>
      </c>
      <c r="C202">
        <v>2030</v>
      </c>
      <c r="D202">
        <v>233</v>
      </c>
      <c r="E202">
        <v>0.03</v>
      </c>
      <c r="F202">
        <v>0.03</v>
      </c>
      <c r="G202">
        <v>0.02</v>
      </c>
      <c r="H202">
        <v>0</v>
      </c>
      <c r="I202">
        <v>0.11</v>
      </c>
      <c r="J202">
        <v>0.01</v>
      </c>
      <c r="K202">
        <v>0.04</v>
      </c>
      <c r="L202" t="s">
        <v>6</v>
      </c>
      <c r="M202" t="s">
        <v>23</v>
      </c>
    </row>
    <row r="203" spans="1:13" x14ac:dyDescent="0.45">
      <c r="A203" t="s">
        <v>5</v>
      </c>
      <c r="B203" t="s">
        <v>143</v>
      </c>
      <c r="C203">
        <v>2035</v>
      </c>
      <c r="D203">
        <v>210</v>
      </c>
      <c r="E203">
        <v>0.06</v>
      </c>
      <c r="F203">
        <v>0.06</v>
      </c>
      <c r="G203">
        <v>0.03</v>
      </c>
      <c r="H203">
        <v>0</v>
      </c>
      <c r="I203">
        <v>0.16</v>
      </c>
      <c r="J203">
        <v>0.03</v>
      </c>
      <c r="K203">
        <v>0.08</v>
      </c>
      <c r="L203" t="s">
        <v>6</v>
      </c>
      <c r="M203" t="s">
        <v>23</v>
      </c>
    </row>
    <row r="204" spans="1:13" x14ac:dyDescent="0.45">
      <c r="A204" t="s">
        <v>5</v>
      </c>
      <c r="B204" t="s">
        <v>143</v>
      </c>
      <c r="C204">
        <v>2040</v>
      </c>
      <c r="D204">
        <v>233</v>
      </c>
      <c r="E204">
        <v>0.08</v>
      </c>
      <c r="F204">
        <v>0.09</v>
      </c>
      <c r="G204">
        <v>0.05</v>
      </c>
      <c r="H204">
        <v>0</v>
      </c>
      <c r="I204">
        <v>0.24</v>
      </c>
      <c r="J204">
        <v>0.03</v>
      </c>
      <c r="K204">
        <v>0.1</v>
      </c>
      <c r="L204" t="s">
        <v>6</v>
      </c>
      <c r="M204" t="s">
        <v>23</v>
      </c>
    </row>
    <row r="205" spans="1:13" x14ac:dyDescent="0.45">
      <c r="A205" t="s">
        <v>5</v>
      </c>
      <c r="B205" t="s">
        <v>143</v>
      </c>
      <c r="C205">
        <v>2045</v>
      </c>
      <c r="D205">
        <v>210</v>
      </c>
      <c r="E205">
        <v>0.12</v>
      </c>
      <c r="F205">
        <v>0.12</v>
      </c>
      <c r="G205">
        <v>7.0000000000000007E-2</v>
      </c>
      <c r="H205">
        <v>0</v>
      </c>
      <c r="I205">
        <v>0.25</v>
      </c>
      <c r="J205">
        <v>0.06</v>
      </c>
      <c r="K205">
        <v>0.16</v>
      </c>
      <c r="L205" t="s">
        <v>6</v>
      </c>
      <c r="M205" t="s">
        <v>23</v>
      </c>
    </row>
    <row r="206" spans="1:13" x14ac:dyDescent="0.45">
      <c r="A206" t="s">
        <v>5</v>
      </c>
      <c r="B206" t="s">
        <v>143</v>
      </c>
      <c r="C206">
        <v>2050</v>
      </c>
      <c r="D206">
        <v>233</v>
      </c>
      <c r="E206">
        <v>0.13</v>
      </c>
      <c r="F206">
        <v>0.14000000000000001</v>
      </c>
      <c r="G206">
        <v>0.09</v>
      </c>
      <c r="H206">
        <v>0</v>
      </c>
      <c r="I206">
        <v>0.32</v>
      </c>
      <c r="J206">
        <v>0.05</v>
      </c>
      <c r="K206">
        <v>0.2</v>
      </c>
      <c r="L206" t="s">
        <v>6</v>
      </c>
      <c r="M206" t="s">
        <v>23</v>
      </c>
    </row>
    <row r="207" spans="1:13" x14ac:dyDescent="0.45">
      <c r="A207" t="s">
        <v>7</v>
      </c>
      <c r="B207" t="s">
        <v>143</v>
      </c>
      <c r="C207">
        <v>2020</v>
      </c>
      <c r="D207">
        <v>87</v>
      </c>
      <c r="E207">
        <v>0.01</v>
      </c>
      <c r="F207">
        <v>0</v>
      </c>
      <c r="G207">
        <v>0</v>
      </c>
      <c r="H207">
        <v>0</v>
      </c>
      <c r="I207">
        <v>0.02</v>
      </c>
      <c r="J207">
        <v>0</v>
      </c>
      <c r="K207">
        <v>0</v>
      </c>
      <c r="L207" t="s">
        <v>8</v>
      </c>
      <c r="M207" t="s">
        <v>23</v>
      </c>
    </row>
    <row r="208" spans="1:13" x14ac:dyDescent="0.45">
      <c r="A208" t="s">
        <v>7</v>
      </c>
      <c r="B208" t="s">
        <v>143</v>
      </c>
      <c r="C208">
        <v>2025</v>
      </c>
      <c r="D208">
        <v>81</v>
      </c>
      <c r="E208">
        <v>0.01</v>
      </c>
      <c r="F208">
        <v>0.01</v>
      </c>
      <c r="G208">
        <v>0.01</v>
      </c>
      <c r="H208">
        <v>0</v>
      </c>
      <c r="I208">
        <v>0.03</v>
      </c>
      <c r="J208">
        <v>0.01</v>
      </c>
      <c r="K208">
        <v>0.02</v>
      </c>
      <c r="L208" t="s">
        <v>8</v>
      </c>
      <c r="M208" t="s">
        <v>23</v>
      </c>
    </row>
    <row r="209" spans="1:13" x14ac:dyDescent="0.45">
      <c r="A209" t="s">
        <v>7</v>
      </c>
      <c r="B209" t="s">
        <v>143</v>
      </c>
      <c r="C209">
        <v>2030</v>
      </c>
      <c r="D209">
        <v>87</v>
      </c>
      <c r="E209">
        <v>0.02</v>
      </c>
      <c r="F209">
        <v>0.02</v>
      </c>
      <c r="G209">
        <v>0.01</v>
      </c>
      <c r="H209">
        <v>0</v>
      </c>
      <c r="I209">
        <v>0.05</v>
      </c>
      <c r="J209">
        <v>0</v>
      </c>
      <c r="K209">
        <v>0.03</v>
      </c>
      <c r="L209" t="s">
        <v>8</v>
      </c>
      <c r="M209" t="s">
        <v>23</v>
      </c>
    </row>
    <row r="210" spans="1:13" x14ac:dyDescent="0.45">
      <c r="A210" t="s">
        <v>7</v>
      </c>
      <c r="B210" t="s">
        <v>143</v>
      </c>
      <c r="C210">
        <v>2035</v>
      </c>
      <c r="D210">
        <v>81</v>
      </c>
      <c r="E210">
        <v>0.04</v>
      </c>
      <c r="F210">
        <v>0.03</v>
      </c>
      <c r="G210">
        <v>0.03</v>
      </c>
      <c r="H210">
        <v>0</v>
      </c>
      <c r="I210">
        <v>0.1</v>
      </c>
      <c r="J210">
        <v>0.01</v>
      </c>
      <c r="K210">
        <v>0.06</v>
      </c>
      <c r="L210" t="s">
        <v>8</v>
      </c>
      <c r="M210" t="s">
        <v>23</v>
      </c>
    </row>
    <row r="211" spans="1:13" x14ac:dyDescent="0.45">
      <c r="A211" t="s">
        <v>7</v>
      </c>
      <c r="B211" t="s">
        <v>143</v>
      </c>
      <c r="C211">
        <v>2040</v>
      </c>
      <c r="D211">
        <v>87</v>
      </c>
      <c r="E211">
        <v>0.06</v>
      </c>
      <c r="F211">
        <v>0.04</v>
      </c>
      <c r="G211">
        <v>0.05</v>
      </c>
      <c r="H211">
        <v>0</v>
      </c>
      <c r="I211">
        <v>0.16</v>
      </c>
      <c r="J211">
        <v>0.01</v>
      </c>
      <c r="K211">
        <v>0.1</v>
      </c>
      <c r="L211" t="s">
        <v>8</v>
      </c>
      <c r="M211" t="s">
        <v>23</v>
      </c>
    </row>
    <row r="212" spans="1:13" x14ac:dyDescent="0.45">
      <c r="A212" t="s">
        <v>7</v>
      </c>
      <c r="B212" t="s">
        <v>143</v>
      </c>
      <c r="C212">
        <v>2045</v>
      </c>
      <c r="D212">
        <v>81</v>
      </c>
      <c r="E212">
        <v>0.09</v>
      </c>
      <c r="F212">
        <v>0.06</v>
      </c>
      <c r="G212">
        <v>0.08</v>
      </c>
      <c r="H212">
        <v>0</v>
      </c>
      <c r="I212">
        <v>0.25</v>
      </c>
      <c r="J212">
        <v>0.03</v>
      </c>
      <c r="K212">
        <v>0.17</v>
      </c>
      <c r="L212" t="s">
        <v>8</v>
      </c>
      <c r="M212" t="s">
        <v>23</v>
      </c>
    </row>
    <row r="213" spans="1:13" x14ac:dyDescent="0.45">
      <c r="A213" t="s">
        <v>7</v>
      </c>
      <c r="B213" t="s">
        <v>143</v>
      </c>
      <c r="C213">
        <v>2050</v>
      </c>
      <c r="D213">
        <v>87</v>
      </c>
      <c r="E213">
        <v>0.12</v>
      </c>
      <c r="F213">
        <v>0.06</v>
      </c>
      <c r="G213">
        <v>0.11</v>
      </c>
      <c r="H213">
        <v>0</v>
      </c>
      <c r="I213">
        <v>0.3</v>
      </c>
      <c r="J213">
        <v>0.03</v>
      </c>
      <c r="K213">
        <v>0.24</v>
      </c>
      <c r="L213" t="s">
        <v>8</v>
      </c>
      <c r="M213" t="s">
        <v>23</v>
      </c>
    </row>
    <row r="214" spans="1:13" x14ac:dyDescent="0.45">
      <c r="A214" t="s">
        <v>9</v>
      </c>
      <c r="B214" t="s">
        <v>143</v>
      </c>
      <c r="C214">
        <v>2020</v>
      </c>
      <c r="D214">
        <v>61</v>
      </c>
      <c r="E214">
        <v>0.01</v>
      </c>
      <c r="F214">
        <v>0</v>
      </c>
      <c r="G214">
        <v>0.01</v>
      </c>
      <c r="H214">
        <v>0</v>
      </c>
      <c r="I214">
        <v>0.03</v>
      </c>
      <c r="J214">
        <v>0</v>
      </c>
      <c r="K214">
        <v>0.01</v>
      </c>
      <c r="L214" t="s">
        <v>10</v>
      </c>
      <c r="M214" t="s">
        <v>23</v>
      </c>
    </row>
    <row r="215" spans="1:13" x14ac:dyDescent="0.45">
      <c r="A215" t="s">
        <v>9</v>
      </c>
      <c r="B215" t="s">
        <v>143</v>
      </c>
      <c r="C215">
        <v>2025</v>
      </c>
      <c r="D215">
        <v>56</v>
      </c>
      <c r="E215">
        <v>0.01</v>
      </c>
      <c r="F215">
        <v>0.01</v>
      </c>
      <c r="G215">
        <v>0.01</v>
      </c>
      <c r="H215">
        <v>0</v>
      </c>
      <c r="I215">
        <v>0.05</v>
      </c>
      <c r="J215">
        <v>0.01</v>
      </c>
      <c r="K215">
        <v>0.01</v>
      </c>
      <c r="L215" t="s">
        <v>10</v>
      </c>
      <c r="M215" t="s">
        <v>23</v>
      </c>
    </row>
    <row r="216" spans="1:13" x14ac:dyDescent="0.45">
      <c r="A216" t="s">
        <v>9</v>
      </c>
      <c r="B216" t="s">
        <v>143</v>
      </c>
      <c r="C216">
        <v>2030</v>
      </c>
      <c r="D216">
        <v>61</v>
      </c>
      <c r="E216">
        <v>0.02</v>
      </c>
      <c r="F216">
        <v>0.03</v>
      </c>
      <c r="G216">
        <v>0.02</v>
      </c>
      <c r="H216">
        <v>0</v>
      </c>
      <c r="I216">
        <v>0.09</v>
      </c>
      <c r="J216">
        <v>0.01</v>
      </c>
      <c r="K216">
        <v>0.03</v>
      </c>
      <c r="L216" t="s">
        <v>10</v>
      </c>
      <c r="M216" t="s">
        <v>23</v>
      </c>
    </row>
    <row r="217" spans="1:13" x14ac:dyDescent="0.45">
      <c r="A217" t="s">
        <v>9</v>
      </c>
      <c r="B217" t="s">
        <v>143</v>
      </c>
      <c r="C217">
        <v>2035</v>
      </c>
      <c r="D217">
        <v>56</v>
      </c>
      <c r="E217">
        <v>0.04</v>
      </c>
      <c r="F217">
        <v>0.03</v>
      </c>
      <c r="G217">
        <v>0.03</v>
      </c>
      <c r="H217">
        <v>0</v>
      </c>
      <c r="I217">
        <v>0.11</v>
      </c>
      <c r="J217">
        <v>0.02</v>
      </c>
      <c r="K217">
        <v>0.06</v>
      </c>
      <c r="L217" t="s">
        <v>10</v>
      </c>
      <c r="M217" t="s">
        <v>23</v>
      </c>
    </row>
    <row r="218" spans="1:13" x14ac:dyDescent="0.45">
      <c r="A218" t="s">
        <v>9</v>
      </c>
      <c r="B218" t="s">
        <v>143</v>
      </c>
      <c r="C218">
        <v>2040</v>
      </c>
      <c r="D218">
        <v>61</v>
      </c>
      <c r="E218">
        <v>0.05</v>
      </c>
      <c r="F218">
        <v>0.04</v>
      </c>
      <c r="G218">
        <v>0.04</v>
      </c>
      <c r="H218">
        <v>0</v>
      </c>
      <c r="I218">
        <v>0.16</v>
      </c>
      <c r="J218">
        <v>0.02</v>
      </c>
      <c r="K218">
        <v>0.09</v>
      </c>
      <c r="L218" t="s">
        <v>10</v>
      </c>
      <c r="M218" t="s">
        <v>23</v>
      </c>
    </row>
    <row r="219" spans="1:13" x14ac:dyDescent="0.45">
      <c r="A219" t="s">
        <v>9</v>
      </c>
      <c r="B219" t="s">
        <v>143</v>
      </c>
      <c r="C219">
        <v>2045</v>
      </c>
      <c r="D219">
        <v>56</v>
      </c>
      <c r="E219">
        <v>0.08</v>
      </c>
      <c r="F219">
        <v>7.0000000000000007E-2</v>
      </c>
      <c r="G219">
        <v>0.05</v>
      </c>
      <c r="H219">
        <v>0</v>
      </c>
      <c r="I219">
        <v>0.22</v>
      </c>
      <c r="J219">
        <v>0.04</v>
      </c>
      <c r="K219">
        <v>0.12</v>
      </c>
      <c r="L219" t="s">
        <v>10</v>
      </c>
      <c r="M219" t="s">
        <v>23</v>
      </c>
    </row>
    <row r="220" spans="1:13" x14ac:dyDescent="0.45">
      <c r="A220" t="s">
        <v>9</v>
      </c>
      <c r="B220" t="s">
        <v>143</v>
      </c>
      <c r="C220">
        <v>2050</v>
      </c>
      <c r="D220">
        <v>61</v>
      </c>
      <c r="E220">
        <v>0.09</v>
      </c>
      <c r="F220">
        <v>0.08</v>
      </c>
      <c r="G220">
        <v>7.0000000000000007E-2</v>
      </c>
      <c r="H220">
        <v>0</v>
      </c>
      <c r="I220">
        <v>0.25</v>
      </c>
      <c r="J220">
        <v>0.04</v>
      </c>
      <c r="K220">
        <v>0.16</v>
      </c>
      <c r="L220" t="s">
        <v>10</v>
      </c>
      <c r="M220" t="s">
        <v>23</v>
      </c>
    </row>
    <row r="221" spans="1:13" x14ac:dyDescent="0.45">
      <c r="A221" t="s">
        <v>0</v>
      </c>
      <c r="B221" t="s">
        <v>143</v>
      </c>
      <c r="C221">
        <v>2020</v>
      </c>
      <c r="D221">
        <v>37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143</v>
      </c>
      <c r="C222">
        <v>2025</v>
      </c>
      <c r="D222">
        <v>37</v>
      </c>
      <c r="E222">
        <v>2.2799999999999998</v>
      </c>
      <c r="F222">
        <v>2.25</v>
      </c>
      <c r="G222">
        <v>0.78</v>
      </c>
      <c r="H222">
        <v>0</v>
      </c>
      <c r="I222">
        <v>4.4000000000000004</v>
      </c>
      <c r="J222">
        <v>1.89</v>
      </c>
      <c r="K222">
        <v>2.48</v>
      </c>
      <c r="L222" t="s">
        <v>1</v>
      </c>
      <c r="M222" t="s">
        <v>70</v>
      </c>
    </row>
    <row r="223" spans="1:13" x14ac:dyDescent="0.45">
      <c r="A223" t="s">
        <v>0</v>
      </c>
      <c r="B223" t="s">
        <v>143</v>
      </c>
      <c r="C223">
        <v>2030</v>
      </c>
      <c r="D223">
        <v>37</v>
      </c>
      <c r="E223">
        <v>2.73</v>
      </c>
      <c r="F223">
        <v>2.75</v>
      </c>
      <c r="G223">
        <v>1.06</v>
      </c>
      <c r="H223">
        <v>0</v>
      </c>
      <c r="I223">
        <v>5.28</v>
      </c>
      <c r="J223">
        <v>2.02</v>
      </c>
      <c r="K223">
        <v>3.12</v>
      </c>
      <c r="L223" t="s">
        <v>1</v>
      </c>
      <c r="M223" t="s">
        <v>70</v>
      </c>
    </row>
    <row r="224" spans="1:13" x14ac:dyDescent="0.45">
      <c r="A224" t="s">
        <v>0</v>
      </c>
      <c r="B224" t="s">
        <v>143</v>
      </c>
      <c r="C224">
        <v>2035</v>
      </c>
      <c r="D224">
        <v>37</v>
      </c>
      <c r="E224">
        <v>3.16</v>
      </c>
      <c r="F224">
        <v>3.15</v>
      </c>
      <c r="G224">
        <v>1.43</v>
      </c>
      <c r="H224">
        <v>0</v>
      </c>
      <c r="I224">
        <v>6.61</v>
      </c>
      <c r="J224">
        <v>2.2999999999999998</v>
      </c>
      <c r="K224">
        <v>3.62</v>
      </c>
      <c r="L224" t="s">
        <v>1</v>
      </c>
      <c r="M224" t="s">
        <v>70</v>
      </c>
    </row>
    <row r="225" spans="1:13" x14ac:dyDescent="0.45">
      <c r="A225" t="s">
        <v>0</v>
      </c>
      <c r="B225" t="s">
        <v>143</v>
      </c>
      <c r="C225">
        <v>2040</v>
      </c>
      <c r="D225">
        <v>37</v>
      </c>
      <c r="E225">
        <v>3.35</v>
      </c>
      <c r="F225">
        <v>3.46</v>
      </c>
      <c r="G225">
        <v>1.71</v>
      </c>
      <c r="H225">
        <v>0</v>
      </c>
      <c r="I225">
        <v>7.25</v>
      </c>
      <c r="J225">
        <v>2.5099999999999998</v>
      </c>
      <c r="K225">
        <v>4.33</v>
      </c>
      <c r="L225" t="s">
        <v>1</v>
      </c>
      <c r="M225" t="s">
        <v>70</v>
      </c>
    </row>
    <row r="226" spans="1:13" x14ac:dyDescent="0.45">
      <c r="A226" t="s">
        <v>0</v>
      </c>
      <c r="B226" t="s">
        <v>143</v>
      </c>
      <c r="C226">
        <v>2045</v>
      </c>
      <c r="D226">
        <v>37</v>
      </c>
      <c r="E226">
        <v>3.51</v>
      </c>
      <c r="F226">
        <v>3.7</v>
      </c>
      <c r="G226">
        <v>1.75</v>
      </c>
      <c r="H226">
        <v>0</v>
      </c>
      <c r="I226">
        <v>8.64</v>
      </c>
      <c r="J226">
        <v>2.81</v>
      </c>
      <c r="K226">
        <v>4.3099999999999996</v>
      </c>
      <c r="L226" t="s">
        <v>1</v>
      </c>
      <c r="M226" t="s">
        <v>70</v>
      </c>
    </row>
    <row r="227" spans="1:13" x14ac:dyDescent="0.45">
      <c r="A227" t="s">
        <v>0</v>
      </c>
      <c r="B227" t="s">
        <v>143</v>
      </c>
      <c r="C227">
        <v>2050</v>
      </c>
      <c r="D227">
        <v>37</v>
      </c>
      <c r="E227">
        <v>3.42</v>
      </c>
      <c r="F227">
        <v>3.43</v>
      </c>
      <c r="G227">
        <v>1.75</v>
      </c>
      <c r="H227">
        <v>0</v>
      </c>
      <c r="I227">
        <v>9.25</v>
      </c>
      <c r="J227">
        <v>2.88</v>
      </c>
      <c r="K227">
        <v>3.96</v>
      </c>
      <c r="L227" t="s">
        <v>1</v>
      </c>
      <c r="M227" t="s">
        <v>70</v>
      </c>
    </row>
    <row r="228" spans="1:13" x14ac:dyDescent="0.45">
      <c r="A228" t="s">
        <v>2</v>
      </c>
      <c r="B228" t="s">
        <v>143</v>
      </c>
      <c r="C228">
        <v>2020</v>
      </c>
      <c r="D228">
        <v>44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143</v>
      </c>
      <c r="C229">
        <v>2025</v>
      </c>
      <c r="D229">
        <v>44</v>
      </c>
      <c r="E229">
        <v>1.74</v>
      </c>
      <c r="F229">
        <v>1.56</v>
      </c>
      <c r="G229">
        <v>0.71</v>
      </c>
      <c r="H229">
        <v>1.07</v>
      </c>
      <c r="I229">
        <v>4.54</v>
      </c>
      <c r="J229">
        <v>1.38</v>
      </c>
      <c r="K229">
        <v>1.63</v>
      </c>
      <c r="L229" t="s">
        <v>3</v>
      </c>
      <c r="M229" t="s">
        <v>70</v>
      </c>
    </row>
    <row r="230" spans="1:13" x14ac:dyDescent="0.45">
      <c r="A230" t="s">
        <v>2</v>
      </c>
      <c r="B230" t="s">
        <v>143</v>
      </c>
      <c r="C230">
        <v>2030</v>
      </c>
      <c r="D230">
        <v>44</v>
      </c>
      <c r="E230">
        <v>1.78</v>
      </c>
      <c r="F230">
        <v>1.55</v>
      </c>
      <c r="G230">
        <v>0.7</v>
      </c>
      <c r="H230">
        <v>1.05</v>
      </c>
      <c r="I230">
        <v>4.74</v>
      </c>
      <c r="J230">
        <v>1.39</v>
      </c>
      <c r="K230">
        <v>1.86</v>
      </c>
      <c r="L230" t="s">
        <v>3</v>
      </c>
      <c r="M230" t="s">
        <v>70</v>
      </c>
    </row>
    <row r="231" spans="1:13" x14ac:dyDescent="0.45">
      <c r="A231" t="s">
        <v>2</v>
      </c>
      <c r="B231" t="s">
        <v>143</v>
      </c>
      <c r="C231">
        <v>2035</v>
      </c>
      <c r="D231">
        <v>44</v>
      </c>
      <c r="E231">
        <v>2.88</v>
      </c>
      <c r="F231">
        <v>2.11</v>
      </c>
      <c r="G231">
        <v>2.27</v>
      </c>
      <c r="H231">
        <v>1.05</v>
      </c>
      <c r="I231">
        <v>11.15</v>
      </c>
      <c r="J231">
        <v>1.84</v>
      </c>
      <c r="K231">
        <v>2.93</v>
      </c>
      <c r="L231" t="s">
        <v>3</v>
      </c>
      <c r="M231" t="s">
        <v>70</v>
      </c>
    </row>
    <row r="232" spans="1:13" x14ac:dyDescent="0.45">
      <c r="A232" t="s">
        <v>2</v>
      </c>
      <c r="B232" t="s">
        <v>143</v>
      </c>
      <c r="C232">
        <v>2040</v>
      </c>
      <c r="D232">
        <v>44</v>
      </c>
      <c r="E232">
        <v>3.85</v>
      </c>
      <c r="F232">
        <v>2.5099999999999998</v>
      </c>
      <c r="G232">
        <v>4.1399999999999997</v>
      </c>
      <c r="H232">
        <v>1.04</v>
      </c>
      <c r="I232">
        <v>18.670000000000002</v>
      </c>
      <c r="J232">
        <v>1.96</v>
      </c>
      <c r="K232">
        <v>3.23</v>
      </c>
      <c r="L232" t="s">
        <v>3</v>
      </c>
      <c r="M232" t="s">
        <v>70</v>
      </c>
    </row>
    <row r="233" spans="1:13" x14ac:dyDescent="0.45">
      <c r="A233" t="s">
        <v>2</v>
      </c>
      <c r="B233" t="s">
        <v>143</v>
      </c>
      <c r="C233">
        <v>2045</v>
      </c>
      <c r="D233">
        <v>44</v>
      </c>
      <c r="E233">
        <v>3.55</v>
      </c>
      <c r="F233">
        <v>3.04</v>
      </c>
      <c r="G233">
        <v>2.48</v>
      </c>
      <c r="H233">
        <v>1.1000000000000001</v>
      </c>
      <c r="I233">
        <v>16.170000000000002</v>
      </c>
      <c r="J233">
        <v>2.2999999999999998</v>
      </c>
      <c r="K233">
        <v>3.85</v>
      </c>
      <c r="L233" t="s">
        <v>3</v>
      </c>
      <c r="M233" t="s">
        <v>70</v>
      </c>
    </row>
    <row r="234" spans="1:13" x14ac:dyDescent="0.45">
      <c r="A234" t="s">
        <v>2</v>
      </c>
      <c r="B234" t="s">
        <v>143</v>
      </c>
      <c r="C234">
        <v>2050</v>
      </c>
      <c r="D234">
        <v>44</v>
      </c>
      <c r="E234">
        <v>3.45</v>
      </c>
      <c r="F234">
        <v>3.23</v>
      </c>
      <c r="G234">
        <v>1.45</v>
      </c>
      <c r="H234">
        <v>0</v>
      </c>
      <c r="I234">
        <v>7.07</v>
      </c>
      <c r="J234">
        <v>2.4500000000000002</v>
      </c>
      <c r="K234">
        <v>4.18</v>
      </c>
      <c r="L234" t="s">
        <v>3</v>
      </c>
      <c r="M234" t="s">
        <v>70</v>
      </c>
    </row>
    <row r="235" spans="1:13" x14ac:dyDescent="0.45">
      <c r="A235" t="s">
        <v>5</v>
      </c>
      <c r="B235" t="s">
        <v>143</v>
      </c>
      <c r="C235">
        <v>2020</v>
      </c>
      <c r="D235">
        <v>112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143</v>
      </c>
      <c r="C236">
        <v>2025</v>
      </c>
      <c r="D236">
        <v>112</v>
      </c>
      <c r="E236">
        <v>1.65</v>
      </c>
      <c r="F236">
        <v>1.52</v>
      </c>
      <c r="G236">
        <v>0.63</v>
      </c>
      <c r="H236">
        <v>0</v>
      </c>
      <c r="I236">
        <v>4.5999999999999996</v>
      </c>
      <c r="J236">
        <v>1.37</v>
      </c>
      <c r="K236">
        <v>1.8</v>
      </c>
      <c r="L236" t="s">
        <v>6</v>
      </c>
      <c r="M236" t="s">
        <v>70</v>
      </c>
    </row>
    <row r="237" spans="1:13" x14ac:dyDescent="0.45">
      <c r="A237" t="s">
        <v>5</v>
      </c>
      <c r="B237" t="s">
        <v>143</v>
      </c>
      <c r="C237">
        <v>2030</v>
      </c>
      <c r="D237">
        <v>112</v>
      </c>
      <c r="E237">
        <v>1.84</v>
      </c>
      <c r="F237">
        <v>1.64</v>
      </c>
      <c r="G237">
        <v>0.62</v>
      </c>
      <c r="H237">
        <v>0</v>
      </c>
      <c r="I237">
        <v>4.75</v>
      </c>
      <c r="J237">
        <v>1.51</v>
      </c>
      <c r="K237">
        <v>2.13</v>
      </c>
      <c r="L237" t="s">
        <v>6</v>
      </c>
      <c r="M237" t="s">
        <v>70</v>
      </c>
    </row>
    <row r="238" spans="1:13" x14ac:dyDescent="0.45">
      <c r="A238" t="s">
        <v>5</v>
      </c>
      <c r="B238" t="s">
        <v>143</v>
      </c>
      <c r="C238">
        <v>2035</v>
      </c>
      <c r="D238">
        <v>112</v>
      </c>
      <c r="E238">
        <v>2.16</v>
      </c>
      <c r="F238">
        <v>2.0299999999999998</v>
      </c>
      <c r="G238">
        <v>0.92</v>
      </c>
      <c r="H238">
        <v>0</v>
      </c>
      <c r="I238">
        <v>6.96</v>
      </c>
      <c r="J238">
        <v>1.57</v>
      </c>
      <c r="K238">
        <v>2.4700000000000002</v>
      </c>
      <c r="L238" t="s">
        <v>6</v>
      </c>
      <c r="M238" t="s">
        <v>70</v>
      </c>
    </row>
    <row r="239" spans="1:13" x14ac:dyDescent="0.45">
      <c r="A239" t="s">
        <v>5</v>
      </c>
      <c r="B239" t="s">
        <v>143</v>
      </c>
      <c r="C239">
        <v>2040</v>
      </c>
      <c r="D239">
        <v>112</v>
      </c>
      <c r="E239">
        <v>2.54</v>
      </c>
      <c r="F239">
        <v>2.36</v>
      </c>
      <c r="G239">
        <v>1.3</v>
      </c>
      <c r="H239">
        <v>0</v>
      </c>
      <c r="I239">
        <v>8.61</v>
      </c>
      <c r="J239">
        <v>1.74</v>
      </c>
      <c r="K239">
        <v>2.88</v>
      </c>
      <c r="L239" t="s">
        <v>6</v>
      </c>
      <c r="M239" t="s">
        <v>70</v>
      </c>
    </row>
    <row r="240" spans="1:13" x14ac:dyDescent="0.45">
      <c r="A240" t="s">
        <v>5</v>
      </c>
      <c r="B240" t="s">
        <v>143</v>
      </c>
      <c r="C240">
        <v>2045</v>
      </c>
      <c r="D240">
        <v>112</v>
      </c>
      <c r="E240">
        <v>2.86</v>
      </c>
      <c r="F240">
        <v>2.64</v>
      </c>
      <c r="G240">
        <v>1.43</v>
      </c>
      <c r="H240">
        <v>0</v>
      </c>
      <c r="I240">
        <v>8.27</v>
      </c>
      <c r="J240">
        <v>1.93</v>
      </c>
      <c r="K240">
        <v>3.28</v>
      </c>
      <c r="L240" t="s">
        <v>6</v>
      </c>
      <c r="M240" t="s">
        <v>70</v>
      </c>
    </row>
    <row r="241" spans="1:13" x14ac:dyDescent="0.45">
      <c r="A241" t="s">
        <v>5</v>
      </c>
      <c r="B241" t="s">
        <v>143</v>
      </c>
      <c r="C241">
        <v>2050</v>
      </c>
      <c r="D241">
        <v>112</v>
      </c>
      <c r="E241">
        <v>3.03</v>
      </c>
      <c r="F241">
        <v>2.84</v>
      </c>
      <c r="G241">
        <v>1.39</v>
      </c>
      <c r="H241">
        <v>0</v>
      </c>
      <c r="I241">
        <v>8.52</v>
      </c>
      <c r="J241">
        <v>2.0699999999999998</v>
      </c>
      <c r="K241">
        <v>3.52</v>
      </c>
      <c r="L241" t="s">
        <v>6</v>
      </c>
      <c r="M241" t="s">
        <v>70</v>
      </c>
    </row>
    <row r="242" spans="1:13" x14ac:dyDescent="0.45">
      <c r="A242" t="s">
        <v>7</v>
      </c>
      <c r="B242" t="s">
        <v>143</v>
      </c>
      <c r="C242">
        <v>2020</v>
      </c>
      <c r="D242">
        <v>30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143</v>
      </c>
      <c r="C243">
        <v>2025</v>
      </c>
      <c r="D243">
        <v>30</v>
      </c>
      <c r="E243">
        <v>1.43</v>
      </c>
      <c r="F243">
        <v>1.41</v>
      </c>
      <c r="G243">
        <v>0.32</v>
      </c>
      <c r="H243">
        <v>1.02</v>
      </c>
      <c r="I243">
        <v>2.2599999999999998</v>
      </c>
      <c r="J243">
        <v>1.25</v>
      </c>
      <c r="K243">
        <v>1.47</v>
      </c>
      <c r="L243" t="s">
        <v>8</v>
      </c>
      <c r="M243" t="s">
        <v>70</v>
      </c>
    </row>
    <row r="244" spans="1:13" x14ac:dyDescent="0.45">
      <c r="A244" t="s">
        <v>7</v>
      </c>
      <c r="B244" t="s">
        <v>143</v>
      </c>
      <c r="C244">
        <v>2030</v>
      </c>
      <c r="D244">
        <v>30</v>
      </c>
      <c r="E244">
        <v>1.65</v>
      </c>
      <c r="F244">
        <v>1.62</v>
      </c>
      <c r="G244">
        <v>0.38</v>
      </c>
      <c r="H244">
        <v>1.01</v>
      </c>
      <c r="I244">
        <v>2.16</v>
      </c>
      <c r="J244">
        <v>1.51</v>
      </c>
      <c r="K244">
        <v>2.0299999999999998</v>
      </c>
      <c r="L244" t="s">
        <v>8</v>
      </c>
      <c r="M244" t="s">
        <v>70</v>
      </c>
    </row>
    <row r="245" spans="1:13" x14ac:dyDescent="0.45">
      <c r="A245" t="s">
        <v>7</v>
      </c>
      <c r="B245" t="s">
        <v>143</v>
      </c>
      <c r="C245">
        <v>2035</v>
      </c>
      <c r="D245">
        <v>30</v>
      </c>
      <c r="E245">
        <v>1.83</v>
      </c>
      <c r="F245">
        <v>1.69</v>
      </c>
      <c r="G245">
        <v>0.67</v>
      </c>
      <c r="H245">
        <v>0.84</v>
      </c>
      <c r="I245">
        <v>3.4</v>
      </c>
      <c r="J245">
        <v>1.45</v>
      </c>
      <c r="K245">
        <v>2.02</v>
      </c>
      <c r="L245" t="s">
        <v>8</v>
      </c>
      <c r="M245" t="s">
        <v>70</v>
      </c>
    </row>
    <row r="246" spans="1:13" x14ac:dyDescent="0.45">
      <c r="A246" t="s">
        <v>7</v>
      </c>
      <c r="B246" t="s">
        <v>143</v>
      </c>
      <c r="C246">
        <v>2040</v>
      </c>
      <c r="D246">
        <v>30</v>
      </c>
      <c r="E246">
        <v>2.25</v>
      </c>
      <c r="F246">
        <v>1.97</v>
      </c>
      <c r="G246">
        <v>1.08</v>
      </c>
      <c r="H246">
        <v>0.95</v>
      </c>
      <c r="I246">
        <v>5.54</v>
      </c>
      <c r="J246">
        <v>1.45</v>
      </c>
      <c r="K246">
        <v>2.25</v>
      </c>
      <c r="L246" t="s">
        <v>8</v>
      </c>
      <c r="M246" t="s">
        <v>70</v>
      </c>
    </row>
    <row r="247" spans="1:13" x14ac:dyDescent="0.45">
      <c r="A247" t="s">
        <v>7</v>
      </c>
      <c r="B247" t="s">
        <v>143</v>
      </c>
      <c r="C247">
        <v>2045</v>
      </c>
      <c r="D247">
        <v>30</v>
      </c>
      <c r="E247">
        <v>2.61</v>
      </c>
      <c r="F247">
        <v>2.21</v>
      </c>
      <c r="G247">
        <v>1.45</v>
      </c>
      <c r="H247">
        <v>0.93</v>
      </c>
      <c r="I247">
        <v>6.91</v>
      </c>
      <c r="J247">
        <v>1.71</v>
      </c>
      <c r="K247">
        <v>2.56</v>
      </c>
      <c r="L247" t="s">
        <v>8</v>
      </c>
      <c r="M247" t="s">
        <v>70</v>
      </c>
    </row>
    <row r="248" spans="1:13" x14ac:dyDescent="0.45">
      <c r="A248" t="s">
        <v>7</v>
      </c>
      <c r="B248" t="s">
        <v>143</v>
      </c>
      <c r="C248">
        <v>2050</v>
      </c>
      <c r="D248">
        <v>30</v>
      </c>
      <c r="E248">
        <v>2.68</v>
      </c>
      <c r="F248">
        <v>2.4300000000000002</v>
      </c>
      <c r="G248">
        <v>1.27</v>
      </c>
      <c r="H248">
        <v>0.92</v>
      </c>
      <c r="I248">
        <v>5.85</v>
      </c>
      <c r="J248">
        <v>1.77</v>
      </c>
      <c r="K248">
        <v>2.85</v>
      </c>
      <c r="L248" t="s">
        <v>8</v>
      </c>
      <c r="M248" t="s">
        <v>70</v>
      </c>
    </row>
    <row r="249" spans="1:13" x14ac:dyDescent="0.45">
      <c r="A249" t="s">
        <v>9</v>
      </c>
      <c r="B249" t="s">
        <v>143</v>
      </c>
      <c r="C249">
        <v>2020</v>
      </c>
      <c r="D249">
        <v>45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143</v>
      </c>
      <c r="C250">
        <v>2025</v>
      </c>
      <c r="D250">
        <v>45</v>
      </c>
      <c r="E250">
        <v>1.1200000000000001</v>
      </c>
      <c r="F250">
        <v>1.1200000000000001</v>
      </c>
      <c r="G250">
        <v>0.21</v>
      </c>
      <c r="H250">
        <v>0.8</v>
      </c>
      <c r="I250">
        <v>2.2599999999999998</v>
      </c>
      <c r="J250">
        <v>1.02</v>
      </c>
      <c r="K250">
        <v>1.18</v>
      </c>
      <c r="L250" t="s">
        <v>10</v>
      </c>
      <c r="M250" t="s">
        <v>70</v>
      </c>
    </row>
    <row r="251" spans="1:13" x14ac:dyDescent="0.45">
      <c r="A251" t="s">
        <v>9</v>
      </c>
      <c r="B251" t="s">
        <v>143</v>
      </c>
      <c r="C251">
        <v>2030</v>
      </c>
      <c r="D251">
        <v>45</v>
      </c>
      <c r="E251">
        <v>1.1499999999999999</v>
      </c>
      <c r="F251">
        <v>1.1000000000000001</v>
      </c>
      <c r="G251">
        <v>0.2</v>
      </c>
      <c r="H251">
        <v>0.94</v>
      </c>
      <c r="I251">
        <v>2.16</v>
      </c>
      <c r="J251">
        <v>1.04</v>
      </c>
      <c r="K251">
        <v>1.25</v>
      </c>
      <c r="L251" t="s">
        <v>10</v>
      </c>
      <c r="M251" t="s">
        <v>70</v>
      </c>
    </row>
    <row r="252" spans="1:13" x14ac:dyDescent="0.45">
      <c r="A252" t="s">
        <v>9</v>
      </c>
      <c r="B252" t="s">
        <v>143</v>
      </c>
      <c r="C252">
        <v>2035</v>
      </c>
      <c r="D252">
        <v>45</v>
      </c>
      <c r="E252">
        <v>1.21</v>
      </c>
      <c r="F252">
        <v>1.1100000000000001</v>
      </c>
      <c r="G252">
        <v>0.28000000000000003</v>
      </c>
      <c r="H252">
        <v>0.95</v>
      </c>
      <c r="I252">
        <v>2.5</v>
      </c>
      <c r="J252">
        <v>1.05</v>
      </c>
      <c r="K252">
        <v>1.3</v>
      </c>
      <c r="L252" t="s">
        <v>10</v>
      </c>
      <c r="M252" t="s">
        <v>70</v>
      </c>
    </row>
    <row r="253" spans="1:13" x14ac:dyDescent="0.45">
      <c r="A253" t="s">
        <v>9</v>
      </c>
      <c r="B253" t="s">
        <v>143</v>
      </c>
      <c r="C253">
        <v>2040</v>
      </c>
      <c r="D253">
        <v>45</v>
      </c>
      <c r="E253">
        <v>1.3</v>
      </c>
      <c r="F253">
        <v>1.17</v>
      </c>
      <c r="G253">
        <v>0.38</v>
      </c>
      <c r="H253">
        <v>1.03</v>
      </c>
      <c r="I253">
        <v>2.95</v>
      </c>
      <c r="J253">
        <v>1.0900000000000001</v>
      </c>
      <c r="K253">
        <v>1.32</v>
      </c>
      <c r="L253" t="s">
        <v>10</v>
      </c>
      <c r="M253" t="s">
        <v>70</v>
      </c>
    </row>
    <row r="254" spans="1:13" x14ac:dyDescent="0.45">
      <c r="A254" t="s">
        <v>9</v>
      </c>
      <c r="B254" t="s">
        <v>143</v>
      </c>
      <c r="C254">
        <v>2045</v>
      </c>
      <c r="D254">
        <v>45</v>
      </c>
      <c r="E254">
        <v>1.38</v>
      </c>
      <c r="F254">
        <v>1.1499999999999999</v>
      </c>
      <c r="G254">
        <v>0.56999999999999995</v>
      </c>
      <c r="H254">
        <v>0.99</v>
      </c>
      <c r="I254">
        <v>3.67</v>
      </c>
      <c r="J254">
        <v>1.1100000000000001</v>
      </c>
      <c r="K254">
        <v>1.39</v>
      </c>
      <c r="L254" t="s">
        <v>10</v>
      </c>
      <c r="M254" t="s">
        <v>70</v>
      </c>
    </row>
    <row r="255" spans="1:13" x14ac:dyDescent="0.45">
      <c r="A255" t="s">
        <v>9</v>
      </c>
      <c r="B255" t="s">
        <v>143</v>
      </c>
      <c r="C255">
        <v>2050</v>
      </c>
      <c r="D255">
        <v>45</v>
      </c>
      <c r="E255">
        <v>1.42</v>
      </c>
      <c r="F255">
        <v>1.26</v>
      </c>
      <c r="G255">
        <v>0.52</v>
      </c>
      <c r="H255">
        <v>1.07</v>
      </c>
      <c r="I255">
        <v>3.6</v>
      </c>
      <c r="J255">
        <v>1.1599999999999999</v>
      </c>
      <c r="K255">
        <v>1.4</v>
      </c>
      <c r="L255" t="s">
        <v>10</v>
      </c>
      <c r="M255" t="s">
        <v>70</v>
      </c>
    </row>
    <row r="256" spans="1:13" x14ac:dyDescent="0.45">
      <c r="A256" t="s">
        <v>0</v>
      </c>
      <c r="B256" t="s">
        <v>143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143</v>
      </c>
      <c r="C257">
        <v>2025</v>
      </c>
      <c r="D257">
        <v>50</v>
      </c>
      <c r="E257">
        <v>1.5</v>
      </c>
      <c r="F257">
        <v>1.42</v>
      </c>
      <c r="G257">
        <v>0.76</v>
      </c>
      <c r="H257">
        <v>0</v>
      </c>
      <c r="I257">
        <v>3.48</v>
      </c>
      <c r="J257">
        <v>0.9</v>
      </c>
      <c r="K257">
        <v>2.0499999999999998</v>
      </c>
      <c r="L257" t="s">
        <v>1</v>
      </c>
      <c r="M257" t="s">
        <v>71</v>
      </c>
    </row>
    <row r="258" spans="1:13" x14ac:dyDescent="0.45">
      <c r="A258" t="s">
        <v>0</v>
      </c>
      <c r="B258" t="s">
        <v>143</v>
      </c>
      <c r="C258">
        <v>2030</v>
      </c>
      <c r="D258">
        <v>50</v>
      </c>
      <c r="E258">
        <v>1.99</v>
      </c>
      <c r="F258">
        <v>1.85</v>
      </c>
      <c r="G258">
        <v>0.91</v>
      </c>
      <c r="H258">
        <v>0</v>
      </c>
      <c r="I258">
        <v>4.79</v>
      </c>
      <c r="J258">
        <v>1.31</v>
      </c>
      <c r="K258">
        <v>2.4300000000000002</v>
      </c>
      <c r="L258" t="s">
        <v>1</v>
      </c>
      <c r="M258" t="s">
        <v>71</v>
      </c>
    </row>
    <row r="259" spans="1:13" x14ac:dyDescent="0.45">
      <c r="A259" t="s">
        <v>0</v>
      </c>
      <c r="B259" t="s">
        <v>143</v>
      </c>
      <c r="C259">
        <v>2035</v>
      </c>
      <c r="D259">
        <v>50</v>
      </c>
      <c r="E259">
        <v>2.39</v>
      </c>
      <c r="F259">
        <v>1.87</v>
      </c>
      <c r="G259">
        <v>1.52</v>
      </c>
      <c r="H259">
        <v>0</v>
      </c>
      <c r="I259">
        <v>5.71</v>
      </c>
      <c r="J259">
        <v>1.37</v>
      </c>
      <c r="K259">
        <v>2.9</v>
      </c>
      <c r="L259" t="s">
        <v>1</v>
      </c>
      <c r="M259" t="s">
        <v>71</v>
      </c>
    </row>
    <row r="260" spans="1:13" x14ac:dyDescent="0.45">
      <c r="A260" t="s">
        <v>0</v>
      </c>
      <c r="B260" t="s">
        <v>143</v>
      </c>
      <c r="C260">
        <v>2040</v>
      </c>
      <c r="D260">
        <v>50</v>
      </c>
      <c r="E260">
        <v>2.9</v>
      </c>
      <c r="F260">
        <v>2.13</v>
      </c>
      <c r="G260">
        <v>2.15</v>
      </c>
      <c r="H260">
        <v>-0.41</v>
      </c>
      <c r="I260">
        <v>7.39</v>
      </c>
      <c r="J260">
        <v>1.56</v>
      </c>
      <c r="K260">
        <v>3.34</v>
      </c>
      <c r="L260" t="s">
        <v>1</v>
      </c>
      <c r="M260" t="s">
        <v>71</v>
      </c>
    </row>
    <row r="261" spans="1:13" x14ac:dyDescent="0.45">
      <c r="A261" t="s">
        <v>0</v>
      </c>
      <c r="B261" t="s">
        <v>143</v>
      </c>
      <c r="C261">
        <v>2045</v>
      </c>
      <c r="D261">
        <v>50</v>
      </c>
      <c r="E261">
        <v>2.2999999999999998</v>
      </c>
      <c r="F261">
        <v>2.11</v>
      </c>
      <c r="G261">
        <v>6.44</v>
      </c>
      <c r="H261">
        <v>-37.81</v>
      </c>
      <c r="I261">
        <v>9.43</v>
      </c>
      <c r="J261">
        <v>1.49</v>
      </c>
      <c r="K261">
        <v>2.99</v>
      </c>
      <c r="L261" t="s">
        <v>1</v>
      </c>
      <c r="M261" t="s">
        <v>71</v>
      </c>
    </row>
    <row r="262" spans="1:13" x14ac:dyDescent="0.45">
      <c r="A262" t="s">
        <v>0</v>
      </c>
      <c r="B262" t="s">
        <v>143</v>
      </c>
      <c r="C262">
        <v>2050</v>
      </c>
      <c r="D262">
        <v>50</v>
      </c>
      <c r="E262">
        <v>2.12</v>
      </c>
      <c r="F262">
        <v>1.92</v>
      </c>
      <c r="G262">
        <v>6.13</v>
      </c>
      <c r="H262">
        <v>-28.12</v>
      </c>
      <c r="I262">
        <v>10.3</v>
      </c>
      <c r="J262">
        <v>1.17</v>
      </c>
      <c r="K262">
        <v>3.16</v>
      </c>
      <c r="L262" t="s">
        <v>1</v>
      </c>
      <c r="M262" t="s">
        <v>71</v>
      </c>
    </row>
    <row r="263" spans="1:13" x14ac:dyDescent="0.45">
      <c r="A263" t="s">
        <v>2</v>
      </c>
      <c r="B263" t="s">
        <v>143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143</v>
      </c>
      <c r="C264">
        <v>2025</v>
      </c>
      <c r="D264">
        <v>52</v>
      </c>
      <c r="E264">
        <v>1.18</v>
      </c>
      <c r="F264">
        <v>1.21</v>
      </c>
      <c r="G264">
        <v>0.46</v>
      </c>
      <c r="H264">
        <v>0.62</v>
      </c>
      <c r="I264">
        <v>2.82</v>
      </c>
      <c r="J264">
        <v>0.8</v>
      </c>
      <c r="K264">
        <v>1.38</v>
      </c>
      <c r="L264" t="s">
        <v>3</v>
      </c>
      <c r="M264" t="s">
        <v>71</v>
      </c>
    </row>
    <row r="265" spans="1:13" x14ac:dyDescent="0.45">
      <c r="A265" t="s">
        <v>2</v>
      </c>
      <c r="B265" t="s">
        <v>143</v>
      </c>
      <c r="C265">
        <v>2030</v>
      </c>
      <c r="D265">
        <v>63</v>
      </c>
      <c r="E265">
        <v>1.77</v>
      </c>
      <c r="F265">
        <v>1.24</v>
      </c>
      <c r="G265">
        <v>1.57</v>
      </c>
      <c r="H265">
        <v>0.78</v>
      </c>
      <c r="I265">
        <v>8.74</v>
      </c>
      <c r="J265">
        <v>1.1599999999999999</v>
      </c>
      <c r="K265">
        <v>1.52</v>
      </c>
      <c r="L265" t="s">
        <v>3</v>
      </c>
      <c r="M265" t="s">
        <v>71</v>
      </c>
    </row>
    <row r="266" spans="1:13" x14ac:dyDescent="0.45">
      <c r="A266" t="s">
        <v>2</v>
      </c>
      <c r="B266" t="s">
        <v>143</v>
      </c>
      <c r="C266">
        <v>2035</v>
      </c>
      <c r="D266">
        <v>52</v>
      </c>
      <c r="E266">
        <v>2.12</v>
      </c>
      <c r="F266">
        <v>1.51</v>
      </c>
      <c r="G266">
        <v>1.47</v>
      </c>
      <c r="H266">
        <v>1.05</v>
      </c>
      <c r="I266">
        <v>7.59</v>
      </c>
      <c r="J266">
        <v>1.25</v>
      </c>
      <c r="K266">
        <v>1.98</v>
      </c>
      <c r="L266" t="s">
        <v>3</v>
      </c>
      <c r="M266" t="s">
        <v>71</v>
      </c>
    </row>
    <row r="267" spans="1:13" x14ac:dyDescent="0.45">
      <c r="A267" t="s">
        <v>2</v>
      </c>
      <c r="B267" t="s">
        <v>143</v>
      </c>
      <c r="C267">
        <v>2040</v>
      </c>
      <c r="D267">
        <v>63</v>
      </c>
      <c r="E267">
        <v>2.87</v>
      </c>
      <c r="F267">
        <v>1.76</v>
      </c>
      <c r="G267">
        <v>2.78</v>
      </c>
      <c r="H267">
        <v>0.16</v>
      </c>
      <c r="I267">
        <v>11.99</v>
      </c>
      <c r="J267">
        <v>1.43</v>
      </c>
      <c r="K267">
        <v>2.62</v>
      </c>
      <c r="L267" t="s">
        <v>3</v>
      </c>
      <c r="M267" t="s">
        <v>71</v>
      </c>
    </row>
    <row r="268" spans="1:13" x14ac:dyDescent="0.45">
      <c r="A268" t="s">
        <v>2</v>
      </c>
      <c r="B268" t="s">
        <v>143</v>
      </c>
      <c r="C268">
        <v>2045</v>
      </c>
      <c r="D268">
        <v>52</v>
      </c>
      <c r="E268">
        <v>2.13</v>
      </c>
      <c r="F268">
        <v>1.7</v>
      </c>
      <c r="G268">
        <v>1.46</v>
      </c>
      <c r="H268">
        <v>0.13</v>
      </c>
      <c r="I268">
        <v>8.9499999999999993</v>
      </c>
      <c r="J268">
        <v>1.46</v>
      </c>
      <c r="K268">
        <v>2.2000000000000002</v>
      </c>
      <c r="L268" t="s">
        <v>3</v>
      </c>
      <c r="M268" t="s">
        <v>71</v>
      </c>
    </row>
    <row r="269" spans="1:13" x14ac:dyDescent="0.45">
      <c r="A269" t="s">
        <v>2</v>
      </c>
      <c r="B269" t="s">
        <v>143</v>
      </c>
      <c r="C269">
        <v>2050</v>
      </c>
      <c r="D269">
        <v>63</v>
      </c>
      <c r="E269">
        <v>2.46</v>
      </c>
      <c r="F269">
        <v>1.67</v>
      </c>
      <c r="G269">
        <v>3.22</v>
      </c>
      <c r="H269">
        <v>-2.91</v>
      </c>
      <c r="I269">
        <v>14.36</v>
      </c>
      <c r="J269">
        <v>1.24</v>
      </c>
      <c r="K269">
        <v>2.1</v>
      </c>
      <c r="L269" t="s">
        <v>3</v>
      </c>
      <c r="M269" t="s">
        <v>71</v>
      </c>
    </row>
    <row r="270" spans="1:13" x14ac:dyDescent="0.45">
      <c r="A270" t="s">
        <v>5</v>
      </c>
      <c r="B270" t="s">
        <v>143</v>
      </c>
      <c r="C270">
        <v>2020</v>
      </c>
      <c r="D270">
        <v>166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143</v>
      </c>
      <c r="C271">
        <v>2025</v>
      </c>
      <c r="D271">
        <v>163</v>
      </c>
      <c r="E271">
        <v>1.1399999999999999</v>
      </c>
      <c r="F271">
        <v>1.18</v>
      </c>
      <c r="G271">
        <v>0.45</v>
      </c>
      <c r="H271">
        <v>0</v>
      </c>
      <c r="I271">
        <v>2.86</v>
      </c>
      <c r="J271">
        <v>0.68</v>
      </c>
      <c r="K271">
        <v>1.41</v>
      </c>
      <c r="L271" t="s">
        <v>6</v>
      </c>
      <c r="M271" t="s">
        <v>71</v>
      </c>
    </row>
    <row r="272" spans="1:13" x14ac:dyDescent="0.45">
      <c r="A272" t="s">
        <v>5</v>
      </c>
      <c r="B272" t="s">
        <v>143</v>
      </c>
      <c r="C272">
        <v>2030</v>
      </c>
      <c r="D272">
        <v>166</v>
      </c>
      <c r="E272">
        <v>1.4</v>
      </c>
      <c r="F272">
        <v>1.26</v>
      </c>
      <c r="G272">
        <v>0.43</v>
      </c>
      <c r="H272">
        <v>0</v>
      </c>
      <c r="I272">
        <v>2.86</v>
      </c>
      <c r="J272">
        <v>1.1399999999999999</v>
      </c>
      <c r="K272">
        <v>1.63</v>
      </c>
      <c r="L272" t="s">
        <v>6</v>
      </c>
      <c r="M272" t="s">
        <v>71</v>
      </c>
    </row>
    <row r="273" spans="1:13" x14ac:dyDescent="0.45">
      <c r="A273" t="s">
        <v>5</v>
      </c>
      <c r="B273" t="s">
        <v>143</v>
      </c>
      <c r="C273">
        <v>2035</v>
      </c>
      <c r="D273">
        <v>163</v>
      </c>
      <c r="E273">
        <v>1.62</v>
      </c>
      <c r="F273">
        <v>1.41</v>
      </c>
      <c r="G273">
        <v>0.74</v>
      </c>
      <c r="H273">
        <v>0</v>
      </c>
      <c r="I273">
        <v>5.04</v>
      </c>
      <c r="J273">
        <v>1.0900000000000001</v>
      </c>
      <c r="K273">
        <v>2.0499999999999998</v>
      </c>
      <c r="L273" t="s">
        <v>6</v>
      </c>
      <c r="M273" t="s">
        <v>71</v>
      </c>
    </row>
    <row r="274" spans="1:13" x14ac:dyDescent="0.45">
      <c r="A274" t="s">
        <v>5</v>
      </c>
      <c r="B274" t="s">
        <v>143</v>
      </c>
      <c r="C274">
        <v>2040</v>
      </c>
      <c r="D274">
        <v>166</v>
      </c>
      <c r="E274">
        <v>1.84</v>
      </c>
      <c r="F274">
        <v>1.54</v>
      </c>
      <c r="G274">
        <v>0.88</v>
      </c>
      <c r="H274">
        <v>0</v>
      </c>
      <c r="I274">
        <v>4.58</v>
      </c>
      <c r="J274">
        <v>1.22</v>
      </c>
      <c r="K274">
        <v>2.3199999999999998</v>
      </c>
      <c r="L274" t="s">
        <v>6</v>
      </c>
      <c r="M274" t="s">
        <v>71</v>
      </c>
    </row>
    <row r="275" spans="1:13" x14ac:dyDescent="0.45">
      <c r="A275" t="s">
        <v>5</v>
      </c>
      <c r="B275" t="s">
        <v>143</v>
      </c>
      <c r="C275">
        <v>2045</v>
      </c>
      <c r="D275">
        <v>163</v>
      </c>
      <c r="E275">
        <v>2.14</v>
      </c>
      <c r="F275">
        <v>1.71</v>
      </c>
      <c r="G275">
        <v>1.08</v>
      </c>
      <c r="H275">
        <v>-0.62</v>
      </c>
      <c r="I275">
        <v>5.16</v>
      </c>
      <c r="J275">
        <v>1.43</v>
      </c>
      <c r="K275">
        <v>2.8</v>
      </c>
      <c r="L275" t="s">
        <v>6</v>
      </c>
      <c r="M275" t="s">
        <v>71</v>
      </c>
    </row>
    <row r="276" spans="1:13" x14ac:dyDescent="0.45">
      <c r="A276" t="s">
        <v>5</v>
      </c>
      <c r="B276" t="s">
        <v>143</v>
      </c>
      <c r="C276">
        <v>2050</v>
      </c>
      <c r="D276">
        <v>166</v>
      </c>
      <c r="E276">
        <v>1.95</v>
      </c>
      <c r="F276">
        <v>1.7</v>
      </c>
      <c r="G276">
        <v>2.5099999999999998</v>
      </c>
      <c r="H276">
        <v>-26.27</v>
      </c>
      <c r="I276">
        <v>5.75</v>
      </c>
      <c r="J276">
        <v>1.41</v>
      </c>
      <c r="K276">
        <v>2.5</v>
      </c>
      <c r="L276" t="s">
        <v>6</v>
      </c>
      <c r="M276" t="s">
        <v>71</v>
      </c>
    </row>
    <row r="277" spans="1:13" x14ac:dyDescent="0.45">
      <c r="A277" t="s">
        <v>7</v>
      </c>
      <c r="B277" t="s">
        <v>143</v>
      </c>
      <c r="C277">
        <v>2020</v>
      </c>
      <c r="D277">
        <v>51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143</v>
      </c>
      <c r="C278">
        <v>2025</v>
      </c>
      <c r="D278">
        <v>51</v>
      </c>
      <c r="E278">
        <v>1.35</v>
      </c>
      <c r="F278">
        <v>1.3</v>
      </c>
      <c r="G278">
        <v>0.14000000000000001</v>
      </c>
      <c r="H278">
        <v>1.01</v>
      </c>
      <c r="I278">
        <v>1.56</v>
      </c>
      <c r="J278">
        <v>1.29</v>
      </c>
      <c r="K278">
        <v>1.41</v>
      </c>
      <c r="L278" t="s">
        <v>8</v>
      </c>
      <c r="M278" t="s">
        <v>71</v>
      </c>
    </row>
    <row r="279" spans="1:13" x14ac:dyDescent="0.45">
      <c r="A279" t="s">
        <v>7</v>
      </c>
      <c r="B279" t="s">
        <v>143</v>
      </c>
      <c r="C279">
        <v>2030</v>
      </c>
      <c r="D279">
        <v>51</v>
      </c>
      <c r="E279">
        <v>1.44</v>
      </c>
      <c r="F279">
        <v>1.39</v>
      </c>
      <c r="G279">
        <v>0.27</v>
      </c>
      <c r="H279">
        <v>1</v>
      </c>
      <c r="I279">
        <v>2.2000000000000002</v>
      </c>
      <c r="J279">
        <v>1.24</v>
      </c>
      <c r="K279">
        <v>1.52</v>
      </c>
      <c r="L279" t="s">
        <v>8</v>
      </c>
      <c r="M279" t="s">
        <v>71</v>
      </c>
    </row>
    <row r="280" spans="1:13" x14ac:dyDescent="0.45">
      <c r="A280" t="s">
        <v>7</v>
      </c>
      <c r="B280" t="s">
        <v>143</v>
      </c>
      <c r="C280">
        <v>2035</v>
      </c>
      <c r="D280">
        <v>51</v>
      </c>
      <c r="E280">
        <v>1.53</v>
      </c>
      <c r="F280">
        <v>1.52</v>
      </c>
      <c r="G280">
        <v>0.18</v>
      </c>
      <c r="H280">
        <v>1.02</v>
      </c>
      <c r="I280">
        <v>1.98</v>
      </c>
      <c r="J280">
        <v>1.42</v>
      </c>
      <c r="K280">
        <v>1.6</v>
      </c>
      <c r="L280" t="s">
        <v>8</v>
      </c>
      <c r="M280" t="s">
        <v>71</v>
      </c>
    </row>
    <row r="281" spans="1:13" x14ac:dyDescent="0.45">
      <c r="A281" t="s">
        <v>7</v>
      </c>
      <c r="B281" t="s">
        <v>143</v>
      </c>
      <c r="C281">
        <v>2040</v>
      </c>
      <c r="D281">
        <v>51</v>
      </c>
      <c r="E281">
        <v>1.66</v>
      </c>
      <c r="F281">
        <v>1.55</v>
      </c>
      <c r="G281">
        <v>0.32</v>
      </c>
      <c r="H281">
        <v>1.02</v>
      </c>
      <c r="I281">
        <v>2.5499999999999998</v>
      </c>
      <c r="J281">
        <v>1.44</v>
      </c>
      <c r="K281">
        <v>1.87</v>
      </c>
      <c r="L281" t="s">
        <v>8</v>
      </c>
      <c r="M281" t="s">
        <v>71</v>
      </c>
    </row>
    <row r="282" spans="1:13" x14ac:dyDescent="0.45">
      <c r="A282" t="s">
        <v>7</v>
      </c>
      <c r="B282" t="s">
        <v>143</v>
      </c>
      <c r="C282">
        <v>2045</v>
      </c>
      <c r="D282">
        <v>51</v>
      </c>
      <c r="E282">
        <v>1.97</v>
      </c>
      <c r="F282">
        <v>1.89</v>
      </c>
      <c r="G282">
        <v>0.34</v>
      </c>
      <c r="H282">
        <v>1.04</v>
      </c>
      <c r="I282">
        <v>2.87</v>
      </c>
      <c r="J282">
        <v>1.69</v>
      </c>
      <c r="K282">
        <v>2.17</v>
      </c>
      <c r="L282" t="s">
        <v>8</v>
      </c>
      <c r="M282" t="s">
        <v>71</v>
      </c>
    </row>
    <row r="283" spans="1:13" x14ac:dyDescent="0.45">
      <c r="A283" t="s">
        <v>7</v>
      </c>
      <c r="B283" t="s">
        <v>143</v>
      </c>
      <c r="C283">
        <v>2050</v>
      </c>
      <c r="D283">
        <v>51</v>
      </c>
      <c r="E283">
        <v>1.97</v>
      </c>
      <c r="F283">
        <v>1.83</v>
      </c>
      <c r="G283">
        <v>0.46</v>
      </c>
      <c r="H283">
        <v>0.96</v>
      </c>
      <c r="I283">
        <v>3.16</v>
      </c>
      <c r="J283">
        <v>1.62</v>
      </c>
      <c r="K283">
        <v>2.35</v>
      </c>
      <c r="L283" t="s">
        <v>8</v>
      </c>
      <c r="M283" t="s">
        <v>71</v>
      </c>
    </row>
    <row r="284" spans="1:13" x14ac:dyDescent="0.45">
      <c r="A284" t="s">
        <v>9</v>
      </c>
      <c r="B284" t="s">
        <v>143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143</v>
      </c>
      <c r="C285">
        <v>2025</v>
      </c>
      <c r="D285">
        <v>43</v>
      </c>
      <c r="E285">
        <v>0.86</v>
      </c>
      <c r="F285">
        <v>1.01</v>
      </c>
      <c r="G285">
        <v>0.33</v>
      </c>
      <c r="H285">
        <v>0.42</v>
      </c>
      <c r="I285">
        <v>1.56</v>
      </c>
      <c r="J285">
        <v>0.49</v>
      </c>
      <c r="K285">
        <v>1.08</v>
      </c>
      <c r="L285" t="s">
        <v>10</v>
      </c>
      <c r="M285" t="s">
        <v>71</v>
      </c>
    </row>
    <row r="286" spans="1:13" x14ac:dyDescent="0.45">
      <c r="A286" t="s">
        <v>9</v>
      </c>
      <c r="B286" t="s">
        <v>143</v>
      </c>
      <c r="C286">
        <v>2030</v>
      </c>
      <c r="D286">
        <v>43</v>
      </c>
      <c r="E286">
        <v>1.07</v>
      </c>
      <c r="F286">
        <v>1.03</v>
      </c>
      <c r="G286">
        <v>0.16</v>
      </c>
      <c r="H286">
        <v>0.82</v>
      </c>
      <c r="I286">
        <v>1.47</v>
      </c>
      <c r="J286">
        <v>0.94</v>
      </c>
      <c r="K286">
        <v>1.1399999999999999</v>
      </c>
      <c r="L286" t="s">
        <v>10</v>
      </c>
      <c r="M286" t="s">
        <v>71</v>
      </c>
    </row>
    <row r="287" spans="1:13" x14ac:dyDescent="0.45">
      <c r="A287" t="s">
        <v>9</v>
      </c>
      <c r="B287" t="s">
        <v>143</v>
      </c>
      <c r="C287">
        <v>2035</v>
      </c>
      <c r="D287">
        <v>43</v>
      </c>
      <c r="E287">
        <v>1.03</v>
      </c>
      <c r="F287">
        <v>1</v>
      </c>
      <c r="G287">
        <v>0.26</v>
      </c>
      <c r="H287">
        <v>0.7</v>
      </c>
      <c r="I287">
        <v>1.65</v>
      </c>
      <c r="J287">
        <v>0.81</v>
      </c>
      <c r="K287">
        <v>1.19</v>
      </c>
      <c r="L287" t="s">
        <v>10</v>
      </c>
      <c r="M287" t="s">
        <v>71</v>
      </c>
    </row>
    <row r="288" spans="1:13" x14ac:dyDescent="0.45">
      <c r="A288" t="s">
        <v>9</v>
      </c>
      <c r="B288" t="s">
        <v>143</v>
      </c>
      <c r="C288">
        <v>2040</v>
      </c>
      <c r="D288">
        <v>43</v>
      </c>
      <c r="E288">
        <v>1.0900000000000001</v>
      </c>
      <c r="F288">
        <v>1.04</v>
      </c>
      <c r="G288">
        <v>0.25</v>
      </c>
      <c r="H288">
        <v>0.73</v>
      </c>
      <c r="I288">
        <v>1.71</v>
      </c>
      <c r="J288">
        <v>0.93</v>
      </c>
      <c r="K288">
        <v>1.22</v>
      </c>
      <c r="L288" t="s">
        <v>10</v>
      </c>
      <c r="M288" t="s">
        <v>71</v>
      </c>
    </row>
    <row r="289" spans="1:13" x14ac:dyDescent="0.45">
      <c r="A289" t="s">
        <v>9</v>
      </c>
      <c r="B289" t="s">
        <v>143</v>
      </c>
      <c r="C289">
        <v>2045</v>
      </c>
      <c r="D289">
        <v>43</v>
      </c>
      <c r="E289">
        <v>1.21</v>
      </c>
      <c r="F289">
        <v>1.17</v>
      </c>
      <c r="G289">
        <v>0.22</v>
      </c>
      <c r="H289">
        <v>0.9</v>
      </c>
      <c r="I289">
        <v>1.81</v>
      </c>
      <c r="J289">
        <v>1.03</v>
      </c>
      <c r="K289">
        <v>1.37</v>
      </c>
      <c r="L289" t="s">
        <v>10</v>
      </c>
      <c r="M289" t="s">
        <v>71</v>
      </c>
    </row>
    <row r="290" spans="1:13" x14ac:dyDescent="0.45">
      <c r="A290" t="s">
        <v>9</v>
      </c>
      <c r="B290" t="s">
        <v>143</v>
      </c>
      <c r="C290">
        <v>2050</v>
      </c>
      <c r="D290">
        <v>43</v>
      </c>
      <c r="E290">
        <v>1.25</v>
      </c>
      <c r="F290">
        <v>1.22</v>
      </c>
      <c r="G290">
        <v>0.27</v>
      </c>
      <c r="H290">
        <v>0.92</v>
      </c>
      <c r="I290">
        <v>1.97</v>
      </c>
      <c r="J290">
        <v>1.03</v>
      </c>
      <c r="K290">
        <v>1.43</v>
      </c>
      <c r="L290" t="s">
        <v>10</v>
      </c>
      <c r="M290" t="s">
        <v>71</v>
      </c>
    </row>
    <row r="291" spans="1:13" x14ac:dyDescent="0.45">
      <c r="A291" t="s">
        <v>0</v>
      </c>
      <c r="B291" t="s">
        <v>143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143</v>
      </c>
      <c r="C292">
        <v>2025</v>
      </c>
      <c r="D292">
        <v>20</v>
      </c>
      <c r="E292">
        <v>4.66</v>
      </c>
      <c r="F292">
        <v>4.62</v>
      </c>
      <c r="G292">
        <v>3.26</v>
      </c>
      <c r="H292">
        <v>0</v>
      </c>
      <c r="I292">
        <v>14.32</v>
      </c>
      <c r="J292">
        <v>2.0499999999999998</v>
      </c>
      <c r="K292">
        <v>5.86</v>
      </c>
      <c r="L292" t="s">
        <v>1</v>
      </c>
      <c r="M292" t="s">
        <v>72</v>
      </c>
    </row>
    <row r="293" spans="1:13" x14ac:dyDescent="0.45">
      <c r="A293" t="s">
        <v>0</v>
      </c>
      <c r="B293" t="s">
        <v>143</v>
      </c>
      <c r="C293">
        <v>2030</v>
      </c>
      <c r="D293">
        <v>20</v>
      </c>
      <c r="E293">
        <v>7.01</v>
      </c>
      <c r="F293">
        <v>7.6</v>
      </c>
      <c r="G293">
        <v>5.27</v>
      </c>
      <c r="H293">
        <v>0</v>
      </c>
      <c r="I293">
        <v>22.56</v>
      </c>
      <c r="J293">
        <v>2.94</v>
      </c>
      <c r="K293">
        <v>7.95</v>
      </c>
      <c r="L293" t="s">
        <v>1</v>
      </c>
      <c r="M293" t="s">
        <v>72</v>
      </c>
    </row>
    <row r="294" spans="1:13" x14ac:dyDescent="0.45">
      <c r="A294" t="s">
        <v>0</v>
      </c>
      <c r="B294" t="s">
        <v>143</v>
      </c>
      <c r="C294">
        <v>2035</v>
      </c>
      <c r="D294">
        <v>20</v>
      </c>
      <c r="E294">
        <v>10.25</v>
      </c>
      <c r="F294">
        <v>11.8</v>
      </c>
      <c r="G294">
        <v>7.06</v>
      </c>
      <c r="H294">
        <v>0</v>
      </c>
      <c r="I294">
        <v>27.5</v>
      </c>
      <c r="J294">
        <v>4.17</v>
      </c>
      <c r="K294">
        <v>14.14</v>
      </c>
      <c r="L294" t="s">
        <v>1</v>
      </c>
      <c r="M294" t="s">
        <v>72</v>
      </c>
    </row>
    <row r="295" spans="1:13" x14ac:dyDescent="0.45">
      <c r="A295" t="s">
        <v>0</v>
      </c>
      <c r="B295" t="s">
        <v>143</v>
      </c>
      <c r="C295">
        <v>2040</v>
      </c>
      <c r="D295">
        <v>20</v>
      </c>
      <c r="E295">
        <v>13.73</v>
      </c>
      <c r="F295">
        <v>15.04</v>
      </c>
      <c r="G295">
        <v>8.98</v>
      </c>
      <c r="H295">
        <v>0</v>
      </c>
      <c r="I295">
        <v>32.64</v>
      </c>
      <c r="J295">
        <v>4.49</v>
      </c>
      <c r="K295">
        <v>19.87</v>
      </c>
      <c r="L295" t="s">
        <v>1</v>
      </c>
      <c r="M295" t="s">
        <v>72</v>
      </c>
    </row>
    <row r="296" spans="1:13" x14ac:dyDescent="0.45">
      <c r="A296" t="s">
        <v>0</v>
      </c>
      <c r="B296" t="s">
        <v>143</v>
      </c>
      <c r="C296">
        <v>2045</v>
      </c>
      <c r="D296">
        <v>20</v>
      </c>
      <c r="E296">
        <v>16.2</v>
      </c>
      <c r="F296">
        <v>17.579999999999998</v>
      </c>
      <c r="G296">
        <v>11.84</v>
      </c>
      <c r="H296">
        <v>0</v>
      </c>
      <c r="I296">
        <v>39.76</v>
      </c>
      <c r="J296">
        <v>3.7</v>
      </c>
      <c r="K296">
        <v>24.78</v>
      </c>
      <c r="L296" t="s">
        <v>1</v>
      </c>
      <c r="M296" t="s">
        <v>72</v>
      </c>
    </row>
    <row r="297" spans="1:13" x14ac:dyDescent="0.45">
      <c r="A297" t="s">
        <v>0</v>
      </c>
      <c r="B297" t="s">
        <v>143</v>
      </c>
      <c r="C297">
        <v>2050</v>
      </c>
      <c r="D297">
        <v>20</v>
      </c>
      <c r="E297">
        <v>17.71</v>
      </c>
      <c r="F297">
        <v>19.32</v>
      </c>
      <c r="G297">
        <v>13.83</v>
      </c>
      <c r="H297">
        <v>0</v>
      </c>
      <c r="I297">
        <v>42.86</v>
      </c>
      <c r="J297">
        <v>2.92</v>
      </c>
      <c r="K297">
        <v>28.86</v>
      </c>
      <c r="L297" t="s">
        <v>1</v>
      </c>
      <c r="M297" t="s">
        <v>72</v>
      </c>
    </row>
    <row r="298" spans="1:13" x14ac:dyDescent="0.45">
      <c r="A298" t="s">
        <v>2</v>
      </c>
      <c r="B298" t="s">
        <v>143</v>
      </c>
      <c r="C298">
        <v>2020</v>
      </c>
      <c r="D298">
        <v>16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143</v>
      </c>
      <c r="C299">
        <v>2025</v>
      </c>
      <c r="D299">
        <v>16</v>
      </c>
      <c r="E299">
        <v>2.66</v>
      </c>
      <c r="F299">
        <v>2.08</v>
      </c>
      <c r="G299">
        <v>1.3</v>
      </c>
      <c r="H299">
        <v>1.95</v>
      </c>
      <c r="I299">
        <v>6.19</v>
      </c>
      <c r="J299">
        <v>2.04</v>
      </c>
      <c r="K299">
        <v>2.73</v>
      </c>
      <c r="L299" t="s">
        <v>3</v>
      </c>
      <c r="M299" t="s">
        <v>72</v>
      </c>
    </row>
    <row r="300" spans="1:13" x14ac:dyDescent="0.45">
      <c r="A300" t="s">
        <v>2</v>
      </c>
      <c r="B300" t="s">
        <v>143</v>
      </c>
      <c r="C300">
        <v>2030</v>
      </c>
      <c r="D300">
        <v>16</v>
      </c>
      <c r="E300">
        <v>2.65</v>
      </c>
      <c r="F300">
        <v>2.19</v>
      </c>
      <c r="G300">
        <v>1.08</v>
      </c>
      <c r="H300">
        <v>1.93</v>
      </c>
      <c r="I300">
        <v>6.22</v>
      </c>
      <c r="J300">
        <v>1.97</v>
      </c>
      <c r="K300">
        <v>2.81</v>
      </c>
      <c r="L300" t="s">
        <v>3</v>
      </c>
      <c r="M300" t="s">
        <v>72</v>
      </c>
    </row>
    <row r="301" spans="1:13" x14ac:dyDescent="0.45">
      <c r="A301" t="s">
        <v>2</v>
      </c>
      <c r="B301" t="s">
        <v>143</v>
      </c>
      <c r="C301">
        <v>2035</v>
      </c>
      <c r="D301">
        <v>16</v>
      </c>
      <c r="E301">
        <v>5.01</v>
      </c>
      <c r="F301">
        <v>3.5</v>
      </c>
      <c r="G301">
        <v>3.36</v>
      </c>
      <c r="H301">
        <v>2.91</v>
      </c>
      <c r="I301">
        <v>14.8</v>
      </c>
      <c r="J301">
        <v>3.03</v>
      </c>
      <c r="K301">
        <v>4.92</v>
      </c>
      <c r="L301" t="s">
        <v>3</v>
      </c>
      <c r="M301" t="s">
        <v>72</v>
      </c>
    </row>
    <row r="302" spans="1:13" x14ac:dyDescent="0.45">
      <c r="A302" t="s">
        <v>2</v>
      </c>
      <c r="B302" t="s">
        <v>143</v>
      </c>
      <c r="C302">
        <v>2040</v>
      </c>
      <c r="D302">
        <v>16</v>
      </c>
      <c r="E302">
        <v>7.09</v>
      </c>
      <c r="F302">
        <v>3.87</v>
      </c>
      <c r="G302">
        <v>6.86</v>
      </c>
      <c r="H302">
        <v>3.51</v>
      </c>
      <c r="I302">
        <v>28.51</v>
      </c>
      <c r="J302">
        <v>3.67</v>
      </c>
      <c r="K302">
        <v>6.19</v>
      </c>
      <c r="L302" t="s">
        <v>3</v>
      </c>
      <c r="M302" t="s">
        <v>72</v>
      </c>
    </row>
    <row r="303" spans="1:13" x14ac:dyDescent="0.45">
      <c r="A303" t="s">
        <v>2</v>
      </c>
      <c r="B303" t="s">
        <v>143</v>
      </c>
      <c r="C303">
        <v>2045</v>
      </c>
      <c r="D303">
        <v>16</v>
      </c>
      <c r="E303">
        <v>5.47</v>
      </c>
      <c r="F303">
        <v>3.47</v>
      </c>
      <c r="G303">
        <v>5.7</v>
      </c>
      <c r="H303">
        <v>2.73</v>
      </c>
      <c r="I303">
        <v>24.57</v>
      </c>
      <c r="J303">
        <v>2.77</v>
      </c>
      <c r="K303">
        <v>4.62</v>
      </c>
      <c r="L303" t="s">
        <v>3</v>
      </c>
      <c r="M303" t="s">
        <v>72</v>
      </c>
    </row>
    <row r="304" spans="1:13" x14ac:dyDescent="0.45">
      <c r="A304" t="s">
        <v>2</v>
      </c>
      <c r="B304" t="s">
        <v>143</v>
      </c>
      <c r="C304">
        <v>2050</v>
      </c>
      <c r="D304">
        <v>16</v>
      </c>
      <c r="E304">
        <v>3.77</v>
      </c>
      <c r="F304">
        <v>2.56</v>
      </c>
      <c r="G304">
        <v>2.0299999999999998</v>
      </c>
      <c r="H304">
        <v>1.79</v>
      </c>
      <c r="I304">
        <v>8.4</v>
      </c>
      <c r="J304">
        <v>2.33</v>
      </c>
      <c r="K304">
        <v>5.25</v>
      </c>
      <c r="L304" t="s">
        <v>3</v>
      </c>
      <c r="M304" t="s">
        <v>72</v>
      </c>
    </row>
    <row r="305" spans="1:13" x14ac:dyDescent="0.45">
      <c r="A305" t="s">
        <v>5</v>
      </c>
      <c r="B305" t="s">
        <v>143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143</v>
      </c>
      <c r="C306">
        <v>2025</v>
      </c>
      <c r="D306">
        <v>70</v>
      </c>
      <c r="E306">
        <v>3.01</v>
      </c>
      <c r="F306">
        <v>2.74</v>
      </c>
      <c r="G306">
        <v>1.33</v>
      </c>
      <c r="H306">
        <v>0</v>
      </c>
      <c r="I306">
        <v>7.19</v>
      </c>
      <c r="J306">
        <v>2.0299999999999998</v>
      </c>
      <c r="K306">
        <v>3.44</v>
      </c>
      <c r="L306" t="s">
        <v>6</v>
      </c>
      <c r="M306" t="s">
        <v>72</v>
      </c>
    </row>
    <row r="307" spans="1:13" x14ac:dyDescent="0.45">
      <c r="A307" t="s">
        <v>5</v>
      </c>
      <c r="B307" t="s">
        <v>143</v>
      </c>
      <c r="C307">
        <v>2030</v>
      </c>
      <c r="D307">
        <v>70</v>
      </c>
      <c r="E307">
        <v>3.82</v>
      </c>
      <c r="F307">
        <v>2.82</v>
      </c>
      <c r="G307">
        <v>2.33</v>
      </c>
      <c r="H307">
        <v>0</v>
      </c>
      <c r="I307">
        <v>11.08</v>
      </c>
      <c r="J307">
        <v>1.97</v>
      </c>
      <c r="K307">
        <v>6.06</v>
      </c>
      <c r="L307" t="s">
        <v>6</v>
      </c>
      <c r="M307" t="s">
        <v>72</v>
      </c>
    </row>
    <row r="308" spans="1:13" x14ac:dyDescent="0.45">
      <c r="A308" t="s">
        <v>5</v>
      </c>
      <c r="B308" t="s">
        <v>143</v>
      </c>
      <c r="C308">
        <v>2035</v>
      </c>
      <c r="D308">
        <v>70</v>
      </c>
      <c r="E308">
        <v>5.33</v>
      </c>
      <c r="F308">
        <v>3.63</v>
      </c>
      <c r="G308">
        <v>3.18</v>
      </c>
      <c r="H308">
        <v>0</v>
      </c>
      <c r="I308">
        <v>14.44</v>
      </c>
      <c r="J308">
        <v>2.74</v>
      </c>
      <c r="K308">
        <v>7.77</v>
      </c>
      <c r="L308" t="s">
        <v>6</v>
      </c>
      <c r="M308" t="s">
        <v>72</v>
      </c>
    </row>
    <row r="309" spans="1:13" x14ac:dyDescent="0.45">
      <c r="A309" t="s">
        <v>5</v>
      </c>
      <c r="B309" t="s">
        <v>143</v>
      </c>
      <c r="C309">
        <v>2040</v>
      </c>
      <c r="D309">
        <v>70</v>
      </c>
      <c r="E309">
        <v>7.1</v>
      </c>
      <c r="F309">
        <v>4.08</v>
      </c>
      <c r="G309">
        <v>4.87</v>
      </c>
      <c r="H309">
        <v>0</v>
      </c>
      <c r="I309">
        <v>19.670000000000002</v>
      </c>
      <c r="J309">
        <v>3.04</v>
      </c>
      <c r="K309">
        <v>10.43</v>
      </c>
      <c r="L309" t="s">
        <v>6</v>
      </c>
      <c r="M309" t="s">
        <v>72</v>
      </c>
    </row>
    <row r="310" spans="1:13" x14ac:dyDescent="0.45">
      <c r="A310" t="s">
        <v>5</v>
      </c>
      <c r="B310" t="s">
        <v>143</v>
      </c>
      <c r="C310">
        <v>2045</v>
      </c>
      <c r="D310">
        <v>70</v>
      </c>
      <c r="E310">
        <v>7.87</v>
      </c>
      <c r="F310">
        <v>3.76</v>
      </c>
      <c r="G310">
        <v>6.33</v>
      </c>
      <c r="H310">
        <v>0</v>
      </c>
      <c r="I310">
        <v>22.2</v>
      </c>
      <c r="J310">
        <v>2.36</v>
      </c>
      <c r="K310">
        <v>12.7</v>
      </c>
      <c r="L310" t="s">
        <v>6</v>
      </c>
      <c r="M310" t="s">
        <v>72</v>
      </c>
    </row>
    <row r="311" spans="1:13" x14ac:dyDescent="0.45">
      <c r="A311" t="s">
        <v>5</v>
      </c>
      <c r="B311" t="s">
        <v>143</v>
      </c>
      <c r="C311">
        <v>2050</v>
      </c>
      <c r="D311">
        <v>70</v>
      </c>
      <c r="E311">
        <v>8.52</v>
      </c>
      <c r="F311">
        <v>3.96</v>
      </c>
      <c r="G311">
        <v>7.58</v>
      </c>
      <c r="H311">
        <v>0</v>
      </c>
      <c r="I311">
        <v>27.22</v>
      </c>
      <c r="J311">
        <v>1.87</v>
      </c>
      <c r="K311">
        <v>13.98</v>
      </c>
      <c r="L311" t="s">
        <v>6</v>
      </c>
      <c r="M311" t="s">
        <v>72</v>
      </c>
    </row>
    <row r="312" spans="1:13" x14ac:dyDescent="0.45">
      <c r="A312" t="s">
        <v>7</v>
      </c>
      <c r="B312" t="s">
        <v>143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143</v>
      </c>
      <c r="C313">
        <v>2025</v>
      </c>
      <c r="D313">
        <v>27</v>
      </c>
      <c r="E313">
        <v>2.84</v>
      </c>
      <c r="F313">
        <v>2.85</v>
      </c>
      <c r="G313">
        <v>1.01</v>
      </c>
      <c r="H313">
        <v>1.32</v>
      </c>
      <c r="I313">
        <v>4.88</v>
      </c>
      <c r="J313">
        <v>1.95</v>
      </c>
      <c r="K313">
        <v>3.37</v>
      </c>
      <c r="L313" t="s">
        <v>8</v>
      </c>
      <c r="M313" t="s">
        <v>72</v>
      </c>
    </row>
    <row r="314" spans="1:13" x14ac:dyDescent="0.45">
      <c r="A314" t="s">
        <v>7</v>
      </c>
      <c r="B314" t="s">
        <v>143</v>
      </c>
      <c r="C314">
        <v>2030</v>
      </c>
      <c r="D314">
        <v>27</v>
      </c>
      <c r="E314">
        <v>3.7</v>
      </c>
      <c r="F314">
        <v>3.47</v>
      </c>
      <c r="G314">
        <v>1.56</v>
      </c>
      <c r="H314">
        <v>1.81</v>
      </c>
      <c r="I314">
        <v>6.76</v>
      </c>
      <c r="J314">
        <v>2.67</v>
      </c>
      <c r="K314">
        <v>4.0999999999999996</v>
      </c>
      <c r="L314" t="s">
        <v>8</v>
      </c>
      <c r="M314" t="s">
        <v>72</v>
      </c>
    </row>
    <row r="315" spans="1:13" x14ac:dyDescent="0.45">
      <c r="A315" t="s">
        <v>7</v>
      </c>
      <c r="B315" t="s">
        <v>143</v>
      </c>
      <c r="C315">
        <v>2035</v>
      </c>
      <c r="D315">
        <v>27</v>
      </c>
      <c r="E315">
        <v>4.17</v>
      </c>
      <c r="F315">
        <v>4.28</v>
      </c>
      <c r="G315">
        <v>1.3</v>
      </c>
      <c r="H315">
        <v>2.09</v>
      </c>
      <c r="I315">
        <v>6.61</v>
      </c>
      <c r="J315">
        <v>3.22</v>
      </c>
      <c r="K315">
        <v>4.8899999999999997</v>
      </c>
      <c r="L315" t="s">
        <v>8</v>
      </c>
      <c r="M315" t="s">
        <v>72</v>
      </c>
    </row>
    <row r="316" spans="1:13" x14ac:dyDescent="0.45">
      <c r="A316" t="s">
        <v>7</v>
      </c>
      <c r="B316" t="s">
        <v>143</v>
      </c>
      <c r="C316">
        <v>2040</v>
      </c>
      <c r="D316">
        <v>27</v>
      </c>
      <c r="E316">
        <v>5.51</v>
      </c>
      <c r="F316">
        <v>5.61</v>
      </c>
      <c r="G316">
        <v>2.21</v>
      </c>
      <c r="H316">
        <v>2.21</v>
      </c>
      <c r="I316">
        <v>12.07</v>
      </c>
      <c r="J316">
        <v>4.8899999999999997</v>
      </c>
      <c r="K316">
        <v>6.72</v>
      </c>
      <c r="L316" t="s">
        <v>8</v>
      </c>
      <c r="M316" t="s">
        <v>72</v>
      </c>
    </row>
    <row r="317" spans="1:13" x14ac:dyDescent="0.45">
      <c r="A317" t="s">
        <v>7</v>
      </c>
      <c r="B317" t="s">
        <v>143</v>
      </c>
      <c r="C317">
        <v>2045</v>
      </c>
      <c r="D317">
        <v>27</v>
      </c>
      <c r="E317">
        <v>6.27</v>
      </c>
      <c r="F317">
        <v>6.66</v>
      </c>
      <c r="G317">
        <v>3.09</v>
      </c>
      <c r="H317">
        <v>1.69</v>
      </c>
      <c r="I317">
        <v>14.6</v>
      </c>
      <c r="J317">
        <v>5.17</v>
      </c>
      <c r="K317">
        <v>7.96</v>
      </c>
      <c r="L317" t="s">
        <v>8</v>
      </c>
      <c r="M317" t="s">
        <v>72</v>
      </c>
    </row>
    <row r="318" spans="1:13" x14ac:dyDescent="0.45">
      <c r="A318" t="s">
        <v>7</v>
      </c>
      <c r="B318" t="s">
        <v>143</v>
      </c>
      <c r="C318">
        <v>2050</v>
      </c>
      <c r="D318">
        <v>27</v>
      </c>
      <c r="E318">
        <v>6.38</v>
      </c>
      <c r="F318">
        <v>7.26</v>
      </c>
      <c r="G318">
        <v>3.28</v>
      </c>
      <c r="H318">
        <v>1.1499999999999999</v>
      </c>
      <c r="I318">
        <v>11.22</v>
      </c>
      <c r="J318">
        <v>4.68</v>
      </c>
      <c r="K318">
        <v>8.56</v>
      </c>
      <c r="L318" t="s">
        <v>8</v>
      </c>
      <c r="M318" t="s">
        <v>72</v>
      </c>
    </row>
    <row r="319" spans="1:13" x14ac:dyDescent="0.45">
      <c r="A319" t="s">
        <v>9</v>
      </c>
      <c r="B319" t="s">
        <v>143</v>
      </c>
      <c r="C319">
        <v>2020</v>
      </c>
      <c r="D319">
        <v>17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143</v>
      </c>
      <c r="C320">
        <v>2025</v>
      </c>
      <c r="D320">
        <v>17</v>
      </c>
      <c r="E320">
        <v>1.62</v>
      </c>
      <c r="F320">
        <v>1.05</v>
      </c>
      <c r="G320">
        <v>1.1299999999999999</v>
      </c>
      <c r="H320">
        <v>1.03</v>
      </c>
      <c r="I320">
        <v>4.88</v>
      </c>
      <c r="J320">
        <v>1.04</v>
      </c>
      <c r="K320">
        <v>2.0299999999999998</v>
      </c>
      <c r="L320" t="s">
        <v>10</v>
      </c>
      <c r="M320" t="s">
        <v>72</v>
      </c>
    </row>
    <row r="321" spans="1:13" x14ac:dyDescent="0.45">
      <c r="A321" t="s">
        <v>9</v>
      </c>
      <c r="B321" t="s">
        <v>143</v>
      </c>
      <c r="C321">
        <v>2030</v>
      </c>
      <c r="D321">
        <v>17</v>
      </c>
      <c r="E321">
        <v>1.56</v>
      </c>
      <c r="F321">
        <v>1.1100000000000001</v>
      </c>
      <c r="G321">
        <v>0.93</v>
      </c>
      <c r="H321">
        <v>1.07</v>
      </c>
      <c r="I321">
        <v>3.92</v>
      </c>
      <c r="J321">
        <v>1.0900000000000001</v>
      </c>
      <c r="K321">
        <v>1.76</v>
      </c>
      <c r="L321" t="s">
        <v>10</v>
      </c>
      <c r="M321" t="s">
        <v>72</v>
      </c>
    </row>
    <row r="322" spans="1:13" x14ac:dyDescent="0.45">
      <c r="A322" t="s">
        <v>9</v>
      </c>
      <c r="B322" t="s">
        <v>143</v>
      </c>
      <c r="C322">
        <v>2035</v>
      </c>
      <c r="D322">
        <v>17</v>
      </c>
      <c r="E322">
        <v>1.62</v>
      </c>
      <c r="F322">
        <v>1.1399999999999999</v>
      </c>
      <c r="G322">
        <v>0.92</v>
      </c>
      <c r="H322">
        <v>1.1000000000000001</v>
      </c>
      <c r="I322">
        <v>3.85</v>
      </c>
      <c r="J322">
        <v>1.1299999999999999</v>
      </c>
      <c r="K322">
        <v>2.0099999999999998</v>
      </c>
      <c r="L322" t="s">
        <v>10</v>
      </c>
      <c r="M322" t="s">
        <v>72</v>
      </c>
    </row>
    <row r="323" spans="1:13" x14ac:dyDescent="0.45">
      <c r="A323" t="s">
        <v>9</v>
      </c>
      <c r="B323" t="s">
        <v>143</v>
      </c>
      <c r="C323">
        <v>2040</v>
      </c>
      <c r="D323">
        <v>17</v>
      </c>
      <c r="E323">
        <v>1.71</v>
      </c>
      <c r="F323">
        <v>1.2</v>
      </c>
      <c r="G323">
        <v>0.97</v>
      </c>
      <c r="H323">
        <v>1.1200000000000001</v>
      </c>
      <c r="I323">
        <v>3.95</v>
      </c>
      <c r="J323">
        <v>1.1399999999999999</v>
      </c>
      <c r="K323">
        <v>2.23</v>
      </c>
      <c r="L323" t="s">
        <v>10</v>
      </c>
      <c r="M323" t="s">
        <v>72</v>
      </c>
    </row>
    <row r="324" spans="1:13" x14ac:dyDescent="0.45">
      <c r="A324" t="s">
        <v>9</v>
      </c>
      <c r="B324" t="s">
        <v>143</v>
      </c>
      <c r="C324">
        <v>2045</v>
      </c>
      <c r="D324">
        <v>17</v>
      </c>
      <c r="E324">
        <v>1.6</v>
      </c>
      <c r="F324">
        <v>1.27</v>
      </c>
      <c r="G324">
        <v>0.93</v>
      </c>
      <c r="H324">
        <v>1.1000000000000001</v>
      </c>
      <c r="I324">
        <v>4.04</v>
      </c>
      <c r="J324">
        <v>1.1599999999999999</v>
      </c>
      <c r="K324">
        <v>1.53</v>
      </c>
      <c r="L324" t="s">
        <v>10</v>
      </c>
      <c r="M324" t="s">
        <v>72</v>
      </c>
    </row>
    <row r="325" spans="1:13" x14ac:dyDescent="0.45">
      <c r="A325" t="s">
        <v>9</v>
      </c>
      <c r="B325" t="s">
        <v>143</v>
      </c>
      <c r="C325">
        <v>2050</v>
      </c>
      <c r="D325">
        <v>17</v>
      </c>
      <c r="E325">
        <v>1.53</v>
      </c>
      <c r="F325">
        <v>1.2</v>
      </c>
      <c r="G325">
        <v>0.98</v>
      </c>
      <c r="H325">
        <v>0.97</v>
      </c>
      <c r="I325">
        <v>4.1399999999999997</v>
      </c>
      <c r="J325">
        <v>1.08</v>
      </c>
      <c r="K325">
        <v>1.35</v>
      </c>
      <c r="L325" t="s">
        <v>10</v>
      </c>
      <c r="M325" t="s">
        <v>72</v>
      </c>
    </row>
    <row r="326" spans="1:13" x14ac:dyDescent="0.45">
      <c r="A326" t="s">
        <v>0</v>
      </c>
      <c r="B326" t="s">
        <v>143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143</v>
      </c>
      <c r="C327">
        <v>2025</v>
      </c>
      <c r="D327">
        <v>7</v>
      </c>
      <c r="E327">
        <v>1.05</v>
      </c>
      <c r="F327">
        <v>1.05</v>
      </c>
      <c r="G327">
        <v>0</v>
      </c>
      <c r="H327">
        <v>1.05</v>
      </c>
      <c r="I327">
        <v>1.06</v>
      </c>
      <c r="J327">
        <v>1.05</v>
      </c>
      <c r="K327">
        <v>1.05</v>
      </c>
      <c r="L327" t="s">
        <v>1</v>
      </c>
      <c r="M327" t="s">
        <v>73</v>
      </c>
    </row>
    <row r="328" spans="1:13" x14ac:dyDescent="0.45">
      <c r="A328" t="s">
        <v>0</v>
      </c>
      <c r="B328" t="s">
        <v>143</v>
      </c>
      <c r="C328">
        <v>2030</v>
      </c>
      <c r="D328">
        <v>7</v>
      </c>
      <c r="E328">
        <v>1.0900000000000001</v>
      </c>
      <c r="F328">
        <v>1.0900000000000001</v>
      </c>
      <c r="G328">
        <v>0.01</v>
      </c>
      <c r="H328">
        <v>1.08</v>
      </c>
      <c r="I328">
        <v>1.1000000000000001</v>
      </c>
      <c r="J328">
        <v>1.0900000000000001</v>
      </c>
      <c r="K328">
        <v>1.1000000000000001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143</v>
      </c>
      <c r="C329">
        <v>2035</v>
      </c>
      <c r="D329">
        <v>7</v>
      </c>
      <c r="E329">
        <v>1.1499999999999999</v>
      </c>
      <c r="F329">
        <v>1.1499999999999999</v>
      </c>
      <c r="G329">
        <v>0.01</v>
      </c>
      <c r="H329">
        <v>1.1299999999999999</v>
      </c>
      <c r="I329">
        <v>1.1599999999999999</v>
      </c>
      <c r="J329">
        <v>1.1399999999999999</v>
      </c>
      <c r="K329">
        <v>1.1499999999999999</v>
      </c>
      <c r="L329" t="s">
        <v>1</v>
      </c>
      <c r="M329" t="s">
        <v>73</v>
      </c>
    </row>
    <row r="330" spans="1:13" x14ac:dyDescent="0.45">
      <c r="A330" t="s">
        <v>0</v>
      </c>
      <c r="B330" t="s">
        <v>143</v>
      </c>
      <c r="C330">
        <v>2040</v>
      </c>
      <c r="D330">
        <v>7</v>
      </c>
      <c r="E330">
        <v>1.19</v>
      </c>
      <c r="F330">
        <v>1.19</v>
      </c>
      <c r="G330">
        <v>0.01</v>
      </c>
      <c r="H330">
        <v>1.18</v>
      </c>
      <c r="I330">
        <v>1.21</v>
      </c>
      <c r="J330">
        <v>1.19</v>
      </c>
      <c r="K330">
        <v>1.2</v>
      </c>
      <c r="L330" t="s">
        <v>1</v>
      </c>
      <c r="M330" t="s">
        <v>73</v>
      </c>
    </row>
    <row r="331" spans="1:13" x14ac:dyDescent="0.45">
      <c r="A331" t="s">
        <v>0</v>
      </c>
      <c r="B331" t="s">
        <v>143</v>
      </c>
      <c r="C331">
        <v>2045</v>
      </c>
      <c r="D331">
        <v>7</v>
      </c>
      <c r="E331">
        <v>1.18</v>
      </c>
      <c r="F331">
        <v>1.17</v>
      </c>
      <c r="G331">
        <v>0.04</v>
      </c>
      <c r="H331">
        <v>1.1299999999999999</v>
      </c>
      <c r="I331">
        <v>1.22</v>
      </c>
      <c r="J331">
        <v>1.1499999999999999</v>
      </c>
      <c r="K331">
        <v>1.21</v>
      </c>
      <c r="L331" t="s">
        <v>1</v>
      </c>
      <c r="M331" t="s">
        <v>73</v>
      </c>
    </row>
    <row r="332" spans="1:13" x14ac:dyDescent="0.45">
      <c r="A332" t="s">
        <v>0</v>
      </c>
      <c r="B332" t="s">
        <v>143</v>
      </c>
      <c r="C332">
        <v>2050</v>
      </c>
      <c r="D332">
        <v>7</v>
      </c>
      <c r="E332">
        <v>1.1499999999999999</v>
      </c>
      <c r="F332">
        <v>1.1399999999999999</v>
      </c>
      <c r="G332">
        <v>7.0000000000000007E-2</v>
      </c>
      <c r="H332">
        <v>1.08</v>
      </c>
      <c r="I332">
        <v>1.28</v>
      </c>
      <c r="J332">
        <v>1.1000000000000001</v>
      </c>
      <c r="K332">
        <v>1.1599999999999999</v>
      </c>
      <c r="L332" t="s">
        <v>1</v>
      </c>
      <c r="M332" t="s">
        <v>73</v>
      </c>
    </row>
    <row r="333" spans="1:13" x14ac:dyDescent="0.45">
      <c r="A333" t="s">
        <v>2</v>
      </c>
      <c r="B333" t="s">
        <v>143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143</v>
      </c>
      <c r="C334">
        <v>2025</v>
      </c>
      <c r="D334">
        <v>7</v>
      </c>
      <c r="E334">
        <v>1.05</v>
      </c>
      <c r="F334">
        <v>1.05</v>
      </c>
      <c r="G334">
        <v>0</v>
      </c>
      <c r="H334">
        <v>1.05</v>
      </c>
      <c r="I334">
        <v>1.06</v>
      </c>
      <c r="J334">
        <v>1.05</v>
      </c>
      <c r="K334">
        <v>1.05</v>
      </c>
      <c r="L334" t="s">
        <v>3</v>
      </c>
      <c r="M334" t="s">
        <v>73</v>
      </c>
    </row>
    <row r="335" spans="1:13" x14ac:dyDescent="0.45">
      <c r="A335" t="s">
        <v>2</v>
      </c>
      <c r="B335" t="s">
        <v>143</v>
      </c>
      <c r="C335">
        <v>2030</v>
      </c>
      <c r="D335">
        <v>7</v>
      </c>
      <c r="E335">
        <v>1.0900000000000001</v>
      </c>
      <c r="F335">
        <v>1.1000000000000001</v>
      </c>
      <c r="G335">
        <v>0.01</v>
      </c>
      <c r="H335">
        <v>1.07</v>
      </c>
      <c r="I335">
        <v>1.1000000000000001</v>
      </c>
      <c r="J335">
        <v>1.08</v>
      </c>
      <c r="K335">
        <v>1.1000000000000001</v>
      </c>
      <c r="L335" t="s">
        <v>3</v>
      </c>
      <c r="M335" t="s">
        <v>73</v>
      </c>
    </row>
    <row r="336" spans="1:13" x14ac:dyDescent="0.45">
      <c r="A336" t="s">
        <v>2</v>
      </c>
      <c r="B336" t="s">
        <v>143</v>
      </c>
      <c r="C336">
        <v>2035</v>
      </c>
      <c r="D336">
        <v>7</v>
      </c>
      <c r="E336">
        <v>1.1299999999999999</v>
      </c>
      <c r="F336">
        <v>1.1399999999999999</v>
      </c>
      <c r="G336">
        <v>0.03</v>
      </c>
      <c r="H336">
        <v>1.08</v>
      </c>
      <c r="I336">
        <v>1.1599999999999999</v>
      </c>
      <c r="J336">
        <v>1.1299999999999999</v>
      </c>
      <c r="K336">
        <v>1.1499999999999999</v>
      </c>
      <c r="L336" t="s">
        <v>3</v>
      </c>
      <c r="M336" t="s">
        <v>73</v>
      </c>
    </row>
    <row r="337" spans="1:13" x14ac:dyDescent="0.45">
      <c r="A337" t="s">
        <v>2</v>
      </c>
      <c r="B337" t="s">
        <v>143</v>
      </c>
      <c r="C337">
        <v>2040</v>
      </c>
      <c r="D337">
        <v>7</v>
      </c>
      <c r="E337">
        <v>1.19</v>
      </c>
      <c r="F337">
        <v>1.19</v>
      </c>
      <c r="G337">
        <v>0.03</v>
      </c>
      <c r="H337">
        <v>1.1399999999999999</v>
      </c>
      <c r="I337">
        <v>1.22</v>
      </c>
      <c r="J337">
        <v>1.18</v>
      </c>
      <c r="K337">
        <v>1.2</v>
      </c>
      <c r="L337" t="s">
        <v>3</v>
      </c>
      <c r="M337" t="s">
        <v>73</v>
      </c>
    </row>
    <row r="338" spans="1:13" x14ac:dyDescent="0.45">
      <c r="A338" t="s">
        <v>2</v>
      </c>
      <c r="B338" t="s">
        <v>143</v>
      </c>
      <c r="C338">
        <v>2045</v>
      </c>
      <c r="D338">
        <v>7</v>
      </c>
      <c r="E338">
        <v>1.24</v>
      </c>
      <c r="F338">
        <v>1.24</v>
      </c>
      <c r="G338">
        <v>0.03</v>
      </c>
      <c r="H338">
        <v>1.19</v>
      </c>
      <c r="I338">
        <v>1.27</v>
      </c>
      <c r="J338">
        <v>1.23</v>
      </c>
      <c r="K338">
        <v>1.26</v>
      </c>
      <c r="L338" t="s">
        <v>3</v>
      </c>
      <c r="M338" t="s">
        <v>73</v>
      </c>
    </row>
    <row r="339" spans="1:13" x14ac:dyDescent="0.45">
      <c r="A339" t="s">
        <v>2</v>
      </c>
      <c r="B339" t="s">
        <v>143</v>
      </c>
      <c r="C339">
        <v>2050</v>
      </c>
      <c r="D339">
        <v>7</v>
      </c>
      <c r="E339">
        <v>1.29</v>
      </c>
      <c r="F339">
        <v>1.3</v>
      </c>
      <c r="G339">
        <v>0.03</v>
      </c>
      <c r="H339">
        <v>1.25</v>
      </c>
      <c r="I339">
        <v>1.33</v>
      </c>
      <c r="J339">
        <v>1.27</v>
      </c>
      <c r="K339">
        <v>1.32</v>
      </c>
      <c r="L339" t="s">
        <v>3</v>
      </c>
      <c r="M339" t="s">
        <v>73</v>
      </c>
    </row>
    <row r="340" spans="1:13" x14ac:dyDescent="0.45">
      <c r="A340" t="s">
        <v>5</v>
      </c>
      <c r="B340" t="s">
        <v>143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143</v>
      </c>
      <c r="C341">
        <v>2025</v>
      </c>
      <c r="D341">
        <v>18</v>
      </c>
      <c r="E341">
        <v>1.05</v>
      </c>
      <c r="F341">
        <v>1.05</v>
      </c>
      <c r="G341">
        <v>0.06</v>
      </c>
      <c r="H341">
        <v>0.99</v>
      </c>
      <c r="I341">
        <v>1.21</v>
      </c>
      <c r="J341">
        <v>1</v>
      </c>
      <c r="K341">
        <v>1.05</v>
      </c>
      <c r="L341" t="s">
        <v>6</v>
      </c>
      <c r="M341" t="s">
        <v>73</v>
      </c>
    </row>
    <row r="342" spans="1:13" x14ac:dyDescent="0.45">
      <c r="A342" t="s">
        <v>5</v>
      </c>
      <c r="B342" t="s">
        <v>143</v>
      </c>
      <c r="C342">
        <v>2030</v>
      </c>
      <c r="D342">
        <v>18</v>
      </c>
      <c r="E342">
        <v>1.1399999999999999</v>
      </c>
      <c r="F342">
        <v>1.1000000000000001</v>
      </c>
      <c r="G342">
        <v>0.11</v>
      </c>
      <c r="H342">
        <v>1.03</v>
      </c>
      <c r="I342">
        <v>1.43</v>
      </c>
      <c r="J342">
        <v>1.07</v>
      </c>
      <c r="K342">
        <v>1.18</v>
      </c>
      <c r="L342" t="s">
        <v>6</v>
      </c>
      <c r="M342" t="s">
        <v>73</v>
      </c>
    </row>
    <row r="343" spans="1:13" x14ac:dyDescent="0.45">
      <c r="A343" t="s">
        <v>5</v>
      </c>
      <c r="B343" t="s">
        <v>143</v>
      </c>
      <c r="C343">
        <v>2035</v>
      </c>
      <c r="D343">
        <v>18</v>
      </c>
      <c r="E343">
        <v>1.35</v>
      </c>
      <c r="F343">
        <v>1.23</v>
      </c>
      <c r="G343">
        <v>0.28000000000000003</v>
      </c>
      <c r="H343">
        <v>1.05</v>
      </c>
      <c r="I343">
        <v>1.8</v>
      </c>
      <c r="J343">
        <v>1.1299999999999999</v>
      </c>
      <c r="K343">
        <v>1.64</v>
      </c>
      <c r="L343" t="s">
        <v>6</v>
      </c>
      <c r="M343" t="s">
        <v>73</v>
      </c>
    </row>
    <row r="344" spans="1:13" x14ac:dyDescent="0.45">
      <c r="A344" t="s">
        <v>5</v>
      </c>
      <c r="B344" t="s">
        <v>143</v>
      </c>
      <c r="C344">
        <v>2040</v>
      </c>
      <c r="D344">
        <v>18</v>
      </c>
      <c r="E344">
        <v>1.72</v>
      </c>
      <c r="F344">
        <v>1.46</v>
      </c>
      <c r="G344">
        <v>0.66</v>
      </c>
      <c r="H344">
        <v>1.05</v>
      </c>
      <c r="I344">
        <v>2.86</v>
      </c>
      <c r="J344">
        <v>1.1299999999999999</v>
      </c>
      <c r="K344">
        <v>2.31</v>
      </c>
      <c r="L344" t="s">
        <v>6</v>
      </c>
      <c r="M344" t="s">
        <v>73</v>
      </c>
    </row>
    <row r="345" spans="1:13" x14ac:dyDescent="0.45">
      <c r="A345" t="s">
        <v>5</v>
      </c>
      <c r="B345" t="s">
        <v>143</v>
      </c>
      <c r="C345">
        <v>2045</v>
      </c>
      <c r="D345">
        <v>18</v>
      </c>
      <c r="E345">
        <v>2.02</v>
      </c>
      <c r="F345">
        <v>1.7</v>
      </c>
      <c r="G345">
        <v>0.97</v>
      </c>
      <c r="H345">
        <v>1.03</v>
      </c>
      <c r="I345">
        <v>3.6</v>
      </c>
      <c r="J345">
        <v>1.1499999999999999</v>
      </c>
      <c r="K345">
        <v>2.95</v>
      </c>
      <c r="L345" t="s">
        <v>6</v>
      </c>
      <c r="M345" t="s">
        <v>73</v>
      </c>
    </row>
    <row r="346" spans="1:13" x14ac:dyDescent="0.45">
      <c r="A346" t="s">
        <v>5</v>
      </c>
      <c r="B346" t="s">
        <v>143</v>
      </c>
      <c r="C346">
        <v>2050</v>
      </c>
      <c r="D346">
        <v>18</v>
      </c>
      <c r="E346">
        <v>2.2999999999999998</v>
      </c>
      <c r="F346">
        <v>1.93</v>
      </c>
      <c r="G346">
        <v>1.26</v>
      </c>
      <c r="H346">
        <v>1.03</v>
      </c>
      <c r="I346">
        <v>4.26</v>
      </c>
      <c r="J346">
        <v>1.1100000000000001</v>
      </c>
      <c r="K346">
        <v>3.58</v>
      </c>
      <c r="L346" t="s">
        <v>6</v>
      </c>
      <c r="M346" t="s">
        <v>73</v>
      </c>
    </row>
    <row r="347" spans="1:13" x14ac:dyDescent="0.45">
      <c r="A347" t="s">
        <v>7</v>
      </c>
      <c r="B347" t="s">
        <v>143</v>
      </c>
      <c r="C347">
        <v>2020</v>
      </c>
      <c r="D347">
        <v>9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143</v>
      </c>
      <c r="C348">
        <v>2025</v>
      </c>
      <c r="D348">
        <v>9</v>
      </c>
      <c r="E348">
        <v>1.1100000000000001</v>
      </c>
      <c r="F348">
        <v>1.21</v>
      </c>
      <c r="G348">
        <v>0.11</v>
      </c>
      <c r="H348">
        <v>0.98</v>
      </c>
      <c r="I348">
        <v>1.21</v>
      </c>
      <c r="J348">
        <v>1</v>
      </c>
      <c r="K348">
        <v>1.21</v>
      </c>
      <c r="L348" t="s">
        <v>8</v>
      </c>
      <c r="M348" t="s">
        <v>73</v>
      </c>
    </row>
    <row r="349" spans="1:13" x14ac:dyDescent="0.45">
      <c r="A349" t="s">
        <v>7</v>
      </c>
      <c r="B349" t="s">
        <v>143</v>
      </c>
      <c r="C349">
        <v>2030</v>
      </c>
      <c r="D349">
        <v>9</v>
      </c>
      <c r="E349">
        <v>1.1299999999999999</v>
      </c>
      <c r="F349">
        <v>1.21</v>
      </c>
      <c r="G349">
        <v>0.1</v>
      </c>
      <c r="H349">
        <v>0.99</v>
      </c>
      <c r="I349">
        <v>1.21</v>
      </c>
      <c r="J349">
        <v>1.03</v>
      </c>
      <c r="K349">
        <v>1.21</v>
      </c>
      <c r="L349" t="s">
        <v>8</v>
      </c>
      <c r="M349" t="s">
        <v>73</v>
      </c>
    </row>
    <row r="350" spans="1:13" x14ac:dyDescent="0.45">
      <c r="A350" t="s">
        <v>7</v>
      </c>
      <c r="B350" t="s">
        <v>143</v>
      </c>
      <c r="C350">
        <v>2035</v>
      </c>
      <c r="D350">
        <v>9</v>
      </c>
      <c r="E350">
        <v>1.1200000000000001</v>
      </c>
      <c r="F350">
        <v>1.08</v>
      </c>
      <c r="G350">
        <v>0.16</v>
      </c>
      <c r="H350">
        <v>1</v>
      </c>
      <c r="I350">
        <v>1.5</v>
      </c>
      <c r="J350">
        <v>1.02</v>
      </c>
      <c r="K350">
        <v>1.1499999999999999</v>
      </c>
      <c r="L350" t="s">
        <v>8</v>
      </c>
      <c r="M350" t="s">
        <v>73</v>
      </c>
    </row>
    <row r="351" spans="1:13" x14ac:dyDescent="0.45">
      <c r="A351" t="s">
        <v>7</v>
      </c>
      <c r="B351" t="s">
        <v>143</v>
      </c>
      <c r="C351">
        <v>2040</v>
      </c>
      <c r="D351">
        <v>9</v>
      </c>
      <c r="E351">
        <v>1.31</v>
      </c>
      <c r="F351">
        <v>1.2</v>
      </c>
      <c r="G351">
        <v>0.3</v>
      </c>
      <c r="H351">
        <v>1.02</v>
      </c>
      <c r="I351">
        <v>1.97</v>
      </c>
      <c r="J351">
        <v>1.1100000000000001</v>
      </c>
      <c r="K351">
        <v>1.45</v>
      </c>
      <c r="L351" t="s">
        <v>8</v>
      </c>
      <c r="M351" t="s">
        <v>73</v>
      </c>
    </row>
    <row r="352" spans="1:13" x14ac:dyDescent="0.45">
      <c r="A352" t="s">
        <v>7</v>
      </c>
      <c r="B352" t="s">
        <v>143</v>
      </c>
      <c r="C352">
        <v>2045</v>
      </c>
      <c r="D352">
        <v>9</v>
      </c>
      <c r="E352">
        <v>1.8</v>
      </c>
      <c r="F352">
        <v>1.75</v>
      </c>
      <c r="G352">
        <v>0.46</v>
      </c>
      <c r="H352">
        <v>1.27</v>
      </c>
      <c r="I352">
        <v>2.81</v>
      </c>
      <c r="J352">
        <v>1.51</v>
      </c>
      <c r="K352">
        <v>1.97</v>
      </c>
      <c r="L352" t="s">
        <v>8</v>
      </c>
      <c r="M352" t="s">
        <v>73</v>
      </c>
    </row>
    <row r="353" spans="1:13" x14ac:dyDescent="0.45">
      <c r="A353" t="s">
        <v>7</v>
      </c>
      <c r="B353" t="s">
        <v>143</v>
      </c>
      <c r="C353">
        <v>2050</v>
      </c>
      <c r="D353">
        <v>9</v>
      </c>
      <c r="E353">
        <v>2.25</v>
      </c>
      <c r="F353">
        <v>2.27</v>
      </c>
      <c r="G353">
        <v>0.55000000000000004</v>
      </c>
      <c r="H353">
        <v>1.6</v>
      </c>
      <c r="I353">
        <v>3.49</v>
      </c>
      <c r="J353">
        <v>1.92</v>
      </c>
      <c r="K353">
        <v>2.41</v>
      </c>
      <c r="L353" t="s">
        <v>8</v>
      </c>
      <c r="M353" t="s">
        <v>73</v>
      </c>
    </row>
    <row r="354" spans="1:13" x14ac:dyDescent="0.45">
      <c r="A354" t="s">
        <v>9</v>
      </c>
      <c r="B354" t="s">
        <v>143</v>
      </c>
      <c r="C354">
        <v>2020</v>
      </c>
      <c r="D354">
        <v>7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143</v>
      </c>
      <c r="C355">
        <v>2025</v>
      </c>
      <c r="D355">
        <v>7</v>
      </c>
      <c r="E355">
        <v>1.05</v>
      </c>
      <c r="F355">
        <v>1.05</v>
      </c>
      <c r="G355">
        <v>0.1</v>
      </c>
      <c r="H355">
        <v>0.94</v>
      </c>
      <c r="I355">
        <v>1.21</v>
      </c>
      <c r="J355">
        <v>0.99</v>
      </c>
      <c r="K355">
        <v>1.0900000000000001</v>
      </c>
      <c r="L355" t="s">
        <v>10</v>
      </c>
      <c r="M355" t="s">
        <v>73</v>
      </c>
    </row>
    <row r="356" spans="1:13" x14ac:dyDescent="0.45">
      <c r="A356" t="s">
        <v>9</v>
      </c>
      <c r="B356" t="s">
        <v>143</v>
      </c>
      <c r="C356">
        <v>2030</v>
      </c>
      <c r="D356">
        <v>7</v>
      </c>
      <c r="E356">
        <v>1.06</v>
      </c>
      <c r="F356">
        <v>1.08</v>
      </c>
      <c r="G356">
        <v>0.08</v>
      </c>
      <c r="H356">
        <v>0.97</v>
      </c>
      <c r="I356">
        <v>1.21</v>
      </c>
      <c r="J356">
        <v>0.99</v>
      </c>
      <c r="K356">
        <v>1.08</v>
      </c>
      <c r="L356" t="s">
        <v>10</v>
      </c>
      <c r="M356" t="s">
        <v>73</v>
      </c>
    </row>
    <row r="357" spans="1:13" x14ac:dyDescent="0.45">
      <c r="A357" t="s">
        <v>9</v>
      </c>
      <c r="B357" t="s">
        <v>143</v>
      </c>
      <c r="C357">
        <v>2035</v>
      </c>
      <c r="D357">
        <v>7</v>
      </c>
      <c r="E357">
        <v>1.1000000000000001</v>
      </c>
      <c r="F357">
        <v>1.06</v>
      </c>
      <c r="G357">
        <v>0.09</v>
      </c>
      <c r="H357">
        <v>1.03</v>
      </c>
      <c r="I357">
        <v>1.26</v>
      </c>
      <c r="J357">
        <v>1.04</v>
      </c>
      <c r="K357">
        <v>1.1499999999999999</v>
      </c>
      <c r="L357" t="s">
        <v>10</v>
      </c>
      <c r="M357" t="s">
        <v>73</v>
      </c>
    </row>
    <row r="358" spans="1:13" x14ac:dyDescent="0.45">
      <c r="A358" t="s">
        <v>9</v>
      </c>
      <c r="B358" t="s">
        <v>143</v>
      </c>
      <c r="C358">
        <v>2040</v>
      </c>
      <c r="D358">
        <v>7</v>
      </c>
      <c r="E358">
        <v>1.07</v>
      </c>
      <c r="F358">
        <v>1.04</v>
      </c>
      <c r="G358">
        <v>0.12</v>
      </c>
      <c r="H358">
        <v>0.95</v>
      </c>
      <c r="I358">
        <v>1.32</v>
      </c>
      <c r="J358">
        <v>1.03</v>
      </c>
      <c r="K358">
        <v>1.07</v>
      </c>
      <c r="L358" t="s">
        <v>10</v>
      </c>
      <c r="M358" t="s">
        <v>73</v>
      </c>
    </row>
    <row r="359" spans="1:13" x14ac:dyDescent="0.45">
      <c r="A359" t="s">
        <v>9</v>
      </c>
      <c r="B359" t="s">
        <v>143</v>
      </c>
      <c r="C359">
        <v>2045</v>
      </c>
      <c r="D359">
        <v>7</v>
      </c>
      <c r="E359">
        <v>1.08</v>
      </c>
      <c r="F359">
        <v>1.07</v>
      </c>
      <c r="G359">
        <v>0.09</v>
      </c>
      <c r="H359">
        <v>0.98</v>
      </c>
      <c r="I359">
        <v>1.26</v>
      </c>
      <c r="J359">
        <v>1.04</v>
      </c>
      <c r="K359">
        <v>1.07</v>
      </c>
      <c r="L359" t="s">
        <v>10</v>
      </c>
      <c r="M359" t="s">
        <v>73</v>
      </c>
    </row>
    <row r="360" spans="1:13" x14ac:dyDescent="0.45">
      <c r="A360" t="s">
        <v>9</v>
      </c>
      <c r="B360" t="s">
        <v>143</v>
      </c>
      <c r="C360">
        <v>2050</v>
      </c>
      <c r="D360">
        <v>7</v>
      </c>
      <c r="E360">
        <v>1.1399999999999999</v>
      </c>
      <c r="F360">
        <v>1.2</v>
      </c>
      <c r="G360">
        <v>0.1</v>
      </c>
      <c r="H360">
        <v>1.03</v>
      </c>
      <c r="I360">
        <v>1.23</v>
      </c>
      <c r="J360">
        <v>1.04</v>
      </c>
      <c r="K360">
        <v>1.23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AQ24"/>
  <sheetViews>
    <sheetView workbookViewId="0">
      <selection activeCell="H21" sqref="H21"/>
    </sheetView>
  </sheetViews>
  <sheetFormatPr defaultRowHeight="14.25" x14ac:dyDescent="0.45"/>
  <sheetData>
    <row r="10" spans="1:43" x14ac:dyDescent="0.45">
      <c r="A10" t="str">
        <f>IFERROR(Veda!D5,"ts_12t")</f>
        <v>ts_annual</v>
      </c>
      <c r="B10" s="15"/>
      <c r="C10" s="15" t="s">
        <v>422</v>
      </c>
      <c r="D10" t="s">
        <v>102</v>
      </c>
      <c r="F10" t="s">
        <v>422</v>
      </c>
      <c r="G10" t="s">
        <v>103</v>
      </c>
      <c r="I10" t="s">
        <v>422</v>
      </c>
      <c r="J10" t="s">
        <v>106</v>
      </c>
      <c r="L10" t="s">
        <v>422</v>
      </c>
      <c r="M10" t="s">
        <v>104</v>
      </c>
      <c r="O10" t="s">
        <v>422</v>
      </c>
      <c r="P10" t="s">
        <v>105</v>
      </c>
      <c r="R10" t="s">
        <v>422</v>
      </c>
      <c r="S10" t="s">
        <v>125</v>
      </c>
      <c r="U10" t="s">
        <v>422</v>
      </c>
      <c r="V10" t="s">
        <v>126</v>
      </c>
      <c r="X10" t="s">
        <v>422</v>
      </c>
      <c r="Y10" t="s">
        <v>127</v>
      </c>
      <c r="AA10" t="s">
        <v>422</v>
      </c>
      <c r="AB10" t="s">
        <v>128</v>
      </c>
      <c r="AD10" t="s">
        <v>422</v>
      </c>
      <c r="AE10" t="s">
        <v>129</v>
      </c>
      <c r="AG10" t="s">
        <v>422</v>
      </c>
      <c r="AH10" t="s">
        <v>130</v>
      </c>
      <c r="AJ10" t="s">
        <v>422</v>
      </c>
      <c r="AK10" t="s">
        <v>131</v>
      </c>
      <c r="AM10" t="s">
        <v>422</v>
      </c>
      <c r="AN10" t="s">
        <v>107</v>
      </c>
      <c r="AP10" t="s">
        <v>422</v>
      </c>
      <c r="AQ10" t="s">
        <v>132</v>
      </c>
    </row>
    <row r="11" spans="1:43" x14ac:dyDescent="0.45">
      <c r="B11" s="15"/>
      <c r="C11" s="15" t="s">
        <v>423</v>
      </c>
      <c r="D11" t="s">
        <v>424</v>
      </c>
      <c r="F11" t="s">
        <v>423</v>
      </c>
      <c r="G11" t="s">
        <v>796</v>
      </c>
      <c r="I11" t="s">
        <v>423</v>
      </c>
      <c r="J11" t="s">
        <v>1212</v>
      </c>
      <c r="L11" t="s">
        <v>423</v>
      </c>
      <c r="M11" t="s">
        <v>1886</v>
      </c>
      <c r="O11" t="s">
        <v>423</v>
      </c>
      <c r="P11" t="s">
        <v>2104</v>
      </c>
      <c r="R11" t="s">
        <v>423</v>
      </c>
      <c r="S11" t="s">
        <v>2107</v>
      </c>
      <c r="U11" t="s">
        <v>423</v>
      </c>
      <c r="V11" t="s">
        <v>2109</v>
      </c>
      <c r="X11" t="s">
        <v>423</v>
      </c>
      <c r="Y11" t="s">
        <v>2112</v>
      </c>
      <c r="AA11" t="s">
        <v>423</v>
      </c>
      <c r="AB11" t="s">
        <v>2114</v>
      </c>
      <c r="AD11" t="s">
        <v>423</v>
      </c>
      <c r="AE11" t="s">
        <v>2116</v>
      </c>
      <c r="AG11" t="s">
        <v>423</v>
      </c>
      <c r="AH11" t="s">
        <v>2118</v>
      </c>
      <c r="AJ11" t="s">
        <v>423</v>
      </c>
      <c r="AK11" t="s">
        <v>2120</v>
      </c>
      <c r="AM11" t="s">
        <v>423</v>
      </c>
      <c r="AN11" t="s">
        <v>2124</v>
      </c>
      <c r="AP11" t="s">
        <v>423</v>
      </c>
      <c r="AQ11" t="s">
        <v>2143</v>
      </c>
    </row>
    <row r="12" spans="1:43" x14ac:dyDescent="0.45">
      <c r="B12" s="15"/>
      <c r="C12" s="15" t="s">
        <v>425</v>
      </c>
      <c r="D12" t="s">
        <v>426</v>
      </c>
      <c r="F12" t="s">
        <v>425</v>
      </c>
      <c r="G12" t="s">
        <v>797</v>
      </c>
      <c r="I12" t="s">
        <v>425</v>
      </c>
      <c r="J12" t="s">
        <v>1213</v>
      </c>
      <c r="L12" t="s">
        <v>425</v>
      </c>
      <c r="M12" t="s">
        <v>1887</v>
      </c>
      <c r="O12" t="s">
        <v>425</v>
      </c>
      <c r="P12" t="s">
        <v>2105</v>
      </c>
      <c r="R12" t="s">
        <v>425</v>
      </c>
      <c r="S12" t="s">
        <v>2108</v>
      </c>
      <c r="U12" t="s">
        <v>425</v>
      </c>
      <c r="V12" t="s">
        <v>2110</v>
      </c>
      <c r="X12" t="s">
        <v>425</v>
      </c>
      <c r="Y12" t="s">
        <v>2113</v>
      </c>
      <c r="AA12" t="s">
        <v>425</v>
      </c>
      <c r="AB12" t="s">
        <v>2115</v>
      </c>
      <c r="AD12" t="s">
        <v>425</v>
      </c>
      <c r="AE12" t="s">
        <v>2117</v>
      </c>
      <c r="AG12" t="s">
        <v>425</v>
      </c>
      <c r="AH12" t="s">
        <v>2119</v>
      </c>
      <c r="AJ12" t="s">
        <v>425</v>
      </c>
      <c r="AK12" t="s">
        <v>2121</v>
      </c>
      <c r="AM12" t="s">
        <v>425</v>
      </c>
      <c r="AN12" t="s">
        <v>2124</v>
      </c>
      <c r="AP12" t="s">
        <v>425</v>
      </c>
      <c r="AQ12" t="s">
        <v>2144</v>
      </c>
    </row>
    <row r="17" spans="3:13" x14ac:dyDescent="0.45">
      <c r="I17" s="12">
        <v>0.75</v>
      </c>
      <c r="K17" s="2" t="s">
        <v>85</v>
      </c>
    </row>
    <row r="18" spans="3:13" ht="17.649999999999999" thickBot="1" x14ac:dyDescent="0.6">
      <c r="C18" s="13" t="s">
        <v>86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87</v>
      </c>
      <c r="D22" s="14" t="s">
        <v>88</v>
      </c>
      <c r="E22" s="14" t="s">
        <v>89</v>
      </c>
      <c r="F22" s="14" t="s">
        <v>90</v>
      </c>
      <c r="G22" s="14" t="s">
        <v>91</v>
      </c>
      <c r="H22" s="14" t="s">
        <v>92</v>
      </c>
      <c r="I22" s="14" t="s">
        <v>93</v>
      </c>
      <c r="J22" s="14" t="s">
        <v>94</v>
      </c>
      <c r="K22" s="14" t="s">
        <v>95</v>
      </c>
    </row>
    <row r="23" spans="3:13" x14ac:dyDescent="0.45">
      <c r="C23" t="s">
        <v>96</v>
      </c>
      <c r="D23" t="s">
        <v>97</v>
      </c>
      <c r="E23" t="str">
        <f>G23</f>
        <v>AuxStoIN</v>
      </c>
      <c r="F23" t="s">
        <v>98</v>
      </c>
      <c r="G23" t="s">
        <v>99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100</v>
      </c>
    </row>
    <row r="24" spans="3:13" x14ac:dyDescent="0.45">
      <c r="D24" t="s">
        <v>97</v>
      </c>
      <c r="E24" t="str">
        <f>G24</f>
        <v>AuxStoIN</v>
      </c>
      <c r="F24" t="s">
        <v>98</v>
      </c>
      <c r="G24" t="s">
        <v>99</v>
      </c>
      <c r="H24" t="str">
        <f>HLOOKUP($A$10,$D$10:$CU$12,2,FALSE)</f>
        <v>AllSaAllH</v>
      </c>
      <c r="I24">
        <f>-$I$17</f>
        <v>-0.75</v>
      </c>
      <c r="M24" t="s">
        <v>101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A756CA-BCFD-4BA2-B0E6-2C8705AC635F}">
  <dimension ref="A9:AN34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102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248</v>
      </c>
      <c r="L10" t="s">
        <v>30</v>
      </c>
      <c r="N10" t="s">
        <v>13</v>
      </c>
      <c r="O10" t="s">
        <v>122</v>
      </c>
      <c r="P10" t="s">
        <v>248</v>
      </c>
      <c r="Q10" t="s">
        <v>30</v>
      </c>
      <c r="S10" t="s">
        <v>13</v>
      </c>
      <c r="T10" t="s">
        <v>122</v>
      </c>
      <c r="U10" t="s">
        <v>248</v>
      </c>
      <c r="V10" t="s">
        <v>30</v>
      </c>
      <c r="X10" t="s">
        <v>421</v>
      </c>
      <c r="Y10" t="s">
        <v>248</v>
      </c>
      <c r="Z10" t="s">
        <v>122</v>
      </c>
      <c r="AA10" t="s">
        <v>13</v>
      </c>
      <c r="AC10" t="s">
        <v>13</v>
      </c>
      <c r="AD10" t="s">
        <v>122</v>
      </c>
      <c r="AE10" t="s">
        <v>248</v>
      </c>
      <c r="AG10" t="s">
        <v>13</v>
      </c>
      <c r="AH10" t="s">
        <v>122</v>
      </c>
      <c r="AI10" t="s">
        <v>427</v>
      </c>
      <c r="AK10" t="s">
        <v>47</v>
      </c>
      <c r="AL10" t="s">
        <v>122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153</v>
      </c>
      <c r="F11" t="s">
        <v>154</v>
      </c>
      <c r="G11" t="s">
        <v>155</v>
      </c>
      <c r="I11" t="s">
        <v>249</v>
      </c>
      <c r="J11" t="s">
        <v>250</v>
      </c>
      <c r="K11">
        <v>0</v>
      </c>
      <c r="L11" t="s">
        <v>251</v>
      </c>
      <c r="N11" t="s">
        <v>419</v>
      </c>
      <c r="O11" t="s">
        <v>250</v>
      </c>
      <c r="P11">
        <v>2.5660311917472152E-2</v>
      </c>
      <c r="Q11" t="s">
        <v>251</v>
      </c>
      <c r="S11" t="s">
        <v>420</v>
      </c>
      <c r="T11" t="s">
        <v>250</v>
      </c>
      <c r="U11">
        <v>2.6769906846017193E-2</v>
      </c>
      <c r="V11" t="s">
        <v>251</v>
      </c>
      <c r="X11">
        <v>2.1232876712328767E-2</v>
      </c>
      <c r="Y11">
        <v>4.5420116185598634E-3</v>
      </c>
      <c r="Z11" t="s">
        <v>250</v>
      </c>
      <c r="AA11" t="s">
        <v>25</v>
      </c>
      <c r="AC11" t="s">
        <v>22</v>
      </c>
      <c r="AD11" t="s">
        <v>250</v>
      </c>
      <c r="AE11">
        <v>2.5607497604483307E-2</v>
      </c>
      <c r="AG11" t="s">
        <v>97</v>
      </c>
      <c r="AH11" t="s">
        <v>250</v>
      </c>
      <c r="AI11">
        <v>0.1255692735717755</v>
      </c>
    </row>
    <row r="12" spans="1:40" x14ac:dyDescent="0.45">
      <c r="C12" t="s">
        <v>156</v>
      </c>
      <c r="D12" t="s">
        <v>155</v>
      </c>
      <c r="E12" t="s">
        <v>157</v>
      </c>
      <c r="F12" t="s">
        <v>158</v>
      </c>
      <c r="G12" t="s">
        <v>155</v>
      </c>
      <c r="I12" t="s">
        <v>249</v>
      </c>
      <c r="J12" t="s">
        <v>252</v>
      </c>
      <c r="K12">
        <v>0</v>
      </c>
      <c r="L12" t="s">
        <v>251</v>
      </c>
      <c r="N12" t="s">
        <v>419</v>
      </c>
      <c r="O12" t="s">
        <v>252</v>
      </c>
      <c r="P12">
        <v>4.0814319723471888E-3</v>
      </c>
      <c r="Q12" t="s">
        <v>251</v>
      </c>
      <c r="S12" t="s">
        <v>420</v>
      </c>
      <c r="T12" t="s">
        <v>252</v>
      </c>
      <c r="U12">
        <v>4.3097825222294175E-3</v>
      </c>
      <c r="V12" t="s">
        <v>251</v>
      </c>
      <c r="X12">
        <v>3.5388127853881279E-3</v>
      </c>
      <c r="Y12">
        <v>5.240782636799844E-3</v>
      </c>
      <c r="Z12" t="s">
        <v>252</v>
      </c>
      <c r="AA12" t="s">
        <v>25</v>
      </c>
      <c r="AC12" t="s">
        <v>22</v>
      </c>
      <c r="AD12" t="s">
        <v>252</v>
      </c>
      <c r="AE12">
        <v>3.3095668155421962E-3</v>
      </c>
      <c r="AG12" t="s">
        <v>97</v>
      </c>
      <c r="AH12" t="s">
        <v>252</v>
      </c>
      <c r="AI12">
        <v>3.1209633865931563E-2</v>
      </c>
    </row>
    <row r="13" spans="1:40" x14ac:dyDescent="0.45">
      <c r="C13" t="s">
        <v>158</v>
      </c>
      <c r="D13" t="s">
        <v>159</v>
      </c>
      <c r="E13" t="s">
        <v>160</v>
      </c>
      <c r="F13" t="s">
        <v>161</v>
      </c>
      <c r="G13" t="s">
        <v>155</v>
      </c>
      <c r="I13" t="s">
        <v>249</v>
      </c>
      <c r="J13" t="s">
        <v>253</v>
      </c>
      <c r="K13">
        <v>2.0106799524999386E-4</v>
      </c>
      <c r="L13" t="s">
        <v>251</v>
      </c>
      <c r="N13" t="s">
        <v>419</v>
      </c>
      <c r="O13" t="s">
        <v>253</v>
      </c>
      <c r="P13">
        <v>4.033150452332668E-3</v>
      </c>
      <c r="Q13" t="s">
        <v>251</v>
      </c>
      <c r="S13" t="s">
        <v>420</v>
      </c>
      <c r="T13" t="s">
        <v>253</v>
      </c>
      <c r="U13">
        <v>4.30556758140406E-3</v>
      </c>
      <c r="V13" t="s">
        <v>251</v>
      </c>
      <c r="X13">
        <v>3.5388127853881279E-3</v>
      </c>
      <c r="Y13">
        <v>5.9087255218821738E-3</v>
      </c>
      <c r="Z13" t="s">
        <v>253</v>
      </c>
      <c r="AA13" t="s">
        <v>25</v>
      </c>
      <c r="AC13" t="s">
        <v>22</v>
      </c>
      <c r="AD13" t="s">
        <v>253</v>
      </c>
      <c r="AE13">
        <v>3.1520688773489483E-3</v>
      </c>
      <c r="AG13" t="s">
        <v>97</v>
      </c>
      <c r="AH13" t="s">
        <v>253</v>
      </c>
      <c r="AI13">
        <v>3.7632188426626412E-2</v>
      </c>
    </row>
    <row r="14" spans="1:40" x14ac:dyDescent="0.45">
      <c r="C14" t="s">
        <v>161</v>
      </c>
      <c r="D14" t="s">
        <v>162</v>
      </c>
      <c r="E14" t="s">
        <v>163</v>
      </c>
      <c r="F14" t="s">
        <v>164</v>
      </c>
      <c r="G14" t="s">
        <v>155</v>
      </c>
      <c r="I14" t="s">
        <v>249</v>
      </c>
      <c r="J14" t="s">
        <v>254</v>
      </c>
      <c r="K14">
        <v>4.9834507681872697E-2</v>
      </c>
      <c r="L14" t="s">
        <v>251</v>
      </c>
      <c r="N14" t="s">
        <v>419</v>
      </c>
      <c r="O14" t="s">
        <v>254</v>
      </c>
      <c r="P14">
        <v>2.3667065373781479E-2</v>
      </c>
      <c r="Q14" t="s">
        <v>251</v>
      </c>
      <c r="S14" t="s">
        <v>420</v>
      </c>
      <c r="T14" t="s">
        <v>254</v>
      </c>
      <c r="U14">
        <v>2.8474195890723288E-2</v>
      </c>
      <c r="V14" t="s">
        <v>251</v>
      </c>
      <c r="X14">
        <v>2.4771689497716895E-2</v>
      </c>
      <c r="Y14">
        <v>3.1424143732027281E-2</v>
      </c>
      <c r="Z14" t="s">
        <v>254</v>
      </c>
      <c r="AA14" t="s">
        <v>25</v>
      </c>
      <c r="AC14" t="s">
        <v>22</v>
      </c>
      <c r="AD14" t="s">
        <v>254</v>
      </c>
      <c r="AE14">
        <v>2.5346104661222169E-2</v>
      </c>
      <c r="AG14" t="s">
        <v>97</v>
      </c>
      <c r="AH14" t="s">
        <v>254</v>
      </c>
      <c r="AI14">
        <v>0.28402737458105975</v>
      </c>
    </row>
    <row r="15" spans="1:40" x14ac:dyDescent="0.45">
      <c r="C15" t="s">
        <v>165</v>
      </c>
      <c r="E15" t="s">
        <v>166</v>
      </c>
      <c r="G15" t="s">
        <v>155</v>
      </c>
      <c r="I15" t="s">
        <v>249</v>
      </c>
      <c r="J15" t="s">
        <v>255</v>
      </c>
      <c r="K15">
        <v>7.7021391491125003E-3</v>
      </c>
      <c r="L15" t="s">
        <v>251</v>
      </c>
      <c r="N15" t="s">
        <v>419</v>
      </c>
      <c r="O15" t="s">
        <v>255</v>
      </c>
      <c r="P15">
        <v>3.101223359272192E-3</v>
      </c>
      <c r="Q15" t="s">
        <v>251</v>
      </c>
      <c r="S15" t="s">
        <v>420</v>
      </c>
      <c r="T15" t="s">
        <v>255</v>
      </c>
      <c r="U15">
        <v>4.067137061951746E-3</v>
      </c>
      <c r="V15" t="s">
        <v>251</v>
      </c>
      <c r="X15">
        <v>3.5388127853881279E-3</v>
      </c>
      <c r="Y15">
        <v>5.3435430806586613E-3</v>
      </c>
      <c r="Z15" t="s">
        <v>255</v>
      </c>
      <c r="AA15" t="s">
        <v>25</v>
      </c>
      <c r="AC15" t="s">
        <v>22</v>
      </c>
      <c r="AD15" t="s">
        <v>255</v>
      </c>
      <c r="AE15">
        <v>4.2578284374204705E-3</v>
      </c>
      <c r="AG15" t="s">
        <v>97</v>
      </c>
      <c r="AH15" t="s">
        <v>255</v>
      </c>
      <c r="AI15">
        <v>5.7465312640921917E-2</v>
      </c>
    </row>
    <row r="16" spans="1:40" x14ac:dyDescent="0.45">
      <c r="C16" t="s">
        <v>167</v>
      </c>
      <c r="E16" t="s">
        <v>168</v>
      </c>
      <c r="G16" t="s">
        <v>155</v>
      </c>
      <c r="I16" t="s">
        <v>249</v>
      </c>
      <c r="J16" t="s">
        <v>256</v>
      </c>
      <c r="K16">
        <v>6.5047348408537988E-3</v>
      </c>
      <c r="L16" t="s">
        <v>251</v>
      </c>
      <c r="N16" t="s">
        <v>419</v>
      </c>
      <c r="O16" t="s">
        <v>256</v>
      </c>
      <c r="P16">
        <v>3.1831217606181723E-3</v>
      </c>
      <c r="Q16" t="s">
        <v>251</v>
      </c>
      <c r="S16" t="s">
        <v>420</v>
      </c>
      <c r="T16" t="s">
        <v>256</v>
      </c>
      <c r="U16">
        <v>4.0561869751066289E-3</v>
      </c>
      <c r="V16" t="s">
        <v>251</v>
      </c>
      <c r="X16">
        <v>3.5388127853881279E-3</v>
      </c>
      <c r="Y16">
        <v>6.8849497385409693E-3</v>
      </c>
      <c r="Z16" t="s">
        <v>256</v>
      </c>
      <c r="AA16" t="s">
        <v>25</v>
      </c>
      <c r="AC16" t="s">
        <v>22</v>
      </c>
      <c r="AD16" t="s">
        <v>256</v>
      </c>
      <c r="AE16">
        <v>4.2265697038094052E-3</v>
      </c>
      <c r="AG16" t="s">
        <v>97</v>
      </c>
      <c r="AH16" t="s">
        <v>256</v>
      </c>
      <c r="AI16">
        <v>3.8379035468125267E-2</v>
      </c>
    </row>
    <row r="17" spans="3:35" x14ac:dyDescent="0.45">
      <c r="C17" t="s">
        <v>169</v>
      </c>
      <c r="E17" t="s">
        <v>170</v>
      </c>
      <c r="G17" t="s">
        <v>155</v>
      </c>
      <c r="I17" t="s">
        <v>249</v>
      </c>
      <c r="J17" t="s">
        <v>257</v>
      </c>
      <c r="K17">
        <v>3.8391612194623543E-3</v>
      </c>
      <c r="L17" t="s">
        <v>251</v>
      </c>
      <c r="N17" t="s">
        <v>419</v>
      </c>
      <c r="O17" t="s">
        <v>257</v>
      </c>
      <c r="P17">
        <v>3.4653706361787956E-3</v>
      </c>
      <c r="Q17" t="s">
        <v>251</v>
      </c>
      <c r="S17" t="s">
        <v>420</v>
      </c>
      <c r="T17" t="s">
        <v>257</v>
      </c>
      <c r="U17">
        <v>4.1657394600128654E-3</v>
      </c>
      <c r="V17" t="s">
        <v>251</v>
      </c>
      <c r="X17">
        <v>3.5388127853881279E-3</v>
      </c>
      <c r="Y17">
        <v>6.8849497385409693E-3</v>
      </c>
      <c r="Z17" t="s">
        <v>257</v>
      </c>
      <c r="AA17" t="s">
        <v>25</v>
      </c>
      <c r="AC17" t="s">
        <v>22</v>
      </c>
      <c r="AD17" t="s">
        <v>257</v>
      </c>
      <c r="AE17">
        <v>4.2859190921906275E-3</v>
      </c>
      <c r="AG17" t="s">
        <v>97</v>
      </c>
      <c r="AH17" t="s">
        <v>257</v>
      </c>
      <c r="AI17">
        <v>4.4527242369231779E-2</v>
      </c>
    </row>
    <row r="18" spans="3:35" x14ac:dyDescent="0.45">
      <c r="C18" t="s">
        <v>171</v>
      </c>
      <c r="E18" t="s">
        <v>172</v>
      </c>
      <c r="G18" t="s">
        <v>155</v>
      </c>
      <c r="I18" t="s">
        <v>249</v>
      </c>
      <c r="J18" t="s">
        <v>258</v>
      </c>
      <c r="K18">
        <v>2.5439683141916474E-5</v>
      </c>
      <c r="L18" t="s">
        <v>251</v>
      </c>
      <c r="N18" t="s">
        <v>419</v>
      </c>
      <c r="O18" t="s">
        <v>258</v>
      </c>
      <c r="P18">
        <v>2.4479808311505789E-2</v>
      </c>
      <c r="Q18" t="s">
        <v>251</v>
      </c>
      <c r="S18" t="s">
        <v>420</v>
      </c>
      <c r="T18" t="s">
        <v>258</v>
      </c>
      <c r="U18">
        <v>2.8289011003994943E-2</v>
      </c>
      <c r="V18" t="s">
        <v>251</v>
      </c>
      <c r="X18">
        <v>2.1232876712328767E-2</v>
      </c>
      <c r="Y18">
        <v>1.8702400782305319E-2</v>
      </c>
      <c r="Z18" t="s">
        <v>258</v>
      </c>
      <c r="AA18" t="s">
        <v>25</v>
      </c>
      <c r="AC18" t="s">
        <v>22</v>
      </c>
      <c r="AD18" t="s">
        <v>258</v>
      </c>
      <c r="AE18">
        <v>2.6355989111971137E-2</v>
      </c>
      <c r="AG18" t="s">
        <v>97</v>
      </c>
      <c r="AH18" t="s">
        <v>258</v>
      </c>
      <c r="AI18">
        <v>9.6362226456162325E-2</v>
      </c>
    </row>
    <row r="19" spans="3:35" x14ac:dyDescent="0.45">
      <c r="C19" t="s">
        <v>164</v>
      </c>
      <c r="E19" t="s">
        <v>173</v>
      </c>
      <c r="G19" t="s">
        <v>155</v>
      </c>
      <c r="I19" t="s">
        <v>249</v>
      </c>
      <c r="J19" t="s">
        <v>259</v>
      </c>
      <c r="K19">
        <v>0</v>
      </c>
      <c r="L19" t="s">
        <v>251</v>
      </c>
      <c r="N19" t="s">
        <v>419</v>
      </c>
      <c r="O19" t="s">
        <v>259</v>
      </c>
      <c r="P19">
        <v>2.3481304814210565E-2</v>
      </c>
      <c r="Q19" t="s">
        <v>251</v>
      </c>
      <c r="S19" t="s">
        <v>420</v>
      </c>
      <c r="T19" t="s">
        <v>259</v>
      </c>
      <c r="U19">
        <v>1.9754903091872038E-2</v>
      </c>
      <c r="V19" t="s">
        <v>251</v>
      </c>
      <c r="X19">
        <v>1.9178082191780823E-2</v>
      </c>
      <c r="Y19">
        <v>4.1024621070863279E-3</v>
      </c>
      <c r="Z19" t="s">
        <v>259</v>
      </c>
      <c r="AA19" t="s">
        <v>25</v>
      </c>
      <c r="AC19" t="s">
        <v>22</v>
      </c>
      <c r="AD19" t="s">
        <v>259</v>
      </c>
      <c r="AE19">
        <v>2.2896086115652619E-2</v>
      </c>
      <c r="AG19" t="s">
        <v>97</v>
      </c>
      <c r="AH19" t="s">
        <v>259</v>
      </c>
      <c r="AI19">
        <v>0.12864077698193355</v>
      </c>
    </row>
    <row r="20" spans="3:35" x14ac:dyDescent="0.45">
      <c r="C20" t="s">
        <v>174</v>
      </c>
      <c r="E20" t="s">
        <v>175</v>
      </c>
      <c r="G20" t="s">
        <v>155</v>
      </c>
      <c r="I20" t="s">
        <v>249</v>
      </c>
      <c r="J20" t="s">
        <v>260</v>
      </c>
      <c r="K20">
        <v>0</v>
      </c>
      <c r="L20" t="s">
        <v>251</v>
      </c>
      <c r="N20" t="s">
        <v>419</v>
      </c>
      <c r="O20" t="s">
        <v>260</v>
      </c>
      <c r="P20">
        <v>3.7740954442265625E-3</v>
      </c>
      <c r="Q20" t="s">
        <v>251</v>
      </c>
      <c r="S20" t="s">
        <v>420</v>
      </c>
      <c r="T20" t="s">
        <v>260</v>
      </c>
      <c r="U20">
        <v>3.2951224764679998E-3</v>
      </c>
      <c r="V20" t="s">
        <v>251</v>
      </c>
      <c r="X20">
        <v>3.1963470319634705E-3</v>
      </c>
      <c r="Y20">
        <v>4.7336101235611484E-3</v>
      </c>
      <c r="Z20" t="s">
        <v>260</v>
      </c>
      <c r="AA20" t="s">
        <v>25</v>
      </c>
      <c r="AC20" t="s">
        <v>22</v>
      </c>
      <c r="AD20" t="s">
        <v>260</v>
      </c>
      <c r="AE20">
        <v>2.9647089268274645E-3</v>
      </c>
      <c r="AG20" t="s">
        <v>97</v>
      </c>
      <c r="AH20" t="s">
        <v>260</v>
      </c>
      <c r="AI20">
        <v>3.3859865116665055E-2</v>
      </c>
    </row>
    <row r="21" spans="3:35" x14ac:dyDescent="0.45">
      <c r="C21" t="s">
        <v>176</v>
      </c>
      <c r="E21" t="s">
        <v>177</v>
      </c>
      <c r="G21" t="s">
        <v>155</v>
      </c>
      <c r="I21" t="s">
        <v>249</v>
      </c>
      <c r="J21" t="s">
        <v>261</v>
      </c>
      <c r="K21">
        <v>1.4992998855750718E-3</v>
      </c>
      <c r="L21" t="s">
        <v>251</v>
      </c>
      <c r="N21" t="s">
        <v>419</v>
      </c>
      <c r="O21" t="s">
        <v>261</v>
      </c>
      <c r="P21">
        <v>3.6923333232428317E-3</v>
      </c>
      <c r="Q21" t="s">
        <v>251</v>
      </c>
      <c r="S21" t="s">
        <v>420</v>
      </c>
      <c r="T21" t="s">
        <v>261</v>
      </c>
      <c r="U21">
        <v>3.3367695807182242E-3</v>
      </c>
      <c r="V21" t="s">
        <v>251</v>
      </c>
      <c r="X21">
        <v>3.1963470319634705E-3</v>
      </c>
      <c r="Y21">
        <v>5.3369133746032542E-3</v>
      </c>
      <c r="Z21" t="s">
        <v>261</v>
      </c>
      <c r="AA21" t="s">
        <v>25</v>
      </c>
      <c r="AC21" t="s">
        <v>22</v>
      </c>
      <c r="AD21" t="s">
        <v>261</v>
      </c>
      <c r="AE21">
        <v>2.8542655632568538E-3</v>
      </c>
      <c r="AG21" t="s">
        <v>97</v>
      </c>
      <c r="AH21" t="s">
        <v>261</v>
      </c>
      <c r="AI21">
        <v>3.8486308157986038E-2</v>
      </c>
    </row>
    <row r="22" spans="3:35" x14ac:dyDescent="0.45">
      <c r="C22" t="s">
        <v>178</v>
      </c>
      <c r="E22" t="s">
        <v>179</v>
      </c>
      <c r="G22" t="s">
        <v>155</v>
      </c>
      <c r="I22" t="s">
        <v>249</v>
      </c>
      <c r="J22" t="s">
        <v>262</v>
      </c>
      <c r="K22">
        <v>5.1766651636087666E-2</v>
      </c>
      <c r="L22" t="s">
        <v>251</v>
      </c>
      <c r="N22" t="s">
        <v>419</v>
      </c>
      <c r="O22" t="s">
        <v>262</v>
      </c>
      <c r="P22">
        <v>2.2324505427612603E-2</v>
      </c>
      <c r="Q22" t="s">
        <v>251</v>
      </c>
      <c r="S22" t="s">
        <v>420</v>
      </c>
      <c r="T22" t="s">
        <v>262</v>
      </c>
      <c r="U22">
        <v>2.2551272067444204E-2</v>
      </c>
      <c r="V22" t="s">
        <v>251</v>
      </c>
      <c r="X22">
        <v>2.2374429223744292E-2</v>
      </c>
      <c r="Y22">
        <v>2.8383097564411743E-2</v>
      </c>
      <c r="Z22" t="s">
        <v>262</v>
      </c>
      <c r="AA22" t="s">
        <v>25</v>
      </c>
      <c r="AC22" t="s">
        <v>22</v>
      </c>
      <c r="AD22" t="s">
        <v>262</v>
      </c>
      <c r="AE22">
        <v>2.2611760915675246E-2</v>
      </c>
      <c r="AG22" t="s">
        <v>97</v>
      </c>
      <c r="AH22" t="s">
        <v>262</v>
      </c>
      <c r="AI22">
        <v>0.25495227960040112</v>
      </c>
    </row>
    <row r="23" spans="3:35" x14ac:dyDescent="0.45">
      <c r="E23" t="s">
        <v>180</v>
      </c>
      <c r="G23" t="s">
        <v>155</v>
      </c>
      <c r="I23" t="s">
        <v>249</v>
      </c>
      <c r="J23" t="s">
        <v>263</v>
      </c>
      <c r="K23">
        <v>7.7527070420746998E-3</v>
      </c>
      <c r="L23" t="s">
        <v>251</v>
      </c>
      <c r="N23" t="s">
        <v>419</v>
      </c>
      <c r="O23" t="s">
        <v>263</v>
      </c>
      <c r="P23">
        <v>3.1634338998694418E-3</v>
      </c>
      <c r="Q23" t="s">
        <v>251</v>
      </c>
      <c r="S23" t="s">
        <v>420</v>
      </c>
      <c r="T23" t="s">
        <v>263</v>
      </c>
      <c r="U23">
        <v>3.2777538177060517E-3</v>
      </c>
      <c r="V23" t="s">
        <v>251</v>
      </c>
      <c r="X23">
        <v>3.1963470319634705E-3</v>
      </c>
      <c r="Y23">
        <v>4.8264260083368555E-3</v>
      </c>
      <c r="Z23" t="s">
        <v>263</v>
      </c>
      <c r="AA23" t="s">
        <v>25</v>
      </c>
      <c r="AC23" t="s">
        <v>22</v>
      </c>
      <c r="AD23" t="s">
        <v>263</v>
      </c>
      <c r="AE23">
        <v>3.7331394554868057E-3</v>
      </c>
      <c r="AG23" t="s">
        <v>97</v>
      </c>
      <c r="AH23" t="s">
        <v>263</v>
      </c>
      <c r="AI23">
        <v>6.1402087948880135E-2</v>
      </c>
    </row>
    <row r="24" spans="3:35" x14ac:dyDescent="0.45">
      <c r="E24" t="s">
        <v>181</v>
      </c>
      <c r="G24" t="s">
        <v>155</v>
      </c>
      <c r="I24" t="s">
        <v>249</v>
      </c>
      <c r="J24" t="s">
        <v>264</v>
      </c>
      <c r="K24">
        <v>6.9369952756191998E-3</v>
      </c>
      <c r="L24" t="s">
        <v>251</v>
      </c>
      <c r="N24" t="s">
        <v>419</v>
      </c>
      <c r="O24" t="s">
        <v>264</v>
      </c>
      <c r="P24">
        <v>3.1287299784836832E-3</v>
      </c>
      <c r="Q24" t="s">
        <v>251</v>
      </c>
      <c r="S24" t="s">
        <v>420</v>
      </c>
      <c r="T24" t="s">
        <v>264</v>
      </c>
      <c r="U24">
        <v>3.207477124844925E-3</v>
      </c>
      <c r="V24" t="s">
        <v>251</v>
      </c>
      <c r="X24">
        <v>3.1963470319634705E-3</v>
      </c>
      <c r="Y24">
        <v>6.2186642799724884E-3</v>
      </c>
      <c r="Z24" t="s">
        <v>264</v>
      </c>
      <c r="AA24" t="s">
        <v>25</v>
      </c>
      <c r="AC24" t="s">
        <v>22</v>
      </c>
      <c r="AD24" t="s">
        <v>264</v>
      </c>
      <c r="AE24">
        <v>3.7572688778670866E-3</v>
      </c>
      <c r="AG24" t="s">
        <v>97</v>
      </c>
      <c r="AH24" t="s">
        <v>264</v>
      </c>
      <c r="AI24">
        <v>4.131887142725077E-2</v>
      </c>
    </row>
    <row r="25" spans="3:35" x14ac:dyDescent="0.45">
      <c r="E25" t="s">
        <v>182</v>
      </c>
      <c r="G25" t="s">
        <v>155</v>
      </c>
      <c r="I25" t="s">
        <v>249</v>
      </c>
      <c r="J25" t="s">
        <v>265</v>
      </c>
      <c r="K25">
        <v>5.2681138919458571E-3</v>
      </c>
      <c r="L25" t="s">
        <v>251</v>
      </c>
      <c r="N25" t="s">
        <v>419</v>
      </c>
      <c r="O25" t="s">
        <v>265</v>
      </c>
      <c r="P25">
        <v>3.195747205006759E-3</v>
      </c>
      <c r="Q25" t="s">
        <v>251</v>
      </c>
      <c r="S25" t="s">
        <v>420</v>
      </c>
      <c r="T25" t="s">
        <v>265</v>
      </c>
      <c r="U25">
        <v>3.2125535585024651E-3</v>
      </c>
      <c r="V25" t="s">
        <v>251</v>
      </c>
      <c r="X25">
        <v>3.1963470319634705E-3</v>
      </c>
      <c r="Y25">
        <v>6.2186642799724884E-3</v>
      </c>
      <c r="Z25" t="s">
        <v>265</v>
      </c>
      <c r="AA25" t="s">
        <v>25</v>
      </c>
      <c r="AC25" t="s">
        <v>22</v>
      </c>
      <c r="AD25" t="s">
        <v>265</v>
      </c>
      <c r="AE25">
        <v>3.8128013648607842E-3</v>
      </c>
      <c r="AG25" t="s">
        <v>97</v>
      </c>
      <c r="AH25" t="s">
        <v>265</v>
      </c>
      <c r="AI25">
        <v>4.7685309383565633E-2</v>
      </c>
    </row>
    <row r="26" spans="3:35" x14ac:dyDescent="0.45">
      <c r="E26" t="s">
        <v>183</v>
      </c>
      <c r="G26" t="s">
        <v>155</v>
      </c>
      <c r="I26" t="s">
        <v>249</v>
      </c>
      <c r="J26" t="s">
        <v>266</v>
      </c>
      <c r="K26">
        <v>1.4233024215025481E-3</v>
      </c>
      <c r="L26" t="s">
        <v>251</v>
      </c>
      <c r="N26" t="s">
        <v>419</v>
      </c>
      <c r="O26" t="s">
        <v>266</v>
      </c>
      <c r="P26">
        <v>2.2390086492101429E-2</v>
      </c>
      <c r="Q26" t="s">
        <v>251</v>
      </c>
      <c r="S26" t="s">
        <v>420</v>
      </c>
      <c r="T26" t="s">
        <v>266</v>
      </c>
      <c r="U26">
        <v>2.1220689791239932E-2</v>
      </c>
      <c r="V26" t="s">
        <v>251</v>
      </c>
      <c r="X26">
        <v>1.9178082191780823E-2</v>
      </c>
      <c r="Y26">
        <v>1.6892491029178995E-2</v>
      </c>
      <c r="Z26" t="s">
        <v>266</v>
      </c>
      <c r="AA26" t="s">
        <v>25</v>
      </c>
      <c r="AC26" t="s">
        <v>22</v>
      </c>
      <c r="AD26" t="s">
        <v>266</v>
      </c>
      <c r="AE26">
        <v>2.3465842218325692E-2</v>
      </c>
      <c r="AG26" t="s">
        <v>97</v>
      </c>
      <c r="AH26" t="s">
        <v>266</v>
      </c>
      <c r="AI26">
        <v>0.10329064660861342</v>
      </c>
    </row>
    <row r="27" spans="3:35" x14ac:dyDescent="0.45">
      <c r="E27" t="s">
        <v>184</v>
      </c>
      <c r="G27" t="s">
        <v>155</v>
      </c>
      <c r="I27" t="s">
        <v>249</v>
      </c>
      <c r="J27" t="s">
        <v>267</v>
      </c>
      <c r="K27">
        <v>0</v>
      </c>
      <c r="L27" t="s">
        <v>251</v>
      </c>
      <c r="N27" t="s">
        <v>419</v>
      </c>
      <c r="O27" t="s">
        <v>267</v>
      </c>
      <c r="P27">
        <v>2.3373736692577831E-2</v>
      </c>
      <c r="Q27" t="s">
        <v>251</v>
      </c>
      <c r="S27" t="s">
        <v>420</v>
      </c>
      <c r="T27" t="s">
        <v>267</v>
      </c>
      <c r="U27">
        <v>2.1393844026432282E-2</v>
      </c>
      <c r="V27" t="s">
        <v>251</v>
      </c>
      <c r="X27">
        <v>2.0547945205479451E-2</v>
      </c>
      <c r="Y27">
        <v>4.3954951147353507E-3</v>
      </c>
      <c r="Z27" t="s">
        <v>267</v>
      </c>
      <c r="AA27" t="s">
        <v>25</v>
      </c>
      <c r="AC27" t="s">
        <v>22</v>
      </c>
      <c r="AD27" t="s">
        <v>267</v>
      </c>
      <c r="AE27">
        <v>2.1768015100710601E-2</v>
      </c>
      <c r="AG27" t="s">
        <v>97</v>
      </c>
      <c r="AH27" t="s">
        <v>267</v>
      </c>
      <c r="AI27">
        <v>0.16707021196597416</v>
      </c>
    </row>
    <row r="28" spans="3:35" x14ac:dyDescent="0.45">
      <c r="E28" t="s">
        <v>185</v>
      </c>
      <c r="G28" t="s">
        <v>155</v>
      </c>
      <c r="I28" t="s">
        <v>249</v>
      </c>
      <c r="J28" t="s">
        <v>268</v>
      </c>
      <c r="K28">
        <v>3.098396949005206E-4</v>
      </c>
      <c r="L28" t="s">
        <v>251</v>
      </c>
      <c r="N28" t="s">
        <v>419</v>
      </c>
      <c r="O28" t="s">
        <v>268</v>
      </c>
      <c r="P28">
        <v>3.811049373547295E-3</v>
      </c>
      <c r="Q28" t="s">
        <v>251</v>
      </c>
      <c r="S28" t="s">
        <v>420</v>
      </c>
      <c r="T28" t="s">
        <v>268</v>
      </c>
      <c r="U28">
        <v>3.394730970557668E-3</v>
      </c>
      <c r="V28" t="s">
        <v>251</v>
      </c>
      <c r="X28">
        <v>3.4246575342465752E-3</v>
      </c>
      <c r="Y28">
        <v>5.0717251323869452E-3</v>
      </c>
      <c r="Z28" t="s">
        <v>268</v>
      </c>
      <c r="AA28" t="s">
        <v>25</v>
      </c>
      <c r="AC28" t="s">
        <v>22</v>
      </c>
      <c r="AD28" t="s">
        <v>268</v>
      </c>
      <c r="AE28">
        <v>2.7925241014647357E-3</v>
      </c>
      <c r="AG28" t="s">
        <v>97</v>
      </c>
      <c r="AH28" t="s">
        <v>268</v>
      </c>
      <c r="AI28">
        <v>5.8975040490549802E-2</v>
      </c>
    </row>
    <row r="29" spans="3:35" x14ac:dyDescent="0.45">
      <c r="E29" t="s">
        <v>186</v>
      </c>
      <c r="G29" t="s">
        <v>155</v>
      </c>
      <c r="I29" t="s">
        <v>249</v>
      </c>
      <c r="J29" t="s">
        <v>269</v>
      </c>
      <c r="K29">
        <v>4.5752443232588607E-3</v>
      </c>
      <c r="L29" t="s">
        <v>251</v>
      </c>
      <c r="N29" t="s">
        <v>419</v>
      </c>
      <c r="O29" t="s">
        <v>269</v>
      </c>
      <c r="P29">
        <v>3.6146849589760526E-3</v>
      </c>
      <c r="Q29" t="s">
        <v>251</v>
      </c>
      <c r="S29" t="s">
        <v>420</v>
      </c>
      <c r="T29" t="s">
        <v>269</v>
      </c>
      <c r="U29">
        <v>3.4256861623300195E-3</v>
      </c>
      <c r="V29" t="s">
        <v>251</v>
      </c>
      <c r="X29">
        <v>3.4246575342465752E-3</v>
      </c>
      <c r="Y29">
        <v>5.7181214727892006E-3</v>
      </c>
      <c r="Z29" t="s">
        <v>269</v>
      </c>
      <c r="AA29" t="s">
        <v>25</v>
      </c>
      <c r="AC29" t="s">
        <v>22</v>
      </c>
      <c r="AD29" t="s">
        <v>269</v>
      </c>
      <c r="AE29">
        <v>2.7198639798111453E-3</v>
      </c>
      <c r="AG29" t="s">
        <v>97</v>
      </c>
      <c r="AH29" t="s">
        <v>269</v>
      </c>
      <c r="AI29">
        <v>4.6613973066471193E-2</v>
      </c>
    </row>
    <row r="30" spans="3:35" x14ac:dyDescent="0.45">
      <c r="E30" t="s">
        <v>187</v>
      </c>
      <c r="G30" t="s">
        <v>155</v>
      </c>
      <c r="I30" t="s">
        <v>249</v>
      </c>
      <c r="J30" t="s">
        <v>270</v>
      </c>
      <c r="K30">
        <v>5.8586635677510102E-2</v>
      </c>
      <c r="L30" t="s">
        <v>251</v>
      </c>
      <c r="N30" t="s">
        <v>419</v>
      </c>
      <c r="O30" t="s">
        <v>270</v>
      </c>
      <c r="P30">
        <v>2.2602250473590404E-2</v>
      </c>
      <c r="Q30" t="s">
        <v>251</v>
      </c>
      <c r="S30" t="s">
        <v>420</v>
      </c>
      <c r="T30" t="s">
        <v>270</v>
      </c>
      <c r="U30">
        <v>2.2463616871217645E-2</v>
      </c>
      <c r="V30" t="s">
        <v>251</v>
      </c>
      <c r="X30">
        <v>2.3972602739726026E-2</v>
      </c>
      <c r="Y30">
        <v>3.0410461676155433E-2</v>
      </c>
      <c r="Z30" t="s">
        <v>270</v>
      </c>
      <c r="AA30" t="s">
        <v>25</v>
      </c>
      <c r="AC30" t="s">
        <v>22</v>
      </c>
      <c r="AD30" t="s">
        <v>270</v>
      </c>
      <c r="AE30">
        <v>2.3037893281267607E-2</v>
      </c>
      <c r="AG30" t="s">
        <v>97</v>
      </c>
      <c r="AH30" t="s">
        <v>270</v>
      </c>
      <c r="AI30">
        <v>0.25225846547596253</v>
      </c>
    </row>
    <row r="31" spans="3:35" x14ac:dyDescent="0.45">
      <c r="E31" t="s">
        <v>188</v>
      </c>
      <c r="G31" t="s">
        <v>155</v>
      </c>
      <c r="I31" t="s">
        <v>249</v>
      </c>
      <c r="J31" t="s">
        <v>271</v>
      </c>
      <c r="K31">
        <v>8.2621907739625997E-3</v>
      </c>
      <c r="L31" t="s">
        <v>251</v>
      </c>
      <c r="N31" t="s">
        <v>419</v>
      </c>
      <c r="O31" t="s">
        <v>271</v>
      </c>
      <c r="P31">
        <v>3.3222085928234671E-3</v>
      </c>
      <c r="Q31" t="s">
        <v>251</v>
      </c>
      <c r="S31" t="s">
        <v>420</v>
      </c>
      <c r="T31" t="s">
        <v>271</v>
      </c>
      <c r="U31">
        <v>3.4226505957336401E-3</v>
      </c>
      <c r="V31" t="s">
        <v>251</v>
      </c>
      <c r="X31">
        <v>3.4246575342465752E-3</v>
      </c>
      <c r="Y31">
        <v>5.1711707232180593E-3</v>
      </c>
      <c r="Z31" t="s">
        <v>271</v>
      </c>
      <c r="AA31" t="s">
        <v>25</v>
      </c>
      <c r="AC31" t="s">
        <v>22</v>
      </c>
      <c r="AD31" t="s">
        <v>271</v>
      </c>
      <c r="AE31">
        <v>3.7286112298839822E-3</v>
      </c>
      <c r="AG31" t="s">
        <v>97</v>
      </c>
      <c r="AH31" t="s">
        <v>271</v>
      </c>
      <c r="AI31">
        <v>7.5498395525352313E-2</v>
      </c>
    </row>
    <row r="32" spans="3:35" x14ac:dyDescent="0.45">
      <c r="E32" t="s">
        <v>189</v>
      </c>
      <c r="G32" t="s">
        <v>155</v>
      </c>
      <c r="I32" t="s">
        <v>249</v>
      </c>
      <c r="J32" t="s">
        <v>272</v>
      </c>
      <c r="K32">
        <v>7.4346059738689997E-3</v>
      </c>
      <c r="L32" t="s">
        <v>251</v>
      </c>
      <c r="N32" t="s">
        <v>419</v>
      </c>
      <c r="O32" t="s">
        <v>272</v>
      </c>
      <c r="P32">
        <v>3.2746320972121459E-3</v>
      </c>
      <c r="Q32" t="s">
        <v>251</v>
      </c>
      <c r="S32" t="s">
        <v>420</v>
      </c>
      <c r="T32" t="s">
        <v>272</v>
      </c>
      <c r="U32">
        <v>3.3291755760847287E-3</v>
      </c>
      <c r="V32" t="s">
        <v>251</v>
      </c>
      <c r="X32">
        <v>3.4246575342465752E-3</v>
      </c>
      <c r="Y32">
        <v>6.662854585684809E-3</v>
      </c>
      <c r="Z32" t="s">
        <v>272</v>
      </c>
      <c r="AA32" t="s">
        <v>25</v>
      </c>
      <c r="AC32" t="s">
        <v>22</v>
      </c>
      <c r="AD32" t="s">
        <v>272</v>
      </c>
      <c r="AE32">
        <v>3.7937808126225292E-3</v>
      </c>
      <c r="AG32" t="s">
        <v>97</v>
      </c>
      <c r="AH32" t="s">
        <v>272</v>
      </c>
      <c r="AI32">
        <v>6.6260946744809868E-2</v>
      </c>
    </row>
    <row r="33" spans="5:35" x14ac:dyDescent="0.45">
      <c r="E33" t="s">
        <v>190</v>
      </c>
      <c r="G33" t="s">
        <v>155</v>
      </c>
      <c r="I33" t="s">
        <v>249</v>
      </c>
      <c r="J33" t="s">
        <v>273</v>
      </c>
      <c r="K33">
        <v>5.8830536883139996E-3</v>
      </c>
      <c r="L33" t="s">
        <v>251</v>
      </c>
      <c r="N33" t="s">
        <v>419</v>
      </c>
      <c r="O33" t="s">
        <v>273</v>
      </c>
      <c r="P33">
        <v>3.2491468856000964E-3</v>
      </c>
      <c r="Q33" t="s">
        <v>251</v>
      </c>
      <c r="S33" t="s">
        <v>420</v>
      </c>
      <c r="T33" t="s">
        <v>273</v>
      </c>
      <c r="U33">
        <v>3.367378819246957E-3</v>
      </c>
      <c r="V33" t="s">
        <v>251</v>
      </c>
      <c r="X33">
        <v>3.4246575342465752E-3</v>
      </c>
      <c r="Y33">
        <v>6.662854585684809E-3</v>
      </c>
      <c r="Z33" t="s">
        <v>273</v>
      </c>
      <c r="AA33" t="s">
        <v>25</v>
      </c>
      <c r="AC33" t="s">
        <v>22</v>
      </c>
      <c r="AD33" t="s">
        <v>273</v>
      </c>
      <c r="AE33">
        <v>3.8126670978693069E-3</v>
      </c>
      <c r="AG33" t="s">
        <v>97</v>
      </c>
      <c r="AH33" t="s">
        <v>273</v>
      </c>
      <c r="AI33">
        <v>6.6455929736345398E-2</v>
      </c>
    </row>
    <row r="34" spans="5:35" x14ac:dyDescent="0.45">
      <c r="E34" t="s">
        <v>191</v>
      </c>
      <c r="G34" t="s">
        <v>155</v>
      </c>
      <c r="I34" t="s">
        <v>249</v>
      </c>
      <c r="J34" t="s">
        <v>274</v>
      </c>
      <c r="K34">
        <v>3.204606915999276E-3</v>
      </c>
      <c r="L34" t="s">
        <v>251</v>
      </c>
      <c r="N34" t="s">
        <v>419</v>
      </c>
      <c r="O34" t="s">
        <v>274</v>
      </c>
      <c r="P34">
        <v>2.3354138550517767E-2</v>
      </c>
      <c r="Q34" t="s">
        <v>251</v>
      </c>
      <c r="S34" t="s">
        <v>420</v>
      </c>
      <c r="T34" t="s">
        <v>274</v>
      </c>
      <c r="U34">
        <v>2.4480579459460947E-2</v>
      </c>
      <c r="V34" t="s">
        <v>251</v>
      </c>
      <c r="X34">
        <v>2.0547945205479451E-2</v>
      </c>
      <c r="Y34">
        <v>1.8099097531263209E-2</v>
      </c>
      <c r="Z34" t="s">
        <v>274</v>
      </c>
      <c r="AA34" t="s">
        <v>25</v>
      </c>
      <c r="AC34" t="s">
        <v>22</v>
      </c>
      <c r="AD34" t="s">
        <v>274</v>
      </c>
      <c r="AE34">
        <v>2.3137261443606477E-2</v>
      </c>
      <c r="AG34" t="s">
        <v>97</v>
      </c>
      <c r="AH34" t="s">
        <v>274</v>
      </c>
      <c r="AI34">
        <v>0.10618668616869731</v>
      </c>
    </row>
    <row r="35" spans="5:35" x14ac:dyDescent="0.45">
      <c r="E35" t="s">
        <v>192</v>
      </c>
      <c r="G35" t="s">
        <v>159</v>
      </c>
      <c r="I35" t="s">
        <v>249</v>
      </c>
      <c r="J35" t="s">
        <v>275</v>
      </c>
      <c r="K35">
        <v>0</v>
      </c>
      <c r="L35" t="s">
        <v>251</v>
      </c>
      <c r="N35" t="s">
        <v>419</v>
      </c>
      <c r="O35" t="s">
        <v>275</v>
      </c>
      <c r="P35">
        <v>4.535068088833522E-5</v>
      </c>
      <c r="Q35" t="s">
        <v>251</v>
      </c>
      <c r="S35" t="s">
        <v>420</v>
      </c>
      <c r="T35" t="s">
        <v>275</v>
      </c>
      <c r="U35">
        <v>1.895259291059E-4</v>
      </c>
      <c r="V35" t="s">
        <v>251</v>
      </c>
      <c r="X35">
        <v>1.1415525114155251E-4</v>
      </c>
      <c r="Y35">
        <v>2.1546544680075254E-5</v>
      </c>
      <c r="Z35" t="s">
        <v>275</v>
      </c>
      <c r="AA35" t="s">
        <v>25</v>
      </c>
      <c r="AC35" t="s">
        <v>22</v>
      </c>
      <c r="AD35" t="s">
        <v>275</v>
      </c>
      <c r="AE35">
        <v>1.4910259144089121E-4</v>
      </c>
      <c r="AG35" t="s">
        <v>97</v>
      </c>
      <c r="AH35" t="s">
        <v>275</v>
      </c>
      <c r="AI35">
        <v>0</v>
      </c>
    </row>
    <row r="36" spans="5:35" x14ac:dyDescent="0.45">
      <c r="E36" t="s">
        <v>193</v>
      </c>
      <c r="G36" t="s">
        <v>159</v>
      </c>
      <c r="I36" t="s">
        <v>249</v>
      </c>
      <c r="J36" t="s">
        <v>276</v>
      </c>
      <c r="K36">
        <v>0</v>
      </c>
      <c r="L36" t="s">
        <v>251</v>
      </c>
      <c r="N36" t="s">
        <v>419</v>
      </c>
      <c r="O36" t="s">
        <v>276</v>
      </c>
      <c r="P36">
        <v>4.6060905765149268E-5</v>
      </c>
      <c r="Q36" t="s">
        <v>251</v>
      </c>
      <c r="S36" t="s">
        <v>420</v>
      </c>
      <c r="T36" t="s">
        <v>276</v>
      </c>
      <c r="U36">
        <v>1.852588961444E-4</v>
      </c>
      <c r="V36" t="s">
        <v>251</v>
      </c>
      <c r="X36">
        <v>1.1415525114155251E-4</v>
      </c>
      <c r="Y36">
        <v>1.4916838624667481E-5</v>
      </c>
      <c r="Z36" t="s">
        <v>276</v>
      </c>
      <c r="AA36" t="s">
        <v>25</v>
      </c>
      <c r="AC36" t="s">
        <v>22</v>
      </c>
      <c r="AD36" t="s">
        <v>276</v>
      </c>
      <c r="AE36">
        <v>1.4978476218583433E-4</v>
      </c>
      <c r="AG36" t="s">
        <v>97</v>
      </c>
      <c r="AH36" t="s">
        <v>276</v>
      </c>
      <c r="AI36">
        <v>0</v>
      </c>
    </row>
    <row r="37" spans="5:35" x14ac:dyDescent="0.45">
      <c r="E37" t="s">
        <v>194</v>
      </c>
      <c r="G37" t="s">
        <v>159</v>
      </c>
      <c r="I37" t="s">
        <v>249</v>
      </c>
      <c r="J37" t="s">
        <v>277</v>
      </c>
      <c r="K37">
        <v>0</v>
      </c>
      <c r="L37" t="s">
        <v>251</v>
      </c>
      <c r="N37" t="s">
        <v>419</v>
      </c>
      <c r="O37" t="s">
        <v>277</v>
      </c>
      <c r="P37">
        <v>4.946513691768318E-5</v>
      </c>
      <c r="Q37" t="s">
        <v>251</v>
      </c>
      <c r="S37" t="s">
        <v>420</v>
      </c>
      <c r="T37" t="s">
        <v>277</v>
      </c>
      <c r="U37">
        <v>1.78743590609E-4</v>
      </c>
      <c r="V37" t="s">
        <v>251</v>
      </c>
      <c r="X37">
        <v>1.1415525114155251E-4</v>
      </c>
      <c r="Y37">
        <v>1.6574265138519424E-5</v>
      </c>
      <c r="Z37" t="s">
        <v>277</v>
      </c>
      <c r="AA37" t="s">
        <v>25</v>
      </c>
      <c r="AC37" t="s">
        <v>22</v>
      </c>
      <c r="AD37" t="s">
        <v>277</v>
      </c>
      <c r="AE37">
        <v>1.4668257938481817E-4</v>
      </c>
      <c r="AG37" t="s">
        <v>97</v>
      </c>
      <c r="AH37" t="s">
        <v>277</v>
      </c>
      <c r="AI37">
        <v>0</v>
      </c>
    </row>
    <row r="38" spans="5:35" x14ac:dyDescent="0.45">
      <c r="E38" t="s">
        <v>195</v>
      </c>
      <c r="G38" t="s">
        <v>159</v>
      </c>
      <c r="I38" t="s">
        <v>249</v>
      </c>
      <c r="J38" t="s">
        <v>278</v>
      </c>
      <c r="K38">
        <v>0</v>
      </c>
      <c r="L38" t="s">
        <v>251</v>
      </c>
      <c r="N38" t="s">
        <v>419</v>
      </c>
      <c r="O38" t="s">
        <v>278</v>
      </c>
      <c r="P38">
        <v>5.4429342064326791E-5</v>
      </c>
      <c r="Q38" t="s">
        <v>251</v>
      </c>
      <c r="S38" t="s">
        <v>420</v>
      </c>
      <c r="T38" t="s">
        <v>278</v>
      </c>
      <c r="U38">
        <v>1.731615746703E-4</v>
      </c>
      <c r="V38" t="s">
        <v>251</v>
      </c>
      <c r="X38">
        <v>1.1415525114155251E-4</v>
      </c>
      <c r="Y38">
        <v>1.4585353321897093E-5</v>
      </c>
      <c r="Z38" t="s">
        <v>278</v>
      </c>
      <c r="AA38" t="s">
        <v>25</v>
      </c>
      <c r="AC38" t="s">
        <v>22</v>
      </c>
      <c r="AD38" t="s">
        <v>278</v>
      </c>
      <c r="AE38">
        <v>1.3741551524858693E-4</v>
      </c>
      <c r="AG38" t="s">
        <v>97</v>
      </c>
      <c r="AH38" t="s">
        <v>278</v>
      </c>
      <c r="AI38">
        <v>0</v>
      </c>
    </row>
    <row r="39" spans="5:35" x14ac:dyDescent="0.45">
      <c r="E39" t="s">
        <v>196</v>
      </c>
      <c r="G39" t="s">
        <v>159</v>
      </c>
      <c r="I39" t="s">
        <v>249</v>
      </c>
      <c r="J39" t="s">
        <v>279</v>
      </c>
      <c r="K39">
        <v>0</v>
      </c>
      <c r="L39" t="s">
        <v>251</v>
      </c>
      <c r="N39" t="s">
        <v>419</v>
      </c>
      <c r="O39" t="s">
        <v>279</v>
      </c>
      <c r="P39">
        <v>6.0218067702877062E-5</v>
      </c>
      <c r="Q39" t="s">
        <v>251</v>
      </c>
      <c r="S39" t="s">
        <v>420</v>
      </c>
      <c r="T39" t="s">
        <v>279</v>
      </c>
      <c r="U39">
        <v>1.7525895156759999E-4</v>
      </c>
      <c r="V39" t="s">
        <v>251</v>
      </c>
      <c r="X39">
        <v>1.1415525114155251E-4</v>
      </c>
      <c r="Y39">
        <v>2.1215059377304864E-5</v>
      </c>
      <c r="Z39" t="s">
        <v>279</v>
      </c>
      <c r="AA39" t="s">
        <v>25</v>
      </c>
      <c r="AC39" t="s">
        <v>22</v>
      </c>
      <c r="AD39" t="s">
        <v>279</v>
      </c>
      <c r="AE39">
        <v>1.24077036275212E-4</v>
      </c>
      <c r="AG39" t="s">
        <v>97</v>
      </c>
      <c r="AH39" t="s">
        <v>279</v>
      </c>
      <c r="AI39">
        <v>0</v>
      </c>
    </row>
    <row r="40" spans="5:35" x14ac:dyDescent="0.45">
      <c r="E40" t="s">
        <v>197</v>
      </c>
      <c r="G40" t="s">
        <v>159</v>
      </c>
      <c r="I40" t="s">
        <v>249</v>
      </c>
      <c r="J40" t="s">
        <v>280</v>
      </c>
      <c r="K40">
        <v>0</v>
      </c>
      <c r="L40" t="s">
        <v>251</v>
      </c>
      <c r="N40" t="s">
        <v>419</v>
      </c>
      <c r="O40" t="s">
        <v>280</v>
      </c>
      <c r="P40">
        <v>6.7252825560012685E-5</v>
      </c>
      <c r="Q40" t="s">
        <v>251</v>
      </c>
      <c r="S40" t="s">
        <v>420</v>
      </c>
      <c r="T40" t="s">
        <v>280</v>
      </c>
      <c r="U40">
        <v>1.8606238860289999E-4</v>
      </c>
      <c r="V40" t="s">
        <v>251</v>
      </c>
      <c r="X40">
        <v>1.1415525114155251E-4</v>
      </c>
      <c r="Y40">
        <v>5.7678442682047593E-5</v>
      </c>
      <c r="Z40" t="s">
        <v>280</v>
      </c>
      <c r="AA40" t="s">
        <v>25</v>
      </c>
      <c r="AC40" t="s">
        <v>22</v>
      </c>
      <c r="AD40" t="s">
        <v>280</v>
      </c>
      <c r="AE40">
        <v>1.1604438904819144E-4</v>
      </c>
      <c r="AG40" t="s">
        <v>97</v>
      </c>
      <c r="AH40" t="s">
        <v>280</v>
      </c>
      <c r="AI40">
        <v>0</v>
      </c>
    </row>
    <row r="41" spans="5:35" x14ac:dyDescent="0.45">
      <c r="E41" t="s">
        <v>198</v>
      </c>
      <c r="G41" t="s">
        <v>159</v>
      </c>
      <c r="I41" t="s">
        <v>249</v>
      </c>
      <c r="J41" t="s">
        <v>281</v>
      </c>
      <c r="K41">
        <v>0</v>
      </c>
      <c r="L41" t="s">
        <v>251</v>
      </c>
      <c r="N41" t="s">
        <v>419</v>
      </c>
      <c r="O41" t="s">
        <v>281</v>
      </c>
      <c r="P41">
        <v>7.4710923617212505E-5</v>
      </c>
      <c r="Q41" t="s">
        <v>251</v>
      </c>
      <c r="S41" t="s">
        <v>420</v>
      </c>
      <c r="T41" t="s">
        <v>281</v>
      </c>
      <c r="U41">
        <v>1.932981232947E-4</v>
      </c>
      <c r="V41" t="s">
        <v>251</v>
      </c>
      <c r="X41">
        <v>1.1415525114155251E-4</v>
      </c>
      <c r="Y41">
        <v>1.6905750441289813E-4</v>
      </c>
      <c r="Z41" t="s">
        <v>281</v>
      </c>
      <c r="AA41" t="s">
        <v>25</v>
      </c>
      <c r="AC41" t="s">
        <v>22</v>
      </c>
      <c r="AD41" t="s">
        <v>281</v>
      </c>
      <c r="AE41">
        <v>9.747397793595103E-5</v>
      </c>
      <c r="AG41" t="s">
        <v>97</v>
      </c>
      <c r="AH41" t="s">
        <v>281</v>
      </c>
      <c r="AI41">
        <v>0</v>
      </c>
    </row>
    <row r="42" spans="5:35" x14ac:dyDescent="0.45">
      <c r="E42" t="s">
        <v>199</v>
      </c>
      <c r="G42" t="s">
        <v>159</v>
      </c>
      <c r="I42" t="s">
        <v>249</v>
      </c>
      <c r="J42" t="s">
        <v>282</v>
      </c>
      <c r="K42">
        <v>1.19482985637E-4</v>
      </c>
      <c r="L42" t="s">
        <v>251</v>
      </c>
      <c r="N42" t="s">
        <v>419</v>
      </c>
      <c r="O42" t="s">
        <v>282</v>
      </c>
      <c r="P42">
        <v>7.6516841475639071E-5</v>
      </c>
      <c r="Q42" t="s">
        <v>251</v>
      </c>
      <c r="S42" t="s">
        <v>420</v>
      </c>
      <c r="T42" t="s">
        <v>282</v>
      </c>
      <c r="U42">
        <v>1.9270078670400001E-4</v>
      </c>
      <c r="V42" t="s">
        <v>251</v>
      </c>
      <c r="X42">
        <v>1.1415525114155251E-4</v>
      </c>
      <c r="Y42">
        <v>1.9060404909297337E-4</v>
      </c>
      <c r="Z42" t="s">
        <v>282</v>
      </c>
      <c r="AA42" t="s">
        <v>25</v>
      </c>
      <c r="AC42" t="s">
        <v>22</v>
      </c>
      <c r="AD42" t="s">
        <v>282</v>
      </c>
      <c r="AE42">
        <v>9.3171526780809342E-5</v>
      </c>
      <c r="AG42" t="s">
        <v>97</v>
      </c>
      <c r="AH42" t="s">
        <v>282</v>
      </c>
      <c r="AI42">
        <v>0</v>
      </c>
    </row>
    <row r="43" spans="5:35" x14ac:dyDescent="0.45">
      <c r="E43" t="s">
        <v>200</v>
      </c>
      <c r="G43" t="s">
        <v>159</v>
      </c>
      <c r="I43" t="s">
        <v>249</v>
      </c>
      <c r="J43" t="s">
        <v>283</v>
      </c>
      <c r="K43">
        <v>2.5727385350200001E-4</v>
      </c>
      <c r="L43" t="s">
        <v>251</v>
      </c>
      <c r="N43" t="s">
        <v>419</v>
      </c>
      <c r="O43" t="s">
        <v>283</v>
      </c>
      <c r="P43">
        <v>6.6255833336245341E-5</v>
      </c>
      <c r="Q43" t="s">
        <v>251</v>
      </c>
      <c r="S43" t="s">
        <v>420</v>
      </c>
      <c r="T43" t="s">
        <v>283</v>
      </c>
      <c r="U43">
        <v>1.86560804552E-4</v>
      </c>
      <c r="V43" t="s">
        <v>251</v>
      </c>
      <c r="X43">
        <v>1.1415525114155251E-4</v>
      </c>
      <c r="Y43">
        <v>1.4585353321897094E-4</v>
      </c>
      <c r="Z43" t="s">
        <v>283</v>
      </c>
      <c r="AA43" t="s">
        <v>25</v>
      </c>
      <c r="AC43" t="s">
        <v>22</v>
      </c>
      <c r="AD43" t="s">
        <v>283</v>
      </c>
      <c r="AE43">
        <v>9.1403538698393299E-5</v>
      </c>
      <c r="AG43" t="s">
        <v>97</v>
      </c>
      <c r="AH43" t="s">
        <v>283</v>
      </c>
      <c r="AI43">
        <v>0</v>
      </c>
    </row>
    <row r="44" spans="5:35" x14ac:dyDescent="0.45">
      <c r="E44" t="s">
        <v>201</v>
      </c>
      <c r="G44" t="s">
        <v>159</v>
      </c>
      <c r="I44" t="s">
        <v>249</v>
      </c>
      <c r="J44" t="s">
        <v>284</v>
      </c>
      <c r="K44">
        <v>3.06258215499E-4</v>
      </c>
      <c r="L44" t="s">
        <v>251</v>
      </c>
      <c r="N44" t="s">
        <v>419</v>
      </c>
      <c r="O44" t="s">
        <v>284</v>
      </c>
      <c r="P44">
        <v>6.9048710073577255E-5</v>
      </c>
      <c r="Q44" t="s">
        <v>251</v>
      </c>
      <c r="S44" t="s">
        <v>420</v>
      </c>
      <c r="T44" t="s">
        <v>284</v>
      </c>
      <c r="U44">
        <v>1.7513102929800001E-4</v>
      </c>
      <c r="V44" t="s">
        <v>251</v>
      </c>
      <c r="X44">
        <v>1.1415525114155251E-4</v>
      </c>
      <c r="Y44">
        <v>1.4452759200788939E-4</v>
      </c>
      <c r="Z44" t="s">
        <v>284</v>
      </c>
      <c r="AA44" t="s">
        <v>25</v>
      </c>
      <c r="AC44" t="s">
        <v>22</v>
      </c>
      <c r="AD44" t="s">
        <v>284</v>
      </c>
      <c r="AE44">
        <v>9.1425415116494713E-5</v>
      </c>
      <c r="AG44" t="s">
        <v>97</v>
      </c>
      <c r="AH44" t="s">
        <v>284</v>
      </c>
      <c r="AI44">
        <v>0</v>
      </c>
    </row>
    <row r="45" spans="5:35" x14ac:dyDescent="0.45">
      <c r="E45" t="s">
        <v>202</v>
      </c>
      <c r="G45" t="s">
        <v>159</v>
      </c>
      <c r="I45" t="s">
        <v>249</v>
      </c>
      <c r="J45" t="s">
        <v>285</v>
      </c>
      <c r="K45">
        <v>3.2181728272029998E-4</v>
      </c>
      <c r="L45" t="s">
        <v>251</v>
      </c>
      <c r="N45" t="s">
        <v>419</v>
      </c>
      <c r="O45" t="s">
        <v>285</v>
      </c>
      <c r="P45">
        <v>7.0009678195327114E-5</v>
      </c>
      <c r="Q45" t="s">
        <v>251</v>
      </c>
      <c r="S45" t="s">
        <v>420</v>
      </c>
      <c r="T45" t="s">
        <v>285</v>
      </c>
      <c r="U45">
        <v>1.571958802581E-4</v>
      </c>
      <c r="V45" t="s">
        <v>251</v>
      </c>
      <c r="X45">
        <v>1.1415525114155251E-4</v>
      </c>
      <c r="Y45">
        <v>1.408812536774151E-4</v>
      </c>
      <c r="Z45" t="s">
        <v>285</v>
      </c>
      <c r="AA45" t="s">
        <v>25</v>
      </c>
      <c r="AC45" t="s">
        <v>22</v>
      </c>
      <c r="AD45" t="s">
        <v>285</v>
      </c>
      <c r="AE45">
        <v>9.3270504233438958E-5</v>
      </c>
      <c r="AG45" t="s">
        <v>97</v>
      </c>
      <c r="AH45" t="s">
        <v>285</v>
      </c>
      <c r="AI45">
        <v>0</v>
      </c>
    </row>
    <row r="46" spans="5:35" x14ac:dyDescent="0.45">
      <c r="E46" t="s">
        <v>203</v>
      </c>
      <c r="G46" t="s">
        <v>159</v>
      </c>
      <c r="I46" t="s">
        <v>249</v>
      </c>
      <c r="J46" t="s">
        <v>286</v>
      </c>
      <c r="K46">
        <v>3.1622402180900001E-4</v>
      </c>
      <c r="L46" t="s">
        <v>251</v>
      </c>
      <c r="N46" t="s">
        <v>419</v>
      </c>
      <c r="O46" t="s">
        <v>286</v>
      </c>
      <c r="P46">
        <v>7.0505669939979919E-5</v>
      </c>
      <c r="Q46" t="s">
        <v>251</v>
      </c>
      <c r="S46" t="s">
        <v>420</v>
      </c>
      <c r="T46" t="s">
        <v>286</v>
      </c>
      <c r="U46">
        <v>1.347659801184E-4</v>
      </c>
      <c r="V46" t="s">
        <v>251</v>
      </c>
      <c r="X46">
        <v>1.1415525114155251E-4</v>
      </c>
      <c r="Y46">
        <v>1.4054976837464471E-4</v>
      </c>
      <c r="Z46" t="s">
        <v>286</v>
      </c>
      <c r="AA46" t="s">
        <v>25</v>
      </c>
      <c r="AC46" t="s">
        <v>22</v>
      </c>
      <c r="AD46" t="s">
        <v>286</v>
      </c>
      <c r="AE46">
        <v>1.0568803936186141E-4</v>
      </c>
      <c r="AG46" t="s">
        <v>97</v>
      </c>
      <c r="AH46" t="s">
        <v>286</v>
      </c>
      <c r="AI46">
        <v>0</v>
      </c>
    </row>
    <row r="47" spans="5:35" x14ac:dyDescent="0.45">
      <c r="E47" t="s">
        <v>204</v>
      </c>
      <c r="G47" t="s">
        <v>159</v>
      </c>
      <c r="I47" t="s">
        <v>249</v>
      </c>
      <c r="J47" t="s">
        <v>287</v>
      </c>
      <c r="K47">
        <v>2.9100711381989998E-4</v>
      </c>
      <c r="L47" t="s">
        <v>251</v>
      </c>
      <c r="N47" t="s">
        <v>419</v>
      </c>
      <c r="O47" t="s">
        <v>287</v>
      </c>
      <c r="P47">
        <v>7.3962976362134934E-5</v>
      </c>
      <c r="Q47" t="s">
        <v>251</v>
      </c>
      <c r="S47" t="s">
        <v>420</v>
      </c>
      <c r="T47" t="s">
        <v>287</v>
      </c>
      <c r="U47">
        <v>1.238853617348E-4</v>
      </c>
      <c r="V47" t="s">
        <v>251</v>
      </c>
      <c r="X47">
        <v>1.1415525114155251E-4</v>
      </c>
      <c r="Y47">
        <v>1.4253868019126702E-4</v>
      </c>
      <c r="Z47" t="s">
        <v>287</v>
      </c>
      <c r="AA47" t="s">
        <v>25</v>
      </c>
      <c r="AC47" t="s">
        <v>22</v>
      </c>
      <c r="AD47" t="s">
        <v>287</v>
      </c>
      <c r="AE47">
        <v>1.2685854280113169E-4</v>
      </c>
      <c r="AG47" t="s">
        <v>97</v>
      </c>
      <c r="AH47" t="s">
        <v>287</v>
      </c>
      <c r="AI47">
        <v>0</v>
      </c>
    </row>
    <row r="48" spans="5:35" x14ac:dyDescent="0.45">
      <c r="E48" t="s">
        <v>205</v>
      </c>
      <c r="G48" t="s">
        <v>159</v>
      </c>
      <c r="I48" t="s">
        <v>249</v>
      </c>
      <c r="J48" t="s">
        <v>288</v>
      </c>
      <c r="K48">
        <v>2.9060591612220001E-4</v>
      </c>
      <c r="L48" t="s">
        <v>251</v>
      </c>
      <c r="N48" t="s">
        <v>419</v>
      </c>
      <c r="O48" t="s">
        <v>288</v>
      </c>
      <c r="P48">
        <v>7.9147386845742498E-5</v>
      </c>
      <c r="Q48" t="s">
        <v>251</v>
      </c>
      <c r="S48" t="s">
        <v>420</v>
      </c>
      <c r="T48" t="s">
        <v>288</v>
      </c>
      <c r="U48">
        <v>1.172534785252E-4</v>
      </c>
      <c r="V48" t="s">
        <v>251</v>
      </c>
      <c r="X48">
        <v>1.1415525114155251E-4</v>
      </c>
      <c r="Y48">
        <v>1.4883690094390442E-4</v>
      </c>
      <c r="Z48" t="s">
        <v>288</v>
      </c>
      <c r="AA48" t="s">
        <v>25</v>
      </c>
      <c r="AC48" t="s">
        <v>22</v>
      </c>
      <c r="AD48" t="s">
        <v>288</v>
      </c>
      <c r="AE48">
        <v>1.390439744692098E-4</v>
      </c>
      <c r="AG48" t="s">
        <v>97</v>
      </c>
      <c r="AH48" t="s">
        <v>288</v>
      </c>
      <c r="AI48">
        <v>0</v>
      </c>
    </row>
    <row r="49" spans="5:35" x14ac:dyDescent="0.45">
      <c r="E49" t="s">
        <v>206</v>
      </c>
      <c r="G49" t="s">
        <v>159</v>
      </c>
      <c r="I49" t="s">
        <v>249</v>
      </c>
      <c r="J49" t="s">
        <v>289</v>
      </c>
      <c r="K49">
        <v>3.1073258621310001E-4</v>
      </c>
      <c r="L49" t="s">
        <v>251</v>
      </c>
      <c r="N49" t="s">
        <v>419</v>
      </c>
      <c r="O49" t="s">
        <v>289</v>
      </c>
      <c r="P49">
        <v>8.2996447876900148E-5</v>
      </c>
      <c r="Q49" t="s">
        <v>251</v>
      </c>
      <c r="S49" t="s">
        <v>420</v>
      </c>
      <c r="T49" t="s">
        <v>289</v>
      </c>
      <c r="U49">
        <v>1.1519952628049999E-4</v>
      </c>
      <c r="V49" t="s">
        <v>251</v>
      </c>
      <c r="X49">
        <v>1.1415525114155251E-4</v>
      </c>
      <c r="Y49">
        <v>1.5049432745775637E-4</v>
      </c>
      <c r="Z49" t="s">
        <v>289</v>
      </c>
      <c r="AA49" t="s">
        <v>25</v>
      </c>
      <c r="AC49" t="s">
        <v>22</v>
      </c>
      <c r="AD49" t="s">
        <v>289</v>
      </c>
      <c r="AE49">
        <v>1.4255967492946011E-4</v>
      </c>
      <c r="AG49" t="s">
        <v>97</v>
      </c>
      <c r="AH49" t="s">
        <v>289</v>
      </c>
      <c r="AI49">
        <v>0</v>
      </c>
    </row>
    <row r="50" spans="5:35" x14ac:dyDescent="0.45">
      <c r="E50" t="s">
        <v>207</v>
      </c>
      <c r="G50" t="s">
        <v>159</v>
      </c>
      <c r="I50" t="s">
        <v>249</v>
      </c>
      <c r="J50" t="s">
        <v>290</v>
      </c>
      <c r="K50">
        <v>3.1220881651209997E-4</v>
      </c>
      <c r="L50" t="s">
        <v>251</v>
      </c>
      <c r="N50" t="s">
        <v>419</v>
      </c>
      <c r="O50" t="s">
        <v>290</v>
      </c>
      <c r="P50">
        <v>7.4351489829401859E-5</v>
      </c>
      <c r="Q50" t="s">
        <v>251</v>
      </c>
      <c r="S50" t="s">
        <v>420</v>
      </c>
      <c r="T50" t="s">
        <v>290</v>
      </c>
      <c r="U50">
        <v>1.150529029747E-4</v>
      </c>
      <c r="V50" t="s">
        <v>251</v>
      </c>
      <c r="X50">
        <v>1.1415525114155251E-4</v>
      </c>
      <c r="Y50">
        <v>1.7237235744060203E-4</v>
      </c>
      <c r="Z50" t="s">
        <v>290</v>
      </c>
      <c r="AA50" t="s">
        <v>25</v>
      </c>
      <c r="AC50" t="s">
        <v>22</v>
      </c>
      <c r="AD50" t="s">
        <v>290</v>
      </c>
      <c r="AE50">
        <v>1.3539914978504379E-4</v>
      </c>
      <c r="AG50" t="s">
        <v>97</v>
      </c>
      <c r="AH50" t="s">
        <v>290</v>
      </c>
      <c r="AI50">
        <v>0</v>
      </c>
    </row>
    <row r="51" spans="5:35" x14ac:dyDescent="0.45">
      <c r="E51" t="s">
        <v>208</v>
      </c>
      <c r="G51" t="s">
        <v>159</v>
      </c>
      <c r="I51" t="s">
        <v>249</v>
      </c>
      <c r="J51" t="s">
        <v>291</v>
      </c>
      <c r="K51">
        <v>2.928017498887E-4</v>
      </c>
      <c r="L51" t="s">
        <v>251</v>
      </c>
      <c r="N51" t="s">
        <v>419</v>
      </c>
      <c r="O51" t="s">
        <v>291</v>
      </c>
      <c r="P51">
        <v>6.8928631184556757E-5</v>
      </c>
      <c r="Q51" t="s">
        <v>251</v>
      </c>
      <c r="S51" t="s">
        <v>420</v>
      </c>
      <c r="T51" t="s">
        <v>291</v>
      </c>
      <c r="U51">
        <v>1.153977676252E-4</v>
      </c>
      <c r="V51" t="s">
        <v>251</v>
      </c>
      <c r="X51">
        <v>1.1415525114155251E-4</v>
      </c>
      <c r="Y51">
        <v>2.2209515285616027E-4</v>
      </c>
      <c r="Z51" t="s">
        <v>291</v>
      </c>
      <c r="AA51" t="s">
        <v>25</v>
      </c>
      <c r="AC51" t="s">
        <v>22</v>
      </c>
      <c r="AD51" t="s">
        <v>291</v>
      </c>
      <c r="AE51">
        <v>1.31580914469586E-4</v>
      </c>
      <c r="AG51" t="s">
        <v>97</v>
      </c>
      <c r="AH51" t="s">
        <v>291</v>
      </c>
      <c r="AI51">
        <v>0</v>
      </c>
    </row>
    <row r="52" spans="5:35" x14ac:dyDescent="0.45">
      <c r="E52" t="s">
        <v>209</v>
      </c>
      <c r="G52" t="s">
        <v>159</v>
      </c>
      <c r="I52" t="s">
        <v>249</v>
      </c>
      <c r="J52" t="s">
        <v>292</v>
      </c>
      <c r="K52">
        <v>2.392954853644E-4</v>
      </c>
      <c r="L52" t="s">
        <v>251</v>
      </c>
      <c r="N52" t="s">
        <v>419</v>
      </c>
      <c r="O52" t="s">
        <v>292</v>
      </c>
      <c r="P52">
        <v>6.4141120632195783E-5</v>
      </c>
      <c r="Q52" t="s">
        <v>251</v>
      </c>
      <c r="S52" t="s">
        <v>420</v>
      </c>
      <c r="T52" t="s">
        <v>292</v>
      </c>
      <c r="U52">
        <v>1.3144253846479999E-4</v>
      </c>
      <c r="V52" t="s">
        <v>251</v>
      </c>
      <c r="X52">
        <v>1.1415525114155251E-4</v>
      </c>
      <c r="Y52">
        <v>2.2209515285616027E-4</v>
      </c>
      <c r="Z52" t="s">
        <v>292</v>
      </c>
      <c r="AA52" t="s">
        <v>25</v>
      </c>
      <c r="AC52" t="s">
        <v>22</v>
      </c>
      <c r="AD52" t="s">
        <v>292</v>
      </c>
      <c r="AE52">
        <v>1.3548212010247723E-4</v>
      </c>
      <c r="AG52" t="s">
        <v>97</v>
      </c>
      <c r="AH52" t="s">
        <v>292</v>
      </c>
      <c r="AI52">
        <v>0</v>
      </c>
    </row>
    <row r="53" spans="5:35" x14ac:dyDescent="0.45">
      <c r="E53" t="s">
        <v>210</v>
      </c>
      <c r="G53" t="s">
        <v>159</v>
      </c>
      <c r="I53" t="s">
        <v>249</v>
      </c>
      <c r="J53" t="s">
        <v>293</v>
      </c>
      <c r="K53">
        <v>1.035377033838E-4</v>
      </c>
      <c r="L53" t="s">
        <v>251</v>
      </c>
      <c r="N53" t="s">
        <v>419</v>
      </c>
      <c r="O53" t="s">
        <v>293</v>
      </c>
      <c r="P53">
        <v>7.1315371165762802E-5</v>
      </c>
      <c r="Q53" t="s">
        <v>251</v>
      </c>
      <c r="S53" t="s">
        <v>420</v>
      </c>
      <c r="T53" t="s">
        <v>293</v>
      </c>
      <c r="U53">
        <v>1.552729129864E-4</v>
      </c>
      <c r="V53" t="s">
        <v>251</v>
      </c>
      <c r="X53">
        <v>1.1415525114155251E-4</v>
      </c>
      <c r="Y53">
        <v>1.7237235744060203E-4</v>
      </c>
      <c r="Z53" t="s">
        <v>293</v>
      </c>
      <c r="AA53" t="s">
        <v>25</v>
      </c>
      <c r="AC53" t="s">
        <v>22</v>
      </c>
      <c r="AD53" t="s">
        <v>293</v>
      </c>
      <c r="AE53">
        <v>1.3428371924745791E-4</v>
      </c>
      <c r="AG53" t="s">
        <v>97</v>
      </c>
      <c r="AH53" t="s">
        <v>293</v>
      </c>
      <c r="AI53">
        <v>0</v>
      </c>
    </row>
    <row r="54" spans="5:35" x14ac:dyDescent="0.45">
      <c r="E54" t="s">
        <v>211</v>
      </c>
      <c r="G54" t="s">
        <v>159</v>
      </c>
      <c r="I54" t="s">
        <v>249</v>
      </c>
      <c r="J54" t="s">
        <v>294</v>
      </c>
      <c r="K54">
        <v>0</v>
      </c>
      <c r="L54" t="s">
        <v>251</v>
      </c>
      <c r="N54" t="s">
        <v>419</v>
      </c>
      <c r="O54" t="s">
        <v>294</v>
      </c>
      <c r="P54">
        <v>7.8797680466523756E-5</v>
      </c>
      <c r="Q54" t="s">
        <v>251</v>
      </c>
      <c r="S54" t="s">
        <v>420</v>
      </c>
      <c r="T54" t="s">
        <v>294</v>
      </c>
      <c r="U54">
        <v>1.6788653586360001E-4</v>
      </c>
      <c r="V54" t="s">
        <v>251</v>
      </c>
      <c r="X54">
        <v>1.1415525114155251E-4</v>
      </c>
      <c r="Y54">
        <v>1.5579809230208258E-4</v>
      </c>
      <c r="Z54" t="s">
        <v>294</v>
      </c>
      <c r="AA54" t="s">
        <v>25</v>
      </c>
      <c r="AC54" t="s">
        <v>22</v>
      </c>
      <c r="AD54" t="s">
        <v>294</v>
      </c>
      <c r="AE54">
        <v>1.3457424875126824E-4</v>
      </c>
      <c r="AG54" t="s">
        <v>97</v>
      </c>
      <c r="AH54" t="s">
        <v>294</v>
      </c>
      <c r="AI54">
        <v>0</v>
      </c>
    </row>
    <row r="55" spans="5:35" x14ac:dyDescent="0.45">
      <c r="E55" t="s">
        <v>212</v>
      </c>
      <c r="G55" t="s">
        <v>159</v>
      </c>
      <c r="I55" t="s">
        <v>249</v>
      </c>
      <c r="J55" t="s">
        <v>295</v>
      </c>
      <c r="K55">
        <v>0</v>
      </c>
      <c r="L55" t="s">
        <v>251</v>
      </c>
      <c r="N55" t="s">
        <v>419</v>
      </c>
      <c r="O55" t="s">
        <v>295</v>
      </c>
      <c r="P55">
        <v>8.7658896290040525E-5</v>
      </c>
      <c r="Q55" t="s">
        <v>251</v>
      </c>
      <c r="S55" t="s">
        <v>420</v>
      </c>
      <c r="T55" t="s">
        <v>295</v>
      </c>
      <c r="U55">
        <v>1.701514326532E-4</v>
      </c>
      <c r="V55" t="s">
        <v>251</v>
      </c>
      <c r="X55">
        <v>1.1415525114155251E-4</v>
      </c>
      <c r="Y55">
        <v>1.093901499142282E-4</v>
      </c>
      <c r="Z55" t="s">
        <v>295</v>
      </c>
      <c r="AA55" t="s">
        <v>25</v>
      </c>
      <c r="AC55" t="s">
        <v>22</v>
      </c>
      <c r="AD55" t="s">
        <v>295</v>
      </c>
      <c r="AE55">
        <v>1.3422662713192493E-4</v>
      </c>
      <c r="AG55" t="s">
        <v>97</v>
      </c>
      <c r="AH55" t="s">
        <v>295</v>
      </c>
      <c r="AI55">
        <v>0</v>
      </c>
    </row>
    <row r="56" spans="5:35" x14ac:dyDescent="0.45">
      <c r="E56" t="s">
        <v>213</v>
      </c>
      <c r="G56" t="s">
        <v>159</v>
      </c>
      <c r="I56" t="s">
        <v>249</v>
      </c>
      <c r="J56" t="s">
        <v>296</v>
      </c>
      <c r="K56">
        <v>0</v>
      </c>
      <c r="L56" t="s">
        <v>251</v>
      </c>
      <c r="N56" t="s">
        <v>419</v>
      </c>
      <c r="O56" t="s">
        <v>296</v>
      </c>
      <c r="P56">
        <v>9.3344580989113E-5</v>
      </c>
      <c r="Q56" t="s">
        <v>251</v>
      </c>
      <c r="S56" t="s">
        <v>420</v>
      </c>
      <c r="T56" t="s">
        <v>296</v>
      </c>
      <c r="U56">
        <v>1.5697137027429999E-4</v>
      </c>
      <c r="V56" t="s">
        <v>251</v>
      </c>
      <c r="X56">
        <v>1.1415525114155251E-4</v>
      </c>
      <c r="Y56">
        <v>7.9556472664893237E-5</v>
      </c>
      <c r="Z56" t="s">
        <v>296</v>
      </c>
      <c r="AA56" t="s">
        <v>25</v>
      </c>
      <c r="AC56" t="s">
        <v>22</v>
      </c>
      <c r="AD56" t="s">
        <v>296</v>
      </c>
      <c r="AE56">
        <v>1.3422662713192496E-4</v>
      </c>
      <c r="AG56" t="s">
        <v>97</v>
      </c>
      <c r="AH56" t="s">
        <v>296</v>
      </c>
      <c r="AI56">
        <v>0</v>
      </c>
    </row>
    <row r="57" spans="5:35" x14ac:dyDescent="0.45">
      <c r="E57" t="s">
        <v>214</v>
      </c>
      <c r="G57" t="s">
        <v>159</v>
      </c>
      <c r="I57" t="s">
        <v>249</v>
      </c>
      <c r="J57" t="s">
        <v>297</v>
      </c>
      <c r="K57">
        <v>0</v>
      </c>
      <c r="L57" t="s">
        <v>251</v>
      </c>
      <c r="N57" t="s">
        <v>419</v>
      </c>
      <c r="O57" t="s">
        <v>297</v>
      </c>
      <c r="P57">
        <v>9.5633338596012838E-5</v>
      </c>
      <c r="Q57" t="s">
        <v>251</v>
      </c>
      <c r="S57" t="s">
        <v>420</v>
      </c>
      <c r="T57" t="s">
        <v>297</v>
      </c>
      <c r="U57">
        <v>1.3440842256109999E-4</v>
      </c>
      <c r="V57" t="s">
        <v>251</v>
      </c>
      <c r="X57">
        <v>1.1415525114155251E-4</v>
      </c>
      <c r="Y57">
        <v>5.6352501470966035E-5</v>
      </c>
      <c r="Z57" t="s">
        <v>297</v>
      </c>
      <c r="AA57" t="s">
        <v>25</v>
      </c>
      <c r="AC57" t="s">
        <v>22</v>
      </c>
      <c r="AD57" t="s">
        <v>297</v>
      </c>
      <c r="AE57">
        <v>1.3546237796906863E-4</v>
      </c>
      <c r="AG57" t="s">
        <v>97</v>
      </c>
      <c r="AH57" t="s">
        <v>297</v>
      </c>
      <c r="AI57">
        <v>0</v>
      </c>
    </row>
    <row r="58" spans="5:35" x14ac:dyDescent="0.45">
      <c r="E58" t="s">
        <v>215</v>
      </c>
      <c r="G58" t="s">
        <v>159</v>
      </c>
      <c r="I58" t="s">
        <v>249</v>
      </c>
      <c r="J58" t="s">
        <v>298</v>
      </c>
      <c r="K58">
        <v>0</v>
      </c>
      <c r="L58" t="s">
        <v>251</v>
      </c>
      <c r="N58" t="s">
        <v>419</v>
      </c>
      <c r="O58" t="s">
        <v>298</v>
      </c>
      <c r="P58">
        <v>9.3990405388899925E-5</v>
      </c>
      <c r="Q58" t="s">
        <v>251</v>
      </c>
      <c r="S58" t="s">
        <v>420</v>
      </c>
      <c r="T58" t="s">
        <v>298</v>
      </c>
      <c r="U58">
        <v>1.1500341863230001E-4</v>
      </c>
      <c r="V58" t="s">
        <v>251</v>
      </c>
      <c r="X58">
        <v>1.1415525114155251E-4</v>
      </c>
      <c r="Y58">
        <v>2.9833677249334962E-5</v>
      </c>
      <c r="Z58" t="s">
        <v>298</v>
      </c>
      <c r="AA58" t="s">
        <v>25</v>
      </c>
      <c r="AC58" t="s">
        <v>22</v>
      </c>
      <c r="AD58" t="s">
        <v>298</v>
      </c>
      <c r="AE58">
        <v>1.3921738510050156E-4</v>
      </c>
      <c r="AG58" t="s">
        <v>97</v>
      </c>
      <c r="AH58" t="s">
        <v>298</v>
      </c>
      <c r="AI58">
        <v>0</v>
      </c>
    </row>
    <row r="59" spans="5:35" x14ac:dyDescent="0.45">
      <c r="E59" t="s">
        <v>216</v>
      </c>
      <c r="G59" t="s">
        <v>162</v>
      </c>
      <c r="I59" t="s">
        <v>249</v>
      </c>
      <c r="J59" t="s">
        <v>299</v>
      </c>
      <c r="K59">
        <v>3.9643991682068213E-8</v>
      </c>
      <c r="L59" t="s">
        <v>251</v>
      </c>
      <c r="N59" t="s">
        <v>419</v>
      </c>
      <c r="O59" t="s">
        <v>299</v>
      </c>
      <c r="P59">
        <v>2.4561834385133385E-2</v>
      </c>
      <c r="Q59" t="s">
        <v>251</v>
      </c>
      <c r="S59" t="s">
        <v>420</v>
      </c>
      <c r="T59" t="s">
        <v>299</v>
      </c>
      <c r="U59">
        <v>2.4802528254918219E-2</v>
      </c>
      <c r="V59" t="s">
        <v>251</v>
      </c>
      <c r="X59">
        <v>1.9863013698630139E-2</v>
      </c>
      <c r="Y59">
        <v>4.2489786109108389E-3</v>
      </c>
      <c r="Z59" t="s">
        <v>299</v>
      </c>
      <c r="AA59" t="s">
        <v>25</v>
      </c>
      <c r="AC59" t="s">
        <v>22</v>
      </c>
      <c r="AD59" t="s">
        <v>299</v>
      </c>
      <c r="AE59">
        <v>1.8950660523949971E-2</v>
      </c>
      <c r="AG59" t="s">
        <v>97</v>
      </c>
      <c r="AH59" t="s">
        <v>299</v>
      </c>
      <c r="AI59">
        <v>0.19972975027782569</v>
      </c>
    </row>
    <row r="60" spans="5:35" x14ac:dyDescent="0.45">
      <c r="E60" t="s">
        <v>217</v>
      </c>
      <c r="G60" t="s">
        <v>162</v>
      </c>
      <c r="I60" t="s">
        <v>249</v>
      </c>
      <c r="J60" t="s">
        <v>300</v>
      </c>
      <c r="K60">
        <v>2.860300873006324E-3</v>
      </c>
      <c r="L60" t="s">
        <v>251</v>
      </c>
      <c r="N60" t="s">
        <v>419</v>
      </c>
      <c r="O60" t="s">
        <v>300</v>
      </c>
      <c r="P60">
        <v>3.8278072079931317E-3</v>
      </c>
      <c r="Q60" t="s">
        <v>251</v>
      </c>
      <c r="S60" t="s">
        <v>420</v>
      </c>
      <c r="T60" t="s">
        <v>300</v>
      </c>
      <c r="U60">
        <v>3.9201659827764797E-3</v>
      </c>
      <c r="V60" t="s">
        <v>251</v>
      </c>
      <c r="X60">
        <v>3.3105022831050228E-3</v>
      </c>
      <c r="Y60">
        <v>4.9026676279740472E-3</v>
      </c>
      <c r="Z60" t="s">
        <v>300</v>
      </c>
      <c r="AA60" t="s">
        <v>25</v>
      </c>
      <c r="AC60" t="s">
        <v>22</v>
      </c>
      <c r="AD60" t="s">
        <v>300</v>
      </c>
      <c r="AE60">
        <v>2.5183442291513082E-3</v>
      </c>
      <c r="AG60" t="s">
        <v>97</v>
      </c>
      <c r="AH60" t="s">
        <v>300</v>
      </c>
      <c r="AI60">
        <v>4.6685040361504671E-2</v>
      </c>
    </row>
    <row r="61" spans="5:35" x14ac:dyDescent="0.45">
      <c r="E61" t="s">
        <v>218</v>
      </c>
      <c r="G61" t="s">
        <v>162</v>
      </c>
      <c r="I61" t="s">
        <v>249</v>
      </c>
      <c r="J61" t="s">
        <v>301</v>
      </c>
      <c r="K61">
        <v>6.0674771972506003E-3</v>
      </c>
      <c r="L61" t="s">
        <v>251</v>
      </c>
      <c r="N61" t="s">
        <v>419</v>
      </c>
      <c r="O61" t="s">
        <v>301</v>
      </c>
      <c r="P61">
        <v>3.4379277012930231E-3</v>
      </c>
      <c r="Q61" t="s">
        <v>251</v>
      </c>
      <c r="S61" t="s">
        <v>420</v>
      </c>
      <c r="T61" t="s">
        <v>301</v>
      </c>
      <c r="U61">
        <v>3.8465972033418028E-3</v>
      </c>
      <c r="V61" t="s">
        <v>251</v>
      </c>
      <c r="X61">
        <v>3.3105022831050228E-3</v>
      </c>
      <c r="Y61">
        <v>5.5275174236962274E-3</v>
      </c>
      <c r="Z61" t="s">
        <v>301</v>
      </c>
      <c r="AA61" t="s">
        <v>25</v>
      </c>
      <c r="AC61" t="s">
        <v>22</v>
      </c>
      <c r="AD61" t="s">
        <v>301</v>
      </c>
      <c r="AE61">
        <v>2.4526557484468195E-3</v>
      </c>
      <c r="AG61" t="s">
        <v>97</v>
      </c>
      <c r="AH61" t="s">
        <v>301</v>
      </c>
      <c r="AI61">
        <v>4.7195976351319224E-2</v>
      </c>
    </row>
    <row r="62" spans="5:35" x14ac:dyDescent="0.45">
      <c r="E62" t="s">
        <v>219</v>
      </c>
      <c r="G62" t="s">
        <v>162</v>
      </c>
      <c r="I62" t="s">
        <v>249</v>
      </c>
      <c r="J62" t="s">
        <v>302</v>
      </c>
      <c r="K62">
        <v>6.0690376340985001E-2</v>
      </c>
      <c r="L62" t="s">
        <v>251</v>
      </c>
      <c r="N62" t="s">
        <v>419</v>
      </c>
      <c r="O62" t="s">
        <v>302</v>
      </c>
      <c r="P62">
        <v>2.3747665597147336E-2</v>
      </c>
      <c r="Q62" t="s">
        <v>251</v>
      </c>
      <c r="S62" t="s">
        <v>420</v>
      </c>
      <c r="T62" t="s">
        <v>302</v>
      </c>
      <c r="U62">
        <v>2.4423148131006996E-2</v>
      </c>
      <c r="V62" t="s">
        <v>251</v>
      </c>
      <c r="X62">
        <v>2.3173515981735161E-2</v>
      </c>
      <c r="Y62">
        <v>2.9396779620283593E-2</v>
      </c>
      <c r="Z62" t="s">
        <v>302</v>
      </c>
      <c r="AA62" t="s">
        <v>25</v>
      </c>
      <c r="AC62" t="s">
        <v>22</v>
      </c>
      <c r="AD62" t="s">
        <v>302</v>
      </c>
      <c r="AE62">
        <v>2.1170942558253216E-2</v>
      </c>
      <c r="AG62" t="s">
        <v>97</v>
      </c>
      <c r="AH62" t="s">
        <v>302</v>
      </c>
      <c r="AI62">
        <v>0.28041128443702701</v>
      </c>
    </row>
    <row r="63" spans="5:35" x14ac:dyDescent="0.45">
      <c r="E63" t="s">
        <v>220</v>
      </c>
      <c r="G63" t="s">
        <v>162</v>
      </c>
      <c r="I63" t="s">
        <v>249</v>
      </c>
      <c r="J63" t="s">
        <v>303</v>
      </c>
      <c r="K63">
        <v>8.3901952420250003E-3</v>
      </c>
      <c r="L63" t="s">
        <v>251</v>
      </c>
      <c r="N63" t="s">
        <v>419</v>
      </c>
      <c r="O63" t="s">
        <v>303</v>
      </c>
      <c r="P63">
        <v>3.5114753588898853E-3</v>
      </c>
      <c r="Q63" t="s">
        <v>251</v>
      </c>
      <c r="S63" t="s">
        <v>420</v>
      </c>
      <c r="T63" t="s">
        <v>303</v>
      </c>
      <c r="U63">
        <v>3.6714871580998515E-3</v>
      </c>
      <c r="V63" t="s">
        <v>251</v>
      </c>
      <c r="X63">
        <v>3.3105022831050228E-3</v>
      </c>
      <c r="Y63">
        <v>4.9987983657774574E-3</v>
      </c>
      <c r="Z63" t="s">
        <v>303</v>
      </c>
      <c r="AA63" t="s">
        <v>25</v>
      </c>
      <c r="AC63" t="s">
        <v>22</v>
      </c>
      <c r="AD63" t="s">
        <v>303</v>
      </c>
      <c r="AE63">
        <v>3.3408047083806009E-3</v>
      </c>
      <c r="AG63" t="s">
        <v>97</v>
      </c>
      <c r="AH63" t="s">
        <v>303</v>
      </c>
      <c r="AI63">
        <v>8.072390571305843E-2</v>
      </c>
    </row>
    <row r="64" spans="5:35" x14ac:dyDescent="0.45">
      <c r="E64" t="s">
        <v>221</v>
      </c>
      <c r="G64" t="s">
        <v>162</v>
      </c>
      <c r="I64" t="s">
        <v>249</v>
      </c>
      <c r="J64" t="s">
        <v>304</v>
      </c>
      <c r="K64">
        <v>7.6115526364681999E-3</v>
      </c>
      <c r="L64" t="s">
        <v>251</v>
      </c>
      <c r="N64" t="s">
        <v>419</v>
      </c>
      <c r="O64" t="s">
        <v>304</v>
      </c>
      <c r="P64">
        <v>3.4771398622821291E-3</v>
      </c>
      <c r="Q64" t="s">
        <v>251</v>
      </c>
      <c r="S64" t="s">
        <v>420</v>
      </c>
      <c r="T64" t="s">
        <v>304</v>
      </c>
      <c r="U64">
        <v>3.5249236379140108E-3</v>
      </c>
      <c r="V64" t="s">
        <v>251</v>
      </c>
      <c r="X64">
        <v>3.3105022831050228E-3</v>
      </c>
      <c r="Y64">
        <v>6.4407594328286487E-3</v>
      </c>
      <c r="Z64" t="s">
        <v>304</v>
      </c>
      <c r="AA64" t="s">
        <v>25</v>
      </c>
      <c r="AC64" t="s">
        <v>22</v>
      </c>
      <c r="AD64" t="s">
        <v>304</v>
      </c>
      <c r="AE64">
        <v>3.4018071002564132E-3</v>
      </c>
      <c r="AG64" t="s">
        <v>97</v>
      </c>
      <c r="AH64" t="s">
        <v>304</v>
      </c>
      <c r="AI64">
        <v>9.0532676819997437E-2</v>
      </c>
    </row>
    <row r="65" spans="5:35" x14ac:dyDescent="0.45">
      <c r="E65" t="s">
        <v>222</v>
      </c>
      <c r="G65" t="s">
        <v>162</v>
      </c>
      <c r="I65" t="s">
        <v>249</v>
      </c>
      <c r="J65" t="s">
        <v>305</v>
      </c>
      <c r="K65">
        <v>6.3750364271071003E-3</v>
      </c>
      <c r="L65" t="s">
        <v>251</v>
      </c>
      <c r="N65" t="s">
        <v>419</v>
      </c>
      <c r="O65" t="s">
        <v>305</v>
      </c>
      <c r="P65">
        <v>3.4314363395336438E-3</v>
      </c>
      <c r="Q65" t="s">
        <v>251</v>
      </c>
      <c r="S65" t="s">
        <v>420</v>
      </c>
      <c r="T65" t="s">
        <v>305</v>
      </c>
      <c r="U65">
        <v>3.5611671523207468E-3</v>
      </c>
      <c r="V65" t="s">
        <v>251</v>
      </c>
      <c r="X65">
        <v>3.3105022831050228E-3</v>
      </c>
      <c r="Y65">
        <v>6.4407594328286487E-3</v>
      </c>
      <c r="Z65" t="s">
        <v>305</v>
      </c>
      <c r="AA65" t="s">
        <v>25</v>
      </c>
      <c r="AC65" t="s">
        <v>22</v>
      </c>
      <c r="AD65" t="s">
        <v>305</v>
      </c>
      <c r="AE65">
        <v>3.3548264252412649E-3</v>
      </c>
      <c r="AG65" t="s">
        <v>97</v>
      </c>
      <c r="AH65" t="s">
        <v>305</v>
      </c>
      <c r="AI65">
        <v>9.5858883295930397E-2</v>
      </c>
    </row>
    <row r="66" spans="5:35" x14ac:dyDescent="0.45">
      <c r="E66" t="s">
        <v>223</v>
      </c>
      <c r="G66" t="s">
        <v>162</v>
      </c>
      <c r="I66" t="s">
        <v>249</v>
      </c>
      <c r="J66" t="s">
        <v>306</v>
      </c>
      <c r="K66">
        <v>4.909640785656426E-3</v>
      </c>
      <c r="L66" t="s">
        <v>251</v>
      </c>
      <c r="N66" t="s">
        <v>419</v>
      </c>
      <c r="O66" t="s">
        <v>306</v>
      </c>
      <c r="P66">
        <v>2.465069166218252E-2</v>
      </c>
      <c r="Q66" t="s">
        <v>251</v>
      </c>
      <c r="S66" t="s">
        <v>420</v>
      </c>
      <c r="T66" t="s">
        <v>306</v>
      </c>
      <c r="U66">
        <v>2.3960545930357222E-2</v>
      </c>
      <c r="V66" t="s">
        <v>251</v>
      </c>
      <c r="X66">
        <v>1.9863013698630139E-2</v>
      </c>
      <c r="Y66">
        <v>1.7495794280221105E-2</v>
      </c>
      <c r="Z66" t="s">
        <v>306</v>
      </c>
      <c r="AA66" t="s">
        <v>25</v>
      </c>
      <c r="AC66" t="s">
        <v>22</v>
      </c>
      <c r="AD66" t="s">
        <v>306</v>
      </c>
      <c r="AE66">
        <v>2.0341449536178426E-2</v>
      </c>
      <c r="AG66" t="s">
        <v>97</v>
      </c>
      <c r="AH66" t="s">
        <v>306</v>
      </c>
      <c r="AI66">
        <v>0.11780382040597193</v>
      </c>
    </row>
    <row r="67" spans="5:35" x14ac:dyDescent="0.45">
      <c r="E67" t="s">
        <v>224</v>
      </c>
      <c r="G67" t="s">
        <v>162</v>
      </c>
      <c r="I67" t="s">
        <v>249</v>
      </c>
      <c r="J67" t="s">
        <v>307</v>
      </c>
      <c r="K67">
        <v>0</v>
      </c>
      <c r="L67" t="s">
        <v>251</v>
      </c>
      <c r="N67" t="s">
        <v>419</v>
      </c>
      <c r="O67" t="s">
        <v>307</v>
      </c>
      <c r="P67">
        <v>2.068316457713E-4</v>
      </c>
      <c r="Q67" t="s">
        <v>251</v>
      </c>
      <c r="S67" t="s">
        <v>420</v>
      </c>
      <c r="T67" t="s">
        <v>307</v>
      </c>
      <c r="U67">
        <v>1.1250938837329999E-4</v>
      </c>
      <c r="V67" t="s">
        <v>251</v>
      </c>
      <c r="X67">
        <v>1.1415525114155251E-4</v>
      </c>
      <c r="Y67">
        <v>2.1546544680075254E-5</v>
      </c>
      <c r="Z67" t="s">
        <v>307</v>
      </c>
      <c r="AA67" t="s">
        <v>25</v>
      </c>
      <c r="AC67" t="s">
        <v>22</v>
      </c>
      <c r="AD67" t="s">
        <v>307</v>
      </c>
      <c r="AE67">
        <v>1.2214692785097843E-4</v>
      </c>
      <c r="AG67" t="s">
        <v>97</v>
      </c>
      <c r="AH67" t="s">
        <v>307</v>
      </c>
      <c r="AI67">
        <v>0</v>
      </c>
    </row>
    <row r="68" spans="5:35" x14ac:dyDescent="0.45">
      <c r="E68" t="s">
        <v>225</v>
      </c>
      <c r="G68" t="s">
        <v>162</v>
      </c>
      <c r="I68" t="s">
        <v>249</v>
      </c>
      <c r="J68" t="s">
        <v>308</v>
      </c>
      <c r="K68">
        <v>0</v>
      </c>
      <c r="L68" t="s">
        <v>251</v>
      </c>
      <c r="N68" t="s">
        <v>419</v>
      </c>
      <c r="O68" t="s">
        <v>308</v>
      </c>
      <c r="P68">
        <v>2.133698696153E-4</v>
      </c>
      <c r="Q68" t="s">
        <v>251</v>
      </c>
      <c r="S68" t="s">
        <v>420</v>
      </c>
      <c r="T68" t="s">
        <v>308</v>
      </c>
      <c r="U68">
        <v>1.304557357375E-4</v>
      </c>
      <c r="V68" t="s">
        <v>251</v>
      </c>
      <c r="X68">
        <v>1.1415525114155251E-4</v>
      </c>
      <c r="Y68">
        <v>1.4916838624667481E-5</v>
      </c>
      <c r="Z68" t="s">
        <v>308</v>
      </c>
      <c r="AA68" t="s">
        <v>25</v>
      </c>
      <c r="AC68" t="s">
        <v>22</v>
      </c>
      <c r="AD68" t="s">
        <v>308</v>
      </c>
      <c r="AE68">
        <v>1.1885826192492701E-4</v>
      </c>
      <c r="AG68" t="s">
        <v>97</v>
      </c>
      <c r="AH68" t="s">
        <v>308</v>
      </c>
      <c r="AI68">
        <v>0</v>
      </c>
    </row>
    <row r="69" spans="5:35" x14ac:dyDescent="0.45">
      <c r="E69" t="s">
        <v>226</v>
      </c>
      <c r="G69" t="s">
        <v>162</v>
      </c>
      <c r="I69" t="s">
        <v>249</v>
      </c>
      <c r="J69" t="s">
        <v>309</v>
      </c>
      <c r="K69">
        <v>0</v>
      </c>
      <c r="L69" t="s">
        <v>251</v>
      </c>
      <c r="N69" t="s">
        <v>419</v>
      </c>
      <c r="O69" t="s">
        <v>309</v>
      </c>
      <c r="P69">
        <v>2.1944319048419999E-4</v>
      </c>
      <c r="Q69" t="s">
        <v>251</v>
      </c>
      <c r="S69" t="s">
        <v>420</v>
      </c>
      <c r="T69" t="s">
        <v>309</v>
      </c>
      <c r="U69">
        <v>1.502871849535E-4</v>
      </c>
      <c r="V69" t="s">
        <v>251</v>
      </c>
      <c r="X69">
        <v>1.1415525114155251E-4</v>
      </c>
      <c r="Y69">
        <v>1.6574265138519424E-5</v>
      </c>
      <c r="Z69" t="s">
        <v>309</v>
      </c>
      <c r="AA69" t="s">
        <v>25</v>
      </c>
      <c r="AC69" t="s">
        <v>22</v>
      </c>
      <c r="AD69" t="s">
        <v>309</v>
      </c>
      <c r="AE69">
        <v>1.1552050745094068E-4</v>
      </c>
      <c r="AG69" t="s">
        <v>97</v>
      </c>
      <c r="AH69" t="s">
        <v>309</v>
      </c>
      <c r="AI69">
        <v>0</v>
      </c>
    </row>
    <row r="70" spans="5:35" x14ac:dyDescent="0.45">
      <c r="E70" t="s">
        <v>227</v>
      </c>
      <c r="G70" t="s">
        <v>162</v>
      </c>
      <c r="I70" t="s">
        <v>249</v>
      </c>
      <c r="J70" t="s">
        <v>310</v>
      </c>
      <c r="K70">
        <v>0</v>
      </c>
      <c r="L70" t="s">
        <v>251</v>
      </c>
      <c r="N70" t="s">
        <v>419</v>
      </c>
      <c r="O70" t="s">
        <v>310</v>
      </c>
      <c r="P70">
        <v>2.2475508567009999E-4</v>
      </c>
      <c r="Q70" t="s">
        <v>251</v>
      </c>
      <c r="S70" t="s">
        <v>420</v>
      </c>
      <c r="T70" t="s">
        <v>310</v>
      </c>
      <c r="U70">
        <v>1.587642643081E-4</v>
      </c>
      <c r="V70" t="s">
        <v>251</v>
      </c>
      <c r="X70">
        <v>1.1415525114155251E-4</v>
      </c>
      <c r="Y70">
        <v>1.4585353321897093E-5</v>
      </c>
      <c r="Z70" t="s">
        <v>310</v>
      </c>
      <c r="AA70" t="s">
        <v>25</v>
      </c>
      <c r="AC70" t="s">
        <v>22</v>
      </c>
      <c r="AD70" t="s">
        <v>310</v>
      </c>
      <c r="AE70">
        <v>1.067816787761828E-4</v>
      </c>
      <c r="AG70" t="s">
        <v>97</v>
      </c>
      <c r="AH70" t="s">
        <v>310</v>
      </c>
      <c r="AI70">
        <v>0</v>
      </c>
    </row>
    <row r="71" spans="5:35" x14ac:dyDescent="0.45">
      <c r="E71" t="s">
        <v>228</v>
      </c>
      <c r="G71" t="s">
        <v>162</v>
      </c>
      <c r="I71" t="s">
        <v>249</v>
      </c>
      <c r="J71" t="s">
        <v>311</v>
      </c>
      <c r="K71">
        <v>0</v>
      </c>
      <c r="L71" t="s">
        <v>251</v>
      </c>
      <c r="N71" t="s">
        <v>419</v>
      </c>
      <c r="O71" t="s">
        <v>311</v>
      </c>
      <c r="P71">
        <v>2.234836509721E-4</v>
      </c>
      <c r="Q71" t="s">
        <v>251</v>
      </c>
      <c r="S71" t="s">
        <v>420</v>
      </c>
      <c r="T71" t="s">
        <v>311</v>
      </c>
      <c r="U71">
        <v>1.6646227910649999E-4</v>
      </c>
      <c r="V71" t="s">
        <v>251</v>
      </c>
      <c r="X71">
        <v>1.1415525114155251E-4</v>
      </c>
      <c r="Y71">
        <v>2.1215059377304864E-5</v>
      </c>
      <c r="Z71" t="s">
        <v>311</v>
      </c>
      <c r="AA71" t="s">
        <v>25</v>
      </c>
      <c r="AC71" t="s">
        <v>22</v>
      </c>
      <c r="AD71" t="s">
        <v>311</v>
      </c>
      <c r="AE71">
        <v>9.9979713460160484E-5</v>
      </c>
      <c r="AG71" t="s">
        <v>97</v>
      </c>
      <c r="AH71" t="s">
        <v>311</v>
      </c>
      <c r="AI71">
        <v>0</v>
      </c>
    </row>
    <row r="72" spans="5:35" x14ac:dyDescent="0.45">
      <c r="E72" t="s">
        <v>229</v>
      </c>
      <c r="G72" t="s">
        <v>162</v>
      </c>
      <c r="I72" t="s">
        <v>249</v>
      </c>
      <c r="J72" t="s">
        <v>312</v>
      </c>
      <c r="K72">
        <v>0</v>
      </c>
      <c r="L72" t="s">
        <v>251</v>
      </c>
      <c r="N72" t="s">
        <v>419</v>
      </c>
      <c r="O72" t="s">
        <v>312</v>
      </c>
      <c r="P72">
        <v>2.1938177183149999E-4</v>
      </c>
      <c r="Q72" t="s">
        <v>251</v>
      </c>
      <c r="S72" t="s">
        <v>420</v>
      </c>
      <c r="T72" t="s">
        <v>312</v>
      </c>
      <c r="U72">
        <v>1.6025301685510001E-4</v>
      </c>
      <c r="V72" t="s">
        <v>251</v>
      </c>
      <c r="X72">
        <v>1.1415525114155251E-4</v>
      </c>
      <c r="Y72">
        <v>5.7678442682047593E-5</v>
      </c>
      <c r="Z72" t="s">
        <v>312</v>
      </c>
      <c r="AA72" t="s">
        <v>25</v>
      </c>
      <c r="AC72" t="s">
        <v>22</v>
      </c>
      <c r="AD72" t="s">
        <v>312</v>
      </c>
      <c r="AE72">
        <v>8.9553732735727143E-5</v>
      </c>
      <c r="AG72" t="s">
        <v>97</v>
      </c>
      <c r="AH72" t="s">
        <v>312</v>
      </c>
      <c r="AI72">
        <v>0</v>
      </c>
    </row>
    <row r="73" spans="5:35" x14ac:dyDescent="0.45">
      <c r="E73" t="s">
        <v>230</v>
      </c>
      <c r="G73" t="s">
        <v>162</v>
      </c>
      <c r="I73" t="s">
        <v>249</v>
      </c>
      <c r="J73" t="s">
        <v>313</v>
      </c>
      <c r="K73">
        <v>1.2327990374899999E-4</v>
      </c>
      <c r="L73" t="s">
        <v>251</v>
      </c>
      <c r="N73" t="s">
        <v>419</v>
      </c>
      <c r="O73" t="s">
        <v>313</v>
      </c>
      <c r="P73">
        <v>2.184024983387E-4</v>
      </c>
      <c r="Q73" t="s">
        <v>251</v>
      </c>
      <c r="S73" t="s">
        <v>420</v>
      </c>
      <c r="T73" t="s">
        <v>313</v>
      </c>
      <c r="U73">
        <v>1.5925918946229999E-4</v>
      </c>
      <c r="V73" t="s">
        <v>251</v>
      </c>
      <c r="X73">
        <v>1.1415525114155251E-4</v>
      </c>
      <c r="Y73">
        <v>1.6905750441289813E-4</v>
      </c>
      <c r="Z73" t="s">
        <v>313</v>
      </c>
      <c r="AA73" t="s">
        <v>25</v>
      </c>
      <c r="AC73" t="s">
        <v>22</v>
      </c>
      <c r="AD73" t="s">
        <v>313</v>
      </c>
      <c r="AE73">
        <v>8.5841944869323848E-5</v>
      </c>
      <c r="AG73" t="s">
        <v>97</v>
      </c>
      <c r="AH73" t="s">
        <v>313</v>
      </c>
      <c r="AI73">
        <v>0</v>
      </c>
    </row>
    <row r="74" spans="5:35" x14ac:dyDescent="0.45">
      <c r="E74" t="s">
        <v>231</v>
      </c>
      <c r="G74" t="s">
        <v>162</v>
      </c>
      <c r="I74" t="s">
        <v>249</v>
      </c>
      <c r="J74" t="s">
        <v>314</v>
      </c>
      <c r="K74">
        <v>2.4446832970629999E-4</v>
      </c>
      <c r="L74" t="s">
        <v>251</v>
      </c>
      <c r="N74" t="s">
        <v>419</v>
      </c>
      <c r="O74" t="s">
        <v>314</v>
      </c>
      <c r="P74">
        <v>2.200284218404E-4</v>
      </c>
      <c r="Q74" t="s">
        <v>251</v>
      </c>
      <c r="S74" t="s">
        <v>420</v>
      </c>
      <c r="T74" t="s">
        <v>314</v>
      </c>
      <c r="U74">
        <v>1.5040828189889999E-4</v>
      </c>
      <c r="V74" t="s">
        <v>251</v>
      </c>
      <c r="X74">
        <v>1.1415525114155251E-4</v>
      </c>
      <c r="Y74">
        <v>1.9060404909297337E-4</v>
      </c>
      <c r="Z74" t="s">
        <v>314</v>
      </c>
      <c r="AA74" t="s">
        <v>25</v>
      </c>
      <c r="AC74" t="s">
        <v>22</v>
      </c>
      <c r="AD74" t="s">
        <v>314</v>
      </c>
      <c r="AE74">
        <v>8.3815441553489772E-5</v>
      </c>
      <c r="AG74" t="s">
        <v>97</v>
      </c>
      <c r="AH74" t="s">
        <v>314</v>
      </c>
      <c r="AI74">
        <v>0</v>
      </c>
    </row>
    <row r="75" spans="5:35" x14ac:dyDescent="0.45">
      <c r="E75" t="s">
        <v>232</v>
      </c>
      <c r="G75" t="s">
        <v>162</v>
      </c>
      <c r="I75" t="s">
        <v>249</v>
      </c>
      <c r="J75" t="s">
        <v>315</v>
      </c>
      <c r="K75">
        <v>3.0162575190050001E-4</v>
      </c>
      <c r="L75" t="s">
        <v>251</v>
      </c>
      <c r="N75" t="s">
        <v>419</v>
      </c>
      <c r="O75" t="s">
        <v>315</v>
      </c>
      <c r="P75">
        <v>2.2126800327719999E-4</v>
      </c>
      <c r="Q75" t="s">
        <v>251</v>
      </c>
      <c r="S75" t="s">
        <v>420</v>
      </c>
      <c r="T75" t="s">
        <v>315</v>
      </c>
      <c r="U75">
        <v>1.5810325552510001E-4</v>
      </c>
      <c r="V75" t="s">
        <v>251</v>
      </c>
      <c r="X75">
        <v>1.1415525114155251E-4</v>
      </c>
      <c r="Y75">
        <v>1.4585353321897094E-4</v>
      </c>
      <c r="Z75" t="s">
        <v>315</v>
      </c>
      <c r="AA75" t="s">
        <v>25</v>
      </c>
      <c r="AC75" t="s">
        <v>22</v>
      </c>
      <c r="AD75" t="s">
        <v>315</v>
      </c>
      <c r="AE75">
        <v>8.4655015794528454E-5</v>
      </c>
      <c r="AG75" t="s">
        <v>97</v>
      </c>
      <c r="AH75" t="s">
        <v>315</v>
      </c>
      <c r="AI75">
        <v>0</v>
      </c>
    </row>
    <row r="76" spans="5:35" x14ac:dyDescent="0.45">
      <c r="E76" t="s">
        <v>233</v>
      </c>
      <c r="G76" t="s">
        <v>162</v>
      </c>
      <c r="I76" t="s">
        <v>249</v>
      </c>
      <c r="J76" t="s">
        <v>316</v>
      </c>
      <c r="K76">
        <v>3.3075384530070002E-4</v>
      </c>
      <c r="L76" t="s">
        <v>251</v>
      </c>
      <c r="N76" t="s">
        <v>419</v>
      </c>
      <c r="O76" t="s">
        <v>316</v>
      </c>
      <c r="P76">
        <v>2.2379674208360001E-4</v>
      </c>
      <c r="Q76" t="s">
        <v>251</v>
      </c>
      <c r="S76" t="s">
        <v>420</v>
      </c>
      <c r="T76" t="s">
        <v>316</v>
      </c>
      <c r="U76">
        <v>1.7375501173459999E-4</v>
      </c>
      <c r="V76" t="s">
        <v>251</v>
      </c>
      <c r="X76">
        <v>1.1415525114155251E-4</v>
      </c>
      <c r="Y76">
        <v>1.4452759200788939E-4</v>
      </c>
      <c r="Z76" t="s">
        <v>316</v>
      </c>
      <c r="AA76" t="s">
        <v>25</v>
      </c>
      <c r="AC76" t="s">
        <v>22</v>
      </c>
      <c r="AD76" t="s">
        <v>316</v>
      </c>
      <c r="AE76">
        <v>8.6084986538718892E-5</v>
      </c>
      <c r="AG76" t="s">
        <v>97</v>
      </c>
      <c r="AH76" t="s">
        <v>316</v>
      </c>
      <c r="AI76">
        <v>0</v>
      </c>
    </row>
    <row r="77" spans="5:35" x14ac:dyDescent="0.45">
      <c r="E77" t="s">
        <v>234</v>
      </c>
      <c r="G77" t="s">
        <v>162</v>
      </c>
      <c r="I77" t="s">
        <v>249</v>
      </c>
      <c r="J77" t="s">
        <v>317</v>
      </c>
      <c r="K77">
        <v>3.4405373539710002E-4</v>
      </c>
      <c r="L77" t="s">
        <v>251</v>
      </c>
      <c r="N77" t="s">
        <v>419</v>
      </c>
      <c r="O77" t="s">
        <v>317</v>
      </c>
      <c r="P77">
        <v>2.236389553603E-4</v>
      </c>
      <c r="Q77" t="s">
        <v>251</v>
      </c>
      <c r="S77" t="s">
        <v>420</v>
      </c>
      <c r="T77" t="s">
        <v>317</v>
      </c>
      <c r="U77">
        <v>1.6571625308049999E-4</v>
      </c>
      <c r="V77" t="s">
        <v>251</v>
      </c>
      <c r="X77">
        <v>1.1415525114155251E-4</v>
      </c>
      <c r="Y77">
        <v>1.408812536774151E-4</v>
      </c>
      <c r="Z77" t="s">
        <v>317</v>
      </c>
      <c r="AA77" t="s">
        <v>25</v>
      </c>
      <c r="AC77" t="s">
        <v>22</v>
      </c>
      <c r="AD77" t="s">
        <v>317</v>
      </c>
      <c r="AE77">
        <v>9.6653964337571274E-5</v>
      </c>
      <c r="AG77" t="s">
        <v>97</v>
      </c>
      <c r="AH77" t="s">
        <v>317</v>
      </c>
      <c r="AI77">
        <v>0</v>
      </c>
    </row>
    <row r="78" spans="5:35" x14ac:dyDescent="0.45">
      <c r="E78" t="s">
        <v>235</v>
      </c>
      <c r="G78" t="s">
        <v>162</v>
      </c>
      <c r="I78" t="s">
        <v>249</v>
      </c>
      <c r="J78" t="s">
        <v>318</v>
      </c>
      <c r="K78">
        <v>3.4326780085729998E-4</v>
      </c>
      <c r="L78" t="s">
        <v>251</v>
      </c>
      <c r="N78" t="s">
        <v>419</v>
      </c>
      <c r="O78" t="s">
        <v>318</v>
      </c>
      <c r="P78">
        <v>2.223601436964E-4</v>
      </c>
      <c r="Q78" t="s">
        <v>251</v>
      </c>
      <c r="S78" t="s">
        <v>420</v>
      </c>
      <c r="T78" t="s">
        <v>318</v>
      </c>
      <c r="U78">
        <v>1.4991196910819999E-4</v>
      </c>
      <c r="V78" t="s">
        <v>251</v>
      </c>
      <c r="X78">
        <v>1.1415525114155251E-4</v>
      </c>
      <c r="Y78">
        <v>1.4054976837464471E-4</v>
      </c>
      <c r="Z78" t="s">
        <v>318</v>
      </c>
      <c r="AA78" t="s">
        <v>25</v>
      </c>
      <c r="AC78" t="s">
        <v>22</v>
      </c>
      <c r="AD78" t="s">
        <v>318</v>
      </c>
      <c r="AE78">
        <v>1.0768741584269895E-4</v>
      </c>
      <c r="AG78" t="s">
        <v>97</v>
      </c>
      <c r="AH78" t="s">
        <v>318</v>
      </c>
      <c r="AI78">
        <v>0</v>
      </c>
    </row>
    <row r="79" spans="5:35" x14ac:dyDescent="0.45">
      <c r="E79" t="s">
        <v>236</v>
      </c>
      <c r="G79" t="s">
        <v>162</v>
      </c>
      <c r="I79" t="s">
        <v>249</v>
      </c>
      <c r="J79" t="s">
        <v>319</v>
      </c>
      <c r="K79">
        <v>3.3037400184009999E-4</v>
      </c>
      <c r="L79" t="s">
        <v>251</v>
      </c>
      <c r="N79" t="s">
        <v>419</v>
      </c>
      <c r="O79" t="s">
        <v>319</v>
      </c>
      <c r="P79">
        <v>2.2135443955769999E-4</v>
      </c>
      <c r="Q79" t="s">
        <v>251</v>
      </c>
      <c r="S79" t="s">
        <v>420</v>
      </c>
      <c r="T79" t="s">
        <v>319</v>
      </c>
      <c r="U79">
        <v>1.4440057610470001E-4</v>
      </c>
      <c r="V79" t="s">
        <v>251</v>
      </c>
      <c r="X79">
        <v>1.1415525114155251E-4</v>
      </c>
      <c r="Y79">
        <v>1.4253868019126702E-4</v>
      </c>
      <c r="Z79" t="s">
        <v>319</v>
      </c>
      <c r="AA79" t="s">
        <v>25</v>
      </c>
      <c r="AC79" t="s">
        <v>22</v>
      </c>
      <c r="AD79" t="s">
        <v>319</v>
      </c>
      <c r="AE79">
        <v>1.1842820355932346E-4</v>
      </c>
      <c r="AG79" t="s">
        <v>97</v>
      </c>
      <c r="AH79" t="s">
        <v>319</v>
      </c>
      <c r="AI79">
        <v>0</v>
      </c>
    </row>
    <row r="80" spans="5:35" x14ac:dyDescent="0.45">
      <c r="E80" t="s">
        <v>237</v>
      </c>
      <c r="G80" t="s">
        <v>162</v>
      </c>
      <c r="I80" t="s">
        <v>249</v>
      </c>
      <c r="J80" t="s">
        <v>320</v>
      </c>
      <c r="K80">
        <v>3.3262692613489998E-4</v>
      </c>
      <c r="L80" t="s">
        <v>251</v>
      </c>
      <c r="N80" t="s">
        <v>419</v>
      </c>
      <c r="O80" t="s">
        <v>320</v>
      </c>
      <c r="P80">
        <v>2.2362515325169999E-4</v>
      </c>
      <c r="Q80" t="s">
        <v>251</v>
      </c>
      <c r="S80" t="s">
        <v>420</v>
      </c>
      <c r="T80" t="s">
        <v>320</v>
      </c>
      <c r="U80">
        <v>1.5011201062369999E-4</v>
      </c>
      <c r="V80" t="s">
        <v>251</v>
      </c>
      <c r="X80">
        <v>1.1415525114155251E-4</v>
      </c>
      <c r="Y80">
        <v>1.4883690094390442E-4</v>
      </c>
      <c r="Z80" t="s">
        <v>320</v>
      </c>
      <c r="AA80" t="s">
        <v>25</v>
      </c>
      <c r="AC80" t="s">
        <v>22</v>
      </c>
      <c r="AD80" t="s">
        <v>320</v>
      </c>
      <c r="AE80">
        <v>1.2651740933070378E-4</v>
      </c>
      <c r="AG80" t="s">
        <v>97</v>
      </c>
      <c r="AH80" t="s">
        <v>320</v>
      </c>
      <c r="AI80">
        <v>0</v>
      </c>
    </row>
    <row r="81" spans="5:35" x14ac:dyDescent="0.45">
      <c r="E81" t="s">
        <v>238</v>
      </c>
      <c r="G81" t="s">
        <v>162</v>
      </c>
      <c r="I81" t="s">
        <v>249</v>
      </c>
      <c r="J81" t="s">
        <v>321</v>
      </c>
      <c r="K81">
        <v>3.3162910556639997E-4</v>
      </c>
      <c r="L81" t="s">
        <v>251</v>
      </c>
      <c r="N81" t="s">
        <v>419</v>
      </c>
      <c r="O81" t="s">
        <v>321</v>
      </c>
      <c r="P81">
        <v>2.258250843121E-4</v>
      </c>
      <c r="Q81" t="s">
        <v>251</v>
      </c>
      <c r="S81" t="s">
        <v>420</v>
      </c>
      <c r="T81" t="s">
        <v>321</v>
      </c>
      <c r="U81">
        <v>1.6118714076679999E-4</v>
      </c>
      <c r="V81" t="s">
        <v>251</v>
      </c>
      <c r="X81">
        <v>1.1415525114155251E-4</v>
      </c>
      <c r="Y81">
        <v>1.5049432745775637E-4</v>
      </c>
      <c r="Z81" t="s">
        <v>321</v>
      </c>
      <c r="AA81" t="s">
        <v>25</v>
      </c>
      <c r="AC81" t="s">
        <v>22</v>
      </c>
      <c r="AD81" t="s">
        <v>321</v>
      </c>
      <c r="AE81">
        <v>1.2196631400884841E-4</v>
      </c>
      <c r="AG81" t="s">
        <v>97</v>
      </c>
      <c r="AH81" t="s">
        <v>321</v>
      </c>
      <c r="AI81">
        <v>0</v>
      </c>
    </row>
    <row r="82" spans="5:35" x14ac:dyDescent="0.45">
      <c r="E82" t="s">
        <v>239</v>
      </c>
      <c r="G82" t="s">
        <v>162</v>
      </c>
      <c r="I82" t="s">
        <v>249</v>
      </c>
      <c r="J82" t="s">
        <v>322</v>
      </c>
      <c r="K82">
        <v>3.1947068534269999E-4</v>
      </c>
      <c r="L82" t="s">
        <v>251</v>
      </c>
      <c r="N82" t="s">
        <v>419</v>
      </c>
      <c r="O82" t="s">
        <v>322</v>
      </c>
      <c r="P82">
        <v>2.1961672345450001E-4</v>
      </c>
      <c r="Q82" t="s">
        <v>251</v>
      </c>
      <c r="S82" t="s">
        <v>420</v>
      </c>
      <c r="T82" t="s">
        <v>322</v>
      </c>
      <c r="U82">
        <v>1.86352687676E-4</v>
      </c>
      <c r="V82" t="s">
        <v>251</v>
      </c>
      <c r="X82">
        <v>1.1415525114155251E-4</v>
      </c>
      <c r="Y82">
        <v>1.7237235744060203E-4</v>
      </c>
      <c r="Z82" t="s">
        <v>322</v>
      </c>
      <c r="AA82" t="s">
        <v>25</v>
      </c>
      <c r="AC82" t="s">
        <v>22</v>
      </c>
      <c r="AD82" t="s">
        <v>322</v>
      </c>
      <c r="AE82">
        <v>1.2007080241603627E-4</v>
      </c>
      <c r="AG82" t="s">
        <v>97</v>
      </c>
      <c r="AH82" t="s">
        <v>322</v>
      </c>
      <c r="AI82">
        <v>0</v>
      </c>
    </row>
    <row r="83" spans="5:35" x14ac:dyDescent="0.45">
      <c r="E83" t="s">
        <v>240</v>
      </c>
      <c r="G83" t="s">
        <v>152</v>
      </c>
      <c r="I83" t="s">
        <v>249</v>
      </c>
      <c r="J83" t="s">
        <v>323</v>
      </c>
      <c r="K83">
        <v>2.9464130636330002E-4</v>
      </c>
      <c r="L83" t="s">
        <v>251</v>
      </c>
      <c r="N83" t="s">
        <v>419</v>
      </c>
      <c r="O83" t="s">
        <v>323</v>
      </c>
      <c r="P83">
        <v>2.161053250759E-4</v>
      </c>
      <c r="Q83" t="s">
        <v>251</v>
      </c>
      <c r="S83" t="s">
        <v>420</v>
      </c>
      <c r="T83" t="s">
        <v>323</v>
      </c>
      <c r="U83">
        <v>1.9113431457799999E-4</v>
      </c>
      <c r="V83" t="s">
        <v>251</v>
      </c>
      <c r="X83">
        <v>1.1415525114155251E-4</v>
      </c>
      <c r="Y83">
        <v>2.2209515285616027E-4</v>
      </c>
      <c r="Z83" t="s">
        <v>323</v>
      </c>
      <c r="AA83" t="s">
        <v>25</v>
      </c>
      <c r="AC83" t="s">
        <v>22</v>
      </c>
      <c r="AD83" t="s">
        <v>323</v>
      </c>
      <c r="AE83">
        <v>1.1999316781033487E-4</v>
      </c>
      <c r="AG83" t="s">
        <v>97</v>
      </c>
      <c r="AH83" t="s">
        <v>323</v>
      </c>
      <c r="AI83">
        <v>0</v>
      </c>
    </row>
    <row r="84" spans="5:35" x14ac:dyDescent="0.45">
      <c r="E84" t="s">
        <v>241</v>
      </c>
      <c r="G84" t="s">
        <v>152</v>
      </c>
      <c r="I84" t="s">
        <v>249</v>
      </c>
      <c r="J84" t="s">
        <v>324</v>
      </c>
      <c r="K84">
        <v>2.5377261493689999E-4</v>
      </c>
      <c r="L84" t="s">
        <v>251</v>
      </c>
      <c r="N84" t="s">
        <v>419</v>
      </c>
      <c r="O84" t="s">
        <v>324</v>
      </c>
      <c r="P84">
        <v>2.1293151189600001E-4</v>
      </c>
      <c r="Q84" t="s">
        <v>251</v>
      </c>
      <c r="S84" t="s">
        <v>420</v>
      </c>
      <c r="T84" t="s">
        <v>324</v>
      </c>
      <c r="U84">
        <v>2.031951628682E-4</v>
      </c>
      <c r="V84" t="s">
        <v>251</v>
      </c>
      <c r="X84">
        <v>1.1415525114155251E-4</v>
      </c>
      <c r="Y84">
        <v>2.2209515285616027E-4</v>
      </c>
      <c r="Z84" t="s">
        <v>324</v>
      </c>
      <c r="AA84" t="s">
        <v>25</v>
      </c>
      <c r="AC84" t="s">
        <v>22</v>
      </c>
      <c r="AD84" t="s">
        <v>324</v>
      </c>
      <c r="AE84">
        <v>1.1943531914874865E-4</v>
      </c>
      <c r="AG84" t="s">
        <v>97</v>
      </c>
      <c r="AH84" t="s">
        <v>324</v>
      </c>
      <c r="AI84">
        <v>0</v>
      </c>
    </row>
    <row r="85" spans="5:35" x14ac:dyDescent="0.45">
      <c r="E85" t="s">
        <v>242</v>
      </c>
      <c r="G85" t="s">
        <v>152</v>
      </c>
      <c r="I85" t="s">
        <v>249</v>
      </c>
      <c r="J85" t="s">
        <v>325</v>
      </c>
      <c r="K85">
        <v>1.8316235416300001E-4</v>
      </c>
      <c r="L85" t="s">
        <v>251</v>
      </c>
      <c r="N85" t="s">
        <v>419</v>
      </c>
      <c r="O85" t="s">
        <v>325</v>
      </c>
      <c r="P85">
        <v>2.0227875475170001E-4</v>
      </c>
      <c r="Q85" t="s">
        <v>251</v>
      </c>
      <c r="S85" t="s">
        <v>420</v>
      </c>
      <c r="T85" t="s">
        <v>325</v>
      </c>
      <c r="U85">
        <v>2.191540996744E-4</v>
      </c>
      <c r="V85" t="s">
        <v>251</v>
      </c>
      <c r="X85">
        <v>1.1415525114155251E-4</v>
      </c>
      <c r="Y85">
        <v>1.7237235744060203E-4</v>
      </c>
      <c r="Z85" t="s">
        <v>325</v>
      </c>
      <c r="AA85" t="s">
        <v>25</v>
      </c>
      <c r="AC85" t="s">
        <v>22</v>
      </c>
      <c r="AD85" t="s">
        <v>325</v>
      </c>
      <c r="AE85">
        <v>1.1980801861323259E-4</v>
      </c>
      <c r="AG85" t="s">
        <v>97</v>
      </c>
      <c r="AH85" t="s">
        <v>325</v>
      </c>
      <c r="AI85">
        <v>0</v>
      </c>
    </row>
    <row r="86" spans="5:35" x14ac:dyDescent="0.45">
      <c r="E86" t="s">
        <v>243</v>
      </c>
      <c r="G86" t="s">
        <v>152</v>
      </c>
      <c r="I86" t="s">
        <v>249</v>
      </c>
      <c r="J86" t="s">
        <v>326</v>
      </c>
      <c r="K86">
        <v>2.4065670480551817E-5</v>
      </c>
      <c r="L86" t="s">
        <v>251</v>
      </c>
      <c r="N86" t="s">
        <v>419</v>
      </c>
      <c r="O86" t="s">
        <v>326</v>
      </c>
      <c r="P86">
        <v>1.8793857495269999E-4</v>
      </c>
      <c r="Q86" t="s">
        <v>251</v>
      </c>
      <c r="S86" t="s">
        <v>420</v>
      </c>
      <c r="T86" t="s">
        <v>326</v>
      </c>
      <c r="U86">
        <v>2.354482632242E-4</v>
      </c>
      <c r="V86" t="s">
        <v>251</v>
      </c>
      <c r="X86">
        <v>1.1415525114155251E-4</v>
      </c>
      <c r="Y86">
        <v>1.5579809230208258E-4</v>
      </c>
      <c r="Z86" t="s">
        <v>326</v>
      </c>
      <c r="AA86" t="s">
        <v>25</v>
      </c>
      <c r="AC86" t="s">
        <v>22</v>
      </c>
      <c r="AD86" t="s">
        <v>326</v>
      </c>
      <c r="AE86">
        <v>1.1964154440719253E-4</v>
      </c>
      <c r="AG86" t="s">
        <v>97</v>
      </c>
      <c r="AH86" t="s">
        <v>326</v>
      </c>
      <c r="AI86">
        <v>0</v>
      </c>
    </row>
    <row r="87" spans="5:35" x14ac:dyDescent="0.45">
      <c r="E87" t="s">
        <v>244</v>
      </c>
      <c r="G87" t="s">
        <v>152</v>
      </c>
      <c r="I87" t="s">
        <v>249</v>
      </c>
      <c r="J87" t="s">
        <v>327</v>
      </c>
      <c r="K87">
        <v>0</v>
      </c>
      <c r="L87" t="s">
        <v>251</v>
      </c>
      <c r="N87" t="s">
        <v>419</v>
      </c>
      <c r="O87" t="s">
        <v>327</v>
      </c>
      <c r="P87">
        <v>1.739003567882E-4</v>
      </c>
      <c r="Q87" t="s">
        <v>251</v>
      </c>
      <c r="S87" t="s">
        <v>420</v>
      </c>
      <c r="T87" t="s">
        <v>327</v>
      </c>
      <c r="U87">
        <v>2.5028129366659997E-4</v>
      </c>
      <c r="V87" t="s">
        <v>251</v>
      </c>
      <c r="X87">
        <v>1.1415525114155251E-4</v>
      </c>
      <c r="Y87">
        <v>1.093901499142282E-4</v>
      </c>
      <c r="Z87" t="s">
        <v>327</v>
      </c>
      <c r="AA87" t="s">
        <v>25</v>
      </c>
      <c r="AC87" t="s">
        <v>22</v>
      </c>
      <c r="AD87" t="s">
        <v>327</v>
      </c>
      <c r="AE87">
        <v>1.1980561754295318E-4</v>
      </c>
      <c r="AG87" t="s">
        <v>97</v>
      </c>
      <c r="AH87" t="s">
        <v>327</v>
      </c>
      <c r="AI87">
        <v>0</v>
      </c>
    </row>
    <row r="88" spans="5:35" x14ac:dyDescent="0.45">
      <c r="E88" t="s">
        <v>245</v>
      </c>
      <c r="G88" t="s">
        <v>152</v>
      </c>
      <c r="I88" t="s">
        <v>249</v>
      </c>
      <c r="J88" t="s">
        <v>328</v>
      </c>
      <c r="K88">
        <v>0</v>
      </c>
      <c r="L88" t="s">
        <v>251</v>
      </c>
      <c r="N88" t="s">
        <v>419</v>
      </c>
      <c r="O88" t="s">
        <v>328</v>
      </c>
      <c r="P88">
        <v>1.6339823653330001E-4</v>
      </c>
      <c r="Q88" t="s">
        <v>251</v>
      </c>
      <c r="S88" t="s">
        <v>420</v>
      </c>
      <c r="T88" t="s">
        <v>328</v>
      </c>
      <c r="U88">
        <v>2.5910852710629999E-4</v>
      </c>
      <c r="V88" t="s">
        <v>251</v>
      </c>
      <c r="X88">
        <v>1.1415525114155251E-4</v>
      </c>
      <c r="Y88">
        <v>7.9556472664893237E-5</v>
      </c>
      <c r="Z88" t="s">
        <v>328</v>
      </c>
      <c r="AA88" t="s">
        <v>25</v>
      </c>
      <c r="AC88" t="s">
        <v>22</v>
      </c>
      <c r="AD88" t="s">
        <v>328</v>
      </c>
      <c r="AE88">
        <v>1.2017404843805149E-4</v>
      </c>
      <c r="AG88" t="s">
        <v>97</v>
      </c>
      <c r="AH88" t="s">
        <v>328</v>
      </c>
      <c r="AI88">
        <v>0</v>
      </c>
    </row>
    <row r="89" spans="5:35" x14ac:dyDescent="0.45">
      <c r="E89" t="s">
        <v>246</v>
      </c>
      <c r="G89" t="s">
        <v>152</v>
      </c>
      <c r="I89" t="s">
        <v>249</v>
      </c>
      <c r="J89" t="s">
        <v>329</v>
      </c>
      <c r="K89">
        <v>0</v>
      </c>
      <c r="L89" t="s">
        <v>251</v>
      </c>
      <c r="N89" t="s">
        <v>419</v>
      </c>
      <c r="O89" t="s">
        <v>329</v>
      </c>
      <c r="P89">
        <v>1.5808852878660001E-4</v>
      </c>
      <c r="Q89" t="s">
        <v>251</v>
      </c>
      <c r="S89" t="s">
        <v>420</v>
      </c>
      <c r="T89" t="s">
        <v>329</v>
      </c>
      <c r="U89">
        <v>2.6379380446880002E-4</v>
      </c>
      <c r="V89" t="s">
        <v>251</v>
      </c>
      <c r="X89">
        <v>1.1415525114155251E-4</v>
      </c>
      <c r="Y89">
        <v>5.6352501470966035E-5</v>
      </c>
      <c r="Z89" t="s">
        <v>329</v>
      </c>
      <c r="AA89" t="s">
        <v>25</v>
      </c>
      <c r="AC89" t="s">
        <v>22</v>
      </c>
      <c r="AD89" t="s">
        <v>329</v>
      </c>
      <c r="AE89">
        <v>1.2011722310810513E-4</v>
      </c>
      <c r="AG89" t="s">
        <v>97</v>
      </c>
      <c r="AH89" t="s">
        <v>329</v>
      </c>
      <c r="AI89">
        <v>0</v>
      </c>
    </row>
    <row r="90" spans="5:35" x14ac:dyDescent="0.45">
      <c r="E90" t="s">
        <v>247</v>
      </c>
      <c r="G90" t="s">
        <v>152</v>
      </c>
      <c r="I90" t="s">
        <v>249</v>
      </c>
      <c r="J90" t="s">
        <v>330</v>
      </c>
      <c r="K90">
        <v>0</v>
      </c>
      <c r="L90" t="s">
        <v>251</v>
      </c>
      <c r="N90" t="s">
        <v>419</v>
      </c>
      <c r="O90" t="s">
        <v>330</v>
      </c>
      <c r="P90">
        <v>1.5942046812069999E-4</v>
      </c>
      <c r="Q90" t="s">
        <v>251</v>
      </c>
      <c r="S90" t="s">
        <v>420</v>
      </c>
      <c r="T90" t="s">
        <v>330</v>
      </c>
      <c r="U90">
        <v>2.6760112112930002E-4</v>
      </c>
      <c r="V90" t="s">
        <v>251</v>
      </c>
      <c r="X90">
        <v>1.1415525114155251E-4</v>
      </c>
      <c r="Y90">
        <v>2.9833677249334962E-5</v>
      </c>
      <c r="Z90" t="s">
        <v>330</v>
      </c>
      <c r="AA90" t="s">
        <v>25</v>
      </c>
      <c r="AC90" t="s">
        <v>22</v>
      </c>
      <c r="AD90" t="s">
        <v>330</v>
      </c>
      <c r="AE90">
        <v>1.2083274205137355E-4</v>
      </c>
      <c r="AG90" t="s">
        <v>97</v>
      </c>
      <c r="AH90" t="s">
        <v>330</v>
      </c>
      <c r="AI90">
        <v>0</v>
      </c>
    </row>
    <row r="91" spans="5:35" x14ac:dyDescent="0.45">
      <c r="I91" t="s">
        <v>249</v>
      </c>
      <c r="J91" t="s">
        <v>331</v>
      </c>
      <c r="K91">
        <v>4.9335144791813233E-4</v>
      </c>
      <c r="L91" t="s">
        <v>251</v>
      </c>
      <c r="N91" t="s">
        <v>419</v>
      </c>
      <c r="O91" t="s">
        <v>331</v>
      </c>
      <c r="P91">
        <v>2.3619791243746632E-2</v>
      </c>
      <c r="Q91" t="s">
        <v>251</v>
      </c>
      <c r="S91" t="s">
        <v>420</v>
      </c>
      <c r="T91" t="s">
        <v>331</v>
      </c>
      <c r="U91">
        <v>2.2043322523336625E-2</v>
      </c>
      <c r="V91" t="s">
        <v>251</v>
      </c>
      <c r="X91">
        <v>2.1232876712328767E-2</v>
      </c>
      <c r="Y91">
        <v>4.5420116185598634E-3</v>
      </c>
      <c r="Z91" t="s">
        <v>331</v>
      </c>
      <c r="AA91" t="s">
        <v>25</v>
      </c>
      <c r="AC91" t="s">
        <v>22</v>
      </c>
      <c r="AD91" t="s">
        <v>331</v>
      </c>
      <c r="AE91">
        <v>1.9690617990117655E-2</v>
      </c>
      <c r="AG91" t="s">
        <v>97</v>
      </c>
      <c r="AH91" t="s">
        <v>331</v>
      </c>
      <c r="AI91">
        <v>0.14699788631802058</v>
      </c>
    </row>
    <row r="92" spans="5:35" x14ac:dyDescent="0.45">
      <c r="I92" t="s">
        <v>249</v>
      </c>
      <c r="J92" t="s">
        <v>332</v>
      </c>
      <c r="K92">
        <v>4.3764532232293662E-3</v>
      </c>
      <c r="L92" t="s">
        <v>251</v>
      </c>
      <c r="N92" t="s">
        <v>419</v>
      </c>
      <c r="O92" t="s">
        <v>332</v>
      </c>
      <c r="P92">
        <v>3.4246522466074075E-3</v>
      </c>
      <c r="Q92" t="s">
        <v>251</v>
      </c>
      <c r="S92" t="s">
        <v>420</v>
      </c>
      <c r="T92" t="s">
        <v>332</v>
      </c>
      <c r="U92">
        <v>3.4398434511848245E-3</v>
      </c>
      <c r="V92" t="s">
        <v>251</v>
      </c>
      <c r="X92">
        <v>3.5388127853881279E-3</v>
      </c>
      <c r="Y92">
        <v>5.240782636799844E-3</v>
      </c>
      <c r="Z92" t="s">
        <v>332</v>
      </c>
      <c r="AA92" t="s">
        <v>25</v>
      </c>
      <c r="AC92" t="s">
        <v>22</v>
      </c>
      <c r="AD92" t="s">
        <v>332</v>
      </c>
      <c r="AE92">
        <v>2.6456368637571403E-3</v>
      </c>
      <c r="AG92" t="s">
        <v>97</v>
      </c>
      <c r="AH92" t="s">
        <v>332</v>
      </c>
      <c r="AI92">
        <v>3.7687404662287927E-2</v>
      </c>
    </row>
    <row r="93" spans="5:35" x14ac:dyDescent="0.45">
      <c r="I93" t="s">
        <v>249</v>
      </c>
      <c r="J93" t="s">
        <v>333</v>
      </c>
      <c r="K93">
        <v>6.5776751073149996E-3</v>
      </c>
      <c r="L93" t="s">
        <v>251</v>
      </c>
      <c r="N93" t="s">
        <v>419</v>
      </c>
      <c r="O93" t="s">
        <v>333</v>
      </c>
      <c r="P93">
        <v>3.173072011760042E-3</v>
      </c>
      <c r="Q93" t="s">
        <v>251</v>
      </c>
      <c r="S93" t="s">
        <v>420</v>
      </c>
      <c r="T93" t="s">
        <v>333</v>
      </c>
      <c r="U93">
        <v>3.4487992132888889E-3</v>
      </c>
      <c r="V93" t="s">
        <v>251</v>
      </c>
      <c r="X93">
        <v>3.5388127853881279E-3</v>
      </c>
      <c r="Y93">
        <v>5.9087255218821738E-3</v>
      </c>
      <c r="Z93" t="s">
        <v>333</v>
      </c>
      <c r="AA93" t="s">
        <v>25</v>
      </c>
      <c r="AC93" t="s">
        <v>22</v>
      </c>
      <c r="AD93" t="s">
        <v>333</v>
      </c>
      <c r="AE93">
        <v>2.5681020358651455E-3</v>
      </c>
      <c r="AG93" t="s">
        <v>97</v>
      </c>
      <c r="AH93" t="s">
        <v>333</v>
      </c>
      <c r="AI93">
        <v>2.836679987744839E-2</v>
      </c>
    </row>
    <row r="94" spans="5:35" x14ac:dyDescent="0.45">
      <c r="I94" t="s">
        <v>249</v>
      </c>
      <c r="J94" t="s">
        <v>334</v>
      </c>
      <c r="K94">
        <v>6.3579767558584299E-2</v>
      </c>
      <c r="L94" t="s">
        <v>251</v>
      </c>
      <c r="N94" t="s">
        <v>419</v>
      </c>
      <c r="O94" t="s">
        <v>334</v>
      </c>
      <c r="P94">
        <v>2.3592593292150223E-2</v>
      </c>
      <c r="Q94" t="s">
        <v>251</v>
      </c>
      <c r="S94" t="s">
        <v>420</v>
      </c>
      <c r="T94" t="s">
        <v>334</v>
      </c>
      <c r="U94">
        <v>2.3343586610834285E-2</v>
      </c>
      <c r="V94" t="s">
        <v>251</v>
      </c>
      <c r="X94">
        <v>2.4771689497716895E-2</v>
      </c>
      <c r="Y94">
        <v>3.1424143732027281E-2</v>
      </c>
      <c r="Z94" t="s">
        <v>334</v>
      </c>
      <c r="AA94" t="s">
        <v>25</v>
      </c>
      <c r="AC94" t="s">
        <v>22</v>
      </c>
      <c r="AD94" t="s">
        <v>334</v>
      </c>
      <c r="AE94">
        <v>2.1583667654061441E-2</v>
      </c>
      <c r="AG94" t="s">
        <v>97</v>
      </c>
      <c r="AH94" t="s">
        <v>334</v>
      </c>
      <c r="AI94">
        <v>0.21092089255818691</v>
      </c>
    </row>
    <row r="95" spans="5:35" x14ac:dyDescent="0.45">
      <c r="I95" t="s">
        <v>249</v>
      </c>
      <c r="J95" t="s">
        <v>335</v>
      </c>
      <c r="K95">
        <v>8.5853735167836995E-3</v>
      </c>
      <c r="L95" t="s">
        <v>251</v>
      </c>
      <c r="N95" t="s">
        <v>419</v>
      </c>
      <c r="O95" t="s">
        <v>335</v>
      </c>
      <c r="P95">
        <v>3.5208185497496692E-3</v>
      </c>
      <c r="Q95" t="s">
        <v>251</v>
      </c>
      <c r="S95" t="s">
        <v>420</v>
      </c>
      <c r="T95" t="s">
        <v>335</v>
      </c>
      <c r="U95">
        <v>3.6820393775627205E-3</v>
      </c>
      <c r="V95" t="s">
        <v>251</v>
      </c>
      <c r="X95">
        <v>3.5388127853881279E-3</v>
      </c>
      <c r="Y95">
        <v>5.3435430806586613E-3</v>
      </c>
      <c r="Z95" t="s">
        <v>335</v>
      </c>
      <c r="AA95" t="s">
        <v>25</v>
      </c>
      <c r="AC95" t="s">
        <v>22</v>
      </c>
      <c r="AD95" t="s">
        <v>335</v>
      </c>
      <c r="AE95">
        <v>3.5276761669721327E-3</v>
      </c>
      <c r="AG95" t="s">
        <v>97</v>
      </c>
      <c r="AH95" t="s">
        <v>335</v>
      </c>
      <c r="AI95">
        <v>4.8412946255800948E-2</v>
      </c>
    </row>
    <row r="96" spans="5:35" x14ac:dyDescent="0.45">
      <c r="I96" t="s">
        <v>249</v>
      </c>
      <c r="J96" t="s">
        <v>336</v>
      </c>
      <c r="K96">
        <v>7.7224142138008003E-3</v>
      </c>
      <c r="L96" t="s">
        <v>251</v>
      </c>
      <c r="N96" t="s">
        <v>419</v>
      </c>
      <c r="O96" t="s">
        <v>336</v>
      </c>
      <c r="P96">
        <v>3.5198585800589751E-3</v>
      </c>
      <c r="Q96" t="s">
        <v>251</v>
      </c>
      <c r="S96" t="s">
        <v>420</v>
      </c>
      <c r="T96" t="s">
        <v>336</v>
      </c>
      <c r="U96">
        <v>3.6434575328003469E-3</v>
      </c>
      <c r="V96" t="s">
        <v>251</v>
      </c>
      <c r="X96">
        <v>3.5388127853881279E-3</v>
      </c>
      <c r="Y96">
        <v>6.8849497385409693E-3</v>
      </c>
      <c r="Z96" t="s">
        <v>336</v>
      </c>
      <c r="AA96" t="s">
        <v>25</v>
      </c>
      <c r="AC96" t="s">
        <v>22</v>
      </c>
      <c r="AD96" t="s">
        <v>336</v>
      </c>
      <c r="AE96">
        <v>3.5353409168752282E-3</v>
      </c>
      <c r="AG96" t="s">
        <v>97</v>
      </c>
      <c r="AH96" t="s">
        <v>336</v>
      </c>
      <c r="AI96">
        <v>5.2748421298292492E-2</v>
      </c>
    </row>
    <row r="97" spans="9:35" x14ac:dyDescent="0.45">
      <c r="I97" t="s">
        <v>249</v>
      </c>
      <c r="J97" t="s">
        <v>337</v>
      </c>
      <c r="K97">
        <v>6.4833732845173001E-3</v>
      </c>
      <c r="L97" t="s">
        <v>251</v>
      </c>
      <c r="N97" t="s">
        <v>419</v>
      </c>
      <c r="O97" t="s">
        <v>337</v>
      </c>
      <c r="P97">
        <v>3.4614343159606415E-3</v>
      </c>
      <c r="Q97" t="s">
        <v>251</v>
      </c>
      <c r="S97" t="s">
        <v>420</v>
      </c>
      <c r="T97" t="s">
        <v>337</v>
      </c>
      <c r="U97">
        <v>3.6810394552026686E-3</v>
      </c>
      <c r="V97" t="s">
        <v>251</v>
      </c>
      <c r="X97">
        <v>3.5388127853881279E-3</v>
      </c>
      <c r="Y97">
        <v>6.8849497385409693E-3</v>
      </c>
      <c r="Z97" t="s">
        <v>337</v>
      </c>
      <c r="AA97" t="s">
        <v>25</v>
      </c>
      <c r="AC97" t="s">
        <v>22</v>
      </c>
      <c r="AD97" t="s">
        <v>337</v>
      </c>
      <c r="AE97">
        <v>3.540813222827623E-3</v>
      </c>
      <c r="AG97" t="s">
        <v>97</v>
      </c>
      <c r="AH97" t="s">
        <v>337</v>
      </c>
      <c r="AI97">
        <v>5.7215910366320788E-2</v>
      </c>
    </row>
    <row r="98" spans="9:35" x14ac:dyDescent="0.45">
      <c r="I98" t="s">
        <v>249</v>
      </c>
      <c r="J98" t="s">
        <v>338</v>
      </c>
      <c r="K98">
        <v>6.4179318594734976E-3</v>
      </c>
      <c r="L98" t="s">
        <v>251</v>
      </c>
      <c r="N98" t="s">
        <v>419</v>
      </c>
      <c r="O98" t="s">
        <v>338</v>
      </c>
      <c r="P98">
        <v>2.4570720173719644E-2</v>
      </c>
      <c r="Q98" t="s">
        <v>251</v>
      </c>
      <c r="S98" t="s">
        <v>420</v>
      </c>
      <c r="T98" t="s">
        <v>338</v>
      </c>
      <c r="U98">
        <v>2.4641906355335301E-2</v>
      </c>
      <c r="V98" t="s">
        <v>251</v>
      </c>
      <c r="X98">
        <v>2.1232876712328767E-2</v>
      </c>
      <c r="Y98">
        <v>1.8702400782305319E-2</v>
      </c>
      <c r="Z98" t="s">
        <v>338</v>
      </c>
      <c r="AA98" t="s">
        <v>25</v>
      </c>
      <c r="AC98" t="s">
        <v>22</v>
      </c>
      <c r="AD98" t="s">
        <v>338</v>
      </c>
      <c r="AE98">
        <v>2.1518813976932626E-2</v>
      </c>
      <c r="AG98" t="s">
        <v>97</v>
      </c>
      <c r="AH98" t="s">
        <v>338</v>
      </c>
      <c r="AI98">
        <v>8.0073275109394881E-2</v>
      </c>
    </row>
    <row r="99" spans="9:35" x14ac:dyDescent="0.45">
      <c r="I99" t="s">
        <v>249</v>
      </c>
      <c r="J99" t="s">
        <v>339</v>
      </c>
      <c r="K99">
        <v>8.9620492023086194E-4</v>
      </c>
      <c r="L99" t="s">
        <v>251</v>
      </c>
      <c r="N99" t="s">
        <v>419</v>
      </c>
      <c r="O99" t="s">
        <v>339</v>
      </c>
      <c r="P99">
        <v>2.1638010353090851E-2</v>
      </c>
      <c r="Q99" t="s">
        <v>251</v>
      </c>
      <c r="S99" t="s">
        <v>420</v>
      </c>
      <c r="T99" t="s">
        <v>339</v>
      </c>
      <c r="U99">
        <v>1.46554772617355E-2</v>
      </c>
      <c r="V99" t="s">
        <v>251</v>
      </c>
      <c r="X99">
        <v>2.0547945205479451E-2</v>
      </c>
      <c r="Y99">
        <v>4.3954951147353507E-3</v>
      </c>
      <c r="Z99" t="s">
        <v>339</v>
      </c>
      <c r="AA99" t="s">
        <v>25</v>
      </c>
      <c r="AC99" t="s">
        <v>22</v>
      </c>
      <c r="AD99" t="s">
        <v>339</v>
      </c>
      <c r="AE99">
        <v>1.9260500610045455E-2</v>
      </c>
      <c r="AG99" t="s">
        <v>97</v>
      </c>
      <c r="AH99" t="s">
        <v>339</v>
      </c>
      <c r="AI99">
        <v>0.14272160879684503</v>
      </c>
    </row>
    <row r="100" spans="9:35" x14ac:dyDescent="0.45">
      <c r="I100" t="s">
        <v>249</v>
      </c>
      <c r="J100" t="s">
        <v>340</v>
      </c>
      <c r="K100">
        <v>4.2189396573354999E-3</v>
      </c>
      <c r="L100" t="s">
        <v>251</v>
      </c>
      <c r="N100" t="s">
        <v>419</v>
      </c>
      <c r="O100" t="s">
        <v>340</v>
      </c>
      <c r="P100">
        <v>2.932390726346185E-3</v>
      </c>
      <c r="Q100" t="s">
        <v>251</v>
      </c>
      <c r="S100" t="s">
        <v>420</v>
      </c>
      <c r="T100" t="s">
        <v>340</v>
      </c>
      <c r="U100">
        <v>2.0274377563429028E-3</v>
      </c>
      <c r="V100" t="s">
        <v>251</v>
      </c>
      <c r="X100">
        <v>3.4246575342465752E-3</v>
      </c>
      <c r="Y100">
        <v>5.0717251323869452E-3</v>
      </c>
      <c r="Z100" t="s">
        <v>340</v>
      </c>
      <c r="AA100" t="s">
        <v>25</v>
      </c>
      <c r="AC100" t="s">
        <v>22</v>
      </c>
      <c r="AD100" t="s">
        <v>340</v>
      </c>
      <c r="AE100">
        <v>2.6497103592723766E-3</v>
      </c>
      <c r="AG100" t="s">
        <v>97</v>
      </c>
      <c r="AH100" t="s">
        <v>340</v>
      </c>
      <c r="AI100">
        <v>6.8326103573197461E-2</v>
      </c>
    </row>
    <row r="101" spans="9:35" x14ac:dyDescent="0.45">
      <c r="I101" t="s">
        <v>249</v>
      </c>
      <c r="J101" t="s">
        <v>341</v>
      </c>
      <c r="K101">
        <v>6.1886482059352998E-3</v>
      </c>
      <c r="L101" t="s">
        <v>251</v>
      </c>
      <c r="N101" t="s">
        <v>419</v>
      </c>
      <c r="O101" t="s">
        <v>341</v>
      </c>
      <c r="P101">
        <v>2.645260723797086E-3</v>
      </c>
      <c r="Q101" t="s">
        <v>251</v>
      </c>
      <c r="S101" t="s">
        <v>420</v>
      </c>
      <c r="T101" t="s">
        <v>341</v>
      </c>
      <c r="U101">
        <v>2.0224615995105386E-3</v>
      </c>
      <c r="V101" t="s">
        <v>251</v>
      </c>
      <c r="X101">
        <v>3.4246575342465752E-3</v>
      </c>
      <c r="Y101">
        <v>5.7181214727892006E-3</v>
      </c>
      <c r="Z101" t="s">
        <v>341</v>
      </c>
      <c r="AA101" t="s">
        <v>25</v>
      </c>
      <c r="AC101" t="s">
        <v>22</v>
      </c>
      <c r="AD101" t="s">
        <v>341</v>
      </c>
      <c r="AE101">
        <v>2.5584782257930265E-3</v>
      </c>
      <c r="AG101" t="s">
        <v>97</v>
      </c>
      <c r="AH101" t="s">
        <v>341</v>
      </c>
      <c r="AI101">
        <v>6.3283153241070034E-2</v>
      </c>
    </row>
    <row r="102" spans="9:35" x14ac:dyDescent="0.45">
      <c r="I102" t="s">
        <v>249</v>
      </c>
      <c r="J102" t="s">
        <v>342</v>
      </c>
      <c r="K102">
        <v>5.9391656967384999E-2</v>
      </c>
      <c r="L102" t="s">
        <v>251</v>
      </c>
      <c r="N102" t="s">
        <v>419</v>
      </c>
      <c r="O102" t="s">
        <v>342</v>
      </c>
      <c r="P102">
        <v>2.0186747215789343E-2</v>
      </c>
      <c r="Q102" t="s">
        <v>251</v>
      </c>
      <c r="S102" t="s">
        <v>420</v>
      </c>
      <c r="T102" t="s">
        <v>342</v>
      </c>
      <c r="U102">
        <v>1.5028412364267944E-2</v>
      </c>
      <c r="V102" t="s">
        <v>251</v>
      </c>
      <c r="X102">
        <v>2.3972602739726026E-2</v>
      </c>
      <c r="Y102">
        <v>3.0410461676155433E-2</v>
      </c>
      <c r="Z102" t="s">
        <v>342</v>
      </c>
      <c r="AA102" t="s">
        <v>25</v>
      </c>
      <c r="AC102" t="s">
        <v>22</v>
      </c>
      <c r="AD102" t="s">
        <v>342</v>
      </c>
      <c r="AE102">
        <v>2.0666995204675419E-2</v>
      </c>
      <c r="AG102" t="s">
        <v>97</v>
      </c>
      <c r="AH102" t="s">
        <v>342</v>
      </c>
      <c r="AI102">
        <v>0.19022521607323695</v>
      </c>
    </row>
    <row r="103" spans="9:35" x14ac:dyDescent="0.45">
      <c r="I103" t="s">
        <v>249</v>
      </c>
      <c r="J103" t="s">
        <v>343</v>
      </c>
      <c r="K103">
        <v>7.9800602970408006E-3</v>
      </c>
      <c r="L103" t="s">
        <v>251</v>
      </c>
      <c r="N103" t="s">
        <v>419</v>
      </c>
      <c r="O103" t="s">
        <v>343</v>
      </c>
      <c r="P103">
        <v>3.0852712538663382E-3</v>
      </c>
      <c r="Q103" t="s">
        <v>251</v>
      </c>
      <c r="S103" t="s">
        <v>420</v>
      </c>
      <c r="T103" t="s">
        <v>343</v>
      </c>
      <c r="U103">
        <v>2.547697763517483E-3</v>
      </c>
      <c r="V103" t="s">
        <v>251</v>
      </c>
      <c r="X103">
        <v>3.4246575342465752E-3</v>
      </c>
      <c r="Y103">
        <v>5.1711707232180593E-3</v>
      </c>
      <c r="Z103" t="s">
        <v>343</v>
      </c>
      <c r="AA103" t="s">
        <v>25</v>
      </c>
      <c r="AC103" t="s">
        <v>22</v>
      </c>
      <c r="AD103" t="s">
        <v>343</v>
      </c>
      <c r="AE103">
        <v>3.4028927577294411E-3</v>
      </c>
      <c r="AG103" t="s">
        <v>97</v>
      </c>
      <c r="AH103" t="s">
        <v>343</v>
      </c>
      <c r="AI103">
        <v>6.2489829878334291E-2</v>
      </c>
    </row>
    <row r="104" spans="9:35" x14ac:dyDescent="0.45">
      <c r="I104" t="s">
        <v>249</v>
      </c>
      <c r="J104" t="s">
        <v>344</v>
      </c>
      <c r="K104">
        <v>7.1260513681538004E-3</v>
      </c>
      <c r="L104" t="s">
        <v>251</v>
      </c>
      <c r="N104" t="s">
        <v>419</v>
      </c>
      <c r="O104" t="s">
        <v>344</v>
      </c>
      <c r="P104">
        <v>3.1615154664669859E-3</v>
      </c>
      <c r="Q104" t="s">
        <v>251</v>
      </c>
      <c r="S104" t="s">
        <v>420</v>
      </c>
      <c r="T104" t="s">
        <v>344</v>
      </c>
      <c r="U104">
        <v>2.4478011458801108E-3</v>
      </c>
      <c r="V104" t="s">
        <v>251</v>
      </c>
      <c r="X104">
        <v>3.4246575342465752E-3</v>
      </c>
      <c r="Y104">
        <v>6.662854585684809E-3</v>
      </c>
      <c r="Z104" t="s">
        <v>344</v>
      </c>
      <c r="AA104" t="s">
        <v>25</v>
      </c>
      <c r="AC104" t="s">
        <v>22</v>
      </c>
      <c r="AD104" t="s">
        <v>344</v>
      </c>
      <c r="AE104">
        <v>3.4198347096210586E-3</v>
      </c>
      <c r="AG104" t="s">
        <v>97</v>
      </c>
      <c r="AH104" t="s">
        <v>344</v>
      </c>
      <c r="AI104">
        <v>7.1290983808581343E-2</v>
      </c>
    </row>
    <row r="105" spans="9:35" x14ac:dyDescent="0.45">
      <c r="I105" t="s">
        <v>249</v>
      </c>
      <c r="J105" t="s">
        <v>345</v>
      </c>
      <c r="K105">
        <v>5.97267425403E-3</v>
      </c>
      <c r="L105" t="s">
        <v>251</v>
      </c>
      <c r="N105" t="s">
        <v>419</v>
      </c>
      <c r="O105" t="s">
        <v>345</v>
      </c>
      <c r="P105">
        <v>3.1609198927553899E-3</v>
      </c>
      <c r="Q105" t="s">
        <v>251</v>
      </c>
      <c r="S105" t="s">
        <v>420</v>
      </c>
      <c r="T105" t="s">
        <v>345</v>
      </c>
      <c r="U105">
        <v>2.4219064195414191E-3</v>
      </c>
      <c r="V105" t="s">
        <v>251</v>
      </c>
      <c r="X105">
        <v>3.4246575342465752E-3</v>
      </c>
      <c r="Y105">
        <v>6.662854585684809E-3</v>
      </c>
      <c r="Z105" t="s">
        <v>345</v>
      </c>
      <c r="AA105" t="s">
        <v>25</v>
      </c>
      <c r="AC105" t="s">
        <v>22</v>
      </c>
      <c r="AD105" t="s">
        <v>345</v>
      </c>
      <c r="AE105">
        <v>3.4450851650362443E-3</v>
      </c>
      <c r="AG105" t="s">
        <v>97</v>
      </c>
      <c r="AH105" t="s">
        <v>345</v>
      </c>
      <c r="AI105">
        <v>7.9933885841087848E-2</v>
      </c>
    </row>
    <row r="106" spans="9:35" x14ac:dyDescent="0.45">
      <c r="I106" t="s">
        <v>249</v>
      </c>
      <c r="J106" t="s">
        <v>346</v>
      </c>
      <c r="K106">
        <v>6.6998443253581154E-3</v>
      </c>
      <c r="L106" t="s">
        <v>251</v>
      </c>
      <c r="N106" t="s">
        <v>419</v>
      </c>
      <c r="O106" t="s">
        <v>346</v>
      </c>
      <c r="P106">
        <v>2.1552171110743049E-2</v>
      </c>
      <c r="Q106" t="s">
        <v>251</v>
      </c>
      <c r="S106" t="s">
        <v>420</v>
      </c>
      <c r="T106" t="s">
        <v>346</v>
      </c>
      <c r="U106">
        <v>1.5920745316699014E-2</v>
      </c>
      <c r="V106" t="s">
        <v>251</v>
      </c>
      <c r="X106">
        <v>2.0547945205479451E-2</v>
      </c>
      <c r="Y106">
        <v>1.8099097531263209E-2</v>
      </c>
      <c r="Z106" t="s">
        <v>346</v>
      </c>
      <c r="AA106" t="s">
        <v>25</v>
      </c>
      <c r="AC106" t="s">
        <v>22</v>
      </c>
      <c r="AD106" t="s">
        <v>346</v>
      </c>
      <c r="AE106">
        <v>2.1050393923406293E-2</v>
      </c>
      <c r="AG106" t="s">
        <v>97</v>
      </c>
      <c r="AH106" t="s">
        <v>346</v>
      </c>
      <c r="AI106">
        <v>0.12607735122688024</v>
      </c>
    </row>
    <row r="107" spans="9:35" x14ac:dyDescent="0.45">
      <c r="I107" t="s">
        <v>249</v>
      </c>
      <c r="J107" t="s">
        <v>347</v>
      </c>
      <c r="K107">
        <v>2.6851131546107499E-4</v>
      </c>
      <c r="L107" t="s">
        <v>251</v>
      </c>
      <c r="N107" t="s">
        <v>419</v>
      </c>
      <c r="O107" t="s">
        <v>347</v>
      </c>
      <c r="P107">
        <v>1.7906356699202514E-2</v>
      </c>
      <c r="Q107" t="s">
        <v>251</v>
      </c>
      <c r="S107" t="s">
        <v>420</v>
      </c>
      <c r="T107" t="s">
        <v>347</v>
      </c>
      <c r="U107">
        <v>1.6784868353445087E-2</v>
      </c>
      <c r="V107" t="s">
        <v>251</v>
      </c>
      <c r="X107">
        <v>2.1232876712328767E-2</v>
      </c>
      <c r="Y107">
        <v>4.5420116185598634E-3</v>
      </c>
      <c r="Z107" t="s">
        <v>347</v>
      </c>
      <c r="AA107" t="s">
        <v>25</v>
      </c>
      <c r="AC107" t="s">
        <v>22</v>
      </c>
      <c r="AD107" t="s">
        <v>347</v>
      </c>
      <c r="AE107">
        <v>2.1060695450919414E-2</v>
      </c>
      <c r="AG107" t="s">
        <v>97</v>
      </c>
      <c r="AH107" t="s">
        <v>347</v>
      </c>
      <c r="AI107">
        <v>0.2315021641066155</v>
      </c>
    </row>
    <row r="108" spans="9:35" x14ac:dyDescent="0.45">
      <c r="I108" t="s">
        <v>249</v>
      </c>
      <c r="J108" t="s">
        <v>348</v>
      </c>
      <c r="K108">
        <v>3.2204031164093181E-3</v>
      </c>
      <c r="L108" t="s">
        <v>251</v>
      </c>
      <c r="N108" t="s">
        <v>419</v>
      </c>
      <c r="O108" t="s">
        <v>348</v>
      </c>
      <c r="P108">
        <v>2.1598997955974584E-3</v>
      </c>
      <c r="Q108" t="s">
        <v>251</v>
      </c>
      <c r="S108" t="s">
        <v>420</v>
      </c>
      <c r="T108" t="s">
        <v>348</v>
      </c>
      <c r="U108">
        <v>2.4552076392760176E-3</v>
      </c>
      <c r="V108" t="s">
        <v>251</v>
      </c>
      <c r="X108">
        <v>3.5388127853881279E-3</v>
      </c>
      <c r="Y108">
        <v>5.240782636799844E-3</v>
      </c>
      <c r="Z108" t="s">
        <v>348</v>
      </c>
      <c r="AA108" t="s">
        <v>25</v>
      </c>
      <c r="AC108" t="s">
        <v>22</v>
      </c>
      <c r="AD108" t="s">
        <v>348</v>
      </c>
      <c r="AE108">
        <v>2.8922928243539656E-3</v>
      </c>
      <c r="AG108" t="s">
        <v>97</v>
      </c>
      <c r="AH108" t="s">
        <v>348</v>
      </c>
      <c r="AI108">
        <v>5.6133928654755527E-2</v>
      </c>
    </row>
    <row r="109" spans="9:35" x14ac:dyDescent="0.45">
      <c r="I109" t="s">
        <v>249</v>
      </c>
      <c r="J109" t="s">
        <v>349</v>
      </c>
      <c r="K109">
        <v>5.2350618749991001E-3</v>
      </c>
      <c r="L109" t="s">
        <v>251</v>
      </c>
      <c r="N109" t="s">
        <v>419</v>
      </c>
      <c r="O109" t="s">
        <v>349</v>
      </c>
      <c r="P109">
        <v>1.8496526274653208E-3</v>
      </c>
      <c r="Q109" t="s">
        <v>251</v>
      </c>
      <c r="S109" t="s">
        <v>420</v>
      </c>
      <c r="T109" t="s">
        <v>349</v>
      </c>
      <c r="U109">
        <v>2.3873461693071727E-3</v>
      </c>
      <c r="V109" t="s">
        <v>251</v>
      </c>
      <c r="X109">
        <v>3.5388127853881279E-3</v>
      </c>
      <c r="Y109">
        <v>5.9087255218821738E-3</v>
      </c>
      <c r="Z109" t="s">
        <v>349</v>
      </c>
      <c r="AA109" t="s">
        <v>25</v>
      </c>
      <c r="AC109" t="s">
        <v>22</v>
      </c>
      <c r="AD109" t="s">
        <v>349</v>
      </c>
      <c r="AE109">
        <v>2.7751816886173938E-3</v>
      </c>
      <c r="AG109" t="s">
        <v>97</v>
      </c>
      <c r="AH109" t="s">
        <v>349</v>
      </c>
      <c r="AI109">
        <v>5.9458371844419711E-2</v>
      </c>
    </row>
    <row r="110" spans="9:35" x14ac:dyDescent="0.45">
      <c r="I110" t="s">
        <v>249</v>
      </c>
      <c r="J110" t="s">
        <v>350</v>
      </c>
      <c r="K110">
        <v>5.4726961163533497E-2</v>
      </c>
      <c r="L110" t="s">
        <v>251</v>
      </c>
      <c r="N110" t="s">
        <v>419</v>
      </c>
      <c r="O110" t="s">
        <v>350</v>
      </c>
      <c r="P110">
        <v>1.3394753685262772E-2</v>
      </c>
      <c r="Q110" t="s">
        <v>251</v>
      </c>
      <c r="S110" t="s">
        <v>420</v>
      </c>
      <c r="T110" t="s">
        <v>350</v>
      </c>
      <c r="U110">
        <v>1.5760182629451346E-2</v>
      </c>
      <c r="V110" t="s">
        <v>251</v>
      </c>
      <c r="X110">
        <v>2.4771689497716895E-2</v>
      </c>
      <c r="Y110">
        <v>3.1424143732027281E-2</v>
      </c>
      <c r="Z110" t="s">
        <v>350</v>
      </c>
      <c r="AA110" t="s">
        <v>25</v>
      </c>
      <c r="AC110" t="s">
        <v>22</v>
      </c>
      <c r="AD110" t="s">
        <v>350</v>
      </c>
      <c r="AE110">
        <v>2.2015949371621827E-2</v>
      </c>
      <c r="AG110" t="s">
        <v>97</v>
      </c>
      <c r="AH110" t="s">
        <v>350</v>
      </c>
      <c r="AI110">
        <v>0.20573239206764882</v>
      </c>
    </row>
    <row r="111" spans="9:35" x14ac:dyDescent="0.45">
      <c r="I111" t="s">
        <v>249</v>
      </c>
      <c r="J111" t="s">
        <v>351</v>
      </c>
      <c r="K111">
        <v>7.1083135960544001E-3</v>
      </c>
      <c r="L111" t="s">
        <v>251</v>
      </c>
      <c r="N111" t="s">
        <v>419</v>
      </c>
      <c r="O111" t="s">
        <v>351</v>
      </c>
      <c r="P111">
        <v>2.0138639294259761E-3</v>
      </c>
      <c r="Q111" t="s">
        <v>251</v>
      </c>
      <c r="S111" t="s">
        <v>420</v>
      </c>
      <c r="T111" t="s">
        <v>351</v>
      </c>
      <c r="U111">
        <v>2.6066075866898052E-3</v>
      </c>
      <c r="V111" t="s">
        <v>251</v>
      </c>
      <c r="X111">
        <v>3.5388127853881279E-3</v>
      </c>
      <c r="Y111">
        <v>5.3435430806586613E-3</v>
      </c>
      <c r="Z111" t="s">
        <v>351</v>
      </c>
      <c r="AA111" t="s">
        <v>25</v>
      </c>
      <c r="AC111" t="s">
        <v>22</v>
      </c>
      <c r="AD111" t="s">
        <v>351</v>
      </c>
      <c r="AE111">
        <v>3.7274002743161584E-3</v>
      </c>
      <c r="AG111" t="s">
        <v>97</v>
      </c>
      <c r="AH111" t="s">
        <v>351</v>
      </c>
      <c r="AI111">
        <v>7.3142236951218909E-2</v>
      </c>
    </row>
    <row r="112" spans="9:35" x14ac:dyDescent="0.45">
      <c r="I112" t="s">
        <v>249</v>
      </c>
      <c r="J112" t="s">
        <v>352</v>
      </c>
      <c r="K112">
        <v>6.1891237235557998E-3</v>
      </c>
      <c r="L112" t="s">
        <v>251</v>
      </c>
      <c r="N112" t="s">
        <v>419</v>
      </c>
      <c r="O112" t="s">
        <v>352</v>
      </c>
      <c r="P112">
        <v>2.0792526059573023E-3</v>
      </c>
      <c r="Q112" t="s">
        <v>251</v>
      </c>
      <c r="S112" t="s">
        <v>420</v>
      </c>
      <c r="T112" t="s">
        <v>352</v>
      </c>
      <c r="U112">
        <v>2.5679852482390691E-3</v>
      </c>
      <c r="V112" t="s">
        <v>251</v>
      </c>
      <c r="X112">
        <v>3.5388127853881279E-3</v>
      </c>
      <c r="Y112">
        <v>6.8849497385409693E-3</v>
      </c>
      <c r="Z112" t="s">
        <v>352</v>
      </c>
      <c r="AA112" t="s">
        <v>25</v>
      </c>
      <c r="AC112" t="s">
        <v>22</v>
      </c>
      <c r="AD112" t="s">
        <v>352</v>
      </c>
      <c r="AE112">
        <v>3.785287944468385E-3</v>
      </c>
      <c r="AG112" t="s">
        <v>97</v>
      </c>
      <c r="AH112" t="s">
        <v>352</v>
      </c>
      <c r="AI112">
        <v>0.1053933651502823</v>
      </c>
    </row>
    <row r="113" spans="9:35" x14ac:dyDescent="0.45">
      <c r="I113" t="s">
        <v>249</v>
      </c>
      <c r="J113" t="s">
        <v>353</v>
      </c>
      <c r="K113">
        <v>4.9659416849278997E-3</v>
      </c>
      <c r="L113" t="s">
        <v>251</v>
      </c>
      <c r="N113" t="s">
        <v>419</v>
      </c>
      <c r="O113" t="s">
        <v>353</v>
      </c>
      <c r="P113">
        <v>2.1234054464425787E-3</v>
      </c>
      <c r="Q113" t="s">
        <v>251</v>
      </c>
      <c r="S113" t="s">
        <v>420</v>
      </c>
      <c r="T113" t="s">
        <v>353</v>
      </c>
      <c r="U113">
        <v>2.5660690043538253E-3</v>
      </c>
      <c r="V113" t="s">
        <v>251</v>
      </c>
      <c r="X113">
        <v>3.5388127853881279E-3</v>
      </c>
      <c r="Y113">
        <v>6.8849497385409693E-3</v>
      </c>
      <c r="Z113" t="s">
        <v>353</v>
      </c>
      <c r="AA113" t="s">
        <v>25</v>
      </c>
      <c r="AC113" t="s">
        <v>22</v>
      </c>
      <c r="AD113" t="s">
        <v>353</v>
      </c>
      <c r="AE113">
        <v>3.843480283760511E-3</v>
      </c>
      <c r="AG113" t="s">
        <v>97</v>
      </c>
      <c r="AH113" t="s">
        <v>353</v>
      </c>
      <c r="AI113">
        <v>0.10499916203418347</v>
      </c>
    </row>
    <row r="114" spans="9:35" x14ac:dyDescent="0.45">
      <c r="I114" t="s">
        <v>249</v>
      </c>
      <c r="J114" t="s">
        <v>354</v>
      </c>
      <c r="K114">
        <v>5.2532482843577442E-3</v>
      </c>
      <c r="L114" t="s">
        <v>251</v>
      </c>
      <c r="N114" t="s">
        <v>419</v>
      </c>
      <c r="O114" t="s">
        <v>354</v>
      </c>
      <c r="P114">
        <v>1.8305678872793222E-2</v>
      </c>
      <c r="Q114" t="s">
        <v>251</v>
      </c>
      <c r="S114" t="s">
        <v>420</v>
      </c>
      <c r="T114" t="s">
        <v>354</v>
      </c>
      <c r="U114">
        <v>1.6816073507230526E-2</v>
      </c>
      <c r="V114" t="s">
        <v>251</v>
      </c>
      <c r="X114">
        <v>2.1232876712328767E-2</v>
      </c>
      <c r="Y114">
        <v>1.8702400782305319E-2</v>
      </c>
      <c r="Z114" t="s">
        <v>354</v>
      </c>
      <c r="AA114" t="s">
        <v>25</v>
      </c>
      <c r="AC114" t="s">
        <v>22</v>
      </c>
      <c r="AD114" t="s">
        <v>354</v>
      </c>
      <c r="AE114">
        <v>2.3704335456036028E-2</v>
      </c>
      <c r="AG114" t="s">
        <v>97</v>
      </c>
      <c r="AH114" t="s">
        <v>354</v>
      </c>
      <c r="AI114">
        <v>0.13820527616738598</v>
      </c>
    </row>
    <row r="115" spans="9:35" x14ac:dyDescent="0.45">
      <c r="I115" t="s">
        <v>249</v>
      </c>
      <c r="J115" t="s">
        <v>355</v>
      </c>
      <c r="K115">
        <v>2.783153874109351E-8</v>
      </c>
      <c r="L115" t="s">
        <v>251</v>
      </c>
      <c r="N115" t="s">
        <v>419</v>
      </c>
      <c r="O115" t="s">
        <v>355</v>
      </c>
      <c r="P115">
        <v>1.6476624077206636E-2</v>
      </c>
      <c r="Q115" t="s">
        <v>251</v>
      </c>
      <c r="S115" t="s">
        <v>420</v>
      </c>
      <c r="T115" t="s">
        <v>355</v>
      </c>
      <c r="U115">
        <v>1.4198100847300008E-2</v>
      </c>
      <c r="V115" t="s">
        <v>251</v>
      </c>
      <c r="X115">
        <v>2.1232876712328767E-2</v>
      </c>
      <c r="Y115">
        <v>4.5420116185598634E-3</v>
      </c>
      <c r="Z115" t="s">
        <v>355</v>
      </c>
      <c r="AA115" t="s">
        <v>25</v>
      </c>
      <c r="AC115" t="s">
        <v>22</v>
      </c>
      <c r="AD115" t="s">
        <v>355</v>
      </c>
      <c r="AE115">
        <v>2.0531327419762581E-2</v>
      </c>
      <c r="AG115" t="s">
        <v>97</v>
      </c>
      <c r="AH115" t="s">
        <v>355</v>
      </c>
      <c r="AI115">
        <v>0.20279576727930415</v>
      </c>
    </row>
    <row r="116" spans="9:35" x14ac:dyDescent="0.45">
      <c r="I116" t="s">
        <v>249</v>
      </c>
      <c r="J116" t="s">
        <v>356</v>
      </c>
      <c r="K116">
        <v>2.7522411699255861E-3</v>
      </c>
      <c r="L116" t="s">
        <v>251</v>
      </c>
      <c r="N116" t="s">
        <v>419</v>
      </c>
      <c r="O116" t="s">
        <v>356</v>
      </c>
      <c r="P116">
        <v>2.0483594360940671E-3</v>
      </c>
      <c r="Q116" t="s">
        <v>251</v>
      </c>
      <c r="S116" t="s">
        <v>420</v>
      </c>
      <c r="T116" t="s">
        <v>356</v>
      </c>
      <c r="U116">
        <v>2.0917873914683208E-3</v>
      </c>
      <c r="V116" t="s">
        <v>251</v>
      </c>
      <c r="X116">
        <v>3.5388127853881279E-3</v>
      </c>
      <c r="Y116">
        <v>5.240782636799844E-3</v>
      </c>
      <c r="Z116" t="s">
        <v>356</v>
      </c>
      <c r="AA116" t="s">
        <v>25</v>
      </c>
      <c r="AC116" t="s">
        <v>22</v>
      </c>
      <c r="AD116" t="s">
        <v>356</v>
      </c>
      <c r="AE116">
        <v>2.7922388810710285E-3</v>
      </c>
      <c r="AG116" t="s">
        <v>97</v>
      </c>
      <c r="AH116" t="s">
        <v>356</v>
      </c>
      <c r="AI116">
        <v>7.8332183240009012E-2</v>
      </c>
    </row>
    <row r="117" spans="9:35" x14ac:dyDescent="0.45">
      <c r="I117" t="s">
        <v>249</v>
      </c>
      <c r="J117" t="s">
        <v>357</v>
      </c>
      <c r="K117">
        <v>5.5222011424492998E-3</v>
      </c>
      <c r="L117" t="s">
        <v>251</v>
      </c>
      <c r="N117" t="s">
        <v>419</v>
      </c>
      <c r="O117" t="s">
        <v>357</v>
      </c>
      <c r="P117">
        <v>1.563764425558836E-3</v>
      </c>
      <c r="Q117" t="s">
        <v>251</v>
      </c>
      <c r="S117" t="s">
        <v>420</v>
      </c>
      <c r="T117" t="s">
        <v>357</v>
      </c>
      <c r="U117">
        <v>2.0390217860858477E-3</v>
      </c>
      <c r="V117" t="s">
        <v>251</v>
      </c>
      <c r="X117">
        <v>3.5388127853881279E-3</v>
      </c>
      <c r="Y117">
        <v>5.9087255218821738E-3</v>
      </c>
      <c r="Z117" t="s">
        <v>357</v>
      </c>
      <c r="AA117" t="s">
        <v>25</v>
      </c>
      <c r="AC117" t="s">
        <v>22</v>
      </c>
      <c r="AD117" t="s">
        <v>357</v>
      </c>
      <c r="AE117">
        <v>2.68234189438178E-3</v>
      </c>
      <c r="AG117" t="s">
        <v>97</v>
      </c>
      <c r="AH117" t="s">
        <v>357</v>
      </c>
      <c r="AI117">
        <v>7.2485883556521413E-2</v>
      </c>
    </row>
    <row r="118" spans="9:35" x14ac:dyDescent="0.45">
      <c r="I118" t="s">
        <v>249</v>
      </c>
      <c r="J118" t="s">
        <v>358</v>
      </c>
      <c r="K118">
        <v>5.6711374637086802E-2</v>
      </c>
      <c r="L118" t="s">
        <v>251</v>
      </c>
      <c r="N118" t="s">
        <v>419</v>
      </c>
      <c r="O118" t="s">
        <v>358</v>
      </c>
      <c r="P118">
        <v>1.0239656113572375E-2</v>
      </c>
      <c r="Q118" t="s">
        <v>251</v>
      </c>
      <c r="S118" t="s">
        <v>420</v>
      </c>
      <c r="T118" t="s">
        <v>358</v>
      </c>
      <c r="U118">
        <v>1.3599721801736927E-2</v>
      </c>
      <c r="V118" t="s">
        <v>251</v>
      </c>
      <c r="X118">
        <v>2.4771689497716895E-2</v>
      </c>
      <c r="Y118">
        <v>3.1424143732027281E-2</v>
      </c>
      <c r="Z118" t="s">
        <v>358</v>
      </c>
      <c r="AA118" t="s">
        <v>25</v>
      </c>
      <c r="AC118" t="s">
        <v>22</v>
      </c>
      <c r="AD118" t="s">
        <v>358</v>
      </c>
      <c r="AE118">
        <v>2.1516877500868201E-2</v>
      </c>
      <c r="AG118" t="s">
        <v>97</v>
      </c>
      <c r="AH118" t="s">
        <v>358</v>
      </c>
      <c r="AI118">
        <v>0.19699593812495508</v>
      </c>
    </row>
    <row r="119" spans="9:35" x14ac:dyDescent="0.45">
      <c r="I119" t="s">
        <v>249</v>
      </c>
      <c r="J119" t="s">
        <v>359</v>
      </c>
      <c r="K119">
        <v>7.4687617925409998E-3</v>
      </c>
      <c r="L119" t="s">
        <v>251</v>
      </c>
      <c r="N119" t="s">
        <v>419</v>
      </c>
      <c r="O119" t="s">
        <v>359</v>
      </c>
      <c r="P119">
        <v>1.6032268362819705E-3</v>
      </c>
      <c r="Q119" t="s">
        <v>251</v>
      </c>
      <c r="S119" t="s">
        <v>420</v>
      </c>
      <c r="T119" t="s">
        <v>359</v>
      </c>
      <c r="U119">
        <v>2.1334074833218876E-3</v>
      </c>
      <c r="V119" t="s">
        <v>251</v>
      </c>
      <c r="X119">
        <v>3.5388127853881279E-3</v>
      </c>
      <c r="Y119">
        <v>5.3435430806586613E-3</v>
      </c>
      <c r="Z119" t="s">
        <v>359</v>
      </c>
      <c r="AA119" t="s">
        <v>25</v>
      </c>
      <c r="AC119" t="s">
        <v>22</v>
      </c>
      <c r="AD119" t="s">
        <v>359</v>
      </c>
      <c r="AE119">
        <v>3.6319932023806674E-3</v>
      </c>
      <c r="AG119" t="s">
        <v>97</v>
      </c>
      <c r="AH119" t="s">
        <v>359</v>
      </c>
      <c r="AI119">
        <v>6.75965833044474E-2</v>
      </c>
    </row>
    <row r="120" spans="9:35" x14ac:dyDescent="0.45">
      <c r="I120" t="s">
        <v>249</v>
      </c>
      <c r="J120" t="s">
        <v>360</v>
      </c>
      <c r="K120">
        <v>6.6138938984641E-3</v>
      </c>
      <c r="L120" t="s">
        <v>251</v>
      </c>
      <c r="N120" t="s">
        <v>419</v>
      </c>
      <c r="O120" t="s">
        <v>360</v>
      </c>
      <c r="P120">
        <v>1.702274214395016E-3</v>
      </c>
      <c r="Q120" t="s">
        <v>251</v>
      </c>
      <c r="S120" t="s">
        <v>420</v>
      </c>
      <c r="T120" t="s">
        <v>360</v>
      </c>
      <c r="U120">
        <v>2.0736100584980966E-3</v>
      </c>
      <c r="V120" t="s">
        <v>251</v>
      </c>
      <c r="X120">
        <v>3.5388127853881279E-3</v>
      </c>
      <c r="Y120">
        <v>6.8849497385409693E-3</v>
      </c>
      <c r="Z120" t="s">
        <v>360</v>
      </c>
      <c r="AA120" t="s">
        <v>25</v>
      </c>
      <c r="AC120" t="s">
        <v>22</v>
      </c>
      <c r="AD120" t="s">
        <v>360</v>
      </c>
      <c r="AE120">
        <v>3.6660521175087145E-3</v>
      </c>
      <c r="AG120" t="s">
        <v>97</v>
      </c>
      <c r="AH120" t="s">
        <v>360</v>
      </c>
      <c r="AI120">
        <v>7.9800658589176843E-2</v>
      </c>
    </row>
    <row r="121" spans="9:35" x14ac:dyDescent="0.45">
      <c r="I121" t="s">
        <v>249</v>
      </c>
      <c r="J121" t="s">
        <v>361</v>
      </c>
      <c r="K121">
        <v>5.3870160545135999E-3</v>
      </c>
      <c r="L121" t="s">
        <v>251</v>
      </c>
      <c r="N121" t="s">
        <v>419</v>
      </c>
      <c r="O121" t="s">
        <v>361</v>
      </c>
      <c r="P121">
        <v>1.8296506997353484E-3</v>
      </c>
      <c r="Q121" t="s">
        <v>251</v>
      </c>
      <c r="S121" t="s">
        <v>420</v>
      </c>
      <c r="T121" t="s">
        <v>361</v>
      </c>
      <c r="U121">
        <v>2.0472469150234025E-3</v>
      </c>
      <c r="V121" t="s">
        <v>251</v>
      </c>
      <c r="X121">
        <v>3.5388127853881279E-3</v>
      </c>
      <c r="Y121">
        <v>6.8849497385409693E-3</v>
      </c>
      <c r="Z121" t="s">
        <v>361</v>
      </c>
      <c r="AA121" t="s">
        <v>25</v>
      </c>
      <c r="AC121" t="s">
        <v>22</v>
      </c>
      <c r="AD121" t="s">
        <v>361</v>
      </c>
      <c r="AE121">
        <v>3.7098463054774798E-3</v>
      </c>
      <c r="AG121" t="s">
        <v>97</v>
      </c>
      <c r="AH121" t="s">
        <v>361</v>
      </c>
      <c r="AI121">
        <v>0.11778085626857693</v>
      </c>
    </row>
    <row r="122" spans="9:35" x14ac:dyDescent="0.45">
      <c r="I122" t="s">
        <v>249</v>
      </c>
      <c r="J122" t="s">
        <v>362</v>
      </c>
      <c r="K122">
        <v>4.8833452718522428E-3</v>
      </c>
      <c r="L122" t="s">
        <v>251</v>
      </c>
      <c r="N122" t="s">
        <v>419</v>
      </c>
      <c r="O122" t="s">
        <v>362</v>
      </c>
      <c r="P122">
        <v>1.8211523341571861E-2</v>
      </c>
      <c r="Q122" t="s">
        <v>251</v>
      </c>
      <c r="S122" t="s">
        <v>420</v>
      </c>
      <c r="T122" t="s">
        <v>362</v>
      </c>
      <c r="U122">
        <v>1.4510372030929865E-2</v>
      </c>
      <c r="V122" t="s">
        <v>251</v>
      </c>
      <c r="X122">
        <v>2.1232876712328767E-2</v>
      </c>
      <c r="Y122">
        <v>1.8702400782305319E-2</v>
      </c>
      <c r="Z122" t="s">
        <v>362</v>
      </c>
      <c r="AA122" t="s">
        <v>25</v>
      </c>
      <c r="AC122" t="s">
        <v>22</v>
      </c>
      <c r="AD122" t="s">
        <v>362</v>
      </c>
      <c r="AE122">
        <v>2.3018083360320719E-2</v>
      </c>
      <c r="AG122" t="s">
        <v>97</v>
      </c>
      <c r="AH122" t="s">
        <v>362</v>
      </c>
      <c r="AI122">
        <v>0.16156484455199549</v>
      </c>
    </row>
    <row r="123" spans="9:35" x14ac:dyDescent="0.45">
      <c r="I123" t="s">
        <v>249</v>
      </c>
      <c r="J123" t="s">
        <v>363</v>
      </c>
      <c r="K123">
        <v>0</v>
      </c>
      <c r="L123" t="s">
        <v>251</v>
      </c>
      <c r="N123" t="s">
        <v>419</v>
      </c>
      <c r="O123" t="s">
        <v>363</v>
      </c>
      <c r="P123">
        <v>2.1678145855586663E-2</v>
      </c>
      <c r="Q123" t="s">
        <v>251</v>
      </c>
      <c r="S123" t="s">
        <v>420</v>
      </c>
      <c r="T123" t="s">
        <v>363</v>
      </c>
      <c r="U123">
        <v>1.7601894519674918E-2</v>
      </c>
      <c r="V123" t="s">
        <v>251</v>
      </c>
      <c r="X123">
        <v>1.9863013698630139E-2</v>
      </c>
      <c r="Y123">
        <v>4.2489786109108389E-3</v>
      </c>
      <c r="Z123" t="s">
        <v>363</v>
      </c>
      <c r="AA123" t="s">
        <v>25</v>
      </c>
      <c r="AC123" t="s">
        <v>22</v>
      </c>
      <c r="AD123" t="s">
        <v>363</v>
      </c>
      <c r="AE123">
        <v>1.8730361932765584E-2</v>
      </c>
      <c r="AG123" t="s">
        <v>97</v>
      </c>
      <c r="AH123" t="s">
        <v>363</v>
      </c>
      <c r="AI123">
        <v>0.1772184900542122</v>
      </c>
    </row>
    <row r="124" spans="9:35" x14ac:dyDescent="0.45">
      <c r="I124" t="s">
        <v>249</v>
      </c>
      <c r="J124" t="s">
        <v>364</v>
      </c>
      <c r="K124">
        <v>1.3858011587950653E-3</v>
      </c>
      <c r="L124" t="s">
        <v>251</v>
      </c>
      <c r="N124" t="s">
        <v>419</v>
      </c>
      <c r="O124" t="s">
        <v>364</v>
      </c>
      <c r="P124">
        <v>3.2070926695004433E-3</v>
      </c>
      <c r="Q124" t="s">
        <v>251</v>
      </c>
      <c r="S124" t="s">
        <v>420</v>
      </c>
      <c r="T124" t="s">
        <v>364</v>
      </c>
      <c r="U124">
        <v>2.6926575754511761E-3</v>
      </c>
      <c r="V124" t="s">
        <v>251</v>
      </c>
      <c r="X124">
        <v>3.3105022831050228E-3</v>
      </c>
      <c r="Y124">
        <v>4.9026676279740472E-3</v>
      </c>
      <c r="Z124" t="s">
        <v>364</v>
      </c>
      <c r="AA124" t="s">
        <v>25</v>
      </c>
      <c r="AC124" t="s">
        <v>22</v>
      </c>
      <c r="AD124" t="s">
        <v>364</v>
      </c>
      <c r="AE124">
        <v>2.546761586292922E-3</v>
      </c>
      <c r="AG124" t="s">
        <v>97</v>
      </c>
      <c r="AH124" t="s">
        <v>364</v>
      </c>
      <c r="AI124">
        <v>7.6083547013469532E-2</v>
      </c>
    </row>
    <row r="125" spans="9:35" x14ac:dyDescent="0.45">
      <c r="I125" t="s">
        <v>249</v>
      </c>
      <c r="J125" t="s">
        <v>365</v>
      </c>
      <c r="K125">
        <v>5.0183499583225377E-3</v>
      </c>
      <c r="L125" t="s">
        <v>251</v>
      </c>
      <c r="N125" t="s">
        <v>419</v>
      </c>
      <c r="O125" t="s">
        <v>365</v>
      </c>
      <c r="P125">
        <v>2.7789313866867387E-3</v>
      </c>
      <c r="Q125" t="s">
        <v>251</v>
      </c>
      <c r="S125" t="s">
        <v>420</v>
      </c>
      <c r="T125" t="s">
        <v>365</v>
      </c>
      <c r="U125">
        <v>2.6982631910539997E-3</v>
      </c>
      <c r="V125" t="s">
        <v>251</v>
      </c>
      <c r="X125">
        <v>3.3105022831050228E-3</v>
      </c>
      <c r="Y125">
        <v>5.5275174236962274E-3</v>
      </c>
      <c r="Z125" t="s">
        <v>365</v>
      </c>
      <c r="AA125" t="s">
        <v>25</v>
      </c>
      <c r="AC125" t="s">
        <v>22</v>
      </c>
      <c r="AD125" t="s">
        <v>365</v>
      </c>
      <c r="AE125">
        <v>2.4611591622620615E-3</v>
      </c>
      <c r="AG125" t="s">
        <v>97</v>
      </c>
      <c r="AH125" t="s">
        <v>365</v>
      </c>
      <c r="AI125">
        <v>7.1611975646219905E-2</v>
      </c>
    </row>
    <row r="126" spans="9:35" x14ac:dyDescent="0.45">
      <c r="I126" t="s">
        <v>249</v>
      </c>
      <c r="J126" t="s">
        <v>366</v>
      </c>
      <c r="K126">
        <v>5.1716526594711203E-2</v>
      </c>
      <c r="L126" t="s">
        <v>251</v>
      </c>
      <c r="N126" t="s">
        <v>419</v>
      </c>
      <c r="O126" t="s">
        <v>366</v>
      </c>
      <c r="P126">
        <v>1.8212867093628592E-2</v>
      </c>
      <c r="Q126" t="s">
        <v>251</v>
      </c>
      <c r="S126" t="s">
        <v>420</v>
      </c>
      <c r="T126" t="s">
        <v>366</v>
      </c>
      <c r="U126">
        <v>1.807452226982011E-2</v>
      </c>
      <c r="V126" t="s">
        <v>251</v>
      </c>
      <c r="X126">
        <v>2.3173515981735161E-2</v>
      </c>
      <c r="Y126">
        <v>2.9396779620283593E-2</v>
      </c>
      <c r="Z126" t="s">
        <v>366</v>
      </c>
      <c r="AA126" t="s">
        <v>25</v>
      </c>
      <c r="AC126" t="s">
        <v>22</v>
      </c>
      <c r="AD126" t="s">
        <v>366</v>
      </c>
      <c r="AE126">
        <v>2.0098534161700314E-2</v>
      </c>
      <c r="AG126" t="s">
        <v>97</v>
      </c>
      <c r="AH126" t="s">
        <v>366</v>
      </c>
      <c r="AI126">
        <v>0.18276082882676148</v>
      </c>
    </row>
    <row r="127" spans="9:35" x14ac:dyDescent="0.45">
      <c r="I127" t="s">
        <v>249</v>
      </c>
      <c r="J127" t="s">
        <v>367</v>
      </c>
      <c r="K127">
        <v>7.0970379264762001E-3</v>
      </c>
      <c r="L127" t="s">
        <v>251</v>
      </c>
      <c r="N127" t="s">
        <v>419</v>
      </c>
      <c r="O127" t="s">
        <v>367</v>
      </c>
      <c r="P127">
        <v>2.6816198555602274E-3</v>
      </c>
      <c r="Q127" t="s">
        <v>251</v>
      </c>
      <c r="S127" t="s">
        <v>420</v>
      </c>
      <c r="T127" t="s">
        <v>367</v>
      </c>
      <c r="U127">
        <v>2.6248645017552426E-3</v>
      </c>
      <c r="V127" t="s">
        <v>251</v>
      </c>
      <c r="X127">
        <v>3.3105022831050228E-3</v>
      </c>
      <c r="Y127">
        <v>4.9987983657774574E-3</v>
      </c>
      <c r="Z127" t="s">
        <v>367</v>
      </c>
      <c r="AA127" t="s">
        <v>25</v>
      </c>
      <c r="AC127" t="s">
        <v>22</v>
      </c>
      <c r="AD127" t="s">
        <v>367</v>
      </c>
      <c r="AE127">
        <v>3.3644866213600163E-3</v>
      </c>
      <c r="AG127" t="s">
        <v>97</v>
      </c>
      <c r="AH127" t="s">
        <v>367</v>
      </c>
      <c r="AI127">
        <v>5.8253063448085562E-2</v>
      </c>
    </row>
    <row r="128" spans="9:35" x14ac:dyDescent="0.45">
      <c r="I128" t="s">
        <v>249</v>
      </c>
      <c r="J128" t="s">
        <v>368</v>
      </c>
      <c r="K128">
        <v>6.3630387589016998E-3</v>
      </c>
      <c r="L128" t="s">
        <v>251</v>
      </c>
      <c r="N128" t="s">
        <v>419</v>
      </c>
      <c r="O128" t="s">
        <v>368</v>
      </c>
      <c r="P128">
        <v>2.6671848162734932E-3</v>
      </c>
      <c r="Q128" t="s">
        <v>251</v>
      </c>
      <c r="S128" t="s">
        <v>420</v>
      </c>
      <c r="T128" t="s">
        <v>368</v>
      </c>
      <c r="U128">
        <v>2.5250436403794815E-3</v>
      </c>
      <c r="V128" t="s">
        <v>251</v>
      </c>
      <c r="X128">
        <v>3.3105022831050228E-3</v>
      </c>
      <c r="Y128">
        <v>6.4407594328286487E-3</v>
      </c>
      <c r="Z128" t="s">
        <v>368</v>
      </c>
      <c r="AA128" t="s">
        <v>25</v>
      </c>
      <c r="AC128" t="s">
        <v>22</v>
      </c>
      <c r="AD128" t="s">
        <v>368</v>
      </c>
      <c r="AE128">
        <v>3.3890511710320463E-3</v>
      </c>
      <c r="AG128" t="s">
        <v>97</v>
      </c>
      <c r="AH128" t="s">
        <v>368</v>
      </c>
      <c r="AI128">
        <v>7.3550923610524288E-2</v>
      </c>
    </row>
    <row r="129" spans="9:35" x14ac:dyDescent="0.45">
      <c r="I129" t="s">
        <v>249</v>
      </c>
      <c r="J129" t="s">
        <v>369</v>
      </c>
      <c r="K129">
        <v>5.0393715138564001E-3</v>
      </c>
      <c r="L129" t="s">
        <v>251</v>
      </c>
      <c r="N129" t="s">
        <v>419</v>
      </c>
      <c r="O129" t="s">
        <v>369</v>
      </c>
      <c r="P129">
        <v>2.7585448702919721E-3</v>
      </c>
      <c r="Q129" t="s">
        <v>251</v>
      </c>
      <c r="S129" t="s">
        <v>420</v>
      </c>
      <c r="T129" t="s">
        <v>369</v>
      </c>
      <c r="U129">
        <v>2.6202007129351233E-3</v>
      </c>
      <c r="V129" t="s">
        <v>251</v>
      </c>
      <c r="X129">
        <v>3.3105022831050228E-3</v>
      </c>
      <c r="Y129">
        <v>6.4407594328286487E-3</v>
      </c>
      <c r="Z129" t="s">
        <v>369</v>
      </c>
      <c r="AA129" t="s">
        <v>25</v>
      </c>
      <c r="AC129" t="s">
        <v>22</v>
      </c>
      <c r="AD129" t="s">
        <v>369</v>
      </c>
      <c r="AE129">
        <v>3.4153394223791159E-3</v>
      </c>
      <c r="AG129" t="s">
        <v>97</v>
      </c>
      <c r="AH129" t="s">
        <v>369</v>
      </c>
      <c r="AI129">
        <v>7.9402585579899876E-2</v>
      </c>
    </row>
    <row r="130" spans="9:35" x14ac:dyDescent="0.45">
      <c r="I130" t="s">
        <v>249</v>
      </c>
      <c r="J130" t="s">
        <v>370</v>
      </c>
      <c r="K130">
        <v>2.5025617360669634E-3</v>
      </c>
      <c r="L130" t="s">
        <v>251</v>
      </c>
      <c r="N130" t="s">
        <v>419</v>
      </c>
      <c r="O130" t="s">
        <v>370</v>
      </c>
      <c r="P130">
        <v>2.2849622553598448E-2</v>
      </c>
      <c r="Q130" t="s">
        <v>251</v>
      </c>
      <c r="S130" t="s">
        <v>420</v>
      </c>
      <c r="T130" t="s">
        <v>370</v>
      </c>
      <c r="U130">
        <v>1.8407881929254268E-2</v>
      </c>
      <c r="V130" t="s">
        <v>251</v>
      </c>
      <c r="X130">
        <v>1.9863013698630139E-2</v>
      </c>
      <c r="Y130">
        <v>1.7495794280221105E-2</v>
      </c>
      <c r="Z130" t="s">
        <v>370</v>
      </c>
      <c r="AA130" t="s">
        <v>25</v>
      </c>
      <c r="AC130" t="s">
        <v>22</v>
      </c>
      <c r="AD130" t="s">
        <v>370</v>
      </c>
      <c r="AE130">
        <v>2.1007149613099806E-2</v>
      </c>
      <c r="AG130" t="s">
        <v>97</v>
      </c>
      <c r="AH130" t="s">
        <v>370</v>
      </c>
      <c r="AI130">
        <v>0.12572433960213991</v>
      </c>
    </row>
    <row r="131" spans="9:35" x14ac:dyDescent="0.45">
      <c r="I131" t="s">
        <v>249</v>
      </c>
      <c r="J131" t="s">
        <v>371</v>
      </c>
      <c r="K131">
        <v>0</v>
      </c>
      <c r="L131" t="s">
        <v>251</v>
      </c>
      <c r="N131" t="s">
        <v>419</v>
      </c>
      <c r="O131" t="s">
        <v>371</v>
      </c>
      <c r="P131">
        <v>6.0094029898087089E-5</v>
      </c>
      <c r="Q131" t="s">
        <v>251</v>
      </c>
      <c r="S131" t="s">
        <v>420</v>
      </c>
      <c r="T131" t="s">
        <v>371</v>
      </c>
      <c r="U131">
        <v>5.708990909765815E-5</v>
      </c>
      <c r="V131" t="s">
        <v>251</v>
      </c>
      <c r="X131">
        <v>1.1415525114155251E-4</v>
      </c>
      <c r="Y131">
        <v>2.1546544680075254E-5</v>
      </c>
      <c r="Z131" t="s">
        <v>371</v>
      </c>
      <c r="AA131" t="s">
        <v>25</v>
      </c>
      <c r="AC131" t="s">
        <v>22</v>
      </c>
      <c r="AD131" t="s">
        <v>371</v>
      </c>
      <c r="AE131">
        <v>1.3161149232468003E-4</v>
      </c>
      <c r="AG131" t="s">
        <v>97</v>
      </c>
      <c r="AH131" t="s">
        <v>371</v>
      </c>
      <c r="AI131">
        <v>0</v>
      </c>
    </row>
    <row r="132" spans="9:35" x14ac:dyDescent="0.45">
      <c r="I132" t="s">
        <v>249</v>
      </c>
      <c r="J132" t="s">
        <v>372</v>
      </c>
      <c r="K132">
        <v>0</v>
      </c>
      <c r="L132" t="s">
        <v>251</v>
      </c>
      <c r="N132" t="s">
        <v>419</v>
      </c>
      <c r="O132" t="s">
        <v>372</v>
      </c>
      <c r="P132">
        <v>5.652553107226809E-5</v>
      </c>
      <c r="Q132" t="s">
        <v>251</v>
      </c>
      <c r="S132" t="s">
        <v>420</v>
      </c>
      <c r="T132" t="s">
        <v>372</v>
      </c>
      <c r="U132">
        <v>5.5852585351412848E-5</v>
      </c>
      <c r="V132" t="s">
        <v>251</v>
      </c>
      <c r="X132">
        <v>1.1415525114155251E-4</v>
      </c>
      <c r="Y132">
        <v>1.4916838624667481E-5</v>
      </c>
      <c r="Z132" t="s">
        <v>372</v>
      </c>
      <c r="AA132" t="s">
        <v>25</v>
      </c>
      <c r="AC132" t="s">
        <v>22</v>
      </c>
      <c r="AD132" t="s">
        <v>372</v>
      </c>
      <c r="AE132">
        <v>1.2763025101580802E-4</v>
      </c>
      <c r="AG132" t="s">
        <v>97</v>
      </c>
      <c r="AH132" t="s">
        <v>372</v>
      </c>
      <c r="AI132">
        <v>0</v>
      </c>
    </row>
    <row r="133" spans="9:35" x14ac:dyDescent="0.45">
      <c r="I133" t="s">
        <v>249</v>
      </c>
      <c r="J133" t="s">
        <v>373</v>
      </c>
      <c r="K133">
        <v>0</v>
      </c>
      <c r="L133" t="s">
        <v>251</v>
      </c>
      <c r="N133" t="s">
        <v>419</v>
      </c>
      <c r="O133" t="s">
        <v>373</v>
      </c>
      <c r="P133">
        <v>5.1332071938100322E-5</v>
      </c>
      <c r="Q133" t="s">
        <v>251</v>
      </c>
      <c r="S133" t="s">
        <v>420</v>
      </c>
      <c r="T133" t="s">
        <v>373</v>
      </c>
      <c r="U133">
        <v>5.1840817773569868E-5</v>
      </c>
      <c r="V133" t="s">
        <v>251</v>
      </c>
      <c r="X133">
        <v>1.1415525114155251E-4</v>
      </c>
      <c r="Y133">
        <v>1.6574265138519424E-5</v>
      </c>
      <c r="Z133" t="s">
        <v>373</v>
      </c>
      <c r="AA133" t="s">
        <v>25</v>
      </c>
      <c r="AC133" t="s">
        <v>22</v>
      </c>
      <c r="AD133" t="s">
        <v>373</v>
      </c>
      <c r="AE133">
        <v>1.2492397802531027E-4</v>
      </c>
      <c r="AG133" t="s">
        <v>97</v>
      </c>
      <c r="AH133" t="s">
        <v>373</v>
      </c>
      <c r="AI133">
        <v>0</v>
      </c>
    </row>
    <row r="134" spans="9:35" x14ac:dyDescent="0.45">
      <c r="I134" t="s">
        <v>249</v>
      </c>
      <c r="J134" t="s">
        <v>374</v>
      </c>
      <c r="K134">
        <v>0</v>
      </c>
      <c r="L134" t="s">
        <v>251</v>
      </c>
      <c r="N134" t="s">
        <v>419</v>
      </c>
      <c r="O134" t="s">
        <v>374</v>
      </c>
      <c r="P134">
        <v>5.3945167503429617E-5</v>
      </c>
      <c r="Q134" t="s">
        <v>251</v>
      </c>
      <c r="S134" t="s">
        <v>420</v>
      </c>
      <c r="T134" t="s">
        <v>374</v>
      </c>
      <c r="U134">
        <v>4.9814749568872203E-5</v>
      </c>
      <c r="V134" t="s">
        <v>251</v>
      </c>
      <c r="X134">
        <v>1.1415525114155251E-4</v>
      </c>
      <c r="Y134">
        <v>1.4585353321897093E-5</v>
      </c>
      <c r="Z134" t="s">
        <v>374</v>
      </c>
      <c r="AA134" t="s">
        <v>25</v>
      </c>
      <c r="AC134" t="s">
        <v>22</v>
      </c>
      <c r="AD134" t="s">
        <v>374</v>
      </c>
      <c r="AE134">
        <v>1.12641969974882E-4</v>
      </c>
      <c r="AG134" t="s">
        <v>97</v>
      </c>
      <c r="AH134" t="s">
        <v>374</v>
      </c>
      <c r="AI134">
        <v>0</v>
      </c>
    </row>
    <row r="135" spans="9:35" x14ac:dyDescent="0.45">
      <c r="I135" t="s">
        <v>249</v>
      </c>
      <c r="J135" t="s">
        <v>375</v>
      </c>
      <c r="K135">
        <v>0</v>
      </c>
      <c r="L135" t="s">
        <v>251</v>
      </c>
      <c r="N135" t="s">
        <v>419</v>
      </c>
      <c r="O135" t="s">
        <v>375</v>
      </c>
      <c r="P135">
        <v>4.65041881540715E-5</v>
      </c>
      <c r="Q135" t="s">
        <v>251</v>
      </c>
      <c r="S135" t="s">
        <v>420</v>
      </c>
      <c r="T135" t="s">
        <v>375</v>
      </c>
      <c r="U135">
        <v>4.8338633251479815E-5</v>
      </c>
      <c r="V135" t="s">
        <v>251</v>
      </c>
      <c r="X135">
        <v>1.1415525114155251E-4</v>
      </c>
      <c r="Y135">
        <v>2.1215059377304864E-5</v>
      </c>
      <c r="Z135" t="s">
        <v>375</v>
      </c>
      <c r="AA135" t="s">
        <v>25</v>
      </c>
      <c r="AC135" t="s">
        <v>22</v>
      </c>
      <c r="AD135" t="s">
        <v>375</v>
      </c>
      <c r="AE135">
        <v>1.0530509955772126E-4</v>
      </c>
      <c r="AG135" t="s">
        <v>97</v>
      </c>
      <c r="AH135" t="s">
        <v>375</v>
      </c>
      <c r="AI135">
        <v>0</v>
      </c>
    </row>
    <row r="136" spans="9:35" x14ac:dyDescent="0.45">
      <c r="I136" t="s">
        <v>249</v>
      </c>
      <c r="J136" t="s">
        <v>376</v>
      </c>
      <c r="K136">
        <v>0</v>
      </c>
      <c r="L136" t="s">
        <v>251</v>
      </c>
      <c r="N136" t="s">
        <v>419</v>
      </c>
      <c r="O136" t="s">
        <v>376</v>
      </c>
      <c r="P136">
        <v>4.096917049590117E-5</v>
      </c>
      <c r="Q136" t="s">
        <v>251</v>
      </c>
      <c r="S136" t="s">
        <v>420</v>
      </c>
      <c r="T136" t="s">
        <v>376</v>
      </c>
      <c r="U136">
        <v>5.1855328450070497E-5</v>
      </c>
      <c r="V136" t="s">
        <v>251</v>
      </c>
      <c r="X136">
        <v>1.1415525114155251E-4</v>
      </c>
      <c r="Y136">
        <v>5.7678442682047593E-5</v>
      </c>
      <c r="Z136" t="s">
        <v>376</v>
      </c>
      <c r="AA136" t="s">
        <v>25</v>
      </c>
      <c r="AC136" t="s">
        <v>22</v>
      </c>
      <c r="AD136" t="s">
        <v>376</v>
      </c>
      <c r="AE136">
        <v>9.8638127748519906E-5</v>
      </c>
      <c r="AG136" t="s">
        <v>97</v>
      </c>
      <c r="AH136" t="s">
        <v>376</v>
      </c>
      <c r="AI136">
        <v>0</v>
      </c>
    </row>
    <row r="137" spans="9:35" x14ac:dyDescent="0.45">
      <c r="I137" t="s">
        <v>249</v>
      </c>
      <c r="J137" t="s">
        <v>377</v>
      </c>
      <c r="K137">
        <v>4.0787330059355363E-5</v>
      </c>
      <c r="L137" t="s">
        <v>251</v>
      </c>
      <c r="N137" t="s">
        <v>419</v>
      </c>
      <c r="O137" t="s">
        <v>377</v>
      </c>
      <c r="P137">
        <v>3.5518429746406824E-5</v>
      </c>
      <c r="Q137" t="s">
        <v>251</v>
      </c>
      <c r="S137" t="s">
        <v>420</v>
      </c>
      <c r="T137" t="s">
        <v>377</v>
      </c>
      <c r="U137">
        <v>5.9279547728978519E-5</v>
      </c>
      <c r="V137" t="s">
        <v>251</v>
      </c>
      <c r="X137">
        <v>1.1415525114155251E-4</v>
      </c>
      <c r="Y137">
        <v>1.6905750441289813E-4</v>
      </c>
      <c r="Z137" t="s">
        <v>377</v>
      </c>
      <c r="AA137" t="s">
        <v>25</v>
      </c>
      <c r="AC137" t="s">
        <v>22</v>
      </c>
      <c r="AD137" t="s">
        <v>377</v>
      </c>
      <c r="AE137">
        <v>9.5258221151850347E-5</v>
      </c>
      <c r="AG137" t="s">
        <v>97</v>
      </c>
      <c r="AH137" t="s">
        <v>377</v>
      </c>
      <c r="AI137">
        <v>0</v>
      </c>
    </row>
    <row r="138" spans="9:35" x14ac:dyDescent="0.45">
      <c r="I138" t="s">
        <v>249</v>
      </c>
      <c r="J138" t="s">
        <v>378</v>
      </c>
      <c r="K138">
        <v>9.4311621969324079E-5</v>
      </c>
      <c r="L138" t="s">
        <v>251</v>
      </c>
      <c r="N138" t="s">
        <v>419</v>
      </c>
      <c r="O138" t="s">
        <v>378</v>
      </c>
      <c r="P138">
        <v>2.4784943653458371E-5</v>
      </c>
      <c r="Q138" t="s">
        <v>251</v>
      </c>
      <c r="S138" t="s">
        <v>420</v>
      </c>
      <c r="T138" t="s">
        <v>378</v>
      </c>
      <c r="U138">
        <v>6.6705357315398155E-5</v>
      </c>
      <c r="V138" t="s">
        <v>251</v>
      </c>
      <c r="X138">
        <v>1.1415525114155251E-4</v>
      </c>
      <c r="Y138">
        <v>1.9060404909297337E-4</v>
      </c>
      <c r="Z138" t="s">
        <v>378</v>
      </c>
      <c r="AA138" t="s">
        <v>25</v>
      </c>
      <c r="AC138" t="s">
        <v>22</v>
      </c>
      <c r="AD138" t="s">
        <v>378</v>
      </c>
      <c r="AE138">
        <v>9.187271205786214E-5</v>
      </c>
      <c r="AG138" t="s">
        <v>97</v>
      </c>
      <c r="AH138" t="s">
        <v>378</v>
      </c>
      <c r="AI138">
        <v>0</v>
      </c>
    </row>
    <row r="139" spans="9:35" x14ac:dyDescent="0.45">
      <c r="I139" t="s">
        <v>249</v>
      </c>
      <c r="J139" t="s">
        <v>379</v>
      </c>
      <c r="K139">
        <v>1.4137556826109999E-4</v>
      </c>
      <c r="L139" t="s">
        <v>251</v>
      </c>
      <c r="N139" t="s">
        <v>419</v>
      </c>
      <c r="O139" t="s">
        <v>379</v>
      </c>
      <c r="P139">
        <v>2.1681593446359102E-5</v>
      </c>
      <c r="Q139" t="s">
        <v>251</v>
      </c>
      <c r="S139" t="s">
        <v>420</v>
      </c>
      <c r="T139" t="s">
        <v>379</v>
      </c>
      <c r="U139">
        <v>6.7925866717212714E-5</v>
      </c>
      <c r="V139" t="s">
        <v>251</v>
      </c>
      <c r="X139">
        <v>1.1415525114155251E-4</v>
      </c>
      <c r="Y139">
        <v>1.4585353321897094E-4</v>
      </c>
      <c r="Z139" t="s">
        <v>379</v>
      </c>
      <c r="AA139" t="s">
        <v>25</v>
      </c>
      <c r="AC139" t="s">
        <v>22</v>
      </c>
      <c r="AD139" t="s">
        <v>379</v>
      </c>
      <c r="AE139">
        <v>9.1351146236053892E-5</v>
      </c>
      <c r="AG139" t="s">
        <v>97</v>
      </c>
      <c r="AH139" t="s">
        <v>379</v>
      </c>
      <c r="AI139">
        <v>0</v>
      </c>
    </row>
    <row r="140" spans="9:35" x14ac:dyDescent="0.45">
      <c r="I140" t="s">
        <v>249</v>
      </c>
      <c r="J140" t="s">
        <v>380</v>
      </c>
      <c r="K140">
        <v>1.7124793398390001E-4</v>
      </c>
      <c r="L140" t="s">
        <v>251</v>
      </c>
      <c r="N140" t="s">
        <v>419</v>
      </c>
      <c r="O140" t="s">
        <v>380</v>
      </c>
      <c r="P140">
        <v>2.3007490122673294E-5</v>
      </c>
      <c r="Q140" t="s">
        <v>251</v>
      </c>
      <c r="S140" t="s">
        <v>420</v>
      </c>
      <c r="T140" t="s">
        <v>380</v>
      </c>
      <c r="U140">
        <v>7.4182878825795708E-5</v>
      </c>
      <c r="V140" t="s">
        <v>251</v>
      </c>
      <c r="X140">
        <v>1.1415525114155251E-4</v>
      </c>
      <c r="Y140">
        <v>1.4452759200788939E-4</v>
      </c>
      <c r="Z140" t="s">
        <v>380</v>
      </c>
      <c r="AA140" t="s">
        <v>25</v>
      </c>
      <c r="AC140" t="s">
        <v>22</v>
      </c>
      <c r="AD140" t="s">
        <v>380</v>
      </c>
      <c r="AE140">
        <v>9.1939942025686029E-5</v>
      </c>
      <c r="AG140" t="s">
        <v>97</v>
      </c>
      <c r="AH140" t="s">
        <v>380</v>
      </c>
      <c r="AI140">
        <v>0</v>
      </c>
    </row>
    <row r="141" spans="9:35" x14ac:dyDescent="0.45">
      <c r="I141" t="s">
        <v>249</v>
      </c>
      <c r="J141" t="s">
        <v>381</v>
      </c>
      <c r="K141">
        <v>1.895647993923E-4</v>
      </c>
      <c r="L141" t="s">
        <v>251</v>
      </c>
      <c r="N141" t="s">
        <v>419</v>
      </c>
      <c r="O141" t="s">
        <v>381</v>
      </c>
      <c r="P141">
        <v>2.5284366441646623E-5</v>
      </c>
      <c r="Q141" t="s">
        <v>251</v>
      </c>
      <c r="S141" t="s">
        <v>420</v>
      </c>
      <c r="T141" t="s">
        <v>381</v>
      </c>
      <c r="U141">
        <v>8.0349099865312172E-5</v>
      </c>
      <c r="V141" t="s">
        <v>251</v>
      </c>
      <c r="X141">
        <v>1.1415525114155251E-4</v>
      </c>
      <c r="Y141">
        <v>1.408812536774151E-4</v>
      </c>
      <c r="Z141" t="s">
        <v>381</v>
      </c>
      <c r="AA141" t="s">
        <v>25</v>
      </c>
      <c r="AC141" t="s">
        <v>22</v>
      </c>
      <c r="AD141" t="s">
        <v>381</v>
      </c>
      <c r="AE141">
        <v>9.819179546213359E-5</v>
      </c>
      <c r="AG141" t="s">
        <v>97</v>
      </c>
      <c r="AH141" t="s">
        <v>381</v>
      </c>
      <c r="AI141">
        <v>0</v>
      </c>
    </row>
    <row r="142" spans="9:35" x14ac:dyDescent="0.45">
      <c r="I142" t="s">
        <v>249</v>
      </c>
      <c r="J142" t="s">
        <v>382</v>
      </c>
      <c r="K142">
        <v>2.080089373088E-4</v>
      </c>
      <c r="L142" t="s">
        <v>251</v>
      </c>
      <c r="N142" t="s">
        <v>419</v>
      </c>
      <c r="O142" t="s">
        <v>382</v>
      </c>
      <c r="P142">
        <v>2.7651993675796478E-5</v>
      </c>
      <c r="Q142" t="s">
        <v>251</v>
      </c>
      <c r="S142" t="s">
        <v>420</v>
      </c>
      <c r="T142" t="s">
        <v>382</v>
      </c>
      <c r="U142">
        <v>8.2638830529696303E-5</v>
      </c>
      <c r="V142" t="s">
        <v>251</v>
      </c>
      <c r="X142">
        <v>1.1415525114155251E-4</v>
      </c>
      <c r="Y142">
        <v>1.4054976837464471E-4</v>
      </c>
      <c r="Z142" t="s">
        <v>382</v>
      </c>
      <c r="AA142" t="s">
        <v>25</v>
      </c>
      <c r="AC142" t="s">
        <v>22</v>
      </c>
      <c r="AD142" t="s">
        <v>382</v>
      </c>
      <c r="AE142">
        <v>1.0340318511083065E-4</v>
      </c>
      <c r="AG142" t="s">
        <v>97</v>
      </c>
      <c r="AH142" t="s">
        <v>382</v>
      </c>
      <c r="AI142">
        <v>0</v>
      </c>
    </row>
    <row r="143" spans="9:35" x14ac:dyDescent="0.45">
      <c r="I143" t="s">
        <v>249</v>
      </c>
      <c r="J143" t="s">
        <v>383</v>
      </c>
      <c r="K143">
        <v>2.0374882054820001E-4</v>
      </c>
      <c r="L143" t="s">
        <v>251</v>
      </c>
      <c r="N143" t="s">
        <v>419</v>
      </c>
      <c r="O143" t="s">
        <v>383</v>
      </c>
      <c r="P143">
        <v>3.1085129511905552E-5</v>
      </c>
      <c r="Q143" t="s">
        <v>251</v>
      </c>
      <c r="S143" t="s">
        <v>420</v>
      </c>
      <c r="T143" t="s">
        <v>383</v>
      </c>
      <c r="U143">
        <v>8.8059403849031261E-5</v>
      </c>
      <c r="V143" t="s">
        <v>251</v>
      </c>
      <c r="X143">
        <v>1.1415525114155251E-4</v>
      </c>
      <c r="Y143">
        <v>1.4253868019126702E-4</v>
      </c>
      <c r="Z143" t="s">
        <v>383</v>
      </c>
      <c r="AA143" t="s">
        <v>25</v>
      </c>
      <c r="AC143" t="s">
        <v>22</v>
      </c>
      <c r="AD143" t="s">
        <v>383</v>
      </c>
      <c r="AE143">
        <v>1.1162658403227212E-4</v>
      </c>
      <c r="AG143" t="s">
        <v>97</v>
      </c>
      <c r="AH143" t="s">
        <v>383</v>
      </c>
      <c r="AI143">
        <v>0</v>
      </c>
    </row>
    <row r="144" spans="9:35" x14ac:dyDescent="0.45">
      <c r="I144" t="s">
        <v>249</v>
      </c>
      <c r="J144" t="s">
        <v>384</v>
      </c>
      <c r="K144">
        <v>1.996512302124E-4</v>
      </c>
      <c r="L144" t="s">
        <v>251</v>
      </c>
      <c r="N144" t="s">
        <v>419</v>
      </c>
      <c r="O144" t="s">
        <v>384</v>
      </c>
      <c r="P144">
        <v>3.3653217927049085E-5</v>
      </c>
      <c r="Q144" t="s">
        <v>251</v>
      </c>
      <c r="S144" t="s">
        <v>420</v>
      </c>
      <c r="T144" t="s">
        <v>384</v>
      </c>
      <c r="U144">
        <v>9.2257914769287155E-5</v>
      </c>
      <c r="V144" t="s">
        <v>251</v>
      </c>
      <c r="X144">
        <v>1.1415525114155251E-4</v>
      </c>
      <c r="Y144">
        <v>1.4883690094390442E-4</v>
      </c>
      <c r="Z144" t="s">
        <v>384</v>
      </c>
      <c r="AA144" t="s">
        <v>25</v>
      </c>
      <c r="AC144" t="s">
        <v>22</v>
      </c>
      <c r="AD144" t="s">
        <v>384</v>
      </c>
      <c r="AE144">
        <v>1.1886794520942909E-4</v>
      </c>
      <c r="AG144" t="s">
        <v>97</v>
      </c>
      <c r="AH144" t="s">
        <v>384</v>
      </c>
      <c r="AI144">
        <v>0</v>
      </c>
    </row>
    <row r="145" spans="9:35" x14ac:dyDescent="0.45">
      <c r="I145" t="s">
        <v>249</v>
      </c>
      <c r="J145" t="s">
        <v>385</v>
      </c>
      <c r="K145">
        <v>1.984144051045E-4</v>
      </c>
      <c r="L145" t="s">
        <v>251</v>
      </c>
      <c r="N145" t="s">
        <v>419</v>
      </c>
      <c r="O145" t="s">
        <v>385</v>
      </c>
      <c r="P145">
        <v>3.4525264843169706E-5</v>
      </c>
      <c r="Q145" t="s">
        <v>251</v>
      </c>
      <c r="S145" t="s">
        <v>420</v>
      </c>
      <c r="T145" t="s">
        <v>385</v>
      </c>
      <c r="U145">
        <v>8.2063173210658859E-5</v>
      </c>
      <c r="V145" t="s">
        <v>251</v>
      </c>
      <c r="X145">
        <v>1.1415525114155251E-4</v>
      </c>
      <c r="Y145">
        <v>1.5049432745775637E-4</v>
      </c>
      <c r="Z145" t="s">
        <v>385</v>
      </c>
      <c r="AA145" t="s">
        <v>25</v>
      </c>
      <c r="AC145" t="s">
        <v>22</v>
      </c>
      <c r="AD145" t="s">
        <v>385</v>
      </c>
      <c r="AE145">
        <v>1.2301299286847516E-4</v>
      </c>
      <c r="AG145" t="s">
        <v>97</v>
      </c>
      <c r="AH145" t="s">
        <v>385</v>
      </c>
      <c r="AI145">
        <v>0</v>
      </c>
    </row>
    <row r="146" spans="9:35" x14ac:dyDescent="0.45">
      <c r="I146" t="s">
        <v>249</v>
      </c>
      <c r="J146" t="s">
        <v>386</v>
      </c>
      <c r="K146">
        <v>1.8498673104120001E-4</v>
      </c>
      <c r="L146" t="s">
        <v>251</v>
      </c>
      <c r="N146" t="s">
        <v>419</v>
      </c>
      <c r="O146" t="s">
        <v>386</v>
      </c>
      <c r="P146">
        <v>3.8095749433067159E-5</v>
      </c>
      <c r="Q146" t="s">
        <v>251</v>
      </c>
      <c r="S146" t="s">
        <v>420</v>
      </c>
      <c r="T146" t="s">
        <v>386</v>
      </c>
      <c r="U146">
        <v>7.6034119205626934E-5</v>
      </c>
      <c r="V146" t="s">
        <v>251</v>
      </c>
      <c r="X146">
        <v>1.1415525114155251E-4</v>
      </c>
      <c r="Y146">
        <v>1.7237235744060203E-4</v>
      </c>
      <c r="Z146" t="s">
        <v>386</v>
      </c>
      <c r="AA146" t="s">
        <v>25</v>
      </c>
      <c r="AC146" t="s">
        <v>22</v>
      </c>
      <c r="AD146" t="s">
        <v>386</v>
      </c>
      <c r="AE146">
        <v>1.2513820685135224E-4</v>
      </c>
      <c r="AG146" t="s">
        <v>97</v>
      </c>
      <c r="AH146" t="s">
        <v>386</v>
      </c>
      <c r="AI146">
        <v>0</v>
      </c>
    </row>
    <row r="147" spans="9:35" x14ac:dyDescent="0.45">
      <c r="I147" t="s">
        <v>249</v>
      </c>
      <c r="J147" t="s">
        <v>387</v>
      </c>
      <c r="K147">
        <v>1.6140733186189999E-4</v>
      </c>
      <c r="L147" t="s">
        <v>251</v>
      </c>
      <c r="N147" t="s">
        <v>419</v>
      </c>
      <c r="O147" t="s">
        <v>387</v>
      </c>
      <c r="P147">
        <v>3.6063127810576708E-5</v>
      </c>
      <c r="Q147" t="s">
        <v>251</v>
      </c>
      <c r="S147" t="s">
        <v>420</v>
      </c>
      <c r="T147" t="s">
        <v>387</v>
      </c>
      <c r="U147">
        <v>5.5347632277182925E-5</v>
      </c>
      <c r="V147" t="s">
        <v>251</v>
      </c>
      <c r="X147">
        <v>1.1415525114155251E-4</v>
      </c>
      <c r="Y147">
        <v>2.2209515285616027E-4</v>
      </c>
      <c r="Z147" t="s">
        <v>387</v>
      </c>
      <c r="AA147" t="s">
        <v>25</v>
      </c>
      <c r="AC147" t="s">
        <v>22</v>
      </c>
      <c r="AD147" t="s">
        <v>387</v>
      </c>
      <c r="AE147">
        <v>1.2831535640220372E-4</v>
      </c>
      <c r="AG147" t="s">
        <v>97</v>
      </c>
      <c r="AH147" t="s">
        <v>387</v>
      </c>
      <c r="AI147">
        <v>0</v>
      </c>
    </row>
    <row r="148" spans="9:35" x14ac:dyDescent="0.45">
      <c r="I148" t="s">
        <v>249</v>
      </c>
      <c r="J148" t="s">
        <v>388</v>
      </c>
      <c r="K148">
        <v>1.1617709056799999E-4</v>
      </c>
      <c r="L148" t="s">
        <v>251</v>
      </c>
      <c r="N148" t="s">
        <v>419</v>
      </c>
      <c r="O148" t="s">
        <v>388</v>
      </c>
      <c r="P148">
        <v>3.3821627686976499E-5</v>
      </c>
      <c r="Q148" t="s">
        <v>251</v>
      </c>
      <c r="S148" t="s">
        <v>420</v>
      </c>
      <c r="T148" t="s">
        <v>388</v>
      </c>
      <c r="U148">
        <v>6.6712044156919529E-5</v>
      </c>
      <c r="V148" t="s">
        <v>251</v>
      </c>
      <c r="X148">
        <v>1.1415525114155251E-4</v>
      </c>
      <c r="Y148">
        <v>2.2209515285616027E-4</v>
      </c>
      <c r="Z148" t="s">
        <v>388</v>
      </c>
      <c r="AA148" t="s">
        <v>25</v>
      </c>
      <c r="AC148" t="s">
        <v>22</v>
      </c>
      <c r="AD148" t="s">
        <v>388</v>
      </c>
      <c r="AE148">
        <v>1.3101896153683545E-4</v>
      </c>
      <c r="AG148" t="s">
        <v>97</v>
      </c>
      <c r="AH148" t="s">
        <v>388</v>
      </c>
      <c r="AI148">
        <v>0</v>
      </c>
    </row>
    <row r="149" spans="9:35" x14ac:dyDescent="0.45">
      <c r="I149" t="s">
        <v>249</v>
      </c>
      <c r="J149" t="s">
        <v>389</v>
      </c>
      <c r="K149">
        <v>6.5694116154064108E-5</v>
      </c>
      <c r="L149" t="s">
        <v>251</v>
      </c>
      <c r="N149" t="s">
        <v>419</v>
      </c>
      <c r="O149" t="s">
        <v>389</v>
      </c>
      <c r="P149">
        <v>3.5914895946673685E-5</v>
      </c>
      <c r="Q149" t="s">
        <v>251</v>
      </c>
      <c r="S149" t="s">
        <v>420</v>
      </c>
      <c r="T149" t="s">
        <v>389</v>
      </c>
      <c r="U149">
        <v>8.9287956692003843E-5</v>
      </c>
      <c r="V149" t="s">
        <v>251</v>
      </c>
      <c r="X149">
        <v>1.1415525114155251E-4</v>
      </c>
      <c r="Y149">
        <v>1.7237235744060203E-4</v>
      </c>
      <c r="Z149" t="s">
        <v>389</v>
      </c>
      <c r="AA149" t="s">
        <v>25</v>
      </c>
      <c r="AC149" t="s">
        <v>22</v>
      </c>
      <c r="AD149" t="s">
        <v>389</v>
      </c>
      <c r="AE149">
        <v>1.3606681162094505E-4</v>
      </c>
      <c r="AG149" t="s">
        <v>97</v>
      </c>
      <c r="AH149" t="s">
        <v>389</v>
      </c>
      <c r="AI149">
        <v>0</v>
      </c>
    </row>
    <row r="150" spans="9:35" x14ac:dyDescent="0.45">
      <c r="I150" t="s">
        <v>249</v>
      </c>
      <c r="J150" t="s">
        <v>390</v>
      </c>
      <c r="K150">
        <v>0</v>
      </c>
      <c r="L150" t="s">
        <v>251</v>
      </c>
      <c r="N150" t="s">
        <v>419</v>
      </c>
      <c r="O150" t="s">
        <v>390</v>
      </c>
      <c r="P150">
        <v>4.2042996807454241E-5</v>
      </c>
      <c r="Q150" t="s">
        <v>251</v>
      </c>
      <c r="S150" t="s">
        <v>420</v>
      </c>
      <c r="T150" t="s">
        <v>390</v>
      </c>
      <c r="U150">
        <v>1.14751184103E-4</v>
      </c>
      <c r="V150" t="s">
        <v>251</v>
      </c>
      <c r="X150">
        <v>1.1415525114155251E-4</v>
      </c>
      <c r="Y150">
        <v>1.5579809230208258E-4</v>
      </c>
      <c r="Z150" t="s">
        <v>390</v>
      </c>
      <c r="AA150" t="s">
        <v>25</v>
      </c>
      <c r="AC150" t="s">
        <v>22</v>
      </c>
      <c r="AD150" t="s">
        <v>390</v>
      </c>
      <c r="AE150">
        <v>1.3778304329956019E-4</v>
      </c>
      <c r="AG150" t="s">
        <v>97</v>
      </c>
      <c r="AH150" t="s">
        <v>390</v>
      </c>
      <c r="AI150">
        <v>0</v>
      </c>
    </row>
    <row r="151" spans="9:35" x14ac:dyDescent="0.45">
      <c r="I151" t="s">
        <v>249</v>
      </c>
      <c r="J151" t="s">
        <v>391</v>
      </c>
      <c r="K151">
        <v>0</v>
      </c>
      <c r="L151" t="s">
        <v>251</v>
      </c>
      <c r="N151" t="s">
        <v>419</v>
      </c>
      <c r="O151" t="s">
        <v>391</v>
      </c>
      <c r="P151">
        <v>4.6931756891853767E-5</v>
      </c>
      <c r="Q151" t="s">
        <v>251</v>
      </c>
      <c r="S151" t="s">
        <v>420</v>
      </c>
      <c r="T151" t="s">
        <v>391</v>
      </c>
      <c r="U151">
        <v>1.3160549668620001E-4</v>
      </c>
      <c r="V151" t="s">
        <v>251</v>
      </c>
      <c r="X151">
        <v>1.1415525114155251E-4</v>
      </c>
      <c r="Y151">
        <v>1.093901499142282E-4</v>
      </c>
      <c r="Z151" t="s">
        <v>391</v>
      </c>
      <c r="AA151" t="s">
        <v>25</v>
      </c>
      <c r="AC151" t="s">
        <v>22</v>
      </c>
      <c r="AD151" t="s">
        <v>391</v>
      </c>
      <c r="AE151">
        <v>1.3831901554304499E-4</v>
      </c>
      <c r="AG151" t="s">
        <v>97</v>
      </c>
      <c r="AH151" t="s">
        <v>391</v>
      </c>
      <c r="AI151">
        <v>0</v>
      </c>
    </row>
    <row r="152" spans="9:35" x14ac:dyDescent="0.45">
      <c r="I152" t="s">
        <v>249</v>
      </c>
      <c r="J152" t="s">
        <v>392</v>
      </c>
      <c r="K152">
        <v>0</v>
      </c>
      <c r="L152" t="s">
        <v>251</v>
      </c>
      <c r="N152" t="s">
        <v>419</v>
      </c>
      <c r="O152" t="s">
        <v>392</v>
      </c>
      <c r="P152">
        <v>4.9495786772163647E-5</v>
      </c>
      <c r="Q152" t="s">
        <v>251</v>
      </c>
      <c r="S152" t="s">
        <v>420</v>
      </c>
      <c r="T152" t="s">
        <v>392</v>
      </c>
      <c r="U152">
        <v>1.4647395713510001E-4</v>
      </c>
      <c r="V152" t="s">
        <v>251</v>
      </c>
      <c r="X152">
        <v>1.1415525114155251E-4</v>
      </c>
      <c r="Y152">
        <v>7.9556472664893237E-5</v>
      </c>
      <c r="Z152" t="s">
        <v>392</v>
      </c>
      <c r="AA152" t="s">
        <v>25</v>
      </c>
      <c r="AC152" t="s">
        <v>22</v>
      </c>
      <c r="AD152" t="s">
        <v>392</v>
      </c>
      <c r="AE152">
        <v>1.3772861903989323E-4</v>
      </c>
      <c r="AG152" t="s">
        <v>97</v>
      </c>
      <c r="AH152" t="s">
        <v>392</v>
      </c>
      <c r="AI152">
        <v>0</v>
      </c>
    </row>
    <row r="153" spans="9:35" x14ac:dyDescent="0.45">
      <c r="I153" t="s">
        <v>249</v>
      </c>
      <c r="J153" t="s">
        <v>393</v>
      </c>
      <c r="K153">
        <v>0</v>
      </c>
      <c r="L153" t="s">
        <v>251</v>
      </c>
      <c r="N153" t="s">
        <v>419</v>
      </c>
      <c r="O153" t="s">
        <v>393</v>
      </c>
      <c r="P153">
        <v>4.884078354599622E-5</v>
      </c>
      <c r="Q153" t="s">
        <v>251</v>
      </c>
      <c r="S153" t="s">
        <v>420</v>
      </c>
      <c r="T153" t="s">
        <v>393</v>
      </c>
      <c r="U153">
        <v>1.4757513937040001E-4</v>
      </c>
      <c r="V153" t="s">
        <v>251</v>
      </c>
      <c r="X153">
        <v>1.1415525114155251E-4</v>
      </c>
      <c r="Y153">
        <v>5.6352501470966035E-5</v>
      </c>
      <c r="Z153" t="s">
        <v>393</v>
      </c>
      <c r="AA153" t="s">
        <v>25</v>
      </c>
      <c r="AC153" t="s">
        <v>22</v>
      </c>
      <c r="AD153" t="s">
        <v>393</v>
      </c>
      <c r="AE153">
        <v>1.3142207455819213E-4</v>
      </c>
      <c r="AG153" t="s">
        <v>97</v>
      </c>
      <c r="AH153" t="s">
        <v>393</v>
      </c>
      <c r="AI153">
        <v>0</v>
      </c>
    </row>
    <row r="154" spans="9:35" x14ac:dyDescent="0.45">
      <c r="I154" t="s">
        <v>249</v>
      </c>
      <c r="J154" t="s">
        <v>394</v>
      </c>
      <c r="K154">
        <v>0</v>
      </c>
      <c r="L154" t="s">
        <v>251</v>
      </c>
      <c r="N154" t="s">
        <v>419</v>
      </c>
      <c r="O154" t="s">
        <v>394</v>
      </c>
      <c r="P154">
        <v>4.6544656991490725E-5</v>
      </c>
      <c r="Q154" t="s">
        <v>251</v>
      </c>
      <c r="S154" t="s">
        <v>420</v>
      </c>
      <c r="T154" t="s">
        <v>394</v>
      </c>
      <c r="U154">
        <v>1.409993126573E-4</v>
      </c>
      <c r="V154" t="s">
        <v>251</v>
      </c>
      <c r="X154">
        <v>1.1415525114155251E-4</v>
      </c>
      <c r="Y154">
        <v>2.9833677249334962E-5</v>
      </c>
      <c r="Z154" t="s">
        <v>394</v>
      </c>
      <c r="AA154" t="s">
        <v>25</v>
      </c>
      <c r="AC154" t="s">
        <v>22</v>
      </c>
      <c r="AD154" t="s">
        <v>394</v>
      </c>
      <c r="AE154">
        <v>1.3071615989604141E-4</v>
      </c>
      <c r="AG154" t="s">
        <v>97</v>
      </c>
      <c r="AH154" t="s">
        <v>394</v>
      </c>
      <c r="AI154">
        <v>0</v>
      </c>
    </row>
    <row r="155" spans="9:35" x14ac:dyDescent="0.45">
      <c r="I155" t="s">
        <v>249</v>
      </c>
      <c r="J155" t="s">
        <v>395</v>
      </c>
      <c r="K155">
        <v>0</v>
      </c>
      <c r="L155" t="s">
        <v>251</v>
      </c>
      <c r="N155" t="s">
        <v>419</v>
      </c>
      <c r="O155" t="s">
        <v>395</v>
      </c>
      <c r="P155">
        <v>2.672996351164476E-2</v>
      </c>
      <c r="Q155" t="s">
        <v>251</v>
      </c>
      <c r="S155" t="s">
        <v>420</v>
      </c>
      <c r="T155" t="s">
        <v>395</v>
      </c>
      <c r="U155">
        <v>2.2216646502896346E-2</v>
      </c>
      <c r="V155" t="s">
        <v>251</v>
      </c>
      <c r="X155">
        <v>2.1232876712328767E-2</v>
      </c>
      <c r="Y155">
        <v>4.5420116185598634E-3</v>
      </c>
      <c r="Z155" t="s">
        <v>395</v>
      </c>
      <c r="AA155" t="s">
        <v>25</v>
      </c>
      <c r="AC155" t="s">
        <v>22</v>
      </c>
      <c r="AD155" t="s">
        <v>395</v>
      </c>
      <c r="AE155">
        <v>1.9792621807780571E-2</v>
      </c>
      <c r="AG155" t="s">
        <v>97</v>
      </c>
      <c r="AH155" t="s">
        <v>395</v>
      </c>
      <c r="AI155">
        <v>0.14546037012229274</v>
      </c>
    </row>
    <row r="156" spans="9:35" x14ac:dyDescent="0.45">
      <c r="I156" t="s">
        <v>249</v>
      </c>
      <c r="J156" t="s">
        <v>396</v>
      </c>
      <c r="K156">
        <v>2.9377313160573786E-4</v>
      </c>
      <c r="L156" t="s">
        <v>251</v>
      </c>
      <c r="N156" t="s">
        <v>419</v>
      </c>
      <c r="O156" t="s">
        <v>396</v>
      </c>
      <c r="P156">
        <v>4.2543244324251541E-3</v>
      </c>
      <c r="Q156" t="s">
        <v>251</v>
      </c>
      <c r="S156" t="s">
        <v>420</v>
      </c>
      <c r="T156" t="s">
        <v>396</v>
      </c>
      <c r="U156">
        <v>3.6311291673658875E-3</v>
      </c>
      <c r="V156" t="s">
        <v>251</v>
      </c>
      <c r="X156">
        <v>3.5388127853881279E-3</v>
      </c>
      <c r="Y156">
        <v>5.240782636799844E-3</v>
      </c>
      <c r="Z156" t="s">
        <v>396</v>
      </c>
      <c r="AA156" t="s">
        <v>25</v>
      </c>
      <c r="AC156" t="s">
        <v>22</v>
      </c>
      <c r="AD156" t="s">
        <v>396</v>
      </c>
      <c r="AE156">
        <v>2.6543176581232944E-3</v>
      </c>
      <c r="AG156" t="s">
        <v>97</v>
      </c>
      <c r="AH156" t="s">
        <v>396</v>
      </c>
      <c r="AI156">
        <v>3.3040825794567352E-2</v>
      </c>
    </row>
    <row r="157" spans="9:35" x14ac:dyDescent="0.45">
      <c r="I157" t="s">
        <v>249</v>
      </c>
      <c r="J157" t="s">
        <v>397</v>
      </c>
      <c r="K157">
        <v>5.1106613015486834E-3</v>
      </c>
      <c r="L157" t="s">
        <v>251</v>
      </c>
      <c r="N157" t="s">
        <v>419</v>
      </c>
      <c r="O157" t="s">
        <v>397</v>
      </c>
      <c r="P157">
        <v>4.0331475106903433E-3</v>
      </c>
      <c r="Q157" t="s">
        <v>251</v>
      </c>
      <c r="S157" t="s">
        <v>420</v>
      </c>
      <c r="T157" t="s">
        <v>397</v>
      </c>
      <c r="U157">
        <v>3.6183135117650459E-3</v>
      </c>
      <c r="V157" t="s">
        <v>251</v>
      </c>
      <c r="X157">
        <v>3.5388127853881279E-3</v>
      </c>
      <c r="Y157">
        <v>5.9087255218821738E-3</v>
      </c>
      <c r="Z157" t="s">
        <v>397</v>
      </c>
      <c r="AA157" t="s">
        <v>25</v>
      </c>
      <c r="AC157" t="s">
        <v>22</v>
      </c>
      <c r="AD157" t="s">
        <v>397</v>
      </c>
      <c r="AE157">
        <v>2.5804887488147976E-3</v>
      </c>
      <c r="AG157" t="s">
        <v>97</v>
      </c>
      <c r="AH157" t="s">
        <v>397</v>
      </c>
      <c r="AI157">
        <v>2.5958608869261823E-2</v>
      </c>
    </row>
    <row r="158" spans="9:35" x14ac:dyDescent="0.45">
      <c r="I158" t="s">
        <v>249</v>
      </c>
      <c r="J158" t="s">
        <v>398</v>
      </c>
      <c r="K158">
        <v>5.7744684487604302E-2</v>
      </c>
      <c r="L158" t="s">
        <v>251</v>
      </c>
      <c r="N158" t="s">
        <v>419</v>
      </c>
      <c r="O158" t="s">
        <v>398</v>
      </c>
      <c r="P158">
        <v>2.6052330729859945E-2</v>
      </c>
      <c r="Q158" t="s">
        <v>251</v>
      </c>
      <c r="S158" t="s">
        <v>420</v>
      </c>
      <c r="T158" t="s">
        <v>398</v>
      </c>
      <c r="U158">
        <v>2.3925689322265881E-2</v>
      </c>
      <c r="V158" t="s">
        <v>251</v>
      </c>
      <c r="X158">
        <v>2.4771689497716895E-2</v>
      </c>
      <c r="Y158">
        <v>3.1424143732027281E-2</v>
      </c>
      <c r="Z158" t="s">
        <v>398</v>
      </c>
      <c r="AA158" t="s">
        <v>25</v>
      </c>
      <c r="AC158" t="s">
        <v>22</v>
      </c>
      <c r="AD158" t="s">
        <v>398</v>
      </c>
      <c r="AE158">
        <v>2.1944566199195794E-2</v>
      </c>
      <c r="AG158" t="s">
        <v>97</v>
      </c>
      <c r="AH158" t="s">
        <v>398</v>
      </c>
      <c r="AI158">
        <v>0.2497240775983629</v>
      </c>
    </row>
    <row r="159" spans="9:35" x14ac:dyDescent="0.45">
      <c r="I159" t="s">
        <v>249</v>
      </c>
      <c r="J159" t="s">
        <v>399</v>
      </c>
      <c r="K159">
        <v>8.1286848741940997E-3</v>
      </c>
      <c r="L159" t="s">
        <v>251</v>
      </c>
      <c r="N159" t="s">
        <v>419</v>
      </c>
      <c r="O159" t="s">
        <v>399</v>
      </c>
      <c r="P159">
        <v>3.661709304739004E-3</v>
      </c>
      <c r="Q159" t="s">
        <v>251</v>
      </c>
      <c r="S159" t="s">
        <v>420</v>
      </c>
      <c r="T159" t="s">
        <v>399</v>
      </c>
      <c r="U159">
        <v>3.5723945211106572E-3</v>
      </c>
      <c r="V159" t="s">
        <v>251</v>
      </c>
      <c r="X159">
        <v>3.5388127853881279E-3</v>
      </c>
      <c r="Y159">
        <v>5.3435430806586613E-3</v>
      </c>
      <c r="Z159" t="s">
        <v>399</v>
      </c>
      <c r="AA159" t="s">
        <v>25</v>
      </c>
      <c r="AC159" t="s">
        <v>22</v>
      </c>
      <c r="AD159" t="s">
        <v>399</v>
      </c>
      <c r="AE159">
        <v>3.5150034429866075E-3</v>
      </c>
      <c r="AG159" t="s">
        <v>97</v>
      </c>
      <c r="AH159" t="s">
        <v>399</v>
      </c>
      <c r="AI159">
        <v>5.2894178929967728E-2</v>
      </c>
    </row>
    <row r="160" spans="9:35" x14ac:dyDescent="0.45">
      <c r="I160" t="s">
        <v>249</v>
      </c>
      <c r="J160" t="s">
        <v>400</v>
      </c>
      <c r="K160">
        <v>7.0069966313310002E-3</v>
      </c>
      <c r="L160" t="s">
        <v>251</v>
      </c>
      <c r="N160" t="s">
        <v>419</v>
      </c>
      <c r="O160" t="s">
        <v>400</v>
      </c>
      <c r="P160">
        <v>3.5484948676191815E-3</v>
      </c>
      <c r="Q160" t="s">
        <v>251</v>
      </c>
      <c r="S160" t="s">
        <v>420</v>
      </c>
      <c r="T160" t="s">
        <v>400</v>
      </c>
      <c r="U160">
        <v>3.4846446280784498E-3</v>
      </c>
      <c r="V160" t="s">
        <v>251</v>
      </c>
      <c r="X160">
        <v>3.5388127853881279E-3</v>
      </c>
      <c r="Y160">
        <v>6.8849497385409693E-3</v>
      </c>
      <c r="Z160" t="s">
        <v>400</v>
      </c>
      <c r="AA160" t="s">
        <v>25</v>
      </c>
      <c r="AC160" t="s">
        <v>22</v>
      </c>
      <c r="AD160" t="s">
        <v>400</v>
      </c>
      <c r="AE160">
        <v>3.5353938653706518E-3</v>
      </c>
      <c r="AG160" t="s">
        <v>97</v>
      </c>
      <c r="AH160" t="s">
        <v>400</v>
      </c>
      <c r="AI160">
        <v>5.5112731512192425E-2</v>
      </c>
    </row>
    <row r="161" spans="9:35" x14ac:dyDescent="0.45">
      <c r="I161" t="s">
        <v>249</v>
      </c>
      <c r="J161" t="s">
        <v>401</v>
      </c>
      <c r="K161">
        <v>4.7699674303072776E-3</v>
      </c>
      <c r="L161" t="s">
        <v>251</v>
      </c>
      <c r="N161" t="s">
        <v>419</v>
      </c>
      <c r="O161" t="s">
        <v>401</v>
      </c>
      <c r="P161">
        <v>3.6102067267179024E-3</v>
      </c>
      <c r="Q161" t="s">
        <v>251</v>
      </c>
      <c r="S161" t="s">
        <v>420</v>
      </c>
      <c r="T161" t="s">
        <v>401</v>
      </c>
      <c r="U161">
        <v>3.5324148970068132E-3</v>
      </c>
      <c r="V161" t="s">
        <v>251</v>
      </c>
      <c r="X161">
        <v>3.5388127853881279E-3</v>
      </c>
      <c r="Y161">
        <v>6.8849497385409693E-3</v>
      </c>
      <c r="Z161" t="s">
        <v>401</v>
      </c>
      <c r="AA161" t="s">
        <v>25</v>
      </c>
      <c r="AC161" t="s">
        <v>22</v>
      </c>
      <c r="AD161" t="s">
        <v>401</v>
      </c>
      <c r="AE161">
        <v>3.5299058190686478E-3</v>
      </c>
      <c r="AG161" t="s">
        <v>97</v>
      </c>
      <c r="AH161" t="s">
        <v>401</v>
      </c>
      <c r="AI161">
        <v>4.6894091713638453E-2</v>
      </c>
    </row>
    <row r="162" spans="9:35" x14ac:dyDescent="0.45">
      <c r="I162" t="s">
        <v>249</v>
      </c>
      <c r="J162" t="s">
        <v>402</v>
      </c>
      <c r="K162">
        <v>3.935434326233821E-4</v>
      </c>
      <c r="L162" t="s">
        <v>251</v>
      </c>
      <c r="N162" t="s">
        <v>419</v>
      </c>
      <c r="O162" t="s">
        <v>402</v>
      </c>
      <c r="P162">
        <v>2.5229958240348592E-2</v>
      </c>
      <c r="Q162" t="s">
        <v>251</v>
      </c>
      <c r="S162" t="s">
        <v>420</v>
      </c>
      <c r="T162" t="s">
        <v>402</v>
      </c>
      <c r="U162">
        <v>2.2967935906960009E-2</v>
      </c>
      <c r="V162" t="s">
        <v>251</v>
      </c>
      <c r="X162">
        <v>2.1232876712328767E-2</v>
      </c>
      <c r="Y162">
        <v>1.8702400782305319E-2</v>
      </c>
      <c r="Z162" t="s">
        <v>402</v>
      </c>
      <c r="AA162" t="s">
        <v>25</v>
      </c>
      <c r="AC162" t="s">
        <v>22</v>
      </c>
      <c r="AD162" t="s">
        <v>402</v>
      </c>
      <c r="AE162">
        <v>2.1397713812444066E-2</v>
      </c>
      <c r="AG162" t="s">
        <v>97</v>
      </c>
      <c r="AH162" t="s">
        <v>402</v>
      </c>
      <c r="AI162">
        <v>5.0407627829197166E-2</v>
      </c>
    </row>
    <row r="163" spans="9:35" x14ac:dyDescent="0.45">
      <c r="I163" t="s">
        <v>249</v>
      </c>
      <c r="J163" t="s">
        <v>403</v>
      </c>
      <c r="K163">
        <v>0</v>
      </c>
      <c r="L163" t="s">
        <v>251</v>
      </c>
      <c r="N163" t="s">
        <v>419</v>
      </c>
      <c r="O163" t="s">
        <v>403</v>
      </c>
      <c r="P163">
        <v>2.6290768194464902E-2</v>
      </c>
      <c r="Q163" t="s">
        <v>251</v>
      </c>
      <c r="S163" t="s">
        <v>420</v>
      </c>
      <c r="T163" t="s">
        <v>403</v>
      </c>
      <c r="U163">
        <v>3.1388211361776309E-2</v>
      </c>
      <c r="V163" t="s">
        <v>251</v>
      </c>
      <c r="X163">
        <v>2.0547945205479451E-2</v>
      </c>
      <c r="Y163">
        <v>4.3954951147353507E-3</v>
      </c>
      <c r="Z163" t="s">
        <v>403</v>
      </c>
      <c r="AA163" t="s">
        <v>25</v>
      </c>
      <c r="AC163" t="s">
        <v>22</v>
      </c>
      <c r="AD163" t="s">
        <v>403</v>
      </c>
      <c r="AE163">
        <v>2.135735561039645E-2</v>
      </c>
      <c r="AG163" t="s">
        <v>97</v>
      </c>
      <c r="AH163" t="s">
        <v>403</v>
      </c>
      <c r="AI163">
        <v>0.16590715241750775</v>
      </c>
    </row>
    <row r="164" spans="9:35" x14ac:dyDescent="0.45">
      <c r="I164" t="s">
        <v>249</v>
      </c>
      <c r="J164" t="s">
        <v>404</v>
      </c>
      <c r="K164">
        <v>0</v>
      </c>
      <c r="L164" t="s">
        <v>251</v>
      </c>
      <c r="N164" t="s">
        <v>419</v>
      </c>
      <c r="O164" t="s">
        <v>404</v>
      </c>
      <c r="P164">
        <v>4.2231595671420388E-3</v>
      </c>
      <c r="Q164" t="s">
        <v>251</v>
      </c>
      <c r="S164" t="s">
        <v>420</v>
      </c>
      <c r="T164" t="s">
        <v>404</v>
      </c>
      <c r="U164">
        <v>4.8432276859190137E-3</v>
      </c>
      <c r="V164" t="s">
        <v>251</v>
      </c>
      <c r="X164">
        <v>3.4246575342465752E-3</v>
      </c>
      <c r="Y164">
        <v>5.0717251323869452E-3</v>
      </c>
      <c r="Z164" t="s">
        <v>404</v>
      </c>
      <c r="AA164" t="s">
        <v>25</v>
      </c>
      <c r="AC164" t="s">
        <v>22</v>
      </c>
      <c r="AD164" t="s">
        <v>404</v>
      </c>
      <c r="AE164">
        <v>2.7805928433539532E-3</v>
      </c>
      <c r="AG164" t="s">
        <v>97</v>
      </c>
      <c r="AH164" t="s">
        <v>404</v>
      </c>
      <c r="AI164">
        <v>8.1331108766788285E-2</v>
      </c>
    </row>
    <row r="165" spans="9:35" x14ac:dyDescent="0.45">
      <c r="I165" t="s">
        <v>249</v>
      </c>
      <c r="J165" t="s">
        <v>405</v>
      </c>
      <c r="K165">
        <v>1.8896915844992782E-3</v>
      </c>
      <c r="L165" t="s">
        <v>251</v>
      </c>
      <c r="N165" t="s">
        <v>419</v>
      </c>
      <c r="O165" t="s">
        <v>405</v>
      </c>
      <c r="P165">
        <v>4.1383417732428884E-3</v>
      </c>
      <c r="Q165" t="s">
        <v>251</v>
      </c>
      <c r="S165" t="s">
        <v>420</v>
      </c>
      <c r="T165" t="s">
        <v>405</v>
      </c>
      <c r="U165">
        <v>4.732082844955676E-3</v>
      </c>
      <c r="V165" t="s">
        <v>251</v>
      </c>
      <c r="X165">
        <v>3.4246575342465752E-3</v>
      </c>
      <c r="Y165">
        <v>5.7181214727892006E-3</v>
      </c>
      <c r="Z165" t="s">
        <v>405</v>
      </c>
      <c r="AA165" t="s">
        <v>25</v>
      </c>
      <c r="AC165" t="s">
        <v>22</v>
      </c>
      <c r="AD165" t="s">
        <v>405</v>
      </c>
      <c r="AE165">
        <v>2.6799725250820539E-3</v>
      </c>
      <c r="AG165" t="s">
        <v>97</v>
      </c>
      <c r="AH165" t="s">
        <v>405</v>
      </c>
      <c r="AI165">
        <v>8.3802546931571076E-2</v>
      </c>
    </row>
    <row r="166" spans="9:35" x14ac:dyDescent="0.45">
      <c r="I166" t="s">
        <v>249</v>
      </c>
      <c r="J166" t="s">
        <v>406</v>
      </c>
      <c r="K166">
        <v>4.4865158665029686E-2</v>
      </c>
      <c r="L166" t="s">
        <v>251</v>
      </c>
      <c r="N166" t="s">
        <v>419</v>
      </c>
      <c r="O166" t="s">
        <v>406</v>
      </c>
      <c r="P166">
        <v>2.4027306818481448E-2</v>
      </c>
      <c r="Q166" t="s">
        <v>251</v>
      </c>
      <c r="S166" t="s">
        <v>420</v>
      </c>
      <c r="T166" t="s">
        <v>406</v>
      </c>
      <c r="U166">
        <v>3.0272452677844109E-2</v>
      </c>
      <c r="V166" t="s">
        <v>251</v>
      </c>
      <c r="X166">
        <v>2.3972602739726026E-2</v>
      </c>
      <c r="Y166">
        <v>3.0410461676155433E-2</v>
      </c>
      <c r="Z166" t="s">
        <v>406</v>
      </c>
      <c r="AA166" t="s">
        <v>25</v>
      </c>
      <c r="AC166" t="s">
        <v>22</v>
      </c>
      <c r="AD166" t="s">
        <v>406</v>
      </c>
      <c r="AE166">
        <v>2.1587464106192545E-2</v>
      </c>
      <c r="AG166" t="s">
        <v>97</v>
      </c>
      <c r="AH166" t="s">
        <v>406</v>
      </c>
      <c r="AI166">
        <v>0.32547198019413748</v>
      </c>
    </row>
    <row r="167" spans="9:35" x14ac:dyDescent="0.45">
      <c r="I167" t="s">
        <v>249</v>
      </c>
      <c r="J167" t="s">
        <v>407</v>
      </c>
      <c r="K167">
        <v>6.3172085507909861E-3</v>
      </c>
      <c r="L167" t="s">
        <v>251</v>
      </c>
      <c r="N167" t="s">
        <v>419</v>
      </c>
      <c r="O167" t="s">
        <v>407</v>
      </c>
      <c r="P167">
        <v>3.2171602602617017E-3</v>
      </c>
      <c r="Q167" t="s">
        <v>251</v>
      </c>
      <c r="S167" t="s">
        <v>420</v>
      </c>
      <c r="T167" t="s">
        <v>407</v>
      </c>
      <c r="U167">
        <v>4.3394164192400633E-3</v>
      </c>
      <c r="V167" t="s">
        <v>251</v>
      </c>
      <c r="X167">
        <v>3.4246575342465752E-3</v>
      </c>
      <c r="Y167">
        <v>5.1711707232180593E-3</v>
      </c>
      <c r="Z167" t="s">
        <v>407</v>
      </c>
      <c r="AA167" t="s">
        <v>25</v>
      </c>
      <c r="AC167" t="s">
        <v>22</v>
      </c>
      <c r="AD167" t="s">
        <v>407</v>
      </c>
      <c r="AE167">
        <v>3.7025915585158845E-3</v>
      </c>
      <c r="AG167" t="s">
        <v>97</v>
      </c>
      <c r="AH167" t="s">
        <v>407</v>
      </c>
      <c r="AI167">
        <v>8.3194700539909405E-2</v>
      </c>
    </row>
    <row r="168" spans="9:35" x14ac:dyDescent="0.45">
      <c r="I168" t="s">
        <v>249</v>
      </c>
      <c r="J168" t="s">
        <v>408</v>
      </c>
      <c r="K168">
        <v>4.8356400062868421E-3</v>
      </c>
      <c r="L168" t="s">
        <v>251</v>
      </c>
      <c r="N168" t="s">
        <v>419</v>
      </c>
      <c r="O168" t="s">
        <v>408</v>
      </c>
      <c r="P168">
        <v>3.3849627325211926E-3</v>
      </c>
      <c r="Q168" t="s">
        <v>251</v>
      </c>
      <c r="S168" t="s">
        <v>420</v>
      </c>
      <c r="T168" t="s">
        <v>408</v>
      </c>
      <c r="U168">
        <v>4.3269001474537114E-3</v>
      </c>
      <c r="V168" t="s">
        <v>251</v>
      </c>
      <c r="X168">
        <v>3.4246575342465752E-3</v>
      </c>
      <c r="Y168">
        <v>6.662854585684809E-3</v>
      </c>
      <c r="Z168" t="s">
        <v>408</v>
      </c>
      <c r="AA168" t="s">
        <v>25</v>
      </c>
      <c r="AC168" t="s">
        <v>22</v>
      </c>
      <c r="AD168" t="s">
        <v>408</v>
      </c>
      <c r="AE168">
        <v>3.5324431813771101E-3</v>
      </c>
      <c r="AG168" t="s">
        <v>97</v>
      </c>
      <c r="AH168" t="s">
        <v>408</v>
      </c>
      <c r="AI168">
        <v>7.2780637671513215E-2</v>
      </c>
    </row>
    <row r="169" spans="9:35" x14ac:dyDescent="0.45">
      <c r="I169" t="s">
        <v>249</v>
      </c>
      <c r="J169" t="s">
        <v>409</v>
      </c>
      <c r="K169">
        <v>1.7930817588130059E-3</v>
      </c>
      <c r="L169" t="s">
        <v>251</v>
      </c>
      <c r="N169" t="s">
        <v>419</v>
      </c>
      <c r="O169" t="s">
        <v>409</v>
      </c>
      <c r="P169">
        <v>3.704504599009549E-3</v>
      </c>
      <c r="Q169" t="s">
        <v>251</v>
      </c>
      <c r="S169" t="s">
        <v>420</v>
      </c>
      <c r="T169" t="s">
        <v>409</v>
      </c>
      <c r="U169">
        <v>4.5099090788113831E-3</v>
      </c>
      <c r="V169" t="s">
        <v>251</v>
      </c>
      <c r="X169">
        <v>3.4246575342465752E-3</v>
      </c>
      <c r="Y169">
        <v>6.662854585684809E-3</v>
      </c>
      <c r="Z169" t="s">
        <v>409</v>
      </c>
      <c r="AA169" t="s">
        <v>25</v>
      </c>
      <c r="AC169" t="s">
        <v>22</v>
      </c>
      <c r="AD169" t="s">
        <v>409</v>
      </c>
      <c r="AE169">
        <v>3.566564524332422E-3</v>
      </c>
      <c r="AG169" t="s">
        <v>97</v>
      </c>
      <c r="AH169" t="s">
        <v>409</v>
      </c>
      <c r="AI169">
        <v>8.7148724965787183E-2</v>
      </c>
    </row>
    <row r="170" spans="9:35" x14ac:dyDescent="0.45">
      <c r="I170" t="s">
        <v>249</v>
      </c>
      <c r="J170" t="s">
        <v>410</v>
      </c>
      <c r="K170">
        <v>0</v>
      </c>
      <c r="L170" t="s">
        <v>251</v>
      </c>
      <c r="N170" t="s">
        <v>419</v>
      </c>
      <c r="O170" t="s">
        <v>410</v>
      </c>
      <c r="P170">
        <v>2.4756115856334106E-2</v>
      </c>
      <c r="Q170" t="s">
        <v>251</v>
      </c>
      <c r="S170" t="s">
        <v>420</v>
      </c>
      <c r="T170" t="s">
        <v>410</v>
      </c>
      <c r="U170">
        <v>3.1147941723048071E-2</v>
      </c>
      <c r="V170" t="s">
        <v>251</v>
      </c>
      <c r="X170">
        <v>2.0547945205479451E-2</v>
      </c>
      <c r="Y170">
        <v>1.8099097531263209E-2</v>
      </c>
      <c r="Z170" t="s">
        <v>410</v>
      </c>
      <c r="AA170" t="s">
        <v>25</v>
      </c>
      <c r="AC170" t="s">
        <v>22</v>
      </c>
      <c r="AD170" t="s">
        <v>410</v>
      </c>
      <c r="AE170">
        <v>2.1448875071952572E-2</v>
      </c>
      <c r="AG170" t="s">
        <v>97</v>
      </c>
      <c r="AH170" t="s">
        <v>410</v>
      </c>
      <c r="AI170">
        <v>0.14052964599654549</v>
      </c>
    </row>
    <row r="171" spans="9:35" x14ac:dyDescent="0.45">
      <c r="I171" t="s">
        <v>249</v>
      </c>
      <c r="J171" t="s">
        <v>411</v>
      </c>
      <c r="K171">
        <v>0</v>
      </c>
      <c r="L171" t="s">
        <v>251</v>
      </c>
      <c r="N171" t="s">
        <v>419</v>
      </c>
      <c r="O171" t="s">
        <v>411</v>
      </c>
      <c r="P171">
        <v>2.5496793989504236E-2</v>
      </c>
      <c r="Q171" t="s">
        <v>251</v>
      </c>
      <c r="S171" t="s">
        <v>420</v>
      </c>
      <c r="T171" t="s">
        <v>411</v>
      </c>
      <c r="U171">
        <v>2.4325664483547334E-2</v>
      </c>
      <c r="V171" t="s">
        <v>251</v>
      </c>
      <c r="X171">
        <v>2.1232876712328767E-2</v>
      </c>
      <c r="Y171">
        <v>4.5420116185598634E-3</v>
      </c>
      <c r="Z171" t="s">
        <v>411</v>
      </c>
      <c r="AA171" t="s">
        <v>25</v>
      </c>
      <c r="AC171" t="s">
        <v>22</v>
      </c>
      <c r="AD171" t="s">
        <v>411</v>
      </c>
      <c r="AE171">
        <v>2.4629116939589045E-2</v>
      </c>
      <c r="AG171" t="s">
        <v>97</v>
      </c>
      <c r="AH171" t="s">
        <v>411</v>
      </c>
      <c r="AI171">
        <v>0.1481249413504333</v>
      </c>
    </row>
    <row r="172" spans="9:35" x14ac:dyDescent="0.45">
      <c r="I172" t="s">
        <v>249</v>
      </c>
      <c r="J172" t="s">
        <v>412</v>
      </c>
      <c r="K172">
        <v>0</v>
      </c>
      <c r="L172" t="s">
        <v>251</v>
      </c>
      <c r="N172" t="s">
        <v>419</v>
      </c>
      <c r="O172" t="s">
        <v>412</v>
      </c>
      <c r="P172">
        <v>4.1246423586555909E-3</v>
      </c>
      <c r="Q172" t="s">
        <v>251</v>
      </c>
      <c r="S172" t="s">
        <v>420</v>
      </c>
      <c r="T172" t="s">
        <v>412</v>
      </c>
      <c r="U172">
        <v>3.8377822201510429E-3</v>
      </c>
      <c r="V172" t="s">
        <v>251</v>
      </c>
      <c r="X172">
        <v>3.5388127853881279E-3</v>
      </c>
      <c r="Y172">
        <v>5.240782636799844E-3</v>
      </c>
      <c r="Z172" t="s">
        <v>412</v>
      </c>
      <c r="AA172" t="s">
        <v>25</v>
      </c>
      <c r="AC172" t="s">
        <v>22</v>
      </c>
      <c r="AD172" t="s">
        <v>412</v>
      </c>
      <c r="AE172">
        <v>3.2411769055468846E-3</v>
      </c>
      <c r="AG172" t="s">
        <v>97</v>
      </c>
      <c r="AH172" t="s">
        <v>412</v>
      </c>
      <c r="AI172">
        <v>5.0935213205418828E-2</v>
      </c>
    </row>
    <row r="173" spans="9:35" x14ac:dyDescent="0.45">
      <c r="I173" t="s">
        <v>249</v>
      </c>
      <c r="J173" t="s">
        <v>413</v>
      </c>
      <c r="K173">
        <v>4.242480914009414E-4</v>
      </c>
      <c r="L173" t="s">
        <v>251</v>
      </c>
      <c r="N173" t="s">
        <v>419</v>
      </c>
      <c r="O173" t="s">
        <v>413</v>
      </c>
      <c r="P173">
        <v>4.0538060849123802E-3</v>
      </c>
      <c r="Q173" t="s">
        <v>251</v>
      </c>
      <c r="S173" t="s">
        <v>420</v>
      </c>
      <c r="T173" t="s">
        <v>413</v>
      </c>
      <c r="U173">
        <v>3.8336327649822182E-3</v>
      </c>
      <c r="V173" t="s">
        <v>251</v>
      </c>
      <c r="X173">
        <v>3.5388127853881279E-3</v>
      </c>
      <c r="Y173">
        <v>5.9087255218821738E-3</v>
      </c>
      <c r="Z173" t="s">
        <v>413</v>
      </c>
      <c r="AA173" t="s">
        <v>25</v>
      </c>
      <c r="AC173" t="s">
        <v>22</v>
      </c>
      <c r="AD173" t="s">
        <v>413</v>
      </c>
      <c r="AE173">
        <v>3.1207600296067188E-3</v>
      </c>
      <c r="AG173" t="s">
        <v>97</v>
      </c>
      <c r="AH173" t="s">
        <v>413</v>
      </c>
      <c r="AI173">
        <v>5.8844990241713413E-2</v>
      </c>
    </row>
    <row r="174" spans="9:35" x14ac:dyDescent="0.45">
      <c r="I174" t="s">
        <v>249</v>
      </c>
      <c r="J174" t="s">
        <v>414</v>
      </c>
      <c r="K174">
        <v>4.7229662109685773E-2</v>
      </c>
      <c r="L174" t="s">
        <v>251</v>
      </c>
      <c r="N174" t="s">
        <v>419</v>
      </c>
      <c r="O174" t="s">
        <v>414</v>
      </c>
      <c r="P174">
        <v>2.321968723487541E-2</v>
      </c>
      <c r="Q174" t="s">
        <v>251</v>
      </c>
      <c r="S174" t="s">
        <v>420</v>
      </c>
      <c r="T174" t="s">
        <v>414</v>
      </c>
      <c r="U174">
        <v>2.7454291210554579E-2</v>
      </c>
      <c r="V174" t="s">
        <v>251</v>
      </c>
      <c r="X174">
        <v>2.4771689497716895E-2</v>
      </c>
      <c r="Y174">
        <v>3.1424143732027281E-2</v>
      </c>
      <c r="Z174" t="s">
        <v>414</v>
      </c>
      <c r="AA174" t="s">
        <v>25</v>
      </c>
      <c r="AC174" t="s">
        <v>22</v>
      </c>
      <c r="AD174" t="s">
        <v>414</v>
      </c>
      <c r="AE174">
        <v>2.4612467532539015E-2</v>
      </c>
      <c r="AG174" t="s">
        <v>97</v>
      </c>
      <c r="AH174" t="s">
        <v>414</v>
      </c>
      <c r="AI174">
        <v>0.26152286155431348</v>
      </c>
    </row>
    <row r="175" spans="9:35" x14ac:dyDescent="0.45">
      <c r="I175" t="s">
        <v>249</v>
      </c>
      <c r="J175" t="s">
        <v>415</v>
      </c>
      <c r="K175">
        <v>7.0918338165213996E-3</v>
      </c>
      <c r="L175" t="s">
        <v>251</v>
      </c>
      <c r="N175" t="s">
        <v>419</v>
      </c>
      <c r="O175" t="s">
        <v>415</v>
      </c>
      <c r="P175">
        <v>3.0354251121071461E-3</v>
      </c>
      <c r="Q175" t="s">
        <v>251</v>
      </c>
      <c r="S175" t="s">
        <v>420</v>
      </c>
      <c r="T175" t="s">
        <v>415</v>
      </c>
      <c r="U175">
        <v>4.1673853152347706E-3</v>
      </c>
      <c r="V175" t="s">
        <v>251</v>
      </c>
      <c r="X175">
        <v>3.5388127853881279E-3</v>
      </c>
      <c r="Y175">
        <v>5.3435430806586613E-3</v>
      </c>
      <c r="Z175" t="s">
        <v>415</v>
      </c>
      <c r="AA175" t="s">
        <v>25</v>
      </c>
      <c r="AC175" t="s">
        <v>22</v>
      </c>
      <c r="AD175" t="s">
        <v>415</v>
      </c>
      <c r="AE175">
        <v>4.0800799140496748E-3</v>
      </c>
      <c r="AG175" t="s">
        <v>97</v>
      </c>
      <c r="AH175" t="s">
        <v>415</v>
      </c>
      <c r="AI175">
        <v>6.2116660462306461E-2</v>
      </c>
    </row>
    <row r="176" spans="9:35" x14ac:dyDescent="0.45">
      <c r="I176" t="s">
        <v>249</v>
      </c>
      <c r="J176" t="s">
        <v>416</v>
      </c>
      <c r="K176">
        <v>5.4379791779680152E-3</v>
      </c>
      <c r="L176" t="s">
        <v>251</v>
      </c>
      <c r="N176" t="s">
        <v>419</v>
      </c>
      <c r="O176" t="s">
        <v>416</v>
      </c>
      <c r="P176">
        <v>3.2277862540783667E-3</v>
      </c>
      <c r="Q176" t="s">
        <v>251</v>
      </c>
      <c r="S176" t="s">
        <v>420</v>
      </c>
      <c r="T176" t="s">
        <v>416</v>
      </c>
      <c r="U176">
        <v>4.1590847310642035E-3</v>
      </c>
      <c r="V176" t="s">
        <v>251</v>
      </c>
      <c r="X176">
        <v>3.5388127853881279E-3</v>
      </c>
      <c r="Y176">
        <v>6.8849497385409693E-3</v>
      </c>
      <c r="Z176" t="s">
        <v>416</v>
      </c>
      <c r="AA176" t="s">
        <v>25</v>
      </c>
      <c r="AC176" t="s">
        <v>22</v>
      </c>
      <c r="AD176" t="s">
        <v>416</v>
      </c>
      <c r="AE176">
        <v>4.0871281224621313E-3</v>
      </c>
      <c r="AG176" t="s">
        <v>97</v>
      </c>
      <c r="AH176" t="s">
        <v>416</v>
      </c>
      <c r="AI176">
        <v>4.7083028720061648E-2</v>
      </c>
    </row>
    <row r="177" spans="9:35" x14ac:dyDescent="0.45">
      <c r="I177" t="s">
        <v>249</v>
      </c>
      <c r="J177" t="s">
        <v>417</v>
      </c>
      <c r="K177">
        <v>1.7189199422202423E-3</v>
      </c>
      <c r="L177" t="s">
        <v>251</v>
      </c>
      <c r="N177" t="s">
        <v>419</v>
      </c>
      <c r="O177" t="s">
        <v>417</v>
      </c>
      <c r="P177">
        <v>3.4153482552153505E-3</v>
      </c>
      <c r="Q177" t="s">
        <v>251</v>
      </c>
      <c r="S177" t="s">
        <v>420</v>
      </c>
      <c r="T177" t="s">
        <v>417</v>
      </c>
      <c r="U177">
        <v>4.2921547043580062E-3</v>
      </c>
      <c r="V177" t="s">
        <v>251</v>
      </c>
      <c r="X177">
        <v>3.5388127853881279E-3</v>
      </c>
      <c r="Y177">
        <v>6.8849497385409693E-3</v>
      </c>
      <c r="Z177" t="s">
        <v>417</v>
      </c>
      <c r="AA177" t="s">
        <v>25</v>
      </c>
      <c r="AC177" t="s">
        <v>22</v>
      </c>
      <c r="AD177" t="s">
        <v>417</v>
      </c>
      <c r="AE177">
        <v>4.1620705948091077E-3</v>
      </c>
      <c r="AG177" t="s">
        <v>97</v>
      </c>
      <c r="AH177" t="s">
        <v>417</v>
      </c>
      <c r="AI177">
        <v>5.3418938222020707E-2</v>
      </c>
    </row>
    <row r="178" spans="9:35" x14ac:dyDescent="0.45">
      <c r="I178" t="s">
        <v>249</v>
      </c>
      <c r="J178" t="s">
        <v>418</v>
      </c>
      <c r="K178">
        <v>0</v>
      </c>
      <c r="L178" t="s">
        <v>251</v>
      </c>
      <c r="N178" t="s">
        <v>419</v>
      </c>
      <c r="O178" t="s">
        <v>418</v>
      </c>
      <c r="P178">
        <v>2.3247680365130773E-2</v>
      </c>
      <c r="Q178" t="s">
        <v>251</v>
      </c>
      <c r="S178" t="s">
        <v>420</v>
      </c>
      <c r="T178" t="s">
        <v>418</v>
      </c>
      <c r="U178">
        <v>2.7169243077500283E-2</v>
      </c>
      <c r="V178" t="s">
        <v>251</v>
      </c>
      <c r="X178">
        <v>2.1232876712328767E-2</v>
      </c>
      <c r="Y178">
        <v>1.8702400782305319E-2</v>
      </c>
      <c r="Z178" t="s">
        <v>418</v>
      </c>
      <c r="AA178" t="s">
        <v>25</v>
      </c>
      <c r="AC178" t="s">
        <v>22</v>
      </c>
      <c r="AD178" t="s">
        <v>418</v>
      </c>
      <c r="AE178">
        <v>2.5585407206910538E-2</v>
      </c>
      <c r="AG178" t="s">
        <v>97</v>
      </c>
      <c r="AH178" t="s">
        <v>418</v>
      </c>
      <c r="AI178">
        <v>0.10840364341062592</v>
      </c>
    </row>
    <row r="179" spans="9:35" x14ac:dyDescent="0.45">
      <c r="AC179" t="s">
        <v>19</v>
      </c>
      <c r="AD179" t="s">
        <v>250</v>
      </c>
      <c r="AE179">
        <v>2.1374482737781916E-2</v>
      </c>
    </row>
    <row r="180" spans="9:35" x14ac:dyDescent="0.45">
      <c r="AC180" t="s">
        <v>19</v>
      </c>
      <c r="AD180" t="s">
        <v>252</v>
      </c>
      <c r="AE180">
        <v>3.485168226884158E-3</v>
      </c>
    </row>
    <row r="181" spans="9:35" x14ac:dyDescent="0.45">
      <c r="AC181" t="s">
        <v>19</v>
      </c>
      <c r="AD181" t="s">
        <v>253</v>
      </c>
      <c r="AE181">
        <v>3.4724734662795196E-3</v>
      </c>
    </row>
    <row r="182" spans="9:35" x14ac:dyDescent="0.45">
      <c r="AC182" t="s">
        <v>19</v>
      </c>
      <c r="AD182" t="s">
        <v>254</v>
      </c>
      <c r="AE182">
        <v>2.4571821931557183E-2</v>
      </c>
    </row>
    <row r="183" spans="9:35" x14ac:dyDescent="0.45">
      <c r="AC183" t="s">
        <v>19</v>
      </c>
      <c r="AD183" t="s">
        <v>255</v>
      </c>
      <c r="AE183">
        <v>3.5616006831969537E-3</v>
      </c>
    </row>
    <row r="184" spans="9:35" x14ac:dyDescent="0.45">
      <c r="AC184" t="s">
        <v>19</v>
      </c>
      <c r="AD184" t="s">
        <v>256</v>
      </c>
      <c r="AE184">
        <v>3.5590811445633131E-3</v>
      </c>
    </row>
    <row r="185" spans="9:35" x14ac:dyDescent="0.45">
      <c r="AC185" t="s">
        <v>19</v>
      </c>
      <c r="AD185" t="s">
        <v>257</v>
      </c>
      <c r="AE185">
        <v>3.5638648660911904E-3</v>
      </c>
    </row>
    <row r="186" spans="9:35" x14ac:dyDescent="0.45">
      <c r="AC186" t="s">
        <v>19</v>
      </c>
      <c r="AD186" t="s">
        <v>258</v>
      </c>
      <c r="AE186">
        <v>2.1434813181539874E-2</v>
      </c>
    </row>
    <row r="187" spans="9:35" x14ac:dyDescent="0.45">
      <c r="AC187" t="s">
        <v>19</v>
      </c>
      <c r="AD187" t="s">
        <v>259</v>
      </c>
      <c r="AE187">
        <v>1.9307227285069097E-2</v>
      </c>
    </row>
    <row r="188" spans="9:35" x14ac:dyDescent="0.45">
      <c r="AC188" t="s">
        <v>19</v>
      </c>
      <c r="AD188" t="s">
        <v>260</v>
      </c>
      <c r="AE188">
        <v>3.1492536900016872E-3</v>
      </c>
    </row>
    <row r="189" spans="9:35" x14ac:dyDescent="0.45">
      <c r="AC189" t="s">
        <v>19</v>
      </c>
      <c r="AD189" t="s">
        <v>261</v>
      </c>
      <c r="AE189">
        <v>3.1403516556196263E-3</v>
      </c>
    </row>
    <row r="190" spans="9:35" x14ac:dyDescent="0.45">
      <c r="AC190" t="s">
        <v>19</v>
      </c>
      <c r="AD190" t="s">
        <v>262</v>
      </c>
      <c r="AE190">
        <v>2.2194600020251681E-2</v>
      </c>
    </row>
    <row r="191" spans="9:35" x14ac:dyDescent="0.45">
      <c r="AC191" t="s">
        <v>19</v>
      </c>
      <c r="AD191" t="s">
        <v>263</v>
      </c>
      <c r="AE191">
        <v>3.2111912728966245E-3</v>
      </c>
    </row>
    <row r="192" spans="9:35" x14ac:dyDescent="0.45">
      <c r="AC192" t="s">
        <v>19</v>
      </c>
      <c r="AD192" t="s">
        <v>264</v>
      </c>
      <c r="AE192">
        <v>3.2131361697261313E-3</v>
      </c>
    </row>
    <row r="193" spans="29:31" x14ac:dyDescent="0.45">
      <c r="AC193" t="s">
        <v>19</v>
      </c>
      <c r="AD193" t="s">
        <v>265</v>
      </c>
      <c r="AE193">
        <v>3.2176122386591744E-3</v>
      </c>
    </row>
    <row r="194" spans="29:31" x14ac:dyDescent="0.45">
      <c r="AC194" t="s">
        <v>19</v>
      </c>
      <c r="AD194" t="s">
        <v>266</v>
      </c>
      <c r="AE194">
        <v>1.9353151170863662E-2</v>
      </c>
    </row>
    <row r="195" spans="29:31" x14ac:dyDescent="0.45">
      <c r="AC195" t="s">
        <v>19</v>
      </c>
      <c r="AD195" t="s">
        <v>267</v>
      </c>
      <c r="AE195">
        <v>2.0595676398313327E-2</v>
      </c>
    </row>
    <row r="196" spans="29:31" x14ac:dyDescent="0.45">
      <c r="AC196" t="s">
        <v>19</v>
      </c>
      <c r="AD196" t="s">
        <v>268</v>
      </c>
      <c r="AE196">
        <v>3.3652709088067439E-3</v>
      </c>
    </row>
    <row r="197" spans="29:31" x14ac:dyDescent="0.45">
      <c r="AC197" t="s">
        <v>19</v>
      </c>
      <c r="AD197" t="s">
        <v>269</v>
      </c>
      <c r="AE197">
        <v>3.3594143061078286E-3</v>
      </c>
    </row>
    <row r="198" spans="29:31" x14ac:dyDescent="0.45">
      <c r="AC198" t="s">
        <v>19</v>
      </c>
      <c r="AD198" t="s">
        <v>270</v>
      </c>
      <c r="AE198">
        <v>2.3838217919844945E-2</v>
      </c>
    </row>
    <row r="199" spans="29:31" x14ac:dyDescent="0.45">
      <c r="AC199" t="s">
        <v>19</v>
      </c>
      <c r="AD199" t="s">
        <v>271</v>
      </c>
      <c r="AE199">
        <v>3.4407220679564276E-3</v>
      </c>
    </row>
    <row r="200" spans="29:31" x14ac:dyDescent="0.45">
      <c r="AC200" t="s">
        <v>19</v>
      </c>
      <c r="AD200" t="s">
        <v>272</v>
      </c>
      <c r="AE200">
        <v>3.4459749129210067E-3</v>
      </c>
    </row>
    <row r="201" spans="29:31" x14ac:dyDescent="0.45">
      <c r="AC201" t="s">
        <v>19</v>
      </c>
      <c r="AD201" t="s">
        <v>273</v>
      </c>
      <c r="AE201">
        <v>3.4474971986897546E-3</v>
      </c>
    </row>
    <row r="202" spans="29:31" x14ac:dyDescent="0.45">
      <c r="AC202" t="s">
        <v>19</v>
      </c>
      <c r="AD202" t="s">
        <v>274</v>
      </c>
      <c r="AE202">
        <v>2.0706041363920125E-2</v>
      </c>
    </row>
    <row r="203" spans="29:31" x14ac:dyDescent="0.45">
      <c r="AC203" t="s">
        <v>19</v>
      </c>
      <c r="AD203" t="s">
        <v>275</v>
      </c>
      <c r="AE203">
        <v>1.1669093620931368E-4</v>
      </c>
    </row>
    <row r="204" spans="29:31" x14ac:dyDescent="0.45">
      <c r="AC204" t="s">
        <v>19</v>
      </c>
      <c r="AD204" t="s">
        <v>276</v>
      </c>
      <c r="AE204">
        <v>1.1674592101989523E-4</v>
      </c>
    </row>
    <row r="205" spans="29:31" x14ac:dyDescent="0.45">
      <c r="AC205" t="s">
        <v>19</v>
      </c>
      <c r="AD205" t="s">
        <v>277</v>
      </c>
      <c r="AE205">
        <v>1.1649587667987087E-4</v>
      </c>
    </row>
    <row r="206" spans="29:31" x14ac:dyDescent="0.45">
      <c r="AC206" t="s">
        <v>19</v>
      </c>
      <c r="AD206" t="s">
        <v>278</v>
      </c>
      <c r="AE206">
        <v>1.1574892619869734E-4</v>
      </c>
    </row>
    <row r="207" spans="29:31" x14ac:dyDescent="0.45">
      <c r="AC207" t="s">
        <v>19</v>
      </c>
      <c r="AD207" t="s">
        <v>279</v>
      </c>
      <c r="AE207">
        <v>1.1467380864897277E-4</v>
      </c>
    </row>
    <row r="208" spans="29:31" x14ac:dyDescent="0.45">
      <c r="AC208" t="s">
        <v>19</v>
      </c>
      <c r="AD208" t="s">
        <v>280</v>
      </c>
      <c r="AE208">
        <v>1.1402635551569162E-4</v>
      </c>
    </row>
    <row r="209" spans="29:31" x14ac:dyDescent="0.45">
      <c r="AC209" t="s">
        <v>19</v>
      </c>
      <c r="AD209" t="s">
        <v>281</v>
      </c>
      <c r="AE209">
        <v>1.125295300581396E-4</v>
      </c>
    </row>
    <row r="210" spans="29:31" x14ac:dyDescent="0.45">
      <c r="AC210" t="s">
        <v>19</v>
      </c>
      <c r="AD210" t="s">
        <v>282</v>
      </c>
      <c r="AE210">
        <v>1.1218274083629813E-4</v>
      </c>
    </row>
    <row r="211" spans="29:31" x14ac:dyDescent="0.45">
      <c r="AC211" t="s">
        <v>19</v>
      </c>
      <c r="AD211" t="s">
        <v>283</v>
      </c>
      <c r="AE211">
        <v>1.1204023620597982E-4</v>
      </c>
    </row>
    <row r="212" spans="29:31" x14ac:dyDescent="0.45">
      <c r="AC212" t="s">
        <v>19</v>
      </c>
      <c r="AD212" t="s">
        <v>284</v>
      </c>
      <c r="AE212">
        <v>1.1204199950455928E-4</v>
      </c>
    </row>
    <row r="213" spans="29:31" x14ac:dyDescent="0.45">
      <c r="AC213" t="s">
        <v>19</v>
      </c>
      <c r="AD213" t="s">
        <v>285</v>
      </c>
      <c r="AE213">
        <v>1.1219071868718814E-4</v>
      </c>
    </row>
    <row r="214" spans="29:31" x14ac:dyDescent="0.45">
      <c r="AC214" t="s">
        <v>19</v>
      </c>
      <c r="AD214" t="s">
        <v>286</v>
      </c>
      <c r="AE214">
        <v>1.1319160566744557E-4</v>
      </c>
    </row>
    <row r="215" spans="29:31" x14ac:dyDescent="0.45">
      <c r="AC215" t="s">
        <v>19</v>
      </c>
      <c r="AD215" t="s">
        <v>287</v>
      </c>
      <c r="AE215">
        <v>1.1489800561225913E-4</v>
      </c>
    </row>
    <row r="216" spans="29:31" x14ac:dyDescent="0.45">
      <c r="AC216" t="s">
        <v>19</v>
      </c>
      <c r="AD216" t="s">
        <v>288</v>
      </c>
      <c r="AE216">
        <v>1.1588018442466127E-4</v>
      </c>
    </row>
    <row r="217" spans="29:31" x14ac:dyDescent="0.45">
      <c r="AC217" t="s">
        <v>19</v>
      </c>
      <c r="AD217" t="s">
        <v>289</v>
      </c>
      <c r="AE217">
        <v>1.1616355940856573E-4</v>
      </c>
    </row>
    <row r="218" spans="29:31" x14ac:dyDescent="0.45">
      <c r="AC218" t="s">
        <v>19</v>
      </c>
      <c r="AD218" t="s">
        <v>290</v>
      </c>
      <c r="AE218">
        <v>1.1558640167840976E-4</v>
      </c>
    </row>
    <row r="219" spans="29:31" x14ac:dyDescent="0.45">
      <c r="AC219" t="s">
        <v>19</v>
      </c>
      <c r="AD219" t="s">
        <v>291</v>
      </c>
      <c r="AE219">
        <v>1.152786415653698E-4</v>
      </c>
    </row>
    <row r="220" spans="29:31" x14ac:dyDescent="0.45">
      <c r="AC220" t="s">
        <v>19</v>
      </c>
      <c r="AD220" t="s">
        <v>292</v>
      </c>
      <c r="AE220">
        <v>1.1559308931082699E-4</v>
      </c>
    </row>
    <row r="221" spans="29:31" x14ac:dyDescent="0.45">
      <c r="AC221" t="s">
        <v>19</v>
      </c>
      <c r="AD221" t="s">
        <v>293</v>
      </c>
      <c r="AE221">
        <v>1.1549649495449836E-4</v>
      </c>
    </row>
    <row r="222" spans="29:31" x14ac:dyDescent="0.45">
      <c r="AC222" t="s">
        <v>19</v>
      </c>
      <c r="AD222" t="s">
        <v>294</v>
      </c>
      <c r="AE222">
        <v>1.1551991241977927E-4</v>
      </c>
    </row>
    <row r="223" spans="29:31" x14ac:dyDescent="0.45">
      <c r="AC223" t="s">
        <v>19</v>
      </c>
      <c r="AD223" t="s">
        <v>295</v>
      </c>
      <c r="AE223">
        <v>1.1549189317527878E-4</v>
      </c>
    </row>
    <row r="224" spans="29:31" x14ac:dyDescent="0.45">
      <c r="AC224" t="s">
        <v>19</v>
      </c>
      <c r="AD224" t="s">
        <v>296</v>
      </c>
      <c r="AE224">
        <v>1.1549189317527878E-4</v>
      </c>
    </row>
    <row r="225" spans="29:31" x14ac:dyDescent="0.45">
      <c r="AC225" t="s">
        <v>19</v>
      </c>
      <c r="AD225" t="s">
        <v>297</v>
      </c>
      <c r="AE225">
        <v>1.1559149804137723E-4</v>
      </c>
    </row>
    <row r="226" spans="29:31" x14ac:dyDescent="0.45">
      <c r="AC226" t="s">
        <v>19</v>
      </c>
      <c r="AD226" t="s">
        <v>298</v>
      </c>
      <c r="AE226">
        <v>1.158941617914497E-4</v>
      </c>
    </row>
    <row r="227" spans="29:31" x14ac:dyDescent="0.45">
      <c r="AC227" t="s">
        <v>19</v>
      </c>
      <c r="AD227" t="s">
        <v>299</v>
      </c>
      <c r="AE227">
        <v>1.9860027862826073E-2</v>
      </c>
    </row>
    <row r="228" spans="29:31" x14ac:dyDescent="0.45">
      <c r="AC228" t="s">
        <v>19</v>
      </c>
      <c r="AD228" t="s">
        <v>300</v>
      </c>
      <c r="AE228">
        <v>3.2584109144347976E-3</v>
      </c>
    </row>
    <row r="229" spans="29:31" x14ac:dyDescent="0.45">
      <c r="AC229" t="s">
        <v>19</v>
      </c>
      <c r="AD229" t="s">
        <v>301</v>
      </c>
      <c r="AE229">
        <v>3.253116244888059E-3</v>
      </c>
    </row>
    <row r="230" spans="29:31" x14ac:dyDescent="0.45">
      <c r="AC230" t="s">
        <v>19</v>
      </c>
      <c r="AD230" t="s">
        <v>302</v>
      </c>
      <c r="AE230">
        <v>2.3094414156670302E-2</v>
      </c>
    </row>
    <row r="231" spans="29:31" x14ac:dyDescent="0.45">
      <c r="AC231" t="s">
        <v>19</v>
      </c>
      <c r="AD231" t="s">
        <v>303</v>
      </c>
      <c r="AE231">
        <v>3.3247034577554672E-3</v>
      </c>
    </row>
    <row r="232" spans="29:31" x14ac:dyDescent="0.45">
      <c r="AC232" t="s">
        <v>19</v>
      </c>
      <c r="AD232" t="s">
        <v>304</v>
      </c>
      <c r="AE232">
        <v>3.3296204158442997E-3</v>
      </c>
    </row>
    <row r="233" spans="29:31" x14ac:dyDescent="0.45">
      <c r="AC233" t="s">
        <v>19</v>
      </c>
      <c r="AD233" t="s">
        <v>305</v>
      </c>
      <c r="AE233">
        <v>3.3258336461303379E-3</v>
      </c>
    </row>
    <row r="234" spans="29:31" x14ac:dyDescent="0.45">
      <c r="AC234" t="s">
        <v>19</v>
      </c>
      <c r="AD234" t="s">
        <v>306</v>
      </c>
      <c r="AE234">
        <v>1.9972129225957178E-2</v>
      </c>
    </row>
    <row r="235" spans="29:31" x14ac:dyDescent="0.45">
      <c r="AC235" t="s">
        <v>19</v>
      </c>
      <c r="AD235" t="s">
        <v>307</v>
      </c>
      <c r="AE235">
        <v>1.1520487494216434E-4</v>
      </c>
    </row>
    <row r="236" spans="29:31" x14ac:dyDescent="0.45">
      <c r="AC236" t="s">
        <v>19</v>
      </c>
      <c r="AD236" t="s">
        <v>308</v>
      </c>
      <c r="AE236">
        <v>1.1493979955693212E-4</v>
      </c>
    </row>
    <row r="237" spans="29:31" x14ac:dyDescent="0.45">
      <c r="AC237" t="s">
        <v>19</v>
      </c>
      <c r="AD237" t="s">
        <v>309</v>
      </c>
      <c r="AE237">
        <v>1.1467076750171672E-4</v>
      </c>
    </row>
    <row r="238" spans="29:31" x14ac:dyDescent="0.45">
      <c r="AC238" t="s">
        <v>19</v>
      </c>
      <c r="AD238" t="s">
        <v>310</v>
      </c>
      <c r="AE238">
        <v>1.1396639423014487E-4</v>
      </c>
    </row>
    <row r="239" spans="29:31" x14ac:dyDescent="0.45">
      <c r="AC239" t="s">
        <v>19</v>
      </c>
      <c r="AD239" t="s">
        <v>311</v>
      </c>
      <c r="AE239">
        <v>1.1341813739377912E-4</v>
      </c>
    </row>
    <row r="240" spans="29:31" x14ac:dyDescent="0.45">
      <c r="AC240" t="s">
        <v>19</v>
      </c>
      <c r="AD240" t="s">
        <v>312</v>
      </c>
      <c r="AE240">
        <v>1.1257777509517648E-4</v>
      </c>
    </row>
    <row r="241" spans="29:31" x14ac:dyDescent="0.45">
      <c r="AC241" t="s">
        <v>19</v>
      </c>
      <c r="AD241" t="s">
        <v>313</v>
      </c>
      <c r="AE241">
        <v>1.1227859493498051E-4</v>
      </c>
    </row>
    <row r="242" spans="29:31" x14ac:dyDescent="0.45">
      <c r="AC242" t="s">
        <v>19</v>
      </c>
      <c r="AD242" t="s">
        <v>314</v>
      </c>
      <c r="AE242">
        <v>1.1211525327632683E-4</v>
      </c>
    </row>
    <row r="243" spans="29:31" x14ac:dyDescent="0.45">
      <c r="AC243" t="s">
        <v>19</v>
      </c>
      <c r="AD243" t="s">
        <v>315</v>
      </c>
      <c r="AE243">
        <v>1.1218292523522403E-4</v>
      </c>
    </row>
    <row r="244" spans="29:31" x14ac:dyDescent="0.45">
      <c r="AC244" t="s">
        <v>19</v>
      </c>
      <c r="AD244" t="s">
        <v>316</v>
      </c>
      <c r="AE244">
        <v>1.1229818475212551E-4</v>
      </c>
    </row>
    <row r="245" spans="29:31" x14ac:dyDescent="0.45">
      <c r="AC245" t="s">
        <v>19</v>
      </c>
      <c r="AD245" t="s">
        <v>317</v>
      </c>
      <c r="AE245">
        <v>1.1315007300241831E-4</v>
      </c>
    </row>
    <row r="246" spans="29:31" x14ac:dyDescent="0.45">
      <c r="AC246" t="s">
        <v>19</v>
      </c>
      <c r="AD246" t="s">
        <v>318</v>
      </c>
      <c r="AE246">
        <v>1.1403939909206287E-4</v>
      </c>
    </row>
    <row r="247" spans="29:31" x14ac:dyDescent="0.45">
      <c r="AC247" t="s">
        <v>19</v>
      </c>
      <c r="AD247" t="s">
        <v>319</v>
      </c>
      <c r="AE247">
        <v>1.1490513568729682E-4</v>
      </c>
    </row>
    <row r="248" spans="29:31" x14ac:dyDescent="0.45">
      <c r="AC248" t="s">
        <v>19</v>
      </c>
      <c r="AD248" t="s">
        <v>320</v>
      </c>
      <c r="AE248">
        <v>1.1555714759251512E-4</v>
      </c>
    </row>
    <row r="249" spans="29:31" x14ac:dyDescent="0.45">
      <c r="AC249" t="s">
        <v>19</v>
      </c>
      <c r="AD249" t="s">
        <v>321</v>
      </c>
      <c r="AE249">
        <v>1.1519031697706314E-4</v>
      </c>
    </row>
    <row r="250" spans="29:31" x14ac:dyDescent="0.45">
      <c r="AC250" t="s">
        <v>19</v>
      </c>
      <c r="AD250" t="s">
        <v>322</v>
      </c>
      <c r="AE250">
        <v>1.1503753360624505E-4</v>
      </c>
    </row>
    <row r="251" spans="29:31" x14ac:dyDescent="0.45">
      <c r="AC251" t="s">
        <v>19</v>
      </c>
      <c r="AD251" t="s">
        <v>323</v>
      </c>
      <c r="AE251">
        <v>1.1503127604665207E-4</v>
      </c>
    </row>
    <row r="252" spans="29:31" x14ac:dyDescent="0.45">
      <c r="AC252" t="s">
        <v>19</v>
      </c>
      <c r="AD252" t="s">
        <v>324</v>
      </c>
      <c r="AE252">
        <v>1.1498631193287576E-4</v>
      </c>
    </row>
    <row r="253" spans="29:31" x14ac:dyDescent="0.45">
      <c r="AC253" t="s">
        <v>19</v>
      </c>
      <c r="AD253" t="s">
        <v>325</v>
      </c>
      <c r="AE253">
        <v>1.1501635251965027E-4</v>
      </c>
    </row>
    <row r="254" spans="29:31" x14ac:dyDescent="0.45">
      <c r="AC254" t="s">
        <v>19</v>
      </c>
      <c r="AD254" t="s">
        <v>326</v>
      </c>
      <c r="AE254">
        <v>1.1500293424753337E-4</v>
      </c>
    </row>
    <row r="255" spans="29:31" x14ac:dyDescent="0.45">
      <c r="AC255" t="s">
        <v>19</v>
      </c>
      <c r="AD255" t="s">
        <v>327</v>
      </c>
      <c r="AE255">
        <v>1.1501615898687935E-4</v>
      </c>
    </row>
    <row r="256" spans="29:31" x14ac:dyDescent="0.45">
      <c r="AC256" t="s">
        <v>19</v>
      </c>
      <c r="AD256" t="s">
        <v>328</v>
      </c>
      <c r="AE256">
        <v>1.1504585551539446E-4</v>
      </c>
    </row>
    <row r="257" spans="29:31" x14ac:dyDescent="0.45">
      <c r="AC257" t="s">
        <v>19</v>
      </c>
      <c r="AD257" t="s">
        <v>329</v>
      </c>
      <c r="AE257">
        <v>1.150412752398161E-4</v>
      </c>
    </row>
    <row r="258" spans="29:31" x14ac:dyDescent="0.45">
      <c r="AC258" t="s">
        <v>19</v>
      </c>
      <c r="AD258" t="s">
        <v>330</v>
      </c>
      <c r="AE258">
        <v>1.1509894800554925E-4</v>
      </c>
    </row>
    <row r="259" spans="29:31" x14ac:dyDescent="0.45">
      <c r="AC259" t="s">
        <v>19</v>
      </c>
      <c r="AD259" t="s">
        <v>331</v>
      </c>
      <c r="AE259">
        <v>2.1223441092015214E-2</v>
      </c>
    </row>
    <row r="260" spans="29:31" x14ac:dyDescent="0.45">
      <c r="AC260" t="s">
        <v>19</v>
      </c>
      <c r="AD260" t="s">
        <v>332</v>
      </c>
      <c r="AE260">
        <v>3.4859661544347823E-3</v>
      </c>
    </row>
    <row r="261" spans="29:31" x14ac:dyDescent="0.45">
      <c r="AC261" t="s">
        <v>19</v>
      </c>
      <c r="AD261" t="s">
        <v>333</v>
      </c>
      <c r="AE261">
        <v>3.4797166372036231E-3</v>
      </c>
    </row>
    <row r="262" spans="29:31" x14ac:dyDescent="0.45">
      <c r="AC262" t="s">
        <v>19</v>
      </c>
      <c r="AD262" t="s">
        <v>334</v>
      </c>
      <c r="AE262">
        <v>2.4648746678792133E-2</v>
      </c>
    </row>
    <row r="263" spans="29:31" x14ac:dyDescent="0.45">
      <c r="AC263" t="s">
        <v>19</v>
      </c>
      <c r="AD263" t="s">
        <v>335</v>
      </c>
      <c r="AE263">
        <v>3.5570609124147721E-3</v>
      </c>
    </row>
    <row r="264" spans="29:31" x14ac:dyDescent="0.45">
      <c r="AC264" t="s">
        <v>19</v>
      </c>
      <c r="AD264" t="s">
        <v>336</v>
      </c>
      <c r="AE264">
        <v>3.5576787120268202E-3</v>
      </c>
    </row>
    <row r="265" spans="29:31" x14ac:dyDescent="0.45">
      <c r="AC265" t="s">
        <v>19</v>
      </c>
      <c r="AD265" t="s">
        <v>337</v>
      </c>
      <c r="AE265">
        <v>3.5581197947153805E-3</v>
      </c>
    </row>
    <row r="266" spans="29:31" x14ac:dyDescent="0.45">
      <c r="AC266" t="s">
        <v>19</v>
      </c>
      <c r="AD266" t="s">
        <v>338</v>
      </c>
      <c r="AE266">
        <v>2.137079864257883E-2</v>
      </c>
    </row>
    <row r="267" spans="29:31" x14ac:dyDescent="0.45">
      <c r="AC267" t="s">
        <v>19</v>
      </c>
      <c r="AD267" t="s">
        <v>339</v>
      </c>
      <c r="AE267">
        <v>2.0548453822010204E-2</v>
      </c>
    </row>
    <row r="268" spans="29:31" x14ac:dyDescent="0.45">
      <c r="AC268" t="s">
        <v>19</v>
      </c>
      <c r="AD268" t="s">
        <v>340</v>
      </c>
      <c r="AE268">
        <v>3.379574715271021E-3</v>
      </c>
    </row>
    <row r="269" spans="29:31" x14ac:dyDescent="0.45">
      <c r="AC269" t="s">
        <v>19</v>
      </c>
      <c r="AD269" t="s">
        <v>341</v>
      </c>
      <c r="AE269">
        <v>3.3722211580927064E-3</v>
      </c>
    </row>
    <row r="270" spans="29:31" x14ac:dyDescent="0.45">
      <c r="AC270" t="s">
        <v>19</v>
      </c>
      <c r="AD270" t="s">
        <v>342</v>
      </c>
      <c r="AE270">
        <v>2.3827821977797994E-2</v>
      </c>
    </row>
    <row r="271" spans="29:31" x14ac:dyDescent="0.45">
      <c r="AC271" t="s">
        <v>19</v>
      </c>
      <c r="AD271" t="s">
        <v>343</v>
      </c>
      <c r="AE271">
        <v>3.4402832575524313E-3</v>
      </c>
    </row>
    <row r="272" spans="29:31" x14ac:dyDescent="0.45">
      <c r="AC272" t="s">
        <v>19</v>
      </c>
      <c r="AD272" t="s">
        <v>344</v>
      </c>
      <c r="AE272">
        <v>3.44164882478402E-3</v>
      </c>
    </row>
    <row r="273" spans="29:31" x14ac:dyDescent="0.45">
      <c r="AC273" t="s">
        <v>19</v>
      </c>
      <c r="AD273" t="s">
        <v>345</v>
      </c>
      <c r="AE273">
        <v>3.443684079913903E-3</v>
      </c>
    </row>
    <row r="274" spans="29:31" x14ac:dyDescent="0.45">
      <c r="AC274" t="s">
        <v>19</v>
      </c>
      <c r="AD274" t="s">
        <v>346</v>
      </c>
      <c r="AE274">
        <v>2.0692724073301229E-2</v>
      </c>
    </row>
    <row r="275" spans="29:31" x14ac:dyDescent="0.45">
      <c r="AC275" t="s">
        <v>19</v>
      </c>
      <c r="AD275" t="s">
        <v>347</v>
      </c>
      <c r="AE275">
        <v>2.1239478364632636E-2</v>
      </c>
    </row>
    <row r="276" spans="29:31" x14ac:dyDescent="0.45">
      <c r="AC276" t="s">
        <v>19</v>
      </c>
      <c r="AD276" t="s">
        <v>348</v>
      </c>
      <c r="AE276">
        <v>3.4901148460204979E-3</v>
      </c>
    </row>
    <row r="277" spans="29:31" x14ac:dyDescent="0.45">
      <c r="AC277" t="s">
        <v>19</v>
      </c>
      <c r="AD277" t="s">
        <v>349</v>
      </c>
      <c r="AE277">
        <v>3.4806753711336021E-3</v>
      </c>
    </row>
    <row r="278" spans="29:31" x14ac:dyDescent="0.45">
      <c r="AC278" t="s">
        <v>19</v>
      </c>
      <c r="AD278" t="s">
        <v>350</v>
      </c>
      <c r="AE278">
        <v>2.4573462626051094E-2</v>
      </c>
    </row>
    <row r="279" spans="29:31" x14ac:dyDescent="0.45">
      <c r="AC279" t="s">
        <v>19</v>
      </c>
      <c r="AD279" t="s">
        <v>351</v>
      </c>
      <c r="AE279">
        <v>3.557426769452868E-3</v>
      </c>
    </row>
    <row r="280" spans="29:31" x14ac:dyDescent="0.45">
      <c r="AC280" t="s">
        <v>19</v>
      </c>
      <c r="AD280" t="s">
        <v>352</v>
      </c>
      <c r="AE280">
        <v>3.5620926725305397E-3</v>
      </c>
    </row>
    <row r="281" spans="29:31" x14ac:dyDescent="0.45">
      <c r="AC281" t="s">
        <v>19</v>
      </c>
      <c r="AD281" t="s">
        <v>353</v>
      </c>
      <c r="AE281">
        <v>3.5667831327664762E-3</v>
      </c>
    </row>
    <row r="282" spans="29:31" x14ac:dyDescent="0.45">
      <c r="AC282" t="s">
        <v>19</v>
      </c>
      <c r="AD282" t="s">
        <v>354</v>
      </c>
      <c r="AE282">
        <v>2.145256291275302E-2</v>
      </c>
    </row>
    <row r="283" spans="29:31" x14ac:dyDescent="0.45">
      <c r="AC283" t="s">
        <v>19</v>
      </c>
      <c r="AD283" t="s">
        <v>355</v>
      </c>
      <c r="AE283">
        <v>2.1237807807494583E-2</v>
      </c>
    </row>
    <row r="284" spans="29:31" x14ac:dyDescent="0.45">
      <c r="AC284" t="s">
        <v>19</v>
      </c>
      <c r="AD284" t="s">
        <v>356</v>
      </c>
      <c r="AE284">
        <v>3.4888832171749555E-3</v>
      </c>
    </row>
    <row r="285" spans="29:31" x14ac:dyDescent="0.45">
      <c r="AC285" t="s">
        <v>19</v>
      </c>
      <c r="AD285" t="s">
        <v>357</v>
      </c>
      <c r="AE285">
        <v>3.4800252222500988E-3</v>
      </c>
    </row>
    <row r="286" spans="29:31" x14ac:dyDescent="0.45">
      <c r="AC286" t="s">
        <v>19</v>
      </c>
      <c r="AD286" t="s">
        <v>358</v>
      </c>
      <c r="AE286">
        <v>2.458106701164595E-2</v>
      </c>
    </row>
    <row r="287" spans="29:31" x14ac:dyDescent="0.45">
      <c r="AC287" t="s">
        <v>19</v>
      </c>
      <c r="AD287" t="s">
        <v>359</v>
      </c>
      <c r="AE287">
        <v>3.5565696910299731E-3</v>
      </c>
    </row>
    <row r="288" spans="29:31" x14ac:dyDescent="0.45">
      <c r="AC288" t="s">
        <v>19</v>
      </c>
      <c r="AD288" t="s">
        <v>360</v>
      </c>
      <c r="AE288">
        <v>3.5593149318817849E-3</v>
      </c>
    </row>
    <row r="289" spans="29:31" x14ac:dyDescent="0.45">
      <c r="AC289" t="s">
        <v>19</v>
      </c>
      <c r="AD289" t="s">
        <v>361</v>
      </c>
      <c r="AE289">
        <v>3.562844862105099E-3</v>
      </c>
    </row>
    <row r="290" spans="29:31" x14ac:dyDescent="0.45">
      <c r="AC290" t="s">
        <v>19</v>
      </c>
      <c r="AD290" t="s">
        <v>362</v>
      </c>
      <c r="AE290">
        <v>2.1438247074888759E-2</v>
      </c>
    </row>
    <row r="291" spans="29:31" x14ac:dyDescent="0.45">
      <c r="AC291" t="s">
        <v>19</v>
      </c>
      <c r="AD291" t="s">
        <v>363</v>
      </c>
      <c r="AE291">
        <v>1.9848248473521318E-2</v>
      </c>
    </row>
    <row r="292" spans="29:31" x14ac:dyDescent="0.45">
      <c r="AC292" t="s">
        <v>19</v>
      </c>
      <c r="AD292" t="s">
        <v>364</v>
      </c>
      <c r="AE292">
        <v>3.2616976427767216E-3</v>
      </c>
    </row>
    <row r="293" spans="29:31" x14ac:dyDescent="0.45">
      <c r="AC293" t="s">
        <v>19</v>
      </c>
      <c r="AD293" t="s">
        <v>365</v>
      </c>
      <c r="AE293">
        <v>3.2547978554352828E-3</v>
      </c>
    </row>
    <row r="294" spans="29:31" x14ac:dyDescent="0.45">
      <c r="AC294" t="s">
        <v>19</v>
      </c>
      <c r="AD294" t="s">
        <v>366</v>
      </c>
      <c r="AE294">
        <v>2.3014948620365877E-2</v>
      </c>
    </row>
    <row r="295" spans="29:31" x14ac:dyDescent="0.45">
      <c r="AC295" t="s">
        <v>19</v>
      </c>
      <c r="AD295" t="s">
        <v>367</v>
      </c>
      <c r="AE295">
        <v>3.3276084964658607E-3</v>
      </c>
    </row>
    <row r="296" spans="29:31" x14ac:dyDescent="0.45">
      <c r="AC296" t="s">
        <v>19</v>
      </c>
      <c r="AD296" t="s">
        <v>368</v>
      </c>
      <c r="AE296">
        <v>3.3295884657341857E-3</v>
      </c>
    </row>
    <row r="297" spans="29:31" x14ac:dyDescent="0.45">
      <c r="AC297" t="s">
        <v>19</v>
      </c>
      <c r="AD297" t="s">
        <v>369</v>
      </c>
      <c r="AE297">
        <v>3.3317073700283879E-3</v>
      </c>
    </row>
    <row r="298" spans="29:31" x14ac:dyDescent="0.45">
      <c r="AC298" t="s">
        <v>19</v>
      </c>
      <c r="AD298" t="s">
        <v>370</v>
      </c>
      <c r="AE298">
        <v>2.0031763730171657E-2</v>
      </c>
    </row>
    <row r="299" spans="29:31" x14ac:dyDescent="0.45">
      <c r="AC299" t="s">
        <v>19</v>
      </c>
      <c r="AD299" t="s">
        <v>371</v>
      </c>
      <c r="AE299">
        <v>1.1600209663576553E-4</v>
      </c>
    </row>
    <row r="300" spans="29:31" x14ac:dyDescent="0.45">
      <c r="AC300" t="s">
        <v>19</v>
      </c>
      <c r="AD300" t="s">
        <v>372</v>
      </c>
      <c r="AE300">
        <v>1.1568119779794447E-4</v>
      </c>
    </row>
    <row r="301" spans="29:31" x14ac:dyDescent="0.45">
      <c r="AC301" t="s">
        <v>19</v>
      </c>
      <c r="AD301" t="s">
        <v>373</v>
      </c>
      <c r="AE301">
        <v>1.1546306486148016E-4</v>
      </c>
    </row>
    <row r="302" spans="29:31" x14ac:dyDescent="0.45">
      <c r="AC302" t="s">
        <v>19</v>
      </c>
      <c r="AD302" t="s">
        <v>374</v>
      </c>
      <c r="AE302">
        <v>1.1447310173095893E-4</v>
      </c>
    </row>
    <row r="303" spans="29:31" x14ac:dyDescent="0.45">
      <c r="AC303" t="s">
        <v>19</v>
      </c>
      <c r="AD303" t="s">
        <v>375</v>
      </c>
      <c r="AE303">
        <v>1.1388173009396119E-4</v>
      </c>
    </row>
    <row r="304" spans="29:31" x14ac:dyDescent="0.45">
      <c r="AC304" t="s">
        <v>19</v>
      </c>
      <c r="AD304" t="s">
        <v>376</v>
      </c>
      <c r="AE304">
        <v>1.1334435410004921E-4</v>
      </c>
    </row>
    <row r="305" spans="29:31" x14ac:dyDescent="0.45">
      <c r="AC305" t="s">
        <v>19</v>
      </c>
      <c r="AD305" t="s">
        <v>377</v>
      </c>
      <c r="AE305">
        <v>1.1307192446952216E-4</v>
      </c>
    </row>
    <row r="306" spans="29:31" x14ac:dyDescent="0.45">
      <c r="AC306" t="s">
        <v>19</v>
      </c>
      <c r="AD306" t="s">
        <v>378</v>
      </c>
      <c r="AE306">
        <v>1.1279904326252966E-4</v>
      </c>
    </row>
    <row r="307" spans="29:31" x14ac:dyDescent="0.45">
      <c r="AC307" t="s">
        <v>19</v>
      </c>
      <c r="AD307" t="s">
        <v>379</v>
      </c>
      <c r="AE307">
        <v>1.127570036439583E-4</v>
      </c>
    </row>
    <row r="308" spans="29:31" x14ac:dyDescent="0.45">
      <c r="AC308" t="s">
        <v>19</v>
      </c>
      <c r="AD308" t="s">
        <v>380</v>
      </c>
      <c r="AE308">
        <v>1.1280446218011532E-4</v>
      </c>
    </row>
    <row r="309" spans="29:31" x14ac:dyDescent="0.45">
      <c r="AC309" t="s">
        <v>19</v>
      </c>
      <c r="AD309" t="s">
        <v>381</v>
      </c>
      <c r="AE309">
        <v>1.1330837850829992E-4</v>
      </c>
    </row>
    <row r="310" spans="29:31" x14ac:dyDescent="0.45">
      <c r="AC310" t="s">
        <v>19</v>
      </c>
      <c r="AD310" t="s">
        <v>382</v>
      </c>
      <c r="AE310">
        <v>1.1372843063575396E-4</v>
      </c>
    </row>
    <row r="311" spans="29:31" x14ac:dyDescent="0.45">
      <c r="AC311" t="s">
        <v>19</v>
      </c>
      <c r="AD311" t="s">
        <v>383</v>
      </c>
      <c r="AE311">
        <v>1.1439125887250238E-4</v>
      </c>
    </row>
    <row r="312" spans="29:31" x14ac:dyDescent="0.45">
      <c r="AC312" t="s">
        <v>19</v>
      </c>
      <c r="AD312" t="s">
        <v>384</v>
      </c>
      <c r="AE312">
        <v>1.1497493220594586E-4</v>
      </c>
    </row>
    <row r="313" spans="29:31" x14ac:dyDescent="0.45">
      <c r="AC313" t="s">
        <v>19</v>
      </c>
      <c r="AD313" t="s">
        <v>385</v>
      </c>
      <c r="AE313">
        <v>1.1530903427947169E-4</v>
      </c>
    </row>
    <row r="314" spans="29:31" x14ac:dyDescent="0.45">
      <c r="AC314" t="s">
        <v>19</v>
      </c>
      <c r="AD314" t="s">
        <v>386</v>
      </c>
      <c r="AE314">
        <v>1.1548033228537417E-4</v>
      </c>
    </row>
    <row r="315" spans="29:31" x14ac:dyDescent="0.45">
      <c r="AC315" t="s">
        <v>19</v>
      </c>
      <c r="AD315" t="s">
        <v>387</v>
      </c>
      <c r="AE315">
        <v>1.1573641914857936E-4</v>
      </c>
    </row>
    <row r="316" spans="29:31" x14ac:dyDescent="0.45">
      <c r="AC316" t="s">
        <v>19</v>
      </c>
      <c r="AD316" t="s">
        <v>388</v>
      </c>
      <c r="AE316">
        <v>1.1595433704863154E-4</v>
      </c>
    </row>
    <row r="317" spans="29:31" x14ac:dyDescent="0.45">
      <c r="AC317" t="s">
        <v>19</v>
      </c>
      <c r="AD317" t="s">
        <v>389</v>
      </c>
      <c r="AE317">
        <v>1.1636120744402204E-4</v>
      </c>
    </row>
    <row r="318" spans="29:31" x14ac:dyDescent="0.45">
      <c r="AC318" t="s">
        <v>19</v>
      </c>
      <c r="AD318" t="s">
        <v>390</v>
      </c>
      <c r="AE318">
        <v>1.1649954036794505E-4</v>
      </c>
    </row>
    <row r="319" spans="29:31" x14ac:dyDescent="0.45">
      <c r="AC319" t="s">
        <v>19</v>
      </c>
      <c r="AD319" t="s">
        <v>391</v>
      </c>
      <c r="AE319">
        <v>1.1654274118314189E-4</v>
      </c>
    </row>
    <row r="320" spans="29:31" x14ac:dyDescent="0.45">
      <c r="AC320" t="s">
        <v>19</v>
      </c>
      <c r="AD320" t="s">
        <v>392</v>
      </c>
      <c r="AE320">
        <v>1.164951536251376E-4</v>
      </c>
    </row>
    <row r="321" spans="29:31" x14ac:dyDescent="0.45">
      <c r="AC321" t="s">
        <v>19</v>
      </c>
      <c r="AD321" t="s">
        <v>393</v>
      </c>
      <c r="AE321">
        <v>1.1598682905050432E-4</v>
      </c>
    </row>
    <row r="322" spans="29:31" x14ac:dyDescent="0.45">
      <c r="AC322" t="s">
        <v>19</v>
      </c>
      <c r="AD322" t="s">
        <v>394</v>
      </c>
      <c r="AE322">
        <v>1.1592993041585481E-4</v>
      </c>
    </row>
    <row r="323" spans="29:31" x14ac:dyDescent="0.45">
      <c r="AC323" t="s">
        <v>19</v>
      </c>
      <c r="AD323" t="s">
        <v>395</v>
      </c>
      <c r="AE323">
        <v>2.1225495681068917E-2</v>
      </c>
    </row>
    <row r="324" spans="29:31" x14ac:dyDescent="0.45">
      <c r="AC324" t="s">
        <v>19</v>
      </c>
      <c r="AD324" t="s">
        <v>396</v>
      </c>
      <c r="AE324">
        <v>3.4856379841406849E-3</v>
      </c>
    </row>
    <row r="325" spans="29:31" x14ac:dyDescent="0.45">
      <c r="AC325" t="s">
        <v>19</v>
      </c>
      <c r="AD325" t="s">
        <v>397</v>
      </c>
      <c r="AE325">
        <v>3.4796871739896157E-3</v>
      </c>
    </row>
    <row r="326" spans="29:31" x14ac:dyDescent="0.45">
      <c r="AC326" t="s">
        <v>19</v>
      </c>
      <c r="AD326" t="s">
        <v>398</v>
      </c>
      <c r="AE326">
        <v>2.4670641018587115E-2</v>
      </c>
    </row>
    <row r="327" spans="29:31" x14ac:dyDescent="0.45">
      <c r="AC327" t="s">
        <v>19</v>
      </c>
      <c r="AD327" t="s">
        <v>399</v>
      </c>
      <c r="AE327">
        <v>3.5550115906779894E-3</v>
      </c>
    </row>
    <row r="328" spans="29:31" x14ac:dyDescent="0.45">
      <c r="AC328" t="s">
        <v>19</v>
      </c>
      <c r="AD328" t="s">
        <v>400</v>
      </c>
      <c r="AE328">
        <v>3.5566551139758961E-3</v>
      </c>
    </row>
    <row r="329" spans="29:31" x14ac:dyDescent="0.45">
      <c r="AC329" t="s">
        <v>19</v>
      </c>
      <c r="AD329" t="s">
        <v>401</v>
      </c>
      <c r="AE329">
        <v>3.5562127625725043E-3</v>
      </c>
    </row>
    <row r="330" spans="29:31" x14ac:dyDescent="0.45">
      <c r="AC330" t="s">
        <v>19</v>
      </c>
      <c r="AD330" t="s">
        <v>402</v>
      </c>
      <c r="AE330">
        <v>2.1354870446106289E-2</v>
      </c>
    </row>
    <row r="331" spans="29:31" x14ac:dyDescent="0.45">
      <c r="AC331" t="s">
        <v>19</v>
      </c>
      <c r="AD331" t="s">
        <v>403</v>
      </c>
      <c r="AE331">
        <v>2.0641099640495167E-2</v>
      </c>
    </row>
    <row r="332" spans="29:31" x14ac:dyDescent="0.45">
      <c r="AC332" t="s">
        <v>19</v>
      </c>
      <c r="AD332" t="s">
        <v>404</v>
      </c>
      <c r="AE332">
        <v>3.3773964687221409E-3</v>
      </c>
    </row>
    <row r="333" spans="29:31" x14ac:dyDescent="0.45">
      <c r="AC333" t="s">
        <v>19</v>
      </c>
      <c r="AD333" t="s">
        <v>405</v>
      </c>
      <c r="AE333">
        <v>3.3692861984095418E-3</v>
      </c>
    </row>
    <row r="334" spans="29:31" x14ac:dyDescent="0.45">
      <c r="AC334" t="s">
        <v>19</v>
      </c>
      <c r="AD334" t="s">
        <v>406</v>
      </c>
      <c r="AE334">
        <v>2.3812920159528385E-2</v>
      </c>
    </row>
    <row r="335" spans="29:31" x14ac:dyDescent="0.45">
      <c r="AC335" t="s">
        <v>19</v>
      </c>
      <c r="AD335" t="s">
        <v>407</v>
      </c>
      <c r="AE335">
        <v>3.4517120635866503E-3</v>
      </c>
    </row>
    <row r="336" spans="29:31" x14ac:dyDescent="0.45">
      <c r="AC336" t="s">
        <v>19</v>
      </c>
      <c r="AD336" t="s">
        <v>408</v>
      </c>
      <c r="AE336">
        <v>3.4379976433229751E-3</v>
      </c>
    </row>
    <row r="337" spans="29:31" x14ac:dyDescent="0.45">
      <c r="AC337" t="s">
        <v>19</v>
      </c>
      <c r="AD337" t="s">
        <v>409</v>
      </c>
      <c r="AE337">
        <v>3.4407479160268313E-3</v>
      </c>
    </row>
    <row r="338" spans="29:31" x14ac:dyDescent="0.45">
      <c r="AC338" t="s">
        <v>19</v>
      </c>
      <c r="AD338" t="s">
        <v>410</v>
      </c>
      <c r="AE338">
        <v>2.0648476357095068E-2</v>
      </c>
    </row>
    <row r="339" spans="29:31" x14ac:dyDescent="0.45">
      <c r="AC339" t="s">
        <v>19</v>
      </c>
      <c r="AD339" t="s">
        <v>411</v>
      </c>
      <c r="AE339">
        <v>2.1350568589997714E-2</v>
      </c>
    </row>
    <row r="340" spans="29:31" x14ac:dyDescent="0.45">
      <c r="AC340" t="s">
        <v>19</v>
      </c>
      <c r="AD340" t="s">
        <v>412</v>
      </c>
      <c r="AE340">
        <v>3.4888134789849336E-3</v>
      </c>
    </row>
    <row r="341" spans="29:31" x14ac:dyDescent="0.45">
      <c r="AC341" t="s">
        <v>19</v>
      </c>
      <c r="AD341" t="s">
        <v>413</v>
      </c>
      <c r="AE341">
        <v>3.4791075524797672E-3</v>
      </c>
    </row>
    <row r="342" spans="29:31" x14ac:dyDescent="0.45">
      <c r="AC342" t="s">
        <v>19</v>
      </c>
      <c r="AD342" t="s">
        <v>414</v>
      </c>
      <c r="AE342">
        <v>2.4576792440163732E-2</v>
      </c>
    </row>
    <row r="343" spans="29:31" x14ac:dyDescent="0.45">
      <c r="AC343" t="s">
        <v>19</v>
      </c>
      <c r="AD343" t="s">
        <v>415</v>
      </c>
      <c r="AE343">
        <v>3.5564313347208405E-3</v>
      </c>
    </row>
    <row r="344" spans="29:31" x14ac:dyDescent="0.45">
      <c r="AC344" t="s">
        <v>19</v>
      </c>
      <c r="AD344" t="s">
        <v>416</v>
      </c>
      <c r="AE344">
        <v>3.5569994394180453E-3</v>
      </c>
    </row>
    <row r="345" spans="29:31" x14ac:dyDescent="0.45">
      <c r="AC345" t="s">
        <v>19</v>
      </c>
      <c r="AD345" t="s">
        <v>417</v>
      </c>
      <c r="AE345">
        <v>3.5630400057675383E-3</v>
      </c>
    </row>
    <row r="346" spans="29:31" x14ac:dyDescent="0.45">
      <c r="AC346" t="s">
        <v>19</v>
      </c>
      <c r="AD346" t="s">
        <v>418</v>
      </c>
      <c r="AE346">
        <v>2.1427648176889174E-2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718DB-87EE-44B8-961A-7AAA9891FC10}">
  <dimension ref="A9:AN63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103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248</v>
      </c>
      <c r="L10" t="s">
        <v>30</v>
      </c>
      <c r="N10" t="s">
        <v>13</v>
      </c>
      <c r="O10" t="s">
        <v>122</v>
      </c>
      <c r="P10" t="s">
        <v>248</v>
      </c>
      <c r="Q10" t="s">
        <v>30</v>
      </c>
      <c r="S10" t="s">
        <v>13</v>
      </c>
      <c r="T10" t="s">
        <v>122</v>
      </c>
      <c r="U10" t="s">
        <v>248</v>
      </c>
      <c r="V10" t="s">
        <v>30</v>
      </c>
      <c r="X10" t="s">
        <v>421</v>
      </c>
      <c r="Y10" t="s">
        <v>248</v>
      </c>
      <c r="Z10" t="s">
        <v>122</v>
      </c>
      <c r="AA10" t="s">
        <v>13</v>
      </c>
      <c r="AC10" t="s">
        <v>13</v>
      </c>
      <c r="AD10" t="s">
        <v>122</v>
      </c>
      <c r="AE10" t="s">
        <v>248</v>
      </c>
      <c r="AG10" t="s">
        <v>13</v>
      </c>
      <c r="AH10" t="s">
        <v>122</v>
      </c>
      <c r="AI10" t="s">
        <v>427</v>
      </c>
      <c r="AK10" t="s">
        <v>47</v>
      </c>
      <c r="AL10" t="s">
        <v>122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430</v>
      </c>
      <c r="F11" t="s">
        <v>154</v>
      </c>
      <c r="G11" t="s">
        <v>155</v>
      </c>
      <c r="I11" t="s">
        <v>249</v>
      </c>
      <c r="J11" t="s">
        <v>250</v>
      </c>
      <c r="K11">
        <v>0</v>
      </c>
      <c r="L11" t="s">
        <v>251</v>
      </c>
      <c r="N11" t="s">
        <v>419</v>
      </c>
      <c r="O11" t="s">
        <v>250</v>
      </c>
      <c r="P11">
        <v>2.5660311917472152E-2</v>
      </c>
      <c r="Q11" t="s">
        <v>251</v>
      </c>
      <c r="S11" t="s">
        <v>420</v>
      </c>
      <c r="T11" t="s">
        <v>250</v>
      </c>
      <c r="U11">
        <v>2.6769906846017193E-2</v>
      </c>
      <c r="V11" t="s">
        <v>251</v>
      </c>
      <c r="X11">
        <v>2.1232876712328767E-2</v>
      </c>
      <c r="Y11">
        <v>4.5420116185598634E-3</v>
      </c>
      <c r="Z11" t="s">
        <v>250</v>
      </c>
      <c r="AA11" t="s">
        <v>25</v>
      </c>
      <c r="AC11" t="s">
        <v>22</v>
      </c>
      <c r="AD11" t="s">
        <v>250</v>
      </c>
      <c r="AE11">
        <v>2.5607497604483307E-2</v>
      </c>
      <c r="AG11" t="s">
        <v>97</v>
      </c>
      <c r="AH11" t="s">
        <v>250</v>
      </c>
      <c r="AI11">
        <v>0.1255692735717755</v>
      </c>
    </row>
    <row r="12" spans="1:40" x14ac:dyDescent="0.45">
      <c r="C12" t="s">
        <v>156</v>
      </c>
      <c r="D12" t="s">
        <v>155</v>
      </c>
      <c r="E12" t="s">
        <v>431</v>
      </c>
      <c r="F12" t="s">
        <v>156</v>
      </c>
      <c r="G12" t="s">
        <v>155</v>
      </c>
      <c r="I12" t="s">
        <v>249</v>
      </c>
      <c r="J12" t="s">
        <v>252</v>
      </c>
      <c r="K12">
        <v>0</v>
      </c>
      <c r="L12" t="s">
        <v>251</v>
      </c>
      <c r="N12" t="s">
        <v>419</v>
      </c>
      <c r="O12" t="s">
        <v>252</v>
      </c>
      <c r="P12">
        <v>4.0814319723471888E-3</v>
      </c>
      <c r="Q12" t="s">
        <v>251</v>
      </c>
      <c r="S12" t="s">
        <v>420</v>
      </c>
      <c r="T12" t="s">
        <v>252</v>
      </c>
      <c r="U12">
        <v>4.3097825222294175E-3</v>
      </c>
      <c r="V12" t="s">
        <v>251</v>
      </c>
      <c r="X12">
        <v>3.5388127853881279E-3</v>
      </c>
      <c r="Y12">
        <v>5.240782636799844E-3</v>
      </c>
      <c r="Z12" t="s">
        <v>252</v>
      </c>
      <c r="AA12" t="s">
        <v>25</v>
      </c>
      <c r="AC12" t="s">
        <v>22</v>
      </c>
      <c r="AD12" t="s">
        <v>252</v>
      </c>
      <c r="AE12">
        <v>3.3095668155421962E-3</v>
      </c>
      <c r="AG12" t="s">
        <v>97</v>
      </c>
      <c r="AH12" t="s">
        <v>252</v>
      </c>
      <c r="AI12">
        <v>3.1209633865931563E-2</v>
      </c>
    </row>
    <row r="13" spans="1:40" x14ac:dyDescent="0.45">
      <c r="C13" t="s">
        <v>158</v>
      </c>
      <c r="D13" t="s">
        <v>159</v>
      </c>
      <c r="E13" t="s">
        <v>432</v>
      </c>
      <c r="F13" t="s">
        <v>158</v>
      </c>
      <c r="G13" t="s">
        <v>155</v>
      </c>
      <c r="I13" t="s">
        <v>249</v>
      </c>
      <c r="J13" t="s">
        <v>253</v>
      </c>
      <c r="K13">
        <v>2.0106799524999386E-4</v>
      </c>
      <c r="L13" t="s">
        <v>251</v>
      </c>
      <c r="N13" t="s">
        <v>419</v>
      </c>
      <c r="O13" t="s">
        <v>253</v>
      </c>
      <c r="P13">
        <v>4.033150452332668E-3</v>
      </c>
      <c r="Q13" t="s">
        <v>251</v>
      </c>
      <c r="S13" t="s">
        <v>420</v>
      </c>
      <c r="T13" t="s">
        <v>253</v>
      </c>
      <c r="U13">
        <v>4.30556758140406E-3</v>
      </c>
      <c r="V13" t="s">
        <v>251</v>
      </c>
      <c r="X13">
        <v>3.5388127853881279E-3</v>
      </c>
      <c r="Y13">
        <v>5.9087255218821738E-3</v>
      </c>
      <c r="Z13" t="s">
        <v>253</v>
      </c>
      <c r="AA13" t="s">
        <v>25</v>
      </c>
      <c r="AC13" t="s">
        <v>22</v>
      </c>
      <c r="AD13" t="s">
        <v>253</v>
      </c>
      <c r="AE13">
        <v>3.1520688773489483E-3</v>
      </c>
      <c r="AG13" t="s">
        <v>97</v>
      </c>
      <c r="AH13" t="s">
        <v>253</v>
      </c>
      <c r="AI13">
        <v>3.7632188426626412E-2</v>
      </c>
    </row>
    <row r="14" spans="1:40" x14ac:dyDescent="0.45">
      <c r="C14" t="s">
        <v>161</v>
      </c>
      <c r="D14" t="s">
        <v>162</v>
      </c>
      <c r="E14" t="s">
        <v>433</v>
      </c>
      <c r="F14" t="s">
        <v>161</v>
      </c>
      <c r="G14" t="s">
        <v>155</v>
      </c>
      <c r="I14" t="s">
        <v>249</v>
      </c>
      <c r="J14" t="s">
        <v>254</v>
      </c>
      <c r="K14">
        <v>4.9834507681872697E-2</v>
      </c>
      <c r="L14" t="s">
        <v>251</v>
      </c>
      <c r="N14" t="s">
        <v>419</v>
      </c>
      <c r="O14" t="s">
        <v>254</v>
      </c>
      <c r="P14">
        <v>2.3667065373781479E-2</v>
      </c>
      <c r="Q14" t="s">
        <v>251</v>
      </c>
      <c r="S14" t="s">
        <v>420</v>
      </c>
      <c r="T14" t="s">
        <v>254</v>
      </c>
      <c r="U14">
        <v>2.8474195890723288E-2</v>
      </c>
      <c r="V14" t="s">
        <v>251</v>
      </c>
      <c r="X14">
        <v>2.4771689497716895E-2</v>
      </c>
      <c r="Y14">
        <v>3.1424143732027281E-2</v>
      </c>
      <c r="Z14" t="s">
        <v>254</v>
      </c>
      <c r="AA14" t="s">
        <v>25</v>
      </c>
      <c r="AC14" t="s">
        <v>22</v>
      </c>
      <c r="AD14" t="s">
        <v>254</v>
      </c>
      <c r="AE14">
        <v>2.5346104661222169E-2</v>
      </c>
      <c r="AG14" t="s">
        <v>97</v>
      </c>
      <c r="AH14" t="s">
        <v>254</v>
      </c>
      <c r="AI14">
        <v>0.28402737458105975</v>
      </c>
    </row>
    <row r="15" spans="1:40" x14ac:dyDescent="0.45">
      <c r="C15" t="s">
        <v>165</v>
      </c>
      <c r="D15" t="s">
        <v>434</v>
      </c>
      <c r="E15" t="s">
        <v>435</v>
      </c>
      <c r="F15" t="s">
        <v>161</v>
      </c>
      <c r="G15" t="s">
        <v>155</v>
      </c>
      <c r="I15" t="s">
        <v>249</v>
      </c>
      <c r="J15" t="s">
        <v>255</v>
      </c>
      <c r="K15">
        <v>7.7021391491125003E-3</v>
      </c>
      <c r="L15" t="s">
        <v>251</v>
      </c>
      <c r="N15" t="s">
        <v>419</v>
      </c>
      <c r="O15" t="s">
        <v>255</v>
      </c>
      <c r="P15">
        <v>3.101223359272192E-3</v>
      </c>
      <c r="Q15" t="s">
        <v>251</v>
      </c>
      <c r="S15" t="s">
        <v>420</v>
      </c>
      <c r="T15" t="s">
        <v>255</v>
      </c>
      <c r="U15">
        <v>4.067137061951746E-3</v>
      </c>
      <c r="V15" t="s">
        <v>251</v>
      </c>
      <c r="X15">
        <v>3.5388127853881279E-3</v>
      </c>
      <c r="Y15">
        <v>5.3435430806586613E-3</v>
      </c>
      <c r="Z15" t="s">
        <v>255</v>
      </c>
      <c r="AA15" t="s">
        <v>25</v>
      </c>
      <c r="AC15" t="s">
        <v>22</v>
      </c>
      <c r="AD15" t="s">
        <v>255</v>
      </c>
      <c r="AE15">
        <v>4.2578284374204705E-3</v>
      </c>
      <c r="AG15" t="s">
        <v>97</v>
      </c>
      <c r="AH15" t="s">
        <v>255</v>
      </c>
      <c r="AI15">
        <v>5.7465312640921917E-2</v>
      </c>
    </row>
    <row r="16" spans="1:40" x14ac:dyDescent="0.45">
      <c r="C16" t="s">
        <v>167</v>
      </c>
      <c r="D16" t="s">
        <v>436</v>
      </c>
      <c r="E16" t="s">
        <v>437</v>
      </c>
      <c r="F16" t="s">
        <v>165</v>
      </c>
      <c r="G16" t="s">
        <v>155</v>
      </c>
      <c r="I16" t="s">
        <v>249</v>
      </c>
      <c r="J16" t="s">
        <v>256</v>
      </c>
      <c r="K16">
        <v>6.5047348408537988E-3</v>
      </c>
      <c r="L16" t="s">
        <v>251</v>
      </c>
      <c r="N16" t="s">
        <v>419</v>
      </c>
      <c r="O16" t="s">
        <v>256</v>
      </c>
      <c r="P16">
        <v>3.1831217606181723E-3</v>
      </c>
      <c r="Q16" t="s">
        <v>251</v>
      </c>
      <c r="S16" t="s">
        <v>420</v>
      </c>
      <c r="T16" t="s">
        <v>256</v>
      </c>
      <c r="U16">
        <v>4.0561869751066289E-3</v>
      </c>
      <c r="V16" t="s">
        <v>251</v>
      </c>
      <c r="X16">
        <v>3.5388127853881279E-3</v>
      </c>
      <c r="Y16">
        <v>6.8849497385409693E-3</v>
      </c>
      <c r="Z16" t="s">
        <v>256</v>
      </c>
      <c r="AA16" t="s">
        <v>25</v>
      </c>
      <c r="AC16" t="s">
        <v>22</v>
      </c>
      <c r="AD16" t="s">
        <v>256</v>
      </c>
      <c r="AE16">
        <v>4.2265697038094052E-3</v>
      </c>
      <c r="AG16" t="s">
        <v>97</v>
      </c>
      <c r="AH16" t="s">
        <v>256</v>
      </c>
      <c r="AI16">
        <v>3.8379035468125267E-2</v>
      </c>
    </row>
    <row r="17" spans="3:35" x14ac:dyDescent="0.45">
      <c r="C17" t="s">
        <v>169</v>
      </c>
      <c r="D17" t="s">
        <v>438</v>
      </c>
      <c r="E17" t="s">
        <v>439</v>
      </c>
      <c r="F17" t="s">
        <v>164</v>
      </c>
      <c r="G17" t="s">
        <v>155</v>
      </c>
      <c r="I17" t="s">
        <v>249</v>
      </c>
      <c r="J17" t="s">
        <v>257</v>
      </c>
      <c r="K17">
        <v>3.8391612194623543E-3</v>
      </c>
      <c r="L17" t="s">
        <v>251</v>
      </c>
      <c r="N17" t="s">
        <v>419</v>
      </c>
      <c r="O17" t="s">
        <v>257</v>
      </c>
      <c r="P17">
        <v>3.4653706361787956E-3</v>
      </c>
      <c r="Q17" t="s">
        <v>251</v>
      </c>
      <c r="S17" t="s">
        <v>420</v>
      </c>
      <c r="T17" t="s">
        <v>257</v>
      </c>
      <c r="U17">
        <v>4.1657394600128654E-3</v>
      </c>
      <c r="V17" t="s">
        <v>251</v>
      </c>
      <c r="X17">
        <v>3.5388127853881279E-3</v>
      </c>
      <c r="Y17">
        <v>6.8849497385409693E-3</v>
      </c>
      <c r="Z17" t="s">
        <v>257</v>
      </c>
      <c r="AA17" t="s">
        <v>25</v>
      </c>
      <c r="AC17" t="s">
        <v>22</v>
      </c>
      <c r="AD17" t="s">
        <v>257</v>
      </c>
      <c r="AE17">
        <v>4.2859190921906275E-3</v>
      </c>
      <c r="AG17" t="s">
        <v>97</v>
      </c>
      <c r="AH17" t="s">
        <v>257</v>
      </c>
      <c r="AI17">
        <v>4.4527242369231779E-2</v>
      </c>
    </row>
    <row r="18" spans="3:35" x14ac:dyDescent="0.45">
      <c r="C18" t="s">
        <v>171</v>
      </c>
      <c r="D18" t="s">
        <v>440</v>
      </c>
      <c r="E18" t="s">
        <v>441</v>
      </c>
      <c r="F18" t="s">
        <v>174</v>
      </c>
      <c r="G18" t="s">
        <v>155</v>
      </c>
      <c r="I18" t="s">
        <v>249</v>
      </c>
      <c r="J18" t="s">
        <v>258</v>
      </c>
      <c r="K18">
        <v>2.5439683141916474E-5</v>
      </c>
      <c r="L18" t="s">
        <v>251</v>
      </c>
      <c r="N18" t="s">
        <v>419</v>
      </c>
      <c r="O18" t="s">
        <v>258</v>
      </c>
      <c r="P18">
        <v>2.4479808311505789E-2</v>
      </c>
      <c r="Q18" t="s">
        <v>251</v>
      </c>
      <c r="S18" t="s">
        <v>420</v>
      </c>
      <c r="T18" t="s">
        <v>258</v>
      </c>
      <c r="U18">
        <v>2.8289011003994943E-2</v>
      </c>
      <c r="V18" t="s">
        <v>251</v>
      </c>
      <c r="X18">
        <v>2.1232876712328767E-2</v>
      </c>
      <c r="Y18">
        <v>1.8702400782305319E-2</v>
      </c>
      <c r="Z18" t="s">
        <v>258</v>
      </c>
      <c r="AA18" t="s">
        <v>25</v>
      </c>
      <c r="AC18" t="s">
        <v>22</v>
      </c>
      <c r="AD18" t="s">
        <v>258</v>
      </c>
      <c r="AE18">
        <v>2.6355989111971137E-2</v>
      </c>
      <c r="AG18" t="s">
        <v>97</v>
      </c>
      <c r="AH18" t="s">
        <v>258</v>
      </c>
      <c r="AI18">
        <v>9.6362226456162325E-2</v>
      </c>
    </row>
    <row r="19" spans="3:35" x14ac:dyDescent="0.45">
      <c r="C19" t="s">
        <v>164</v>
      </c>
      <c r="D19" t="s">
        <v>442</v>
      </c>
      <c r="E19" t="s">
        <v>443</v>
      </c>
      <c r="F19" t="s">
        <v>176</v>
      </c>
      <c r="G19" t="s">
        <v>155</v>
      </c>
      <c r="I19" t="s">
        <v>249</v>
      </c>
      <c r="J19" t="s">
        <v>259</v>
      </c>
      <c r="K19">
        <v>0</v>
      </c>
      <c r="L19" t="s">
        <v>251</v>
      </c>
      <c r="N19" t="s">
        <v>419</v>
      </c>
      <c r="O19" t="s">
        <v>259</v>
      </c>
      <c r="P19">
        <v>2.2799811813955566E-2</v>
      </c>
      <c r="Q19" t="s">
        <v>251</v>
      </c>
      <c r="S19" t="s">
        <v>420</v>
      </c>
      <c r="T19" t="s">
        <v>259</v>
      </c>
      <c r="U19">
        <v>1.847495076826134E-2</v>
      </c>
      <c r="V19" t="s">
        <v>251</v>
      </c>
      <c r="X19">
        <v>1.8493150684931507E-2</v>
      </c>
      <c r="Y19">
        <v>3.9559456032618153E-3</v>
      </c>
      <c r="Z19" t="s">
        <v>259</v>
      </c>
      <c r="AA19" t="s">
        <v>25</v>
      </c>
      <c r="AC19" t="s">
        <v>22</v>
      </c>
      <c r="AD19" t="s">
        <v>259</v>
      </c>
      <c r="AE19">
        <v>2.20795193625021E-2</v>
      </c>
      <c r="AG19" t="s">
        <v>97</v>
      </c>
      <c r="AH19" t="s">
        <v>259</v>
      </c>
      <c r="AI19">
        <v>0.1285917481113199</v>
      </c>
    </row>
    <row r="20" spans="3:35" x14ac:dyDescent="0.45">
      <c r="C20" t="s">
        <v>174</v>
      </c>
      <c r="D20" t="s">
        <v>444</v>
      </c>
      <c r="E20" t="s">
        <v>445</v>
      </c>
      <c r="F20" t="s">
        <v>178</v>
      </c>
      <c r="G20" t="s">
        <v>155</v>
      </c>
      <c r="I20" t="s">
        <v>249</v>
      </c>
      <c r="J20" t="s">
        <v>260</v>
      </c>
      <c r="K20">
        <v>0</v>
      </c>
      <c r="L20" t="s">
        <v>251</v>
      </c>
      <c r="N20" t="s">
        <v>419</v>
      </c>
      <c r="O20" t="s">
        <v>260</v>
      </c>
      <c r="P20">
        <v>3.6737642391134629E-3</v>
      </c>
      <c r="Q20" t="s">
        <v>251</v>
      </c>
      <c r="S20" t="s">
        <v>420</v>
      </c>
      <c r="T20" t="s">
        <v>260</v>
      </c>
      <c r="U20">
        <v>3.0913263835168001E-3</v>
      </c>
      <c r="V20" t="s">
        <v>251</v>
      </c>
      <c r="X20">
        <v>3.0821917808219177E-3</v>
      </c>
      <c r="Y20">
        <v>4.5645526191482504E-3</v>
      </c>
      <c r="Z20" t="s">
        <v>260</v>
      </c>
      <c r="AA20" t="s">
        <v>25</v>
      </c>
      <c r="AC20" t="s">
        <v>22</v>
      </c>
      <c r="AD20" t="s">
        <v>260</v>
      </c>
      <c r="AE20">
        <v>2.8622439027669254E-3</v>
      </c>
      <c r="AG20" t="s">
        <v>97</v>
      </c>
      <c r="AH20" t="s">
        <v>260</v>
      </c>
      <c r="AI20">
        <v>3.287756338608272E-2</v>
      </c>
    </row>
    <row r="21" spans="3:35" x14ac:dyDescent="0.45">
      <c r="C21" t="s">
        <v>176</v>
      </c>
      <c r="E21" t="s">
        <v>446</v>
      </c>
      <c r="G21" t="s">
        <v>155</v>
      </c>
      <c r="I21" t="s">
        <v>249</v>
      </c>
      <c r="J21" t="s">
        <v>261</v>
      </c>
      <c r="K21">
        <v>1.3839827927820719E-3</v>
      </c>
      <c r="L21" t="s">
        <v>251</v>
      </c>
      <c r="N21" t="s">
        <v>419</v>
      </c>
      <c r="O21" t="s">
        <v>261</v>
      </c>
      <c r="P21">
        <v>3.5961335505518732E-3</v>
      </c>
      <c r="Q21" t="s">
        <v>251</v>
      </c>
      <c r="S21" t="s">
        <v>420</v>
      </c>
      <c r="T21" t="s">
        <v>261</v>
      </c>
      <c r="U21">
        <v>3.1371462437282242E-3</v>
      </c>
      <c r="V21" t="s">
        <v>251</v>
      </c>
      <c r="X21">
        <v>3.0821917808219177E-3</v>
      </c>
      <c r="Y21">
        <v>5.146309325510281E-3</v>
      </c>
      <c r="Z21" t="s">
        <v>261</v>
      </c>
      <c r="AA21" t="s">
        <v>25</v>
      </c>
      <c r="AC21" t="s">
        <v>22</v>
      </c>
      <c r="AD21" t="s">
        <v>261</v>
      </c>
      <c r="AE21">
        <v>2.7560357603836324E-3</v>
      </c>
      <c r="AG21" t="s">
        <v>97</v>
      </c>
      <c r="AH21" t="s">
        <v>261</v>
      </c>
      <c r="AI21">
        <v>3.7383068282757392E-2</v>
      </c>
    </row>
    <row r="22" spans="3:35" x14ac:dyDescent="0.45">
      <c r="C22" t="s">
        <v>178</v>
      </c>
      <c r="E22" t="s">
        <v>447</v>
      </c>
      <c r="G22" t="s">
        <v>155</v>
      </c>
      <c r="I22" t="s">
        <v>249</v>
      </c>
      <c r="J22" t="s">
        <v>262</v>
      </c>
      <c r="K22">
        <v>4.9609925048041466E-2</v>
      </c>
      <c r="L22" t="s">
        <v>251</v>
      </c>
      <c r="N22" t="s">
        <v>419</v>
      </c>
      <c r="O22" t="s">
        <v>262</v>
      </c>
      <c r="P22">
        <v>2.1803778147660942E-2</v>
      </c>
      <c r="Q22" t="s">
        <v>251</v>
      </c>
      <c r="S22" t="s">
        <v>420</v>
      </c>
      <c r="T22" t="s">
        <v>262</v>
      </c>
      <c r="U22">
        <v>2.1200961526597405E-2</v>
      </c>
      <c r="V22" t="s">
        <v>251</v>
      </c>
      <c r="X22">
        <v>2.1575342465753426E-2</v>
      </c>
      <c r="Y22">
        <v>2.7369415508539895E-2</v>
      </c>
      <c r="Z22" t="s">
        <v>262</v>
      </c>
      <c r="AA22" t="s">
        <v>25</v>
      </c>
      <c r="AC22" t="s">
        <v>22</v>
      </c>
      <c r="AD22" t="s">
        <v>262</v>
      </c>
      <c r="AE22">
        <v>2.1797960578814932E-2</v>
      </c>
      <c r="AG22" t="s">
        <v>97</v>
      </c>
      <c r="AH22" t="s">
        <v>262</v>
      </c>
      <c r="AI22">
        <v>0.25524284095614469</v>
      </c>
    </row>
    <row r="23" spans="3:35" x14ac:dyDescent="0.45">
      <c r="E23" t="s">
        <v>448</v>
      </c>
      <c r="G23" t="s">
        <v>155</v>
      </c>
      <c r="I23" t="s">
        <v>249</v>
      </c>
      <c r="J23" t="s">
        <v>263</v>
      </c>
      <c r="K23">
        <v>7.4300446721567003E-3</v>
      </c>
      <c r="L23" t="s">
        <v>251</v>
      </c>
      <c r="N23" t="s">
        <v>419</v>
      </c>
      <c r="O23" t="s">
        <v>263</v>
      </c>
      <c r="P23">
        <v>3.0954677607786048E-3</v>
      </c>
      <c r="Q23" t="s">
        <v>251</v>
      </c>
      <c r="S23" t="s">
        <v>420</v>
      </c>
      <c r="T23" t="s">
        <v>263</v>
      </c>
      <c r="U23">
        <v>3.0872780893372517E-3</v>
      </c>
      <c r="V23" t="s">
        <v>251</v>
      </c>
      <c r="X23">
        <v>3.0821917808219177E-3</v>
      </c>
      <c r="Y23">
        <v>4.6540536508962536E-3</v>
      </c>
      <c r="Z23" t="s">
        <v>263</v>
      </c>
      <c r="AA23" t="s">
        <v>25</v>
      </c>
      <c r="AC23" t="s">
        <v>22</v>
      </c>
      <c r="AD23" t="s">
        <v>263</v>
      </c>
      <c r="AE23">
        <v>3.5920841631097737E-3</v>
      </c>
      <c r="AG23" t="s">
        <v>97</v>
      </c>
      <c r="AH23" t="s">
        <v>263</v>
      </c>
      <c r="AI23">
        <v>6.3298117082185801E-2</v>
      </c>
    </row>
    <row r="24" spans="3:35" x14ac:dyDescent="0.45">
      <c r="E24" t="s">
        <v>449</v>
      </c>
      <c r="G24" t="s">
        <v>155</v>
      </c>
      <c r="I24" t="s">
        <v>249</v>
      </c>
      <c r="J24" t="s">
        <v>264</v>
      </c>
      <c r="K24">
        <v>6.6344895739469997E-3</v>
      </c>
      <c r="L24" t="s">
        <v>251</v>
      </c>
      <c r="N24" t="s">
        <v>419</v>
      </c>
      <c r="O24" t="s">
        <v>264</v>
      </c>
      <c r="P24">
        <v>3.0686886051517247E-3</v>
      </c>
      <c r="Q24" t="s">
        <v>251</v>
      </c>
      <c r="S24" t="s">
        <v>420</v>
      </c>
      <c r="T24" t="s">
        <v>264</v>
      </c>
      <c r="U24">
        <v>3.024907008534325E-3</v>
      </c>
      <c r="V24" t="s">
        <v>251</v>
      </c>
      <c r="X24">
        <v>3.0821917808219177E-3</v>
      </c>
      <c r="Y24">
        <v>5.9965691271163281E-3</v>
      </c>
      <c r="Z24" t="s">
        <v>264</v>
      </c>
      <c r="AA24" t="s">
        <v>25</v>
      </c>
      <c r="AC24" t="s">
        <v>22</v>
      </c>
      <c r="AD24" t="s">
        <v>264</v>
      </c>
      <c r="AE24">
        <v>3.6169317722891886E-3</v>
      </c>
      <c r="AG24" t="s">
        <v>97</v>
      </c>
      <c r="AH24" t="s">
        <v>264</v>
      </c>
      <c r="AI24">
        <v>4.2790318756747991E-2</v>
      </c>
    </row>
    <row r="25" spans="3:35" x14ac:dyDescent="0.45">
      <c r="E25" t="s">
        <v>450</v>
      </c>
      <c r="G25" t="s">
        <v>155</v>
      </c>
      <c r="I25" t="s">
        <v>249</v>
      </c>
      <c r="J25" t="s">
        <v>265</v>
      </c>
      <c r="K25">
        <v>5.021345098525057E-3</v>
      </c>
      <c r="L25" t="s">
        <v>251</v>
      </c>
      <c r="N25" t="s">
        <v>419</v>
      </c>
      <c r="O25" t="s">
        <v>265</v>
      </c>
      <c r="P25">
        <v>3.1445361649823601E-3</v>
      </c>
      <c r="Q25" t="s">
        <v>251</v>
      </c>
      <c r="S25" t="s">
        <v>420</v>
      </c>
      <c r="T25" t="s">
        <v>265</v>
      </c>
      <c r="U25">
        <v>3.0315811438240653E-3</v>
      </c>
      <c r="V25" t="s">
        <v>251</v>
      </c>
      <c r="X25">
        <v>3.0821917808219177E-3</v>
      </c>
      <c r="Y25">
        <v>5.9965691271163281E-3</v>
      </c>
      <c r="Z25" t="s">
        <v>265</v>
      </c>
      <c r="AA25" t="s">
        <v>25</v>
      </c>
      <c r="AC25" t="s">
        <v>22</v>
      </c>
      <c r="AD25" t="s">
        <v>265</v>
      </c>
      <c r="AE25">
        <v>3.6713320212533448E-3</v>
      </c>
      <c r="AG25" t="s">
        <v>97</v>
      </c>
      <c r="AH25" t="s">
        <v>265</v>
      </c>
      <c r="AI25">
        <v>4.8945097500422197E-2</v>
      </c>
    </row>
    <row r="26" spans="3:35" x14ac:dyDescent="0.45">
      <c r="E26" t="s">
        <v>451</v>
      </c>
      <c r="G26" t="s">
        <v>155</v>
      </c>
      <c r="I26" t="s">
        <v>249</v>
      </c>
      <c r="J26" t="s">
        <v>266</v>
      </c>
      <c r="K26">
        <v>1.321460235787148E-3</v>
      </c>
      <c r="L26" t="s">
        <v>251</v>
      </c>
      <c r="N26" t="s">
        <v>419</v>
      </c>
      <c r="O26" t="s">
        <v>266</v>
      </c>
      <c r="P26">
        <v>2.2084144116053351E-2</v>
      </c>
      <c r="Q26" t="s">
        <v>251</v>
      </c>
      <c r="S26" t="s">
        <v>420</v>
      </c>
      <c r="T26" t="s">
        <v>266</v>
      </c>
      <c r="U26">
        <v>2.0045075592993834E-2</v>
      </c>
      <c r="V26" t="s">
        <v>251</v>
      </c>
      <c r="X26">
        <v>1.8493150684931507E-2</v>
      </c>
      <c r="Y26">
        <v>1.6289187778136888E-2</v>
      </c>
      <c r="Z26" t="s">
        <v>266</v>
      </c>
      <c r="AA26" t="s">
        <v>25</v>
      </c>
      <c r="AC26" t="s">
        <v>22</v>
      </c>
      <c r="AD26" t="s">
        <v>266</v>
      </c>
      <c r="AE26">
        <v>2.2607174832110163E-2</v>
      </c>
      <c r="AG26" t="s">
        <v>97</v>
      </c>
      <c r="AH26" t="s">
        <v>266</v>
      </c>
      <c r="AI26">
        <v>0.1041320277223281</v>
      </c>
    </row>
    <row r="27" spans="3:35" x14ac:dyDescent="0.45">
      <c r="E27" t="s">
        <v>452</v>
      </c>
      <c r="G27" t="s">
        <v>155</v>
      </c>
      <c r="I27" t="s">
        <v>249</v>
      </c>
      <c r="J27" t="s">
        <v>580</v>
      </c>
      <c r="K27">
        <v>0</v>
      </c>
      <c r="L27" t="s">
        <v>251</v>
      </c>
      <c r="N27" t="s">
        <v>419</v>
      </c>
      <c r="O27" t="s">
        <v>580</v>
      </c>
      <c r="P27">
        <v>1.2303496520499999E-4</v>
      </c>
      <c r="Q27" t="s">
        <v>251</v>
      </c>
      <c r="S27" t="s">
        <v>420</v>
      </c>
      <c r="T27" t="s">
        <v>580</v>
      </c>
      <c r="U27">
        <v>2.1426226598999999E-4</v>
      </c>
      <c r="V27" t="s">
        <v>251</v>
      </c>
      <c r="X27">
        <v>1.1415525114155251E-4</v>
      </c>
      <c r="Y27">
        <v>2.1546544680075254E-5</v>
      </c>
      <c r="Z27" t="s">
        <v>580</v>
      </c>
      <c r="AA27" t="s">
        <v>25</v>
      </c>
      <c r="AC27" t="s">
        <v>22</v>
      </c>
      <c r="AD27" t="s">
        <v>580</v>
      </c>
      <c r="AE27">
        <v>1.4937019875467839E-4</v>
      </c>
      <c r="AG27" t="s">
        <v>97</v>
      </c>
      <c r="AH27" t="s">
        <v>580</v>
      </c>
      <c r="AI27">
        <v>0</v>
      </c>
    </row>
    <row r="28" spans="3:35" x14ac:dyDescent="0.45">
      <c r="E28" t="s">
        <v>453</v>
      </c>
      <c r="G28" t="s">
        <v>155</v>
      </c>
      <c r="I28" t="s">
        <v>249</v>
      </c>
      <c r="J28" t="s">
        <v>581</v>
      </c>
      <c r="K28">
        <v>0</v>
      </c>
      <c r="L28" t="s">
        <v>251</v>
      </c>
      <c r="N28" t="s">
        <v>419</v>
      </c>
      <c r="O28" t="s">
        <v>581</v>
      </c>
      <c r="P28">
        <v>1.2041777052610001E-4</v>
      </c>
      <c r="Q28" t="s">
        <v>251</v>
      </c>
      <c r="S28" t="s">
        <v>420</v>
      </c>
      <c r="T28" t="s">
        <v>581</v>
      </c>
      <c r="U28">
        <v>2.1416571791119999E-4</v>
      </c>
      <c r="V28" t="s">
        <v>251</v>
      </c>
      <c r="X28">
        <v>1.1415525114155251E-4</v>
      </c>
      <c r="Y28">
        <v>1.4916838624667481E-5</v>
      </c>
      <c r="Z28" t="s">
        <v>581</v>
      </c>
      <c r="AA28" t="s">
        <v>25</v>
      </c>
      <c r="AC28" t="s">
        <v>22</v>
      </c>
      <c r="AD28" t="s">
        <v>581</v>
      </c>
      <c r="AE28">
        <v>1.4865201195554394E-4</v>
      </c>
      <c r="AG28" t="s">
        <v>97</v>
      </c>
      <c r="AH28" t="s">
        <v>581</v>
      </c>
      <c r="AI28">
        <v>0</v>
      </c>
    </row>
    <row r="29" spans="3:35" x14ac:dyDescent="0.45">
      <c r="E29" t="s">
        <v>454</v>
      </c>
      <c r="G29" t="s">
        <v>155</v>
      </c>
      <c r="I29" t="s">
        <v>249</v>
      </c>
      <c r="J29" t="s">
        <v>582</v>
      </c>
      <c r="K29">
        <v>0</v>
      </c>
      <c r="L29" t="s">
        <v>251</v>
      </c>
      <c r="N29" t="s">
        <v>419</v>
      </c>
      <c r="O29" t="s">
        <v>582</v>
      </c>
      <c r="P29">
        <v>1.190616971075E-4</v>
      </c>
      <c r="Q29" t="s">
        <v>251</v>
      </c>
      <c r="S29" t="s">
        <v>420</v>
      </c>
      <c r="T29" t="s">
        <v>582</v>
      </c>
      <c r="U29">
        <v>2.1529328802749999E-4</v>
      </c>
      <c r="V29" t="s">
        <v>251</v>
      </c>
      <c r="X29">
        <v>1.1415525114155251E-4</v>
      </c>
      <c r="Y29">
        <v>1.6574265138519424E-5</v>
      </c>
      <c r="Z29" t="s">
        <v>582</v>
      </c>
      <c r="AA29" t="s">
        <v>25</v>
      </c>
      <c r="AC29" t="s">
        <v>22</v>
      </c>
      <c r="AD29" t="s">
        <v>582</v>
      </c>
      <c r="AE29">
        <v>1.4489993946556362E-4</v>
      </c>
      <c r="AG29" t="s">
        <v>97</v>
      </c>
      <c r="AH29" t="s">
        <v>582</v>
      </c>
      <c r="AI29">
        <v>0</v>
      </c>
    </row>
    <row r="30" spans="3:35" x14ac:dyDescent="0.45">
      <c r="E30" t="s">
        <v>455</v>
      </c>
      <c r="G30" t="s">
        <v>155</v>
      </c>
      <c r="I30" t="s">
        <v>249</v>
      </c>
      <c r="J30" t="s">
        <v>583</v>
      </c>
      <c r="K30">
        <v>0</v>
      </c>
      <c r="L30" t="s">
        <v>251</v>
      </c>
      <c r="N30" t="s">
        <v>419</v>
      </c>
      <c r="O30" t="s">
        <v>583</v>
      </c>
      <c r="P30">
        <v>1.0963123429499999E-4</v>
      </c>
      <c r="Q30" t="s">
        <v>251</v>
      </c>
      <c r="S30" t="s">
        <v>420</v>
      </c>
      <c r="T30" t="s">
        <v>583</v>
      </c>
      <c r="U30">
        <v>2.1511487130480001E-4</v>
      </c>
      <c r="V30" t="s">
        <v>251</v>
      </c>
      <c r="X30">
        <v>1.1415525114155251E-4</v>
      </c>
      <c r="Y30">
        <v>1.4585353321897093E-5</v>
      </c>
      <c r="Z30" t="s">
        <v>583</v>
      </c>
      <c r="AA30" t="s">
        <v>25</v>
      </c>
      <c r="AC30" t="s">
        <v>22</v>
      </c>
      <c r="AD30" t="s">
        <v>583</v>
      </c>
      <c r="AE30">
        <v>1.3602851835426419E-4</v>
      </c>
      <c r="AG30" t="s">
        <v>97</v>
      </c>
      <c r="AH30" t="s">
        <v>583</v>
      </c>
      <c r="AI30">
        <v>0</v>
      </c>
    </row>
    <row r="31" spans="3:35" x14ac:dyDescent="0.45">
      <c r="E31" t="s">
        <v>456</v>
      </c>
      <c r="G31" t="s">
        <v>155</v>
      </c>
      <c r="I31" t="s">
        <v>249</v>
      </c>
      <c r="J31" t="s">
        <v>584</v>
      </c>
      <c r="K31">
        <v>0</v>
      </c>
      <c r="L31" t="s">
        <v>251</v>
      </c>
      <c r="N31" t="s">
        <v>419</v>
      </c>
      <c r="O31" t="s">
        <v>584</v>
      </c>
      <c r="P31">
        <v>1.0630664072779999E-4</v>
      </c>
      <c r="Q31" t="s">
        <v>251</v>
      </c>
      <c r="S31" t="s">
        <v>420</v>
      </c>
      <c r="T31" t="s">
        <v>584</v>
      </c>
      <c r="U31">
        <v>2.1294312292919999E-4</v>
      </c>
      <c r="V31" t="s">
        <v>251</v>
      </c>
      <c r="X31">
        <v>1.1415525114155251E-4</v>
      </c>
      <c r="Y31">
        <v>2.1215059377304864E-5</v>
      </c>
      <c r="Z31" t="s">
        <v>584</v>
      </c>
      <c r="AA31" t="s">
        <v>25</v>
      </c>
      <c r="AC31" t="s">
        <v>22</v>
      </c>
      <c r="AD31" t="s">
        <v>584</v>
      </c>
      <c r="AE31">
        <v>1.2341569617644856E-4</v>
      </c>
      <c r="AG31" t="s">
        <v>97</v>
      </c>
      <c r="AH31" t="s">
        <v>584</v>
      </c>
      <c r="AI31">
        <v>0</v>
      </c>
    </row>
    <row r="32" spans="3:35" x14ac:dyDescent="0.45">
      <c r="E32" t="s">
        <v>457</v>
      </c>
      <c r="G32" t="s">
        <v>155</v>
      </c>
      <c r="I32" t="s">
        <v>249</v>
      </c>
      <c r="J32" t="s">
        <v>585</v>
      </c>
      <c r="K32">
        <v>0</v>
      </c>
      <c r="L32" t="s">
        <v>251</v>
      </c>
      <c r="N32" t="s">
        <v>419</v>
      </c>
      <c r="O32" t="s">
        <v>585</v>
      </c>
      <c r="P32">
        <v>1.030406923936E-4</v>
      </c>
      <c r="Q32" t="s">
        <v>251</v>
      </c>
      <c r="S32" t="s">
        <v>420</v>
      </c>
      <c r="T32" t="s">
        <v>585</v>
      </c>
      <c r="U32">
        <v>2.08173057448E-4</v>
      </c>
      <c r="V32" t="s">
        <v>251</v>
      </c>
      <c r="X32">
        <v>1.1415525114155251E-4</v>
      </c>
      <c r="Y32">
        <v>5.7678442682047593E-5</v>
      </c>
      <c r="Z32" t="s">
        <v>585</v>
      </c>
      <c r="AA32" t="s">
        <v>25</v>
      </c>
      <c r="AC32" t="s">
        <v>22</v>
      </c>
      <c r="AD32" t="s">
        <v>585</v>
      </c>
      <c r="AE32">
        <v>1.1420038844401827E-4</v>
      </c>
      <c r="AG32" t="s">
        <v>97</v>
      </c>
      <c r="AH32" t="s">
        <v>585</v>
      </c>
      <c r="AI32">
        <v>0</v>
      </c>
    </row>
    <row r="33" spans="5:35" x14ac:dyDescent="0.45">
      <c r="E33" t="s">
        <v>458</v>
      </c>
      <c r="G33" t="s">
        <v>155</v>
      </c>
      <c r="I33" t="s">
        <v>249</v>
      </c>
      <c r="J33" t="s">
        <v>586</v>
      </c>
      <c r="K33">
        <v>0</v>
      </c>
      <c r="L33" t="s">
        <v>251</v>
      </c>
      <c r="N33" t="s">
        <v>419</v>
      </c>
      <c r="O33" t="s">
        <v>586</v>
      </c>
      <c r="P33">
        <v>1.0033120511310001E-4</v>
      </c>
      <c r="Q33" t="s">
        <v>251</v>
      </c>
      <c r="S33" t="s">
        <v>420</v>
      </c>
      <c r="T33" t="s">
        <v>586</v>
      </c>
      <c r="U33">
        <v>2.037960929512E-4</v>
      </c>
      <c r="V33" t="s">
        <v>251</v>
      </c>
      <c r="X33">
        <v>1.1415525114155251E-4</v>
      </c>
      <c r="Y33">
        <v>1.6905750441289813E-4</v>
      </c>
      <c r="Z33" t="s">
        <v>586</v>
      </c>
      <c r="AA33" t="s">
        <v>25</v>
      </c>
      <c r="AC33" t="s">
        <v>22</v>
      </c>
      <c r="AD33" t="s">
        <v>586</v>
      </c>
      <c r="AE33">
        <v>1.024650240605389E-4</v>
      </c>
      <c r="AG33" t="s">
        <v>97</v>
      </c>
      <c r="AH33" t="s">
        <v>586</v>
      </c>
      <c r="AI33">
        <v>0</v>
      </c>
    </row>
    <row r="34" spans="5:35" x14ac:dyDescent="0.45">
      <c r="E34" t="s">
        <v>459</v>
      </c>
      <c r="G34" t="s">
        <v>155</v>
      </c>
      <c r="I34" t="s">
        <v>249</v>
      </c>
      <c r="J34" t="s">
        <v>587</v>
      </c>
      <c r="K34">
        <v>1.15317092793E-4</v>
      </c>
      <c r="L34" t="s">
        <v>251</v>
      </c>
      <c r="N34" t="s">
        <v>419</v>
      </c>
      <c r="O34" t="s">
        <v>587</v>
      </c>
      <c r="P34">
        <v>9.6199772690958423E-5</v>
      </c>
      <c r="Q34" t="s">
        <v>251</v>
      </c>
      <c r="S34" t="s">
        <v>420</v>
      </c>
      <c r="T34" t="s">
        <v>587</v>
      </c>
      <c r="U34">
        <v>1.9962333698999999E-4</v>
      </c>
      <c r="V34" t="s">
        <v>251</v>
      </c>
      <c r="X34">
        <v>1.1415525114155251E-4</v>
      </c>
      <c r="Y34">
        <v>1.9060404909297337E-4</v>
      </c>
      <c r="Z34" t="s">
        <v>587</v>
      </c>
      <c r="AA34" t="s">
        <v>25</v>
      </c>
      <c r="AC34" t="s">
        <v>22</v>
      </c>
      <c r="AD34" t="s">
        <v>587</v>
      </c>
      <c r="AE34">
        <v>9.8229802873221124E-5</v>
      </c>
      <c r="AG34" t="s">
        <v>97</v>
      </c>
      <c r="AH34" t="s">
        <v>587</v>
      </c>
      <c r="AI34">
        <v>0</v>
      </c>
    </row>
    <row r="35" spans="5:35" x14ac:dyDescent="0.45">
      <c r="E35" t="s">
        <v>153</v>
      </c>
      <c r="G35" t="s">
        <v>159</v>
      </c>
      <c r="I35" t="s">
        <v>249</v>
      </c>
      <c r="J35" t="s">
        <v>588</v>
      </c>
      <c r="K35">
        <v>2.6308270060829999E-4</v>
      </c>
      <c r="L35" t="s">
        <v>251</v>
      </c>
      <c r="N35" t="s">
        <v>419</v>
      </c>
      <c r="O35" t="s">
        <v>588</v>
      </c>
      <c r="P35">
        <v>8.6570255867583542E-5</v>
      </c>
      <c r="Q35" t="s">
        <v>251</v>
      </c>
      <c r="S35" t="s">
        <v>420</v>
      </c>
      <c r="T35" t="s">
        <v>588</v>
      </c>
      <c r="U35">
        <v>1.9732499710540001E-4</v>
      </c>
      <c r="V35" t="s">
        <v>251</v>
      </c>
      <c r="X35">
        <v>1.1415525114155251E-4</v>
      </c>
      <c r="Y35">
        <v>1.4585353321897094E-4</v>
      </c>
      <c r="Z35" t="s">
        <v>588</v>
      </c>
      <c r="AA35" t="s">
        <v>25</v>
      </c>
      <c r="AC35" t="s">
        <v>22</v>
      </c>
      <c r="AD35" t="s">
        <v>588</v>
      </c>
      <c r="AE35">
        <v>9.3796359995057521E-5</v>
      </c>
      <c r="AG35" t="s">
        <v>97</v>
      </c>
      <c r="AH35" t="s">
        <v>588</v>
      </c>
      <c r="AI35">
        <v>0</v>
      </c>
    </row>
    <row r="36" spans="5:35" x14ac:dyDescent="0.45">
      <c r="E36" t="s">
        <v>157</v>
      </c>
      <c r="G36" t="s">
        <v>159</v>
      </c>
      <c r="I36" t="s">
        <v>249</v>
      </c>
      <c r="J36" t="s">
        <v>589</v>
      </c>
      <c r="K36">
        <v>3.1546376353810003E-4</v>
      </c>
      <c r="L36" t="s">
        <v>251</v>
      </c>
      <c r="N36" t="s">
        <v>419</v>
      </c>
      <c r="O36" t="s">
        <v>589</v>
      </c>
      <c r="P36">
        <v>7.7547721554165018E-5</v>
      </c>
      <c r="Q36" t="s">
        <v>251</v>
      </c>
      <c r="S36" t="s">
        <v>420</v>
      </c>
      <c r="T36" t="s">
        <v>589</v>
      </c>
      <c r="U36">
        <v>1.9601137775260001E-4</v>
      </c>
      <c r="V36" t="s">
        <v>251</v>
      </c>
      <c r="X36">
        <v>1.1415525114155251E-4</v>
      </c>
      <c r="Y36">
        <v>1.4452759200788939E-4</v>
      </c>
      <c r="Z36" t="s">
        <v>589</v>
      </c>
      <c r="AA36" t="s">
        <v>25</v>
      </c>
      <c r="AC36" t="s">
        <v>22</v>
      </c>
      <c r="AD36" t="s">
        <v>589</v>
      </c>
      <c r="AE36">
        <v>9.4087956641214265E-5</v>
      </c>
      <c r="AG36" t="s">
        <v>97</v>
      </c>
      <c r="AH36" t="s">
        <v>589</v>
      </c>
      <c r="AI36">
        <v>0</v>
      </c>
    </row>
    <row r="37" spans="5:35" x14ac:dyDescent="0.45">
      <c r="E37" t="s">
        <v>160</v>
      </c>
      <c r="G37" t="s">
        <v>159</v>
      </c>
      <c r="I37" t="s">
        <v>249</v>
      </c>
      <c r="J37" t="s">
        <v>590</v>
      </c>
      <c r="K37">
        <v>3.3242430208620002E-4</v>
      </c>
      <c r="L37" t="s">
        <v>251</v>
      </c>
      <c r="N37" t="s">
        <v>419</v>
      </c>
      <c r="O37" t="s">
        <v>590</v>
      </c>
      <c r="P37">
        <v>7.1907785253890857E-5</v>
      </c>
      <c r="Q37" t="s">
        <v>251</v>
      </c>
      <c r="S37" t="s">
        <v>420</v>
      </c>
      <c r="T37" t="s">
        <v>590</v>
      </c>
      <c r="U37">
        <v>1.9472215622439999E-4</v>
      </c>
      <c r="V37" t="s">
        <v>251</v>
      </c>
      <c r="X37">
        <v>1.1415525114155251E-4</v>
      </c>
      <c r="Y37">
        <v>1.408812536774151E-4</v>
      </c>
      <c r="Z37" t="s">
        <v>590</v>
      </c>
      <c r="AA37" t="s">
        <v>25</v>
      </c>
      <c r="AC37" t="s">
        <v>22</v>
      </c>
      <c r="AD37" t="s">
        <v>590</v>
      </c>
      <c r="AE37">
        <v>9.7252834055082036E-5</v>
      </c>
      <c r="AG37" t="s">
        <v>97</v>
      </c>
      <c r="AH37" t="s">
        <v>590</v>
      </c>
      <c r="AI37">
        <v>0</v>
      </c>
    </row>
    <row r="38" spans="5:35" x14ac:dyDescent="0.45">
      <c r="E38" t="s">
        <v>163</v>
      </c>
      <c r="G38" t="s">
        <v>159</v>
      </c>
      <c r="I38" t="s">
        <v>249</v>
      </c>
      <c r="J38" t="s">
        <v>591</v>
      </c>
      <c r="K38">
        <v>3.2632782722210002E-4</v>
      </c>
      <c r="L38" t="s">
        <v>251</v>
      </c>
      <c r="N38" t="s">
        <v>419</v>
      </c>
      <c r="O38" t="s">
        <v>591</v>
      </c>
      <c r="P38">
        <v>6.8349557933216953E-5</v>
      </c>
      <c r="Q38" t="s">
        <v>251</v>
      </c>
      <c r="S38" t="s">
        <v>420</v>
      </c>
      <c r="T38" t="s">
        <v>591</v>
      </c>
      <c r="U38">
        <v>1.9208169951959999E-4</v>
      </c>
      <c r="V38" t="s">
        <v>251</v>
      </c>
      <c r="X38">
        <v>1.1415525114155251E-4</v>
      </c>
      <c r="Y38">
        <v>1.4054976837464471E-4</v>
      </c>
      <c r="Z38" t="s">
        <v>591</v>
      </c>
      <c r="AA38" t="s">
        <v>25</v>
      </c>
      <c r="AC38" t="s">
        <v>22</v>
      </c>
      <c r="AD38" t="s">
        <v>591</v>
      </c>
      <c r="AE38">
        <v>1.092963357910875E-4</v>
      </c>
      <c r="AG38" t="s">
        <v>97</v>
      </c>
      <c r="AH38" t="s">
        <v>591</v>
      </c>
      <c r="AI38">
        <v>0</v>
      </c>
    </row>
    <row r="39" spans="5:35" x14ac:dyDescent="0.45">
      <c r="E39" t="s">
        <v>166</v>
      </c>
      <c r="G39" t="s">
        <v>159</v>
      </c>
      <c r="I39" t="s">
        <v>249</v>
      </c>
      <c r="J39" t="s">
        <v>592</v>
      </c>
      <c r="K39">
        <v>2.995904305821E-4</v>
      </c>
      <c r="L39" t="s">
        <v>251</v>
      </c>
      <c r="N39" t="s">
        <v>419</v>
      </c>
      <c r="O39" t="s">
        <v>592</v>
      </c>
      <c r="P39">
        <v>6.883663342058301E-5</v>
      </c>
      <c r="Q39" t="s">
        <v>251</v>
      </c>
      <c r="S39" t="s">
        <v>420</v>
      </c>
      <c r="T39" t="s">
        <v>592</v>
      </c>
      <c r="U39">
        <v>1.8999952036189999E-4</v>
      </c>
      <c r="V39" t="s">
        <v>251</v>
      </c>
      <c r="X39">
        <v>1.1415525114155251E-4</v>
      </c>
      <c r="Y39">
        <v>1.4253868019126702E-4</v>
      </c>
      <c r="Z39" t="s">
        <v>592</v>
      </c>
      <c r="AA39" t="s">
        <v>25</v>
      </c>
      <c r="AC39" t="s">
        <v>22</v>
      </c>
      <c r="AD39" t="s">
        <v>592</v>
      </c>
      <c r="AE39">
        <v>1.2824024672457171E-4</v>
      </c>
      <c r="AG39" t="s">
        <v>97</v>
      </c>
      <c r="AH39" t="s">
        <v>592</v>
      </c>
      <c r="AI39">
        <v>0</v>
      </c>
    </row>
    <row r="40" spans="5:35" x14ac:dyDescent="0.45">
      <c r="E40" t="s">
        <v>168</v>
      </c>
      <c r="G40" t="s">
        <v>159</v>
      </c>
      <c r="I40" t="s">
        <v>249</v>
      </c>
      <c r="J40" t="s">
        <v>593</v>
      </c>
      <c r="K40">
        <v>2.9944592458020002E-4</v>
      </c>
      <c r="L40" t="s">
        <v>251</v>
      </c>
      <c r="N40" t="s">
        <v>419</v>
      </c>
      <c r="O40" t="s">
        <v>593</v>
      </c>
      <c r="P40">
        <v>7.163442677540691E-5</v>
      </c>
      <c r="Q40" t="s">
        <v>251</v>
      </c>
      <c r="S40" t="s">
        <v>420</v>
      </c>
      <c r="T40" t="s">
        <v>593</v>
      </c>
      <c r="U40">
        <v>1.9007275515919999E-4</v>
      </c>
      <c r="V40" t="s">
        <v>251</v>
      </c>
      <c r="X40">
        <v>1.1415525114155251E-4</v>
      </c>
      <c r="Y40">
        <v>1.4883690094390442E-4</v>
      </c>
      <c r="Z40" t="s">
        <v>593</v>
      </c>
      <c r="AA40" t="s">
        <v>25</v>
      </c>
      <c r="AC40" t="s">
        <v>22</v>
      </c>
      <c r="AD40" t="s">
        <v>593</v>
      </c>
      <c r="AE40">
        <v>1.4206454225115016E-4</v>
      </c>
      <c r="AG40" t="s">
        <v>97</v>
      </c>
      <c r="AH40" t="s">
        <v>593</v>
      </c>
      <c r="AI40">
        <v>0</v>
      </c>
    </row>
    <row r="41" spans="5:35" x14ac:dyDescent="0.45">
      <c r="E41" t="s">
        <v>170</v>
      </c>
      <c r="G41" t="s">
        <v>159</v>
      </c>
      <c r="I41" t="s">
        <v>249</v>
      </c>
      <c r="J41" t="s">
        <v>594</v>
      </c>
      <c r="K41">
        <v>3.2039163942920002E-4</v>
      </c>
      <c r="L41" t="s">
        <v>251</v>
      </c>
      <c r="N41" t="s">
        <v>419</v>
      </c>
      <c r="O41" t="s">
        <v>594</v>
      </c>
      <c r="P41">
        <v>7.5880899146814294E-5</v>
      </c>
      <c r="Q41" t="s">
        <v>251</v>
      </c>
      <c r="S41" t="s">
        <v>420</v>
      </c>
      <c r="T41" t="s">
        <v>594</v>
      </c>
      <c r="U41">
        <v>1.900980347237E-4</v>
      </c>
      <c r="V41" t="s">
        <v>251</v>
      </c>
      <c r="X41">
        <v>1.1415525114155251E-4</v>
      </c>
      <c r="Y41">
        <v>1.5049432745775637E-4</v>
      </c>
      <c r="Z41" t="s">
        <v>594</v>
      </c>
      <c r="AA41" t="s">
        <v>25</v>
      </c>
      <c r="AC41" t="s">
        <v>22</v>
      </c>
      <c r="AD41" t="s">
        <v>594</v>
      </c>
      <c r="AE41">
        <v>1.4906206140215226E-4</v>
      </c>
      <c r="AG41" t="s">
        <v>97</v>
      </c>
      <c r="AH41" t="s">
        <v>594</v>
      </c>
      <c r="AI41">
        <v>0</v>
      </c>
    </row>
    <row r="42" spans="5:35" x14ac:dyDescent="0.45">
      <c r="E42" t="s">
        <v>172</v>
      </c>
      <c r="G42" t="s">
        <v>159</v>
      </c>
      <c r="I42" t="s">
        <v>249</v>
      </c>
      <c r="J42" t="s">
        <v>595</v>
      </c>
      <c r="K42">
        <v>3.2266236991800002E-4</v>
      </c>
      <c r="L42" t="s">
        <v>251</v>
      </c>
      <c r="N42" t="s">
        <v>419</v>
      </c>
      <c r="O42" t="s">
        <v>595</v>
      </c>
      <c r="P42">
        <v>6.7966139090836945E-5</v>
      </c>
      <c r="Q42" t="s">
        <v>251</v>
      </c>
      <c r="S42" t="s">
        <v>420</v>
      </c>
      <c r="T42" t="s">
        <v>595</v>
      </c>
      <c r="U42">
        <v>1.9047572836879999E-4</v>
      </c>
      <c r="V42" t="s">
        <v>251</v>
      </c>
      <c r="X42">
        <v>1.1415525114155251E-4</v>
      </c>
      <c r="Y42">
        <v>1.7237235744060203E-4</v>
      </c>
      <c r="Z42" t="s">
        <v>595</v>
      </c>
      <c r="AA42" t="s">
        <v>25</v>
      </c>
      <c r="AC42" t="s">
        <v>22</v>
      </c>
      <c r="AD42" t="s">
        <v>595</v>
      </c>
      <c r="AE42">
        <v>1.4105529237703218E-4</v>
      </c>
      <c r="AG42" t="s">
        <v>97</v>
      </c>
      <c r="AH42" t="s">
        <v>595</v>
      </c>
      <c r="AI42">
        <v>0</v>
      </c>
    </row>
    <row r="43" spans="5:35" x14ac:dyDescent="0.45">
      <c r="E43" t="s">
        <v>173</v>
      </c>
      <c r="G43" t="s">
        <v>159</v>
      </c>
      <c r="I43" t="s">
        <v>249</v>
      </c>
      <c r="J43" t="s">
        <v>596</v>
      </c>
      <c r="K43">
        <v>3.025057016722E-4</v>
      </c>
      <c r="L43" t="s">
        <v>251</v>
      </c>
      <c r="N43" t="s">
        <v>419</v>
      </c>
      <c r="O43" t="s">
        <v>596</v>
      </c>
      <c r="P43">
        <v>6.0041373331958497E-5</v>
      </c>
      <c r="Q43" t="s">
        <v>251</v>
      </c>
      <c r="S43" t="s">
        <v>420</v>
      </c>
      <c r="T43" t="s">
        <v>596</v>
      </c>
      <c r="U43">
        <v>1.8257011631059999E-4</v>
      </c>
      <c r="V43" t="s">
        <v>251</v>
      </c>
      <c r="X43">
        <v>1.1415525114155251E-4</v>
      </c>
      <c r="Y43">
        <v>2.2209515285616027E-4</v>
      </c>
      <c r="Z43" t="s">
        <v>596</v>
      </c>
      <c r="AA43" t="s">
        <v>25</v>
      </c>
      <c r="AC43" t="s">
        <v>22</v>
      </c>
      <c r="AD43" t="s">
        <v>596</v>
      </c>
      <c r="AE43">
        <v>1.4033710557789772E-4</v>
      </c>
      <c r="AG43" t="s">
        <v>97</v>
      </c>
      <c r="AH43" t="s">
        <v>596</v>
      </c>
      <c r="AI43">
        <v>0</v>
      </c>
    </row>
    <row r="44" spans="5:35" x14ac:dyDescent="0.45">
      <c r="E44" t="s">
        <v>175</v>
      </c>
      <c r="G44" t="s">
        <v>159</v>
      </c>
      <c r="I44" t="s">
        <v>249</v>
      </c>
      <c r="J44" t="s">
        <v>597</v>
      </c>
      <c r="K44">
        <v>2.467687934208E-4</v>
      </c>
      <c r="L44" t="s">
        <v>251</v>
      </c>
      <c r="N44" t="s">
        <v>419</v>
      </c>
      <c r="O44" t="s">
        <v>597</v>
      </c>
      <c r="P44">
        <v>5.1211040024398931E-5</v>
      </c>
      <c r="Q44" t="s">
        <v>251</v>
      </c>
      <c r="S44" t="s">
        <v>420</v>
      </c>
      <c r="T44" t="s">
        <v>597</v>
      </c>
      <c r="U44">
        <v>1.8097241467839999E-4</v>
      </c>
      <c r="V44" t="s">
        <v>251</v>
      </c>
      <c r="X44">
        <v>1.1415525114155251E-4</v>
      </c>
      <c r="Y44">
        <v>2.2209515285616027E-4</v>
      </c>
      <c r="Z44" t="s">
        <v>597</v>
      </c>
      <c r="AA44" t="s">
        <v>25</v>
      </c>
      <c r="AC44" t="s">
        <v>22</v>
      </c>
      <c r="AD44" t="s">
        <v>597</v>
      </c>
      <c r="AE44">
        <v>1.4146934360743956E-4</v>
      </c>
      <c r="AG44" t="s">
        <v>97</v>
      </c>
      <c r="AH44" t="s">
        <v>597</v>
      </c>
      <c r="AI44">
        <v>0</v>
      </c>
    </row>
    <row r="45" spans="5:35" x14ac:dyDescent="0.45">
      <c r="E45" t="s">
        <v>177</v>
      </c>
      <c r="G45" t="s">
        <v>159</v>
      </c>
      <c r="I45" t="s">
        <v>249</v>
      </c>
      <c r="J45" t="s">
        <v>598</v>
      </c>
      <c r="K45">
        <v>1.018421857154E-4</v>
      </c>
      <c r="L45" t="s">
        <v>251</v>
      </c>
      <c r="N45" t="s">
        <v>419</v>
      </c>
      <c r="O45" t="s">
        <v>598</v>
      </c>
      <c r="P45">
        <v>5.0985314108960522E-5</v>
      </c>
      <c r="Q45" t="s">
        <v>251</v>
      </c>
      <c r="S45" t="s">
        <v>420</v>
      </c>
      <c r="T45" t="s">
        <v>598</v>
      </c>
      <c r="U45">
        <v>1.8773932379180001E-4</v>
      </c>
      <c r="V45" t="s">
        <v>251</v>
      </c>
      <c r="X45">
        <v>1.1415525114155251E-4</v>
      </c>
      <c r="Y45">
        <v>1.7237235744060203E-4</v>
      </c>
      <c r="Z45" t="s">
        <v>598</v>
      </c>
      <c r="AA45" t="s">
        <v>25</v>
      </c>
      <c r="AC45" t="s">
        <v>22</v>
      </c>
      <c r="AD45" t="s">
        <v>598</v>
      </c>
      <c r="AE45">
        <v>1.40522254775E-4</v>
      </c>
      <c r="AG45" t="s">
        <v>97</v>
      </c>
      <c r="AH45" t="s">
        <v>598</v>
      </c>
      <c r="AI45">
        <v>0</v>
      </c>
    </row>
    <row r="46" spans="5:35" x14ac:dyDescent="0.45">
      <c r="E46" t="s">
        <v>179</v>
      </c>
      <c r="G46" t="s">
        <v>159</v>
      </c>
      <c r="I46" t="s">
        <v>249</v>
      </c>
      <c r="J46" t="s">
        <v>599</v>
      </c>
      <c r="K46">
        <v>0</v>
      </c>
      <c r="L46" t="s">
        <v>251</v>
      </c>
      <c r="N46" t="s">
        <v>419</v>
      </c>
      <c r="O46" t="s">
        <v>599</v>
      </c>
      <c r="P46">
        <v>5.2294142915665621E-5</v>
      </c>
      <c r="Q46" t="s">
        <v>251</v>
      </c>
      <c r="S46" t="s">
        <v>420</v>
      </c>
      <c r="T46" t="s">
        <v>599</v>
      </c>
      <c r="U46">
        <v>1.9435846386089999E-4</v>
      </c>
      <c r="V46" t="s">
        <v>251</v>
      </c>
      <c r="X46">
        <v>1.1415525114155251E-4</v>
      </c>
      <c r="Y46">
        <v>1.5579809230208258E-4</v>
      </c>
      <c r="Z46" t="s">
        <v>599</v>
      </c>
      <c r="AA46" t="s">
        <v>25</v>
      </c>
      <c r="AC46" t="s">
        <v>22</v>
      </c>
      <c r="AD46" t="s">
        <v>599</v>
      </c>
      <c r="AE46">
        <v>1.4067058756115109E-4</v>
      </c>
      <c r="AG46" t="s">
        <v>97</v>
      </c>
      <c r="AH46" t="s">
        <v>599</v>
      </c>
      <c r="AI46">
        <v>0</v>
      </c>
    </row>
    <row r="47" spans="5:35" x14ac:dyDescent="0.45">
      <c r="E47" t="s">
        <v>180</v>
      </c>
      <c r="G47" t="s">
        <v>159</v>
      </c>
      <c r="I47" t="s">
        <v>249</v>
      </c>
      <c r="J47" t="s">
        <v>600</v>
      </c>
      <c r="K47">
        <v>0</v>
      </c>
      <c r="L47" t="s">
        <v>251</v>
      </c>
      <c r="N47" t="s">
        <v>419</v>
      </c>
      <c r="O47" t="s">
        <v>600</v>
      </c>
      <c r="P47">
        <v>5.3302920288193069E-5</v>
      </c>
      <c r="Q47" t="s">
        <v>251</v>
      </c>
      <c r="S47" t="s">
        <v>420</v>
      </c>
      <c r="T47" t="s">
        <v>600</v>
      </c>
      <c r="U47">
        <v>1.987180698499E-4</v>
      </c>
      <c r="V47" t="s">
        <v>251</v>
      </c>
      <c r="X47">
        <v>1.1415525114155251E-4</v>
      </c>
      <c r="Y47">
        <v>1.093901499142282E-4</v>
      </c>
      <c r="Z47" t="s">
        <v>600</v>
      </c>
      <c r="AA47" t="s">
        <v>25</v>
      </c>
      <c r="AC47" t="s">
        <v>22</v>
      </c>
      <c r="AD47" t="s">
        <v>600</v>
      </c>
      <c r="AE47">
        <v>1.409192317278648E-4</v>
      </c>
      <c r="AG47" t="s">
        <v>97</v>
      </c>
      <c r="AH47" t="s">
        <v>600</v>
      </c>
      <c r="AI47">
        <v>0</v>
      </c>
    </row>
    <row r="48" spans="5:35" x14ac:dyDescent="0.45">
      <c r="E48" t="s">
        <v>181</v>
      </c>
      <c r="G48" t="s">
        <v>159</v>
      </c>
      <c r="I48" t="s">
        <v>249</v>
      </c>
      <c r="J48" t="s">
        <v>601</v>
      </c>
      <c r="K48">
        <v>0</v>
      </c>
      <c r="L48" t="s">
        <v>251</v>
      </c>
      <c r="N48" t="s">
        <v>419</v>
      </c>
      <c r="O48" t="s">
        <v>601</v>
      </c>
      <c r="P48">
        <v>5.2534304868499202E-5</v>
      </c>
      <c r="Q48" t="s">
        <v>251</v>
      </c>
      <c r="S48" t="s">
        <v>420</v>
      </c>
      <c r="T48" t="s">
        <v>601</v>
      </c>
      <c r="U48">
        <v>2.0049373590409999E-4</v>
      </c>
      <c r="V48" t="s">
        <v>251</v>
      </c>
      <c r="X48">
        <v>1.1415525114155251E-4</v>
      </c>
      <c r="Y48">
        <v>7.9556472664893237E-5</v>
      </c>
      <c r="Z48" t="s">
        <v>601</v>
      </c>
      <c r="AA48" t="s">
        <v>25</v>
      </c>
      <c r="AC48" t="s">
        <v>22</v>
      </c>
      <c r="AD48" t="s">
        <v>601</v>
      </c>
      <c r="AE48">
        <v>1.4217499148400369E-4</v>
      </c>
      <c r="AG48" t="s">
        <v>97</v>
      </c>
      <c r="AH48" t="s">
        <v>601</v>
      </c>
      <c r="AI48">
        <v>0</v>
      </c>
    </row>
    <row r="49" spans="5:35" x14ac:dyDescent="0.45">
      <c r="E49" t="s">
        <v>182</v>
      </c>
      <c r="G49" t="s">
        <v>159</v>
      </c>
      <c r="I49" t="s">
        <v>249</v>
      </c>
      <c r="J49" t="s">
        <v>602</v>
      </c>
      <c r="K49">
        <v>0</v>
      </c>
      <c r="L49" t="s">
        <v>251</v>
      </c>
      <c r="N49" t="s">
        <v>419</v>
      </c>
      <c r="O49" t="s">
        <v>602</v>
      </c>
      <c r="P49">
        <v>5.0096841810427148E-5</v>
      </c>
      <c r="Q49" t="s">
        <v>251</v>
      </c>
      <c r="S49" t="s">
        <v>420</v>
      </c>
      <c r="T49" t="s">
        <v>602</v>
      </c>
      <c r="U49">
        <v>1.9947612003629999E-4</v>
      </c>
      <c r="V49" t="s">
        <v>251</v>
      </c>
      <c r="X49">
        <v>1.1415525114155251E-4</v>
      </c>
      <c r="Y49">
        <v>5.6352501470966035E-5</v>
      </c>
      <c r="Z49" t="s">
        <v>602</v>
      </c>
      <c r="AA49" t="s">
        <v>25</v>
      </c>
      <c r="AC49" t="s">
        <v>22</v>
      </c>
      <c r="AD49" t="s">
        <v>602</v>
      </c>
      <c r="AE49">
        <v>1.4572564085609896E-4</v>
      </c>
      <c r="AG49" t="s">
        <v>97</v>
      </c>
      <c r="AH49" t="s">
        <v>602</v>
      </c>
      <c r="AI49">
        <v>0</v>
      </c>
    </row>
    <row r="50" spans="5:35" x14ac:dyDescent="0.45">
      <c r="E50" t="s">
        <v>183</v>
      </c>
      <c r="G50" t="s">
        <v>159</v>
      </c>
      <c r="I50" t="s">
        <v>249</v>
      </c>
      <c r="J50" t="s">
        <v>603</v>
      </c>
      <c r="K50">
        <v>0</v>
      </c>
      <c r="L50" t="s">
        <v>251</v>
      </c>
      <c r="N50" t="s">
        <v>419</v>
      </c>
      <c r="O50" t="s">
        <v>603</v>
      </c>
      <c r="P50">
        <v>4.6728852056332998E-5</v>
      </c>
      <c r="Q50" t="s">
        <v>251</v>
      </c>
      <c r="S50" t="s">
        <v>420</v>
      </c>
      <c r="T50" t="s">
        <v>603</v>
      </c>
      <c r="U50">
        <v>1.9482848480310001E-4</v>
      </c>
      <c r="V50" t="s">
        <v>251</v>
      </c>
      <c r="X50">
        <v>1.1415525114155251E-4</v>
      </c>
      <c r="Y50">
        <v>2.9833677249334962E-5</v>
      </c>
      <c r="Z50" t="s">
        <v>603</v>
      </c>
      <c r="AA50" t="s">
        <v>25</v>
      </c>
      <c r="AC50" t="s">
        <v>22</v>
      </c>
      <c r="AD50" t="s">
        <v>603</v>
      </c>
      <c r="AE50">
        <v>1.4865467981140995E-4</v>
      </c>
      <c r="AG50" t="s">
        <v>97</v>
      </c>
      <c r="AH50" t="s">
        <v>603</v>
      </c>
      <c r="AI50">
        <v>0</v>
      </c>
    </row>
    <row r="51" spans="5:35" x14ac:dyDescent="0.45">
      <c r="E51" t="s">
        <v>184</v>
      </c>
      <c r="G51" t="s">
        <v>159</v>
      </c>
      <c r="I51" t="s">
        <v>249</v>
      </c>
      <c r="J51" t="s">
        <v>267</v>
      </c>
      <c r="K51">
        <v>0</v>
      </c>
      <c r="L51" t="s">
        <v>251</v>
      </c>
      <c r="N51" t="s">
        <v>419</v>
      </c>
      <c r="O51" t="s">
        <v>267</v>
      </c>
      <c r="P51">
        <v>2.3373736692577831E-2</v>
      </c>
      <c r="Q51" t="s">
        <v>251</v>
      </c>
      <c r="S51" t="s">
        <v>420</v>
      </c>
      <c r="T51" t="s">
        <v>267</v>
      </c>
      <c r="U51">
        <v>2.1393844026432282E-2</v>
      </c>
      <c r="V51" t="s">
        <v>251</v>
      </c>
      <c r="X51">
        <v>2.0547945205479451E-2</v>
      </c>
      <c r="Y51">
        <v>4.3954951147353507E-3</v>
      </c>
      <c r="Z51" t="s">
        <v>267</v>
      </c>
      <c r="AA51" t="s">
        <v>25</v>
      </c>
      <c r="AC51" t="s">
        <v>22</v>
      </c>
      <c r="AD51" t="s">
        <v>267</v>
      </c>
      <c r="AE51">
        <v>2.1768015100710601E-2</v>
      </c>
      <c r="AG51" t="s">
        <v>97</v>
      </c>
      <c r="AH51" t="s">
        <v>267</v>
      </c>
      <c r="AI51">
        <v>0.16707021196597416</v>
      </c>
    </row>
    <row r="52" spans="5:35" x14ac:dyDescent="0.45">
      <c r="E52" t="s">
        <v>185</v>
      </c>
      <c r="G52" t="s">
        <v>159</v>
      </c>
      <c r="I52" t="s">
        <v>249</v>
      </c>
      <c r="J52" t="s">
        <v>268</v>
      </c>
      <c r="K52">
        <v>3.098396949005206E-4</v>
      </c>
      <c r="L52" t="s">
        <v>251</v>
      </c>
      <c r="N52" t="s">
        <v>419</v>
      </c>
      <c r="O52" t="s">
        <v>268</v>
      </c>
      <c r="P52">
        <v>3.811049373547295E-3</v>
      </c>
      <c r="Q52" t="s">
        <v>251</v>
      </c>
      <c r="S52" t="s">
        <v>420</v>
      </c>
      <c r="T52" t="s">
        <v>268</v>
      </c>
      <c r="U52">
        <v>3.394730970557668E-3</v>
      </c>
      <c r="V52" t="s">
        <v>251</v>
      </c>
      <c r="X52">
        <v>3.4246575342465752E-3</v>
      </c>
      <c r="Y52">
        <v>5.0717251323869452E-3</v>
      </c>
      <c r="Z52" t="s">
        <v>268</v>
      </c>
      <c r="AA52" t="s">
        <v>25</v>
      </c>
      <c r="AC52" t="s">
        <v>22</v>
      </c>
      <c r="AD52" t="s">
        <v>268</v>
      </c>
      <c r="AE52">
        <v>2.7925241014647357E-3</v>
      </c>
      <c r="AG52" t="s">
        <v>97</v>
      </c>
      <c r="AH52" t="s">
        <v>268</v>
      </c>
      <c r="AI52">
        <v>5.8975040490549802E-2</v>
      </c>
    </row>
    <row r="53" spans="5:35" x14ac:dyDescent="0.45">
      <c r="E53" t="s">
        <v>186</v>
      </c>
      <c r="G53" t="s">
        <v>159</v>
      </c>
      <c r="I53" t="s">
        <v>249</v>
      </c>
      <c r="J53" t="s">
        <v>269</v>
      </c>
      <c r="K53">
        <v>4.5752443232588607E-3</v>
      </c>
      <c r="L53" t="s">
        <v>251</v>
      </c>
      <c r="N53" t="s">
        <v>419</v>
      </c>
      <c r="O53" t="s">
        <v>269</v>
      </c>
      <c r="P53">
        <v>3.6146849589760526E-3</v>
      </c>
      <c r="Q53" t="s">
        <v>251</v>
      </c>
      <c r="S53" t="s">
        <v>420</v>
      </c>
      <c r="T53" t="s">
        <v>269</v>
      </c>
      <c r="U53">
        <v>3.4256861623300195E-3</v>
      </c>
      <c r="V53" t="s">
        <v>251</v>
      </c>
      <c r="X53">
        <v>3.4246575342465752E-3</v>
      </c>
      <c r="Y53">
        <v>5.7181214727892006E-3</v>
      </c>
      <c r="Z53" t="s">
        <v>269</v>
      </c>
      <c r="AA53" t="s">
        <v>25</v>
      </c>
      <c r="AC53" t="s">
        <v>22</v>
      </c>
      <c r="AD53" t="s">
        <v>269</v>
      </c>
      <c r="AE53">
        <v>2.7198639798111453E-3</v>
      </c>
      <c r="AG53" t="s">
        <v>97</v>
      </c>
      <c r="AH53" t="s">
        <v>269</v>
      </c>
      <c r="AI53">
        <v>4.6613973066471193E-2</v>
      </c>
    </row>
    <row r="54" spans="5:35" x14ac:dyDescent="0.45">
      <c r="E54" t="s">
        <v>187</v>
      </c>
      <c r="G54" t="s">
        <v>159</v>
      </c>
      <c r="I54" t="s">
        <v>249</v>
      </c>
      <c r="J54" t="s">
        <v>270</v>
      </c>
      <c r="K54">
        <v>5.8586635677510102E-2</v>
      </c>
      <c r="L54" t="s">
        <v>251</v>
      </c>
      <c r="N54" t="s">
        <v>419</v>
      </c>
      <c r="O54" t="s">
        <v>270</v>
      </c>
      <c r="P54">
        <v>2.2602250473590404E-2</v>
      </c>
      <c r="Q54" t="s">
        <v>251</v>
      </c>
      <c r="S54" t="s">
        <v>420</v>
      </c>
      <c r="T54" t="s">
        <v>270</v>
      </c>
      <c r="U54">
        <v>2.2463616871217645E-2</v>
      </c>
      <c r="V54" t="s">
        <v>251</v>
      </c>
      <c r="X54">
        <v>2.3972602739726026E-2</v>
      </c>
      <c r="Y54">
        <v>3.0410461676155433E-2</v>
      </c>
      <c r="Z54" t="s">
        <v>270</v>
      </c>
      <c r="AA54" t="s">
        <v>25</v>
      </c>
      <c r="AC54" t="s">
        <v>22</v>
      </c>
      <c r="AD54" t="s">
        <v>270</v>
      </c>
      <c r="AE54">
        <v>2.3037893281267607E-2</v>
      </c>
      <c r="AG54" t="s">
        <v>97</v>
      </c>
      <c r="AH54" t="s">
        <v>270</v>
      </c>
      <c r="AI54">
        <v>0.25225846547596253</v>
      </c>
    </row>
    <row r="55" spans="5:35" x14ac:dyDescent="0.45">
      <c r="E55" t="s">
        <v>188</v>
      </c>
      <c r="G55" t="s">
        <v>159</v>
      </c>
      <c r="I55" t="s">
        <v>249</v>
      </c>
      <c r="J55" t="s">
        <v>271</v>
      </c>
      <c r="K55">
        <v>8.2621907739625997E-3</v>
      </c>
      <c r="L55" t="s">
        <v>251</v>
      </c>
      <c r="N55" t="s">
        <v>419</v>
      </c>
      <c r="O55" t="s">
        <v>271</v>
      </c>
      <c r="P55">
        <v>3.3222085928234671E-3</v>
      </c>
      <c r="Q55" t="s">
        <v>251</v>
      </c>
      <c r="S55" t="s">
        <v>420</v>
      </c>
      <c r="T55" t="s">
        <v>271</v>
      </c>
      <c r="U55">
        <v>3.4226505957336401E-3</v>
      </c>
      <c r="V55" t="s">
        <v>251</v>
      </c>
      <c r="X55">
        <v>3.4246575342465752E-3</v>
      </c>
      <c r="Y55">
        <v>5.1711707232180593E-3</v>
      </c>
      <c r="Z55" t="s">
        <v>271</v>
      </c>
      <c r="AA55" t="s">
        <v>25</v>
      </c>
      <c r="AC55" t="s">
        <v>22</v>
      </c>
      <c r="AD55" t="s">
        <v>271</v>
      </c>
      <c r="AE55">
        <v>3.7286112298839822E-3</v>
      </c>
      <c r="AG55" t="s">
        <v>97</v>
      </c>
      <c r="AH55" t="s">
        <v>271</v>
      </c>
      <c r="AI55">
        <v>7.5498395525352313E-2</v>
      </c>
    </row>
    <row r="56" spans="5:35" x14ac:dyDescent="0.45">
      <c r="E56" t="s">
        <v>189</v>
      </c>
      <c r="G56" t="s">
        <v>159</v>
      </c>
      <c r="I56" t="s">
        <v>249</v>
      </c>
      <c r="J56" t="s">
        <v>272</v>
      </c>
      <c r="K56">
        <v>7.4346059738689997E-3</v>
      </c>
      <c r="L56" t="s">
        <v>251</v>
      </c>
      <c r="N56" t="s">
        <v>419</v>
      </c>
      <c r="O56" t="s">
        <v>272</v>
      </c>
      <c r="P56">
        <v>3.2746320972121459E-3</v>
      </c>
      <c r="Q56" t="s">
        <v>251</v>
      </c>
      <c r="S56" t="s">
        <v>420</v>
      </c>
      <c r="T56" t="s">
        <v>272</v>
      </c>
      <c r="U56">
        <v>3.3291755760847287E-3</v>
      </c>
      <c r="V56" t="s">
        <v>251</v>
      </c>
      <c r="X56">
        <v>3.4246575342465752E-3</v>
      </c>
      <c r="Y56">
        <v>6.662854585684809E-3</v>
      </c>
      <c r="Z56" t="s">
        <v>272</v>
      </c>
      <c r="AA56" t="s">
        <v>25</v>
      </c>
      <c r="AC56" t="s">
        <v>22</v>
      </c>
      <c r="AD56" t="s">
        <v>272</v>
      </c>
      <c r="AE56">
        <v>3.7937808126225292E-3</v>
      </c>
      <c r="AG56" t="s">
        <v>97</v>
      </c>
      <c r="AH56" t="s">
        <v>272</v>
      </c>
      <c r="AI56">
        <v>6.6260946744809868E-2</v>
      </c>
    </row>
    <row r="57" spans="5:35" x14ac:dyDescent="0.45">
      <c r="E57" t="s">
        <v>190</v>
      </c>
      <c r="G57" t="s">
        <v>159</v>
      </c>
      <c r="I57" t="s">
        <v>249</v>
      </c>
      <c r="J57" t="s">
        <v>273</v>
      </c>
      <c r="K57">
        <v>5.8830536883139996E-3</v>
      </c>
      <c r="L57" t="s">
        <v>251</v>
      </c>
      <c r="N57" t="s">
        <v>419</v>
      </c>
      <c r="O57" t="s">
        <v>273</v>
      </c>
      <c r="P57">
        <v>3.2491468856000964E-3</v>
      </c>
      <c r="Q57" t="s">
        <v>251</v>
      </c>
      <c r="S57" t="s">
        <v>420</v>
      </c>
      <c r="T57" t="s">
        <v>273</v>
      </c>
      <c r="U57">
        <v>3.367378819246957E-3</v>
      </c>
      <c r="V57" t="s">
        <v>251</v>
      </c>
      <c r="X57">
        <v>3.4246575342465752E-3</v>
      </c>
      <c r="Y57">
        <v>6.662854585684809E-3</v>
      </c>
      <c r="Z57" t="s">
        <v>273</v>
      </c>
      <c r="AA57" t="s">
        <v>25</v>
      </c>
      <c r="AC57" t="s">
        <v>22</v>
      </c>
      <c r="AD57" t="s">
        <v>273</v>
      </c>
      <c r="AE57">
        <v>3.8126670978693069E-3</v>
      </c>
      <c r="AG57" t="s">
        <v>97</v>
      </c>
      <c r="AH57" t="s">
        <v>273</v>
      </c>
      <c r="AI57">
        <v>6.6455929736345398E-2</v>
      </c>
    </row>
    <row r="58" spans="5:35" x14ac:dyDescent="0.45">
      <c r="E58" t="s">
        <v>191</v>
      </c>
      <c r="G58" t="s">
        <v>159</v>
      </c>
      <c r="I58" t="s">
        <v>249</v>
      </c>
      <c r="J58" t="s">
        <v>274</v>
      </c>
      <c r="K58">
        <v>3.204606915999276E-3</v>
      </c>
      <c r="L58" t="s">
        <v>251</v>
      </c>
      <c r="N58" t="s">
        <v>419</v>
      </c>
      <c r="O58" t="s">
        <v>274</v>
      </c>
      <c r="P58">
        <v>2.3354138550517767E-2</v>
      </c>
      <c r="Q58" t="s">
        <v>251</v>
      </c>
      <c r="S58" t="s">
        <v>420</v>
      </c>
      <c r="T58" t="s">
        <v>274</v>
      </c>
      <c r="U58">
        <v>2.4480579459460947E-2</v>
      </c>
      <c r="V58" t="s">
        <v>251</v>
      </c>
      <c r="X58">
        <v>2.0547945205479451E-2</v>
      </c>
      <c r="Y58">
        <v>1.8099097531263209E-2</v>
      </c>
      <c r="Z58" t="s">
        <v>274</v>
      </c>
      <c r="AA58" t="s">
        <v>25</v>
      </c>
      <c r="AC58" t="s">
        <v>22</v>
      </c>
      <c r="AD58" t="s">
        <v>274</v>
      </c>
      <c r="AE58">
        <v>2.3137261443606477E-2</v>
      </c>
      <c r="AG58" t="s">
        <v>97</v>
      </c>
      <c r="AH58" t="s">
        <v>274</v>
      </c>
      <c r="AI58">
        <v>0.10618668616869731</v>
      </c>
    </row>
    <row r="59" spans="5:35" x14ac:dyDescent="0.45">
      <c r="E59" t="s">
        <v>460</v>
      </c>
      <c r="G59" t="s">
        <v>162</v>
      </c>
      <c r="I59" t="s">
        <v>249</v>
      </c>
      <c r="J59" t="s">
        <v>604</v>
      </c>
      <c r="K59">
        <v>0</v>
      </c>
      <c r="L59" t="s">
        <v>251</v>
      </c>
      <c r="N59" t="s">
        <v>419</v>
      </c>
      <c r="O59" t="s">
        <v>604</v>
      </c>
      <c r="P59">
        <v>4.535068088833522E-5</v>
      </c>
      <c r="Q59" t="s">
        <v>251</v>
      </c>
      <c r="S59" t="s">
        <v>420</v>
      </c>
      <c r="T59" t="s">
        <v>604</v>
      </c>
      <c r="U59">
        <v>1.895259291059E-4</v>
      </c>
      <c r="V59" t="s">
        <v>251</v>
      </c>
      <c r="X59">
        <v>1.1415525114155251E-4</v>
      </c>
      <c r="Y59">
        <v>2.1546544680075254E-5</v>
      </c>
      <c r="Z59" t="s">
        <v>604</v>
      </c>
      <c r="AA59" t="s">
        <v>25</v>
      </c>
      <c r="AC59" t="s">
        <v>22</v>
      </c>
      <c r="AD59" t="s">
        <v>604</v>
      </c>
      <c r="AE59">
        <v>1.4910259144089121E-4</v>
      </c>
      <c r="AG59" t="s">
        <v>97</v>
      </c>
      <c r="AH59" t="s">
        <v>604</v>
      </c>
      <c r="AI59">
        <v>0</v>
      </c>
    </row>
    <row r="60" spans="5:35" x14ac:dyDescent="0.45">
      <c r="E60" t="s">
        <v>461</v>
      </c>
      <c r="G60" t="s">
        <v>162</v>
      </c>
      <c r="I60" t="s">
        <v>249</v>
      </c>
      <c r="J60" t="s">
        <v>605</v>
      </c>
      <c r="K60">
        <v>0</v>
      </c>
      <c r="L60" t="s">
        <v>251</v>
      </c>
      <c r="N60" t="s">
        <v>419</v>
      </c>
      <c r="O60" t="s">
        <v>605</v>
      </c>
      <c r="P60">
        <v>4.6060905765149268E-5</v>
      </c>
      <c r="Q60" t="s">
        <v>251</v>
      </c>
      <c r="S60" t="s">
        <v>420</v>
      </c>
      <c r="T60" t="s">
        <v>605</v>
      </c>
      <c r="U60">
        <v>1.852588961444E-4</v>
      </c>
      <c r="V60" t="s">
        <v>251</v>
      </c>
      <c r="X60">
        <v>1.1415525114155251E-4</v>
      </c>
      <c r="Y60">
        <v>1.4916838624667481E-5</v>
      </c>
      <c r="Z60" t="s">
        <v>605</v>
      </c>
      <c r="AA60" t="s">
        <v>25</v>
      </c>
      <c r="AC60" t="s">
        <v>22</v>
      </c>
      <c r="AD60" t="s">
        <v>605</v>
      </c>
      <c r="AE60">
        <v>1.4978476218583433E-4</v>
      </c>
      <c r="AG60" t="s">
        <v>97</v>
      </c>
      <c r="AH60" t="s">
        <v>605</v>
      </c>
      <c r="AI60">
        <v>0</v>
      </c>
    </row>
    <row r="61" spans="5:35" x14ac:dyDescent="0.45">
      <c r="E61" t="s">
        <v>462</v>
      </c>
      <c r="G61" t="s">
        <v>162</v>
      </c>
      <c r="I61" t="s">
        <v>249</v>
      </c>
      <c r="J61" t="s">
        <v>606</v>
      </c>
      <c r="K61">
        <v>0</v>
      </c>
      <c r="L61" t="s">
        <v>251</v>
      </c>
      <c r="N61" t="s">
        <v>419</v>
      </c>
      <c r="O61" t="s">
        <v>606</v>
      </c>
      <c r="P61">
        <v>4.946513691768318E-5</v>
      </c>
      <c r="Q61" t="s">
        <v>251</v>
      </c>
      <c r="S61" t="s">
        <v>420</v>
      </c>
      <c r="T61" t="s">
        <v>606</v>
      </c>
      <c r="U61">
        <v>1.78743590609E-4</v>
      </c>
      <c r="V61" t="s">
        <v>251</v>
      </c>
      <c r="X61">
        <v>1.1415525114155251E-4</v>
      </c>
      <c r="Y61">
        <v>1.6574265138519424E-5</v>
      </c>
      <c r="Z61" t="s">
        <v>606</v>
      </c>
      <c r="AA61" t="s">
        <v>25</v>
      </c>
      <c r="AC61" t="s">
        <v>22</v>
      </c>
      <c r="AD61" t="s">
        <v>606</v>
      </c>
      <c r="AE61">
        <v>1.4668257938481817E-4</v>
      </c>
      <c r="AG61" t="s">
        <v>97</v>
      </c>
      <c r="AH61" t="s">
        <v>606</v>
      </c>
      <c r="AI61">
        <v>0</v>
      </c>
    </row>
    <row r="62" spans="5:35" x14ac:dyDescent="0.45">
      <c r="E62" t="s">
        <v>463</v>
      </c>
      <c r="G62" t="s">
        <v>162</v>
      </c>
      <c r="I62" t="s">
        <v>249</v>
      </c>
      <c r="J62" t="s">
        <v>607</v>
      </c>
      <c r="K62">
        <v>0</v>
      </c>
      <c r="L62" t="s">
        <v>251</v>
      </c>
      <c r="N62" t="s">
        <v>419</v>
      </c>
      <c r="O62" t="s">
        <v>607</v>
      </c>
      <c r="P62">
        <v>5.4429342064326791E-5</v>
      </c>
      <c r="Q62" t="s">
        <v>251</v>
      </c>
      <c r="S62" t="s">
        <v>420</v>
      </c>
      <c r="T62" t="s">
        <v>607</v>
      </c>
      <c r="U62">
        <v>1.731615746703E-4</v>
      </c>
      <c r="V62" t="s">
        <v>251</v>
      </c>
      <c r="X62">
        <v>1.1415525114155251E-4</v>
      </c>
      <c r="Y62">
        <v>1.4585353321897093E-5</v>
      </c>
      <c r="Z62" t="s">
        <v>607</v>
      </c>
      <c r="AA62" t="s">
        <v>25</v>
      </c>
      <c r="AC62" t="s">
        <v>22</v>
      </c>
      <c r="AD62" t="s">
        <v>607</v>
      </c>
      <c r="AE62">
        <v>1.3741551524858693E-4</v>
      </c>
      <c r="AG62" t="s">
        <v>97</v>
      </c>
      <c r="AH62" t="s">
        <v>607</v>
      </c>
      <c r="AI62">
        <v>0</v>
      </c>
    </row>
    <row r="63" spans="5:35" x14ac:dyDescent="0.45">
      <c r="E63" t="s">
        <v>464</v>
      </c>
      <c r="G63" t="s">
        <v>162</v>
      </c>
      <c r="I63" t="s">
        <v>249</v>
      </c>
      <c r="J63" t="s">
        <v>608</v>
      </c>
      <c r="K63">
        <v>0</v>
      </c>
      <c r="L63" t="s">
        <v>251</v>
      </c>
      <c r="N63" t="s">
        <v>419</v>
      </c>
      <c r="O63" t="s">
        <v>608</v>
      </c>
      <c r="P63">
        <v>6.0218067702877062E-5</v>
      </c>
      <c r="Q63" t="s">
        <v>251</v>
      </c>
      <c r="S63" t="s">
        <v>420</v>
      </c>
      <c r="T63" t="s">
        <v>608</v>
      </c>
      <c r="U63">
        <v>1.7525895156759999E-4</v>
      </c>
      <c r="V63" t="s">
        <v>251</v>
      </c>
      <c r="X63">
        <v>1.1415525114155251E-4</v>
      </c>
      <c r="Y63">
        <v>2.1215059377304864E-5</v>
      </c>
      <c r="Z63" t="s">
        <v>608</v>
      </c>
      <c r="AA63" t="s">
        <v>25</v>
      </c>
      <c r="AC63" t="s">
        <v>22</v>
      </c>
      <c r="AD63" t="s">
        <v>608</v>
      </c>
      <c r="AE63">
        <v>1.24077036275212E-4</v>
      </c>
      <c r="AG63" t="s">
        <v>97</v>
      </c>
      <c r="AH63" t="s">
        <v>608</v>
      </c>
      <c r="AI63">
        <v>0</v>
      </c>
    </row>
    <row r="64" spans="5:35" x14ac:dyDescent="0.45">
      <c r="E64" t="s">
        <v>465</v>
      </c>
      <c r="G64" t="s">
        <v>162</v>
      </c>
      <c r="I64" t="s">
        <v>249</v>
      </c>
      <c r="J64" t="s">
        <v>609</v>
      </c>
      <c r="K64">
        <v>0</v>
      </c>
      <c r="L64" t="s">
        <v>251</v>
      </c>
      <c r="N64" t="s">
        <v>419</v>
      </c>
      <c r="O64" t="s">
        <v>609</v>
      </c>
      <c r="P64">
        <v>6.7252825560012685E-5</v>
      </c>
      <c r="Q64" t="s">
        <v>251</v>
      </c>
      <c r="S64" t="s">
        <v>420</v>
      </c>
      <c r="T64" t="s">
        <v>609</v>
      </c>
      <c r="U64">
        <v>1.8606238860289999E-4</v>
      </c>
      <c r="V64" t="s">
        <v>251</v>
      </c>
      <c r="X64">
        <v>1.1415525114155251E-4</v>
      </c>
      <c r="Y64">
        <v>5.7678442682047593E-5</v>
      </c>
      <c r="Z64" t="s">
        <v>609</v>
      </c>
      <c r="AA64" t="s">
        <v>25</v>
      </c>
      <c r="AC64" t="s">
        <v>22</v>
      </c>
      <c r="AD64" t="s">
        <v>609</v>
      </c>
      <c r="AE64">
        <v>1.1604438904819144E-4</v>
      </c>
      <c r="AG64" t="s">
        <v>97</v>
      </c>
      <c r="AH64" t="s">
        <v>609</v>
      </c>
      <c r="AI64">
        <v>0</v>
      </c>
    </row>
    <row r="65" spans="5:35" x14ac:dyDescent="0.45">
      <c r="E65" t="s">
        <v>466</v>
      </c>
      <c r="G65" t="s">
        <v>162</v>
      </c>
      <c r="I65" t="s">
        <v>249</v>
      </c>
      <c r="J65" t="s">
        <v>610</v>
      </c>
      <c r="K65">
        <v>0</v>
      </c>
      <c r="L65" t="s">
        <v>251</v>
      </c>
      <c r="N65" t="s">
        <v>419</v>
      </c>
      <c r="O65" t="s">
        <v>610</v>
      </c>
      <c r="P65">
        <v>7.4710923617212505E-5</v>
      </c>
      <c r="Q65" t="s">
        <v>251</v>
      </c>
      <c r="S65" t="s">
        <v>420</v>
      </c>
      <c r="T65" t="s">
        <v>610</v>
      </c>
      <c r="U65">
        <v>1.932981232947E-4</v>
      </c>
      <c r="V65" t="s">
        <v>251</v>
      </c>
      <c r="X65">
        <v>1.1415525114155251E-4</v>
      </c>
      <c r="Y65">
        <v>1.6905750441289813E-4</v>
      </c>
      <c r="Z65" t="s">
        <v>610</v>
      </c>
      <c r="AA65" t="s">
        <v>25</v>
      </c>
      <c r="AC65" t="s">
        <v>22</v>
      </c>
      <c r="AD65" t="s">
        <v>610</v>
      </c>
      <c r="AE65">
        <v>9.747397793595103E-5</v>
      </c>
      <c r="AG65" t="s">
        <v>97</v>
      </c>
      <c r="AH65" t="s">
        <v>610</v>
      </c>
      <c r="AI65">
        <v>0</v>
      </c>
    </row>
    <row r="66" spans="5:35" x14ac:dyDescent="0.45">
      <c r="E66" t="s">
        <v>467</v>
      </c>
      <c r="G66" t="s">
        <v>162</v>
      </c>
      <c r="I66" t="s">
        <v>249</v>
      </c>
      <c r="J66" t="s">
        <v>611</v>
      </c>
      <c r="K66">
        <v>1.19482985637E-4</v>
      </c>
      <c r="L66" t="s">
        <v>251</v>
      </c>
      <c r="N66" t="s">
        <v>419</v>
      </c>
      <c r="O66" t="s">
        <v>611</v>
      </c>
      <c r="P66">
        <v>7.6516841475639071E-5</v>
      </c>
      <c r="Q66" t="s">
        <v>251</v>
      </c>
      <c r="S66" t="s">
        <v>420</v>
      </c>
      <c r="T66" t="s">
        <v>611</v>
      </c>
      <c r="U66">
        <v>1.9270078670400001E-4</v>
      </c>
      <c r="V66" t="s">
        <v>251</v>
      </c>
      <c r="X66">
        <v>1.1415525114155251E-4</v>
      </c>
      <c r="Y66">
        <v>1.9060404909297337E-4</v>
      </c>
      <c r="Z66" t="s">
        <v>611</v>
      </c>
      <c r="AA66" t="s">
        <v>25</v>
      </c>
      <c r="AC66" t="s">
        <v>22</v>
      </c>
      <c r="AD66" t="s">
        <v>611</v>
      </c>
      <c r="AE66">
        <v>9.3171526780809342E-5</v>
      </c>
      <c r="AG66" t="s">
        <v>97</v>
      </c>
      <c r="AH66" t="s">
        <v>611</v>
      </c>
      <c r="AI66">
        <v>0</v>
      </c>
    </row>
    <row r="67" spans="5:35" x14ac:dyDescent="0.45">
      <c r="E67" t="s">
        <v>468</v>
      </c>
      <c r="G67" t="s">
        <v>162</v>
      </c>
      <c r="I67" t="s">
        <v>249</v>
      </c>
      <c r="J67" t="s">
        <v>612</v>
      </c>
      <c r="K67">
        <v>2.5727385350200001E-4</v>
      </c>
      <c r="L67" t="s">
        <v>251</v>
      </c>
      <c r="N67" t="s">
        <v>419</v>
      </c>
      <c r="O67" t="s">
        <v>612</v>
      </c>
      <c r="P67">
        <v>6.6255833336245341E-5</v>
      </c>
      <c r="Q67" t="s">
        <v>251</v>
      </c>
      <c r="S67" t="s">
        <v>420</v>
      </c>
      <c r="T67" t="s">
        <v>612</v>
      </c>
      <c r="U67">
        <v>1.86560804552E-4</v>
      </c>
      <c r="V67" t="s">
        <v>251</v>
      </c>
      <c r="X67">
        <v>1.1415525114155251E-4</v>
      </c>
      <c r="Y67">
        <v>1.4585353321897094E-4</v>
      </c>
      <c r="Z67" t="s">
        <v>612</v>
      </c>
      <c r="AA67" t="s">
        <v>25</v>
      </c>
      <c r="AC67" t="s">
        <v>22</v>
      </c>
      <c r="AD67" t="s">
        <v>612</v>
      </c>
      <c r="AE67">
        <v>9.1403538698393299E-5</v>
      </c>
      <c r="AG67" t="s">
        <v>97</v>
      </c>
      <c r="AH67" t="s">
        <v>612</v>
      </c>
      <c r="AI67">
        <v>0</v>
      </c>
    </row>
    <row r="68" spans="5:35" x14ac:dyDescent="0.45">
      <c r="E68" t="s">
        <v>469</v>
      </c>
      <c r="G68" t="s">
        <v>162</v>
      </c>
      <c r="I68" t="s">
        <v>249</v>
      </c>
      <c r="J68" t="s">
        <v>613</v>
      </c>
      <c r="K68">
        <v>3.06258215499E-4</v>
      </c>
      <c r="L68" t="s">
        <v>251</v>
      </c>
      <c r="N68" t="s">
        <v>419</v>
      </c>
      <c r="O68" t="s">
        <v>613</v>
      </c>
      <c r="P68">
        <v>6.9048710073577255E-5</v>
      </c>
      <c r="Q68" t="s">
        <v>251</v>
      </c>
      <c r="S68" t="s">
        <v>420</v>
      </c>
      <c r="T68" t="s">
        <v>613</v>
      </c>
      <c r="U68">
        <v>1.7513102929800001E-4</v>
      </c>
      <c r="V68" t="s">
        <v>251</v>
      </c>
      <c r="X68">
        <v>1.1415525114155251E-4</v>
      </c>
      <c r="Y68">
        <v>1.4452759200788939E-4</v>
      </c>
      <c r="Z68" t="s">
        <v>613</v>
      </c>
      <c r="AA68" t="s">
        <v>25</v>
      </c>
      <c r="AC68" t="s">
        <v>22</v>
      </c>
      <c r="AD68" t="s">
        <v>613</v>
      </c>
      <c r="AE68">
        <v>9.1425415116494713E-5</v>
      </c>
      <c r="AG68" t="s">
        <v>97</v>
      </c>
      <c r="AH68" t="s">
        <v>613</v>
      </c>
      <c r="AI68">
        <v>0</v>
      </c>
    </row>
    <row r="69" spans="5:35" x14ac:dyDescent="0.45">
      <c r="E69" t="s">
        <v>470</v>
      </c>
      <c r="G69" t="s">
        <v>162</v>
      </c>
      <c r="I69" t="s">
        <v>249</v>
      </c>
      <c r="J69" t="s">
        <v>614</v>
      </c>
      <c r="K69">
        <v>3.2181728272029998E-4</v>
      </c>
      <c r="L69" t="s">
        <v>251</v>
      </c>
      <c r="N69" t="s">
        <v>419</v>
      </c>
      <c r="O69" t="s">
        <v>614</v>
      </c>
      <c r="P69">
        <v>7.0009678195327114E-5</v>
      </c>
      <c r="Q69" t="s">
        <v>251</v>
      </c>
      <c r="S69" t="s">
        <v>420</v>
      </c>
      <c r="T69" t="s">
        <v>614</v>
      </c>
      <c r="U69">
        <v>1.571958802581E-4</v>
      </c>
      <c r="V69" t="s">
        <v>251</v>
      </c>
      <c r="X69">
        <v>1.1415525114155251E-4</v>
      </c>
      <c r="Y69">
        <v>1.408812536774151E-4</v>
      </c>
      <c r="Z69" t="s">
        <v>614</v>
      </c>
      <c r="AA69" t="s">
        <v>25</v>
      </c>
      <c r="AC69" t="s">
        <v>22</v>
      </c>
      <c r="AD69" t="s">
        <v>614</v>
      </c>
      <c r="AE69">
        <v>9.3270504233438958E-5</v>
      </c>
      <c r="AG69" t="s">
        <v>97</v>
      </c>
      <c r="AH69" t="s">
        <v>614</v>
      </c>
      <c r="AI69">
        <v>0</v>
      </c>
    </row>
    <row r="70" spans="5:35" x14ac:dyDescent="0.45">
      <c r="E70" t="s">
        <v>471</v>
      </c>
      <c r="G70" t="s">
        <v>162</v>
      </c>
      <c r="I70" t="s">
        <v>249</v>
      </c>
      <c r="J70" t="s">
        <v>615</v>
      </c>
      <c r="K70">
        <v>3.1622402180900001E-4</v>
      </c>
      <c r="L70" t="s">
        <v>251</v>
      </c>
      <c r="N70" t="s">
        <v>419</v>
      </c>
      <c r="O70" t="s">
        <v>615</v>
      </c>
      <c r="P70">
        <v>7.0505669939979919E-5</v>
      </c>
      <c r="Q70" t="s">
        <v>251</v>
      </c>
      <c r="S70" t="s">
        <v>420</v>
      </c>
      <c r="T70" t="s">
        <v>615</v>
      </c>
      <c r="U70">
        <v>1.347659801184E-4</v>
      </c>
      <c r="V70" t="s">
        <v>251</v>
      </c>
      <c r="X70">
        <v>1.1415525114155251E-4</v>
      </c>
      <c r="Y70">
        <v>1.4054976837464471E-4</v>
      </c>
      <c r="Z70" t="s">
        <v>615</v>
      </c>
      <c r="AA70" t="s">
        <v>25</v>
      </c>
      <c r="AC70" t="s">
        <v>22</v>
      </c>
      <c r="AD70" t="s">
        <v>615</v>
      </c>
      <c r="AE70">
        <v>1.0568803936186141E-4</v>
      </c>
      <c r="AG70" t="s">
        <v>97</v>
      </c>
      <c r="AH70" t="s">
        <v>615</v>
      </c>
      <c r="AI70">
        <v>0</v>
      </c>
    </row>
    <row r="71" spans="5:35" x14ac:dyDescent="0.45">
      <c r="E71" t="s">
        <v>472</v>
      </c>
      <c r="G71" t="s">
        <v>162</v>
      </c>
      <c r="I71" t="s">
        <v>249</v>
      </c>
      <c r="J71" t="s">
        <v>616</v>
      </c>
      <c r="K71">
        <v>2.9100711381989998E-4</v>
      </c>
      <c r="L71" t="s">
        <v>251</v>
      </c>
      <c r="N71" t="s">
        <v>419</v>
      </c>
      <c r="O71" t="s">
        <v>616</v>
      </c>
      <c r="P71">
        <v>7.3962976362134934E-5</v>
      </c>
      <c r="Q71" t="s">
        <v>251</v>
      </c>
      <c r="S71" t="s">
        <v>420</v>
      </c>
      <c r="T71" t="s">
        <v>616</v>
      </c>
      <c r="U71">
        <v>1.238853617348E-4</v>
      </c>
      <c r="V71" t="s">
        <v>251</v>
      </c>
      <c r="X71">
        <v>1.1415525114155251E-4</v>
      </c>
      <c r="Y71">
        <v>1.4253868019126702E-4</v>
      </c>
      <c r="Z71" t="s">
        <v>616</v>
      </c>
      <c r="AA71" t="s">
        <v>25</v>
      </c>
      <c r="AC71" t="s">
        <v>22</v>
      </c>
      <c r="AD71" t="s">
        <v>616</v>
      </c>
      <c r="AE71">
        <v>1.2685854280113169E-4</v>
      </c>
      <c r="AG71" t="s">
        <v>97</v>
      </c>
      <c r="AH71" t="s">
        <v>616</v>
      </c>
      <c r="AI71">
        <v>0</v>
      </c>
    </row>
    <row r="72" spans="5:35" x14ac:dyDescent="0.45">
      <c r="E72" t="s">
        <v>473</v>
      </c>
      <c r="G72" t="s">
        <v>162</v>
      </c>
      <c r="I72" t="s">
        <v>249</v>
      </c>
      <c r="J72" t="s">
        <v>617</v>
      </c>
      <c r="K72">
        <v>2.9060591612220001E-4</v>
      </c>
      <c r="L72" t="s">
        <v>251</v>
      </c>
      <c r="N72" t="s">
        <v>419</v>
      </c>
      <c r="O72" t="s">
        <v>617</v>
      </c>
      <c r="P72">
        <v>7.9147386845742498E-5</v>
      </c>
      <c r="Q72" t="s">
        <v>251</v>
      </c>
      <c r="S72" t="s">
        <v>420</v>
      </c>
      <c r="T72" t="s">
        <v>617</v>
      </c>
      <c r="U72">
        <v>1.172534785252E-4</v>
      </c>
      <c r="V72" t="s">
        <v>251</v>
      </c>
      <c r="X72">
        <v>1.1415525114155251E-4</v>
      </c>
      <c r="Y72">
        <v>1.4883690094390442E-4</v>
      </c>
      <c r="Z72" t="s">
        <v>617</v>
      </c>
      <c r="AA72" t="s">
        <v>25</v>
      </c>
      <c r="AC72" t="s">
        <v>22</v>
      </c>
      <c r="AD72" t="s">
        <v>617</v>
      </c>
      <c r="AE72">
        <v>1.390439744692098E-4</v>
      </c>
      <c r="AG72" t="s">
        <v>97</v>
      </c>
      <c r="AH72" t="s">
        <v>617</v>
      </c>
      <c r="AI72">
        <v>0</v>
      </c>
    </row>
    <row r="73" spans="5:35" x14ac:dyDescent="0.45">
      <c r="E73" t="s">
        <v>474</v>
      </c>
      <c r="G73" t="s">
        <v>162</v>
      </c>
      <c r="I73" t="s">
        <v>249</v>
      </c>
      <c r="J73" t="s">
        <v>618</v>
      </c>
      <c r="K73">
        <v>3.1073258621310001E-4</v>
      </c>
      <c r="L73" t="s">
        <v>251</v>
      </c>
      <c r="N73" t="s">
        <v>419</v>
      </c>
      <c r="O73" t="s">
        <v>618</v>
      </c>
      <c r="P73">
        <v>8.2996447876900148E-5</v>
      </c>
      <c r="Q73" t="s">
        <v>251</v>
      </c>
      <c r="S73" t="s">
        <v>420</v>
      </c>
      <c r="T73" t="s">
        <v>618</v>
      </c>
      <c r="U73">
        <v>1.1519952628049999E-4</v>
      </c>
      <c r="V73" t="s">
        <v>251</v>
      </c>
      <c r="X73">
        <v>1.1415525114155251E-4</v>
      </c>
      <c r="Y73">
        <v>1.5049432745775637E-4</v>
      </c>
      <c r="Z73" t="s">
        <v>618</v>
      </c>
      <c r="AA73" t="s">
        <v>25</v>
      </c>
      <c r="AC73" t="s">
        <v>22</v>
      </c>
      <c r="AD73" t="s">
        <v>618</v>
      </c>
      <c r="AE73">
        <v>1.4255967492946011E-4</v>
      </c>
      <c r="AG73" t="s">
        <v>97</v>
      </c>
      <c r="AH73" t="s">
        <v>618</v>
      </c>
      <c r="AI73">
        <v>0</v>
      </c>
    </row>
    <row r="74" spans="5:35" x14ac:dyDescent="0.45">
      <c r="E74" t="s">
        <v>475</v>
      </c>
      <c r="G74" t="s">
        <v>162</v>
      </c>
      <c r="I74" t="s">
        <v>249</v>
      </c>
      <c r="J74" t="s">
        <v>619</v>
      </c>
      <c r="K74">
        <v>3.1220881651209997E-4</v>
      </c>
      <c r="L74" t="s">
        <v>251</v>
      </c>
      <c r="N74" t="s">
        <v>419</v>
      </c>
      <c r="O74" t="s">
        <v>619</v>
      </c>
      <c r="P74">
        <v>7.4351489829401859E-5</v>
      </c>
      <c r="Q74" t="s">
        <v>251</v>
      </c>
      <c r="S74" t="s">
        <v>420</v>
      </c>
      <c r="T74" t="s">
        <v>619</v>
      </c>
      <c r="U74">
        <v>1.150529029747E-4</v>
      </c>
      <c r="V74" t="s">
        <v>251</v>
      </c>
      <c r="X74">
        <v>1.1415525114155251E-4</v>
      </c>
      <c r="Y74">
        <v>1.7237235744060203E-4</v>
      </c>
      <c r="Z74" t="s">
        <v>619</v>
      </c>
      <c r="AA74" t="s">
        <v>25</v>
      </c>
      <c r="AC74" t="s">
        <v>22</v>
      </c>
      <c r="AD74" t="s">
        <v>619</v>
      </c>
      <c r="AE74">
        <v>1.3539914978504379E-4</v>
      </c>
      <c r="AG74" t="s">
        <v>97</v>
      </c>
      <c r="AH74" t="s">
        <v>619</v>
      </c>
      <c r="AI74">
        <v>0</v>
      </c>
    </row>
    <row r="75" spans="5:35" x14ac:dyDescent="0.45">
      <c r="E75" t="s">
        <v>476</v>
      </c>
      <c r="G75" t="s">
        <v>162</v>
      </c>
      <c r="I75" t="s">
        <v>249</v>
      </c>
      <c r="J75" t="s">
        <v>620</v>
      </c>
      <c r="K75">
        <v>2.928017498887E-4</v>
      </c>
      <c r="L75" t="s">
        <v>251</v>
      </c>
      <c r="N75" t="s">
        <v>419</v>
      </c>
      <c r="O75" t="s">
        <v>620</v>
      </c>
      <c r="P75">
        <v>6.8928631184556757E-5</v>
      </c>
      <c r="Q75" t="s">
        <v>251</v>
      </c>
      <c r="S75" t="s">
        <v>420</v>
      </c>
      <c r="T75" t="s">
        <v>620</v>
      </c>
      <c r="U75">
        <v>1.153977676252E-4</v>
      </c>
      <c r="V75" t="s">
        <v>251</v>
      </c>
      <c r="X75">
        <v>1.1415525114155251E-4</v>
      </c>
      <c r="Y75">
        <v>2.2209515285616027E-4</v>
      </c>
      <c r="Z75" t="s">
        <v>620</v>
      </c>
      <c r="AA75" t="s">
        <v>25</v>
      </c>
      <c r="AC75" t="s">
        <v>22</v>
      </c>
      <c r="AD75" t="s">
        <v>620</v>
      </c>
      <c r="AE75">
        <v>1.31580914469586E-4</v>
      </c>
      <c r="AG75" t="s">
        <v>97</v>
      </c>
      <c r="AH75" t="s">
        <v>620</v>
      </c>
      <c r="AI75">
        <v>0</v>
      </c>
    </row>
    <row r="76" spans="5:35" x14ac:dyDescent="0.45">
      <c r="E76" t="s">
        <v>477</v>
      </c>
      <c r="G76" t="s">
        <v>162</v>
      </c>
      <c r="I76" t="s">
        <v>249</v>
      </c>
      <c r="J76" t="s">
        <v>621</v>
      </c>
      <c r="K76">
        <v>2.392954853644E-4</v>
      </c>
      <c r="L76" t="s">
        <v>251</v>
      </c>
      <c r="N76" t="s">
        <v>419</v>
      </c>
      <c r="O76" t="s">
        <v>621</v>
      </c>
      <c r="P76">
        <v>6.4141120632195783E-5</v>
      </c>
      <c r="Q76" t="s">
        <v>251</v>
      </c>
      <c r="S76" t="s">
        <v>420</v>
      </c>
      <c r="T76" t="s">
        <v>621</v>
      </c>
      <c r="U76">
        <v>1.3144253846479999E-4</v>
      </c>
      <c r="V76" t="s">
        <v>251</v>
      </c>
      <c r="X76">
        <v>1.1415525114155251E-4</v>
      </c>
      <c r="Y76">
        <v>2.2209515285616027E-4</v>
      </c>
      <c r="Z76" t="s">
        <v>621</v>
      </c>
      <c r="AA76" t="s">
        <v>25</v>
      </c>
      <c r="AC76" t="s">
        <v>22</v>
      </c>
      <c r="AD76" t="s">
        <v>621</v>
      </c>
      <c r="AE76">
        <v>1.3548212010247723E-4</v>
      </c>
      <c r="AG76" t="s">
        <v>97</v>
      </c>
      <c r="AH76" t="s">
        <v>621</v>
      </c>
      <c r="AI76">
        <v>0</v>
      </c>
    </row>
    <row r="77" spans="5:35" x14ac:dyDescent="0.45">
      <c r="E77" t="s">
        <v>478</v>
      </c>
      <c r="G77" t="s">
        <v>162</v>
      </c>
      <c r="I77" t="s">
        <v>249</v>
      </c>
      <c r="J77" t="s">
        <v>622</v>
      </c>
      <c r="K77">
        <v>1.035377033838E-4</v>
      </c>
      <c r="L77" t="s">
        <v>251</v>
      </c>
      <c r="N77" t="s">
        <v>419</v>
      </c>
      <c r="O77" t="s">
        <v>622</v>
      </c>
      <c r="P77">
        <v>7.1315371165762802E-5</v>
      </c>
      <c r="Q77" t="s">
        <v>251</v>
      </c>
      <c r="S77" t="s">
        <v>420</v>
      </c>
      <c r="T77" t="s">
        <v>622</v>
      </c>
      <c r="U77">
        <v>1.552729129864E-4</v>
      </c>
      <c r="V77" t="s">
        <v>251</v>
      </c>
      <c r="X77">
        <v>1.1415525114155251E-4</v>
      </c>
      <c r="Y77">
        <v>1.7237235744060203E-4</v>
      </c>
      <c r="Z77" t="s">
        <v>622</v>
      </c>
      <c r="AA77" t="s">
        <v>25</v>
      </c>
      <c r="AC77" t="s">
        <v>22</v>
      </c>
      <c r="AD77" t="s">
        <v>622</v>
      </c>
      <c r="AE77">
        <v>1.3428371924745791E-4</v>
      </c>
      <c r="AG77" t="s">
        <v>97</v>
      </c>
      <c r="AH77" t="s">
        <v>622</v>
      </c>
      <c r="AI77">
        <v>0</v>
      </c>
    </row>
    <row r="78" spans="5:35" x14ac:dyDescent="0.45">
      <c r="E78" t="s">
        <v>479</v>
      </c>
      <c r="G78" t="s">
        <v>162</v>
      </c>
      <c r="I78" t="s">
        <v>249</v>
      </c>
      <c r="J78" t="s">
        <v>623</v>
      </c>
      <c r="K78">
        <v>0</v>
      </c>
      <c r="L78" t="s">
        <v>251</v>
      </c>
      <c r="N78" t="s">
        <v>419</v>
      </c>
      <c r="O78" t="s">
        <v>623</v>
      </c>
      <c r="P78">
        <v>7.8797680466523756E-5</v>
      </c>
      <c r="Q78" t="s">
        <v>251</v>
      </c>
      <c r="S78" t="s">
        <v>420</v>
      </c>
      <c r="T78" t="s">
        <v>623</v>
      </c>
      <c r="U78">
        <v>1.6788653586360001E-4</v>
      </c>
      <c r="V78" t="s">
        <v>251</v>
      </c>
      <c r="X78">
        <v>1.1415525114155251E-4</v>
      </c>
      <c r="Y78">
        <v>1.5579809230208258E-4</v>
      </c>
      <c r="Z78" t="s">
        <v>623</v>
      </c>
      <c r="AA78" t="s">
        <v>25</v>
      </c>
      <c r="AC78" t="s">
        <v>22</v>
      </c>
      <c r="AD78" t="s">
        <v>623</v>
      </c>
      <c r="AE78">
        <v>1.3457424875126824E-4</v>
      </c>
      <c r="AG78" t="s">
        <v>97</v>
      </c>
      <c r="AH78" t="s">
        <v>623</v>
      </c>
      <c r="AI78">
        <v>0</v>
      </c>
    </row>
    <row r="79" spans="5:35" x14ac:dyDescent="0.45">
      <c r="E79" t="s">
        <v>480</v>
      </c>
      <c r="G79" t="s">
        <v>162</v>
      </c>
      <c r="I79" t="s">
        <v>249</v>
      </c>
      <c r="J79" t="s">
        <v>624</v>
      </c>
      <c r="K79">
        <v>0</v>
      </c>
      <c r="L79" t="s">
        <v>251</v>
      </c>
      <c r="N79" t="s">
        <v>419</v>
      </c>
      <c r="O79" t="s">
        <v>624</v>
      </c>
      <c r="P79">
        <v>8.7658896290040525E-5</v>
      </c>
      <c r="Q79" t="s">
        <v>251</v>
      </c>
      <c r="S79" t="s">
        <v>420</v>
      </c>
      <c r="T79" t="s">
        <v>624</v>
      </c>
      <c r="U79">
        <v>1.701514326532E-4</v>
      </c>
      <c r="V79" t="s">
        <v>251</v>
      </c>
      <c r="X79">
        <v>1.1415525114155251E-4</v>
      </c>
      <c r="Y79">
        <v>1.093901499142282E-4</v>
      </c>
      <c r="Z79" t="s">
        <v>624</v>
      </c>
      <c r="AA79" t="s">
        <v>25</v>
      </c>
      <c r="AC79" t="s">
        <v>22</v>
      </c>
      <c r="AD79" t="s">
        <v>624</v>
      </c>
      <c r="AE79">
        <v>1.3422662713192493E-4</v>
      </c>
      <c r="AG79" t="s">
        <v>97</v>
      </c>
      <c r="AH79" t="s">
        <v>624</v>
      </c>
      <c r="AI79">
        <v>0</v>
      </c>
    </row>
    <row r="80" spans="5:35" x14ac:dyDescent="0.45">
      <c r="E80" t="s">
        <v>481</v>
      </c>
      <c r="G80" t="s">
        <v>162</v>
      </c>
      <c r="I80" t="s">
        <v>249</v>
      </c>
      <c r="J80" t="s">
        <v>625</v>
      </c>
      <c r="K80">
        <v>0</v>
      </c>
      <c r="L80" t="s">
        <v>251</v>
      </c>
      <c r="N80" t="s">
        <v>419</v>
      </c>
      <c r="O80" t="s">
        <v>625</v>
      </c>
      <c r="P80">
        <v>9.3344580989113E-5</v>
      </c>
      <c r="Q80" t="s">
        <v>251</v>
      </c>
      <c r="S80" t="s">
        <v>420</v>
      </c>
      <c r="T80" t="s">
        <v>625</v>
      </c>
      <c r="U80">
        <v>1.5697137027429999E-4</v>
      </c>
      <c r="V80" t="s">
        <v>251</v>
      </c>
      <c r="X80">
        <v>1.1415525114155251E-4</v>
      </c>
      <c r="Y80">
        <v>7.9556472664893237E-5</v>
      </c>
      <c r="Z80" t="s">
        <v>625</v>
      </c>
      <c r="AA80" t="s">
        <v>25</v>
      </c>
      <c r="AC80" t="s">
        <v>22</v>
      </c>
      <c r="AD80" t="s">
        <v>625</v>
      </c>
      <c r="AE80">
        <v>1.3422662713192496E-4</v>
      </c>
      <c r="AG80" t="s">
        <v>97</v>
      </c>
      <c r="AH80" t="s">
        <v>625</v>
      </c>
      <c r="AI80">
        <v>0</v>
      </c>
    </row>
    <row r="81" spans="5:35" x14ac:dyDescent="0.45">
      <c r="E81" t="s">
        <v>482</v>
      </c>
      <c r="G81" t="s">
        <v>162</v>
      </c>
      <c r="I81" t="s">
        <v>249</v>
      </c>
      <c r="J81" t="s">
        <v>626</v>
      </c>
      <c r="K81">
        <v>0</v>
      </c>
      <c r="L81" t="s">
        <v>251</v>
      </c>
      <c r="N81" t="s">
        <v>419</v>
      </c>
      <c r="O81" t="s">
        <v>626</v>
      </c>
      <c r="P81">
        <v>9.5633338596012838E-5</v>
      </c>
      <c r="Q81" t="s">
        <v>251</v>
      </c>
      <c r="S81" t="s">
        <v>420</v>
      </c>
      <c r="T81" t="s">
        <v>626</v>
      </c>
      <c r="U81">
        <v>1.3440842256109999E-4</v>
      </c>
      <c r="V81" t="s">
        <v>251</v>
      </c>
      <c r="X81">
        <v>1.1415525114155251E-4</v>
      </c>
      <c r="Y81">
        <v>5.6352501470966035E-5</v>
      </c>
      <c r="Z81" t="s">
        <v>626</v>
      </c>
      <c r="AA81" t="s">
        <v>25</v>
      </c>
      <c r="AC81" t="s">
        <v>22</v>
      </c>
      <c r="AD81" t="s">
        <v>626</v>
      </c>
      <c r="AE81">
        <v>1.3546237796906863E-4</v>
      </c>
      <c r="AG81" t="s">
        <v>97</v>
      </c>
      <c r="AH81" t="s">
        <v>626</v>
      </c>
      <c r="AI81">
        <v>0</v>
      </c>
    </row>
    <row r="82" spans="5:35" x14ac:dyDescent="0.45">
      <c r="E82" t="s">
        <v>483</v>
      </c>
      <c r="G82" t="s">
        <v>162</v>
      </c>
      <c r="I82" t="s">
        <v>249</v>
      </c>
      <c r="J82" t="s">
        <v>627</v>
      </c>
      <c r="K82">
        <v>0</v>
      </c>
      <c r="L82" t="s">
        <v>251</v>
      </c>
      <c r="N82" t="s">
        <v>419</v>
      </c>
      <c r="O82" t="s">
        <v>627</v>
      </c>
      <c r="P82">
        <v>9.3990405388899925E-5</v>
      </c>
      <c r="Q82" t="s">
        <v>251</v>
      </c>
      <c r="S82" t="s">
        <v>420</v>
      </c>
      <c r="T82" t="s">
        <v>627</v>
      </c>
      <c r="U82">
        <v>1.1500341863230001E-4</v>
      </c>
      <c r="V82" t="s">
        <v>251</v>
      </c>
      <c r="X82">
        <v>1.1415525114155251E-4</v>
      </c>
      <c r="Y82">
        <v>2.9833677249334962E-5</v>
      </c>
      <c r="Z82" t="s">
        <v>627</v>
      </c>
      <c r="AA82" t="s">
        <v>25</v>
      </c>
      <c r="AC82" t="s">
        <v>22</v>
      </c>
      <c r="AD82" t="s">
        <v>627</v>
      </c>
      <c r="AE82">
        <v>1.3921738510050156E-4</v>
      </c>
      <c r="AG82" t="s">
        <v>97</v>
      </c>
      <c r="AH82" t="s">
        <v>627</v>
      </c>
      <c r="AI82">
        <v>0</v>
      </c>
    </row>
    <row r="83" spans="5:35" x14ac:dyDescent="0.45">
      <c r="E83" t="s">
        <v>192</v>
      </c>
      <c r="G83" t="s">
        <v>434</v>
      </c>
      <c r="I83" t="s">
        <v>249</v>
      </c>
      <c r="J83" t="s">
        <v>299</v>
      </c>
      <c r="K83">
        <v>3.9643991682068213E-8</v>
      </c>
      <c r="L83" t="s">
        <v>251</v>
      </c>
      <c r="N83" t="s">
        <v>419</v>
      </c>
      <c r="O83" t="s">
        <v>299</v>
      </c>
      <c r="P83">
        <v>2.3227455011944086E-2</v>
      </c>
      <c r="Q83" t="s">
        <v>251</v>
      </c>
      <c r="S83" t="s">
        <v>420</v>
      </c>
      <c r="T83" t="s">
        <v>299</v>
      </c>
      <c r="U83">
        <v>2.4404730251666975E-2</v>
      </c>
      <c r="V83" t="s">
        <v>251</v>
      </c>
      <c r="X83">
        <v>1.9178082191780823E-2</v>
      </c>
      <c r="Y83">
        <v>4.1024621070863279E-3</v>
      </c>
      <c r="Z83" t="s">
        <v>299</v>
      </c>
      <c r="AA83" t="s">
        <v>25</v>
      </c>
      <c r="AC83" t="s">
        <v>22</v>
      </c>
      <c r="AD83" t="s">
        <v>299</v>
      </c>
      <c r="AE83">
        <v>1.8322350903224757E-2</v>
      </c>
      <c r="AG83" t="s">
        <v>97</v>
      </c>
      <c r="AH83" t="s">
        <v>299</v>
      </c>
      <c r="AI83">
        <v>0.19841472818441153</v>
      </c>
    </row>
    <row r="84" spans="5:35" x14ac:dyDescent="0.45">
      <c r="E84" t="s">
        <v>193</v>
      </c>
      <c r="G84" t="s">
        <v>434</v>
      </c>
      <c r="I84" t="s">
        <v>249</v>
      </c>
      <c r="J84" t="s">
        <v>300</v>
      </c>
      <c r="K84">
        <v>2.767027801024662E-3</v>
      </c>
      <c r="L84" t="s">
        <v>251</v>
      </c>
      <c r="N84" t="s">
        <v>419</v>
      </c>
      <c r="O84" t="s">
        <v>300</v>
      </c>
      <c r="P84">
        <v>3.6088236770704316E-3</v>
      </c>
      <c r="Q84" t="s">
        <v>251</v>
      </c>
      <c r="S84" t="s">
        <v>420</v>
      </c>
      <c r="T84" t="s">
        <v>300</v>
      </c>
      <c r="U84">
        <v>3.8851413490768225E-3</v>
      </c>
      <c r="V84" t="s">
        <v>251</v>
      </c>
      <c r="X84">
        <v>3.1963470319634705E-3</v>
      </c>
      <c r="Y84">
        <v>4.7336101235611484E-3</v>
      </c>
      <c r="Z84" t="s">
        <v>300</v>
      </c>
      <c r="AA84" t="s">
        <v>25</v>
      </c>
      <c r="AC84" t="s">
        <v>22</v>
      </c>
      <c r="AD84" t="s">
        <v>300</v>
      </c>
      <c r="AE84">
        <v>2.4322509722594044E-3</v>
      </c>
      <c r="AG84" t="s">
        <v>97</v>
      </c>
      <c r="AH84" t="s">
        <v>300</v>
      </c>
      <c r="AI84">
        <v>4.6441304411715345E-2</v>
      </c>
    </row>
    <row r="85" spans="5:35" x14ac:dyDescent="0.45">
      <c r="E85" t="s">
        <v>194</v>
      </c>
      <c r="G85" t="s">
        <v>434</v>
      </c>
      <c r="I85" t="s">
        <v>249</v>
      </c>
      <c r="J85" t="s">
        <v>301</v>
      </c>
      <c r="K85">
        <v>5.8480494899226998E-3</v>
      </c>
      <c r="L85" t="s">
        <v>251</v>
      </c>
      <c r="N85" t="s">
        <v>419</v>
      </c>
      <c r="O85" t="s">
        <v>301</v>
      </c>
      <c r="P85">
        <v>3.226142081794323E-3</v>
      </c>
      <c r="Q85" t="s">
        <v>251</v>
      </c>
      <c r="S85" t="s">
        <v>420</v>
      </c>
      <c r="T85" t="s">
        <v>301</v>
      </c>
      <c r="U85">
        <v>3.8191498806996018E-3</v>
      </c>
      <c r="V85" t="s">
        <v>251</v>
      </c>
      <c r="X85">
        <v>3.1963470319634705E-3</v>
      </c>
      <c r="Y85">
        <v>5.3369133746032542E-3</v>
      </c>
      <c r="Z85" t="s">
        <v>301</v>
      </c>
      <c r="AA85" t="s">
        <v>25</v>
      </c>
      <c r="AC85" t="s">
        <v>22</v>
      </c>
      <c r="AD85" t="s">
        <v>301</v>
      </c>
      <c r="AE85">
        <v>2.3697228336138111E-3</v>
      </c>
      <c r="AG85" t="s">
        <v>97</v>
      </c>
      <c r="AH85" t="s">
        <v>301</v>
      </c>
      <c r="AI85">
        <v>4.6648891180381735E-2</v>
      </c>
    </row>
    <row r="86" spans="5:35" x14ac:dyDescent="0.45">
      <c r="E86" t="s">
        <v>195</v>
      </c>
      <c r="G86" t="s">
        <v>434</v>
      </c>
      <c r="I86" t="s">
        <v>249</v>
      </c>
      <c r="J86" t="s">
        <v>302</v>
      </c>
      <c r="K86">
        <v>5.8546414410567099E-2</v>
      </c>
      <c r="L86" t="s">
        <v>251</v>
      </c>
      <c r="N86" t="s">
        <v>419</v>
      </c>
      <c r="O86" t="s">
        <v>302</v>
      </c>
      <c r="P86">
        <v>2.2267743731607639E-2</v>
      </c>
      <c r="Q86" t="s">
        <v>251</v>
      </c>
      <c r="S86" t="s">
        <v>420</v>
      </c>
      <c r="T86" t="s">
        <v>302</v>
      </c>
      <c r="U86">
        <v>2.4124729428657232E-2</v>
      </c>
      <c r="V86" t="s">
        <v>251</v>
      </c>
      <c r="X86">
        <v>2.2374429223744292E-2</v>
      </c>
      <c r="Y86">
        <v>2.8383097564411743E-2</v>
      </c>
      <c r="Z86" t="s">
        <v>302</v>
      </c>
      <c r="AA86" t="s">
        <v>25</v>
      </c>
      <c r="AC86" t="s">
        <v>22</v>
      </c>
      <c r="AD86" t="s">
        <v>302</v>
      </c>
      <c r="AE86">
        <v>2.052939775719495E-2</v>
      </c>
      <c r="AG86" t="s">
        <v>97</v>
      </c>
      <c r="AH86" t="s">
        <v>302</v>
      </c>
      <c r="AI86">
        <v>0.27604259076687065</v>
      </c>
    </row>
    <row r="87" spans="5:35" x14ac:dyDescent="0.45">
      <c r="E87" t="s">
        <v>196</v>
      </c>
      <c r="G87" t="s">
        <v>434</v>
      </c>
      <c r="I87" t="s">
        <v>249</v>
      </c>
      <c r="J87" t="s">
        <v>303</v>
      </c>
      <c r="K87">
        <v>8.0886771143542004E-3</v>
      </c>
      <c r="L87" t="s">
        <v>251</v>
      </c>
      <c r="N87" t="s">
        <v>419</v>
      </c>
      <c r="O87" t="s">
        <v>303</v>
      </c>
      <c r="P87">
        <v>3.3248023625072854E-3</v>
      </c>
      <c r="Q87" t="s">
        <v>251</v>
      </c>
      <c r="S87" t="s">
        <v>420</v>
      </c>
      <c r="T87" t="s">
        <v>303</v>
      </c>
      <c r="U87">
        <v>3.5931122300488236E-3</v>
      </c>
      <c r="V87" t="s">
        <v>251</v>
      </c>
      <c r="X87">
        <v>3.1963470319634705E-3</v>
      </c>
      <c r="Y87">
        <v>4.8264260083368555E-3</v>
      </c>
      <c r="Z87" t="s">
        <v>303</v>
      </c>
      <c r="AA87" t="s">
        <v>25</v>
      </c>
      <c r="AC87" t="s">
        <v>22</v>
      </c>
      <c r="AD87" t="s">
        <v>303</v>
      </c>
      <c r="AE87">
        <v>3.2392554953144565E-3</v>
      </c>
      <c r="AG87" t="s">
        <v>97</v>
      </c>
      <c r="AH87" t="s">
        <v>303</v>
      </c>
      <c r="AI87">
        <v>7.7046195288739128E-2</v>
      </c>
    </row>
    <row r="88" spans="5:35" x14ac:dyDescent="0.45">
      <c r="E88" t="s">
        <v>197</v>
      </c>
      <c r="G88" t="s">
        <v>434</v>
      </c>
      <c r="I88" t="s">
        <v>249</v>
      </c>
      <c r="J88" t="s">
        <v>304</v>
      </c>
      <c r="K88">
        <v>7.3338343467336999E-3</v>
      </c>
      <c r="L88" t="s">
        <v>251</v>
      </c>
      <c r="N88" t="s">
        <v>419</v>
      </c>
      <c r="O88" t="s">
        <v>304</v>
      </c>
      <c r="P88">
        <v>3.2868405848095294E-3</v>
      </c>
      <c r="Q88" t="s">
        <v>251</v>
      </c>
      <c r="S88" t="s">
        <v>420</v>
      </c>
      <c r="T88" t="s">
        <v>304</v>
      </c>
      <c r="U88">
        <v>3.4202455305985106E-3</v>
      </c>
      <c r="V88" t="s">
        <v>251</v>
      </c>
      <c r="X88">
        <v>3.1963470319634705E-3</v>
      </c>
      <c r="Y88">
        <v>6.2186642799724884E-3</v>
      </c>
      <c r="Z88" t="s">
        <v>304</v>
      </c>
      <c r="AA88" t="s">
        <v>25</v>
      </c>
      <c r="AC88" t="s">
        <v>22</v>
      </c>
      <c r="AD88" t="s">
        <v>304</v>
      </c>
      <c r="AE88">
        <v>3.2983236916873993E-3</v>
      </c>
      <c r="AG88" t="s">
        <v>97</v>
      </c>
      <c r="AH88" t="s">
        <v>304</v>
      </c>
      <c r="AI88">
        <v>8.6830072945970338E-2</v>
      </c>
    </row>
    <row r="89" spans="5:35" x14ac:dyDescent="0.45">
      <c r="E89" t="s">
        <v>198</v>
      </c>
      <c r="G89" t="s">
        <v>434</v>
      </c>
      <c r="I89" t="s">
        <v>249</v>
      </c>
      <c r="J89" t="s">
        <v>305</v>
      </c>
      <c r="K89">
        <v>6.1344512612505004E-3</v>
      </c>
      <c r="L89" t="s">
        <v>251</v>
      </c>
      <c r="N89" t="s">
        <v>419</v>
      </c>
      <c r="O89" t="s">
        <v>305</v>
      </c>
      <c r="P89">
        <v>3.228190721853244E-3</v>
      </c>
      <c r="Q89" t="s">
        <v>251</v>
      </c>
      <c r="S89" t="s">
        <v>420</v>
      </c>
      <c r="T89" t="s">
        <v>305</v>
      </c>
      <c r="U89">
        <v>3.4254345970690468E-3</v>
      </c>
      <c r="V89" t="s">
        <v>251</v>
      </c>
      <c r="X89">
        <v>3.1963470319634705E-3</v>
      </c>
      <c r="Y89">
        <v>6.2186642799724884E-3</v>
      </c>
      <c r="Z89" t="s">
        <v>305</v>
      </c>
      <c r="AA89" t="s">
        <v>25</v>
      </c>
      <c r="AC89" t="s">
        <v>22</v>
      </c>
      <c r="AD89" t="s">
        <v>305</v>
      </c>
      <c r="AE89">
        <v>3.252829812746388E-3</v>
      </c>
      <c r="AG89" t="s">
        <v>97</v>
      </c>
      <c r="AH89" t="s">
        <v>305</v>
      </c>
      <c r="AI89">
        <v>9.2132414329941348E-2</v>
      </c>
    </row>
    <row r="90" spans="5:35" x14ac:dyDescent="0.45">
      <c r="E90" t="s">
        <v>199</v>
      </c>
      <c r="G90" t="s">
        <v>434</v>
      </c>
      <c r="I90" t="s">
        <v>249</v>
      </c>
      <c r="J90" t="s">
        <v>306</v>
      </c>
      <c r="K90">
        <v>4.7266540999642672E-3</v>
      </c>
      <c r="L90" t="s">
        <v>251</v>
      </c>
      <c r="N90" t="s">
        <v>419</v>
      </c>
      <c r="O90" t="s">
        <v>306</v>
      </c>
      <c r="P90">
        <v>2.3409400742817318E-2</v>
      </c>
      <c r="Q90" t="s">
        <v>251</v>
      </c>
      <c r="S90" t="s">
        <v>420</v>
      </c>
      <c r="T90" t="s">
        <v>306</v>
      </c>
      <c r="U90">
        <v>2.2842935852607622E-2</v>
      </c>
      <c r="V90" t="s">
        <v>251</v>
      </c>
      <c r="X90">
        <v>1.9178082191780823E-2</v>
      </c>
      <c r="Y90">
        <v>1.6892491029178995E-2</v>
      </c>
      <c r="Z90" t="s">
        <v>306</v>
      </c>
      <c r="AA90" t="s">
        <v>25</v>
      </c>
      <c r="AC90" t="s">
        <v>22</v>
      </c>
      <c r="AD90" t="s">
        <v>306</v>
      </c>
      <c r="AE90">
        <v>1.9715248055158549E-2</v>
      </c>
      <c r="AG90" t="s">
        <v>97</v>
      </c>
      <c r="AH90" t="s">
        <v>306</v>
      </c>
      <c r="AI90">
        <v>0.11435019986613582</v>
      </c>
    </row>
    <row r="91" spans="5:35" x14ac:dyDescent="0.45">
      <c r="E91" t="s">
        <v>200</v>
      </c>
      <c r="G91" t="s">
        <v>434</v>
      </c>
      <c r="I91" t="s">
        <v>249</v>
      </c>
      <c r="J91" t="s">
        <v>628</v>
      </c>
      <c r="K91">
        <v>0</v>
      </c>
      <c r="L91" t="s">
        <v>251</v>
      </c>
      <c r="N91" t="s">
        <v>419</v>
      </c>
      <c r="O91" t="s">
        <v>628</v>
      </c>
      <c r="P91">
        <v>2.3493038919190001E-4</v>
      </c>
      <c r="Q91" t="s">
        <v>251</v>
      </c>
      <c r="S91" t="s">
        <v>420</v>
      </c>
      <c r="T91" t="s">
        <v>628</v>
      </c>
      <c r="U91">
        <v>8.044167253484388E-5</v>
      </c>
      <c r="V91" t="s">
        <v>251</v>
      </c>
      <c r="X91">
        <v>1.1415525114155251E-4</v>
      </c>
      <c r="Y91">
        <v>2.1546544680075254E-5</v>
      </c>
      <c r="Z91" t="s">
        <v>628</v>
      </c>
      <c r="AA91" t="s">
        <v>25</v>
      </c>
      <c r="AC91" t="s">
        <v>22</v>
      </c>
      <c r="AD91" t="s">
        <v>628</v>
      </c>
      <c r="AE91">
        <v>1.1539885322344985E-4</v>
      </c>
      <c r="AG91" t="s">
        <v>97</v>
      </c>
      <c r="AH91" t="s">
        <v>628</v>
      </c>
      <c r="AI91">
        <v>0</v>
      </c>
    </row>
    <row r="92" spans="5:35" x14ac:dyDescent="0.45">
      <c r="E92" t="s">
        <v>201</v>
      </c>
      <c r="G92" t="s">
        <v>434</v>
      </c>
      <c r="I92" t="s">
        <v>249</v>
      </c>
      <c r="J92" t="s">
        <v>629</v>
      </c>
      <c r="K92">
        <v>0</v>
      </c>
      <c r="L92" t="s">
        <v>251</v>
      </c>
      <c r="N92" t="s">
        <v>419</v>
      </c>
      <c r="O92" t="s">
        <v>629</v>
      </c>
      <c r="P92">
        <v>2.2892331688490001E-4</v>
      </c>
      <c r="Q92" t="s">
        <v>251</v>
      </c>
      <c r="S92" t="s">
        <v>420</v>
      </c>
      <c r="T92" t="s">
        <v>629</v>
      </c>
      <c r="U92">
        <v>8.0233431373059807E-5</v>
      </c>
      <c r="V92" t="s">
        <v>251</v>
      </c>
      <c r="X92">
        <v>1.1415525114155251E-4</v>
      </c>
      <c r="Y92">
        <v>1.4916838624667481E-5</v>
      </c>
      <c r="Z92" t="s">
        <v>629</v>
      </c>
      <c r="AA92" t="s">
        <v>25</v>
      </c>
      <c r="AC92" t="s">
        <v>22</v>
      </c>
      <c r="AD92" t="s">
        <v>629</v>
      </c>
      <c r="AE92">
        <v>1.1367595190516965E-4</v>
      </c>
      <c r="AG92" t="s">
        <v>97</v>
      </c>
      <c r="AH92" t="s">
        <v>629</v>
      </c>
      <c r="AI92">
        <v>0</v>
      </c>
    </row>
    <row r="93" spans="5:35" x14ac:dyDescent="0.45">
      <c r="E93" t="s">
        <v>202</v>
      </c>
      <c r="G93" t="s">
        <v>434</v>
      </c>
      <c r="I93" t="s">
        <v>249</v>
      </c>
      <c r="J93" t="s">
        <v>630</v>
      </c>
      <c r="K93">
        <v>0</v>
      </c>
      <c r="L93" t="s">
        <v>251</v>
      </c>
      <c r="N93" t="s">
        <v>419</v>
      </c>
      <c r="O93" t="s">
        <v>630</v>
      </c>
      <c r="P93">
        <v>2.2137859299630001E-4</v>
      </c>
      <c r="Q93" t="s">
        <v>251</v>
      </c>
      <c r="S93" t="s">
        <v>420</v>
      </c>
      <c r="T93" t="s">
        <v>630</v>
      </c>
      <c r="U93">
        <v>7.9001091815929545E-5</v>
      </c>
      <c r="V93" t="s">
        <v>251</v>
      </c>
      <c r="X93">
        <v>1.1415525114155251E-4</v>
      </c>
      <c r="Y93">
        <v>1.6574265138519424E-5</v>
      </c>
      <c r="Z93" t="s">
        <v>630</v>
      </c>
      <c r="AA93" t="s">
        <v>25</v>
      </c>
      <c r="AC93" t="s">
        <v>22</v>
      </c>
      <c r="AD93" t="s">
        <v>630</v>
      </c>
      <c r="AE93">
        <v>1.0962614670054074E-4</v>
      </c>
      <c r="AG93" t="s">
        <v>97</v>
      </c>
      <c r="AH93" t="s">
        <v>630</v>
      </c>
      <c r="AI93">
        <v>0</v>
      </c>
    </row>
    <row r="94" spans="5:35" x14ac:dyDescent="0.45">
      <c r="E94" t="s">
        <v>203</v>
      </c>
      <c r="G94" t="s">
        <v>434</v>
      </c>
      <c r="I94" t="s">
        <v>249</v>
      </c>
      <c r="J94" t="s">
        <v>631</v>
      </c>
      <c r="K94">
        <v>0</v>
      </c>
      <c r="L94" t="s">
        <v>251</v>
      </c>
      <c r="N94" t="s">
        <v>419</v>
      </c>
      <c r="O94" t="s">
        <v>631</v>
      </c>
      <c r="P94">
        <v>2.1512732549610001E-4</v>
      </c>
      <c r="Q94" t="s">
        <v>251</v>
      </c>
      <c r="S94" t="s">
        <v>420</v>
      </c>
      <c r="T94" t="s">
        <v>631</v>
      </c>
      <c r="U94">
        <v>7.0877680701019103E-5</v>
      </c>
      <c r="V94" t="s">
        <v>251</v>
      </c>
      <c r="X94">
        <v>1.1415525114155251E-4</v>
      </c>
      <c r="Y94">
        <v>1.4585353321897093E-5</v>
      </c>
      <c r="Z94" t="s">
        <v>631</v>
      </c>
      <c r="AA94" t="s">
        <v>25</v>
      </c>
      <c r="AC94" t="s">
        <v>22</v>
      </c>
      <c r="AD94" t="s">
        <v>631</v>
      </c>
      <c r="AE94">
        <v>1.0312991766676511E-4</v>
      </c>
      <c r="AG94" t="s">
        <v>97</v>
      </c>
      <c r="AH94" t="s">
        <v>631</v>
      </c>
      <c r="AI94">
        <v>0</v>
      </c>
    </row>
    <row r="95" spans="5:35" x14ac:dyDescent="0.45">
      <c r="E95" t="s">
        <v>204</v>
      </c>
      <c r="G95" t="s">
        <v>434</v>
      </c>
      <c r="I95" t="s">
        <v>249</v>
      </c>
      <c r="J95" t="s">
        <v>632</v>
      </c>
      <c r="K95">
        <v>0</v>
      </c>
      <c r="L95" t="s">
        <v>251</v>
      </c>
      <c r="N95" t="s">
        <v>419</v>
      </c>
      <c r="O95" t="s">
        <v>632</v>
      </c>
      <c r="P95">
        <v>2.1515994265190001E-4</v>
      </c>
      <c r="Q95" t="s">
        <v>251</v>
      </c>
      <c r="S95" t="s">
        <v>420</v>
      </c>
      <c r="T95" t="s">
        <v>632</v>
      </c>
      <c r="U95">
        <v>4.6776613748816818E-5</v>
      </c>
      <c r="V95" t="s">
        <v>251</v>
      </c>
      <c r="X95">
        <v>1.1415525114155251E-4</v>
      </c>
      <c r="Y95">
        <v>2.1215059377304864E-5</v>
      </c>
      <c r="Z95" t="s">
        <v>632</v>
      </c>
      <c r="AA95" t="s">
        <v>25</v>
      </c>
      <c r="AC95" t="s">
        <v>22</v>
      </c>
      <c r="AD95" t="s">
        <v>632</v>
      </c>
      <c r="AE95">
        <v>9.6784689275006606E-5</v>
      </c>
      <c r="AG95" t="s">
        <v>97</v>
      </c>
      <c r="AH95" t="s">
        <v>632</v>
      </c>
      <c r="AI95">
        <v>0</v>
      </c>
    </row>
    <row r="96" spans="5:35" x14ac:dyDescent="0.45">
      <c r="E96" t="s">
        <v>205</v>
      </c>
      <c r="G96" t="s">
        <v>434</v>
      </c>
      <c r="I96" t="s">
        <v>249</v>
      </c>
      <c r="J96" t="s">
        <v>633</v>
      </c>
      <c r="K96">
        <v>0</v>
      </c>
      <c r="L96" t="s">
        <v>251</v>
      </c>
      <c r="N96" t="s">
        <v>419</v>
      </c>
      <c r="O96" t="s">
        <v>633</v>
      </c>
      <c r="P96">
        <v>2.1885980596819999E-4</v>
      </c>
      <c r="Q96" t="s">
        <v>251</v>
      </c>
      <c r="S96" t="s">
        <v>420</v>
      </c>
      <c r="T96" t="s">
        <v>633</v>
      </c>
      <c r="U96">
        <v>4.0467513077573629E-5</v>
      </c>
      <c r="V96" t="s">
        <v>251</v>
      </c>
      <c r="X96">
        <v>1.1415525114155251E-4</v>
      </c>
      <c r="Y96">
        <v>5.7678442682047593E-5</v>
      </c>
      <c r="Z96" t="s">
        <v>633</v>
      </c>
      <c r="AA96" t="s">
        <v>25</v>
      </c>
      <c r="AC96" t="s">
        <v>22</v>
      </c>
      <c r="AD96" t="s">
        <v>633</v>
      </c>
      <c r="AE96">
        <v>8.9694061954280165E-5</v>
      </c>
      <c r="AG96" t="s">
        <v>97</v>
      </c>
      <c r="AH96" t="s">
        <v>633</v>
      </c>
      <c r="AI96">
        <v>0</v>
      </c>
    </row>
    <row r="97" spans="5:35" x14ac:dyDescent="0.45">
      <c r="E97" t="s">
        <v>206</v>
      </c>
      <c r="G97" t="s">
        <v>434</v>
      </c>
      <c r="I97" t="s">
        <v>249</v>
      </c>
      <c r="J97" t="s">
        <v>634</v>
      </c>
      <c r="K97">
        <v>9.3273071981662316E-5</v>
      </c>
      <c r="L97" t="s">
        <v>251</v>
      </c>
      <c r="N97" t="s">
        <v>419</v>
      </c>
      <c r="O97" t="s">
        <v>634</v>
      </c>
      <c r="P97">
        <v>2.189835309227E-4</v>
      </c>
      <c r="Q97" t="s">
        <v>251</v>
      </c>
      <c r="S97" t="s">
        <v>420</v>
      </c>
      <c r="T97" t="s">
        <v>634</v>
      </c>
      <c r="U97">
        <v>3.5024633699657177E-5</v>
      </c>
      <c r="V97" t="s">
        <v>251</v>
      </c>
      <c r="X97">
        <v>1.1415525114155251E-4</v>
      </c>
      <c r="Y97">
        <v>1.6905750441289813E-4</v>
      </c>
      <c r="Z97" t="s">
        <v>634</v>
      </c>
      <c r="AA97" t="s">
        <v>25</v>
      </c>
      <c r="AC97" t="s">
        <v>22</v>
      </c>
      <c r="AD97" t="s">
        <v>634</v>
      </c>
      <c r="AE97">
        <v>8.6093256891903573E-5</v>
      </c>
      <c r="AG97" t="s">
        <v>97</v>
      </c>
      <c r="AH97" t="s">
        <v>634</v>
      </c>
      <c r="AI97">
        <v>0</v>
      </c>
    </row>
    <row r="98" spans="5:35" x14ac:dyDescent="0.45">
      <c r="E98" t="s">
        <v>207</v>
      </c>
      <c r="G98" t="s">
        <v>434</v>
      </c>
      <c r="I98" t="s">
        <v>249</v>
      </c>
      <c r="J98" t="s">
        <v>635</v>
      </c>
      <c r="K98">
        <v>2.1942770732790001E-4</v>
      </c>
      <c r="L98" t="s">
        <v>251</v>
      </c>
      <c r="N98" t="s">
        <v>419</v>
      </c>
      <c r="O98" t="s">
        <v>635</v>
      </c>
      <c r="P98">
        <v>2.1178561949870001E-4</v>
      </c>
      <c r="Q98" t="s">
        <v>251</v>
      </c>
      <c r="S98" t="s">
        <v>420</v>
      </c>
      <c r="T98" t="s">
        <v>635</v>
      </c>
      <c r="U98">
        <v>2.7447322642200601E-5</v>
      </c>
      <c r="V98" t="s">
        <v>251</v>
      </c>
      <c r="X98">
        <v>1.1415525114155251E-4</v>
      </c>
      <c r="Y98">
        <v>1.9060404909297337E-4</v>
      </c>
      <c r="Z98" t="s">
        <v>635</v>
      </c>
      <c r="AA98" t="s">
        <v>25</v>
      </c>
      <c r="AC98" t="s">
        <v>22</v>
      </c>
      <c r="AD98" t="s">
        <v>635</v>
      </c>
      <c r="AE98">
        <v>8.2932914833008065E-5</v>
      </c>
      <c r="AG98" t="s">
        <v>97</v>
      </c>
      <c r="AH98" t="s">
        <v>635</v>
      </c>
      <c r="AI98">
        <v>0</v>
      </c>
    </row>
    <row r="99" spans="5:35" x14ac:dyDescent="0.45">
      <c r="E99" t="s">
        <v>208</v>
      </c>
      <c r="G99" t="s">
        <v>434</v>
      </c>
      <c r="I99" t="s">
        <v>249</v>
      </c>
      <c r="J99" t="s">
        <v>636</v>
      </c>
      <c r="K99">
        <v>2.7558663415999999E-4</v>
      </c>
      <c r="L99" t="s">
        <v>251</v>
      </c>
      <c r="N99" t="s">
        <v>419</v>
      </c>
      <c r="O99" t="s">
        <v>636</v>
      </c>
      <c r="P99">
        <v>2.1350925838699999E-4</v>
      </c>
      <c r="Q99" t="s">
        <v>251</v>
      </c>
      <c r="S99" t="s">
        <v>420</v>
      </c>
      <c r="T99" t="s">
        <v>636</v>
      </c>
      <c r="U99">
        <v>2.6959303255329743E-5</v>
      </c>
      <c r="V99" t="s">
        <v>251</v>
      </c>
      <c r="X99">
        <v>1.1415525114155251E-4</v>
      </c>
      <c r="Y99">
        <v>1.4585353321897094E-4</v>
      </c>
      <c r="Z99" t="s">
        <v>636</v>
      </c>
      <c r="AA99" t="s">
        <v>25</v>
      </c>
      <c r="AC99" t="s">
        <v>22</v>
      </c>
      <c r="AD99" t="s">
        <v>636</v>
      </c>
      <c r="AE99">
        <v>8.261944176874988E-5</v>
      </c>
      <c r="AG99" t="s">
        <v>97</v>
      </c>
      <c r="AH99" t="s">
        <v>636</v>
      </c>
      <c r="AI99">
        <v>0</v>
      </c>
    </row>
    <row r="100" spans="5:35" x14ac:dyDescent="0.45">
      <c r="E100" t="s">
        <v>209</v>
      </c>
      <c r="G100" t="s">
        <v>434</v>
      </c>
      <c r="I100" t="s">
        <v>249</v>
      </c>
      <c r="J100" t="s">
        <v>637</v>
      </c>
      <c r="K100">
        <v>3.0429572739150001E-4</v>
      </c>
      <c r="L100" t="s">
        <v>251</v>
      </c>
      <c r="N100" t="s">
        <v>419</v>
      </c>
      <c r="O100" t="s">
        <v>637</v>
      </c>
      <c r="P100">
        <v>2.188955611501E-4</v>
      </c>
      <c r="Q100" t="s">
        <v>251</v>
      </c>
      <c r="S100" t="s">
        <v>420</v>
      </c>
      <c r="T100" t="s">
        <v>637</v>
      </c>
      <c r="U100">
        <v>3.2149599749168365E-5</v>
      </c>
      <c r="V100" t="s">
        <v>251</v>
      </c>
      <c r="X100">
        <v>1.1415525114155251E-4</v>
      </c>
      <c r="Y100">
        <v>1.4452759200788939E-4</v>
      </c>
      <c r="Z100" t="s">
        <v>637</v>
      </c>
      <c r="AA100" t="s">
        <v>25</v>
      </c>
      <c r="AC100" t="s">
        <v>22</v>
      </c>
      <c r="AD100" t="s">
        <v>637</v>
      </c>
      <c r="AE100">
        <v>8.2919308768091319E-5</v>
      </c>
      <c r="AG100" t="s">
        <v>97</v>
      </c>
      <c r="AH100" t="s">
        <v>637</v>
      </c>
      <c r="AI100">
        <v>0</v>
      </c>
    </row>
    <row r="101" spans="5:35" x14ac:dyDescent="0.45">
      <c r="E101" t="s">
        <v>210</v>
      </c>
      <c r="G101" t="s">
        <v>434</v>
      </c>
      <c r="I101" t="s">
        <v>249</v>
      </c>
      <c r="J101" t="s">
        <v>638</v>
      </c>
      <c r="K101">
        <v>3.172126903631E-4</v>
      </c>
      <c r="L101" t="s">
        <v>251</v>
      </c>
      <c r="N101" t="s">
        <v>419</v>
      </c>
      <c r="O101" t="s">
        <v>638</v>
      </c>
      <c r="P101">
        <v>2.191696843887E-4</v>
      </c>
      <c r="Q101" t="s">
        <v>251</v>
      </c>
      <c r="S101" t="s">
        <v>420</v>
      </c>
      <c r="T101" t="s">
        <v>638</v>
      </c>
      <c r="U101">
        <v>3.6985284126304209E-5</v>
      </c>
      <c r="V101" t="s">
        <v>251</v>
      </c>
      <c r="X101">
        <v>1.1415525114155251E-4</v>
      </c>
      <c r="Y101">
        <v>1.408812536774151E-4</v>
      </c>
      <c r="Z101" t="s">
        <v>638</v>
      </c>
      <c r="AA101" t="s">
        <v>25</v>
      </c>
      <c r="AC101" t="s">
        <v>22</v>
      </c>
      <c r="AD101" t="s">
        <v>638</v>
      </c>
      <c r="AE101">
        <v>8.6770091925114613E-5</v>
      </c>
      <c r="AG101" t="s">
        <v>97</v>
      </c>
      <c r="AH101" t="s">
        <v>638</v>
      </c>
      <c r="AI101">
        <v>0</v>
      </c>
    </row>
    <row r="102" spans="5:35" x14ac:dyDescent="0.45">
      <c r="E102" t="s">
        <v>211</v>
      </c>
      <c r="G102" t="s">
        <v>434</v>
      </c>
      <c r="I102" t="s">
        <v>249</v>
      </c>
      <c r="J102" t="s">
        <v>639</v>
      </c>
      <c r="K102">
        <v>3.185744806266E-4</v>
      </c>
      <c r="L102" t="s">
        <v>251</v>
      </c>
      <c r="N102" t="s">
        <v>419</v>
      </c>
      <c r="O102" t="s">
        <v>639</v>
      </c>
      <c r="P102">
        <v>2.1389704810020001E-4</v>
      </c>
      <c r="Q102" t="s">
        <v>251</v>
      </c>
      <c r="S102" t="s">
        <v>420</v>
      </c>
      <c r="T102" t="s">
        <v>639</v>
      </c>
      <c r="U102">
        <v>4.1080356565471749E-5</v>
      </c>
      <c r="V102" t="s">
        <v>251</v>
      </c>
      <c r="X102">
        <v>1.1415525114155251E-4</v>
      </c>
      <c r="Y102">
        <v>1.4054976837464471E-4</v>
      </c>
      <c r="Z102" t="s">
        <v>639</v>
      </c>
      <c r="AA102" t="s">
        <v>25</v>
      </c>
      <c r="AC102" t="s">
        <v>22</v>
      </c>
      <c r="AD102" t="s">
        <v>639</v>
      </c>
      <c r="AE102">
        <v>9.0479211935651902E-5</v>
      </c>
      <c r="AG102" t="s">
        <v>97</v>
      </c>
      <c r="AH102" t="s">
        <v>639</v>
      </c>
      <c r="AI102">
        <v>0</v>
      </c>
    </row>
    <row r="103" spans="5:35" x14ac:dyDescent="0.45">
      <c r="E103" t="s">
        <v>212</v>
      </c>
      <c r="G103" t="s">
        <v>434</v>
      </c>
      <c r="I103" t="s">
        <v>249</v>
      </c>
      <c r="J103" t="s">
        <v>640</v>
      </c>
      <c r="K103">
        <v>3.074454565856E-4</v>
      </c>
      <c r="L103" t="s">
        <v>251</v>
      </c>
      <c r="N103" t="s">
        <v>419</v>
      </c>
      <c r="O103" t="s">
        <v>640</v>
      </c>
      <c r="P103">
        <v>2.088474391161E-4</v>
      </c>
      <c r="Q103" t="s">
        <v>251</v>
      </c>
      <c r="S103" t="s">
        <v>420</v>
      </c>
      <c r="T103" t="s">
        <v>640</v>
      </c>
      <c r="U103">
        <v>4.4422998077102129E-5</v>
      </c>
      <c r="V103" t="s">
        <v>251</v>
      </c>
      <c r="X103">
        <v>1.1415525114155251E-4</v>
      </c>
      <c r="Y103">
        <v>1.4253868019126702E-4</v>
      </c>
      <c r="Z103" t="s">
        <v>640</v>
      </c>
      <c r="AA103" t="s">
        <v>25</v>
      </c>
      <c r="AC103" t="s">
        <v>22</v>
      </c>
      <c r="AD103" t="s">
        <v>640</v>
      </c>
      <c r="AE103">
        <v>9.455756319804729E-5</v>
      </c>
      <c r="AG103" t="s">
        <v>97</v>
      </c>
      <c r="AH103" t="s">
        <v>640</v>
      </c>
      <c r="AI103">
        <v>0</v>
      </c>
    </row>
    <row r="104" spans="5:35" x14ac:dyDescent="0.45">
      <c r="E104" t="s">
        <v>213</v>
      </c>
      <c r="G104" t="s">
        <v>434</v>
      </c>
      <c r="I104" t="s">
        <v>249</v>
      </c>
      <c r="J104" t="s">
        <v>641</v>
      </c>
      <c r="K104">
        <v>3.0957452367060001E-4</v>
      </c>
      <c r="L104" t="s">
        <v>251</v>
      </c>
      <c r="N104" t="s">
        <v>419</v>
      </c>
      <c r="O104" t="s">
        <v>641</v>
      </c>
      <c r="P104">
        <v>2.044065062088E-4</v>
      </c>
      <c r="Q104" t="s">
        <v>251</v>
      </c>
      <c r="S104" t="s">
        <v>420</v>
      </c>
      <c r="T104" t="s">
        <v>641</v>
      </c>
      <c r="U104">
        <v>5.2378760846553443E-5</v>
      </c>
      <c r="V104" t="s">
        <v>251</v>
      </c>
      <c r="X104">
        <v>1.1415525114155251E-4</v>
      </c>
      <c r="Y104">
        <v>1.4883690094390442E-4</v>
      </c>
      <c r="Z104" t="s">
        <v>641</v>
      </c>
      <c r="AA104" t="s">
        <v>25</v>
      </c>
      <c r="AC104" t="s">
        <v>22</v>
      </c>
      <c r="AD104" t="s">
        <v>641</v>
      </c>
      <c r="AE104">
        <v>9.9938628479823648E-5</v>
      </c>
      <c r="AG104" t="s">
        <v>97</v>
      </c>
      <c r="AH104" t="s">
        <v>641</v>
      </c>
      <c r="AI104">
        <v>0</v>
      </c>
    </row>
    <row r="105" spans="5:35" x14ac:dyDescent="0.45">
      <c r="E105" t="s">
        <v>214</v>
      </c>
      <c r="G105" t="s">
        <v>434</v>
      </c>
      <c r="I105" t="s">
        <v>249</v>
      </c>
      <c r="J105" t="s">
        <v>642</v>
      </c>
      <c r="K105">
        <v>3.112724176205E-4</v>
      </c>
      <c r="L105" t="s">
        <v>251</v>
      </c>
      <c r="N105" t="s">
        <v>419</v>
      </c>
      <c r="O105" t="s">
        <v>642</v>
      </c>
      <c r="P105">
        <v>2.0119636818880001E-4</v>
      </c>
      <c r="Q105" t="s">
        <v>251</v>
      </c>
      <c r="S105" t="s">
        <v>420</v>
      </c>
      <c r="T105" t="s">
        <v>642</v>
      </c>
      <c r="U105">
        <v>6.4442399729834089E-5</v>
      </c>
      <c r="V105" t="s">
        <v>251</v>
      </c>
      <c r="X105">
        <v>1.1415525114155251E-4</v>
      </c>
      <c r="Y105">
        <v>1.5049432745775637E-4</v>
      </c>
      <c r="Z105" t="s">
        <v>642</v>
      </c>
      <c r="AA105" t="s">
        <v>25</v>
      </c>
      <c r="AC105" t="s">
        <v>22</v>
      </c>
      <c r="AD105" t="s">
        <v>642</v>
      </c>
      <c r="AE105">
        <v>1.0426055498278733E-4</v>
      </c>
      <c r="AG105" t="s">
        <v>97</v>
      </c>
      <c r="AH105" t="s">
        <v>642</v>
      </c>
      <c r="AI105">
        <v>0</v>
      </c>
    </row>
    <row r="106" spans="5:35" x14ac:dyDescent="0.45">
      <c r="E106" t="s">
        <v>215</v>
      </c>
      <c r="G106" t="s">
        <v>434</v>
      </c>
      <c r="I106" t="s">
        <v>249</v>
      </c>
      <c r="J106" t="s">
        <v>643</v>
      </c>
      <c r="K106">
        <v>3.0151812767080001E-4</v>
      </c>
      <c r="L106" t="s">
        <v>251</v>
      </c>
      <c r="N106" t="s">
        <v>419</v>
      </c>
      <c r="O106" t="s">
        <v>643</v>
      </c>
      <c r="P106">
        <v>1.8667299638259999E-4</v>
      </c>
      <c r="Q106" t="s">
        <v>251</v>
      </c>
      <c r="S106" t="s">
        <v>420</v>
      </c>
      <c r="T106" t="s">
        <v>643</v>
      </c>
      <c r="U106">
        <v>7.8374928051028013E-5</v>
      </c>
      <c r="V106" t="s">
        <v>251</v>
      </c>
      <c r="X106">
        <v>1.1415525114155251E-4</v>
      </c>
      <c r="Y106">
        <v>1.7237235744060203E-4</v>
      </c>
      <c r="Z106" t="s">
        <v>643</v>
      </c>
      <c r="AA106" t="s">
        <v>25</v>
      </c>
      <c r="AC106" t="s">
        <v>22</v>
      </c>
      <c r="AD106" t="s">
        <v>643</v>
      </c>
      <c r="AE106">
        <v>1.0154921306614413E-4</v>
      </c>
      <c r="AG106" t="s">
        <v>97</v>
      </c>
      <c r="AH106" t="s">
        <v>643</v>
      </c>
      <c r="AI106">
        <v>0</v>
      </c>
    </row>
    <row r="107" spans="5:35" x14ac:dyDescent="0.45">
      <c r="E107" t="s">
        <v>484</v>
      </c>
      <c r="G107" t="s">
        <v>436</v>
      </c>
      <c r="I107" t="s">
        <v>249</v>
      </c>
      <c r="J107" t="s">
        <v>644</v>
      </c>
      <c r="K107">
        <v>2.777182897345E-4</v>
      </c>
      <c r="L107" t="s">
        <v>251</v>
      </c>
      <c r="N107" t="s">
        <v>419</v>
      </c>
      <c r="O107" t="s">
        <v>644</v>
      </c>
      <c r="P107">
        <v>1.9029927747259999E-4</v>
      </c>
      <c r="Q107" t="s">
        <v>251</v>
      </c>
      <c r="S107" t="s">
        <v>420</v>
      </c>
      <c r="T107" t="s">
        <v>644</v>
      </c>
      <c r="U107">
        <v>1.046781073155E-4</v>
      </c>
      <c r="V107" t="s">
        <v>251</v>
      </c>
      <c r="X107">
        <v>1.1415525114155251E-4</v>
      </c>
      <c r="Y107">
        <v>2.2209515285616027E-4</v>
      </c>
      <c r="Z107" t="s">
        <v>644</v>
      </c>
      <c r="AA107" t="s">
        <v>25</v>
      </c>
      <c r="AC107" t="s">
        <v>22</v>
      </c>
      <c r="AD107" t="s">
        <v>644</v>
      </c>
      <c r="AE107">
        <v>1.0348340856901366E-4</v>
      </c>
      <c r="AG107" t="s">
        <v>97</v>
      </c>
      <c r="AH107" t="s">
        <v>644</v>
      </c>
      <c r="AI107">
        <v>0</v>
      </c>
    </row>
    <row r="108" spans="5:35" x14ac:dyDescent="0.45">
      <c r="E108" t="s">
        <v>485</v>
      </c>
      <c r="G108" t="s">
        <v>436</v>
      </c>
      <c r="I108" t="s">
        <v>249</v>
      </c>
      <c r="J108" t="s">
        <v>645</v>
      </c>
      <c r="K108">
        <v>2.4058516585659999E-4</v>
      </c>
      <c r="L108" t="s">
        <v>251</v>
      </c>
      <c r="N108" t="s">
        <v>419</v>
      </c>
      <c r="O108" t="s">
        <v>645</v>
      </c>
      <c r="P108">
        <v>2.032456176804E-4</v>
      </c>
      <c r="Q108" t="s">
        <v>251</v>
      </c>
      <c r="S108" t="s">
        <v>420</v>
      </c>
      <c r="T108" t="s">
        <v>645</v>
      </c>
      <c r="U108">
        <v>1.3573255525170001E-4</v>
      </c>
      <c r="V108" t="s">
        <v>251</v>
      </c>
      <c r="X108">
        <v>1.1415525114155251E-4</v>
      </c>
      <c r="Y108">
        <v>2.2209515285616027E-4</v>
      </c>
      <c r="Z108" t="s">
        <v>645</v>
      </c>
      <c r="AA108" t="s">
        <v>25</v>
      </c>
      <c r="AC108" t="s">
        <v>22</v>
      </c>
      <c r="AD108" t="s">
        <v>645</v>
      </c>
      <c r="AE108">
        <v>1.0199661249487684E-4</v>
      </c>
      <c r="AG108" t="s">
        <v>97</v>
      </c>
      <c r="AH108" t="s">
        <v>645</v>
      </c>
      <c r="AI108">
        <v>0</v>
      </c>
    </row>
    <row r="109" spans="5:35" x14ac:dyDescent="0.45">
      <c r="E109" t="s">
        <v>486</v>
      </c>
      <c r="G109" t="s">
        <v>436</v>
      </c>
      <c r="I109" t="s">
        <v>249</v>
      </c>
      <c r="J109" t="s">
        <v>646</v>
      </c>
      <c r="K109">
        <v>1.701087369657E-4</v>
      </c>
      <c r="L109" t="s">
        <v>251</v>
      </c>
      <c r="N109" t="s">
        <v>419</v>
      </c>
      <c r="O109" t="s">
        <v>646</v>
      </c>
      <c r="P109">
        <v>2.1021856436329999E-4</v>
      </c>
      <c r="Q109" t="s">
        <v>251</v>
      </c>
      <c r="S109" t="s">
        <v>420</v>
      </c>
      <c r="T109" t="s">
        <v>646</v>
      </c>
      <c r="U109">
        <v>1.5203605931759999E-4</v>
      </c>
      <c r="V109" t="s">
        <v>251</v>
      </c>
      <c r="X109">
        <v>1.1415525114155251E-4</v>
      </c>
      <c r="Y109">
        <v>1.7237235744060203E-4</v>
      </c>
      <c r="Z109" t="s">
        <v>646</v>
      </c>
      <c r="AA109" t="s">
        <v>25</v>
      </c>
      <c r="AC109" t="s">
        <v>22</v>
      </c>
      <c r="AD109" t="s">
        <v>646</v>
      </c>
      <c r="AE109">
        <v>1.0030812651726841E-4</v>
      </c>
      <c r="AG109" t="s">
        <v>97</v>
      </c>
      <c r="AH109" t="s">
        <v>646</v>
      </c>
      <c r="AI109">
        <v>0</v>
      </c>
    </row>
    <row r="110" spans="5:35" x14ac:dyDescent="0.45">
      <c r="E110" t="s">
        <v>487</v>
      </c>
      <c r="G110" t="s">
        <v>436</v>
      </c>
      <c r="I110" t="s">
        <v>249</v>
      </c>
      <c r="J110" t="s">
        <v>647</v>
      </c>
      <c r="K110">
        <v>1.2877948726459341E-5</v>
      </c>
      <c r="L110" t="s">
        <v>251</v>
      </c>
      <c r="N110" t="s">
        <v>419</v>
      </c>
      <c r="O110" t="s">
        <v>647</v>
      </c>
      <c r="P110">
        <v>2.104902895961E-4</v>
      </c>
      <c r="Q110" t="s">
        <v>251</v>
      </c>
      <c r="S110" t="s">
        <v>420</v>
      </c>
      <c r="T110" t="s">
        <v>647</v>
      </c>
      <c r="U110">
        <v>1.644334996835E-4</v>
      </c>
      <c r="V110" t="s">
        <v>251</v>
      </c>
      <c r="X110">
        <v>1.1415525114155251E-4</v>
      </c>
      <c r="Y110">
        <v>1.5579809230208258E-4</v>
      </c>
      <c r="Z110" t="s">
        <v>647</v>
      </c>
      <c r="AA110" t="s">
        <v>25</v>
      </c>
      <c r="AC110" t="s">
        <v>22</v>
      </c>
      <c r="AD110" t="s">
        <v>647</v>
      </c>
      <c r="AE110">
        <v>1.010601950859014E-4</v>
      </c>
      <c r="AG110" t="s">
        <v>97</v>
      </c>
      <c r="AH110" t="s">
        <v>647</v>
      </c>
      <c r="AI110">
        <v>0</v>
      </c>
    </row>
    <row r="111" spans="5:35" x14ac:dyDescent="0.45">
      <c r="E111" t="s">
        <v>488</v>
      </c>
      <c r="G111" t="s">
        <v>436</v>
      </c>
      <c r="I111" t="s">
        <v>249</v>
      </c>
      <c r="J111" t="s">
        <v>648</v>
      </c>
      <c r="K111">
        <v>0</v>
      </c>
      <c r="L111" t="s">
        <v>251</v>
      </c>
      <c r="N111" t="s">
        <v>419</v>
      </c>
      <c r="O111" t="s">
        <v>648</v>
      </c>
      <c r="P111">
        <v>2.08989427334E-4</v>
      </c>
      <c r="Q111" t="s">
        <v>251</v>
      </c>
      <c r="S111" t="s">
        <v>420</v>
      </c>
      <c r="T111" t="s">
        <v>648</v>
      </c>
      <c r="U111">
        <v>1.8039538616409999E-4</v>
      </c>
      <c r="V111" t="s">
        <v>251</v>
      </c>
      <c r="X111">
        <v>1.1415525114155251E-4</v>
      </c>
      <c r="Y111">
        <v>1.093901499142282E-4</v>
      </c>
      <c r="Z111" t="s">
        <v>648</v>
      </c>
      <c r="AA111" t="s">
        <v>25</v>
      </c>
      <c r="AC111" t="s">
        <v>22</v>
      </c>
      <c r="AD111" t="s">
        <v>648</v>
      </c>
      <c r="AE111">
        <v>1.0234530125656658E-4</v>
      </c>
      <c r="AG111" t="s">
        <v>97</v>
      </c>
      <c r="AH111" t="s">
        <v>648</v>
      </c>
      <c r="AI111">
        <v>0</v>
      </c>
    </row>
    <row r="112" spans="5:35" x14ac:dyDescent="0.45">
      <c r="E112" t="s">
        <v>489</v>
      </c>
      <c r="G112" t="s">
        <v>436</v>
      </c>
      <c r="I112" t="s">
        <v>249</v>
      </c>
      <c r="J112" t="s">
        <v>649</v>
      </c>
      <c r="K112">
        <v>0</v>
      </c>
      <c r="L112" t="s">
        <v>251</v>
      </c>
      <c r="N112" t="s">
        <v>419</v>
      </c>
      <c r="O112" t="s">
        <v>649</v>
      </c>
      <c r="P112">
        <v>2.066782047945E-4</v>
      </c>
      <c r="Q112" t="s">
        <v>251</v>
      </c>
      <c r="S112" t="s">
        <v>420</v>
      </c>
      <c r="T112" t="s">
        <v>649</v>
      </c>
      <c r="U112">
        <v>1.959155792597E-4</v>
      </c>
      <c r="V112" t="s">
        <v>251</v>
      </c>
      <c r="X112">
        <v>1.1415525114155251E-4</v>
      </c>
      <c r="Y112">
        <v>7.9556472664893237E-5</v>
      </c>
      <c r="Z112" t="s">
        <v>649</v>
      </c>
      <c r="AA112" t="s">
        <v>25</v>
      </c>
      <c r="AC112" t="s">
        <v>22</v>
      </c>
      <c r="AD112" t="s">
        <v>649</v>
      </c>
      <c r="AE112">
        <v>1.0549630581993101E-4</v>
      </c>
      <c r="AG112" t="s">
        <v>97</v>
      </c>
      <c r="AH112" t="s">
        <v>649</v>
      </c>
      <c r="AI112">
        <v>0</v>
      </c>
    </row>
    <row r="113" spans="5:35" x14ac:dyDescent="0.45">
      <c r="E113" t="s">
        <v>490</v>
      </c>
      <c r="G113" t="s">
        <v>436</v>
      </c>
      <c r="I113" t="s">
        <v>249</v>
      </c>
      <c r="J113" t="s">
        <v>650</v>
      </c>
      <c r="K113">
        <v>0</v>
      </c>
      <c r="L113" t="s">
        <v>251</v>
      </c>
      <c r="N113" t="s">
        <v>419</v>
      </c>
      <c r="O113" t="s">
        <v>650</v>
      </c>
      <c r="P113">
        <v>2.030816796164E-4</v>
      </c>
      <c r="Q113" t="s">
        <v>251</v>
      </c>
      <c r="S113" t="s">
        <v>420</v>
      </c>
      <c r="T113" t="s">
        <v>650</v>
      </c>
      <c r="U113">
        <v>2.090312600511E-4</v>
      </c>
      <c r="V113" t="s">
        <v>251</v>
      </c>
      <c r="X113">
        <v>1.1415525114155251E-4</v>
      </c>
      <c r="Y113">
        <v>5.6352501470966035E-5</v>
      </c>
      <c r="Z113" t="s">
        <v>650</v>
      </c>
      <c r="AA113" t="s">
        <v>25</v>
      </c>
      <c r="AC113" t="s">
        <v>22</v>
      </c>
      <c r="AD113" t="s">
        <v>650</v>
      </c>
      <c r="AE113">
        <v>1.0856087185323616E-4</v>
      </c>
      <c r="AG113" t="s">
        <v>97</v>
      </c>
      <c r="AH113" t="s">
        <v>650</v>
      </c>
      <c r="AI113">
        <v>0</v>
      </c>
    </row>
    <row r="114" spans="5:35" x14ac:dyDescent="0.45">
      <c r="E114" t="s">
        <v>491</v>
      </c>
      <c r="G114" t="s">
        <v>436</v>
      </c>
      <c r="I114" t="s">
        <v>249</v>
      </c>
      <c r="J114" t="s">
        <v>651</v>
      </c>
      <c r="K114">
        <v>0</v>
      </c>
      <c r="L114" t="s">
        <v>251</v>
      </c>
      <c r="N114" t="s">
        <v>419</v>
      </c>
      <c r="O114" t="s">
        <v>651</v>
      </c>
      <c r="P114">
        <v>2.0183275366090001E-4</v>
      </c>
      <c r="Q114" t="s">
        <v>251</v>
      </c>
      <c r="S114" t="s">
        <v>420</v>
      </c>
      <c r="T114" t="s">
        <v>651</v>
      </c>
      <c r="U114">
        <v>2.1579829327359999E-4</v>
      </c>
      <c r="V114" t="s">
        <v>251</v>
      </c>
      <c r="X114">
        <v>1.1415525114155251E-4</v>
      </c>
      <c r="Y114">
        <v>2.9833677249334962E-5</v>
      </c>
      <c r="Z114" t="s">
        <v>651</v>
      </c>
      <c r="AA114" t="s">
        <v>25</v>
      </c>
      <c r="AC114" t="s">
        <v>22</v>
      </c>
      <c r="AD114" t="s">
        <v>651</v>
      </c>
      <c r="AE114">
        <v>1.0843068048697405E-4</v>
      </c>
      <c r="AG114" t="s">
        <v>97</v>
      </c>
      <c r="AH114" t="s">
        <v>651</v>
      </c>
      <c r="AI114">
        <v>0</v>
      </c>
    </row>
    <row r="115" spans="5:35" x14ac:dyDescent="0.45">
      <c r="E115" t="s">
        <v>492</v>
      </c>
      <c r="G115" t="s">
        <v>436</v>
      </c>
      <c r="I115" t="s">
        <v>249</v>
      </c>
      <c r="J115" t="s">
        <v>652</v>
      </c>
      <c r="K115">
        <v>0</v>
      </c>
      <c r="L115" t="s">
        <v>251</v>
      </c>
      <c r="N115" t="s">
        <v>419</v>
      </c>
      <c r="O115" t="s">
        <v>652</v>
      </c>
      <c r="P115">
        <v>2.068316457713E-4</v>
      </c>
      <c r="Q115" t="s">
        <v>251</v>
      </c>
      <c r="S115" t="s">
        <v>420</v>
      </c>
      <c r="T115" t="s">
        <v>652</v>
      </c>
      <c r="U115">
        <v>1.1250938837329999E-4</v>
      </c>
      <c r="V115" t="s">
        <v>251</v>
      </c>
      <c r="X115">
        <v>1.1415525114155251E-4</v>
      </c>
      <c r="Y115">
        <v>2.1546544680075254E-5</v>
      </c>
      <c r="Z115" t="s">
        <v>652</v>
      </c>
      <c r="AA115" t="s">
        <v>25</v>
      </c>
      <c r="AC115" t="s">
        <v>22</v>
      </c>
      <c r="AD115" t="s">
        <v>652</v>
      </c>
      <c r="AE115">
        <v>1.2214692785097843E-4</v>
      </c>
      <c r="AG115" t="s">
        <v>97</v>
      </c>
      <c r="AH115" t="s">
        <v>652</v>
      </c>
      <c r="AI115">
        <v>0</v>
      </c>
    </row>
    <row r="116" spans="5:35" x14ac:dyDescent="0.45">
      <c r="E116" t="s">
        <v>493</v>
      </c>
      <c r="G116" t="s">
        <v>436</v>
      </c>
      <c r="I116" t="s">
        <v>249</v>
      </c>
      <c r="J116" t="s">
        <v>653</v>
      </c>
      <c r="K116">
        <v>0</v>
      </c>
      <c r="L116" t="s">
        <v>251</v>
      </c>
      <c r="N116" t="s">
        <v>419</v>
      </c>
      <c r="O116" t="s">
        <v>653</v>
      </c>
      <c r="P116">
        <v>2.133698696153E-4</v>
      </c>
      <c r="Q116" t="s">
        <v>251</v>
      </c>
      <c r="S116" t="s">
        <v>420</v>
      </c>
      <c r="T116" t="s">
        <v>653</v>
      </c>
      <c r="U116">
        <v>1.304557357375E-4</v>
      </c>
      <c r="V116" t="s">
        <v>251</v>
      </c>
      <c r="X116">
        <v>1.1415525114155251E-4</v>
      </c>
      <c r="Y116">
        <v>1.4916838624667481E-5</v>
      </c>
      <c r="Z116" t="s">
        <v>653</v>
      </c>
      <c r="AA116" t="s">
        <v>25</v>
      </c>
      <c r="AC116" t="s">
        <v>22</v>
      </c>
      <c r="AD116" t="s">
        <v>653</v>
      </c>
      <c r="AE116">
        <v>1.1885826192492701E-4</v>
      </c>
      <c r="AG116" t="s">
        <v>97</v>
      </c>
      <c r="AH116" t="s">
        <v>653</v>
      </c>
      <c r="AI116">
        <v>0</v>
      </c>
    </row>
    <row r="117" spans="5:35" x14ac:dyDescent="0.45">
      <c r="E117" t="s">
        <v>494</v>
      </c>
      <c r="G117" t="s">
        <v>436</v>
      </c>
      <c r="I117" t="s">
        <v>249</v>
      </c>
      <c r="J117" t="s">
        <v>654</v>
      </c>
      <c r="K117">
        <v>0</v>
      </c>
      <c r="L117" t="s">
        <v>251</v>
      </c>
      <c r="N117" t="s">
        <v>419</v>
      </c>
      <c r="O117" t="s">
        <v>654</v>
      </c>
      <c r="P117">
        <v>2.1944319048419999E-4</v>
      </c>
      <c r="Q117" t="s">
        <v>251</v>
      </c>
      <c r="S117" t="s">
        <v>420</v>
      </c>
      <c r="T117" t="s">
        <v>654</v>
      </c>
      <c r="U117">
        <v>1.502871849535E-4</v>
      </c>
      <c r="V117" t="s">
        <v>251</v>
      </c>
      <c r="X117">
        <v>1.1415525114155251E-4</v>
      </c>
      <c r="Y117">
        <v>1.6574265138519424E-5</v>
      </c>
      <c r="Z117" t="s">
        <v>654</v>
      </c>
      <c r="AA117" t="s">
        <v>25</v>
      </c>
      <c r="AC117" t="s">
        <v>22</v>
      </c>
      <c r="AD117" t="s">
        <v>654</v>
      </c>
      <c r="AE117">
        <v>1.1552050745094068E-4</v>
      </c>
      <c r="AG117" t="s">
        <v>97</v>
      </c>
      <c r="AH117" t="s">
        <v>654</v>
      </c>
      <c r="AI117">
        <v>0</v>
      </c>
    </row>
    <row r="118" spans="5:35" x14ac:dyDescent="0.45">
      <c r="E118" t="s">
        <v>495</v>
      </c>
      <c r="G118" t="s">
        <v>436</v>
      </c>
      <c r="I118" t="s">
        <v>249</v>
      </c>
      <c r="J118" t="s">
        <v>655</v>
      </c>
      <c r="K118">
        <v>0</v>
      </c>
      <c r="L118" t="s">
        <v>251</v>
      </c>
      <c r="N118" t="s">
        <v>419</v>
      </c>
      <c r="O118" t="s">
        <v>655</v>
      </c>
      <c r="P118">
        <v>2.2475508567009999E-4</v>
      </c>
      <c r="Q118" t="s">
        <v>251</v>
      </c>
      <c r="S118" t="s">
        <v>420</v>
      </c>
      <c r="T118" t="s">
        <v>655</v>
      </c>
      <c r="U118">
        <v>1.587642643081E-4</v>
      </c>
      <c r="V118" t="s">
        <v>251</v>
      </c>
      <c r="X118">
        <v>1.1415525114155251E-4</v>
      </c>
      <c r="Y118">
        <v>1.4585353321897093E-5</v>
      </c>
      <c r="Z118" t="s">
        <v>655</v>
      </c>
      <c r="AA118" t="s">
        <v>25</v>
      </c>
      <c r="AC118" t="s">
        <v>22</v>
      </c>
      <c r="AD118" t="s">
        <v>655</v>
      </c>
      <c r="AE118">
        <v>1.067816787761828E-4</v>
      </c>
      <c r="AG118" t="s">
        <v>97</v>
      </c>
      <c r="AH118" t="s">
        <v>655</v>
      </c>
      <c r="AI118">
        <v>0</v>
      </c>
    </row>
    <row r="119" spans="5:35" x14ac:dyDescent="0.45">
      <c r="E119" t="s">
        <v>496</v>
      </c>
      <c r="G119" t="s">
        <v>436</v>
      </c>
      <c r="I119" t="s">
        <v>249</v>
      </c>
      <c r="J119" t="s">
        <v>656</v>
      </c>
      <c r="K119">
        <v>0</v>
      </c>
      <c r="L119" t="s">
        <v>251</v>
      </c>
      <c r="N119" t="s">
        <v>419</v>
      </c>
      <c r="O119" t="s">
        <v>656</v>
      </c>
      <c r="P119">
        <v>2.234836509721E-4</v>
      </c>
      <c r="Q119" t="s">
        <v>251</v>
      </c>
      <c r="S119" t="s">
        <v>420</v>
      </c>
      <c r="T119" t="s">
        <v>656</v>
      </c>
      <c r="U119">
        <v>1.6646227910649999E-4</v>
      </c>
      <c r="V119" t="s">
        <v>251</v>
      </c>
      <c r="X119">
        <v>1.1415525114155251E-4</v>
      </c>
      <c r="Y119">
        <v>2.1215059377304864E-5</v>
      </c>
      <c r="Z119" t="s">
        <v>656</v>
      </c>
      <c r="AA119" t="s">
        <v>25</v>
      </c>
      <c r="AC119" t="s">
        <v>22</v>
      </c>
      <c r="AD119" t="s">
        <v>656</v>
      </c>
      <c r="AE119">
        <v>9.9979713460160484E-5</v>
      </c>
      <c r="AG119" t="s">
        <v>97</v>
      </c>
      <c r="AH119" t="s">
        <v>656</v>
      </c>
      <c r="AI119">
        <v>0</v>
      </c>
    </row>
    <row r="120" spans="5:35" x14ac:dyDescent="0.45">
      <c r="E120" t="s">
        <v>497</v>
      </c>
      <c r="G120" t="s">
        <v>436</v>
      </c>
      <c r="I120" t="s">
        <v>249</v>
      </c>
      <c r="J120" t="s">
        <v>657</v>
      </c>
      <c r="K120">
        <v>0</v>
      </c>
      <c r="L120" t="s">
        <v>251</v>
      </c>
      <c r="N120" t="s">
        <v>419</v>
      </c>
      <c r="O120" t="s">
        <v>657</v>
      </c>
      <c r="P120">
        <v>2.1938177183149999E-4</v>
      </c>
      <c r="Q120" t="s">
        <v>251</v>
      </c>
      <c r="S120" t="s">
        <v>420</v>
      </c>
      <c r="T120" t="s">
        <v>657</v>
      </c>
      <c r="U120">
        <v>1.6025301685510001E-4</v>
      </c>
      <c r="V120" t="s">
        <v>251</v>
      </c>
      <c r="X120">
        <v>1.1415525114155251E-4</v>
      </c>
      <c r="Y120">
        <v>5.7678442682047593E-5</v>
      </c>
      <c r="Z120" t="s">
        <v>657</v>
      </c>
      <c r="AA120" t="s">
        <v>25</v>
      </c>
      <c r="AC120" t="s">
        <v>22</v>
      </c>
      <c r="AD120" t="s">
        <v>657</v>
      </c>
      <c r="AE120">
        <v>8.9553732735727143E-5</v>
      </c>
      <c r="AG120" t="s">
        <v>97</v>
      </c>
      <c r="AH120" t="s">
        <v>657</v>
      </c>
      <c r="AI120">
        <v>0</v>
      </c>
    </row>
    <row r="121" spans="5:35" x14ac:dyDescent="0.45">
      <c r="E121" t="s">
        <v>498</v>
      </c>
      <c r="G121" t="s">
        <v>436</v>
      </c>
      <c r="I121" t="s">
        <v>249</v>
      </c>
      <c r="J121" t="s">
        <v>658</v>
      </c>
      <c r="K121">
        <v>1.2327990374899999E-4</v>
      </c>
      <c r="L121" t="s">
        <v>251</v>
      </c>
      <c r="N121" t="s">
        <v>419</v>
      </c>
      <c r="O121" t="s">
        <v>658</v>
      </c>
      <c r="P121">
        <v>2.184024983387E-4</v>
      </c>
      <c r="Q121" t="s">
        <v>251</v>
      </c>
      <c r="S121" t="s">
        <v>420</v>
      </c>
      <c r="T121" t="s">
        <v>658</v>
      </c>
      <c r="U121">
        <v>1.5925918946229999E-4</v>
      </c>
      <c r="V121" t="s">
        <v>251</v>
      </c>
      <c r="X121">
        <v>1.1415525114155251E-4</v>
      </c>
      <c r="Y121">
        <v>1.6905750441289813E-4</v>
      </c>
      <c r="Z121" t="s">
        <v>658</v>
      </c>
      <c r="AA121" t="s">
        <v>25</v>
      </c>
      <c r="AC121" t="s">
        <v>22</v>
      </c>
      <c r="AD121" t="s">
        <v>658</v>
      </c>
      <c r="AE121">
        <v>8.5841944869323848E-5</v>
      </c>
      <c r="AG121" t="s">
        <v>97</v>
      </c>
      <c r="AH121" t="s">
        <v>658</v>
      </c>
      <c r="AI121">
        <v>0</v>
      </c>
    </row>
    <row r="122" spans="5:35" x14ac:dyDescent="0.45">
      <c r="E122" t="s">
        <v>499</v>
      </c>
      <c r="G122" t="s">
        <v>436</v>
      </c>
      <c r="I122" t="s">
        <v>249</v>
      </c>
      <c r="J122" t="s">
        <v>659</v>
      </c>
      <c r="K122">
        <v>2.4446832970629999E-4</v>
      </c>
      <c r="L122" t="s">
        <v>251</v>
      </c>
      <c r="N122" t="s">
        <v>419</v>
      </c>
      <c r="O122" t="s">
        <v>659</v>
      </c>
      <c r="P122">
        <v>2.200284218404E-4</v>
      </c>
      <c r="Q122" t="s">
        <v>251</v>
      </c>
      <c r="S122" t="s">
        <v>420</v>
      </c>
      <c r="T122" t="s">
        <v>659</v>
      </c>
      <c r="U122">
        <v>1.5040828189889999E-4</v>
      </c>
      <c r="V122" t="s">
        <v>251</v>
      </c>
      <c r="X122">
        <v>1.1415525114155251E-4</v>
      </c>
      <c r="Y122">
        <v>1.9060404909297337E-4</v>
      </c>
      <c r="Z122" t="s">
        <v>659</v>
      </c>
      <c r="AA122" t="s">
        <v>25</v>
      </c>
      <c r="AC122" t="s">
        <v>22</v>
      </c>
      <c r="AD122" t="s">
        <v>659</v>
      </c>
      <c r="AE122">
        <v>8.3815441553489772E-5</v>
      </c>
      <c r="AG122" t="s">
        <v>97</v>
      </c>
      <c r="AH122" t="s">
        <v>659</v>
      </c>
      <c r="AI122">
        <v>0</v>
      </c>
    </row>
    <row r="123" spans="5:35" x14ac:dyDescent="0.45">
      <c r="E123" t="s">
        <v>500</v>
      </c>
      <c r="G123" t="s">
        <v>436</v>
      </c>
      <c r="I123" t="s">
        <v>249</v>
      </c>
      <c r="J123" t="s">
        <v>660</v>
      </c>
      <c r="K123">
        <v>3.0162575190050001E-4</v>
      </c>
      <c r="L123" t="s">
        <v>251</v>
      </c>
      <c r="N123" t="s">
        <v>419</v>
      </c>
      <c r="O123" t="s">
        <v>660</v>
      </c>
      <c r="P123">
        <v>2.2126800327719999E-4</v>
      </c>
      <c r="Q123" t="s">
        <v>251</v>
      </c>
      <c r="S123" t="s">
        <v>420</v>
      </c>
      <c r="T123" t="s">
        <v>660</v>
      </c>
      <c r="U123">
        <v>1.5810325552510001E-4</v>
      </c>
      <c r="V123" t="s">
        <v>251</v>
      </c>
      <c r="X123">
        <v>1.1415525114155251E-4</v>
      </c>
      <c r="Y123">
        <v>1.4585353321897094E-4</v>
      </c>
      <c r="Z123" t="s">
        <v>660</v>
      </c>
      <c r="AA123" t="s">
        <v>25</v>
      </c>
      <c r="AC123" t="s">
        <v>22</v>
      </c>
      <c r="AD123" t="s">
        <v>660</v>
      </c>
      <c r="AE123">
        <v>8.4655015794528454E-5</v>
      </c>
      <c r="AG123" t="s">
        <v>97</v>
      </c>
      <c r="AH123" t="s">
        <v>660</v>
      </c>
      <c r="AI123">
        <v>0</v>
      </c>
    </row>
    <row r="124" spans="5:35" x14ac:dyDescent="0.45">
      <c r="E124" t="s">
        <v>501</v>
      </c>
      <c r="G124" t="s">
        <v>436</v>
      </c>
      <c r="I124" t="s">
        <v>249</v>
      </c>
      <c r="J124" t="s">
        <v>661</v>
      </c>
      <c r="K124">
        <v>3.3075384530070002E-4</v>
      </c>
      <c r="L124" t="s">
        <v>251</v>
      </c>
      <c r="N124" t="s">
        <v>419</v>
      </c>
      <c r="O124" t="s">
        <v>661</v>
      </c>
      <c r="P124">
        <v>2.2379674208360001E-4</v>
      </c>
      <c r="Q124" t="s">
        <v>251</v>
      </c>
      <c r="S124" t="s">
        <v>420</v>
      </c>
      <c r="T124" t="s">
        <v>661</v>
      </c>
      <c r="U124">
        <v>1.7375501173459999E-4</v>
      </c>
      <c r="V124" t="s">
        <v>251</v>
      </c>
      <c r="X124">
        <v>1.1415525114155251E-4</v>
      </c>
      <c r="Y124">
        <v>1.4452759200788939E-4</v>
      </c>
      <c r="Z124" t="s">
        <v>661</v>
      </c>
      <c r="AA124" t="s">
        <v>25</v>
      </c>
      <c r="AC124" t="s">
        <v>22</v>
      </c>
      <c r="AD124" t="s">
        <v>661</v>
      </c>
      <c r="AE124">
        <v>8.6084986538718892E-5</v>
      </c>
      <c r="AG124" t="s">
        <v>97</v>
      </c>
      <c r="AH124" t="s">
        <v>661</v>
      </c>
      <c r="AI124">
        <v>0</v>
      </c>
    </row>
    <row r="125" spans="5:35" x14ac:dyDescent="0.45">
      <c r="E125" t="s">
        <v>502</v>
      </c>
      <c r="G125" t="s">
        <v>436</v>
      </c>
      <c r="I125" t="s">
        <v>249</v>
      </c>
      <c r="J125" t="s">
        <v>662</v>
      </c>
      <c r="K125">
        <v>3.4405373539710002E-4</v>
      </c>
      <c r="L125" t="s">
        <v>251</v>
      </c>
      <c r="N125" t="s">
        <v>419</v>
      </c>
      <c r="O125" t="s">
        <v>662</v>
      </c>
      <c r="P125">
        <v>2.236389553603E-4</v>
      </c>
      <c r="Q125" t="s">
        <v>251</v>
      </c>
      <c r="S125" t="s">
        <v>420</v>
      </c>
      <c r="T125" t="s">
        <v>662</v>
      </c>
      <c r="U125">
        <v>1.6571625308049999E-4</v>
      </c>
      <c r="V125" t="s">
        <v>251</v>
      </c>
      <c r="X125">
        <v>1.1415525114155251E-4</v>
      </c>
      <c r="Y125">
        <v>1.408812536774151E-4</v>
      </c>
      <c r="Z125" t="s">
        <v>662</v>
      </c>
      <c r="AA125" t="s">
        <v>25</v>
      </c>
      <c r="AC125" t="s">
        <v>22</v>
      </c>
      <c r="AD125" t="s">
        <v>662</v>
      </c>
      <c r="AE125">
        <v>9.6653964337571274E-5</v>
      </c>
      <c r="AG125" t="s">
        <v>97</v>
      </c>
      <c r="AH125" t="s">
        <v>662</v>
      </c>
      <c r="AI125">
        <v>0</v>
      </c>
    </row>
    <row r="126" spans="5:35" x14ac:dyDescent="0.45">
      <c r="E126" t="s">
        <v>503</v>
      </c>
      <c r="G126" t="s">
        <v>436</v>
      </c>
      <c r="I126" t="s">
        <v>249</v>
      </c>
      <c r="J126" t="s">
        <v>663</v>
      </c>
      <c r="K126">
        <v>3.4326780085729998E-4</v>
      </c>
      <c r="L126" t="s">
        <v>251</v>
      </c>
      <c r="N126" t="s">
        <v>419</v>
      </c>
      <c r="O126" t="s">
        <v>663</v>
      </c>
      <c r="P126">
        <v>2.223601436964E-4</v>
      </c>
      <c r="Q126" t="s">
        <v>251</v>
      </c>
      <c r="S126" t="s">
        <v>420</v>
      </c>
      <c r="T126" t="s">
        <v>663</v>
      </c>
      <c r="U126">
        <v>1.4991196910819999E-4</v>
      </c>
      <c r="V126" t="s">
        <v>251</v>
      </c>
      <c r="X126">
        <v>1.1415525114155251E-4</v>
      </c>
      <c r="Y126">
        <v>1.4054976837464471E-4</v>
      </c>
      <c r="Z126" t="s">
        <v>663</v>
      </c>
      <c r="AA126" t="s">
        <v>25</v>
      </c>
      <c r="AC126" t="s">
        <v>22</v>
      </c>
      <c r="AD126" t="s">
        <v>663</v>
      </c>
      <c r="AE126">
        <v>1.0768741584269895E-4</v>
      </c>
      <c r="AG126" t="s">
        <v>97</v>
      </c>
      <c r="AH126" t="s">
        <v>663</v>
      </c>
      <c r="AI126">
        <v>0</v>
      </c>
    </row>
    <row r="127" spans="5:35" x14ac:dyDescent="0.45">
      <c r="E127" t="s">
        <v>504</v>
      </c>
      <c r="G127" t="s">
        <v>436</v>
      </c>
      <c r="I127" t="s">
        <v>249</v>
      </c>
      <c r="J127" t="s">
        <v>664</v>
      </c>
      <c r="K127">
        <v>3.3037400184009999E-4</v>
      </c>
      <c r="L127" t="s">
        <v>251</v>
      </c>
      <c r="N127" t="s">
        <v>419</v>
      </c>
      <c r="O127" t="s">
        <v>664</v>
      </c>
      <c r="P127">
        <v>2.2135443955769999E-4</v>
      </c>
      <c r="Q127" t="s">
        <v>251</v>
      </c>
      <c r="S127" t="s">
        <v>420</v>
      </c>
      <c r="T127" t="s">
        <v>664</v>
      </c>
      <c r="U127">
        <v>1.4440057610470001E-4</v>
      </c>
      <c r="V127" t="s">
        <v>251</v>
      </c>
      <c r="X127">
        <v>1.1415525114155251E-4</v>
      </c>
      <c r="Y127">
        <v>1.4253868019126702E-4</v>
      </c>
      <c r="Z127" t="s">
        <v>664</v>
      </c>
      <c r="AA127" t="s">
        <v>25</v>
      </c>
      <c r="AC127" t="s">
        <v>22</v>
      </c>
      <c r="AD127" t="s">
        <v>664</v>
      </c>
      <c r="AE127">
        <v>1.1842820355932346E-4</v>
      </c>
      <c r="AG127" t="s">
        <v>97</v>
      </c>
      <c r="AH127" t="s">
        <v>664</v>
      </c>
      <c r="AI127">
        <v>0</v>
      </c>
    </row>
    <row r="128" spans="5:35" x14ac:dyDescent="0.45">
      <c r="E128" t="s">
        <v>505</v>
      </c>
      <c r="G128" t="s">
        <v>436</v>
      </c>
      <c r="I128" t="s">
        <v>249</v>
      </c>
      <c r="J128" t="s">
        <v>665</v>
      </c>
      <c r="K128">
        <v>3.3262692613489998E-4</v>
      </c>
      <c r="L128" t="s">
        <v>251</v>
      </c>
      <c r="N128" t="s">
        <v>419</v>
      </c>
      <c r="O128" t="s">
        <v>665</v>
      </c>
      <c r="P128">
        <v>2.2362515325169999E-4</v>
      </c>
      <c r="Q128" t="s">
        <v>251</v>
      </c>
      <c r="S128" t="s">
        <v>420</v>
      </c>
      <c r="T128" t="s">
        <v>665</v>
      </c>
      <c r="U128">
        <v>1.5011201062369999E-4</v>
      </c>
      <c r="V128" t="s">
        <v>251</v>
      </c>
      <c r="X128">
        <v>1.1415525114155251E-4</v>
      </c>
      <c r="Y128">
        <v>1.4883690094390442E-4</v>
      </c>
      <c r="Z128" t="s">
        <v>665</v>
      </c>
      <c r="AA128" t="s">
        <v>25</v>
      </c>
      <c r="AC128" t="s">
        <v>22</v>
      </c>
      <c r="AD128" t="s">
        <v>665</v>
      </c>
      <c r="AE128">
        <v>1.2651740933070378E-4</v>
      </c>
      <c r="AG128" t="s">
        <v>97</v>
      </c>
      <c r="AH128" t="s">
        <v>665</v>
      </c>
      <c r="AI128">
        <v>0</v>
      </c>
    </row>
    <row r="129" spans="5:35" x14ac:dyDescent="0.45">
      <c r="E129" t="s">
        <v>506</v>
      </c>
      <c r="G129" t="s">
        <v>436</v>
      </c>
      <c r="I129" t="s">
        <v>249</v>
      </c>
      <c r="J129" t="s">
        <v>666</v>
      </c>
      <c r="K129">
        <v>3.3162910556639997E-4</v>
      </c>
      <c r="L129" t="s">
        <v>251</v>
      </c>
      <c r="N129" t="s">
        <v>419</v>
      </c>
      <c r="O129" t="s">
        <v>666</v>
      </c>
      <c r="P129">
        <v>2.258250843121E-4</v>
      </c>
      <c r="Q129" t="s">
        <v>251</v>
      </c>
      <c r="S129" t="s">
        <v>420</v>
      </c>
      <c r="T129" t="s">
        <v>666</v>
      </c>
      <c r="U129">
        <v>1.6118714076679999E-4</v>
      </c>
      <c r="V129" t="s">
        <v>251</v>
      </c>
      <c r="X129">
        <v>1.1415525114155251E-4</v>
      </c>
      <c r="Y129">
        <v>1.5049432745775637E-4</v>
      </c>
      <c r="Z129" t="s">
        <v>666</v>
      </c>
      <c r="AA129" t="s">
        <v>25</v>
      </c>
      <c r="AC129" t="s">
        <v>22</v>
      </c>
      <c r="AD129" t="s">
        <v>666</v>
      </c>
      <c r="AE129">
        <v>1.2196631400884841E-4</v>
      </c>
      <c r="AG129" t="s">
        <v>97</v>
      </c>
      <c r="AH129" t="s">
        <v>666</v>
      </c>
      <c r="AI129">
        <v>0</v>
      </c>
    </row>
    <row r="130" spans="5:35" x14ac:dyDescent="0.45">
      <c r="E130" t="s">
        <v>507</v>
      </c>
      <c r="G130" t="s">
        <v>436</v>
      </c>
      <c r="I130" t="s">
        <v>249</v>
      </c>
      <c r="J130" t="s">
        <v>667</v>
      </c>
      <c r="K130">
        <v>3.1947068534269999E-4</v>
      </c>
      <c r="L130" t="s">
        <v>251</v>
      </c>
      <c r="N130" t="s">
        <v>419</v>
      </c>
      <c r="O130" t="s">
        <v>667</v>
      </c>
      <c r="P130">
        <v>2.1961672345450001E-4</v>
      </c>
      <c r="Q130" t="s">
        <v>251</v>
      </c>
      <c r="S130" t="s">
        <v>420</v>
      </c>
      <c r="T130" t="s">
        <v>667</v>
      </c>
      <c r="U130">
        <v>1.86352687676E-4</v>
      </c>
      <c r="V130" t="s">
        <v>251</v>
      </c>
      <c r="X130">
        <v>1.1415525114155251E-4</v>
      </c>
      <c r="Y130">
        <v>1.7237235744060203E-4</v>
      </c>
      <c r="Z130" t="s">
        <v>667</v>
      </c>
      <c r="AA130" t="s">
        <v>25</v>
      </c>
      <c r="AC130" t="s">
        <v>22</v>
      </c>
      <c r="AD130" t="s">
        <v>667</v>
      </c>
      <c r="AE130">
        <v>1.2007080241603627E-4</v>
      </c>
      <c r="AG130" t="s">
        <v>97</v>
      </c>
      <c r="AH130" t="s">
        <v>667</v>
      </c>
      <c r="AI130">
        <v>0</v>
      </c>
    </row>
    <row r="131" spans="5:35" x14ac:dyDescent="0.45">
      <c r="E131" t="s">
        <v>216</v>
      </c>
      <c r="G131" t="s">
        <v>438</v>
      </c>
      <c r="I131" t="s">
        <v>249</v>
      </c>
      <c r="J131" t="s">
        <v>668</v>
      </c>
      <c r="K131">
        <v>2.9464130636330002E-4</v>
      </c>
      <c r="L131" t="s">
        <v>251</v>
      </c>
      <c r="N131" t="s">
        <v>419</v>
      </c>
      <c r="O131" t="s">
        <v>668</v>
      </c>
      <c r="P131">
        <v>2.161053250759E-4</v>
      </c>
      <c r="Q131" t="s">
        <v>251</v>
      </c>
      <c r="S131" t="s">
        <v>420</v>
      </c>
      <c r="T131" t="s">
        <v>668</v>
      </c>
      <c r="U131">
        <v>1.9113431457799999E-4</v>
      </c>
      <c r="V131" t="s">
        <v>251</v>
      </c>
      <c r="X131">
        <v>1.1415525114155251E-4</v>
      </c>
      <c r="Y131">
        <v>2.2209515285616027E-4</v>
      </c>
      <c r="Z131" t="s">
        <v>668</v>
      </c>
      <c r="AA131" t="s">
        <v>25</v>
      </c>
      <c r="AC131" t="s">
        <v>22</v>
      </c>
      <c r="AD131" t="s">
        <v>668</v>
      </c>
      <c r="AE131">
        <v>1.1999316781033487E-4</v>
      </c>
      <c r="AG131" t="s">
        <v>97</v>
      </c>
      <c r="AH131" t="s">
        <v>668</v>
      </c>
      <c r="AI131">
        <v>0</v>
      </c>
    </row>
    <row r="132" spans="5:35" x14ac:dyDescent="0.45">
      <c r="E132" t="s">
        <v>217</v>
      </c>
      <c r="G132" t="s">
        <v>438</v>
      </c>
      <c r="I132" t="s">
        <v>249</v>
      </c>
      <c r="J132" t="s">
        <v>669</v>
      </c>
      <c r="K132">
        <v>2.5377261493689999E-4</v>
      </c>
      <c r="L132" t="s">
        <v>251</v>
      </c>
      <c r="N132" t="s">
        <v>419</v>
      </c>
      <c r="O132" t="s">
        <v>669</v>
      </c>
      <c r="P132">
        <v>2.1293151189600001E-4</v>
      </c>
      <c r="Q132" t="s">
        <v>251</v>
      </c>
      <c r="S132" t="s">
        <v>420</v>
      </c>
      <c r="T132" t="s">
        <v>669</v>
      </c>
      <c r="U132">
        <v>2.031951628682E-4</v>
      </c>
      <c r="V132" t="s">
        <v>251</v>
      </c>
      <c r="X132">
        <v>1.1415525114155251E-4</v>
      </c>
      <c r="Y132">
        <v>2.2209515285616027E-4</v>
      </c>
      <c r="Z132" t="s">
        <v>669</v>
      </c>
      <c r="AA132" t="s">
        <v>25</v>
      </c>
      <c r="AC132" t="s">
        <v>22</v>
      </c>
      <c r="AD132" t="s">
        <v>669</v>
      </c>
      <c r="AE132">
        <v>1.1943531914874865E-4</v>
      </c>
      <c r="AG132" t="s">
        <v>97</v>
      </c>
      <c r="AH132" t="s">
        <v>669</v>
      </c>
      <c r="AI132">
        <v>0</v>
      </c>
    </row>
    <row r="133" spans="5:35" x14ac:dyDescent="0.45">
      <c r="E133" t="s">
        <v>218</v>
      </c>
      <c r="G133" t="s">
        <v>438</v>
      </c>
      <c r="I133" t="s">
        <v>249</v>
      </c>
      <c r="J133" t="s">
        <v>670</v>
      </c>
      <c r="K133">
        <v>1.8316235416300001E-4</v>
      </c>
      <c r="L133" t="s">
        <v>251</v>
      </c>
      <c r="N133" t="s">
        <v>419</v>
      </c>
      <c r="O133" t="s">
        <v>670</v>
      </c>
      <c r="P133">
        <v>2.0227875475170001E-4</v>
      </c>
      <c r="Q133" t="s">
        <v>251</v>
      </c>
      <c r="S133" t="s">
        <v>420</v>
      </c>
      <c r="T133" t="s">
        <v>670</v>
      </c>
      <c r="U133">
        <v>2.191540996744E-4</v>
      </c>
      <c r="V133" t="s">
        <v>251</v>
      </c>
      <c r="X133">
        <v>1.1415525114155251E-4</v>
      </c>
      <c r="Y133">
        <v>1.7237235744060203E-4</v>
      </c>
      <c r="Z133" t="s">
        <v>670</v>
      </c>
      <c r="AA133" t="s">
        <v>25</v>
      </c>
      <c r="AC133" t="s">
        <v>22</v>
      </c>
      <c r="AD133" t="s">
        <v>670</v>
      </c>
      <c r="AE133">
        <v>1.1980801861323259E-4</v>
      </c>
      <c r="AG133" t="s">
        <v>97</v>
      </c>
      <c r="AH133" t="s">
        <v>670</v>
      </c>
      <c r="AI133">
        <v>0</v>
      </c>
    </row>
    <row r="134" spans="5:35" x14ac:dyDescent="0.45">
      <c r="E134" t="s">
        <v>219</v>
      </c>
      <c r="G134" t="s">
        <v>438</v>
      </c>
      <c r="I134" t="s">
        <v>249</v>
      </c>
      <c r="J134" t="s">
        <v>671</v>
      </c>
      <c r="K134">
        <v>2.4065670480551817E-5</v>
      </c>
      <c r="L134" t="s">
        <v>251</v>
      </c>
      <c r="N134" t="s">
        <v>419</v>
      </c>
      <c r="O134" t="s">
        <v>671</v>
      </c>
      <c r="P134">
        <v>1.8793857495269999E-4</v>
      </c>
      <c r="Q134" t="s">
        <v>251</v>
      </c>
      <c r="S134" t="s">
        <v>420</v>
      </c>
      <c r="T134" t="s">
        <v>671</v>
      </c>
      <c r="U134">
        <v>2.354482632242E-4</v>
      </c>
      <c r="V134" t="s">
        <v>251</v>
      </c>
      <c r="X134">
        <v>1.1415525114155251E-4</v>
      </c>
      <c r="Y134">
        <v>1.5579809230208258E-4</v>
      </c>
      <c r="Z134" t="s">
        <v>671</v>
      </c>
      <c r="AA134" t="s">
        <v>25</v>
      </c>
      <c r="AC134" t="s">
        <v>22</v>
      </c>
      <c r="AD134" t="s">
        <v>671</v>
      </c>
      <c r="AE134">
        <v>1.1964154440719253E-4</v>
      </c>
      <c r="AG134" t="s">
        <v>97</v>
      </c>
      <c r="AH134" t="s">
        <v>671</v>
      </c>
      <c r="AI134">
        <v>0</v>
      </c>
    </row>
    <row r="135" spans="5:35" x14ac:dyDescent="0.45">
      <c r="E135" t="s">
        <v>220</v>
      </c>
      <c r="G135" t="s">
        <v>438</v>
      </c>
      <c r="I135" t="s">
        <v>249</v>
      </c>
      <c r="J135" t="s">
        <v>672</v>
      </c>
      <c r="K135">
        <v>0</v>
      </c>
      <c r="L135" t="s">
        <v>251</v>
      </c>
      <c r="N135" t="s">
        <v>419</v>
      </c>
      <c r="O135" t="s">
        <v>672</v>
      </c>
      <c r="P135">
        <v>1.739003567882E-4</v>
      </c>
      <c r="Q135" t="s">
        <v>251</v>
      </c>
      <c r="S135" t="s">
        <v>420</v>
      </c>
      <c r="T135" t="s">
        <v>672</v>
      </c>
      <c r="U135">
        <v>2.5028129366659997E-4</v>
      </c>
      <c r="V135" t="s">
        <v>251</v>
      </c>
      <c r="X135">
        <v>1.1415525114155251E-4</v>
      </c>
      <c r="Y135">
        <v>1.093901499142282E-4</v>
      </c>
      <c r="Z135" t="s">
        <v>672</v>
      </c>
      <c r="AA135" t="s">
        <v>25</v>
      </c>
      <c r="AC135" t="s">
        <v>22</v>
      </c>
      <c r="AD135" t="s">
        <v>672</v>
      </c>
      <c r="AE135">
        <v>1.1980561754295318E-4</v>
      </c>
      <c r="AG135" t="s">
        <v>97</v>
      </c>
      <c r="AH135" t="s">
        <v>672</v>
      </c>
      <c r="AI135">
        <v>0</v>
      </c>
    </row>
    <row r="136" spans="5:35" x14ac:dyDescent="0.45">
      <c r="E136" t="s">
        <v>221</v>
      </c>
      <c r="G136" t="s">
        <v>438</v>
      </c>
      <c r="I136" t="s">
        <v>249</v>
      </c>
      <c r="J136" t="s">
        <v>673</v>
      </c>
      <c r="K136">
        <v>0</v>
      </c>
      <c r="L136" t="s">
        <v>251</v>
      </c>
      <c r="N136" t="s">
        <v>419</v>
      </c>
      <c r="O136" t="s">
        <v>673</v>
      </c>
      <c r="P136">
        <v>1.6339823653330001E-4</v>
      </c>
      <c r="Q136" t="s">
        <v>251</v>
      </c>
      <c r="S136" t="s">
        <v>420</v>
      </c>
      <c r="T136" t="s">
        <v>673</v>
      </c>
      <c r="U136">
        <v>2.5910852710629999E-4</v>
      </c>
      <c r="V136" t="s">
        <v>251</v>
      </c>
      <c r="X136">
        <v>1.1415525114155251E-4</v>
      </c>
      <c r="Y136">
        <v>7.9556472664893237E-5</v>
      </c>
      <c r="Z136" t="s">
        <v>673</v>
      </c>
      <c r="AA136" t="s">
        <v>25</v>
      </c>
      <c r="AC136" t="s">
        <v>22</v>
      </c>
      <c r="AD136" t="s">
        <v>673</v>
      </c>
      <c r="AE136">
        <v>1.2017404843805149E-4</v>
      </c>
      <c r="AG136" t="s">
        <v>97</v>
      </c>
      <c r="AH136" t="s">
        <v>673</v>
      </c>
      <c r="AI136">
        <v>0</v>
      </c>
    </row>
    <row r="137" spans="5:35" x14ac:dyDescent="0.45">
      <c r="E137" t="s">
        <v>222</v>
      </c>
      <c r="G137" t="s">
        <v>438</v>
      </c>
      <c r="I137" t="s">
        <v>249</v>
      </c>
      <c r="J137" t="s">
        <v>674</v>
      </c>
      <c r="K137">
        <v>0</v>
      </c>
      <c r="L137" t="s">
        <v>251</v>
      </c>
      <c r="N137" t="s">
        <v>419</v>
      </c>
      <c r="O137" t="s">
        <v>674</v>
      </c>
      <c r="P137">
        <v>1.5808852878660001E-4</v>
      </c>
      <c r="Q137" t="s">
        <v>251</v>
      </c>
      <c r="S137" t="s">
        <v>420</v>
      </c>
      <c r="T137" t="s">
        <v>674</v>
      </c>
      <c r="U137">
        <v>2.6379380446880002E-4</v>
      </c>
      <c r="V137" t="s">
        <v>251</v>
      </c>
      <c r="X137">
        <v>1.1415525114155251E-4</v>
      </c>
      <c r="Y137">
        <v>5.6352501470966035E-5</v>
      </c>
      <c r="Z137" t="s">
        <v>674</v>
      </c>
      <c r="AA137" t="s">
        <v>25</v>
      </c>
      <c r="AC137" t="s">
        <v>22</v>
      </c>
      <c r="AD137" t="s">
        <v>674</v>
      </c>
      <c r="AE137">
        <v>1.2011722310810513E-4</v>
      </c>
      <c r="AG137" t="s">
        <v>97</v>
      </c>
      <c r="AH137" t="s">
        <v>674</v>
      </c>
      <c r="AI137">
        <v>0</v>
      </c>
    </row>
    <row r="138" spans="5:35" x14ac:dyDescent="0.45">
      <c r="E138" t="s">
        <v>223</v>
      </c>
      <c r="G138" t="s">
        <v>438</v>
      </c>
      <c r="I138" t="s">
        <v>249</v>
      </c>
      <c r="J138" t="s">
        <v>675</v>
      </c>
      <c r="K138">
        <v>0</v>
      </c>
      <c r="L138" t="s">
        <v>251</v>
      </c>
      <c r="N138" t="s">
        <v>419</v>
      </c>
      <c r="O138" t="s">
        <v>675</v>
      </c>
      <c r="P138">
        <v>1.5942046812069999E-4</v>
      </c>
      <c r="Q138" t="s">
        <v>251</v>
      </c>
      <c r="S138" t="s">
        <v>420</v>
      </c>
      <c r="T138" t="s">
        <v>675</v>
      </c>
      <c r="U138">
        <v>2.6760112112930002E-4</v>
      </c>
      <c r="V138" t="s">
        <v>251</v>
      </c>
      <c r="X138">
        <v>1.1415525114155251E-4</v>
      </c>
      <c r="Y138">
        <v>2.9833677249334962E-5</v>
      </c>
      <c r="Z138" t="s">
        <v>675</v>
      </c>
      <c r="AA138" t="s">
        <v>25</v>
      </c>
      <c r="AC138" t="s">
        <v>22</v>
      </c>
      <c r="AD138" t="s">
        <v>675</v>
      </c>
      <c r="AE138">
        <v>1.2083274205137355E-4</v>
      </c>
      <c r="AG138" t="s">
        <v>97</v>
      </c>
      <c r="AH138" t="s">
        <v>675</v>
      </c>
      <c r="AI138">
        <v>0</v>
      </c>
    </row>
    <row r="139" spans="5:35" x14ac:dyDescent="0.45">
      <c r="E139" t="s">
        <v>224</v>
      </c>
      <c r="G139" t="s">
        <v>438</v>
      </c>
      <c r="I139" t="s">
        <v>249</v>
      </c>
      <c r="J139" t="s">
        <v>331</v>
      </c>
      <c r="K139">
        <v>4.6296226925733543E-4</v>
      </c>
      <c r="L139" t="s">
        <v>251</v>
      </c>
      <c r="N139" t="s">
        <v>419</v>
      </c>
      <c r="O139" t="s">
        <v>331</v>
      </c>
      <c r="P139">
        <v>2.2487552015029933E-2</v>
      </c>
      <c r="Q139" t="s">
        <v>251</v>
      </c>
      <c r="S139" t="s">
        <v>420</v>
      </c>
      <c r="T139" t="s">
        <v>331</v>
      </c>
      <c r="U139">
        <v>2.0990730100364226E-2</v>
      </c>
      <c r="V139" t="s">
        <v>251</v>
      </c>
      <c r="X139">
        <v>2.0547945205479451E-2</v>
      </c>
      <c r="Y139">
        <v>4.3954951147353507E-3</v>
      </c>
      <c r="Z139" t="s">
        <v>331</v>
      </c>
      <c r="AA139" t="s">
        <v>25</v>
      </c>
      <c r="AC139" t="s">
        <v>22</v>
      </c>
      <c r="AD139" t="s">
        <v>331</v>
      </c>
      <c r="AE139">
        <v>1.9025830982877592E-2</v>
      </c>
      <c r="AG139" t="s">
        <v>97</v>
      </c>
      <c r="AH139" t="s">
        <v>331</v>
      </c>
      <c r="AI139">
        <v>0.13906457875158762</v>
      </c>
    </row>
    <row r="140" spans="5:35" x14ac:dyDescent="0.45">
      <c r="E140" t="s">
        <v>225</v>
      </c>
      <c r="G140" t="s">
        <v>438</v>
      </c>
      <c r="I140" t="s">
        <v>249</v>
      </c>
      <c r="J140" t="s">
        <v>332</v>
      </c>
      <c r="K140">
        <v>4.2214223351256658E-3</v>
      </c>
      <c r="L140" t="s">
        <v>251</v>
      </c>
      <c r="N140" t="s">
        <v>419</v>
      </c>
      <c r="O140" t="s">
        <v>332</v>
      </c>
      <c r="P140">
        <v>3.2468089551344072E-3</v>
      </c>
      <c r="Q140" t="s">
        <v>251</v>
      </c>
      <c r="S140" t="s">
        <v>420</v>
      </c>
      <c r="T140" t="s">
        <v>332</v>
      </c>
      <c r="U140">
        <v>3.2964759771166243E-3</v>
      </c>
      <c r="V140" t="s">
        <v>251</v>
      </c>
      <c r="X140">
        <v>3.4246575342465752E-3</v>
      </c>
      <c r="Y140">
        <v>5.0717251323869452E-3</v>
      </c>
      <c r="Z140" t="s">
        <v>332</v>
      </c>
      <c r="AA140" t="s">
        <v>25</v>
      </c>
      <c r="AC140" t="s">
        <v>22</v>
      </c>
      <c r="AD140" t="s">
        <v>332</v>
      </c>
      <c r="AE140">
        <v>2.5569691604114099E-3</v>
      </c>
      <c r="AG140" t="s">
        <v>97</v>
      </c>
      <c r="AH140" t="s">
        <v>332</v>
      </c>
      <c r="AI140">
        <v>3.8706276680738894E-2</v>
      </c>
    </row>
    <row r="141" spans="5:35" x14ac:dyDescent="0.45">
      <c r="E141" t="s">
        <v>226</v>
      </c>
      <c r="G141" t="s">
        <v>438</v>
      </c>
      <c r="I141" t="s">
        <v>249</v>
      </c>
      <c r="J141" t="s">
        <v>333</v>
      </c>
      <c r="K141">
        <v>6.3540179559276998E-3</v>
      </c>
      <c r="L141" t="s">
        <v>251</v>
      </c>
      <c r="N141" t="s">
        <v>419</v>
      </c>
      <c r="O141" t="s">
        <v>333</v>
      </c>
      <c r="P141">
        <v>3.000590852126242E-3</v>
      </c>
      <c r="Q141" t="s">
        <v>251</v>
      </c>
      <c r="S141" t="s">
        <v>420</v>
      </c>
      <c r="T141" t="s">
        <v>333</v>
      </c>
      <c r="U141">
        <v>3.2876453443940888E-3</v>
      </c>
      <c r="V141" t="s">
        <v>251</v>
      </c>
      <c r="X141">
        <v>3.4246575342465752E-3</v>
      </c>
      <c r="Y141">
        <v>5.7181214727892006E-3</v>
      </c>
      <c r="Z141" t="s">
        <v>333</v>
      </c>
      <c r="AA141" t="s">
        <v>25</v>
      </c>
      <c r="AC141" t="s">
        <v>22</v>
      </c>
      <c r="AD141" t="s">
        <v>333</v>
      </c>
      <c r="AE141">
        <v>2.4835575037603598E-3</v>
      </c>
      <c r="AG141" t="s">
        <v>97</v>
      </c>
      <c r="AH141" t="s">
        <v>333</v>
      </c>
      <c r="AI141">
        <v>2.8895341378121442E-2</v>
      </c>
    </row>
    <row r="142" spans="5:35" x14ac:dyDescent="0.45">
      <c r="E142" t="s">
        <v>227</v>
      </c>
      <c r="G142" t="s">
        <v>438</v>
      </c>
      <c r="I142" t="s">
        <v>249</v>
      </c>
      <c r="J142" t="s">
        <v>334</v>
      </c>
      <c r="K142">
        <v>6.1490520576129498E-2</v>
      </c>
      <c r="L142" t="s">
        <v>251</v>
      </c>
      <c r="N142" t="s">
        <v>419</v>
      </c>
      <c r="O142" t="s">
        <v>334</v>
      </c>
      <c r="P142">
        <v>2.2384712354571821E-2</v>
      </c>
      <c r="Q142" t="s">
        <v>251</v>
      </c>
      <c r="S142" t="s">
        <v>420</v>
      </c>
      <c r="T142" t="s">
        <v>334</v>
      </c>
      <c r="U142">
        <v>2.2416583192392984E-2</v>
      </c>
      <c r="V142" t="s">
        <v>251</v>
      </c>
      <c r="X142">
        <v>2.3972602739726026E-2</v>
      </c>
      <c r="Y142">
        <v>3.0410461676155433E-2</v>
      </c>
      <c r="Z142" t="s">
        <v>334</v>
      </c>
      <c r="AA142" t="s">
        <v>25</v>
      </c>
      <c r="AC142" t="s">
        <v>22</v>
      </c>
      <c r="AD142" t="s">
        <v>334</v>
      </c>
      <c r="AE142">
        <v>2.0872828205937218E-2</v>
      </c>
      <c r="AG142" t="s">
        <v>97</v>
      </c>
      <c r="AH142" t="s">
        <v>334</v>
      </c>
      <c r="AI142">
        <v>0.21158328492343137</v>
      </c>
    </row>
    <row r="143" spans="5:35" x14ac:dyDescent="0.45">
      <c r="E143" t="s">
        <v>228</v>
      </c>
      <c r="G143" t="s">
        <v>438</v>
      </c>
      <c r="I143" t="s">
        <v>249</v>
      </c>
      <c r="J143" t="s">
        <v>335</v>
      </c>
      <c r="K143">
        <v>8.2954786196219998E-3</v>
      </c>
      <c r="L143" t="s">
        <v>251</v>
      </c>
      <c r="N143" t="s">
        <v>419</v>
      </c>
      <c r="O143" t="s">
        <v>335</v>
      </c>
      <c r="P143">
        <v>3.343106122791469E-3</v>
      </c>
      <c r="Q143" t="s">
        <v>251</v>
      </c>
      <c r="S143" t="s">
        <v>420</v>
      </c>
      <c r="T143" t="s">
        <v>335</v>
      </c>
      <c r="U143">
        <v>3.5450920121582207E-3</v>
      </c>
      <c r="V143" t="s">
        <v>251</v>
      </c>
      <c r="X143">
        <v>3.4246575342465752E-3</v>
      </c>
      <c r="Y143">
        <v>5.1711707232180593E-3</v>
      </c>
      <c r="Z143" t="s">
        <v>335</v>
      </c>
      <c r="AA143" t="s">
        <v>25</v>
      </c>
      <c r="AC143" t="s">
        <v>22</v>
      </c>
      <c r="AD143" t="s">
        <v>335</v>
      </c>
      <c r="AE143">
        <v>3.4084625811027407E-3</v>
      </c>
      <c r="AG143" t="s">
        <v>97</v>
      </c>
      <c r="AH143" t="s">
        <v>335</v>
      </c>
      <c r="AI143">
        <v>4.9753337081057669E-2</v>
      </c>
    </row>
    <row r="144" spans="5:35" x14ac:dyDescent="0.45">
      <c r="E144" t="s">
        <v>229</v>
      </c>
      <c r="G144" t="s">
        <v>438</v>
      </c>
      <c r="I144" t="s">
        <v>249</v>
      </c>
      <c r="J144" t="s">
        <v>336</v>
      </c>
      <c r="K144">
        <v>7.4552071879955004E-3</v>
      </c>
      <c r="L144" t="s">
        <v>251</v>
      </c>
      <c r="N144" t="s">
        <v>419</v>
      </c>
      <c r="O144" t="s">
        <v>336</v>
      </c>
      <c r="P144">
        <v>3.3403865479489751E-3</v>
      </c>
      <c r="Q144" t="s">
        <v>251</v>
      </c>
      <c r="S144" t="s">
        <v>420</v>
      </c>
      <c r="T144" t="s">
        <v>336</v>
      </c>
      <c r="U144">
        <v>3.5052771632204469E-3</v>
      </c>
      <c r="V144" t="s">
        <v>251</v>
      </c>
      <c r="X144">
        <v>3.4246575342465752E-3</v>
      </c>
      <c r="Y144">
        <v>6.662854585684809E-3</v>
      </c>
      <c r="Z144" t="s">
        <v>336</v>
      </c>
      <c r="AA144" t="s">
        <v>25</v>
      </c>
      <c r="AC144" t="s">
        <v>22</v>
      </c>
      <c r="AD144" t="s">
        <v>336</v>
      </c>
      <c r="AE144">
        <v>3.415109543992947E-3</v>
      </c>
      <c r="AG144" t="s">
        <v>97</v>
      </c>
      <c r="AH144" t="s">
        <v>336</v>
      </c>
      <c r="AI144">
        <v>5.4283378043656683E-2</v>
      </c>
    </row>
    <row r="145" spans="5:35" x14ac:dyDescent="0.45">
      <c r="E145" t="s">
        <v>230</v>
      </c>
      <c r="G145" t="s">
        <v>438</v>
      </c>
      <c r="I145" t="s">
        <v>249</v>
      </c>
      <c r="J145" t="s">
        <v>337</v>
      </c>
      <c r="K145">
        <v>6.2506244789569997E-3</v>
      </c>
      <c r="L145" t="s">
        <v>251</v>
      </c>
      <c r="N145" t="s">
        <v>419</v>
      </c>
      <c r="O145" t="s">
        <v>337</v>
      </c>
      <c r="P145">
        <v>3.2854897979962415E-3</v>
      </c>
      <c r="Q145" t="s">
        <v>251</v>
      </c>
      <c r="S145" t="s">
        <v>420</v>
      </c>
      <c r="T145" t="s">
        <v>337</v>
      </c>
      <c r="U145">
        <v>3.5405348340358683E-3</v>
      </c>
      <c r="V145" t="s">
        <v>251</v>
      </c>
      <c r="X145">
        <v>3.4246575342465752E-3</v>
      </c>
      <c r="Y145">
        <v>6.662854585684809E-3</v>
      </c>
      <c r="Z145" t="s">
        <v>337</v>
      </c>
      <c r="AA145" t="s">
        <v>25</v>
      </c>
      <c r="AC145" t="s">
        <v>22</v>
      </c>
      <c r="AD145" t="s">
        <v>337</v>
      </c>
      <c r="AE145">
        <v>3.4197126625041901E-3</v>
      </c>
      <c r="AG145" t="s">
        <v>97</v>
      </c>
      <c r="AH145" t="s">
        <v>337</v>
      </c>
      <c r="AI145">
        <v>5.8928067073952484E-2</v>
      </c>
    </row>
    <row r="146" spans="5:35" x14ac:dyDescent="0.45">
      <c r="E146" t="s">
        <v>231</v>
      </c>
      <c r="G146" t="s">
        <v>438</v>
      </c>
      <c r="I146" t="s">
        <v>249</v>
      </c>
      <c r="J146" t="s">
        <v>338</v>
      </c>
      <c r="K146">
        <v>6.1544740031178793E-3</v>
      </c>
      <c r="L146" t="s">
        <v>251</v>
      </c>
      <c r="N146" t="s">
        <v>419</v>
      </c>
      <c r="O146" t="s">
        <v>338</v>
      </c>
      <c r="P146">
        <v>2.3414914582965147E-2</v>
      </c>
      <c r="Q146" t="s">
        <v>251</v>
      </c>
      <c r="S146" t="s">
        <v>420</v>
      </c>
      <c r="T146" t="s">
        <v>338</v>
      </c>
      <c r="U146">
        <v>2.37061831929729E-2</v>
      </c>
      <c r="V146" t="s">
        <v>251</v>
      </c>
      <c r="X146">
        <v>2.0547945205479451E-2</v>
      </c>
      <c r="Y146">
        <v>1.8099097531263209E-2</v>
      </c>
      <c r="Z146" t="s">
        <v>338</v>
      </c>
      <c r="AA146" t="s">
        <v>25</v>
      </c>
      <c r="AC146" t="s">
        <v>22</v>
      </c>
      <c r="AD146" t="s">
        <v>338</v>
      </c>
      <c r="AE146">
        <v>2.0778463153714392E-2</v>
      </c>
      <c r="AG146" t="s">
        <v>97</v>
      </c>
      <c r="AH146" t="s">
        <v>338</v>
      </c>
      <c r="AI146">
        <v>8.201074077562942E-2</v>
      </c>
    </row>
    <row r="147" spans="5:35" x14ac:dyDescent="0.45">
      <c r="E147" t="s">
        <v>232</v>
      </c>
      <c r="G147" t="s">
        <v>438</v>
      </c>
      <c r="I147" t="s">
        <v>249</v>
      </c>
      <c r="J147" t="s">
        <v>676</v>
      </c>
      <c r="K147">
        <v>0</v>
      </c>
      <c r="L147" t="s">
        <v>251</v>
      </c>
      <c r="N147" t="s">
        <v>419</v>
      </c>
      <c r="O147" t="s">
        <v>676</v>
      </c>
      <c r="P147">
        <v>1.9194882854649999E-4</v>
      </c>
      <c r="Q147" t="s">
        <v>251</v>
      </c>
      <c r="S147" t="s">
        <v>420</v>
      </c>
      <c r="T147" t="s">
        <v>676</v>
      </c>
      <c r="U147">
        <v>1.886618492409E-4</v>
      </c>
      <c r="V147" t="s">
        <v>251</v>
      </c>
      <c r="X147">
        <v>1.1415525114155251E-4</v>
      </c>
      <c r="Y147">
        <v>2.1546544680075254E-5</v>
      </c>
      <c r="Z147" t="s">
        <v>676</v>
      </c>
      <c r="AA147" t="s">
        <v>25</v>
      </c>
      <c r="AC147" t="s">
        <v>22</v>
      </c>
      <c r="AD147" t="s">
        <v>676</v>
      </c>
      <c r="AE147">
        <v>1.2548731572394108E-4</v>
      </c>
      <c r="AG147" t="s">
        <v>97</v>
      </c>
      <c r="AH147" t="s">
        <v>676</v>
      </c>
      <c r="AI147">
        <v>0</v>
      </c>
    </row>
    <row r="148" spans="5:35" x14ac:dyDescent="0.45">
      <c r="E148" t="s">
        <v>233</v>
      </c>
      <c r="G148" t="s">
        <v>438</v>
      </c>
      <c r="I148" t="s">
        <v>249</v>
      </c>
      <c r="J148" t="s">
        <v>677</v>
      </c>
      <c r="K148">
        <v>0</v>
      </c>
      <c r="L148" t="s">
        <v>251</v>
      </c>
      <c r="N148" t="s">
        <v>419</v>
      </c>
      <c r="O148" t="s">
        <v>677</v>
      </c>
      <c r="P148">
        <v>1.9248828625909999E-4</v>
      </c>
      <c r="Q148" t="s">
        <v>251</v>
      </c>
      <c r="S148" t="s">
        <v>420</v>
      </c>
      <c r="T148" t="s">
        <v>677</v>
      </c>
      <c r="U148">
        <v>1.8334810256760001E-4</v>
      </c>
      <c r="V148" t="s">
        <v>251</v>
      </c>
      <c r="X148">
        <v>1.1415525114155251E-4</v>
      </c>
      <c r="Y148">
        <v>1.4916838624667481E-5</v>
      </c>
      <c r="Z148" t="s">
        <v>677</v>
      </c>
      <c r="AA148" t="s">
        <v>25</v>
      </c>
      <c r="AC148" t="s">
        <v>22</v>
      </c>
      <c r="AD148" t="s">
        <v>677</v>
      </c>
      <c r="AE148">
        <v>1.2137268162176773E-4</v>
      </c>
      <c r="AG148" t="s">
        <v>97</v>
      </c>
      <c r="AH148" t="s">
        <v>677</v>
      </c>
      <c r="AI148">
        <v>0</v>
      </c>
    </row>
    <row r="149" spans="5:35" x14ac:dyDescent="0.45">
      <c r="E149" t="s">
        <v>234</v>
      </c>
      <c r="G149" t="s">
        <v>438</v>
      </c>
      <c r="I149" t="s">
        <v>249</v>
      </c>
      <c r="J149" t="s">
        <v>678</v>
      </c>
      <c r="K149">
        <v>0</v>
      </c>
      <c r="L149" t="s">
        <v>251</v>
      </c>
      <c r="N149" t="s">
        <v>419</v>
      </c>
      <c r="O149" t="s">
        <v>678</v>
      </c>
      <c r="P149">
        <v>1.8971413807749999E-4</v>
      </c>
      <c r="Q149" t="s">
        <v>251</v>
      </c>
      <c r="S149" t="s">
        <v>420</v>
      </c>
      <c r="T149" t="s">
        <v>678</v>
      </c>
      <c r="U149">
        <v>1.7873391322550001E-4</v>
      </c>
      <c r="V149" t="s">
        <v>251</v>
      </c>
      <c r="X149">
        <v>1.1415525114155251E-4</v>
      </c>
      <c r="Y149">
        <v>1.6574265138519424E-5</v>
      </c>
      <c r="Z149" t="s">
        <v>678</v>
      </c>
      <c r="AA149" t="s">
        <v>25</v>
      </c>
      <c r="AC149" t="s">
        <v>22</v>
      </c>
      <c r="AD149" t="s">
        <v>678</v>
      </c>
      <c r="AE149">
        <v>1.1738663817233687E-4</v>
      </c>
      <c r="AG149" t="s">
        <v>97</v>
      </c>
      <c r="AH149" t="s">
        <v>678</v>
      </c>
      <c r="AI149">
        <v>0</v>
      </c>
    </row>
    <row r="150" spans="5:35" x14ac:dyDescent="0.45">
      <c r="E150" t="s">
        <v>235</v>
      </c>
      <c r="G150" t="s">
        <v>438</v>
      </c>
      <c r="I150" t="s">
        <v>249</v>
      </c>
      <c r="J150" t="s">
        <v>679</v>
      </c>
      <c r="K150">
        <v>0</v>
      </c>
      <c r="L150" t="s">
        <v>251</v>
      </c>
      <c r="N150" t="s">
        <v>419</v>
      </c>
      <c r="O150" t="s">
        <v>679</v>
      </c>
      <c r="P150">
        <v>1.87923552849E-4</v>
      </c>
      <c r="Q150" t="s">
        <v>251</v>
      </c>
      <c r="S150" t="s">
        <v>420</v>
      </c>
      <c r="T150" t="s">
        <v>679</v>
      </c>
      <c r="U150">
        <v>1.8392263851689999E-4</v>
      </c>
      <c r="V150" t="s">
        <v>251</v>
      </c>
      <c r="X150">
        <v>1.1415525114155251E-4</v>
      </c>
      <c r="Y150">
        <v>1.4585353321897093E-5</v>
      </c>
      <c r="Z150" t="s">
        <v>679</v>
      </c>
      <c r="AA150" t="s">
        <v>25</v>
      </c>
      <c r="AC150" t="s">
        <v>22</v>
      </c>
      <c r="AD150" t="s">
        <v>679</v>
      </c>
      <c r="AE150">
        <v>1.0620538745223129E-4</v>
      </c>
      <c r="AG150" t="s">
        <v>97</v>
      </c>
      <c r="AH150" t="s">
        <v>679</v>
      </c>
      <c r="AI150">
        <v>0</v>
      </c>
    </row>
    <row r="151" spans="5:35" x14ac:dyDescent="0.45">
      <c r="E151" t="s">
        <v>236</v>
      </c>
      <c r="G151" t="s">
        <v>438</v>
      </c>
      <c r="I151" t="s">
        <v>249</v>
      </c>
      <c r="J151" t="s">
        <v>680</v>
      </c>
      <c r="K151">
        <v>0</v>
      </c>
      <c r="L151" t="s">
        <v>251</v>
      </c>
      <c r="N151" t="s">
        <v>419</v>
      </c>
      <c r="O151" t="s">
        <v>680</v>
      </c>
      <c r="P151">
        <v>1.8585998621099999E-4</v>
      </c>
      <c r="Q151" t="s">
        <v>251</v>
      </c>
      <c r="S151" t="s">
        <v>420</v>
      </c>
      <c r="T151" t="s">
        <v>680</v>
      </c>
      <c r="U151">
        <v>1.602485532529E-4</v>
      </c>
      <c r="V151" t="s">
        <v>251</v>
      </c>
      <c r="X151">
        <v>1.1415525114155251E-4</v>
      </c>
      <c r="Y151">
        <v>2.1215059377304864E-5</v>
      </c>
      <c r="Z151" t="s">
        <v>680</v>
      </c>
      <c r="AA151" t="s">
        <v>25</v>
      </c>
      <c r="AC151" t="s">
        <v>22</v>
      </c>
      <c r="AD151" t="s">
        <v>680</v>
      </c>
      <c r="AE151">
        <v>1.0158226002199319E-4</v>
      </c>
      <c r="AG151" t="s">
        <v>97</v>
      </c>
      <c r="AH151" t="s">
        <v>680</v>
      </c>
      <c r="AI151">
        <v>0</v>
      </c>
    </row>
    <row r="152" spans="5:35" x14ac:dyDescent="0.45">
      <c r="E152" t="s">
        <v>237</v>
      </c>
      <c r="G152" t="s">
        <v>438</v>
      </c>
      <c r="I152" t="s">
        <v>249</v>
      </c>
      <c r="J152" t="s">
        <v>681</v>
      </c>
      <c r="K152">
        <v>3.0389178660796891E-5</v>
      </c>
      <c r="L152" t="s">
        <v>251</v>
      </c>
      <c r="N152" t="s">
        <v>419</v>
      </c>
      <c r="O152" t="s">
        <v>681</v>
      </c>
      <c r="P152">
        <v>1.843044367736E-4</v>
      </c>
      <c r="Q152" t="s">
        <v>251</v>
      </c>
      <c r="S152" t="s">
        <v>420</v>
      </c>
      <c r="T152" t="s">
        <v>681</v>
      </c>
      <c r="U152">
        <v>1.576773661686E-4</v>
      </c>
      <c r="V152" t="s">
        <v>251</v>
      </c>
      <c r="X152">
        <v>1.1415525114155251E-4</v>
      </c>
      <c r="Y152">
        <v>5.7678442682047593E-5</v>
      </c>
      <c r="Z152" t="s">
        <v>681</v>
      </c>
      <c r="AA152" t="s">
        <v>25</v>
      </c>
      <c r="AC152" t="s">
        <v>22</v>
      </c>
      <c r="AD152" t="s">
        <v>681</v>
      </c>
      <c r="AE152">
        <v>9.2752724247790398E-5</v>
      </c>
      <c r="AG152" t="s">
        <v>97</v>
      </c>
      <c r="AH152" t="s">
        <v>681</v>
      </c>
      <c r="AI152">
        <v>0</v>
      </c>
    </row>
    <row r="153" spans="5:35" x14ac:dyDescent="0.45">
      <c r="E153" t="s">
        <v>238</v>
      </c>
      <c r="G153" t="s">
        <v>438</v>
      </c>
      <c r="I153" t="s">
        <v>249</v>
      </c>
      <c r="J153" t="s">
        <v>682</v>
      </c>
      <c r="K153">
        <v>1.5503088810369999E-4</v>
      </c>
      <c r="L153" t="s">
        <v>251</v>
      </c>
      <c r="N153" t="s">
        <v>419</v>
      </c>
      <c r="O153" t="s">
        <v>682</v>
      </c>
      <c r="P153">
        <v>1.7784329147299999E-4</v>
      </c>
      <c r="Q153" t="s">
        <v>251</v>
      </c>
      <c r="S153" t="s">
        <v>420</v>
      </c>
      <c r="T153" t="s">
        <v>682</v>
      </c>
      <c r="U153">
        <v>1.4336747406819999E-4</v>
      </c>
      <c r="V153" t="s">
        <v>251</v>
      </c>
      <c r="X153">
        <v>1.1415525114155251E-4</v>
      </c>
      <c r="Y153">
        <v>1.6905750441289813E-4</v>
      </c>
      <c r="Z153" t="s">
        <v>682</v>
      </c>
      <c r="AA153" t="s">
        <v>25</v>
      </c>
      <c r="AC153" t="s">
        <v>22</v>
      </c>
      <c r="AD153" t="s">
        <v>682</v>
      </c>
      <c r="AE153">
        <v>8.8667703345729907E-5</v>
      </c>
      <c r="AG153" t="s">
        <v>97</v>
      </c>
      <c r="AH153" t="s">
        <v>682</v>
      </c>
      <c r="AI153">
        <v>0</v>
      </c>
    </row>
    <row r="154" spans="5:35" x14ac:dyDescent="0.45">
      <c r="E154" t="s">
        <v>239</v>
      </c>
      <c r="G154" t="s">
        <v>438</v>
      </c>
      <c r="I154" t="s">
        <v>249</v>
      </c>
      <c r="J154" t="s">
        <v>683</v>
      </c>
      <c r="K154">
        <v>2.2365715138730001E-4</v>
      </c>
      <c r="L154" t="s">
        <v>251</v>
      </c>
      <c r="N154" t="s">
        <v>419</v>
      </c>
      <c r="O154" t="s">
        <v>683</v>
      </c>
      <c r="P154">
        <v>1.7248115963380001E-4</v>
      </c>
      <c r="Q154" t="s">
        <v>251</v>
      </c>
      <c r="S154" t="s">
        <v>420</v>
      </c>
      <c r="T154" t="s">
        <v>683</v>
      </c>
      <c r="U154">
        <v>1.611538688948E-4</v>
      </c>
      <c r="V154" t="s">
        <v>251</v>
      </c>
      <c r="X154">
        <v>1.1415525114155251E-4</v>
      </c>
      <c r="Y154">
        <v>1.9060404909297337E-4</v>
      </c>
      <c r="Z154" t="s">
        <v>683</v>
      </c>
      <c r="AA154" t="s">
        <v>25</v>
      </c>
      <c r="AC154" t="s">
        <v>22</v>
      </c>
      <c r="AD154" t="s">
        <v>683</v>
      </c>
      <c r="AE154">
        <v>8.4544532104785237E-5</v>
      </c>
      <c r="AG154" t="s">
        <v>97</v>
      </c>
      <c r="AH154" t="s">
        <v>683</v>
      </c>
      <c r="AI154">
        <v>0</v>
      </c>
    </row>
    <row r="155" spans="5:35" x14ac:dyDescent="0.45">
      <c r="E155" t="s">
        <v>508</v>
      </c>
      <c r="G155" t="s">
        <v>440</v>
      </c>
      <c r="I155" t="s">
        <v>249</v>
      </c>
      <c r="J155" t="s">
        <v>684</v>
      </c>
      <c r="K155">
        <v>2.6401529238830003E-4</v>
      </c>
      <c r="L155" t="s">
        <v>251</v>
      </c>
      <c r="N155" t="s">
        <v>419</v>
      </c>
      <c r="O155" t="s">
        <v>684</v>
      </c>
      <c r="P155">
        <v>1.749837306695E-4</v>
      </c>
      <c r="Q155" t="s">
        <v>251</v>
      </c>
      <c r="S155" t="s">
        <v>420</v>
      </c>
      <c r="T155" t="s">
        <v>684</v>
      </c>
      <c r="U155">
        <v>1.6052909904700001E-4</v>
      </c>
      <c r="V155" t="s">
        <v>251</v>
      </c>
      <c r="X155">
        <v>1.1415525114155251E-4</v>
      </c>
      <c r="Y155">
        <v>1.4585353321897094E-4</v>
      </c>
      <c r="Z155" t="s">
        <v>684</v>
      </c>
      <c r="AA155" t="s">
        <v>25</v>
      </c>
      <c r="AC155" t="s">
        <v>22</v>
      </c>
      <c r="AD155" t="s">
        <v>684</v>
      </c>
      <c r="AE155">
        <v>8.5226969635314952E-5</v>
      </c>
      <c r="AG155" t="s">
        <v>97</v>
      </c>
      <c r="AH155" t="s">
        <v>684</v>
      </c>
      <c r="AI155">
        <v>0</v>
      </c>
    </row>
    <row r="156" spans="5:35" x14ac:dyDescent="0.45">
      <c r="E156" t="s">
        <v>509</v>
      </c>
      <c r="G156" t="s">
        <v>440</v>
      </c>
      <c r="I156" t="s">
        <v>249</v>
      </c>
      <c r="J156" t="s">
        <v>685</v>
      </c>
      <c r="K156">
        <v>2.8964299738979998E-4</v>
      </c>
      <c r="L156" t="s">
        <v>251</v>
      </c>
      <c r="N156" t="s">
        <v>419</v>
      </c>
      <c r="O156" t="s">
        <v>685</v>
      </c>
      <c r="P156">
        <v>1.7408388211139999E-4</v>
      </c>
      <c r="Q156" t="s">
        <v>251</v>
      </c>
      <c r="S156" t="s">
        <v>420</v>
      </c>
      <c r="T156" t="s">
        <v>685</v>
      </c>
      <c r="U156">
        <v>1.4951068730329999E-4</v>
      </c>
      <c r="V156" t="s">
        <v>251</v>
      </c>
      <c r="X156">
        <v>1.1415525114155251E-4</v>
      </c>
      <c r="Y156">
        <v>1.4452759200788939E-4</v>
      </c>
      <c r="Z156" t="s">
        <v>685</v>
      </c>
      <c r="AA156" t="s">
        <v>25</v>
      </c>
      <c r="AC156" t="s">
        <v>22</v>
      </c>
      <c r="AD156" t="s">
        <v>685</v>
      </c>
      <c r="AE156">
        <v>8.6269034136585076E-5</v>
      </c>
      <c r="AG156" t="s">
        <v>97</v>
      </c>
      <c r="AH156" t="s">
        <v>685</v>
      </c>
      <c r="AI156">
        <v>0</v>
      </c>
    </row>
    <row r="157" spans="5:35" x14ac:dyDescent="0.45">
      <c r="E157" t="s">
        <v>510</v>
      </c>
      <c r="G157" t="s">
        <v>440</v>
      </c>
      <c r="I157" t="s">
        <v>249</v>
      </c>
      <c r="J157" t="s">
        <v>686</v>
      </c>
      <c r="K157">
        <v>3.0513321181689998E-4</v>
      </c>
      <c r="L157" t="s">
        <v>251</v>
      </c>
      <c r="N157" t="s">
        <v>419</v>
      </c>
      <c r="O157" t="s">
        <v>686</v>
      </c>
      <c r="P157">
        <v>1.714426842366E-4</v>
      </c>
      <c r="Q157" t="s">
        <v>251</v>
      </c>
      <c r="S157" t="s">
        <v>420</v>
      </c>
      <c r="T157" t="s">
        <v>686</v>
      </c>
      <c r="U157">
        <v>1.3290277176659999E-4</v>
      </c>
      <c r="V157" t="s">
        <v>251</v>
      </c>
      <c r="X157">
        <v>1.1415525114155251E-4</v>
      </c>
      <c r="Y157">
        <v>1.408812536774151E-4</v>
      </c>
      <c r="Z157" t="s">
        <v>686</v>
      </c>
      <c r="AA157" t="s">
        <v>25</v>
      </c>
      <c r="AC157" t="s">
        <v>22</v>
      </c>
      <c r="AD157" t="s">
        <v>686</v>
      </c>
      <c r="AE157">
        <v>9.3513596740781271E-5</v>
      </c>
      <c r="AG157" t="s">
        <v>97</v>
      </c>
      <c r="AH157" t="s">
        <v>686</v>
      </c>
      <c r="AI157">
        <v>0</v>
      </c>
    </row>
    <row r="158" spans="5:35" x14ac:dyDescent="0.45">
      <c r="E158" t="s">
        <v>511</v>
      </c>
      <c r="G158" t="s">
        <v>440</v>
      </c>
      <c r="I158" t="s">
        <v>249</v>
      </c>
      <c r="J158" t="s">
        <v>687</v>
      </c>
      <c r="K158">
        <v>3.1109449933779999E-4</v>
      </c>
      <c r="L158" t="s">
        <v>251</v>
      </c>
      <c r="N158" t="s">
        <v>419</v>
      </c>
      <c r="O158" t="s">
        <v>687</v>
      </c>
      <c r="P158">
        <v>1.6938547693269999E-4</v>
      </c>
      <c r="Q158" t="s">
        <v>251</v>
      </c>
      <c r="S158" t="s">
        <v>420</v>
      </c>
      <c r="T158" t="s">
        <v>687</v>
      </c>
      <c r="U158">
        <v>1.207592378768E-4</v>
      </c>
      <c r="V158" t="s">
        <v>251</v>
      </c>
      <c r="X158">
        <v>1.1415525114155251E-4</v>
      </c>
      <c r="Y158">
        <v>1.4054976837464471E-4</v>
      </c>
      <c r="Z158" t="s">
        <v>687</v>
      </c>
      <c r="AA158" t="s">
        <v>25</v>
      </c>
      <c r="AC158" t="s">
        <v>22</v>
      </c>
      <c r="AD158" t="s">
        <v>687</v>
      </c>
      <c r="AE158">
        <v>1.0062796797871534E-4</v>
      </c>
      <c r="AG158" t="s">
        <v>97</v>
      </c>
      <c r="AH158" t="s">
        <v>687</v>
      </c>
      <c r="AI158">
        <v>0</v>
      </c>
    </row>
    <row r="159" spans="5:35" x14ac:dyDescent="0.45">
      <c r="E159" t="s">
        <v>512</v>
      </c>
      <c r="G159" t="s">
        <v>440</v>
      </c>
      <c r="I159" t="s">
        <v>249</v>
      </c>
      <c r="J159" t="s">
        <v>688</v>
      </c>
      <c r="K159">
        <v>3.0845554959910002E-4</v>
      </c>
      <c r="L159" t="s">
        <v>251</v>
      </c>
      <c r="N159" t="s">
        <v>419</v>
      </c>
      <c r="O159" t="s">
        <v>688</v>
      </c>
      <c r="P159">
        <v>1.6965671343169999E-4</v>
      </c>
      <c r="Q159" t="s">
        <v>251</v>
      </c>
      <c r="S159" t="s">
        <v>420</v>
      </c>
      <c r="T159" t="s">
        <v>688</v>
      </c>
      <c r="U159">
        <v>1.167181582431E-4</v>
      </c>
      <c r="V159" t="s">
        <v>251</v>
      </c>
      <c r="X159">
        <v>1.1415525114155251E-4</v>
      </c>
      <c r="Y159">
        <v>1.4253868019126702E-4</v>
      </c>
      <c r="Z159" t="s">
        <v>688</v>
      </c>
      <c r="AA159" t="s">
        <v>25</v>
      </c>
      <c r="AC159" t="s">
        <v>22</v>
      </c>
      <c r="AD159" t="s">
        <v>688</v>
      </c>
      <c r="AE159">
        <v>1.101153970094804E-4</v>
      </c>
      <c r="AG159" t="s">
        <v>97</v>
      </c>
      <c r="AH159" t="s">
        <v>688</v>
      </c>
      <c r="AI159">
        <v>0</v>
      </c>
    </row>
    <row r="160" spans="5:35" x14ac:dyDescent="0.45">
      <c r="E160" t="s">
        <v>513</v>
      </c>
      <c r="G160" t="s">
        <v>440</v>
      </c>
      <c r="I160" t="s">
        <v>249</v>
      </c>
      <c r="J160" t="s">
        <v>689</v>
      </c>
      <c r="K160">
        <v>3.080583804125E-4</v>
      </c>
      <c r="L160" t="s">
        <v>251</v>
      </c>
      <c r="N160" t="s">
        <v>419</v>
      </c>
      <c r="O160" t="s">
        <v>689</v>
      </c>
      <c r="P160">
        <v>1.717550122953E-4</v>
      </c>
      <c r="Q160" t="s">
        <v>251</v>
      </c>
      <c r="S160" t="s">
        <v>420</v>
      </c>
      <c r="T160" t="s">
        <v>689</v>
      </c>
      <c r="U160">
        <v>1.200877520326E-4</v>
      </c>
      <c r="V160" t="s">
        <v>251</v>
      </c>
      <c r="X160">
        <v>1.1415525114155251E-4</v>
      </c>
      <c r="Y160">
        <v>1.4883690094390442E-4</v>
      </c>
      <c r="Z160" t="s">
        <v>689</v>
      </c>
      <c r="AA160" t="s">
        <v>25</v>
      </c>
      <c r="AC160" t="s">
        <v>22</v>
      </c>
      <c r="AD160" t="s">
        <v>689</v>
      </c>
      <c r="AE160">
        <v>1.1646275968593173E-4</v>
      </c>
      <c r="AG160" t="s">
        <v>97</v>
      </c>
      <c r="AH160" t="s">
        <v>689</v>
      </c>
      <c r="AI160">
        <v>0</v>
      </c>
    </row>
    <row r="161" spans="5:35" x14ac:dyDescent="0.45">
      <c r="E161" t="s">
        <v>514</v>
      </c>
      <c r="G161" t="s">
        <v>440</v>
      </c>
      <c r="I161" t="s">
        <v>249</v>
      </c>
      <c r="J161" t="s">
        <v>690</v>
      </c>
      <c r="K161">
        <v>3.0284705151040003E-4</v>
      </c>
      <c r="L161" t="s">
        <v>251</v>
      </c>
      <c r="N161" t="s">
        <v>419</v>
      </c>
      <c r="O161" t="s">
        <v>690</v>
      </c>
      <c r="P161">
        <v>1.7657343790119999E-4</v>
      </c>
      <c r="Q161" t="s">
        <v>251</v>
      </c>
      <c r="S161" t="s">
        <v>420</v>
      </c>
      <c r="T161" t="s">
        <v>690</v>
      </c>
      <c r="U161">
        <v>1.264957121719E-4</v>
      </c>
      <c r="V161" t="s">
        <v>251</v>
      </c>
      <c r="X161">
        <v>1.1415525114155251E-4</v>
      </c>
      <c r="Y161">
        <v>1.5049432745775637E-4</v>
      </c>
      <c r="Z161" t="s">
        <v>690</v>
      </c>
      <c r="AA161" t="s">
        <v>25</v>
      </c>
      <c r="AC161" t="s">
        <v>22</v>
      </c>
      <c r="AD161" t="s">
        <v>690</v>
      </c>
      <c r="AE161">
        <v>1.1862372293741355E-4</v>
      </c>
      <c r="AG161" t="s">
        <v>97</v>
      </c>
      <c r="AH161" t="s">
        <v>690</v>
      </c>
      <c r="AI161">
        <v>0</v>
      </c>
    </row>
    <row r="162" spans="5:35" x14ac:dyDescent="0.45">
      <c r="E162" t="s">
        <v>515</v>
      </c>
      <c r="G162" t="s">
        <v>440</v>
      </c>
      <c r="I162" t="s">
        <v>249</v>
      </c>
      <c r="J162" t="s">
        <v>691</v>
      </c>
      <c r="K162">
        <v>2.8989489716169998E-4</v>
      </c>
      <c r="L162" t="s">
        <v>251</v>
      </c>
      <c r="N162" t="s">
        <v>419</v>
      </c>
      <c r="O162" t="s">
        <v>691</v>
      </c>
      <c r="P162">
        <v>1.777124269582E-4</v>
      </c>
      <c r="Q162" t="s">
        <v>251</v>
      </c>
      <c r="S162" t="s">
        <v>420</v>
      </c>
      <c r="T162" t="s">
        <v>691</v>
      </c>
      <c r="U162">
        <v>1.3694736540450001E-4</v>
      </c>
      <c r="V162" t="s">
        <v>251</v>
      </c>
      <c r="X162">
        <v>1.1415525114155251E-4</v>
      </c>
      <c r="Y162">
        <v>1.7237235744060203E-4</v>
      </c>
      <c r="Z162" t="s">
        <v>691</v>
      </c>
      <c r="AA162" t="s">
        <v>25</v>
      </c>
      <c r="AC162" t="s">
        <v>22</v>
      </c>
      <c r="AD162" t="s">
        <v>691</v>
      </c>
      <c r="AE162">
        <v>1.1921358586939212E-4</v>
      </c>
      <c r="AG162" t="s">
        <v>97</v>
      </c>
      <c r="AH162" t="s">
        <v>691</v>
      </c>
      <c r="AI162">
        <v>0</v>
      </c>
    </row>
    <row r="163" spans="5:35" x14ac:dyDescent="0.45">
      <c r="E163" t="s">
        <v>516</v>
      </c>
      <c r="G163" t="s">
        <v>440</v>
      </c>
      <c r="I163" t="s">
        <v>249</v>
      </c>
      <c r="J163" t="s">
        <v>692</v>
      </c>
      <c r="K163">
        <v>2.672070258053E-4</v>
      </c>
      <c r="L163" t="s">
        <v>251</v>
      </c>
      <c r="N163" t="s">
        <v>419</v>
      </c>
      <c r="O163" t="s">
        <v>692</v>
      </c>
      <c r="P163">
        <v>1.7947203211000001E-4</v>
      </c>
      <c r="Q163" t="s">
        <v>251</v>
      </c>
      <c r="S163" t="s">
        <v>420</v>
      </c>
      <c r="T163" t="s">
        <v>692</v>
      </c>
      <c r="U163">
        <v>1.381803695799E-4</v>
      </c>
      <c r="V163" t="s">
        <v>251</v>
      </c>
      <c r="X163">
        <v>1.1415525114155251E-4</v>
      </c>
      <c r="Y163">
        <v>2.2209515285616027E-4</v>
      </c>
      <c r="Z163" t="s">
        <v>692</v>
      </c>
      <c r="AA163" t="s">
        <v>25</v>
      </c>
      <c r="AC163" t="s">
        <v>22</v>
      </c>
      <c r="AD163" t="s">
        <v>692</v>
      </c>
      <c r="AE163">
        <v>1.2023137288228139E-4</v>
      </c>
      <c r="AG163" t="s">
        <v>97</v>
      </c>
      <c r="AH163" t="s">
        <v>692</v>
      </c>
      <c r="AI163">
        <v>0</v>
      </c>
    </row>
    <row r="164" spans="5:35" x14ac:dyDescent="0.45">
      <c r="E164" t="s">
        <v>517</v>
      </c>
      <c r="G164" t="s">
        <v>440</v>
      </c>
      <c r="I164" t="s">
        <v>249</v>
      </c>
      <c r="J164" t="s">
        <v>693</v>
      </c>
      <c r="K164">
        <v>2.3274880556030001E-4</v>
      </c>
      <c r="L164" t="s">
        <v>251</v>
      </c>
      <c r="N164" t="s">
        <v>419</v>
      </c>
      <c r="O164" t="s">
        <v>693</v>
      </c>
      <c r="P164">
        <v>1.759445179644E-4</v>
      </c>
      <c r="Q164" t="s">
        <v>251</v>
      </c>
      <c r="S164" t="s">
        <v>420</v>
      </c>
      <c r="T164" t="s">
        <v>693</v>
      </c>
      <c r="U164">
        <v>1.405046211668E-4</v>
      </c>
      <c r="V164" t="s">
        <v>251</v>
      </c>
      <c r="X164">
        <v>1.1415525114155251E-4</v>
      </c>
      <c r="Y164">
        <v>2.2209515285616027E-4</v>
      </c>
      <c r="Z164" t="s">
        <v>693</v>
      </c>
      <c r="AA164" t="s">
        <v>25</v>
      </c>
      <c r="AC164" t="s">
        <v>22</v>
      </c>
      <c r="AD164" t="s">
        <v>693</v>
      </c>
      <c r="AE164">
        <v>1.2110056032343297E-4</v>
      </c>
      <c r="AG164" t="s">
        <v>97</v>
      </c>
      <c r="AH164" t="s">
        <v>693</v>
      </c>
      <c r="AI164">
        <v>0</v>
      </c>
    </row>
    <row r="165" spans="5:35" x14ac:dyDescent="0.45">
      <c r="E165" t="s">
        <v>518</v>
      </c>
      <c r="G165" t="s">
        <v>440</v>
      </c>
      <c r="I165" t="s">
        <v>249</v>
      </c>
      <c r="J165" t="s">
        <v>694</v>
      </c>
      <c r="K165">
        <v>1.788546464087E-4</v>
      </c>
      <c r="L165" t="s">
        <v>251</v>
      </c>
      <c r="N165" t="s">
        <v>419</v>
      </c>
      <c r="O165" t="s">
        <v>694</v>
      </c>
      <c r="P165">
        <v>1.7921954008669999E-4</v>
      </c>
      <c r="Q165" t="s">
        <v>251</v>
      </c>
      <c r="S165" t="s">
        <v>420</v>
      </c>
      <c r="T165" t="s">
        <v>694</v>
      </c>
      <c r="U165">
        <v>1.470203891752E-4</v>
      </c>
      <c r="V165" t="s">
        <v>251</v>
      </c>
      <c r="X165">
        <v>1.1415525114155251E-4</v>
      </c>
      <c r="Y165">
        <v>1.7237235744060203E-4</v>
      </c>
      <c r="Z165" t="s">
        <v>694</v>
      </c>
      <c r="AA165" t="s">
        <v>25</v>
      </c>
      <c r="AC165" t="s">
        <v>22</v>
      </c>
      <c r="AD165" t="s">
        <v>694</v>
      </c>
      <c r="AE165">
        <v>1.2173497644837419E-4</v>
      </c>
      <c r="AG165" t="s">
        <v>97</v>
      </c>
      <c r="AH165" t="s">
        <v>694</v>
      </c>
      <c r="AI165">
        <v>0</v>
      </c>
    </row>
    <row r="166" spans="5:35" x14ac:dyDescent="0.45">
      <c r="E166" t="s">
        <v>519</v>
      </c>
      <c r="G166" t="s">
        <v>440</v>
      </c>
      <c r="I166" t="s">
        <v>249</v>
      </c>
      <c r="J166" t="s">
        <v>695</v>
      </c>
      <c r="K166">
        <v>8.4603209946918523E-5</v>
      </c>
      <c r="L166" t="s">
        <v>251</v>
      </c>
      <c r="N166" t="s">
        <v>419</v>
      </c>
      <c r="O166" t="s">
        <v>695</v>
      </c>
      <c r="P166">
        <v>1.893982343014E-4</v>
      </c>
      <c r="Q166" t="s">
        <v>251</v>
      </c>
      <c r="S166" t="s">
        <v>420</v>
      </c>
      <c r="T166" t="s">
        <v>695</v>
      </c>
      <c r="U166">
        <v>1.5422806018730001E-4</v>
      </c>
      <c r="V166" t="s">
        <v>251</v>
      </c>
      <c r="X166">
        <v>1.1415525114155251E-4</v>
      </c>
      <c r="Y166">
        <v>1.5579809230208258E-4</v>
      </c>
      <c r="Z166" t="s">
        <v>695</v>
      </c>
      <c r="AA166" t="s">
        <v>25</v>
      </c>
      <c r="AC166" t="s">
        <v>22</v>
      </c>
      <c r="AD166" t="s">
        <v>695</v>
      </c>
      <c r="AE166">
        <v>1.2286321269411698E-4</v>
      </c>
      <c r="AG166" t="s">
        <v>97</v>
      </c>
      <c r="AH166" t="s">
        <v>695</v>
      </c>
      <c r="AI166">
        <v>0</v>
      </c>
    </row>
    <row r="167" spans="5:35" x14ac:dyDescent="0.45">
      <c r="E167" t="s">
        <v>520</v>
      </c>
      <c r="G167" t="s">
        <v>440</v>
      </c>
      <c r="I167" t="s">
        <v>249</v>
      </c>
      <c r="J167" t="s">
        <v>696</v>
      </c>
      <c r="K167">
        <v>0</v>
      </c>
      <c r="L167" t="s">
        <v>251</v>
      </c>
      <c r="N167" t="s">
        <v>419</v>
      </c>
      <c r="O167" t="s">
        <v>696</v>
      </c>
      <c r="P167">
        <v>1.9553407502619999E-4</v>
      </c>
      <c r="Q167" t="s">
        <v>251</v>
      </c>
      <c r="S167" t="s">
        <v>420</v>
      </c>
      <c r="T167" t="s">
        <v>696</v>
      </c>
      <c r="U167">
        <v>1.6161088192790001E-4</v>
      </c>
      <c r="V167" t="s">
        <v>251</v>
      </c>
      <c r="X167">
        <v>1.1415525114155251E-4</v>
      </c>
      <c r="Y167">
        <v>1.093901499142282E-4</v>
      </c>
      <c r="Z167" t="s">
        <v>696</v>
      </c>
      <c r="AA167" t="s">
        <v>25</v>
      </c>
      <c r="AC167" t="s">
        <v>22</v>
      </c>
      <c r="AD167" t="s">
        <v>696</v>
      </c>
      <c r="AE167">
        <v>1.2359767341403423E-4</v>
      </c>
      <c r="AG167" t="s">
        <v>97</v>
      </c>
      <c r="AH167" t="s">
        <v>696</v>
      </c>
      <c r="AI167">
        <v>0</v>
      </c>
    </row>
    <row r="168" spans="5:35" x14ac:dyDescent="0.45">
      <c r="E168" t="s">
        <v>521</v>
      </c>
      <c r="G168" t="s">
        <v>440</v>
      </c>
      <c r="I168" t="s">
        <v>249</v>
      </c>
      <c r="J168" t="s">
        <v>697</v>
      </c>
      <c r="K168">
        <v>0</v>
      </c>
      <c r="L168" t="s">
        <v>251</v>
      </c>
      <c r="N168" t="s">
        <v>419</v>
      </c>
      <c r="O168" t="s">
        <v>697</v>
      </c>
      <c r="P168">
        <v>1.9869457431040001E-4</v>
      </c>
      <c r="Q168" t="s">
        <v>251</v>
      </c>
      <c r="S168" t="s">
        <v>420</v>
      </c>
      <c r="T168" t="s">
        <v>697</v>
      </c>
      <c r="U168">
        <v>1.6221655994980001E-4</v>
      </c>
      <c r="V168" t="s">
        <v>251</v>
      </c>
      <c r="X168">
        <v>1.1415525114155251E-4</v>
      </c>
      <c r="Y168">
        <v>7.9556472664893237E-5</v>
      </c>
      <c r="Z168" t="s">
        <v>697</v>
      </c>
      <c r="AA168" t="s">
        <v>25</v>
      </c>
      <c r="AC168" t="s">
        <v>22</v>
      </c>
      <c r="AD168" t="s">
        <v>697</v>
      </c>
      <c r="AE168">
        <v>1.2360460983928587E-4</v>
      </c>
      <c r="AG168" t="s">
        <v>97</v>
      </c>
      <c r="AH168" t="s">
        <v>697</v>
      </c>
      <c r="AI168">
        <v>0</v>
      </c>
    </row>
    <row r="169" spans="5:35" x14ac:dyDescent="0.45">
      <c r="E169" t="s">
        <v>522</v>
      </c>
      <c r="G169" t="s">
        <v>440</v>
      </c>
      <c r="I169" t="s">
        <v>249</v>
      </c>
      <c r="J169" t="s">
        <v>698</v>
      </c>
      <c r="K169">
        <v>0</v>
      </c>
      <c r="L169" t="s">
        <v>251</v>
      </c>
      <c r="N169" t="s">
        <v>419</v>
      </c>
      <c r="O169" t="s">
        <v>698</v>
      </c>
      <c r="P169">
        <v>1.9767565590519999E-4</v>
      </c>
      <c r="Q169" t="s">
        <v>251</v>
      </c>
      <c r="S169" t="s">
        <v>420</v>
      </c>
      <c r="T169" t="s">
        <v>698</v>
      </c>
      <c r="U169">
        <v>1.553603903124E-4</v>
      </c>
      <c r="V169" t="s">
        <v>251</v>
      </c>
      <c r="X169">
        <v>1.1415525114155251E-4</v>
      </c>
      <c r="Y169">
        <v>5.6352501470966035E-5</v>
      </c>
      <c r="Z169" t="s">
        <v>698</v>
      </c>
      <c r="AA169" t="s">
        <v>25</v>
      </c>
      <c r="AC169" t="s">
        <v>22</v>
      </c>
      <c r="AD169" t="s">
        <v>698</v>
      </c>
      <c r="AE169">
        <v>1.24051742482432E-4</v>
      </c>
      <c r="AG169" t="s">
        <v>97</v>
      </c>
      <c r="AH169" t="s">
        <v>698</v>
      </c>
      <c r="AI169">
        <v>0</v>
      </c>
    </row>
    <row r="170" spans="5:35" x14ac:dyDescent="0.45">
      <c r="E170" t="s">
        <v>523</v>
      </c>
      <c r="G170" t="s">
        <v>440</v>
      </c>
      <c r="I170" t="s">
        <v>249</v>
      </c>
      <c r="J170" t="s">
        <v>699</v>
      </c>
      <c r="K170">
        <v>0</v>
      </c>
      <c r="L170" t="s">
        <v>251</v>
      </c>
      <c r="N170" t="s">
        <v>419</v>
      </c>
      <c r="O170" t="s">
        <v>699</v>
      </c>
      <c r="P170">
        <v>1.9528351112460001E-4</v>
      </c>
      <c r="Q170" t="s">
        <v>251</v>
      </c>
      <c r="S170" t="s">
        <v>420</v>
      </c>
      <c r="T170" t="s">
        <v>699</v>
      </c>
      <c r="U170">
        <v>1.5528688080979999E-4</v>
      </c>
      <c r="V170" t="s">
        <v>251</v>
      </c>
      <c r="X170">
        <v>1.1415525114155251E-4</v>
      </c>
      <c r="Y170">
        <v>2.9833677249334962E-5</v>
      </c>
      <c r="Z170" t="s">
        <v>699</v>
      </c>
      <c r="AA170" t="s">
        <v>25</v>
      </c>
      <c r="AC170" t="s">
        <v>22</v>
      </c>
      <c r="AD170" t="s">
        <v>699</v>
      </c>
      <c r="AE170">
        <v>1.2449860833999151E-4</v>
      </c>
      <c r="AG170" t="s">
        <v>97</v>
      </c>
      <c r="AH170" t="s">
        <v>699</v>
      </c>
      <c r="AI170">
        <v>0</v>
      </c>
    </row>
    <row r="171" spans="5:35" x14ac:dyDescent="0.45">
      <c r="E171" t="s">
        <v>524</v>
      </c>
      <c r="G171" t="s">
        <v>440</v>
      </c>
      <c r="I171" t="s">
        <v>249</v>
      </c>
      <c r="J171" t="s">
        <v>339</v>
      </c>
      <c r="K171">
        <v>8.9620492023086194E-4</v>
      </c>
      <c r="L171" t="s">
        <v>251</v>
      </c>
      <c r="N171" t="s">
        <v>419</v>
      </c>
      <c r="O171" t="s">
        <v>339</v>
      </c>
      <c r="P171">
        <v>2.1638010353090851E-2</v>
      </c>
      <c r="Q171" t="s">
        <v>251</v>
      </c>
      <c r="S171" t="s">
        <v>420</v>
      </c>
      <c r="T171" t="s">
        <v>339</v>
      </c>
      <c r="U171">
        <v>1.46554772617355E-2</v>
      </c>
      <c r="V171" t="s">
        <v>251</v>
      </c>
      <c r="X171">
        <v>2.0547945205479451E-2</v>
      </c>
      <c r="Y171">
        <v>4.3954951147353507E-3</v>
      </c>
      <c r="Z171" t="s">
        <v>339</v>
      </c>
      <c r="AA171" t="s">
        <v>25</v>
      </c>
      <c r="AC171" t="s">
        <v>22</v>
      </c>
      <c r="AD171" t="s">
        <v>339</v>
      </c>
      <c r="AE171">
        <v>1.9260500610045455E-2</v>
      </c>
      <c r="AG171" t="s">
        <v>97</v>
      </c>
      <c r="AH171" t="s">
        <v>339</v>
      </c>
      <c r="AI171">
        <v>0.14272160879684503</v>
      </c>
    </row>
    <row r="172" spans="5:35" x14ac:dyDescent="0.45">
      <c r="E172" t="s">
        <v>525</v>
      </c>
      <c r="G172" t="s">
        <v>440</v>
      </c>
      <c r="I172" t="s">
        <v>249</v>
      </c>
      <c r="J172" t="s">
        <v>340</v>
      </c>
      <c r="K172">
        <v>4.2189396573354999E-3</v>
      </c>
      <c r="L172" t="s">
        <v>251</v>
      </c>
      <c r="N172" t="s">
        <v>419</v>
      </c>
      <c r="O172" t="s">
        <v>340</v>
      </c>
      <c r="P172">
        <v>2.932390726346185E-3</v>
      </c>
      <c r="Q172" t="s">
        <v>251</v>
      </c>
      <c r="S172" t="s">
        <v>420</v>
      </c>
      <c r="T172" t="s">
        <v>340</v>
      </c>
      <c r="U172">
        <v>2.0274377563429028E-3</v>
      </c>
      <c r="V172" t="s">
        <v>251</v>
      </c>
      <c r="X172">
        <v>3.4246575342465752E-3</v>
      </c>
      <c r="Y172">
        <v>5.0717251323869452E-3</v>
      </c>
      <c r="Z172" t="s">
        <v>340</v>
      </c>
      <c r="AA172" t="s">
        <v>25</v>
      </c>
      <c r="AC172" t="s">
        <v>22</v>
      </c>
      <c r="AD172" t="s">
        <v>340</v>
      </c>
      <c r="AE172">
        <v>2.6497103592723766E-3</v>
      </c>
      <c r="AG172" t="s">
        <v>97</v>
      </c>
      <c r="AH172" t="s">
        <v>340</v>
      </c>
      <c r="AI172">
        <v>6.8326103573197461E-2</v>
      </c>
    </row>
    <row r="173" spans="5:35" x14ac:dyDescent="0.45">
      <c r="E173" t="s">
        <v>526</v>
      </c>
      <c r="G173" t="s">
        <v>440</v>
      </c>
      <c r="I173" t="s">
        <v>249</v>
      </c>
      <c r="J173" t="s">
        <v>341</v>
      </c>
      <c r="K173">
        <v>6.1886482059352998E-3</v>
      </c>
      <c r="L173" t="s">
        <v>251</v>
      </c>
      <c r="N173" t="s">
        <v>419</v>
      </c>
      <c r="O173" t="s">
        <v>341</v>
      </c>
      <c r="P173">
        <v>2.645260723797086E-3</v>
      </c>
      <c r="Q173" t="s">
        <v>251</v>
      </c>
      <c r="S173" t="s">
        <v>420</v>
      </c>
      <c r="T173" t="s">
        <v>341</v>
      </c>
      <c r="U173">
        <v>2.0224615995105386E-3</v>
      </c>
      <c r="V173" t="s">
        <v>251</v>
      </c>
      <c r="X173">
        <v>3.4246575342465752E-3</v>
      </c>
      <c r="Y173">
        <v>5.7181214727892006E-3</v>
      </c>
      <c r="Z173" t="s">
        <v>341</v>
      </c>
      <c r="AA173" t="s">
        <v>25</v>
      </c>
      <c r="AC173" t="s">
        <v>22</v>
      </c>
      <c r="AD173" t="s">
        <v>341</v>
      </c>
      <c r="AE173">
        <v>2.5584782257930265E-3</v>
      </c>
      <c r="AG173" t="s">
        <v>97</v>
      </c>
      <c r="AH173" t="s">
        <v>341</v>
      </c>
      <c r="AI173">
        <v>6.3283153241070034E-2</v>
      </c>
    </row>
    <row r="174" spans="5:35" x14ac:dyDescent="0.45">
      <c r="E174" t="s">
        <v>527</v>
      </c>
      <c r="G174" t="s">
        <v>440</v>
      </c>
      <c r="I174" t="s">
        <v>249</v>
      </c>
      <c r="J174" t="s">
        <v>342</v>
      </c>
      <c r="K174">
        <v>5.9391656967384999E-2</v>
      </c>
      <c r="L174" t="s">
        <v>251</v>
      </c>
      <c r="N174" t="s">
        <v>419</v>
      </c>
      <c r="O174" t="s">
        <v>342</v>
      </c>
      <c r="P174">
        <v>2.0186747215789343E-2</v>
      </c>
      <c r="Q174" t="s">
        <v>251</v>
      </c>
      <c r="S174" t="s">
        <v>420</v>
      </c>
      <c r="T174" t="s">
        <v>342</v>
      </c>
      <c r="U174">
        <v>1.5028412364267944E-2</v>
      </c>
      <c r="V174" t="s">
        <v>251</v>
      </c>
      <c r="X174">
        <v>2.3972602739726026E-2</v>
      </c>
      <c r="Y174">
        <v>3.0410461676155433E-2</v>
      </c>
      <c r="Z174" t="s">
        <v>342</v>
      </c>
      <c r="AA174" t="s">
        <v>25</v>
      </c>
      <c r="AC174" t="s">
        <v>22</v>
      </c>
      <c r="AD174" t="s">
        <v>342</v>
      </c>
      <c r="AE174">
        <v>2.0666995204675419E-2</v>
      </c>
      <c r="AG174" t="s">
        <v>97</v>
      </c>
      <c r="AH174" t="s">
        <v>342</v>
      </c>
      <c r="AI174">
        <v>0.19022521607323695</v>
      </c>
    </row>
    <row r="175" spans="5:35" x14ac:dyDescent="0.45">
      <c r="E175" t="s">
        <v>528</v>
      </c>
      <c r="G175" t="s">
        <v>440</v>
      </c>
      <c r="I175" t="s">
        <v>249</v>
      </c>
      <c r="J175" t="s">
        <v>343</v>
      </c>
      <c r="K175">
        <v>7.9800602970408006E-3</v>
      </c>
      <c r="L175" t="s">
        <v>251</v>
      </c>
      <c r="N175" t="s">
        <v>419</v>
      </c>
      <c r="O175" t="s">
        <v>343</v>
      </c>
      <c r="P175">
        <v>3.0852712538663382E-3</v>
      </c>
      <c r="Q175" t="s">
        <v>251</v>
      </c>
      <c r="S175" t="s">
        <v>420</v>
      </c>
      <c r="T175" t="s">
        <v>343</v>
      </c>
      <c r="U175">
        <v>2.547697763517483E-3</v>
      </c>
      <c r="V175" t="s">
        <v>251</v>
      </c>
      <c r="X175">
        <v>3.4246575342465752E-3</v>
      </c>
      <c r="Y175">
        <v>5.1711707232180593E-3</v>
      </c>
      <c r="Z175" t="s">
        <v>343</v>
      </c>
      <c r="AA175" t="s">
        <v>25</v>
      </c>
      <c r="AC175" t="s">
        <v>22</v>
      </c>
      <c r="AD175" t="s">
        <v>343</v>
      </c>
      <c r="AE175">
        <v>3.4028927577294411E-3</v>
      </c>
      <c r="AG175" t="s">
        <v>97</v>
      </c>
      <c r="AH175" t="s">
        <v>343</v>
      </c>
      <c r="AI175">
        <v>6.2489829878334291E-2</v>
      </c>
    </row>
    <row r="176" spans="5:35" x14ac:dyDescent="0.45">
      <c r="E176" t="s">
        <v>529</v>
      </c>
      <c r="G176" t="s">
        <v>440</v>
      </c>
      <c r="I176" t="s">
        <v>249</v>
      </c>
      <c r="J176" t="s">
        <v>344</v>
      </c>
      <c r="K176">
        <v>7.1260513681538004E-3</v>
      </c>
      <c r="L176" t="s">
        <v>251</v>
      </c>
      <c r="N176" t="s">
        <v>419</v>
      </c>
      <c r="O176" t="s">
        <v>344</v>
      </c>
      <c r="P176">
        <v>3.1615154664669859E-3</v>
      </c>
      <c r="Q176" t="s">
        <v>251</v>
      </c>
      <c r="S176" t="s">
        <v>420</v>
      </c>
      <c r="T176" t="s">
        <v>344</v>
      </c>
      <c r="U176">
        <v>2.4478011458801108E-3</v>
      </c>
      <c r="V176" t="s">
        <v>251</v>
      </c>
      <c r="X176">
        <v>3.4246575342465752E-3</v>
      </c>
      <c r="Y176">
        <v>6.662854585684809E-3</v>
      </c>
      <c r="Z176" t="s">
        <v>344</v>
      </c>
      <c r="AA176" t="s">
        <v>25</v>
      </c>
      <c r="AC176" t="s">
        <v>22</v>
      </c>
      <c r="AD176" t="s">
        <v>344</v>
      </c>
      <c r="AE176">
        <v>3.4198347096210586E-3</v>
      </c>
      <c r="AG176" t="s">
        <v>97</v>
      </c>
      <c r="AH176" t="s">
        <v>344</v>
      </c>
      <c r="AI176">
        <v>7.1290983808581343E-2</v>
      </c>
    </row>
    <row r="177" spans="5:35" x14ac:dyDescent="0.45">
      <c r="E177" t="s">
        <v>530</v>
      </c>
      <c r="G177" t="s">
        <v>440</v>
      </c>
      <c r="I177" t="s">
        <v>249</v>
      </c>
      <c r="J177" t="s">
        <v>345</v>
      </c>
      <c r="K177">
        <v>5.97267425403E-3</v>
      </c>
      <c r="L177" t="s">
        <v>251</v>
      </c>
      <c r="N177" t="s">
        <v>419</v>
      </c>
      <c r="O177" t="s">
        <v>345</v>
      </c>
      <c r="P177">
        <v>3.1609198927553899E-3</v>
      </c>
      <c r="Q177" t="s">
        <v>251</v>
      </c>
      <c r="S177" t="s">
        <v>420</v>
      </c>
      <c r="T177" t="s">
        <v>345</v>
      </c>
      <c r="U177">
        <v>2.4219064195414191E-3</v>
      </c>
      <c r="V177" t="s">
        <v>251</v>
      </c>
      <c r="X177">
        <v>3.4246575342465752E-3</v>
      </c>
      <c r="Y177">
        <v>6.662854585684809E-3</v>
      </c>
      <c r="Z177" t="s">
        <v>345</v>
      </c>
      <c r="AA177" t="s">
        <v>25</v>
      </c>
      <c r="AC177" t="s">
        <v>22</v>
      </c>
      <c r="AD177" t="s">
        <v>345</v>
      </c>
      <c r="AE177">
        <v>3.4450851650362443E-3</v>
      </c>
      <c r="AG177" t="s">
        <v>97</v>
      </c>
      <c r="AH177" t="s">
        <v>345</v>
      </c>
      <c r="AI177">
        <v>7.9933885841087848E-2</v>
      </c>
    </row>
    <row r="178" spans="5:35" x14ac:dyDescent="0.45">
      <c r="E178" t="s">
        <v>531</v>
      </c>
      <c r="G178" t="s">
        <v>440</v>
      </c>
      <c r="I178" t="s">
        <v>249</v>
      </c>
      <c r="J178" t="s">
        <v>346</v>
      </c>
      <c r="K178">
        <v>6.6998443253581154E-3</v>
      </c>
      <c r="L178" t="s">
        <v>251</v>
      </c>
      <c r="N178" t="s">
        <v>419</v>
      </c>
      <c r="O178" t="s">
        <v>346</v>
      </c>
      <c r="P178">
        <v>2.1552171110743049E-2</v>
      </c>
      <c r="Q178" t="s">
        <v>251</v>
      </c>
      <c r="S178" t="s">
        <v>420</v>
      </c>
      <c r="T178" t="s">
        <v>346</v>
      </c>
      <c r="U178">
        <v>1.5920745316699014E-2</v>
      </c>
      <c r="V178" t="s">
        <v>251</v>
      </c>
      <c r="X178">
        <v>2.0547945205479451E-2</v>
      </c>
      <c r="Y178">
        <v>1.8099097531263209E-2</v>
      </c>
      <c r="Z178" t="s">
        <v>346</v>
      </c>
      <c r="AA178" t="s">
        <v>25</v>
      </c>
      <c r="AC178" t="s">
        <v>22</v>
      </c>
      <c r="AD178" t="s">
        <v>346</v>
      </c>
      <c r="AE178">
        <v>2.1050393923406293E-2</v>
      </c>
      <c r="AG178" t="s">
        <v>97</v>
      </c>
      <c r="AH178" t="s">
        <v>346</v>
      </c>
      <c r="AI178">
        <v>0.12607735122688024</v>
      </c>
    </row>
    <row r="179" spans="5:35" x14ac:dyDescent="0.45">
      <c r="E179" t="s">
        <v>532</v>
      </c>
      <c r="G179" t="s">
        <v>442</v>
      </c>
      <c r="I179" t="s">
        <v>249</v>
      </c>
      <c r="J179" t="s">
        <v>347</v>
      </c>
      <c r="K179">
        <v>2.6851131546107499E-4</v>
      </c>
      <c r="L179" t="s">
        <v>251</v>
      </c>
      <c r="N179" t="s">
        <v>419</v>
      </c>
      <c r="O179" t="s">
        <v>347</v>
      </c>
      <c r="P179">
        <v>1.7906356699202514E-2</v>
      </c>
      <c r="Q179" t="s">
        <v>251</v>
      </c>
      <c r="S179" t="s">
        <v>420</v>
      </c>
      <c r="T179" t="s">
        <v>347</v>
      </c>
      <c r="U179">
        <v>1.6784868353445087E-2</v>
      </c>
      <c r="V179" t="s">
        <v>251</v>
      </c>
      <c r="X179">
        <v>2.1232876712328767E-2</v>
      </c>
      <c r="Y179">
        <v>4.5420116185598634E-3</v>
      </c>
      <c r="Z179" t="s">
        <v>347</v>
      </c>
      <c r="AA179" t="s">
        <v>25</v>
      </c>
      <c r="AC179" t="s">
        <v>22</v>
      </c>
      <c r="AD179" t="s">
        <v>347</v>
      </c>
      <c r="AE179">
        <v>2.1060695450919414E-2</v>
      </c>
      <c r="AG179" t="s">
        <v>97</v>
      </c>
      <c r="AH179" t="s">
        <v>347</v>
      </c>
      <c r="AI179">
        <v>0.2315021641066155</v>
      </c>
    </row>
    <row r="180" spans="5:35" x14ac:dyDescent="0.45">
      <c r="E180" t="s">
        <v>533</v>
      </c>
      <c r="G180" t="s">
        <v>442</v>
      </c>
      <c r="I180" t="s">
        <v>249</v>
      </c>
      <c r="J180" t="s">
        <v>348</v>
      </c>
      <c r="K180">
        <v>3.2204031164093181E-3</v>
      </c>
      <c r="L180" t="s">
        <v>251</v>
      </c>
      <c r="N180" t="s">
        <v>419</v>
      </c>
      <c r="O180" t="s">
        <v>348</v>
      </c>
      <c r="P180">
        <v>2.1598997955974584E-3</v>
      </c>
      <c r="Q180" t="s">
        <v>251</v>
      </c>
      <c r="S180" t="s">
        <v>420</v>
      </c>
      <c r="T180" t="s">
        <v>348</v>
      </c>
      <c r="U180">
        <v>2.4552076392760176E-3</v>
      </c>
      <c r="V180" t="s">
        <v>251</v>
      </c>
      <c r="X180">
        <v>3.5388127853881279E-3</v>
      </c>
      <c r="Y180">
        <v>5.240782636799844E-3</v>
      </c>
      <c r="Z180" t="s">
        <v>348</v>
      </c>
      <c r="AA180" t="s">
        <v>25</v>
      </c>
      <c r="AC180" t="s">
        <v>22</v>
      </c>
      <c r="AD180" t="s">
        <v>348</v>
      </c>
      <c r="AE180">
        <v>2.8922928243539656E-3</v>
      </c>
      <c r="AG180" t="s">
        <v>97</v>
      </c>
      <c r="AH180" t="s">
        <v>348</v>
      </c>
      <c r="AI180">
        <v>5.6133928654755527E-2</v>
      </c>
    </row>
    <row r="181" spans="5:35" x14ac:dyDescent="0.45">
      <c r="E181" t="s">
        <v>534</v>
      </c>
      <c r="G181" t="s">
        <v>442</v>
      </c>
      <c r="I181" t="s">
        <v>249</v>
      </c>
      <c r="J181" t="s">
        <v>349</v>
      </c>
      <c r="K181">
        <v>5.2350618749991001E-3</v>
      </c>
      <c r="L181" t="s">
        <v>251</v>
      </c>
      <c r="N181" t="s">
        <v>419</v>
      </c>
      <c r="O181" t="s">
        <v>349</v>
      </c>
      <c r="P181">
        <v>1.8496526274653208E-3</v>
      </c>
      <c r="Q181" t="s">
        <v>251</v>
      </c>
      <c r="S181" t="s">
        <v>420</v>
      </c>
      <c r="T181" t="s">
        <v>349</v>
      </c>
      <c r="U181">
        <v>2.3873461693071727E-3</v>
      </c>
      <c r="V181" t="s">
        <v>251</v>
      </c>
      <c r="X181">
        <v>3.5388127853881279E-3</v>
      </c>
      <c r="Y181">
        <v>5.9087255218821738E-3</v>
      </c>
      <c r="Z181" t="s">
        <v>349</v>
      </c>
      <c r="AA181" t="s">
        <v>25</v>
      </c>
      <c r="AC181" t="s">
        <v>22</v>
      </c>
      <c r="AD181" t="s">
        <v>349</v>
      </c>
      <c r="AE181">
        <v>2.7751816886173938E-3</v>
      </c>
      <c r="AG181" t="s">
        <v>97</v>
      </c>
      <c r="AH181" t="s">
        <v>349</v>
      </c>
      <c r="AI181">
        <v>5.9458371844419711E-2</v>
      </c>
    </row>
    <row r="182" spans="5:35" x14ac:dyDescent="0.45">
      <c r="E182" t="s">
        <v>535</v>
      </c>
      <c r="G182" t="s">
        <v>442</v>
      </c>
      <c r="I182" t="s">
        <v>249</v>
      </c>
      <c r="J182" t="s">
        <v>350</v>
      </c>
      <c r="K182">
        <v>5.4726961163533497E-2</v>
      </c>
      <c r="L182" t="s">
        <v>251</v>
      </c>
      <c r="N182" t="s">
        <v>419</v>
      </c>
      <c r="O182" t="s">
        <v>350</v>
      </c>
      <c r="P182">
        <v>1.3394753685262772E-2</v>
      </c>
      <c r="Q182" t="s">
        <v>251</v>
      </c>
      <c r="S182" t="s">
        <v>420</v>
      </c>
      <c r="T182" t="s">
        <v>350</v>
      </c>
      <c r="U182">
        <v>1.5760182629451346E-2</v>
      </c>
      <c r="V182" t="s">
        <v>251</v>
      </c>
      <c r="X182">
        <v>2.4771689497716895E-2</v>
      </c>
      <c r="Y182">
        <v>3.1424143732027281E-2</v>
      </c>
      <c r="Z182" t="s">
        <v>350</v>
      </c>
      <c r="AA182" t="s">
        <v>25</v>
      </c>
      <c r="AC182" t="s">
        <v>22</v>
      </c>
      <c r="AD182" t="s">
        <v>350</v>
      </c>
      <c r="AE182">
        <v>2.2015949371621827E-2</v>
      </c>
      <c r="AG182" t="s">
        <v>97</v>
      </c>
      <c r="AH182" t="s">
        <v>350</v>
      </c>
      <c r="AI182">
        <v>0.20573239206764882</v>
      </c>
    </row>
    <row r="183" spans="5:35" x14ac:dyDescent="0.45">
      <c r="E183" t="s">
        <v>536</v>
      </c>
      <c r="G183" t="s">
        <v>442</v>
      </c>
      <c r="I183" t="s">
        <v>249</v>
      </c>
      <c r="J183" t="s">
        <v>351</v>
      </c>
      <c r="K183">
        <v>7.1083135960544001E-3</v>
      </c>
      <c r="L183" t="s">
        <v>251</v>
      </c>
      <c r="N183" t="s">
        <v>419</v>
      </c>
      <c r="O183" t="s">
        <v>351</v>
      </c>
      <c r="P183">
        <v>2.0138639294259761E-3</v>
      </c>
      <c r="Q183" t="s">
        <v>251</v>
      </c>
      <c r="S183" t="s">
        <v>420</v>
      </c>
      <c r="T183" t="s">
        <v>351</v>
      </c>
      <c r="U183">
        <v>2.6066075866898052E-3</v>
      </c>
      <c r="V183" t="s">
        <v>251</v>
      </c>
      <c r="X183">
        <v>3.5388127853881279E-3</v>
      </c>
      <c r="Y183">
        <v>5.3435430806586613E-3</v>
      </c>
      <c r="Z183" t="s">
        <v>351</v>
      </c>
      <c r="AA183" t="s">
        <v>25</v>
      </c>
      <c r="AC183" t="s">
        <v>22</v>
      </c>
      <c r="AD183" t="s">
        <v>351</v>
      </c>
      <c r="AE183">
        <v>3.7274002743161584E-3</v>
      </c>
      <c r="AG183" t="s">
        <v>97</v>
      </c>
      <c r="AH183" t="s">
        <v>351</v>
      </c>
      <c r="AI183">
        <v>7.3142236951218909E-2</v>
      </c>
    </row>
    <row r="184" spans="5:35" x14ac:dyDescent="0.45">
      <c r="E184" t="s">
        <v>537</v>
      </c>
      <c r="G184" t="s">
        <v>442</v>
      </c>
      <c r="I184" t="s">
        <v>249</v>
      </c>
      <c r="J184" t="s">
        <v>352</v>
      </c>
      <c r="K184">
        <v>6.1891237235557998E-3</v>
      </c>
      <c r="L184" t="s">
        <v>251</v>
      </c>
      <c r="N184" t="s">
        <v>419</v>
      </c>
      <c r="O184" t="s">
        <v>352</v>
      </c>
      <c r="P184">
        <v>2.0792526059573023E-3</v>
      </c>
      <c r="Q184" t="s">
        <v>251</v>
      </c>
      <c r="S184" t="s">
        <v>420</v>
      </c>
      <c r="T184" t="s">
        <v>352</v>
      </c>
      <c r="U184">
        <v>2.5679852482390691E-3</v>
      </c>
      <c r="V184" t="s">
        <v>251</v>
      </c>
      <c r="X184">
        <v>3.5388127853881279E-3</v>
      </c>
      <c r="Y184">
        <v>6.8849497385409693E-3</v>
      </c>
      <c r="Z184" t="s">
        <v>352</v>
      </c>
      <c r="AA184" t="s">
        <v>25</v>
      </c>
      <c r="AC184" t="s">
        <v>22</v>
      </c>
      <c r="AD184" t="s">
        <v>352</v>
      </c>
      <c r="AE184">
        <v>3.785287944468385E-3</v>
      </c>
      <c r="AG184" t="s">
        <v>97</v>
      </c>
      <c r="AH184" t="s">
        <v>352</v>
      </c>
      <c r="AI184">
        <v>0.1053933651502823</v>
      </c>
    </row>
    <row r="185" spans="5:35" x14ac:dyDescent="0.45">
      <c r="E185" t="s">
        <v>538</v>
      </c>
      <c r="G185" t="s">
        <v>442</v>
      </c>
      <c r="I185" t="s">
        <v>249</v>
      </c>
      <c r="J185" t="s">
        <v>353</v>
      </c>
      <c r="K185">
        <v>4.9659416849278997E-3</v>
      </c>
      <c r="L185" t="s">
        <v>251</v>
      </c>
      <c r="N185" t="s">
        <v>419</v>
      </c>
      <c r="O185" t="s">
        <v>353</v>
      </c>
      <c r="P185">
        <v>2.1234054464425787E-3</v>
      </c>
      <c r="Q185" t="s">
        <v>251</v>
      </c>
      <c r="S185" t="s">
        <v>420</v>
      </c>
      <c r="T185" t="s">
        <v>353</v>
      </c>
      <c r="U185">
        <v>2.5660690043538253E-3</v>
      </c>
      <c r="V185" t="s">
        <v>251</v>
      </c>
      <c r="X185">
        <v>3.5388127853881279E-3</v>
      </c>
      <c r="Y185">
        <v>6.8849497385409693E-3</v>
      </c>
      <c r="Z185" t="s">
        <v>353</v>
      </c>
      <c r="AA185" t="s">
        <v>25</v>
      </c>
      <c r="AC185" t="s">
        <v>22</v>
      </c>
      <c r="AD185" t="s">
        <v>353</v>
      </c>
      <c r="AE185">
        <v>3.843480283760511E-3</v>
      </c>
      <c r="AG185" t="s">
        <v>97</v>
      </c>
      <c r="AH185" t="s">
        <v>353</v>
      </c>
      <c r="AI185">
        <v>0.10499916203418347</v>
      </c>
    </row>
    <row r="186" spans="5:35" x14ac:dyDescent="0.45">
      <c r="E186" t="s">
        <v>539</v>
      </c>
      <c r="G186" t="s">
        <v>442</v>
      </c>
      <c r="I186" t="s">
        <v>249</v>
      </c>
      <c r="J186" t="s">
        <v>354</v>
      </c>
      <c r="K186">
        <v>5.2532482843577442E-3</v>
      </c>
      <c r="L186" t="s">
        <v>251</v>
      </c>
      <c r="N186" t="s">
        <v>419</v>
      </c>
      <c r="O186" t="s">
        <v>354</v>
      </c>
      <c r="P186">
        <v>1.8305678872793222E-2</v>
      </c>
      <c r="Q186" t="s">
        <v>251</v>
      </c>
      <c r="S186" t="s">
        <v>420</v>
      </c>
      <c r="T186" t="s">
        <v>354</v>
      </c>
      <c r="U186">
        <v>1.6816073507230526E-2</v>
      </c>
      <c r="V186" t="s">
        <v>251</v>
      </c>
      <c r="X186">
        <v>2.1232876712328767E-2</v>
      </c>
      <c r="Y186">
        <v>1.8702400782305319E-2</v>
      </c>
      <c r="Z186" t="s">
        <v>354</v>
      </c>
      <c r="AA186" t="s">
        <v>25</v>
      </c>
      <c r="AC186" t="s">
        <v>22</v>
      </c>
      <c r="AD186" t="s">
        <v>354</v>
      </c>
      <c r="AE186">
        <v>2.3704335456036028E-2</v>
      </c>
      <c r="AG186" t="s">
        <v>97</v>
      </c>
      <c r="AH186" t="s">
        <v>354</v>
      </c>
      <c r="AI186">
        <v>0.13820527616738598</v>
      </c>
    </row>
    <row r="187" spans="5:35" x14ac:dyDescent="0.45">
      <c r="E187" t="s">
        <v>540</v>
      </c>
      <c r="G187" t="s">
        <v>442</v>
      </c>
      <c r="I187" t="s">
        <v>249</v>
      </c>
      <c r="J187" t="s">
        <v>355</v>
      </c>
      <c r="K187">
        <v>2.783153874109351E-8</v>
      </c>
      <c r="L187" t="s">
        <v>251</v>
      </c>
      <c r="N187" t="s">
        <v>419</v>
      </c>
      <c r="O187" t="s">
        <v>355</v>
      </c>
      <c r="P187">
        <v>1.6476624077206636E-2</v>
      </c>
      <c r="Q187" t="s">
        <v>251</v>
      </c>
      <c r="S187" t="s">
        <v>420</v>
      </c>
      <c r="T187" t="s">
        <v>355</v>
      </c>
      <c r="U187">
        <v>1.4198100847300008E-2</v>
      </c>
      <c r="V187" t="s">
        <v>251</v>
      </c>
      <c r="X187">
        <v>2.1232876712328767E-2</v>
      </c>
      <c r="Y187">
        <v>4.5420116185598634E-3</v>
      </c>
      <c r="Z187" t="s">
        <v>355</v>
      </c>
      <c r="AA187" t="s">
        <v>25</v>
      </c>
      <c r="AC187" t="s">
        <v>22</v>
      </c>
      <c r="AD187" t="s">
        <v>355</v>
      </c>
      <c r="AE187">
        <v>2.0531327419762581E-2</v>
      </c>
      <c r="AG187" t="s">
        <v>97</v>
      </c>
      <c r="AH187" t="s">
        <v>355</v>
      </c>
      <c r="AI187">
        <v>0.20279576727930415</v>
      </c>
    </row>
    <row r="188" spans="5:35" x14ac:dyDescent="0.45">
      <c r="E188" t="s">
        <v>541</v>
      </c>
      <c r="G188" t="s">
        <v>442</v>
      </c>
      <c r="I188" t="s">
        <v>249</v>
      </c>
      <c r="J188" t="s">
        <v>356</v>
      </c>
      <c r="K188">
        <v>2.7522411699255861E-3</v>
      </c>
      <c r="L188" t="s">
        <v>251</v>
      </c>
      <c r="N188" t="s">
        <v>419</v>
      </c>
      <c r="O188" t="s">
        <v>356</v>
      </c>
      <c r="P188">
        <v>2.0483594360940671E-3</v>
      </c>
      <c r="Q188" t="s">
        <v>251</v>
      </c>
      <c r="S188" t="s">
        <v>420</v>
      </c>
      <c r="T188" t="s">
        <v>356</v>
      </c>
      <c r="U188">
        <v>2.0917873914683208E-3</v>
      </c>
      <c r="V188" t="s">
        <v>251</v>
      </c>
      <c r="X188">
        <v>3.5388127853881279E-3</v>
      </c>
      <c r="Y188">
        <v>5.240782636799844E-3</v>
      </c>
      <c r="Z188" t="s">
        <v>356</v>
      </c>
      <c r="AA188" t="s">
        <v>25</v>
      </c>
      <c r="AC188" t="s">
        <v>22</v>
      </c>
      <c r="AD188" t="s">
        <v>356</v>
      </c>
      <c r="AE188">
        <v>2.7922388810710285E-3</v>
      </c>
      <c r="AG188" t="s">
        <v>97</v>
      </c>
      <c r="AH188" t="s">
        <v>356</v>
      </c>
      <c r="AI188">
        <v>7.8332183240009012E-2</v>
      </c>
    </row>
    <row r="189" spans="5:35" x14ac:dyDescent="0.45">
      <c r="E189" t="s">
        <v>542</v>
      </c>
      <c r="G189" t="s">
        <v>442</v>
      </c>
      <c r="I189" t="s">
        <v>249</v>
      </c>
      <c r="J189" t="s">
        <v>357</v>
      </c>
      <c r="K189">
        <v>5.5222011424492998E-3</v>
      </c>
      <c r="L189" t="s">
        <v>251</v>
      </c>
      <c r="N189" t="s">
        <v>419</v>
      </c>
      <c r="O189" t="s">
        <v>357</v>
      </c>
      <c r="P189">
        <v>1.563764425558836E-3</v>
      </c>
      <c r="Q189" t="s">
        <v>251</v>
      </c>
      <c r="S189" t="s">
        <v>420</v>
      </c>
      <c r="T189" t="s">
        <v>357</v>
      </c>
      <c r="U189">
        <v>2.0390217860858477E-3</v>
      </c>
      <c r="V189" t="s">
        <v>251</v>
      </c>
      <c r="X189">
        <v>3.5388127853881279E-3</v>
      </c>
      <c r="Y189">
        <v>5.9087255218821738E-3</v>
      </c>
      <c r="Z189" t="s">
        <v>357</v>
      </c>
      <c r="AA189" t="s">
        <v>25</v>
      </c>
      <c r="AC189" t="s">
        <v>22</v>
      </c>
      <c r="AD189" t="s">
        <v>357</v>
      </c>
      <c r="AE189">
        <v>2.68234189438178E-3</v>
      </c>
      <c r="AG189" t="s">
        <v>97</v>
      </c>
      <c r="AH189" t="s">
        <v>357</v>
      </c>
      <c r="AI189">
        <v>7.2485883556521413E-2</v>
      </c>
    </row>
    <row r="190" spans="5:35" x14ac:dyDescent="0.45">
      <c r="E190" t="s">
        <v>543</v>
      </c>
      <c r="G190" t="s">
        <v>442</v>
      </c>
      <c r="I190" t="s">
        <v>249</v>
      </c>
      <c r="J190" t="s">
        <v>358</v>
      </c>
      <c r="K190">
        <v>5.6711374637086802E-2</v>
      </c>
      <c r="L190" t="s">
        <v>251</v>
      </c>
      <c r="N190" t="s">
        <v>419</v>
      </c>
      <c r="O190" t="s">
        <v>358</v>
      </c>
      <c r="P190">
        <v>1.0239656113572375E-2</v>
      </c>
      <c r="Q190" t="s">
        <v>251</v>
      </c>
      <c r="S190" t="s">
        <v>420</v>
      </c>
      <c r="T190" t="s">
        <v>358</v>
      </c>
      <c r="U190">
        <v>1.3599721801736927E-2</v>
      </c>
      <c r="V190" t="s">
        <v>251</v>
      </c>
      <c r="X190">
        <v>2.4771689497716895E-2</v>
      </c>
      <c r="Y190">
        <v>3.1424143732027281E-2</v>
      </c>
      <c r="Z190" t="s">
        <v>358</v>
      </c>
      <c r="AA190" t="s">
        <v>25</v>
      </c>
      <c r="AC190" t="s">
        <v>22</v>
      </c>
      <c r="AD190" t="s">
        <v>358</v>
      </c>
      <c r="AE190">
        <v>2.1516877500868201E-2</v>
      </c>
      <c r="AG190" t="s">
        <v>97</v>
      </c>
      <c r="AH190" t="s">
        <v>358</v>
      </c>
      <c r="AI190">
        <v>0.19699593812495508</v>
      </c>
    </row>
    <row r="191" spans="5:35" x14ac:dyDescent="0.45">
      <c r="E191" t="s">
        <v>544</v>
      </c>
      <c r="G191" t="s">
        <v>442</v>
      </c>
      <c r="I191" t="s">
        <v>249</v>
      </c>
      <c r="J191" t="s">
        <v>359</v>
      </c>
      <c r="K191">
        <v>7.4687617925409998E-3</v>
      </c>
      <c r="L191" t="s">
        <v>251</v>
      </c>
      <c r="N191" t="s">
        <v>419</v>
      </c>
      <c r="O191" t="s">
        <v>359</v>
      </c>
      <c r="P191">
        <v>1.6032268362819705E-3</v>
      </c>
      <c r="Q191" t="s">
        <v>251</v>
      </c>
      <c r="S191" t="s">
        <v>420</v>
      </c>
      <c r="T191" t="s">
        <v>359</v>
      </c>
      <c r="U191">
        <v>2.1334074833218876E-3</v>
      </c>
      <c r="V191" t="s">
        <v>251</v>
      </c>
      <c r="X191">
        <v>3.5388127853881279E-3</v>
      </c>
      <c r="Y191">
        <v>5.3435430806586613E-3</v>
      </c>
      <c r="Z191" t="s">
        <v>359</v>
      </c>
      <c r="AA191" t="s">
        <v>25</v>
      </c>
      <c r="AC191" t="s">
        <v>22</v>
      </c>
      <c r="AD191" t="s">
        <v>359</v>
      </c>
      <c r="AE191">
        <v>3.6319932023806674E-3</v>
      </c>
      <c r="AG191" t="s">
        <v>97</v>
      </c>
      <c r="AH191" t="s">
        <v>359</v>
      </c>
      <c r="AI191">
        <v>6.75965833044474E-2</v>
      </c>
    </row>
    <row r="192" spans="5:35" x14ac:dyDescent="0.45">
      <c r="E192" t="s">
        <v>545</v>
      </c>
      <c r="G192" t="s">
        <v>442</v>
      </c>
      <c r="I192" t="s">
        <v>249</v>
      </c>
      <c r="J192" t="s">
        <v>360</v>
      </c>
      <c r="K192">
        <v>6.6138938984641E-3</v>
      </c>
      <c r="L192" t="s">
        <v>251</v>
      </c>
      <c r="N192" t="s">
        <v>419</v>
      </c>
      <c r="O192" t="s">
        <v>360</v>
      </c>
      <c r="P192">
        <v>1.702274214395016E-3</v>
      </c>
      <c r="Q192" t="s">
        <v>251</v>
      </c>
      <c r="S192" t="s">
        <v>420</v>
      </c>
      <c r="T192" t="s">
        <v>360</v>
      </c>
      <c r="U192">
        <v>2.0736100584980966E-3</v>
      </c>
      <c r="V192" t="s">
        <v>251</v>
      </c>
      <c r="X192">
        <v>3.5388127853881279E-3</v>
      </c>
      <c r="Y192">
        <v>6.8849497385409693E-3</v>
      </c>
      <c r="Z192" t="s">
        <v>360</v>
      </c>
      <c r="AA192" t="s">
        <v>25</v>
      </c>
      <c r="AC192" t="s">
        <v>22</v>
      </c>
      <c r="AD192" t="s">
        <v>360</v>
      </c>
      <c r="AE192">
        <v>3.6660521175087145E-3</v>
      </c>
      <c r="AG192" t="s">
        <v>97</v>
      </c>
      <c r="AH192" t="s">
        <v>360</v>
      </c>
      <c r="AI192">
        <v>7.9800658589176843E-2</v>
      </c>
    </row>
    <row r="193" spans="5:35" x14ac:dyDescent="0.45">
      <c r="E193" t="s">
        <v>546</v>
      </c>
      <c r="G193" t="s">
        <v>442</v>
      </c>
      <c r="I193" t="s">
        <v>249</v>
      </c>
      <c r="J193" t="s">
        <v>361</v>
      </c>
      <c r="K193">
        <v>5.3870160545135999E-3</v>
      </c>
      <c r="L193" t="s">
        <v>251</v>
      </c>
      <c r="N193" t="s">
        <v>419</v>
      </c>
      <c r="O193" t="s">
        <v>361</v>
      </c>
      <c r="P193">
        <v>1.8296506997353484E-3</v>
      </c>
      <c r="Q193" t="s">
        <v>251</v>
      </c>
      <c r="S193" t="s">
        <v>420</v>
      </c>
      <c r="T193" t="s">
        <v>361</v>
      </c>
      <c r="U193">
        <v>2.0472469150234025E-3</v>
      </c>
      <c r="V193" t="s">
        <v>251</v>
      </c>
      <c r="X193">
        <v>3.5388127853881279E-3</v>
      </c>
      <c r="Y193">
        <v>6.8849497385409693E-3</v>
      </c>
      <c r="Z193" t="s">
        <v>361</v>
      </c>
      <c r="AA193" t="s">
        <v>25</v>
      </c>
      <c r="AC193" t="s">
        <v>22</v>
      </c>
      <c r="AD193" t="s">
        <v>361</v>
      </c>
      <c r="AE193">
        <v>3.7098463054774798E-3</v>
      </c>
      <c r="AG193" t="s">
        <v>97</v>
      </c>
      <c r="AH193" t="s">
        <v>361</v>
      </c>
      <c r="AI193">
        <v>0.11778085626857693</v>
      </c>
    </row>
    <row r="194" spans="5:35" x14ac:dyDescent="0.45">
      <c r="E194" t="s">
        <v>547</v>
      </c>
      <c r="G194" t="s">
        <v>442</v>
      </c>
      <c r="I194" t="s">
        <v>249</v>
      </c>
      <c r="J194" t="s">
        <v>362</v>
      </c>
      <c r="K194">
        <v>4.8833452718522428E-3</v>
      </c>
      <c r="L194" t="s">
        <v>251</v>
      </c>
      <c r="N194" t="s">
        <v>419</v>
      </c>
      <c r="O194" t="s">
        <v>362</v>
      </c>
      <c r="P194">
        <v>1.8211523341571861E-2</v>
      </c>
      <c r="Q194" t="s">
        <v>251</v>
      </c>
      <c r="S194" t="s">
        <v>420</v>
      </c>
      <c r="T194" t="s">
        <v>362</v>
      </c>
      <c r="U194">
        <v>1.4510372030929865E-2</v>
      </c>
      <c r="V194" t="s">
        <v>251</v>
      </c>
      <c r="X194">
        <v>2.1232876712328767E-2</v>
      </c>
      <c r="Y194">
        <v>1.8702400782305319E-2</v>
      </c>
      <c r="Z194" t="s">
        <v>362</v>
      </c>
      <c r="AA194" t="s">
        <v>25</v>
      </c>
      <c r="AC194" t="s">
        <v>22</v>
      </c>
      <c r="AD194" t="s">
        <v>362</v>
      </c>
      <c r="AE194">
        <v>2.3018083360320719E-2</v>
      </c>
      <c r="AG194" t="s">
        <v>97</v>
      </c>
      <c r="AH194" t="s">
        <v>362</v>
      </c>
      <c r="AI194">
        <v>0.16156484455199549</v>
      </c>
    </row>
    <row r="195" spans="5:35" x14ac:dyDescent="0.45">
      <c r="E195" t="s">
        <v>548</v>
      </c>
      <c r="G195" t="s">
        <v>442</v>
      </c>
      <c r="I195" t="s">
        <v>249</v>
      </c>
      <c r="J195" t="s">
        <v>363</v>
      </c>
      <c r="K195">
        <v>0</v>
      </c>
      <c r="L195" t="s">
        <v>251</v>
      </c>
      <c r="N195" t="s">
        <v>419</v>
      </c>
      <c r="O195" t="s">
        <v>363</v>
      </c>
      <c r="P195">
        <v>2.1678145855586663E-2</v>
      </c>
      <c r="Q195" t="s">
        <v>251</v>
      </c>
      <c r="S195" t="s">
        <v>420</v>
      </c>
      <c r="T195" t="s">
        <v>363</v>
      </c>
      <c r="U195">
        <v>1.7601894519674918E-2</v>
      </c>
      <c r="V195" t="s">
        <v>251</v>
      </c>
      <c r="X195">
        <v>1.9863013698630139E-2</v>
      </c>
      <c r="Y195">
        <v>4.2489786109108389E-3</v>
      </c>
      <c r="Z195" t="s">
        <v>363</v>
      </c>
      <c r="AA195" t="s">
        <v>25</v>
      </c>
      <c r="AC195" t="s">
        <v>22</v>
      </c>
      <c r="AD195" t="s">
        <v>363</v>
      </c>
      <c r="AE195">
        <v>1.8730361932765584E-2</v>
      </c>
      <c r="AG195" t="s">
        <v>97</v>
      </c>
      <c r="AH195" t="s">
        <v>363</v>
      </c>
      <c r="AI195">
        <v>0.1772184900542122</v>
      </c>
    </row>
    <row r="196" spans="5:35" x14ac:dyDescent="0.45">
      <c r="E196" t="s">
        <v>549</v>
      </c>
      <c r="G196" t="s">
        <v>442</v>
      </c>
      <c r="I196" t="s">
        <v>249</v>
      </c>
      <c r="J196" t="s">
        <v>364</v>
      </c>
      <c r="K196">
        <v>1.3858011587950653E-3</v>
      </c>
      <c r="L196" t="s">
        <v>251</v>
      </c>
      <c r="N196" t="s">
        <v>419</v>
      </c>
      <c r="O196" t="s">
        <v>364</v>
      </c>
      <c r="P196">
        <v>3.2070926695004433E-3</v>
      </c>
      <c r="Q196" t="s">
        <v>251</v>
      </c>
      <c r="S196" t="s">
        <v>420</v>
      </c>
      <c r="T196" t="s">
        <v>364</v>
      </c>
      <c r="U196">
        <v>2.6926575754511761E-3</v>
      </c>
      <c r="V196" t="s">
        <v>251</v>
      </c>
      <c r="X196">
        <v>3.3105022831050228E-3</v>
      </c>
      <c r="Y196">
        <v>4.9026676279740472E-3</v>
      </c>
      <c r="Z196" t="s">
        <v>364</v>
      </c>
      <c r="AA196" t="s">
        <v>25</v>
      </c>
      <c r="AC196" t="s">
        <v>22</v>
      </c>
      <c r="AD196" t="s">
        <v>364</v>
      </c>
      <c r="AE196">
        <v>2.546761586292922E-3</v>
      </c>
      <c r="AG196" t="s">
        <v>97</v>
      </c>
      <c r="AH196" t="s">
        <v>364</v>
      </c>
      <c r="AI196">
        <v>7.6083547013469532E-2</v>
      </c>
    </row>
    <row r="197" spans="5:35" x14ac:dyDescent="0.45">
      <c r="E197" t="s">
        <v>550</v>
      </c>
      <c r="G197" t="s">
        <v>442</v>
      </c>
      <c r="I197" t="s">
        <v>249</v>
      </c>
      <c r="J197" t="s">
        <v>365</v>
      </c>
      <c r="K197">
        <v>5.0183499583225377E-3</v>
      </c>
      <c r="L197" t="s">
        <v>251</v>
      </c>
      <c r="N197" t="s">
        <v>419</v>
      </c>
      <c r="O197" t="s">
        <v>365</v>
      </c>
      <c r="P197">
        <v>2.7789313866867387E-3</v>
      </c>
      <c r="Q197" t="s">
        <v>251</v>
      </c>
      <c r="S197" t="s">
        <v>420</v>
      </c>
      <c r="T197" t="s">
        <v>365</v>
      </c>
      <c r="U197">
        <v>2.6982631910539997E-3</v>
      </c>
      <c r="V197" t="s">
        <v>251</v>
      </c>
      <c r="X197">
        <v>3.3105022831050228E-3</v>
      </c>
      <c r="Y197">
        <v>5.5275174236962274E-3</v>
      </c>
      <c r="Z197" t="s">
        <v>365</v>
      </c>
      <c r="AA197" t="s">
        <v>25</v>
      </c>
      <c r="AC197" t="s">
        <v>22</v>
      </c>
      <c r="AD197" t="s">
        <v>365</v>
      </c>
      <c r="AE197">
        <v>2.4611591622620615E-3</v>
      </c>
      <c r="AG197" t="s">
        <v>97</v>
      </c>
      <c r="AH197" t="s">
        <v>365</v>
      </c>
      <c r="AI197">
        <v>7.1611975646219905E-2</v>
      </c>
    </row>
    <row r="198" spans="5:35" x14ac:dyDescent="0.45">
      <c r="E198" t="s">
        <v>551</v>
      </c>
      <c r="G198" t="s">
        <v>442</v>
      </c>
      <c r="I198" t="s">
        <v>249</v>
      </c>
      <c r="J198" t="s">
        <v>366</v>
      </c>
      <c r="K198">
        <v>5.1716526594711203E-2</v>
      </c>
      <c r="L198" t="s">
        <v>251</v>
      </c>
      <c r="N198" t="s">
        <v>419</v>
      </c>
      <c r="O198" t="s">
        <v>366</v>
      </c>
      <c r="P198">
        <v>1.8212867093628592E-2</v>
      </c>
      <c r="Q198" t="s">
        <v>251</v>
      </c>
      <c r="S198" t="s">
        <v>420</v>
      </c>
      <c r="T198" t="s">
        <v>366</v>
      </c>
      <c r="U198">
        <v>1.807452226982011E-2</v>
      </c>
      <c r="V198" t="s">
        <v>251</v>
      </c>
      <c r="X198">
        <v>2.3173515981735161E-2</v>
      </c>
      <c r="Y198">
        <v>2.9396779620283593E-2</v>
      </c>
      <c r="Z198" t="s">
        <v>366</v>
      </c>
      <c r="AA198" t="s">
        <v>25</v>
      </c>
      <c r="AC198" t="s">
        <v>22</v>
      </c>
      <c r="AD198" t="s">
        <v>366</v>
      </c>
      <c r="AE198">
        <v>2.0098534161700314E-2</v>
      </c>
      <c r="AG198" t="s">
        <v>97</v>
      </c>
      <c r="AH198" t="s">
        <v>366</v>
      </c>
      <c r="AI198">
        <v>0.18276082882676148</v>
      </c>
    </row>
    <row r="199" spans="5:35" x14ac:dyDescent="0.45">
      <c r="E199" t="s">
        <v>552</v>
      </c>
      <c r="G199" t="s">
        <v>442</v>
      </c>
      <c r="I199" t="s">
        <v>249</v>
      </c>
      <c r="J199" t="s">
        <v>367</v>
      </c>
      <c r="K199">
        <v>7.0970379264762001E-3</v>
      </c>
      <c r="L199" t="s">
        <v>251</v>
      </c>
      <c r="N199" t="s">
        <v>419</v>
      </c>
      <c r="O199" t="s">
        <v>367</v>
      </c>
      <c r="P199">
        <v>2.6816198555602274E-3</v>
      </c>
      <c r="Q199" t="s">
        <v>251</v>
      </c>
      <c r="S199" t="s">
        <v>420</v>
      </c>
      <c r="T199" t="s">
        <v>367</v>
      </c>
      <c r="U199">
        <v>2.6248645017552426E-3</v>
      </c>
      <c r="V199" t="s">
        <v>251</v>
      </c>
      <c r="X199">
        <v>3.3105022831050228E-3</v>
      </c>
      <c r="Y199">
        <v>4.9987983657774574E-3</v>
      </c>
      <c r="Z199" t="s">
        <v>367</v>
      </c>
      <c r="AA199" t="s">
        <v>25</v>
      </c>
      <c r="AC199" t="s">
        <v>22</v>
      </c>
      <c r="AD199" t="s">
        <v>367</v>
      </c>
      <c r="AE199">
        <v>3.3644866213600163E-3</v>
      </c>
      <c r="AG199" t="s">
        <v>97</v>
      </c>
      <c r="AH199" t="s">
        <v>367</v>
      </c>
      <c r="AI199">
        <v>5.8253063448085562E-2</v>
      </c>
    </row>
    <row r="200" spans="5:35" x14ac:dyDescent="0.45">
      <c r="E200" t="s">
        <v>553</v>
      </c>
      <c r="G200" t="s">
        <v>442</v>
      </c>
      <c r="I200" t="s">
        <v>249</v>
      </c>
      <c r="J200" t="s">
        <v>368</v>
      </c>
      <c r="K200">
        <v>6.3630387589016998E-3</v>
      </c>
      <c r="L200" t="s">
        <v>251</v>
      </c>
      <c r="N200" t="s">
        <v>419</v>
      </c>
      <c r="O200" t="s">
        <v>368</v>
      </c>
      <c r="P200">
        <v>2.6671848162734932E-3</v>
      </c>
      <c r="Q200" t="s">
        <v>251</v>
      </c>
      <c r="S200" t="s">
        <v>420</v>
      </c>
      <c r="T200" t="s">
        <v>368</v>
      </c>
      <c r="U200">
        <v>2.5250436403794815E-3</v>
      </c>
      <c r="V200" t="s">
        <v>251</v>
      </c>
      <c r="X200">
        <v>3.3105022831050228E-3</v>
      </c>
      <c r="Y200">
        <v>6.4407594328286487E-3</v>
      </c>
      <c r="Z200" t="s">
        <v>368</v>
      </c>
      <c r="AA200" t="s">
        <v>25</v>
      </c>
      <c r="AC200" t="s">
        <v>22</v>
      </c>
      <c r="AD200" t="s">
        <v>368</v>
      </c>
      <c r="AE200">
        <v>3.3890511710320463E-3</v>
      </c>
      <c r="AG200" t="s">
        <v>97</v>
      </c>
      <c r="AH200" t="s">
        <v>368</v>
      </c>
      <c r="AI200">
        <v>7.3550923610524288E-2</v>
      </c>
    </row>
    <row r="201" spans="5:35" x14ac:dyDescent="0.45">
      <c r="E201" t="s">
        <v>554</v>
      </c>
      <c r="G201" t="s">
        <v>442</v>
      </c>
      <c r="I201" t="s">
        <v>249</v>
      </c>
      <c r="J201" t="s">
        <v>369</v>
      </c>
      <c r="K201">
        <v>5.0393715138564001E-3</v>
      </c>
      <c r="L201" t="s">
        <v>251</v>
      </c>
      <c r="N201" t="s">
        <v>419</v>
      </c>
      <c r="O201" t="s">
        <v>369</v>
      </c>
      <c r="P201">
        <v>2.7585448702919721E-3</v>
      </c>
      <c r="Q201" t="s">
        <v>251</v>
      </c>
      <c r="S201" t="s">
        <v>420</v>
      </c>
      <c r="T201" t="s">
        <v>369</v>
      </c>
      <c r="U201">
        <v>2.6202007129351233E-3</v>
      </c>
      <c r="V201" t="s">
        <v>251</v>
      </c>
      <c r="X201">
        <v>3.3105022831050228E-3</v>
      </c>
      <c r="Y201">
        <v>6.4407594328286487E-3</v>
      </c>
      <c r="Z201" t="s">
        <v>369</v>
      </c>
      <c r="AA201" t="s">
        <v>25</v>
      </c>
      <c r="AC201" t="s">
        <v>22</v>
      </c>
      <c r="AD201" t="s">
        <v>369</v>
      </c>
      <c r="AE201">
        <v>3.4153394223791159E-3</v>
      </c>
      <c r="AG201" t="s">
        <v>97</v>
      </c>
      <c r="AH201" t="s">
        <v>369</v>
      </c>
      <c r="AI201">
        <v>7.9402585579899876E-2</v>
      </c>
    </row>
    <row r="202" spans="5:35" x14ac:dyDescent="0.45">
      <c r="E202" t="s">
        <v>555</v>
      </c>
      <c r="G202" t="s">
        <v>442</v>
      </c>
      <c r="I202" t="s">
        <v>249</v>
      </c>
      <c r="J202" t="s">
        <v>370</v>
      </c>
      <c r="K202">
        <v>2.5025617360669634E-3</v>
      </c>
      <c r="L202" t="s">
        <v>251</v>
      </c>
      <c r="N202" t="s">
        <v>419</v>
      </c>
      <c r="O202" t="s">
        <v>370</v>
      </c>
      <c r="P202">
        <v>2.2849622553598448E-2</v>
      </c>
      <c r="Q202" t="s">
        <v>251</v>
      </c>
      <c r="S202" t="s">
        <v>420</v>
      </c>
      <c r="T202" t="s">
        <v>370</v>
      </c>
      <c r="U202">
        <v>1.8407881929254268E-2</v>
      </c>
      <c r="V202" t="s">
        <v>251</v>
      </c>
      <c r="X202">
        <v>1.9863013698630139E-2</v>
      </c>
      <c r="Y202">
        <v>1.7495794280221105E-2</v>
      </c>
      <c r="Z202" t="s">
        <v>370</v>
      </c>
      <c r="AA202" t="s">
        <v>25</v>
      </c>
      <c r="AC202" t="s">
        <v>22</v>
      </c>
      <c r="AD202" t="s">
        <v>370</v>
      </c>
      <c r="AE202">
        <v>2.1007149613099806E-2</v>
      </c>
      <c r="AG202" t="s">
        <v>97</v>
      </c>
      <c r="AH202" t="s">
        <v>370</v>
      </c>
      <c r="AI202">
        <v>0.12572433960213991</v>
      </c>
    </row>
    <row r="203" spans="5:35" x14ac:dyDescent="0.45">
      <c r="E203" t="s">
        <v>556</v>
      </c>
      <c r="G203" t="s">
        <v>444</v>
      </c>
      <c r="I203" t="s">
        <v>249</v>
      </c>
      <c r="J203" t="s">
        <v>700</v>
      </c>
      <c r="K203">
        <v>0</v>
      </c>
      <c r="L203" t="s">
        <v>251</v>
      </c>
      <c r="N203" t="s">
        <v>419</v>
      </c>
      <c r="O203" t="s">
        <v>700</v>
      </c>
      <c r="P203">
        <v>6.0094029898087089E-5</v>
      </c>
      <c r="Q203" t="s">
        <v>251</v>
      </c>
      <c r="S203" t="s">
        <v>420</v>
      </c>
      <c r="T203" t="s">
        <v>700</v>
      </c>
      <c r="U203">
        <v>5.708990909765815E-5</v>
      </c>
      <c r="V203" t="s">
        <v>251</v>
      </c>
      <c r="X203">
        <v>1.1415525114155251E-4</v>
      </c>
      <c r="Y203">
        <v>2.1546544680075254E-5</v>
      </c>
      <c r="Z203" t="s">
        <v>700</v>
      </c>
      <c r="AA203" t="s">
        <v>25</v>
      </c>
      <c r="AC203" t="s">
        <v>22</v>
      </c>
      <c r="AD203" t="s">
        <v>700</v>
      </c>
      <c r="AE203">
        <v>1.3161149232468003E-4</v>
      </c>
      <c r="AG203" t="s">
        <v>97</v>
      </c>
      <c r="AH203" t="s">
        <v>700</v>
      </c>
      <c r="AI203">
        <v>0</v>
      </c>
    </row>
    <row r="204" spans="5:35" x14ac:dyDescent="0.45">
      <c r="E204" t="s">
        <v>557</v>
      </c>
      <c r="G204" t="s">
        <v>444</v>
      </c>
      <c r="I204" t="s">
        <v>249</v>
      </c>
      <c r="J204" t="s">
        <v>701</v>
      </c>
      <c r="K204">
        <v>0</v>
      </c>
      <c r="L204" t="s">
        <v>251</v>
      </c>
      <c r="N204" t="s">
        <v>419</v>
      </c>
      <c r="O204" t="s">
        <v>701</v>
      </c>
      <c r="P204">
        <v>5.652553107226809E-5</v>
      </c>
      <c r="Q204" t="s">
        <v>251</v>
      </c>
      <c r="S204" t="s">
        <v>420</v>
      </c>
      <c r="T204" t="s">
        <v>701</v>
      </c>
      <c r="U204">
        <v>5.5852585351412848E-5</v>
      </c>
      <c r="V204" t="s">
        <v>251</v>
      </c>
      <c r="X204">
        <v>1.1415525114155251E-4</v>
      </c>
      <c r="Y204">
        <v>1.4916838624667481E-5</v>
      </c>
      <c r="Z204" t="s">
        <v>701</v>
      </c>
      <c r="AA204" t="s">
        <v>25</v>
      </c>
      <c r="AC204" t="s">
        <v>22</v>
      </c>
      <c r="AD204" t="s">
        <v>701</v>
      </c>
      <c r="AE204">
        <v>1.2763025101580802E-4</v>
      </c>
      <c r="AG204" t="s">
        <v>97</v>
      </c>
      <c r="AH204" t="s">
        <v>701</v>
      </c>
      <c r="AI204">
        <v>0</v>
      </c>
    </row>
    <row r="205" spans="5:35" x14ac:dyDescent="0.45">
      <c r="E205" t="s">
        <v>558</v>
      </c>
      <c r="G205" t="s">
        <v>444</v>
      </c>
      <c r="I205" t="s">
        <v>249</v>
      </c>
      <c r="J205" t="s">
        <v>702</v>
      </c>
      <c r="K205">
        <v>0</v>
      </c>
      <c r="L205" t="s">
        <v>251</v>
      </c>
      <c r="N205" t="s">
        <v>419</v>
      </c>
      <c r="O205" t="s">
        <v>702</v>
      </c>
      <c r="P205">
        <v>5.1332071938100322E-5</v>
      </c>
      <c r="Q205" t="s">
        <v>251</v>
      </c>
      <c r="S205" t="s">
        <v>420</v>
      </c>
      <c r="T205" t="s">
        <v>702</v>
      </c>
      <c r="U205">
        <v>5.1840817773569868E-5</v>
      </c>
      <c r="V205" t="s">
        <v>251</v>
      </c>
      <c r="X205">
        <v>1.1415525114155251E-4</v>
      </c>
      <c r="Y205">
        <v>1.6574265138519424E-5</v>
      </c>
      <c r="Z205" t="s">
        <v>702</v>
      </c>
      <c r="AA205" t="s">
        <v>25</v>
      </c>
      <c r="AC205" t="s">
        <v>22</v>
      </c>
      <c r="AD205" t="s">
        <v>702</v>
      </c>
      <c r="AE205">
        <v>1.2492397802531027E-4</v>
      </c>
      <c r="AG205" t="s">
        <v>97</v>
      </c>
      <c r="AH205" t="s">
        <v>702</v>
      </c>
      <c r="AI205">
        <v>0</v>
      </c>
    </row>
    <row r="206" spans="5:35" x14ac:dyDescent="0.45">
      <c r="E206" t="s">
        <v>559</v>
      </c>
      <c r="G206" t="s">
        <v>444</v>
      </c>
      <c r="I206" t="s">
        <v>249</v>
      </c>
      <c r="J206" t="s">
        <v>703</v>
      </c>
      <c r="K206">
        <v>0</v>
      </c>
      <c r="L206" t="s">
        <v>251</v>
      </c>
      <c r="N206" t="s">
        <v>419</v>
      </c>
      <c r="O206" t="s">
        <v>703</v>
      </c>
      <c r="P206">
        <v>5.3945167503429617E-5</v>
      </c>
      <c r="Q206" t="s">
        <v>251</v>
      </c>
      <c r="S206" t="s">
        <v>420</v>
      </c>
      <c r="T206" t="s">
        <v>703</v>
      </c>
      <c r="U206">
        <v>4.9814749568872203E-5</v>
      </c>
      <c r="V206" t="s">
        <v>251</v>
      </c>
      <c r="X206">
        <v>1.1415525114155251E-4</v>
      </c>
      <c r="Y206">
        <v>1.4585353321897093E-5</v>
      </c>
      <c r="Z206" t="s">
        <v>703</v>
      </c>
      <c r="AA206" t="s">
        <v>25</v>
      </c>
      <c r="AC206" t="s">
        <v>22</v>
      </c>
      <c r="AD206" t="s">
        <v>703</v>
      </c>
      <c r="AE206">
        <v>1.12641969974882E-4</v>
      </c>
      <c r="AG206" t="s">
        <v>97</v>
      </c>
      <c r="AH206" t="s">
        <v>703</v>
      </c>
      <c r="AI206">
        <v>0</v>
      </c>
    </row>
    <row r="207" spans="5:35" x14ac:dyDescent="0.45">
      <c r="E207" t="s">
        <v>560</v>
      </c>
      <c r="G207" t="s">
        <v>444</v>
      </c>
      <c r="I207" t="s">
        <v>249</v>
      </c>
      <c r="J207" t="s">
        <v>704</v>
      </c>
      <c r="K207">
        <v>0</v>
      </c>
      <c r="L207" t="s">
        <v>251</v>
      </c>
      <c r="N207" t="s">
        <v>419</v>
      </c>
      <c r="O207" t="s">
        <v>704</v>
      </c>
      <c r="P207">
        <v>4.65041881540715E-5</v>
      </c>
      <c r="Q207" t="s">
        <v>251</v>
      </c>
      <c r="S207" t="s">
        <v>420</v>
      </c>
      <c r="T207" t="s">
        <v>704</v>
      </c>
      <c r="U207">
        <v>4.8338633251479815E-5</v>
      </c>
      <c r="V207" t="s">
        <v>251</v>
      </c>
      <c r="X207">
        <v>1.1415525114155251E-4</v>
      </c>
      <c r="Y207">
        <v>2.1215059377304864E-5</v>
      </c>
      <c r="Z207" t="s">
        <v>704</v>
      </c>
      <c r="AA207" t="s">
        <v>25</v>
      </c>
      <c r="AC207" t="s">
        <v>22</v>
      </c>
      <c r="AD207" t="s">
        <v>704</v>
      </c>
      <c r="AE207">
        <v>1.0530509955772126E-4</v>
      </c>
      <c r="AG207" t="s">
        <v>97</v>
      </c>
      <c r="AH207" t="s">
        <v>704</v>
      </c>
      <c r="AI207">
        <v>0</v>
      </c>
    </row>
    <row r="208" spans="5:35" x14ac:dyDescent="0.45">
      <c r="E208" t="s">
        <v>561</v>
      </c>
      <c r="G208" t="s">
        <v>444</v>
      </c>
      <c r="I208" t="s">
        <v>249</v>
      </c>
      <c r="J208" t="s">
        <v>705</v>
      </c>
      <c r="K208">
        <v>0</v>
      </c>
      <c r="L208" t="s">
        <v>251</v>
      </c>
      <c r="N208" t="s">
        <v>419</v>
      </c>
      <c r="O208" t="s">
        <v>705</v>
      </c>
      <c r="P208">
        <v>4.096917049590117E-5</v>
      </c>
      <c r="Q208" t="s">
        <v>251</v>
      </c>
      <c r="S208" t="s">
        <v>420</v>
      </c>
      <c r="T208" t="s">
        <v>705</v>
      </c>
      <c r="U208">
        <v>5.1855328450070497E-5</v>
      </c>
      <c r="V208" t="s">
        <v>251</v>
      </c>
      <c r="X208">
        <v>1.1415525114155251E-4</v>
      </c>
      <c r="Y208">
        <v>5.7678442682047593E-5</v>
      </c>
      <c r="Z208" t="s">
        <v>705</v>
      </c>
      <c r="AA208" t="s">
        <v>25</v>
      </c>
      <c r="AC208" t="s">
        <v>22</v>
      </c>
      <c r="AD208" t="s">
        <v>705</v>
      </c>
      <c r="AE208">
        <v>9.8638127748519906E-5</v>
      </c>
      <c r="AG208" t="s">
        <v>97</v>
      </c>
      <c r="AH208" t="s">
        <v>705</v>
      </c>
      <c r="AI208">
        <v>0</v>
      </c>
    </row>
    <row r="209" spans="5:35" x14ac:dyDescent="0.45">
      <c r="E209" t="s">
        <v>562</v>
      </c>
      <c r="G209" t="s">
        <v>444</v>
      </c>
      <c r="I209" t="s">
        <v>249</v>
      </c>
      <c r="J209" t="s">
        <v>706</v>
      </c>
      <c r="K209">
        <v>4.0787330059355363E-5</v>
      </c>
      <c r="L209" t="s">
        <v>251</v>
      </c>
      <c r="N209" t="s">
        <v>419</v>
      </c>
      <c r="O209" t="s">
        <v>706</v>
      </c>
      <c r="P209">
        <v>3.5518429746406824E-5</v>
      </c>
      <c r="Q209" t="s">
        <v>251</v>
      </c>
      <c r="S209" t="s">
        <v>420</v>
      </c>
      <c r="T209" t="s">
        <v>706</v>
      </c>
      <c r="U209">
        <v>5.9279547728978519E-5</v>
      </c>
      <c r="V209" t="s">
        <v>251</v>
      </c>
      <c r="X209">
        <v>1.1415525114155251E-4</v>
      </c>
      <c r="Y209">
        <v>1.6905750441289813E-4</v>
      </c>
      <c r="Z209" t="s">
        <v>706</v>
      </c>
      <c r="AA209" t="s">
        <v>25</v>
      </c>
      <c r="AC209" t="s">
        <v>22</v>
      </c>
      <c r="AD209" t="s">
        <v>706</v>
      </c>
      <c r="AE209">
        <v>9.5258221151850347E-5</v>
      </c>
      <c r="AG209" t="s">
        <v>97</v>
      </c>
      <c r="AH209" t="s">
        <v>706</v>
      </c>
      <c r="AI209">
        <v>0</v>
      </c>
    </row>
    <row r="210" spans="5:35" x14ac:dyDescent="0.45">
      <c r="E210" t="s">
        <v>563</v>
      </c>
      <c r="G210" t="s">
        <v>444</v>
      </c>
      <c r="I210" t="s">
        <v>249</v>
      </c>
      <c r="J210" t="s">
        <v>707</v>
      </c>
      <c r="K210">
        <v>9.4311621969324079E-5</v>
      </c>
      <c r="L210" t="s">
        <v>251</v>
      </c>
      <c r="N210" t="s">
        <v>419</v>
      </c>
      <c r="O210" t="s">
        <v>707</v>
      </c>
      <c r="P210">
        <v>2.4784943653458371E-5</v>
      </c>
      <c r="Q210" t="s">
        <v>251</v>
      </c>
      <c r="S210" t="s">
        <v>420</v>
      </c>
      <c r="T210" t="s">
        <v>707</v>
      </c>
      <c r="U210">
        <v>6.6705357315398155E-5</v>
      </c>
      <c r="V210" t="s">
        <v>251</v>
      </c>
      <c r="X210">
        <v>1.1415525114155251E-4</v>
      </c>
      <c r="Y210">
        <v>1.9060404909297337E-4</v>
      </c>
      <c r="Z210" t="s">
        <v>707</v>
      </c>
      <c r="AA210" t="s">
        <v>25</v>
      </c>
      <c r="AC210" t="s">
        <v>22</v>
      </c>
      <c r="AD210" t="s">
        <v>707</v>
      </c>
      <c r="AE210">
        <v>9.187271205786214E-5</v>
      </c>
      <c r="AG210" t="s">
        <v>97</v>
      </c>
      <c r="AH210" t="s">
        <v>707</v>
      </c>
      <c r="AI210">
        <v>0</v>
      </c>
    </row>
    <row r="211" spans="5:35" x14ac:dyDescent="0.45">
      <c r="E211" t="s">
        <v>564</v>
      </c>
      <c r="G211" t="s">
        <v>444</v>
      </c>
      <c r="I211" t="s">
        <v>249</v>
      </c>
      <c r="J211" t="s">
        <v>708</v>
      </c>
      <c r="K211">
        <v>1.4137556826109999E-4</v>
      </c>
      <c r="L211" t="s">
        <v>251</v>
      </c>
      <c r="N211" t="s">
        <v>419</v>
      </c>
      <c r="O211" t="s">
        <v>708</v>
      </c>
      <c r="P211">
        <v>2.1681593446359102E-5</v>
      </c>
      <c r="Q211" t="s">
        <v>251</v>
      </c>
      <c r="S211" t="s">
        <v>420</v>
      </c>
      <c r="T211" t="s">
        <v>708</v>
      </c>
      <c r="U211">
        <v>6.7925866717212714E-5</v>
      </c>
      <c r="V211" t="s">
        <v>251</v>
      </c>
      <c r="X211">
        <v>1.1415525114155251E-4</v>
      </c>
      <c r="Y211">
        <v>1.4585353321897094E-4</v>
      </c>
      <c r="Z211" t="s">
        <v>708</v>
      </c>
      <c r="AA211" t="s">
        <v>25</v>
      </c>
      <c r="AC211" t="s">
        <v>22</v>
      </c>
      <c r="AD211" t="s">
        <v>708</v>
      </c>
      <c r="AE211">
        <v>9.1351146236053892E-5</v>
      </c>
      <c r="AG211" t="s">
        <v>97</v>
      </c>
      <c r="AH211" t="s">
        <v>708</v>
      </c>
      <c r="AI211">
        <v>0</v>
      </c>
    </row>
    <row r="212" spans="5:35" x14ac:dyDescent="0.45">
      <c r="E212" t="s">
        <v>565</v>
      </c>
      <c r="G212" t="s">
        <v>444</v>
      </c>
      <c r="I212" t="s">
        <v>249</v>
      </c>
      <c r="J212" t="s">
        <v>709</v>
      </c>
      <c r="K212">
        <v>1.7124793398390001E-4</v>
      </c>
      <c r="L212" t="s">
        <v>251</v>
      </c>
      <c r="N212" t="s">
        <v>419</v>
      </c>
      <c r="O212" t="s">
        <v>709</v>
      </c>
      <c r="P212">
        <v>2.3007490122673294E-5</v>
      </c>
      <c r="Q212" t="s">
        <v>251</v>
      </c>
      <c r="S212" t="s">
        <v>420</v>
      </c>
      <c r="T212" t="s">
        <v>709</v>
      </c>
      <c r="U212">
        <v>7.4182878825795708E-5</v>
      </c>
      <c r="V212" t="s">
        <v>251</v>
      </c>
      <c r="X212">
        <v>1.1415525114155251E-4</v>
      </c>
      <c r="Y212">
        <v>1.4452759200788939E-4</v>
      </c>
      <c r="Z212" t="s">
        <v>709</v>
      </c>
      <c r="AA212" t="s">
        <v>25</v>
      </c>
      <c r="AC212" t="s">
        <v>22</v>
      </c>
      <c r="AD212" t="s">
        <v>709</v>
      </c>
      <c r="AE212">
        <v>9.1939942025686029E-5</v>
      </c>
      <c r="AG212" t="s">
        <v>97</v>
      </c>
      <c r="AH212" t="s">
        <v>709</v>
      </c>
      <c r="AI212">
        <v>0</v>
      </c>
    </row>
    <row r="213" spans="5:35" x14ac:dyDescent="0.45">
      <c r="E213" t="s">
        <v>566</v>
      </c>
      <c r="G213" t="s">
        <v>444</v>
      </c>
      <c r="I213" t="s">
        <v>249</v>
      </c>
      <c r="J213" t="s">
        <v>710</v>
      </c>
      <c r="K213">
        <v>1.895647993923E-4</v>
      </c>
      <c r="L213" t="s">
        <v>251</v>
      </c>
      <c r="N213" t="s">
        <v>419</v>
      </c>
      <c r="O213" t="s">
        <v>710</v>
      </c>
      <c r="P213">
        <v>2.5284366441646623E-5</v>
      </c>
      <c r="Q213" t="s">
        <v>251</v>
      </c>
      <c r="S213" t="s">
        <v>420</v>
      </c>
      <c r="T213" t="s">
        <v>710</v>
      </c>
      <c r="U213">
        <v>8.0349099865312172E-5</v>
      </c>
      <c r="V213" t="s">
        <v>251</v>
      </c>
      <c r="X213">
        <v>1.1415525114155251E-4</v>
      </c>
      <c r="Y213">
        <v>1.408812536774151E-4</v>
      </c>
      <c r="Z213" t="s">
        <v>710</v>
      </c>
      <c r="AA213" t="s">
        <v>25</v>
      </c>
      <c r="AC213" t="s">
        <v>22</v>
      </c>
      <c r="AD213" t="s">
        <v>710</v>
      </c>
      <c r="AE213">
        <v>9.819179546213359E-5</v>
      </c>
      <c r="AG213" t="s">
        <v>97</v>
      </c>
      <c r="AH213" t="s">
        <v>710</v>
      </c>
      <c r="AI213">
        <v>0</v>
      </c>
    </row>
    <row r="214" spans="5:35" x14ac:dyDescent="0.45">
      <c r="E214" t="s">
        <v>567</v>
      </c>
      <c r="G214" t="s">
        <v>444</v>
      </c>
      <c r="I214" t="s">
        <v>249</v>
      </c>
      <c r="J214" t="s">
        <v>711</v>
      </c>
      <c r="K214">
        <v>2.080089373088E-4</v>
      </c>
      <c r="L214" t="s">
        <v>251</v>
      </c>
      <c r="N214" t="s">
        <v>419</v>
      </c>
      <c r="O214" t="s">
        <v>711</v>
      </c>
      <c r="P214">
        <v>2.7651993675796478E-5</v>
      </c>
      <c r="Q214" t="s">
        <v>251</v>
      </c>
      <c r="S214" t="s">
        <v>420</v>
      </c>
      <c r="T214" t="s">
        <v>711</v>
      </c>
      <c r="U214">
        <v>8.2638830529696303E-5</v>
      </c>
      <c r="V214" t="s">
        <v>251</v>
      </c>
      <c r="X214">
        <v>1.1415525114155251E-4</v>
      </c>
      <c r="Y214">
        <v>1.4054976837464471E-4</v>
      </c>
      <c r="Z214" t="s">
        <v>711</v>
      </c>
      <c r="AA214" t="s">
        <v>25</v>
      </c>
      <c r="AC214" t="s">
        <v>22</v>
      </c>
      <c r="AD214" t="s">
        <v>711</v>
      </c>
      <c r="AE214">
        <v>1.0340318511083065E-4</v>
      </c>
      <c r="AG214" t="s">
        <v>97</v>
      </c>
      <c r="AH214" t="s">
        <v>711</v>
      </c>
      <c r="AI214">
        <v>0</v>
      </c>
    </row>
    <row r="215" spans="5:35" x14ac:dyDescent="0.45">
      <c r="E215" t="s">
        <v>568</v>
      </c>
      <c r="G215" t="s">
        <v>444</v>
      </c>
      <c r="I215" t="s">
        <v>249</v>
      </c>
      <c r="J215" t="s">
        <v>712</v>
      </c>
      <c r="K215">
        <v>2.0374882054820001E-4</v>
      </c>
      <c r="L215" t="s">
        <v>251</v>
      </c>
      <c r="N215" t="s">
        <v>419</v>
      </c>
      <c r="O215" t="s">
        <v>712</v>
      </c>
      <c r="P215">
        <v>3.1085129511905552E-5</v>
      </c>
      <c r="Q215" t="s">
        <v>251</v>
      </c>
      <c r="S215" t="s">
        <v>420</v>
      </c>
      <c r="T215" t="s">
        <v>712</v>
      </c>
      <c r="U215">
        <v>8.8059403849031261E-5</v>
      </c>
      <c r="V215" t="s">
        <v>251</v>
      </c>
      <c r="X215">
        <v>1.1415525114155251E-4</v>
      </c>
      <c r="Y215">
        <v>1.4253868019126702E-4</v>
      </c>
      <c r="Z215" t="s">
        <v>712</v>
      </c>
      <c r="AA215" t="s">
        <v>25</v>
      </c>
      <c r="AC215" t="s">
        <v>22</v>
      </c>
      <c r="AD215" t="s">
        <v>712</v>
      </c>
      <c r="AE215">
        <v>1.1162658403227212E-4</v>
      </c>
      <c r="AG215" t="s">
        <v>97</v>
      </c>
      <c r="AH215" t="s">
        <v>712</v>
      </c>
      <c r="AI215">
        <v>0</v>
      </c>
    </row>
    <row r="216" spans="5:35" x14ac:dyDescent="0.45">
      <c r="E216" t="s">
        <v>569</v>
      </c>
      <c r="G216" t="s">
        <v>444</v>
      </c>
      <c r="I216" t="s">
        <v>249</v>
      </c>
      <c r="J216" t="s">
        <v>713</v>
      </c>
      <c r="K216">
        <v>1.996512302124E-4</v>
      </c>
      <c r="L216" t="s">
        <v>251</v>
      </c>
      <c r="N216" t="s">
        <v>419</v>
      </c>
      <c r="O216" t="s">
        <v>713</v>
      </c>
      <c r="P216">
        <v>3.3653217927049085E-5</v>
      </c>
      <c r="Q216" t="s">
        <v>251</v>
      </c>
      <c r="S216" t="s">
        <v>420</v>
      </c>
      <c r="T216" t="s">
        <v>713</v>
      </c>
      <c r="U216">
        <v>9.2257914769287155E-5</v>
      </c>
      <c r="V216" t="s">
        <v>251</v>
      </c>
      <c r="X216">
        <v>1.1415525114155251E-4</v>
      </c>
      <c r="Y216">
        <v>1.4883690094390442E-4</v>
      </c>
      <c r="Z216" t="s">
        <v>713</v>
      </c>
      <c r="AA216" t="s">
        <v>25</v>
      </c>
      <c r="AC216" t="s">
        <v>22</v>
      </c>
      <c r="AD216" t="s">
        <v>713</v>
      </c>
      <c r="AE216">
        <v>1.1886794520942909E-4</v>
      </c>
      <c r="AG216" t="s">
        <v>97</v>
      </c>
      <c r="AH216" t="s">
        <v>713</v>
      </c>
      <c r="AI216">
        <v>0</v>
      </c>
    </row>
    <row r="217" spans="5:35" x14ac:dyDescent="0.45">
      <c r="E217" t="s">
        <v>570</v>
      </c>
      <c r="G217" t="s">
        <v>444</v>
      </c>
      <c r="I217" t="s">
        <v>249</v>
      </c>
      <c r="J217" t="s">
        <v>714</v>
      </c>
      <c r="K217">
        <v>1.984144051045E-4</v>
      </c>
      <c r="L217" t="s">
        <v>251</v>
      </c>
      <c r="N217" t="s">
        <v>419</v>
      </c>
      <c r="O217" t="s">
        <v>714</v>
      </c>
      <c r="P217">
        <v>3.4525264843169706E-5</v>
      </c>
      <c r="Q217" t="s">
        <v>251</v>
      </c>
      <c r="S217" t="s">
        <v>420</v>
      </c>
      <c r="T217" t="s">
        <v>714</v>
      </c>
      <c r="U217">
        <v>8.2063173210658859E-5</v>
      </c>
      <c r="V217" t="s">
        <v>251</v>
      </c>
      <c r="X217">
        <v>1.1415525114155251E-4</v>
      </c>
      <c r="Y217">
        <v>1.5049432745775637E-4</v>
      </c>
      <c r="Z217" t="s">
        <v>714</v>
      </c>
      <c r="AA217" t="s">
        <v>25</v>
      </c>
      <c r="AC217" t="s">
        <v>22</v>
      </c>
      <c r="AD217" t="s">
        <v>714</v>
      </c>
      <c r="AE217">
        <v>1.2301299286847516E-4</v>
      </c>
      <c r="AG217" t="s">
        <v>97</v>
      </c>
      <c r="AH217" t="s">
        <v>714</v>
      </c>
      <c r="AI217">
        <v>0</v>
      </c>
    </row>
    <row r="218" spans="5:35" x14ac:dyDescent="0.45">
      <c r="E218" t="s">
        <v>571</v>
      </c>
      <c r="G218" t="s">
        <v>444</v>
      </c>
      <c r="I218" t="s">
        <v>249</v>
      </c>
      <c r="J218" t="s">
        <v>715</v>
      </c>
      <c r="K218">
        <v>1.8498673104120001E-4</v>
      </c>
      <c r="L218" t="s">
        <v>251</v>
      </c>
      <c r="N218" t="s">
        <v>419</v>
      </c>
      <c r="O218" t="s">
        <v>715</v>
      </c>
      <c r="P218">
        <v>3.8095749433067159E-5</v>
      </c>
      <c r="Q218" t="s">
        <v>251</v>
      </c>
      <c r="S218" t="s">
        <v>420</v>
      </c>
      <c r="T218" t="s">
        <v>715</v>
      </c>
      <c r="U218">
        <v>7.6034119205626934E-5</v>
      </c>
      <c r="V218" t="s">
        <v>251</v>
      </c>
      <c r="X218">
        <v>1.1415525114155251E-4</v>
      </c>
      <c r="Y218">
        <v>1.7237235744060203E-4</v>
      </c>
      <c r="Z218" t="s">
        <v>715</v>
      </c>
      <c r="AA218" t="s">
        <v>25</v>
      </c>
      <c r="AC218" t="s">
        <v>22</v>
      </c>
      <c r="AD218" t="s">
        <v>715</v>
      </c>
      <c r="AE218">
        <v>1.2513820685135224E-4</v>
      </c>
      <c r="AG218" t="s">
        <v>97</v>
      </c>
      <c r="AH218" t="s">
        <v>715</v>
      </c>
      <c r="AI218">
        <v>0</v>
      </c>
    </row>
    <row r="219" spans="5:35" x14ac:dyDescent="0.45">
      <c r="E219" t="s">
        <v>572</v>
      </c>
      <c r="G219" t="s">
        <v>444</v>
      </c>
      <c r="I219" t="s">
        <v>249</v>
      </c>
      <c r="J219" t="s">
        <v>716</v>
      </c>
      <c r="K219">
        <v>1.6140733186189999E-4</v>
      </c>
      <c r="L219" t="s">
        <v>251</v>
      </c>
      <c r="N219" t="s">
        <v>419</v>
      </c>
      <c r="O219" t="s">
        <v>716</v>
      </c>
      <c r="P219">
        <v>3.6063127810576708E-5</v>
      </c>
      <c r="Q219" t="s">
        <v>251</v>
      </c>
      <c r="S219" t="s">
        <v>420</v>
      </c>
      <c r="T219" t="s">
        <v>716</v>
      </c>
      <c r="U219">
        <v>5.5347632277182925E-5</v>
      </c>
      <c r="V219" t="s">
        <v>251</v>
      </c>
      <c r="X219">
        <v>1.1415525114155251E-4</v>
      </c>
      <c r="Y219">
        <v>2.2209515285616027E-4</v>
      </c>
      <c r="Z219" t="s">
        <v>716</v>
      </c>
      <c r="AA219" t="s">
        <v>25</v>
      </c>
      <c r="AC219" t="s">
        <v>22</v>
      </c>
      <c r="AD219" t="s">
        <v>716</v>
      </c>
      <c r="AE219">
        <v>1.2831535640220372E-4</v>
      </c>
      <c r="AG219" t="s">
        <v>97</v>
      </c>
      <c r="AH219" t="s">
        <v>716</v>
      </c>
      <c r="AI219">
        <v>0</v>
      </c>
    </row>
    <row r="220" spans="5:35" x14ac:dyDescent="0.45">
      <c r="E220" t="s">
        <v>573</v>
      </c>
      <c r="G220" t="s">
        <v>444</v>
      </c>
      <c r="I220" t="s">
        <v>249</v>
      </c>
      <c r="J220" t="s">
        <v>717</v>
      </c>
      <c r="K220">
        <v>1.1617709056799999E-4</v>
      </c>
      <c r="L220" t="s">
        <v>251</v>
      </c>
      <c r="N220" t="s">
        <v>419</v>
      </c>
      <c r="O220" t="s">
        <v>717</v>
      </c>
      <c r="P220">
        <v>3.3821627686976499E-5</v>
      </c>
      <c r="Q220" t="s">
        <v>251</v>
      </c>
      <c r="S220" t="s">
        <v>420</v>
      </c>
      <c r="T220" t="s">
        <v>717</v>
      </c>
      <c r="U220">
        <v>6.6712044156919529E-5</v>
      </c>
      <c r="V220" t="s">
        <v>251</v>
      </c>
      <c r="X220">
        <v>1.1415525114155251E-4</v>
      </c>
      <c r="Y220">
        <v>2.2209515285616027E-4</v>
      </c>
      <c r="Z220" t="s">
        <v>717</v>
      </c>
      <c r="AA220" t="s">
        <v>25</v>
      </c>
      <c r="AC220" t="s">
        <v>22</v>
      </c>
      <c r="AD220" t="s">
        <v>717</v>
      </c>
      <c r="AE220">
        <v>1.3101896153683545E-4</v>
      </c>
      <c r="AG220" t="s">
        <v>97</v>
      </c>
      <c r="AH220" t="s">
        <v>717</v>
      </c>
      <c r="AI220">
        <v>0</v>
      </c>
    </row>
    <row r="221" spans="5:35" x14ac:dyDescent="0.45">
      <c r="E221" t="s">
        <v>574</v>
      </c>
      <c r="G221" t="s">
        <v>444</v>
      </c>
      <c r="I221" t="s">
        <v>249</v>
      </c>
      <c r="J221" t="s">
        <v>718</v>
      </c>
      <c r="K221">
        <v>6.5694116154064108E-5</v>
      </c>
      <c r="L221" t="s">
        <v>251</v>
      </c>
      <c r="N221" t="s">
        <v>419</v>
      </c>
      <c r="O221" t="s">
        <v>718</v>
      </c>
      <c r="P221">
        <v>3.5914895946673685E-5</v>
      </c>
      <c r="Q221" t="s">
        <v>251</v>
      </c>
      <c r="S221" t="s">
        <v>420</v>
      </c>
      <c r="T221" t="s">
        <v>718</v>
      </c>
      <c r="U221">
        <v>8.9287956692003843E-5</v>
      </c>
      <c r="V221" t="s">
        <v>251</v>
      </c>
      <c r="X221">
        <v>1.1415525114155251E-4</v>
      </c>
      <c r="Y221">
        <v>1.7237235744060203E-4</v>
      </c>
      <c r="Z221" t="s">
        <v>718</v>
      </c>
      <c r="AA221" t="s">
        <v>25</v>
      </c>
      <c r="AC221" t="s">
        <v>22</v>
      </c>
      <c r="AD221" t="s">
        <v>718</v>
      </c>
      <c r="AE221">
        <v>1.3606681162094505E-4</v>
      </c>
      <c r="AG221" t="s">
        <v>97</v>
      </c>
      <c r="AH221" t="s">
        <v>718</v>
      </c>
      <c r="AI221">
        <v>0</v>
      </c>
    </row>
    <row r="222" spans="5:35" x14ac:dyDescent="0.45">
      <c r="E222" t="s">
        <v>575</v>
      </c>
      <c r="G222" t="s">
        <v>444</v>
      </c>
      <c r="I222" t="s">
        <v>249</v>
      </c>
      <c r="J222" t="s">
        <v>719</v>
      </c>
      <c r="K222">
        <v>0</v>
      </c>
      <c r="L222" t="s">
        <v>251</v>
      </c>
      <c r="N222" t="s">
        <v>419</v>
      </c>
      <c r="O222" t="s">
        <v>719</v>
      </c>
      <c r="P222">
        <v>4.2042996807454241E-5</v>
      </c>
      <c r="Q222" t="s">
        <v>251</v>
      </c>
      <c r="S222" t="s">
        <v>420</v>
      </c>
      <c r="T222" t="s">
        <v>719</v>
      </c>
      <c r="U222">
        <v>1.14751184103E-4</v>
      </c>
      <c r="V222" t="s">
        <v>251</v>
      </c>
      <c r="X222">
        <v>1.1415525114155251E-4</v>
      </c>
      <c r="Y222">
        <v>1.5579809230208258E-4</v>
      </c>
      <c r="Z222" t="s">
        <v>719</v>
      </c>
      <c r="AA222" t="s">
        <v>25</v>
      </c>
      <c r="AC222" t="s">
        <v>22</v>
      </c>
      <c r="AD222" t="s">
        <v>719</v>
      </c>
      <c r="AE222">
        <v>1.3778304329956019E-4</v>
      </c>
      <c r="AG222" t="s">
        <v>97</v>
      </c>
      <c r="AH222" t="s">
        <v>719</v>
      </c>
      <c r="AI222">
        <v>0</v>
      </c>
    </row>
    <row r="223" spans="5:35" x14ac:dyDescent="0.45">
      <c r="E223" t="s">
        <v>576</v>
      </c>
      <c r="G223" t="s">
        <v>444</v>
      </c>
      <c r="I223" t="s">
        <v>249</v>
      </c>
      <c r="J223" t="s">
        <v>720</v>
      </c>
      <c r="K223">
        <v>0</v>
      </c>
      <c r="L223" t="s">
        <v>251</v>
      </c>
      <c r="N223" t="s">
        <v>419</v>
      </c>
      <c r="O223" t="s">
        <v>720</v>
      </c>
      <c r="P223">
        <v>4.6931756891853767E-5</v>
      </c>
      <c r="Q223" t="s">
        <v>251</v>
      </c>
      <c r="S223" t="s">
        <v>420</v>
      </c>
      <c r="T223" t="s">
        <v>720</v>
      </c>
      <c r="U223">
        <v>1.3160549668620001E-4</v>
      </c>
      <c r="V223" t="s">
        <v>251</v>
      </c>
      <c r="X223">
        <v>1.1415525114155251E-4</v>
      </c>
      <c r="Y223">
        <v>1.093901499142282E-4</v>
      </c>
      <c r="Z223" t="s">
        <v>720</v>
      </c>
      <c r="AA223" t="s">
        <v>25</v>
      </c>
      <c r="AC223" t="s">
        <v>22</v>
      </c>
      <c r="AD223" t="s">
        <v>720</v>
      </c>
      <c r="AE223">
        <v>1.3831901554304499E-4</v>
      </c>
      <c r="AG223" t="s">
        <v>97</v>
      </c>
      <c r="AH223" t="s">
        <v>720</v>
      </c>
      <c r="AI223">
        <v>0</v>
      </c>
    </row>
    <row r="224" spans="5:35" x14ac:dyDescent="0.45">
      <c r="E224" t="s">
        <v>577</v>
      </c>
      <c r="G224" t="s">
        <v>444</v>
      </c>
      <c r="I224" t="s">
        <v>249</v>
      </c>
      <c r="J224" t="s">
        <v>721</v>
      </c>
      <c r="K224">
        <v>0</v>
      </c>
      <c r="L224" t="s">
        <v>251</v>
      </c>
      <c r="N224" t="s">
        <v>419</v>
      </c>
      <c r="O224" t="s">
        <v>721</v>
      </c>
      <c r="P224">
        <v>4.9495786772163647E-5</v>
      </c>
      <c r="Q224" t="s">
        <v>251</v>
      </c>
      <c r="S224" t="s">
        <v>420</v>
      </c>
      <c r="T224" t="s">
        <v>721</v>
      </c>
      <c r="U224">
        <v>1.4647395713510001E-4</v>
      </c>
      <c r="V224" t="s">
        <v>251</v>
      </c>
      <c r="X224">
        <v>1.1415525114155251E-4</v>
      </c>
      <c r="Y224">
        <v>7.9556472664893237E-5</v>
      </c>
      <c r="Z224" t="s">
        <v>721</v>
      </c>
      <c r="AA224" t="s">
        <v>25</v>
      </c>
      <c r="AC224" t="s">
        <v>22</v>
      </c>
      <c r="AD224" t="s">
        <v>721</v>
      </c>
      <c r="AE224">
        <v>1.3772861903989323E-4</v>
      </c>
      <c r="AG224" t="s">
        <v>97</v>
      </c>
      <c r="AH224" t="s">
        <v>721</v>
      </c>
      <c r="AI224">
        <v>0</v>
      </c>
    </row>
    <row r="225" spans="5:35" x14ac:dyDescent="0.45">
      <c r="E225" t="s">
        <v>578</v>
      </c>
      <c r="G225" t="s">
        <v>444</v>
      </c>
      <c r="I225" t="s">
        <v>249</v>
      </c>
      <c r="J225" t="s">
        <v>722</v>
      </c>
      <c r="K225">
        <v>0</v>
      </c>
      <c r="L225" t="s">
        <v>251</v>
      </c>
      <c r="N225" t="s">
        <v>419</v>
      </c>
      <c r="O225" t="s">
        <v>722</v>
      </c>
      <c r="P225">
        <v>4.884078354599622E-5</v>
      </c>
      <c r="Q225" t="s">
        <v>251</v>
      </c>
      <c r="S225" t="s">
        <v>420</v>
      </c>
      <c r="T225" t="s">
        <v>722</v>
      </c>
      <c r="U225">
        <v>1.4757513937040001E-4</v>
      </c>
      <c r="V225" t="s">
        <v>251</v>
      </c>
      <c r="X225">
        <v>1.1415525114155251E-4</v>
      </c>
      <c r="Y225">
        <v>5.6352501470966035E-5</v>
      </c>
      <c r="Z225" t="s">
        <v>722</v>
      </c>
      <c r="AA225" t="s">
        <v>25</v>
      </c>
      <c r="AC225" t="s">
        <v>22</v>
      </c>
      <c r="AD225" t="s">
        <v>722</v>
      </c>
      <c r="AE225">
        <v>1.3142207455819213E-4</v>
      </c>
      <c r="AG225" t="s">
        <v>97</v>
      </c>
      <c r="AH225" t="s">
        <v>722</v>
      </c>
      <c r="AI225">
        <v>0</v>
      </c>
    </row>
    <row r="226" spans="5:35" x14ac:dyDescent="0.45">
      <c r="E226" t="s">
        <v>579</v>
      </c>
      <c r="G226" t="s">
        <v>444</v>
      </c>
      <c r="I226" t="s">
        <v>249</v>
      </c>
      <c r="J226" t="s">
        <v>723</v>
      </c>
      <c r="K226">
        <v>0</v>
      </c>
      <c r="L226" t="s">
        <v>251</v>
      </c>
      <c r="N226" t="s">
        <v>419</v>
      </c>
      <c r="O226" t="s">
        <v>723</v>
      </c>
      <c r="P226">
        <v>4.6544656991490725E-5</v>
      </c>
      <c r="Q226" t="s">
        <v>251</v>
      </c>
      <c r="S226" t="s">
        <v>420</v>
      </c>
      <c r="T226" t="s">
        <v>723</v>
      </c>
      <c r="U226">
        <v>1.409993126573E-4</v>
      </c>
      <c r="V226" t="s">
        <v>251</v>
      </c>
      <c r="X226">
        <v>1.1415525114155251E-4</v>
      </c>
      <c r="Y226">
        <v>2.9833677249334962E-5</v>
      </c>
      <c r="Z226" t="s">
        <v>723</v>
      </c>
      <c r="AA226" t="s">
        <v>25</v>
      </c>
      <c r="AC226" t="s">
        <v>22</v>
      </c>
      <c r="AD226" t="s">
        <v>723</v>
      </c>
      <c r="AE226">
        <v>1.3071615989604141E-4</v>
      </c>
      <c r="AG226" t="s">
        <v>97</v>
      </c>
      <c r="AH226" t="s">
        <v>723</v>
      </c>
      <c r="AI226">
        <v>0</v>
      </c>
    </row>
    <row r="227" spans="5:35" x14ac:dyDescent="0.45">
      <c r="E227" t="s">
        <v>240</v>
      </c>
      <c r="G227" t="s">
        <v>152</v>
      </c>
      <c r="I227" t="s">
        <v>249</v>
      </c>
      <c r="J227" t="s">
        <v>395</v>
      </c>
      <c r="K227">
        <v>0</v>
      </c>
      <c r="L227" t="s">
        <v>251</v>
      </c>
      <c r="N227" t="s">
        <v>419</v>
      </c>
      <c r="O227" t="s">
        <v>395</v>
      </c>
      <c r="P227">
        <v>2.5874224241304158E-2</v>
      </c>
      <c r="Q227" t="s">
        <v>251</v>
      </c>
      <c r="S227" t="s">
        <v>420</v>
      </c>
      <c r="T227" t="s">
        <v>395</v>
      </c>
      <c r="U227">
        <v>2.1094768376061047E-2</v>
      </c>
      <c r="V227" t="s">
        <v>251</v>
      </c>
      <c r="X227">
        <v>2.0547945205479451E-2</v>
      </c>
      <c r="Y227">
        <v>4.3954951147353507E-3</v>
      </c>
      <c r="Z227" t="s">
        <v>395</v>
      </c>
      <c r="AA227" t="s">
        <v>25</v>
      </c>
      <c r="AC227" t="s">
        <v>22</v>
      </c>
      <c r="AD227" t="s">
        <v>395</v>
      </c>
      <c r="AE227">
        <v>1.9140198128193162E-2</v>
      </c>
      <c r="AG227" t="s">
        <v>97</v>
      </c>
      <c r="AH227" t="s">
        <v>395</v>
      </c>
      <c r="AI227">
        <v>0.14612315357944716</v>
      </c>
    </row>
    <row r="228" spans="5:35" x14ac:dyDescent="0.45">
      <c r="E228" t="s">
        <v>241</v>
      </c>
      <c r="G228" t="s">
        <v>152</v>
      </c>
      <c r="I228" t="s">
        <v>249</v>
      </c>
      <c r="J228" t="s">
        <v>396</v>
      </c>
      <c r="K228">
        <v>2.9377313160573786E-4</v>
      </c>
      <c r="L228" t="s">
        <v>251</v>
      </c>
      <c r="N228" t="s">
        <v>419</v>
      </c>
      <c r="O228" t="s">
        <v>396</v>
      </c>
      <c r="P228">
        <v>4.1173635065599543E-3</v>
      </c>
      <c r="Q228" t="s">
        <v>251</v>
      </c>
      <c r="S228" t="s">
        <v>420</v>
      </c>
      <c r="T228" t="s">
        <v>396</v>
      </c>
      <c r="U228">
        <v>3.4304917228980877E-3</v>
      </c>
      <c r="V228" t="s">
        <v>251</v>
      </c>
      <c r="X228">
        <v>3.4246575342465752E-3</v>
      </c>
      <c r="Y228">
        <v>5.0717251323869452E-3</v>
      </c>
      <c r="Z228" t="s">
        <v>396</v>
      </c>
      <c r="AA228" t="s">
        <v>25</v>
      </c>
      <c r="AC228" t="s">
        <v>22</v>
      </c>
      <c r="AD228" t="s">
        <v>396</v>
      </c>
      <c r="AE228">
        <v>2.5677163342049808E-3</v>
      </c>
      <c r="AG228" t="s">
        <v>97</v>
      </c>
      <c r="AH228" t="s">
        <v>396</v>
      </c>
      <c r="AI228">
        <v>3.3338339467418487E-2</v>
      </c>
    </row>
    <row r="229" spans="5:35" x14ac:dyDescent="0.45">
      <c r="E229" t="s">
        <v>242</v>
      </c>
      <c r="G229" t="s">
        <v>152</v>
      </c>
      <c r="I229" t="s">
        <v>249</v>
      </c>
      <c r="J229" t="s">
        <v>397</v>
      </c>
      <c r="K229">
        <v>4.9377266454432838E-3</v>
      </c>
      <c r="L229" t="s">
        <v>251</v>
      </c>
      <c r="N229" t="s">
        <v>419</v>
      </c>
      <c r="O229" t="s">
        <v>397</v>
      </c>
      <c r="P229">
        <v>3.9068294856026437E-3</v>
      </c>
      <c r="Q229" t="s">
        <v>251</v>
      </c>
      <c r="S229" t="s">
        <v>420</v>
      </c>
      <c r="T229" t="s">
        <v>397</v>
      </c>
      <c r="U229">
        <v>3.4188638004598458E-3</v>
      </c>
      <c r="V229" t="s">
        <v>251</v>
      </c>
      <c r="X229">
        <v>3.4246575342465752E-3</v>
      </c>
      <c r="Y229">
        <v>5.7181214727892006E-3</v>
      </c>
      <c r="Z229" t="s">
        <v>397</v>
      </c>
      <c r="AA229" t="s">
        <v>25</v>
      </c>
      <c r="AC229" t="s">
        <v>22</v>
      </c>
      <c r="AD229" t="s">
        <v>397</v>
      </c>
      <c r="AE229">
        <v>2.4964288243944609E-3</v>
      </c>
      <c r="AG229" t="s">
        <v>97</v>
      </c>
      <c r="AH229" t="s">
        <v>397</v>
      </c>
      <c r="AI229">
        <v>2.6211105583119343E-2</v>
      </c>
    </row>
    <row r="230" spans="5:35" x14ac:dyDescent="0.45">
      <c r="E230" t="s">
        <v>243</v>
      </c>
      <c r="G230" t="s">
        <v>152</v>
      </c>
      <c r="I230" t="s">
        <v>249</v>
      </c>
      <c r="J230" t="s">
        <v>398</v>
      </c>
      <c r="K230">
        <v>5.5817258803696902E-2</v>
      </c>
      <c r="L230" t="s">
        <v>251</v>
      </c>
      <c r="N230" t="s">
        <v>419</v>
      </c>
      <c r="O230" t="s">
        <v>398</v>
      </c>
      <c r="P230">
        <v>2.5217067735060345E-2</v>
      </c>
      <c r="Q230" t="s">
        <v>251</v>
      </c>
      <c r="S230" t="s">
        <v>420</v>
      </c>
      <c r="T230" t="s">
        <v>398</v>
      </c>
      <c r="U230">
        <v>2.2752213515275579E-2</v>
      </c>
      <c r="V230" t="s">
        <v>251</v>
      </c>
      <c r="X230">
        <v>2.3972602739726026E-2</v>
      </c>
      <c r="Y230">
        <v>3.0410461676155433E-2</v>
      </c>
      <c r="Z230" t="s">
        <v>398</v>
      </c>
      <c r="AA230" t="s">
        <v>25</v>
      </c>
      <c r="AC230" t="s">
        <v>22</v>
      </c>
      <c r="AD230" t="s">
        <v>398</v>
      </c>
      <c r="AE230">
        <v>2.1192586887961405E-2</v>
      </c>
      <c r="AG230" t="s">
        <v>97</v>
      </c>
      <c r="AH230" t="s">
        <v>398</v>
      </c>
      <c r="AI230">
        <v>0.25176530361947314</v>
      </c>
    </row>
    <row r="231" spans="5:35" x14ac:dyDescent="0.45">
      <c r="E231" t="s">
        <v>244</v>
      </c>
      <c r="G231" t="s">
        <v>152</v>
      </c>
      <c r="I231" t="s">
        <v>249</v>
      </c>
      <c r="J231" t="s">
        <v>399</v>
      </c>
      <c r="K231">
        <v>7.8517629578440003E-3</v>
      </c>
      <c r="L231" t="s">
        <v>251</v>
      </c>
      <c r="N231" t="s">
        <v>419</v>
      </c>
      <c r="O231" t="s">
        <v>399</v>
      </c>
      <c r="P231">
        <v>3.5685711498916056E-3</v>
      </c>
      <c r="Q231" t="s">
        <v>251</v>
      </c>
      <c r="S231" t="s">
        <v>420</v>
      </c>
      <c r="T231" t="s">
        <v>399</v>
      </c>
      <c r="U231">
        <v>3.430546803688957E-3</v>
      </c>
      <c r="V231" t="s">
        <v>251</v>
      </c>
      <c r="X231">
        <v>3.4246575342465752E-3</v>
      </c>
      <c r="Y231">
        <v>5.1711707232180593E-3</v>
      </c>
      <c r="Z231" t="s">
        <v>399</v>
      </c>
      <c r="AA231" t="s">
        <v>25</v>
      </c>
      <c r="AC231" t="s">
        <v>22</v>
      </c>
      <c r="AD231" t="s">
        <v>399</v>
      </c>
      <c r="AE231">
        <v>3.3984861173146008E-3</v>
      </c>
      <c r="AG231" t="s">
        <v>97</v>
      </c>
      <c r="AH231" t="s">
        <v>399</v>
      </c>
      <c r="AI231">
        <v>5.3673810729233606E-2</v>
      </c>
    </row>
    <row r="232" spans="5:35" x14ac:dyDescent="0.45">
      <c r="E232" t="s">
        <v>245</v>
      </c>
      <c r="G232" t="s">
        <v>152</v>
      </c>
      <c r="I232" t="s">
        <v>249</v>
      </c>
      <c r="J232" t="s">
        <v>400</v>
      </c>
      <c r="K232">
        <v>6.7689682443566003E-3</v>
      </c>
      <c r="L232" t="s">
        <v>251</v>
      </c>
      <c r="N232" t="s">
        <v>419</v>
      </c>
      <c r="O232" t="s">
        <v>400</v>
      </c>
      <c r="P232">
        <v>3.486783456304795E-3</v>
      </c>
      <c r="Q232" t="s">
        <v>251</v>
      </c>
      <c r="S232" t="s">
        <v>420</v>
      </c>
      <c r="T232" t="s">
        <v>400</v>
      </c>
      <c r="U232">
        <v>3.3415419281976498E-3</v>
      </c>
      <c r="V232" t="s">
        <v>251</v>
      </c>
      <c r="X232">
        <v>3.4246575342465752E-3</v>
      </c>
      <c r="Y232">
        <v>6.662854585684809E-3</v>
      </c>
      <c r="Z232" t="s">
        <v>400</v>
      </c>
      <c r="AA232" t="s">
        <v>25</v>
      </c>
      <c r="AC232" t="s">
        <v>22</v>
      </c>
      <c r="AD232" t="s">
        <v>400</v>
      </c>
      <c r="AE232">
        <v>3.4181490154039794E-3</v>
      </c>
      <c r="AG232" t="s">
        <v>97</v>
      </c>
      <c r="AH232" t="s">
        <v>400</v>
      </c>
      <c r="AI232">
        <v>5.5907722397030124E-2</v>
      </c>
    </row>
    <row r="233" spans="5:35" x14ac:dyDescent="0.45">
      <c r="E233" t="s">
        <v>246</v>
      </c>
      <c r="G233" t="s">
        <v>152</v>
      </c>
      <c r="I233" t="s">
        <v>249</v>
      </c>
      <c r="J233" t="s">
        <v>401</v>
      </c>
      <c r="K233">
        <v>4.6182502481795775E-3</v>
      </c>
      <c r="L233" t="s">
        <v>251</v>
      </c>
      <c r="N233" t="s">
        <v>419</v>
      </c>
      <c r="O233" t="s">
        <v>401</v>
      </c>
      <c r="P233">
        <v>3.560226303712357E-3</v>
      </c>
      <c r="Q233" t="s">
        <v>251</v>
      </c>
      <c r="S233" t="s">
        <v>420</v>
      </c>
      <c r="T233" t="s">
        <v>401</v>
      </c>
      <c r="U233">
        <v>3.3900947176658132E-3</v>
      </c>
      <c r="V233" t="s">
        <v>251</v>
      </c>
      <c r="X233">
        <v>3.4246575342465752E-3</v>
      </c>
      <c r="Y233">
        <v>6.662854585684809E-3</v>
      </c>
      <c r="Z233" t="s">
        <v>401</v>
      </c>
      <c r="AA233" t="s">
        <v>25</v>
      </c>
      <c r="AC233" t="s">
        <v>22</v>
      </c>
      <c r="AD233" t="s">
        <v>401</v>
      </c>
      <c r="AE233">
        <v>3.4117034756316581E-3</v>
      </c>
      <c r="AG233" t="s">
        <v>97</v>
      </c>
      <c r="AH233" t="s">
        <v>401</v>
      </c>
      <c r="AI233">
        <v>4.7964184541041011E-2</v>
      </c>
    </row>
    <row r="234" spans="5:35" x14ac:dyDescent="0.45">
      <c r="E234" t="s">
        <v>247</v>
      </c>
      <c r="G234" t="s">
        <v>152</v>
      </c>
      <c r="I234" t="s">
        <v>249</v>
      </c>
      <c r="J234" t="s">
        <v>402</v>
      </c>
      <c r="K234">
        <v>3.935434326233821E-4</v>
      </c>
      <c r="L234" t="s">
        <v>251</v>
      </c>
      <c r="N234" t="s">
        <v>419</v>
      </c>
      <c r="O234" t="s">
        <v>402</v>
      </c>
      <c r="P234">
        <v>2.5015107927233552E-2</v>
      </c>
      <c r="Q234" t="s">
        <v>251</v>
      </c>
      <c r="S234" t="s">
        <v>420</v>
      </c>
      <c r="T234" t="s">
        <v>402</v>
      </c>
      <c r="U234">
        <v>2.2152094605397708E-2</v>
      </c>
      <c r="V234" t="s">
        <v>251</v>
      </c>
      <c r="X234">
        <v>2.0547945205479451E-2</v>
      </c>
      <c r="Y234">
        <v>1.8099097531263209E-2</v>
      </c>
      <c r="Z234" t="s">
        <v>402</v>
      </c>
      <c r="AA234" t="s">
        <v>25</v>
      </c>
      <c r="AC234" t="s">
        <v>22</v>
      </c>
      <c r="AD234" t="s">
        <v>402</v>
      </c>
      <c r="AE234">
        <v>2.067533121526742E-2</v>
      </c>
      <c r="AG234" t="s">
        <v>97</v>
      </c>
      <c r="AH234" t="s">
        <v>402</v>
      </c>
      <c r="AI234">
        <v>5.1723668949171131E-2</v>
      </c>
    </row>
    <row r="235" spans="5:35" x14ac:dyDescent="0.45">
      <c r="I235" t="s">
        <v>249</v>
      </c>
      <c r="J235" t="s">
        <v>724</v>
      </c>
      <c r="K235">
        <v>0</v>
      </c>
      <c r="L235" t="s">
        <v>251</v>
      </c>
      <c r="N235" t="s">
        <v>419</v>
      </c>
      <c r="O235" t="s">
        <v>724</v>
      </c>
      <c r="P235">
        <v>1.3752577363419999E-4</v>
      </c>
      <c r="Q235" t="s">
        <v>251</v>
      </c>
      <c r="S235" t="s">
        <v>420</v>
      </c>
      <c r="T235" t="s">
        <v>724</v>
      </c>
      <c r="U235">
        <v>1.730226641038E-4</v>
      </c>
      <c r="V235" t="s">
        <v>251</v>
      </c>
      <c r="X235">
        <v>1.1415525114155251E-4</v>
      </c>
      <c r="Y235">
        <v>2.1546544680075254E-5</v>
      </c>
      <c r="Z235" t="s">
        <v>724</v>
      </c>
      <c r="AA235" t="s">
        <v>25</v>
      </c>
      <c r="AC235" t="s">
        <v>22</v>
      </c>
      <c r="AD235" t="s">
        <v>724</v>
      </c>
      <c r="AE235">
        <v>1.2185223704730122E-4</v>
      </c>
      <c r="AG235" t="s">
        <v>97</v>
      </c>
      <c r="AH235" t="s">
        <v>724</v>
      </c>
      <c r="AI235">
        <v>0</v>
      </c>
    </row>
    <row r="236" spans="5:35" x14ac:dyDescent="0.45">
      <c r="I236" t="s">
        <v>249</v>
      </c>
      <c r="J236" t="s">
        <v>725</v>
      </c>
      <c r="K236">
        <v>0</v>
      </c>
      <c r="L236" t="s">
        <v>251</v>
      </c>
      <c r="N236" t="s">
        <v>419</v>
      </c>
      <c r="O236" t="s">
        <v>725</v>
      </c>
      <c r="P236">
        <v>1.4145434846490001E-4</v>
      </c>
      <c r="Q236" t="s">
        <v>251</v>
      </c>
      <c r="S236" t="s">
        <v>420</v>
      </c>
      <c r="T236" t="s">
        <v>725</v>
      </c>
      <c r="U236">
        <v>1.7660873976009999E-4</v>
      </c>
      <c r="V236" t="s">
        <v>251</v>
      </c>
      <c r="X236">
        <v>1.1415525114155251E-4</v>
      </c>
      <c r="Y236">
        <v>1.4916838624667481E-5</v>
      </c>
      <c r="Z236" t="s">
        <v>725</v>
      </c>
      <c r="AA236" t="s">
        <v>25</v>
      </c>
      <c r="AC236" t="s">
        <v>22</v>
      </c>
      <c r="AD236" t="s">
        <v>725</v>
      </c>
      <c r="AE236">
        <v>1.1869749748572433E-4</v>
      </c>
      <c r="AG236" t="s">
        <v>97</v>
      </c>
      <c r="AH236" t="s">
        <v>725</v>
      </c>
      <c r="AI236">
        <v>0</v>
      </c>
    </row>
    <row r="237" spans="5:35" x14ac:dyDescent="0.45">
      <c r="I237" t="s">
        <v>249</v>
      </c>
      <c r="J237" t="s">
        <v>726</v>
      </c>
      <c r="K237">
        <v>0</v>
      </c>
      <c r="L237" t="s">
        <v>251</v>
      </c>
      <c r="N237" t="s">
        <v>419</v>
      </c>
      <c r="O237" t="s">
        <v>726</v>
      </c>
      <c r="P237">
        <v>1.418412583067E-4</v>
      </c>
      <c r="Q237" t="s">
        <v>251</v>
      </c>
      <c r="S237" t="s">
        <v>420</v>
      </c>
      <c r="T237" t="s">
        <v>726</v>
      </c>
      <c r="U237">
        <v>1.8213228082619999E-4</v>
      </c>
      <c r="V237" t="s">
        <v>251</v>
      </c>
      <c r="X237">
        <v>1.1415525114155251E-4</v>
      </c>
      <c r="Y237">
        <v>1.6574265138519424E-5</v>
      </c>
      <c r="Z237" t="s">
        <v>726</v>
      </c>
      <c r="AA237" t="s">
        <v>25</v>
      </c>
      <c r="AC237" t="s">
        <v>22</v>
      </c>
      <c r="AD237" t="s">
        <v>726</v>
      </c>
      <c r="AE237">
        <v>1.1565187322906797E-4</v>
      </c>
      <c r="AG237" t="s">
        <v>97</v>
      </c>
      <c r="AH237" t="s">
        <v>726</v>
      </c>
      <c r="AI237">
        <v>0</v>
      </c>
    </row>
    <row r="238" spans="5:35" x14ac:dyDescent="0.45">
      <c r="I238" t="s">
        <v>249</v>
      </c>
      <c r="J238" t="s">
        <v>727</v>
      </c>
      <c r="K238">
        <v>0</v>
      </c>
      <c r="L238" t="s">
        <v>251</v>
      </c>
      <c r="N238" t="s">
        <v>419</v>
      </c>
      <c r="O238" t="s">
        <v>727</v>
      </c>
      <c r="P238">
        <v>1.5002816367979999E-4</v>
      </c>
      <c r="Q238" t="s">
        <v>251</v>
      </c>
      <c r="S238" t="s">
        <v>420</v>
      </c>
      <c r="T238" t="s">
        <v>727</v>
      </c>
      <c r="U238">
        <v>1.9051706364069999E-4</v>
      </c>
      <c r="V238" t="s">
        <v>251</v>
      </c>
      <c r="X238">
        <v>1.1415525114155251E-4</v>
      </c>
      <c r="Y238">
        <v>1.4585353321897093E-5</v>
      </c>
      <c r="Z238" t="s">
        <v>727</v>
      </c>
      <c r="AA238" t="s">
        <v>25</v>
      </c>
      <c r="AC238" t="s">
        <v>22</v>
      </c>
      <c r="AD238" t="s">
        <v>727</v>
      </c>
      <c r="AE238">
        <v>1.0726680224214527E-4</v>
      </c>
      <c r="AG238" t="s">
        <v>97</v>
      </c>
      <c r="AH238" t="s">
        <v>727</v>
      </c>
      <c r="AI238">
        <v>0</v>
      </c>
    </row>
    <row r="239" spans="5:35" x14ac:dyDescent="0.45">
      <c r="I239" t="s">
        <v>249</v>
      </c>
      <c r="J239" t="s">
        <v>728</v>
      </c>
      <c r="K239">
        <v>0</v>
      </c>
      <c r="L239" t="s">
        <v>251</v>
      </c>
      <c r="N239" t="s">
        <v>419</v>
      </c>
      <c r="O239" t="s">
        <v>728</v>
      </c>
      <c r="P239">
        <v>1.4495874111829999E-4</v>
      </c>
      <c r="Q239" t="s">
        <v>251</v>
      </c>
      <c r="S239" t="s">
        <v>420</v>
      </c>
      <c r="T239" t="s">
        <v>728</v>
      </c>
      <c r="U239">
        <v>2.003904075051E-4</v>
      </c>
      <c r="V239" t="s">
        <v>251</v>
      </c>
      <c r="X239">
        <v>1.1415525114155251E-4</v>
      </c>
      <c r="Y239">
        <v>2.1215059377304864E-5</v>
      </c>
      <c r="Z239" t="s">
        <v>728</v>
      </c>
      <c r="AA239" t="s">
        <v>25</v>
      </c>
      <c r="AC239" t="s">
        <v>22</v>
      </c>
      <c r="AD239" t="s">
        <v>728</v>
      </c>
      <c r="AE239">
        <v>9.971783728363539E-5</v>
      </c>
      <c r="AG239" t="s">
        <v>97</v>
      </c>
      <c r="AH239" t="s">
        <v>728</v>
      </c>
      <c r="AI239">
        <v>0</v>
      </c>
    </row>
    <row r="240" spans="5:35" x14ac:dyDescent="0.45">
      <c r="I240" t="s">
        <v>249</v>
      </c>
      <c r="J240" t="s">
        <v>729</v>
      </c>
      <c r="K240">
        <v>0</v>
      </c>
      <c r="L240" t="s">
        <v>251</v>
      </c>
      <c r="N240" t="s">
        <v>419</v>
      </c>
      <c r="O240" t="s">
        <v>729</v>
      </c>
      <c r="P240">
        <v>1.399309851367E-4</v>
      </c>
      <c r="Q240" t="s">
        <v>251</v>
      </c>
      <c r="S240" t="s">
        <v>420</v>
      </c>
      <c r="T240" t="s">
        <v>729</v>
      </c>
      <c r="U240">
        <v>1.992069709994E-4</v>
      </c>
      <c r="V240" t="s">
        <v>251</v>
      </c>
      <c r="X240">
        <v>1.1415525114155251E-4</v>
      </c>
      <c r="Y240">
        <v>5.7678442682047593E-5</v>
      </c>
      <c r="Z240" t="s">
        <v>729</v>
      </c>
      <c r="AA240" t="s">
        <v>25</v>
      </c>
      <c r="AC240" t="s">
        <v>22</v>
      </c>
      <c r="AD240" t="s">
        <v>729</v>
      </c>
      <c r="AE240">
        <v>8.923743229953509E-5</v>
      </c>
      <c r="AG240" t="s">
        <v>97</v>
      </c>
      <c r="AH240" t="s">
        <v>729</v>
      </c>
      <c r="AI240">
        <v>0</v>
      </c>
    </row>
    <row r="241" spans="9:35" x14ac:dyDescent="0.45">
      <c r="I241" t="s">
        <v>249</v>
      </c>
      <c r="J241" t="s">
        <v>730</v>
      </c>
      <c r="K241">
        <v>0</v>
      </c>
      <c r="L241" t="s">
        <v>251</v>
      </c>
      <c r="N241" t="s">
        <v>419</v>
      </c>
      <c r="O241" t="s">
        <v>730</v>
      </c>
      <c r="P241">
        <v>1.3696092586520001E-4</v>
      </c>
      <c r="Q241" t="s">
        <v>251</v>
      </c>
      <c r="S241" t="s">
        <v>420</v>
      </c>
      <c r="T241" t="s">
        <v>730</v>
      </c>
      <c r="U241">
        <v>2.006374444678E-4</v>
      </c>
      <c r="V241" t="s">
        <v>251</v>
      </c>
      <c r="X241">
        <v>1.1415525114155251E-4</v>
      </c>
      <c r="Y241">
        <v>1.6905750441289813E-4</v>
      </c>
      <c r="Z241" t="s">
        <v>730</v>
      </c>
      <c r="AA241" t="s">
        <v>25</v>
      </c>
      <c r="AC241" t="s">
        <v>22</v>
      </c>
      <c r="AD241" t="s">
        <v>730</v>
      </c>
      <c r="AE241">
        <v>8.6601323918313863E-5</v>
      </c>
      <c r="AG241" t="s">
        <v>97</v>
      </c>
      <c r="AH241" t="s">
        <v>730</v>
      </c>
      <c r="AI241">
        <v>0</v>
      </c>
    </row>
    <row r="242" spans="9:35" x14ac:dyDescent="0.45">
      <c r="I242" t="s">
        <v>249</v>
      </c>
      <c r="J242" t="s">
        <v>731</v>
      </c>
      <c r="K242">
        <v>1.7293465610540001E-4</v>
      </c>
      <c r="L242" t="s">
        <v>251</v>
      </c>
      <c r="N242" t="s">
        <v>419</v>
      </c>
      <c r="O242" t="s">
        <v>731</v>
      </c>
      <c r="P242">
        <v>1.263180250877E-4</v>
      </c>
      <c r="Q242" t="s">
        <v>251</v>
      </c>
      <c r="S242" t="s">
        <v>420</v>
      </c>
      <c r="T242" t="s">
        <v>731</v>
      </c>
      <c r="U242">
        <v>1.994497113052E-4</v>
      </c>
      <c r="V242" t="s">
        <v>251</v>
      </c>
      <c r="X242">
        <v>1.1415525114155251E-4</v>
      </c>
      <c r="Y242">
        <v>1.9060404909297337E-4</v>
      </c>
      <c r="Z242" t="s">
        <v>731</v>
      </c>
      <c r="AA242" t="s">
        <v>25</v>
      </c>
      <c r="AC242" t="s">
        <v>22</v>
      </c>
      <c r="AD242" t="s">
        <v>731</v>
      </c>
      <c r="AE242">
        <v>8.4059924420336614E-5</v>
      </c>
      <c r="AG242" t="s">
        <v>97</v>
      </c>
      <c r="AH242" t="s">
        <v>731</v>
      </c>
      <c r="AI242">
        <v>0</v>
      </c>
    </row>
    <row r="243" spans="9:35" x14ac:dyDescent="0.45">
      <c r="I243" t="s">
        <v>249</v>
      </c>
      <c r="J243" t="s">
        <v>732</v>
      </c>
      <c r="K243">
        <v>2.53384537303E-4</v>
      </c>
      <c r="L243" t="s">
        <v>251</v>
      </c>
      <c r="N243" t="s">
        <v>419</v>
      </c>
      <c r="O243" t="s">
        <v>732</v>
      </c>
      <c r="P243">
        <v>1.031171967889E-4</v>
      </c>
      <c r="Q243" t="s">
        <v>251</v>
      </c>
      <c r="S243" t="s">
        <v>420</v>
      </c>
      <c r="T243" t="s">
        <v>732</v>
      </c>
      <c r="U243">
        <v>1.9552430110899999E-4</v>
      </c>
      <c r="V243" t="s">
        <v>251</v>
      </c>
      <c r="X243">
        <v>1.1415525114155251E-4</v>
      </c>
      <c r="Y243">
        <v>1.4585353321897094E-4</v>
      </c>
      <c r="Z243" t="s">
        <v>732</v>
      </c>
      <c r="AA243" t="s">
        <v>25</v>
      </c>
      <c r="AC243" t="s">
        <v>22</v>
      </c>
      <c r="AD243" t="s">
        <v>732</v>
      </c>
      <c r="AE243">
        <v>8.5432269477820854E-5</v>
      </c>
      <c r="AG243" t="s">
        <v>97</v>
      </c>
      <c r="AH243" t="s">
        <v>732</v>
      </c>
      <c r="AI243">
        <v>0</v>
      </c>
    </row>
    <row r="244" spans="9:35" x14ac:dyDescent="0.45">
      <c r="I244" t="s">
        <v>249</v>
      </c>
      <c r="J244" t="s">
        <v>733</v>
      </c>
      <c r="K244">
        <v>2.8931189486340001E-4</v>
      </c>
      <c r="L244" t="s">
        <v>251</v>
      </c>
      <c r="N244" t="s">
        <v>419</v>
      </c>
      <c r="O244" t="s">
        <v>733</v>
      </c>
      <c r="P244">
        <v>1.1499537148560001E-4</v>
      </c>
      <c r="Q244" t="s">
        <v>251</v>
      </c>
      <c r="S244" t="s">
        <v>420</v>
      </c>
      <c r="T244" t="s">
        <v>733</v>
      </c>
      <c r="U244">
        <v>1.906616143359E-4</v>
      </c>
      <c r="V244" t="s">
        <v>251</v>
      </c>
      <c r="X244">
        <v>1.1415525114155251E-4</v>
      </c>
      <c r="Y244">
        <v>1.4452759200788939E-4</v>
      </c>
      <c r="Z244" t="s">
        <v>733</v>
      </c>
      <c r="AA244" t="s">
        <v>25</v>
      </c>
      <c r="AC244" t="s">
        <v>22</v>
      </c>
      <c r="AD244" t="s">
        <v>733</v>
      </c>
      <c r="AE244">
        <v>8.6673089241109987E-5</v>
      </c>
      <c r="AG244" t="s">
        <v>97</v>
      </c>
      <c r="AH244" t="s">
        <v>733</v>
      </c>
      <c r="AI244">
        <v>0</v>
      </c>
    </row>
    <row r="245" spans="9:35" x14ac:dyDescent="0.45">
      <c r="I245" t="s">
        <v>249</v>
      </c>
      <c r="J245" t="s">
        <v>734</v>
      </c>
      <c r="K245">
        <v>2.9490061422090001E-4</v>
      </c>
      <c r="L245" t="s">
        <v>251</v>
      </c>
      <c r="N245" t="s">
        <v>419</v>
      </c>
      <c r="O245" t="s">
        <v>734</v>
      </c>
      <c r="P245">
        <v>1.211602626803E-4</v>
      </c>
      <c r="Q245" t="s">
        <v>251</v>
      </c>
      <c r="S245" t="s">
        <v>420</v>
      </c>
      <c r="T245" t="s">
        <v>734</v>
      </c>
      <c r="U245">
        <v>1.7930771155859999E-4</v>
      </c>
      <c r="V245" t="s">
        <v>251</v>
      </c>
      <c r="X245">
        <v>1.1415525114155251E-4</v>
      </c>
      <c r="Y245">
        <v>1.408812536774151E-4</v>
      </c>
      <c r="Z245" t="s">
        <v>734</v>
      </c>
      <c r="AA245" t="s">
        <v>25</v>
      </c>
      <c r="AC245" t="s">
        <v>22</v>
      </c>
      <c r="AD245" t="s">
        <v>734</v>
      </c>
      <c r="AE245">
        <v>9.6430505285516983E-5</v>
      </c>
      <c r="AG245" t="s">
        <v>97</v>
      </c>
      <c r="AH245" t="s">
        <v>734</v>
      </c>
      <c r="AI245">
        <v>0</v>
      </c>
    </row>
    <row r="246" spans="9:35" x14ac:dyDescent="0.45">
      <c r="I246" t="s">
        <v>249</v>
      </c>
      <c r="J246" t="s">
        <v>735</v>
      </c>
      <c r="K246">
        <v>2.773263235436E-4</v>
      </c>
      <c r="L246" t="s">
        <v>251</v>
      </c>
      <c r="N246" t="s">
        <v>419</v>
      </c>
      <c r="O246" t="s">
        <v>735</v>
      </c>
      <c r="P246">
        <v>1.2160533681349999E-4</v>
      </c>
      <c r="Q246" t="s">
        <v>251</v>
      </c>
      <c r="S246" t="s">
        <v>420</v>
      </c>
      <c r="T246" t="s">
        <v>735</v>
      </c>
      <c r="U246">
        <v>1.6690573159010001E-4</v>
      </c>
      <c r="V246" t="s">
        <v>251</v>
      </c>
      <c r="X246">
        <v>1.1415525114155251E-4</v>
      </c>
      <c r="Y246">
        <v>1.4054976837464471E-4</v>
      </c>
      <c r="Z246" t="s">
        <v>735</v>
      </c>
      <c r="AA246" t="s">
        <v>25</v>
      </c>
      <c r="AC246" t="s">
        <v>22</v>
      </c>
      <c r="AD246" t="s">
        <v>735</v>
      </c>
      <c r="AE246">
        <v>1.0885951219416335E-4</v>
      </c>
      <c r="AG246" t="s">
        <v>97</v>
      </c>
      <c r="AH246" t="s">
        <v>735</v>
      </c>
      <c r="AI246">
        <v>0</v>
      </c>
    </row>
    <row r="247" spans="9:35" x14ac:dyDescent="0.45">
      <c r="I247" t="s">
        <v>249</v>
      </c>
      <c r="J247" t="s">
        <v>736</v>
      </c>
      <c r="K247">
        <v>2.5218914048520002E-4</v>
      </c>
      <c r="L247" t="s">
        <v>251</v>
      </c>
      <c r="N247" t="s">
        <v>419</v>
      </c>
      <c r="O247" t="s">
        <v>736</v>
      </c>
      <c r="P247">
        <v>1.245288198848E-4</v>
      </c>
      <c r="Q247" t="s">
        <v>251</v>
      </c>
      <c r="S247" t="s">
        <v>420</v>
      </c>
      <c r="T247" t="s">
        <v>736</v>
      </c>
      <c r="U247">
        <v>1.5287065225109999E-4</v>
      </c>
      <c r="V247" t="s">
        <v>251</v>
      </c>
      <c r="X247">
        <v>1.1415525114155251E-4</v>
      </c>
      <c r="Y247">
        <v>1.4253868019126702E-4</v>
      </c>
      <c r="Z247" t="s">
        <v>736</v>
      </c>
      <c r="AA247" t="s">
        <v>25</v>
      </c>
      <c r="AC247" t="s">
        <v>22</v>
      </c>
      <c r="AD247" t="s">
        <v>736</v>
      </c>
      <c r="AE247">
        <v>1.2010105645684112E-4</v>
      </c>
      <c r="AG247" t="s">
        <v>97</v>
      </c>
      <c r="AH247" t="s">
        <v>736</v>
      </c>
      <c r="AI247">
        <v>0</v>
      </c>
    </row>
    <row r="248" spans="9:35" x14ac:dyDescent="0.45">
      <c r="I248" t="s">
        <v>249</v>
      </c>
      <c r="J248" t="s">
        <v>737</v>
      </c>
      <c r="K248">
        <v>2.7398788904450002E-4</v>
      </c>
      <c r="L248" t="s">
        <v>251</v>
      </c>
      <c r="N248" t="s">
        <v>419</v>
      </c>
      <c r="O248" t="s">
        <v>737</v>
      </c>
      <c r="P248">
        <v>1.2608636979549999E-4</v>
      </c>
      <c r="Q248" t="s">
        <v>251</v>
      </c>
      <c r="S248" t="s">
        <v>420</v>
      </c>
      <c r="T248" t="s">
        <v>737</v>
      </c>
      <c r="U248">
        <v>1.4502845191489999E-4</v>
      </c>
      <c r="V248" t="s">
        <v>251</v>
      </c>
      <c r="X248">
        <v>1.1415525114155251E-4</v>
      </c>
      <c r="Y248">
        <v>1.4883690094390442E-4</v>
      </c>
      <c r="Z248" t="s">
        <v>737</v>
      </c>
      <c r="AA248" t="s">
        <v>25</v>
      </c>
      <c r="AC248" t="s">
        <v>22</v>
      </c>
      <c r="AD248" t="s">
        <v>737</v>
      </c>
      <c r="AE248">
        <v>1.2890097903093102E-4</v>
      </c>
      <c r="AG248" t="s">
        <v>97</v>
      </c>
      <c r="AH248" t="s">
        <v>737</v>
      </c>
      <c r="AI248">
        <v>0</v>
      </c>
    </row>
    <row r="249" spans="9:35" x14ac:dyDescent="0.45">
      <c r="I249" t="s">
        <v>249</v>
      </c>
      <c r="J249" t="s">
        <v>738</v>
      </c>
      <c r="K249">
        <v>2.8632528444680002E-4</v>
      </c>
      <c r="L249" t="s">
        <v>251</v>
      </c>
      <c r="N249" t="s">
        <v>419</v>
      </c>
      <c r="O249" t="s">
        <v>738</v>
      </c>
      <c r="P249">
        <v>1.2376963735099999E-4</v>
      </c>
      <c r="Q249" t="s">
        <v>251</v>
      </c>
      <c r="S249" t="s">
        <v>420</v>
      </c>
      <c r="T249" t="s">
        <v>738</v>
      </c>
      <c r="U249">
        <v>1.4317734423069999E-4</v>
      </c>
      <c r="V249" t="s">
        <v>251</v>
      </c>
      <c r="X249">
        <v>1.1415525114155251E-4</v>
      </c>
      <c r="Y249">
        <v>1.5049432745775637E-4</v>
      </c>
      <c r="Z249" t="s">
        <v>738</v>
      </c>
      <c r="AA249" t="s">
        <v>25</v>
      </c>
      <c r="AC249" t="s">
        <v>22</v>
      </c>
      <c r="AD249" t="s">
        <v>738</v>
      </c>
      <c r="AE249">
        <v>1.255818995480069E-4</v>
      </c>
      <c r="AG249" t="s">
        <v>97</v>
      </c>
      <c r="AH249" t="s">
        <v>738</v>
      </c>
      <c r="AI249">
        <v>0</v>
      </c>
    </row>
    <row r="250" spans="9:35" x14ac:dyDescent="0.45">
      <c r="I250" t="s">
        <v>249</v>
      </c>
      <c r="J250" t="s">
        <v>739</v>
      </c>
      <c r="K250">
        <v>2.7692191635009998E-4</v>
      </c>
      <c r="L250" t="s">
        <v>251</v>
      </c>
      <c r="N250" t="s">
        <v>419</v>
      </c>
      <c r="O250" t="s">
        <v>739</v>
      </c>
      <c r="P250">
        <v>9.3138154847397994E-5</v>
      </c>
      <c r="Q250" t="s">
        <v>251</v>
      </c>
      <c r="S250" t="s">
        <v>420</v>
      </c>
      <c r="T250" t="s">
        <v>739</v>
      </c>
      <c r="U250">
        <v>1.4184771742169999E-4</v>
      </c>
      <c r="V250" t="s">
        <v>251</v>
      </c>
      <c r="X250">
        <v>1.1415525114155251E-4</v>
      </c>
      <c r="Y250">
        <v>1.7237235744060203E-4</v>
      </c>
      <c r="Z250" t="s">
        <v>739</v>
      </c>
      <c r="AA250" t="s">
        <v>25</v>
      </c>
      <c r="AC250" t="s">
        <v>22</v>
      </c>
      <c r="AD250" t="s">
        <v>739</v>
      </c>
      <c r="AE250">
        <v>1.1651732567200711E-4</v>
      </c>
      <c r="AG250" t="s">
        <v>97</v>
      </c>
      <c r="AH250" t="s">
        <v>739</v>
      </c>
      <c r="AI250">
        <v>0</v>
      </c>
    </row>
    <row r="251" spans="9:35" x14ac:dyDescent="0.45">
      <c r="I251" t="s">
        <v>249</v>
      </c>
      <c r="J251" t="s">
        <v>740</v>
      </c>
      <c r="K251">
        <v>2.380283869744E-4</v>
      </c>
      <c r="L251" t="s">
        <v>251</v>
      </c>
      <c r="N251" t="s">
        <v>419</v>
      </c>
      <c r="O251" t="s">
        <v>740</v>
      </c>
      <c r="P251">
        <v>6.1711411314386704E-5</v>
      </c>
      <c r="Q251" t="s">
        <v>251</v>
      </c>
      <c r="S251" t="s">
        <v>420</v>
      </c>
      <c r="T251" t="s">
        <v>740</v>
      </c>
      <c r="U251">
        <v>1.431026998808E-4</v>
      </c>
      <c r="V251" t="s">
        <v>251</v>
      </c>
      <c r="X251">
        <v>1.1415525114155251E-4</v>
      </c>
      <c r="Y251">
        <v>2.2209515285616027E-4</v>
      </c>
      <c r="Z251" t="s">
        <v>740</v>
      </c>
      <c r="AA251" t="s">
        <v>25</v>
      </c>
      <c r="AC251" t="s">
        <v>22</v>
      </c>
      <c r="AD251" t="s">
        <v>740</v>
      </c>
      <c r="AE251">
        <v>1.1724484996667266E-4</v>
      </c>
      <c r="AG251" t="s">
        <v>97</v>
      </c>
      <c r="AH251" t="s">
        <v>740</v>
      </c>
      <c r="AI251">
        <v>0</v>
      </c>
    </row>
    <row r="252" spans="9:35" x14ac:dyDescent="0.45">
      <c r="I252" t="s">
        <v>249</v>
      </c>
      <c r="J252" t="s">
        <v>741</v>
      </c>
      <c r="K252">
        <v>1.5171718212769999E-4</v>
      </c>
      <c r="L252" t="s">
        <v>251</v>
      </c>
      <c r="N252" t="s">
        <v>419</v>
      </c>
      <c r="O252" t="s">
        <v>741</v>
      </c>
      <c r="P252">
        <v>4.9980423005545331E-5</v>
      </c>
      <c r="Q252" t="s">
        <v>251</v>
      </c>
      <c r="S252" t="s">
        <v>420</v>
      </c>
      <c r="T252" t="s">
        <v>741</v>
      </c>
      <c r="U252">
        <v>1.4232017934100001E-4</v>
      </c>
      <c r="V252" t="s">
        <v>251</v>
      </c>
      <c r="X252">
        <v>1.1415525114155251E-4</v>
      </c>
      <c r="Y252">
        <v>2.2209515285616027E-4</v>
      </c>
      <c r="Z252" t="s">
        <v>741</v>
      </c>
      <c r="AA252" t="s">
        <v>25</v>
      </c>
      <c r="AC252" t="s">
        <v>22</v>
      </c>
      <c r="AD252" t="s">
        <v>741</v>
      </c>
      <c r="AE252">
        <v>1.1820234343698973E-4</v>
      </c>
      <c r="AG252" t="s">
        <v>97</v>
      </c>
      <c r="AH252" t="s">
        <v>741</v>
      </c>
      <c r="AI252">
        <v>0</v>
      </c>
    </row>
    <row r="253" spans="9:35" x14ac:dyDescent="0.45">
      <c r="I253" t="s">
        <v>249</v>
      </c>
      <c r="J253" t="s">
        <v>742</v>
      </c>
      <c r="K253">
        <v>0</v>
      </c>
      <c r="L253" t="s">
        <v>251</v>
      </c>
      <c r="N253" t="s">
        <v>419</v>
      </c>
      <c r="O253" t="s">
        <v>742</v>
      </c>
      <c r="P253">
        <v>4.2501665467106413E-5</v>
      </c>
      <c r="Q253" t="s">
        <v>251</v>
      </c>
      <c r="S253" t="s">
        <v>420</v>
      </c>
      <c r="T253" t="s">
        <v>742</v>
      </c>
      <c r="U253">
        <v>1.445981732726E-4</v>
      </c>
      <c r="V253" t="s">
        <v>251</v>
      </c>
      <c r="X253">
        <v>1.1415525114155251E-4</v>
      </c>
      <c r="Y253">
        <v>1.7237235744060203E-4</v>
      </c>
      <c r="Z253" t="s">
        <v>742</v>
      </c>
      <c r="AA253" t="s">
        <v>25</v>
      </c>
      <c r="AC253" t="s">
        <v>22</v>
      </c>
      <c r="AD253" t="s">
        <v>742</v>
      </c>
      <c r="AE253">
        <v>1.200298247052182E-4</v>
      </c>
      <c r="AG253" t="s">
        <v>97</v>
      </c>
      <c r="AH253" t="s">
        <v>742</v>
      </c>
      <c r="AI253">
        <v>0</v>
      </c>
    </row>
    <row r="254" spans="9:35" x14ac:dyDescent="0.45">
      <c r="I254" t="s">
        <v>249</v>
      </c>
      <c r="J254" t="s">
        <v>743</v>
      </c>
      <c r="K254">
        <v>0</v>
      </c>
      <c r="L254" t="s">
        <v>251</v>
      </c>
      <c r="N254" t="s">
        <v>419</v>
      </c>
      <c r="O254" t="s">
        <v>743</v>
      </c>
      <c r="P254">
        <v>3.6535428362160713E-5</v>
      </c>
      <c r="Q254" t="s">
        <v>251</v>
      </c>
      <c r="S254" t="s">
        <v>420</v>
      </c>
      <c r="T254" t="s">
        <v>743</v>
      </c>
      <c r="U254">
        <v>1.4542769510719999E-4</v>
      </c>
      <c r="V254" t="s">
        <v>251</v>
      </c>
      <c r="X254">
        <v>1.1415525114155251E-4</v>
      </c>
      <c r="Y254">
        <v>1.5579809230208258E-4</v>
      </c>
      <c r="Z254" t="s">
        <v>743</v>
      </c>
      <c r="AA254" t="s">
        <v>25</v>
      </c>
      <c r="AC254" t="s">
        <v>22</v>
      </c>
      <c r="AD254" t="s">
        <v>743</v>
      </c>
      <c r="AE254">
        <v>1.2064289798323119E-4</v>
      </c>
      <c r="AG254" t="s">
        <v>97</v>
      </c>
      <c r="AH254" t="s">
        <v>743</v>
      </c>
      <c r="AI254">
        <v>0</v>
      </c>
    </row>
    <row r="255" spans="9:35" x14ac:dyDescent="0.45">
      <c r="I255" t="s">
        <v>249</v>
      </c>
      <c r="J255" t="s">
        <v>744</v>
      </c>
      <c r="K255">
        <v>0</v>
      </c>
      <c r="L255" t="s">
        <v>251</v>
      </c>
      <c r="N255" t="s">
        <v>419</v>
      </c>
      <c r="O255" t="s">
        <v>744</v>
      </c>
      <c r="P255">
        <v>3.2730562637378934E-5</v>
      </c>
      <c r="Q255" t="s">
        <v>251</v>
      </c>
      <c r="S255" t="s">
        <v>420</v>
      </c>
      <c r="T255" t="s">
        <v>744</v>
      </c>
      <c r="U255">
        <v>1.4015825610229999E-4</v>
      </c>
      <c r="V255" t="s">
        <v>251</v>
      </c>
      <c r="X255">
        <v>1.1415525114155251E-4</v>
      </c>
      <c r="Y255">
        <v>1.093901499142282E-4</v>
      </c>
      <c r="Z255" t="s">
        <v>744</v>
      </c>
      <c r="AA255" t="s">
        <v>25</v>
      </c>
      <c r="AC255" t="s">
        <v>22</v>
      </c>
      <c r="AD255" t="s">
        <v>744</v>
      </c>
      <c r="AE255">
        <v>1.2107855884615339E-4</v>
      </c>
      <c r="AG255" t="s">
        <v>97</v>
      </c>
      <c r="AH255" t="s">
        <v>744</v>
      </c>
      <c r="AI255">
        <v>0</v>
      </c>
    </row>
    <row r="256" spans="9:35" x14ac:dyDescent="0.45">
      <c r="I256" t="s">
        <v>249</v>
      </c>
      <c r="J256" t="s">
        <v>745</v>
      </c>
      <c r="K256">
        <v>0</v>
      </c>
      <c r="L256" t="s">
        <v>251</v>
      </c>
      <c r="N256" t="s">
        <v>419</v>
      </c>
      <c r="O256" t="s">
        <v>745</v>
      </c>
      <c r="P256">
        <v>3.182705449682664E-5</v>
      </c>
      <c r="Q256" t="s">
        <v>251</v>
      </c>
      <c r="S256" t="s">
        <v>420</v>
      </c>
      <c r="T256" t="s">
        <v>745</v>
      </c>
      <c r="U256">
        <v>1.309601784005E-4</v>
      </c>
      <c r="V256" t="s">
        <v>251</v>
      </c>
      <c r="X256">
        <v>1.1415525114155251E-4</v>
      </c>
      <c r="Y256">
        <v>7.9556472664893237E-5</v>
      </c>
      <c r="Z256" t="s">
        <v>745</v>
      </c>
      <c r="AA256" t="s">
        <v>25</v>
      </c>
      <c r="AC256" t="s">
        <v>22</v>
      </c>
      <c r="AD256" t="s">
        <v>745</v>
      </c>
      <c r="AE256">
        <v>1.2144725652683832E-4</v>
      </c>
      <c r="AG256" t="s">
        <v>97</v>
      </c>
      <c r="AH256" t="s">
        <v>745</v>
      </c>
      <c r="AI256">
        <v>0</v>
      </c>
    </row>
    <row r="257" spans="9:35" x14ac:dyDescent="0.45">
      <c r="I257" t="s">
        <v>249</v>
      </c>
      <c r="J257" t="s">
        <v>746</v>
      </c>
      <c r="K257">
        <v>0</v>
      </c>
      <c r="L257" t="s">
        <v>251</v>
      </c>
      <c r="N257" t="s">
        <v>419</v>
      </c>
      <c r="O257" t="s">
        <v>746</v>
      </c>
      <c r="P257">
        <v>3.342251963964067E-5</v>
      </c>
      <c r="Q257" t="s">
        <v>251</v>
      </c>
      <c r="S257" t="s">
        <v>420</v>
      </c>
      <c r="T257" t="s">
        <v>746</v>
      </c>
      <c r="U257">
        <v>1.273593602068E-4</v>
      </c>
      <c r="V257" t="s">
        <v>251</v>
      </c>
      <c r="X257">
        <v>1.1415525114155251E-4</v>
      </c>
      <c r="Y257">
        <v>5.6352501470966035E-5</v>
      </c>
      <c r="Z257" t="s">
        <v>746</v>
      </c>
      <c r="AA257" t="s">
        <v>25</v>
      </c>
      <c r="AC257" t="s">
        <v>22</v>
      </c>
      <c r="AD257" t="s">
        <v>746</v>
      </c>
      <c r="AE257">
        <v>1.195245328041927E-4</v>
      </c>
      <c r="AG257" t="s">
        <v>97</v>
      </c>
      <c r="AH257" t="s">
        <v>746</v>
      </c>
      <c r="AI257">
        <v>0</v>
      </c>
    </row>
    <row r="258" spans="9:35" x14ac:dyDescent="0.45">
      <c r="I258" t="s">
        <v>249</v>
      </c>
      <c r="J258" t="s">
        <v>747</v>
      </c>
      <c r="K258">
        <v>0</v>
      </c>
      <c r="L258" t="s">
        <v>251</v>
      </c>
      <c r="N258" t="s">
        <v>419</v>
      </c>
      <c r="O258" t="s">
        <v>747</v>
      </c>
      <c r="P258">
        <v>3.7833082511923911E-5</v>
      </c>
      <c r="Q258" t="s">
        <v>251</v>
      </c>
      <c r="S258" t="s">
        <v>420</v>
      </c>
      <c r="T258" t="s">
        <v>747</v>
      </c>
      <c r="U258">
        <v>1.273376384729E-4</v>
      </c>
      <c r="V258" t="s">
        <v>251</v>
      </c>
      <c r="X258">
        <v>1.1415525114155251E-4</v>
      </c>
      <c r="Y258">
        <v>2.9833677249334962E-5</v>
      </c>
      <c r="Z258" t="s">
        <v>747</v>
      </c>
      <c r="AA258" t="s">
        <v>25</v>
      </c>
      <c r="AC258" t="s">
        <v>22</v>
      </c>
      <c r="AD258" t="s">
        <v>747</v>
      </c>
      <c r="AE258">
        <v>1.1965952631101367E-4</v>
      </c>
      <c r="AG258" t="s">
        <v>97</v>
      </c>
      <c r="AH258" t="s">
        <v>747</v>
      </c>
      <c r="AI258">
        <v>0</v>
      </c>
    </row>
    <row r="259" spans="9:35" x14ac:dyDescent="0.45">
      <c r="I259" t="s">
        <v>249</v>
      </c>
      <c r="J259" t="s">
        <v>403</v>
      </c>
      <c r="K259">
        <v>0</v>
      </c>
      <c r="L259" t="s">
        <v>251</v>
      </c>
      <c r="N259" t="s">
        <v>419</v>
      </c>
      <c r="O259" t="s">
        <v>403</v>
      </c>
      <c r="P259">
        <v>2.5892163776289893E-2</v>
      </c>
      <c r="Q259" t="s">
        <v>251</v>
      </c>
      <c r="S259" t="s">
        <v>420</v>
      </c>
      <c r="T259" t="s">
        <v>403</v>
      </c>
      <c r="U259">
        <v>2.9996286940678612E-2</v>
      </c>
      <c r="V259" t="s">
        <v>251</v>
      </c>
      <c r="X259">
        <v>1.9863013698630139E-2</v>
      </c>
      <c r="Y259">
        <v>4.2489786109108389E-3</v>
      </c>
      <c r="Z259" t="s">
        <v>403</v>
      </c>
      <c r="AA259" t="s">
        <v>25</v>
      </c>
      <c r="AC259" t="s">
        <v>22</v>
      </c>
      <c r="AD259" t="s">
        <v>403</v>
      </c>
      <c r="AE259">
        <v>2.0606768010298124E-2</v>
      </c>
      <c r="AG259" t="s">
        <v>97</v>
      </c>
      <c r="AH259" t="s">
        <v>403</v>
      </c>
      <c r="AI259">
        <v>0.16768286558766499</v>
      </c>
    </row>
    <row r="260" spans="9:35" x14ac:dyDescent="0.45">
      <c r="I260" t="s">
        <v>249</v>
      </c>
      <c r="J260" t="s">
        <v>404</v>
      </c>
      <c r="K260">
        <v>0</v>
      </c>
      <c r="L260" t="s">
        <v>251</v>
      </c>
      <c r="N260" t="s">
        <v>419</v>
      </c>
      <c r="O260" t="s">
        <v>404</v>
      </c>
      <c r="P260">
        <v>4.1590531558447896E-3</v>
      </c>
      <c r="Q260" t="s">
        <v>251</v>
      </c>
      <c r="S260" t="s">
        <v>420</v>
      </c>
      <c r="T260" t="s">
        <v>404</v>
      </c>
      <c r="U260">
        <v>4.613006851321314E-3</v>
      </c>
      <c r="V260" t="s">
        <v>251</v>
      </c>
      <c r="X260">
        <v>3.3105022831050228E-3</v>
      </c>
      <c r="Y260">
        <v>4.9026676279740472E-3</v>
      </c>
      <c r="Z260" t="s">
        <v>404</v>
      </c>
      <c r="AA260" t="s">
        <v>25</v>
      </c>
      <c r="AC260" t="s">
        <v>22</v>
      </c>
      <c r="AD260" t="s">
        <v>404</v>
      </c>
      <c r="AE260">
        <v>2.6899709888611968E-3</v>
      </c>
      <c r="AG260" t="s">
        <v>97</v>
      </c>
      <c r="AH260" t="s">
        <v>404</v>
      </c>
      <c r="AI260">
        <v>8.0691029625881594E-2</v>
      </c>
    </row>
    <row r="261" spans="9:35" x14ac:dyDescent="0.45">
      <c r="I261" t="s">
        <v>249</v>
      </c>
      <c r="J261" t="s">
        <v>405</v>
      </c>
      <c r="K261">
        <v>1.8735470408543843E-3</v>
      </c>
      <c r="L261" t="s">
        <v>251</v>
      </c>
      <c r="N261" t="s">
        <v>419</v>
      </c>
      <c r="O261" t="s">
        <v>405</v>
      </c>
      <c r="P261">
        <v>4.0709268381426853E-3</v>
      </c>
      <c r="Q261" t="s">
        <v>251</v>
      </c>
      <c r="S261" t="s">
        <v>420</v>
      </c>
      <c r="T261" t="s">
        <v>405</v>
      </c>
      <c r="U261">
        <v>4.4991822348084756E-3</v>
      </c>
      <c r="V261" t="s">
        <v>251</v>
      </c>
      <c r="X261">
        <v>3.3105022831050228E-3</v>
      </c>
      <c r="Y261">
        <v>5.5275174236962274E-3</v>
      </c>
      <c r="Z261" t="s">
        <v>405</v>
      </c>
      <c r="AA261" t="s">
        <v>25</v>
      </c>
      <c r="AC261" t="s">
        <v>22</v>
      </c>
      <c r="AD261" t="s">
        <v>405</v>
      </c>
      <c r="AE261">
        <v>2.591931287568505E-3</v>
      </c>
      <c r="AG261" t="s">
        <v>97</v>
      </c>
      <c r="AH261" t="s">
        <v>405</v>
      </c>
      <c r="AI261">
        <v>8.338972379299614E-2</v>
      </c>
    </row>
    <row r="262" spans="9:35" x14ac:dyDescent="0.45">
      <c r="I262" t="s">
        <v>249</v>
      </c>
      <c r="J262" t="s">
        <v>406</v>
      </c>
      <c r="K262">
        <v>4.4290516935963115E-2</v>
      </c>
      <c r="L262" t="s">
        <v>251</v>
      </c>
      <c r="N262" t="s">
        <v>419</v>
      </c>
      <c r="O262" t="s">
        <v>406</v>
      </c>
      <c r="P262">
        <v>2.3558901081765615E-2</v>
      </c>
      <c r="Q262" t="s">
        <v>251</v>
      </c>
      <c r="S262" t="s">
        <v>420</v>
      </c>
      <c r="T262" t="s">
        <v>406</v>
      </c>
      <c r="U262">
        <v>2.8626866323636108E-2</v>
      </c>
      <c r="V262" t="s">
        <v>251</v>
      </c>
      <c r="X262">
        <v>2.3173515981735161E-2</v>
      </c>
      <c r="Y262">
        <v>2.9396779620283593E-2</v>
      </c>
      <c r="Z262" t="s">
        <v>406</v>
      </c>
      <c r="AA262" t="s">
        <v>25</v>
      </c>
      <c r="AC262" t="s">
        <v>22</v>
      </c>
      <c r="AD262" t="s">
        <v>406</v>
      </c>
      <c r="AE262">
        <v>2.0939041386476998E-2</v>
      </c>
      <c r="AG262" t="s">
        <v>97</v>
      </c>
      <c r="AH262" t="s">
        <v>406</v>
      </c>
      <c r="AI262">
        <v>0.32191597045313003</v>
      </c>
    </row>
    <row r="263" spans="9:35" x14ac:dyDescent="0.45">
      <c r="I263" t="s">
        <v>249</v>
      </c>
      <c r="J263" t="s">
        <v>407</v>
      </c>
      <c r="K263">
        <v>6.2403923690078564E-3</v>
      </c>
      <c r="L263" t="s">
        <v>251</v>
      </c>
      <c r="N263" t="s">
        <v>419</v>
      </c>
      <c r="O263" t="s">
        <v>407</v>
      </c>
      <c r="P263">
        <v>3.1458411762107755E-3</v>
      </c>
      <c r="Q263" t="s">
        <v>251</v>
      </c>
      <c r="S263" t="s">
        <v>420</v>
      </c>
      <c r="T263" t="s">
        <v>407</v>
      </c>
      <c r="U263">
        <v>4.1092379588075628E-3</v>
      </c>
      <c r="V263" t="s">
        <v>251</v>
      </c>
      <c r="X263">
        <v>3.3105022831050228E-3</v>
      </c>
      <c r="Y263">
        <v>4.9987983657774574E-3</v>
      </c>
      <c r="Z263" t="s">
        <v>407</v>
      </c>
      <c r="AA263" t="s">
        <v>25</v>
      </c>
      <c r="AC263" t="s">
        <v>22</v>
      </c>
      <c r="AD263" t="s">
        <v>407</v>
      </c>
      <c r="AE263">
        <v>3.5958331778174644E-3</v>
      </c>
      <c r="AG263" t="s">
        <v>97</v>
      </c>
      <c r="AH263" t="s">
        <v>407</v>
      </c>
      <c r="AI263">
        <v>7.9087114193426622E-2</v>
      </c>
    </row>
    <row r="264" spans="9:35" x14ac:dyDescent="0.45">
      <c r="I264" t="s">
        <v>249</v>
      </c>
      <c r="J264" t="s">
        <v>408</v>
      </c>
      <c r="K264">
        <v>4.7889806318135433E-3</v>
      </c>
      <c r="L264" t="s">
        <v>251</v>
      </c>
      <c r="N264" t="s">
        <v>419</v>
      </c>
      <c r="O264" t="s">
        <v>408</v>
      </c>
      <c r="P264">
        <v>3.3031484830006582E-3</v>
      </c>
      <c r="Q264" t="s">
        <v>251</v>
      </c>
      <c r="S264" t="s">
        <v>420</v>
      </c>
      <c r="T264" t="s">
        <v>408</v>
      </c>
      <c r="U264">
        <v>4.0961795000351115E-3</v>
      </c>
      <c r="V264" t="s">
        <v>251</v>
      </c>
      <c r="X264">
        <v>3.3105022831050228E-3</v>
      </c>
      <c r="Y264">
        <v>6.4407594328286487E-3</v>
      </c>
      <c r="Z264" t="s">
        <v>408</v>
      </c>
      <c r="AA264" t="s">
        <v>25</v>
      </c>
      <c r="AC264" t="s">
        <v>22</v>
      </c>
      <c r="AD264" t="s">
        <v>408</v>
      </c>
      <c r="AE264">
        <v>3.4261834229400503E-3</v>
      </c>
      <c r="AG264" t="s">
        <v>97</v>
      </c>
      <c r="AH264" t="s">
        <v>408</v>
      </c>
      <c r="AI264">
        <v>6.9862940936207041E-2</v>
      </c>
    </row>
    <row r="265" spans="9:35" x14ac:dyDescent="0.45">
      <c r="I265" t="s">
        <v>249</v>
      </c>
      <c r="J265" t="s">
        <v>409</v>
      </c>
      <c r="K265">
        <v>1.7855052710088527E-3</v>
      </c>
      <c r="L265" t="s">
        <v>251</v>
      </c>
      <c r="N265" t="s">
        <v>419</v>
      </c>
      <c r="O265" t="s">
        <v>409</v>
      </c>
      <c r="P265">
        <v>3.6007236137185488E-3</v>
      </c>
      <c r="Q265" t="s">
        <v>251</v>
      </c>
      <c r="S265" t="s">
        <v>420</v>
      </c>
      <c r="T265" t="s">
        <v>409</v>
      </c>
      <c r="U265">
        <v>4.2763450315977825E-3</v>
      </c>
      <c r="V265" t="s">
        <v>251</v>
      </c>
      <c r="X265">
        <v>3.3105022831050228E-3</v>
      </c>
      <c r="Y265">
        <v>6.4407594328286487E-3</v>
      </c>
      <c r="Z265" t="s">
        <v>409</v>
      </c>
      <c r="AA265" t="s">
        <v>25</v>
      </c>
      <c r="AC265" t="s">
        <v>22</v>
      </c>
      <c r="AD265" t="s">
        <v>409</v>
      </c>
      <c r="AE265">
        <v>3.4601036095630636E-3</v>
      </c>
      <c r="AG265" t="s">
        <v>97</v>
      </c>
      <c r="AH265" t="s">
        <v>409</v>
      </c>
      <c r="AI265">
        <v>8.3976467779786512E-2</v>
      </c>
    </row>
    <row r="266" spans="9:35" x14ac:dyDescent="0.45">
      <c r="I266" t="s">
        <v>249</v>
      </c>
      <c r="J266" t="s">
        <v>410</v>
      </c>
      <c r="K266">
        <v>0</v>
      </c>
      <c r="L266" t="s">
        <v>251</v>
      </c>
      <c r="N266" t="s">
        <v>419</v>
      </c>
      <c r="O266" t="s">
        <v>410</v>
      </c>
      <c r="P266">
        <v>2.3968813817169209E-2</v>
      </c>
      <c r="Q266" t="s">
        <v>251</v>
      </c>
      <c r="S266" t="s">
        <v>420</v>
      </c>
      <c r="T266" t="s">
        <v>410</v>
      </c>
      <c r="U266">
        <v>2.9704460985337473E-2</v>
      </c>
      <c r="V266" t="s">
        <v>251</v>
      </c>
      <c r="X266">
        <v>1.9863013698630139E-2</v>
      </c>
      <c r="Y266">
        <v>1.7495794280221105E-2</v>
      </c>
      <c r="Z266" t="s">
        <v>410</v>
      </c>
      <c r="AA266" t="s">
        <v>25</v>
      </c>
      <c r="AC266" t="s">
        <v>22</v>
      </c>
      <c r="AD266" t="s">
        <v>410</v>
      </c>
      <c r="AE266">
        <v>2.078847967511702E-2</v>
      </c>
      <c r="AG266" t="s">
        <v>97</v>
      </c>
      <c r="AH266" t="s">
        <v>410</v>
      </c>
      <c r="AI266">
        <v>0.13809625990958541</v>
      </c>
    </row>
    <row r="267" spans="9:35" x14ac:dyDescent="0.45">
      <c r="I267" t="s">
        <v>249</v>
      </c>
      <c r="J267" t="s">
        <v>748</v>
      </c>
      <c r="K267">
        <v>0</v>
      </c>
      <c r="L267" t="s">
        <v>251</v>
      </c>
      <c r="N267" t="s">
        <v>419</v>
      </c>
      <c r="O267" t="s">
        <v>748</v>
      </c>
      <c r="P267">
        <v>6.9946043104188795E-5</v>
      </c>
      <c r="Q267" t="s">
        <v>251</v>
      </c>
      <c r="S267" t="s">
        <v>420</v>
      </c>
      <c r="T267" t="s">
        <v>748</v>
      </c>
      <c r="U267">
        <v>2.2440889291170001E-4</v>
      </c>
      <c r="V267" t="s">
        <v>251</v>
      </c>
      <c r="X267">
        <v>1.1415525114155251E-4</v>
      </c>
      <c r="Y267">
        <v>2.1546544680075254E-5</v>
      </c>
      <c r="Z267" t="s">
        <v>748</v>
      </c>
      <c r="AA267" t="s">
        <v>25</v>
      </c>
      <c r="AC267" t="s">
        <v>22</v>
      </c>
      <c r="AD267" t="s">
        <v>748</v>
      </c>
      <c r="AE267">
        <v>1.3444618923280773E-4</v>
      </c>
      <c r="AG267" t="s">
        <v>97</v>
      </c>
      <c r="AH267" t="s">
        <v>748</v>
      </c>
      <c r="AI267">
        <v>0</v>
      </c>
    </row>
    <row r="268" spans="9:35" x14ac:dyDescent="0.45">
      <c r="I268" t="s">
        <v>249</v>
      </c>
      <c r="J268" t="s">
        <v>749</v>
      </c>
      <c r="K268">
        <v>0</v>
      </c>
      <c r="L268" t="s">
        <v>251</v>
      </c>
      <c r="N268" t="s">
        <v>419</v>
      </c>
      <c r="O268" t="s">
        <v>749</v>
      </c>
      <c r="P268">
        <v>6.7116969830507676E-5</v>
      </c>
      <c r="Q268" t="s">
        <v>251</v>
      </c>
      <c r="S268" t="s">
        <v>420</v>
      </c>
      <c r="T268" t="s">
        <v>749</v>
      </c>
      <c r="U268">
        <v>2.306747631429E-4</v>
      </c>
      <c r="V268" t="s">
        <v>251</v>
      </c>
      <c r="X268">
        <v>1.1415525114155251E-4</v>
      </c>
      <c r="Y268">
        <v>1.4916838624667481E-5</v>
      </c>
      <c r="Z268" t="s">
        <v>749</v>
      </c>
      <c r="AA268" t="s">
        <v>25</v>
      </c>
      <c r="AC268" t="s">
        <v>22</v>
      </c>
      <c r="AD268" t="s">
        <v>749</v>
      </c>
      <c r="AE268">
        <v>1.3728985680040584E-4</v>
      </c>
      <c r="AG268" t="s">
        <v>97</v>
      </c>
      <c r="AH268" t="s">
        <v>749</v>
      </c>
      <c r="AI268">
        <v>0</v>
      </c>
    </row>
    <row r="269" spans="9:35" x14ac:dyDescent="0.45">
      <c r="I269" t="s">
        <v>249</v>
      </c>
      <c r="J269" t="s">
        <v>750</v>
      </c>
      <c r="K269">
        <v>0</v>
      </c>
      <c r="L269" t="s">
        <v>251</v>
      </c>
      <c r="N269" t="s">
        <v>419</v>
      </c>
      <c r="O269" t="s">
        <v>750</v>
      </c>
      <c r="P269">
        <v>6.7026059540488579E-5</v>
      </c>
      <c r="Q269" t="s">
        <v>251</v>
      </c>
      <c r="S269" t="s">
        <v>420</v>
      </c>
      <c r="T269" t="s">
        <v>750</v>
      </c>
      <c r="U269">
        <v>2.3695252490239999E-4</v>
      </c>
      <c r="V269" t="s">
        <v>251</v>
      </c>
      <c r="X269">
        <v>1.1415525114155251E-4</v>
      </c>
      <c r="Y269">
        <v>1.6574265138519424E-5</v>
      </c>
      <c r="Z269" t="s">
        <v>750</v>
      </c>
      <c r="AA269" t="s">
        <v>25</v>
      </c>
      <c r="AC269" t="s">
        <v>22</v>
      </c>
      <c r="AD269" t="s">
        <v>750</v>
      </c>
      <c r="AE269">
        <v>1.3402573514832187E-4</v>
      </c>
      <c r="AG269" t="s">
        <v>97</v>
      </c>
      <c r="AH269" t="s">
        <v>750</v>
      </c>
      <c r="AI269">
        <v>0</v>
      </c>
    </row>
    <row r="270" spans="9:35" x14ac:dyDescent="0.45">
      <c r="I270" t="s">
        <v>249</v>
      </c>
      <c r="J270" t="s">
        <v>751</v>
      </c>
      <c r="K270">
        <v>0</v>
      </c>
      <c r="L270" t="s">
        <v>251</v>
      </c>
      <c r="N270" t="s">
        <v>419</v>
      </c>
      <c r="O270" t="s">
        <v>751</v>
      </c>
      <c r="P270">
        <v>6.7818909482480883E-5</v>
      </c>
      <c r="Q270" t="s">
        <v>251</v>
      </c>
      <c r="S270" t="s">
        <v>420</v>
      </c>
      <c r="T270" t="s">
        <v>751</v>
      </c>
      <c r="U270">
        <v>2.4023253099399999E-4</v>
      </c>
      <c r="V270" t="s">
        <v>251</v>
      </c>
      <c r="X270">
        <v>1.1415525114155251E-4</v>
      </c>
      <c r="Y270">
        <v>1.4585353321897093E-5</v>
      </c>
      <c r="Z270" t="s">
        <v>751</v>
      </c>
      <c r="AA270" t="s">
        <v>25</v>
      </c>
      <c r="AC270" t="s">
        <v>22</v>
      </c>
      <c r="AD270" t="s">
        <v>751</v>
      </c>
      <c r="AE270">
        <v>1.2743613115923531E-4</v>
      </c>
      <c r="AG270" t="s">
        <v>97</v>
      </c>
      <c r="AH270" t="s">
        <v>751</v>
      </c>
      <c r="AI270">
        <v>0</v>
      </c>
    </row>
    <row r="271" spans="9:35" x14ac:dyDescent="0.45">
      <c r="I271" t="s">
        <v>249</v>
      </c>
      <c r="J271" t="s">
        <v>752</v>
      </c>
      <c r="K271">
        <v>0</v>
      </c>
      <c r="L271" t="s">
        <v>251</v>
      </c>
      <c r="N271" t="s">
        <v>419</v>
      </c>
      <c r="O271" t="s">
        <v>752</v>
      </c>
      <c r="P271">
        <v>6.3888460230190582E-5</v>
      </c>
      <c r="Q271" t="s">
        <v>251</v>
      </c>
      <c r="S271" t="s">
        <v>420</v>
      </c>
      <c r="T271" t="s">
        <v>752</v>
      </c>
      <c r="U271">
        <v>2.385416171891E-4</v>
      </c>
      <c r="V271" t="s">
        <v>251</v>
      </c>
      <c r="X271">
        <v>1.1415525114155251E-4</v>
      </c>
      <c r="Y271">
        <v>2.1215059377304864E-5</v>
      </c>
      <c r="Z271" t="s">
        <v>752</v>
      </c>
      <c r="AA271" t="s">
        <v>25</v>
      </c>
      <c r="AC271" t="s">
        <v>22</v>
      </c>
      <c r="AD271" t="s">
        <v>752</v>
      </c>
      <c r="AE271">
        <v>1.1193989036141773E-4</v>
      </c>
      <c r="AG271" t="s">
        <v>97</v>
      </c>
      <c r="AH271" t="s">
        <v>752</v>
      </c>
      <c r="AI271">
        <v>0</v>
      </c>
    </row>
    <row r="272" spans="9:35" x14ac:dyDescent="0.45">
      <c r="I272" t="s">
        <v>249</v>
      </c>
      <c r="J272" t="s">
        <v>753</v>
      </c>
      <c r="K272">
        <v>0</v>
      </c>
      <c r="L272" t="s">
        <v>251</v>
      </c>
      <c r="N272" t="s">
        <v>419</v>
      </c>
      <c r="O272" t="s">
        <v>753</v>
      </c>
      <c r="P272">
        <v>6.2807975987151093E-5</v>
      </c>
      <c r="Q272" t="s">
        <v>251</v>
      </c>
      <c r="S272" t="s">
        <v>420</v>
      </c>
      <c r="T272" t="s">
        <v>753</v>
      </c>
      <c r="U272">
        <v>2.2111409195759999E-4</v>
      </c>
      <c r="V272" t="s">
        <v>251</v>
      </c>
      <c r="X272">
        <v>1.1415525114155251E-4</v>
      </c>
      <c r="Y272">
        <v>5.7678442682047593E-5</v>
      </c>
      <c r="Z272" t="s">
        <v>753</v>
      </c>
      <c r="AA272" t="s">
        <v>25</v>
      </c>
      <c r="AC272" t="s">
        <v>22</v>
      </c>
      <c r="AD272" t="s">
        <v>753</v>
      </c>
      <c r="AE272">
        <v>1.0544979739613396E-4</v>
      </c>
      <c r="AG272" t="s">
        <v>97</v>
      </c>
      <c r="AH272" t="s">
        <v>753</v>
      </c>
      <c r="AI272">
        <v>0</v>
      </c>
    </row>
    <row r="273" spans="9:35" x14ac:dyDescent="0.45">
      <c r="I273" t="s">
        <v>249</v>
      </c>
      <c r="J273" t="s">
        <v>754</v>
      </c>
      <c r="K273">
        <v>0</v>
      </c>
      <c r="L273" t="s">
        <v>251</v>
      </c>
      <c r="N273" t="s">
        <v>419</v>
      </c>
      <c r="O273" t="s">
        <v>754</v>
      </c>
      <c r="P273">
        <v>6.4106411297248659E-5</v>
      </c>
      <c r="Q273" t="s">
        <v>251</v>
      </c>
      <c r="S273" t="s">
        <v>420</v>
      </c>
      <c r="T273" t="s">
        <v>754</v>
      </c>
      <c r="U273">
        <v>2.3022083459770001E-4</v>
      </c>
      <c r="V273" t="s">
        <v>251</v>
      </c>
      <c r="X273">
        <v>1.1415525114155251E-4</v>
      </c>
      <c r="Y273">
        <v>1.6905750441289813E-4</v>
      </c>
      <c r="Z273" t="s">
        <v>754</v>
      </c>
      <c r="AA273" t="s">
        <v>25</v>
      </c>
      <c r="AC273" t="s">
        <v>22</v>
      </c>
      <c r="AD273" t="s">
        <v>754</v>
      </c>
      <c r="AE273">
        <v>9.062185449275616E-5</v>
      </c>
      <c r="AG273" t="s">
        <v>97</v>
      </c>
      <c r="AH273" t="s">
        <v>754</v>
      </c>
      <c r="AI273">
        <v>0</v>
      </c>
    </row>
    <row r="274" spans="9:35" x14ac:dyDescent="0.45">
      <c r="I274" t="s">
        <v>249</v>
      </c>
      <c r="J274" t="s">
        <v>755</v>
      </c>
      <c r="K274">
        <v>1.614454364489391E-5</v>
      </c>
      <c r="L274" t="s">
        <v>251</v>
      </c>
      <c r="N274" t="s">
        <v>419</v>
      </c>
      <c r="O274" t="s">
        <v>755</v>
      </c>
      <c r="P274">
        <v>6.741493510020315E-5</v>
      </c>
      <c r="Q274" t="s">
        <v>251</v>
      </c>
      <c r="S274" t="s">
        <v>420</v>
      </c>
      <c r="T274" t="s">
        <v>755</v>
      </c>
      <c r="U274">
        <v>2.3290061014720001E-4</v>
      </c>
      <c r="V274" t="s">
        <v>251</v>
      </c>
      <c r="X274">
        <v>1.1415525114155251E-4</v>
      </c>
      <c r="Y274">
        <v>1.9060404909297337E-4</v>
      </c>
      <c r="Z274" t="s">
        <v>755</v>
      </c>
      <c r="AA274" t="s">
        <v>25</v>
      </c>
      <c r="AC274" t="s">
        <v>22</v>
      </c>
      <c r="AD274" t="s">
        <v>755</v>
      </c>
      <c r="AE274">
        <v>8.8041237513548278E-5</v>
      </c>
      <c r="AG274" t="s">
        <v>97</v>
      </c>
      <c r="AH274" t="s">
        <v>755</v>
      </c>
      <c r="AI274">
        <v>0</v>
      </c>
    </row>
    <row r="275" spans="9:35" x14ac:dyDescent="0.45">
      <c r="I275" t="s">
        <v>249</v>
      </c>
      <c r="J275" t="s">
        <v>756</v>
      </c>
      <c r="K275">
        <v>3.8139933967426057E-5</v>
      </c>
      <c r="L275" t="s">
        <v>251</v>
      </c>
      <c r="N275" t="s">
        <v>419</v>
      </c>
      <c r="O275" t="s">
        <v>756</v>
      </c>
      <c r="P275">
        <v>7.0404805862714272E-5</v>
      </c>
      <c r="Q275" t="s">
        <v>251</v>
      </c>
      <c r="S275" t="s">
        <v>420</v>
      </c>
      <c r="T275" t="s">
        <v>756</v>
      </c>
      <c r="U275">
        <v>2.3644139794780001E-4</v>
      </c>
      <c r="V275" t="s">
        <v>251</v>
      </c>
      <c r="X275">
        <v>1.1415525114155251E-4</v>
      </c>
      <c r="Y275">
        <v>1.4585353321897094E-4</v>
      </c>
      <c r="Z275" t="s">
        <v>756</v>
      </c>
      <c r="AA275" t="s">
        <v>25</v>
      </c>
      <c r="AC275" t="s">
        <v>22</v>
      </c>
      <c r="AD275" t="s">
        <v>756</v>
      </c>
      <c r="AE275">
        <v>8.6150528061294975E-5</v>
      </c>
      <c r="AG275" t="s">
        <v>97</v>
      </c>
      <c r="AH275" t="s">
        <v>756</v>
      </c>
      <c r="AI275">
        <v>0</v>
      </c>
    </row>
    <row r="276" spans="9:35" x14ac:dyDescent="0.45">
      <c r="I276" t="s">
        <v>249</v>
      </c>
      <c r="J276" t="s">
        <v>757</v>
      </c>
      <c r="K276">
        <v>6.5987177965944746E-5</v>
      </c>
      <c r="L276" t="s">
        <v>251</v>
      </c>
      <c r="N276" t="s">
        <v>419</v>
      </c>
      <c r="O276" t="s">
        <v>757</v>
      </c>
      <c r="P276">
        <v>7.0760646873989453E-5</v>
      </c>
      <c r="Q276" t="s">
        <v>251</v>
      </c>
      <c r="S276" t="s">
        <v>420</v>
      </c>
      <c r="T276" t="s">
        <v>757</v>
      </c>
      <c r="U276">
        <v>2.390052178957E-4</v>
      </c>
      <c r="V276" t="s">
        <v>251</v>
      </c>
      <c r="X276">
        <v>1.1415525114155251E-4</v>
      </c>
      <c r="Y276">
        <v>1.4452759200788939E-4</v>
      </c>
      <c r="Z276" t="s">
        <v>757</v>
      </c>
      <c r="AA276" t="s">
        <v>25</v>
      </c>
      <c r="AC276" t="s">
        <v>22</v>
      </c>
      <c r="AD276" t="s">
        <v>757</v>
      </c>
      <c r="AE276">
        <v>8.5968847076818561E-5</v>
      </c>
      <c r="AG276" t="s">
        <v>97</v>
      </c>
      <c r="AH276" t="s">
        <v>757</v>
      </c>
      <c r="AI276">
        <v>0</v>
      </c>
    </row>
    <row r="277" spans="9:35" x14ac:dyDescent="0.45">
      <c r="I277" t="s">
        <v>249</v>
      </c>
      <c r="J277" t="s">
        <v>758</v>
      </c>
      <c r="K277">
        <v>8.7729761238121814E-5</v>
      </c>
      <c r="L277" t="s">
        <v>251</v>
      </c>
      <c r="N277" t="s">
        <v>419</v>
      </c>
      <c r="O277" t="s">
        <v>758</v>
      </c>
      <c r="P277">
        <v>6.778967314642613E-5</v>
      </c>
      <c r="Q277" t="s">
        <v>251</v>
      </c>
      <c r="S277" t="s">
        <v>420</v>
      </c>
      <c r="T277" t="s">
        <v>758</v>
      </c>
      <c r="U277">
        <v>2.3859002906309999E-4</v>
      </c>
      <c r="V277" t="s">
        <v>251</v>
      </c>
      <c r="X277">
        <v>1.1415525114155251E-4</v>
      </c>
      <c r="Y277">
        <v>1.408812536774151E-4</v>
      </c>
      <c r="Z277" t="s">
        <v>758</v>
      </c>
      <c r="AA277" t="s">
        <v>25</v>
      </c>
      <c r="AC277" t="s">
        <v>22</v>
      </c>
      <c r="AD277" t="s">
        <v>758</v>
      </c>
      <c r="AE277">
        <v>8.8411535907752831E-5</v>
      </c>
      <c r="AG277" t="s">
        <v>97</v>
      </c>
      <c r="AH277" t="s">
        <v>758</v>
      </c>
      <c r="AI277">
        <v>0</v>
      </c>
    </row>
    <row r="278" spans="9:35" x14ac:dyDescent="0.45">
      <c r="I278" t="s">
        <v>249</v>
      </c>
      <c r="J278" t="s">
        <v>759</v>
      </c>
      <c r="K278">
        <v>9.7343333913705476E-5</v>
      </c>
      <c r="L278" t="s">
        <v>251</v>
      </c>
      <c r="N278" t="s">
        <v>419</v>
      </c>
      <c r="O278" t="s">
        <v>759</v>
      </c>
      <c r="P278">
        <v>6.5186240769404829E-5</v>
      </c>
      <c r="Q278" t="s">
        <v>251</v>
      </c>
      <c r="S278" t="s">
        <v>420</v>
      </c>
      <c r="T278" t="s">
        <v>759</v>
      </c>
      <c r="U278">
        <v>2.3578288787479999E-4</v>
      </c>
      <c r="V278" t="s">
        <v>251</v>
      </c>
      <c r="X278">
        <v>1.1415525114155251E-4</v>
      </c>
      <c r="Y278">
        <v>1.4054976837464471E-4</v>
      </c>
      <c r="Z278" t="s">
        <v>759</v>
      </c>
      <c r="AA278" t="s">
        <v>25</v>
      </c>
      <c r="AC278" t="s">
        <v>22</v>
      </c>
      <c r="AD278" t="s">
        <v>759</v>
      </c>
      <c r="AE278">
        <v>9.2189753385220211E-5</v>
      </c>
      <c r="AG278" t="s">
        <v>97</v>
      </c>
      <c r="AH278" t="s">
        <v>759</v>
      </c>
      <c r="AI278">
        <v>0</v>
      </c>
    </row>
    <row r="279" spans="9:35" x14ac:dyDescent="0.45">
      <c r="I279" t="s">
        <v>249</v>
      </c>
      <c r="J279" t="s">
        <v>760</v>
      </c>
      <c r="K279">
        <v>9.6781368773486703E-5</v>
      </c>
      <c r="L279" t="s">
        <v>251</v>
      </c>
      <c r="N279" t="s">
        <v>419</v>
      </c>
      <c r="O279" t="s">
        <v>760</v>
      </c>
      <c r="P279">
        <v>6.3011011350985578E-5</v>
      </c>
      <c r="Q279" t="s">
        <v>251</v>
      </c>
      <c r="S279" t="s">
        <v>420</v>
      </c>
      <c r="T279" t="s">
        <v>760</v>
      </c>
      <c r="U279">
        <v>2.3410179291950001E-4</v>
      </c>
      <c r="V279" t="s">
        <v>251</v>
      </c>
      <c r="X279">
        <v>1.1415525114155251E-4</v>
      </c>
      <c r="Y279">
        <v>1.4253868019126702E-4</v>
      </c>
      <c r="Z279" t="s">
        <v>760</v>
      </c>
      <c r="AA279" t="s">
        <v>25</v>
      </c>
      <c r="AC279" t="s">
        <v>22</v>
      </c>
      <c r="AD279" t="s">
        <v>760</v>
      </c>
      <c r="AE279">
        <v>9.5573128194515592E-5</v>
      </c>
      <c r="AG279" t="s">
        <v>97</v>
      </c>
      <c r="AH279" t="s">
        <v>760</v>
      </c>
      <c r="AI279">
        <v>0</v>
      </c>
    </row>
    <row r="280" spans="9:35" x14ac:dyDescent="0.45">
      <c r="I280" t="s">
        <v>249</v>
      </c>
      <c r="J280" t="s">
        <v>761</v>
      </c>
      <c r="K280">
        <v>9.5601517190638361E-5</v>
      </c>
      <c r="L280" t="s">
        <v>251</v>
      </c>
      <c r="N280" t="s">
        <v>419</v>
      </c>
      <c r="O280" t="s">
        <v>761</v>
      </c>
      <c r="P280">
        <v>6.415820762287521E-5</v>
      </c>
      <c r="Q280" t="s">
        <v>251</v>
      </c>
      <c r="S280" t="s">
        <v>420</v>
      </c>
      <c r="T280" t="s">
        <v>761</v>
      </c>
      <c r="U280">
        <v>2.313282119141E-4</v>
      </c>
      <c r="V280" t="s">
        <v>251</v>
      </c>
      <c r="X280">
        <v>1.1415525114155251E-4</v>
      </c>
      <c r="Y280">
        <v>1.4883690094390442E-4</v>
      </c>
      <c r="Z280" t="s">
        <v>761</v>
      </c>
      <c r="AA280" t="s">
        <v>25</v>
      </c>
      <c r="AC280" t="s">
        <v>22</v>
      </c>
      <c r="AD280" t="s">
        <v>761</v>
      </c>
      <c r="AE280">
        <v>9.8535782133738503E-5</v>
      </c>
      <c r="AG280" t="s">
        <v>97</v>
      </c>
      <c r="AH280" t="s">
        <v>761</v>
      </c>
      <c r="AI280">
        <v>0</v>
      </c>
    </row>
    <row r="281" spans="9:35" x14ac:dyDescent="0.45">
      <c r="I281" t="s">
        <v>249</v>
      </c>
      <c r="J281" t="s">
        <v>762</v>
      </c>
      <c r="K281">
        <v>9.3058636017244001E-5</v>
      </c>
      <c r="L281" t="s">
        <v>251</v>
      </c>
      <c r="N281" t="s">
        <v>419</v>
      </c>
      <c r="O281" t="s">
        <v>762</v>
      </c>
      <c r="P281">
        <v>6.7095151089435837E-5</v>
      </c>
      <c r="Q281" t="s">
        <v>251</v>
      </c>
      <c r="S281" t="s">
        <v>420</v>
      </c>
      <c r="T281" t="s">
        <v>762</v>
      </c>
      <c r="U281">
        <v>2.3033681659299999E-4</v>
      </c>
      <c r="V281" t="s">
        <v>251</v>
      </c>
      <c r="X281">
        <v>1.1415525114155251E-4</v>
      </c>
      <c r="Y281">
        <v>1.5049432745775637E-4</v>
      </c>
      <c r="Z281" t="s">
        <v>762</v>
      </c>
      <c r="AA281" t="s">
        <v>25</v>
      </c>
      <c r="AC281" t="s">
        <v>22</v>
      </c>
      <c r="AD281" t="s">
        <v>762</v>
      </c>
      <c r="AE281">
        <v>1.0159314495620541E-4</v>
      </c>
      <c r="AG281" t="s">
        <v>97</v>
      </c>
      <c r="AH281" t="s">
        <v>762</v>
      </c>
      <c r="AI281">
        <v>0</v>
      </c>
    </row>
    <row r="282" spans="9:35" x14ac:dyDescent="0.45">
      <c r="I282" t="s">
        <v>249</v>
      </c>
      <c r="J282" t="s">
        <v>763</v>
      </c>
      <c r="K282">
        <v>7.6816181783129122E-5</v>
      </c>
      <c r="L282" t="s">
        <v>251</v>
      </c>
      <c r="N282" t="s">
        <v>419</v>
      </c>
      <c r="O282" t="s">
        <v>763</v>
      </c>
      <c r="P282">
        <v>7.1319084050926415E-5</v>
      </c>
      <c r="Q282" t="s">
        <v>251</v>
      </c>
      <c r="S282" t="s">
        <v>420</v>
      </c>
      <c r="T282" t="s">
        <v>763</v>
      </c>
      <c r="U282">
        <v>2.3017846043250001E-4</v>
      </c>
      <c r="V282" t="s">
        <v>251</v>
      </c>
      <c r="X282">
        <v>1.1415525114155251E-4</v>
      </c>
      <c r="Y282">
        <v>1.7237235744060203E-4</v>
      </c>
      <c r="Z282" t="s">
        <v>763</v>
      </c>
      <c r="AA282" t="s">
        <v>25</v>
      </c>
      <c r="AC282" t="s">
        <v>22</v>
      </c>
      <c r="AD282" t="s">
        <v>763</v>
      </c>
      <c r="AE282">
        <v>1.0675838069842019E-4</v>
      </c>
      <c r="AG282" t="s">
        <v>97</v>
      </c>
      <c r="AH282" t="s">
        <v>763</v>
      </c>
      <c r="AI282">
        <v>0</v>
      </c>
    </row>
    <row r="283" spans="9:35" x14ac:dyDescent="0.45">
      <c r="I283" t="s">
        <v>249</v>
      </c>
      <c r="J283" t="s">
        <v>764</v>
      </c>
      <c r="K283">
        <v>4.6659374473298699E-5</v>
      </c>
      <c r="L283" t="s">
        <v>251</v>
      </c>
      <c r="N283" t="s">
        <v>419</v>
      </c>
      <c r="O283" t="s">
        <v>764</v>
      </c>
      <c r="P283">
        <v>8.1814249520534266E-5</v>
      </c>
      <c r="Q283" t="s">
        <v>251</v>
      </c>
      <c r="S283" t="s">
        <v>420</v>
      </c>
      <c r="T283" t="s">
        <v>764</v>
      </c>
      <c r="U283">
        <v>2.307206474186E-4</v>
      </c>
      <c r="V283" t="s">
        <v>251</v>
      </c>
      <c r="X283">
        <v>1.1415525114155251E-4</v>
      </c>
      <c r="Y283">
        <v>2.2209515285616027E-4</v>
      </c>
      <c r="Z283" t="s">
        <v>764</v>
      </c>
      <c r="AA283" t="s">
        <v>25</v>
      </c>
      <c r="AC283" t="s">
        <v>22</v>
      </c>
      <c r="AD283" t="s">
        <v>764</v>
      </c>
      <c r="AE283">
        <v>1.0625975843705974E-4</v>
      </c>
      <c r="AG283" t="s">
        <v>97</v>
      </c>
      <c r="AH283" t="s">
        <v>764</v>
      </c>
      <c r="AI283">
        <v>0</v>
      </c>
    </row>
    <row r="284" spans="9:35" x14ac:dyDescent="0.45">
      <c r="I284" t="s">
        <v>249</v>
      </c>
      <c r="J284" t="s">
        <v>765</v>
      </c>
      <c r="K284">
        <v>7.5764878041532558E-6</v>
      </c>
      <c r="L284" t="s">
        <v>251</v>
      </c>
      <c r="N284" t="s">
        <v>419</v>
      </c>
      <c r="O284" t="s">
        <v>765</v>
      </c>
      <c r="P284">
        <v>1.0378098529100001E-4</v>
      </c>
      <c r="Q284" t="s">
        <v>251</v>
      </c>
      <c r="S284" t="s">
        <v>420</v>
      </c>
      <c r="T284" t="s">
        <v>765</v>
      </c>
      <c r="U284">
        <v>2.3356404721359999E-4</v>
      </c>
      <c r="V284" t="s">
        <v>251</v>
      </c>
      <c r="X284">
        <v>1.1415525114155251E-4</v>
      </c>
      <c r="Y284">
        <v>2.2209515285616027E-4</v>
      </c>
      <c r="Z284" t="s">
        <v>765</v>
      </c>
      <c r="AA284" t="s">
        <v>25</v>
      </c>
      <c r="AC284" t="s">
        <v>22</v>
      </c>
      <c r="AD284" t="s">
        <v>765</v>
      </c>
      <c r="AE284">
        <v>1.0646091476935818E-4</v>
      </c>
      <c r="AG284" t="s">
        <v>97</v>
      </c>
      <c r="AH284" t="s">
        <v>765</v>
      </c>
      <c r="AI284">
        <v>0</v>
      </c>
    </row>
    <row r="285" spans="9:35" x14ac:dyDescent="0.45">
      <c r="I285" t="s">
        <v>249</v>
      </c>
      <c r="J285" t="s">
        <v>766</v>
      </c>
      <c r="K285">
        <v>0</v>
      </c>
      <c r="L285" t="s">
        <v>251</v>
      </c>
      <c r="N285" t="s">
        <v>419</v>
      </c>
      <c r="O285" t="s">
        <v>766</v>
      </c>
      <c r="P285">
        <v>1.194627848255E-4</v>
      </c>
      <c r="Q285" t="s">
        <v>251</v>
      </c>
      <c r="S285" t="s">
        <v>420</v>
      </c>
      <c r="T285" t="s">
        <v>766</v>
      </c>
      <c r="U285">
        <v>2.371691681654E-4</v>
      </c>
      <c r="V285" t="s">
        <v>251</v>
      </c>
      <c r="X285">
        <v>1.1415525114155251E-4</v>
      </c>
      <c r="Y285">
        <v>1.7237235744060203E-4</v>
      </c>
      <c r="Z285" t="s">
        <v>766</v>
      </c>
      <c r="AA285" t="s">
        <v>25</v>
      </c>
      <c r="AC285" t="s">
        <v>22</v>
      </c>
      <c r="AD285" t="s">
        <v>766</v>
      </c>
      <c r="AE285">
        <v>1.0736611826470113E-4</v>
      </c>
      <c r="AG285" t="s">
        <v>97</v>
      </c>
      <c r="AH285" t="s">
        <v>766</v>
      </c>
      <c r="AI285">
        <v>0</v>
      </c>
    </row>
    <row r="286" spans="9:35" x14ac:dyDescent="0.45">
      <c r="I286" t="s">
        <v>249</v>
      </c>
      <c r="J286" t="s">
        <v>767</v>
      </c>
      <c r="K286">
        <v>0</v>
      </c>
      <c r="L286" t="s">
        <v>251</v>
      </c>
      <c r="N286" t="s">
        <v>419</v>
      </c>
      <c r="O286" t="s">
        <v>767</v>
      </c>
      <c r="P286">
        <v>1.3182215213699999E-4</v>
      </c>
      <c r="Q286" t="s">
        <v>251</v>
      </c>
      <c r="S286" t="s">
        <v>420</v>
      </c>
      <c r="T286" t="s">
        <v>767</v>
      </c>
      <c r="U286">
        <v>2.4050512869179999E-4</v>
      </c>
      <c r="V286" t="s">
        <v>251</v>
      </c>
      <c r="X286">
        <v>1.1415525114155251E-4</v>
      </c>
      <c r="Y286">
        <v>1.5579809230208258E-4</v>
      </c>
      <c r="Z286" t="s">
        <v>767</v>
      </c>
      <c r="AA286" t="s">
        <v>25</v>
      </c>
      <c r="AC286" t="s">
        <v>22</v>
      </c>
      <c r="AD286" t="s">
        <v>767</v>
      </c>
      <c r="AE286">
        <v>1.0703663806524679E-4</v>
      </c>
      <c r="AG286" t="s">
        <v>97</v>
      </c>
      <c r="AH286" t="s">
        <v>767</v>
      </c>
      <c r="AI286">
        <v>0</v>
      </c>
    </row>
    <row r="287" spans="9:35" x14ac:dyDescent="0.45">
      <c r="I287" t="s">
        <v>249</v>
      </c>
      <c r="J287" t="s">
        <v>768</v>
      </c>
      <c r="K287">
        <v>0</v>
      </c>
      <c r="L287" t="s">
        <v>251</v>
      </c>
      <c r="N287" t="s">
        <v>419</v>
      </c>
      <c r="O287" t="s">
        <v>768</v>
      </c>
      <c r="P287">
        <v>1.3446857792190001E-4</v>
      </c>
      <c r="Q287" t="s">
        <v>251</v>
      </c>
      <c r="S287" t="s">
        <v>420</v>
      </c>
      <c r="T287" t="s">
        <v>768</v>
      </c>
      <c r="U287">
        <v>2.431858227833E-4</v>
      </c>
      <c r="V287" t="s">
        <v>251</v>
      </c>
      <c r="X287">
        <v>1.1415525114155251E-4</v>
      </c>
      <c r="Y287">
        <v>1.093901499142282E-4</v>
      </c>
      <c r="Z287" t="s">
        <v>768</v>
      </c>
      <c r="AA287" t="s">
        <v>25</v>
      </c>
      <c r="AC287" t="s">
        <v>22</v>
      </c>
      <c r="AD287" t="s">
        <v>768</v>
      </c>
      <c r="AE287">
        <v>1.0758728351599476E-4</v>
      </c>
      <c r="AG287" t="s">
        <v>97</v>
      </c>
      <c r="AH287" t="s">
        <v>768</v>
      </c>
      <c r="AI287">
        <v>0</v>
      </c>
    </row>
    <row r="288" spans="9:35" x14ac:dyDescent="0.45">
      <c r="I288" t="s">
        <v>249</v>
      </c>
      <c r="J288" t="s">
        <v>769</v>
      </c>
      <c r="K288">
        <v>0</v>
      </c>
      <c r="L288" t="s">
        <v>251</v>
      </c>
      <c r="N288" t="s">
        <v>419</v>
      </c>
      <c r="O288" t="s">
        <v>769</v>
      </c>
      <c r="P288">
        <v>1.3436513588410001E-4</v>
      </c>
      <c r="Q288" t="s">
        <v>251</v>
      </c>
      <c r="S288" t="s">
        <v>420</v>
      </c>
      <c r="T288" t="s">
        <v>769</v>
      </c>
      <c r="U288">
        <v>2.4604235896420003E-4</v>
      </c>
      <c r="V288" t="s">
        <v>251</v>
      </c>
      <c r="X288">
        <v>1.1415525114155251E-4</v>
      </c>
      <c r="Y288">
        <v>7.9556472664893237E-5</v>
      </c>
      <c r="Z288" t="s">
        <v>769</v>
      </c>
      <c r="AA288" t="s">
        <v>25</v>
      </c>
      <c r="AC288" t="s">
        <v>22</v>
      </c>
      <c r="AD288" t="s">
        <v>769</v>
      </c>
      <c r="AE288">
        <v>1.0758728351599476E-4</v>
      </c>
      <c r="AG288" t="s">
        <v>97</v>
      </c>
      <c r="AH288" t="s">
        <v>769</v>
      </c>
      <c r="AI288">
        <v>0</v>
      </c>
    </row>
    <row r="289" spans="9:35" x14ac:dyDescent="0.45">
      <c r="I289" t="s">
        <v>249</v>
      </c>
      <c r="J289" t="s">
        <v>770</v>
      </c>
      <c r="K289">
        <v>0</v>
      </c>
      <c r="L289" t="s">
        <v>251</v>
      </c>
      <c r="N289" t="s">
        <v>419</v>
      </c>
      <c r="O289" t="s">
        <v>770</v>
      </c>
      <c r="P289">
        <v>1.345145512163E-4</v>
      </c>
      <c r="Q289" t="s">
        <v>251</v>
      </c>
      <c r="S289" t="s">
        <v>420</v>
      </c>
      <c r="T289" t="s">
        <v>770</v>
      </c>
      <c r="U289">
        <v>2.3991208093830001E-4</v>
      </c>
      <c r="V289" t="s">
        <v>251</v>
      </c>
      <c r="X289">
        <v>1.1415525114155251E-4</v>
      </c>
      <c r="Y289">
        <v>5.6352501470966035E-5</v>
      </c>
      <c r="Z289" t="s">
        <v>770</v>
      </c>
      <c r="AA289" t="s">
        <v>25</v>
      </c>
      <c r="AC289" t="s">
        <v>22</v>
      </c>
      <c r="AD289" t="s">
        <v>770</v>
      </c>
      <c r="AE289">
        <v>1.1077430413355054E-4</v>
      </c>
      <c r="AG289" t="s">
        <v>97</v>
      </c>
      <c r="AH289" t="s">
        <v>770</v>
      </c>
      <c r="AI289">
        <v>0</v>
      </c>
    </row>
    <row r="290" spans="9:35" x14ac:dyDescent="0.45">
      <c r="I290" t="s">
        <v>249</v>
      </c>
      <c r="J290" t="s">
        <v>771</v>
      </c>
      <c r="K290">
        <v>0</v>
      </c>
      <c r="L290" t="s">
        <v>251</v>
      </c>
      <c r="N290" t="s">
        <v>419</v>
      </c>
      <c r="O290" t="s">
        <v>771</v>
      </c>
      <c r="P290">
        <v>1.3266883718009999E-4</v>
      </c>
      <c r="Q290" t="s">
        <v>251</v>
      </c>
      <c r="S290" t="s">
        <v>420</v>
      </c>
      <c r="T290" t="s">
        <v>771</v>
      </c>
      <c r="U290">
        <v>2.3666617816759999E-4</v>
      </c>
      <c r="V290" t="s">
        <v>251</v>
      </c>
      <c r="X290">
        <v>1.1415525114155251E-4</v>
      </c>
      <c r="Y290">
        <v>2.9833677249334962E-5</v>
      </c>
      <c r="Z290" t="s">
        <v>771</v>
      </c>
      <c r="AA290" t="s">
        <v>25</v>
      </c>
      <c r="AC290" t="s">
        <v>22</v>
      </c>
      <c r="AD290" t="s">
        <v>771</v>
      </c>
      <c r="AE290">
        <v>1.2004376934006121E-4</v>
      </c>
      <c r="AG290" t="s">
        <v>97</v>
      </c>
      <c r="AH290" t="s">
        <v>771</v>
      </c>
      <c r="AI290">
        <v>0</v>
      </c>
    </row>
    <row r="291" spans="9:35" x14ac:dyDescent="0.45">
      <c r="I291" t="s">
        <v>249</v>
      </c>
      <c r="J291" t="s">
        <v>411</v>
      </c>
      <c r="K291">
        <v>0</v>
      </c>
      <c r="L291" t="s">
        <v>251</v>
      </c>
      <c r="N291" t="s">
        <v>419</v>
      </c>
      <c r="O291" t="s">
        <v>411</v>
      </c>
      <c r="P291">
        <v>2.527902790776141E-2</v>
      </c>
      <c r="Q291" t="s">
        <v>251</v>
      </c>
      <c r="S291" t="s">
        <v>420</v>
      </c>
      <c r="T291" t="s">
        <v>411</v>
      </c>
      <c r="U291">
        <v>2.389381735609274E-2</v>
      </c>
      <c r="V291" t="s">
        <v>251</v>
      </c>
      <c r="X291">
        <v>2.0547945205479451E-2</v>
      </c>
      <c r="Y291">
        <v>4.3954951147353507E-3</v>
      </c>
      <c r="Z291" t="s">
        <v>411</v>
      </c>
      <c r="AA291" t="s">
        <v>25</v>
      </c>
      <c r="AC291" t="s">
        <v>22</v>
      </c>
      <c r="AD291" t="s">
        <v>411</v>
      </c>
      <c r="AE291">
        <v>2.3812366271536142E-2</v>
      </c>
      <c r="AG291" t="s">
        <v>97</v>
      </c>
      <c r="AH291" t="s">
        <v>411</v>
      </c>
      <c r="AI291">
        <v>0.14901500838781812</v>
      </c>
    </row>
    <row r="292" spans="9:35" x14ac:dyDescent="0.45">
      <c r="I292" t="s">
        <v>249</v>
      </c>
      <c r="J292" t="s">
        <v>412</v>
      </c>
      <c r="K292">
        <v>0</v>
      </c>
      <c r="L292" t="s">
        <v>251</v>
      </c>
      <c r="N292" t="s">
        <v>419</v>
      </c>
      <c r="O292" t="s">
        <v>412</v>
      </c>
      <c r="P292">
        <v>4.0867350779630494E-3</v>
      </c>
      <c r="Q292" t="s">
        <v>251</v>
      </c>
      <c r="S292" t="s">
        <v>420</v>
      </c>
      <c r="T292" t="s">
        <v>412</v>
      </c>
      <c r="U292">
        <v>3.7622497385597898E-3</v>
      </c>
      <c r="V292" t="s">
        <v>251</v>
      </c>
      <c r="X292">
        <v>3.4246575342465752E-3</v>
      </c>
      <c r="Y292">
        <v>5.0717251323869452E-3</v>
      </c>
      <c r="Z292" t="s">
        <v>412</v>
      </c>
      <c r="AA292" t="s">
        <v>25</v>
      </c>
      <c r="AC292" t="s">
        <v>22</v>
      </c>
      <c r="AD292" t="s">
        <v>412</v>
      </c>
      <c r="AE292">
        <v>3.1425321900166955E-3</v>
      </c>
      <c r="AG292" t="s">
        <v>97</v>
      </c>
      <c r="AH292" t="s">
        <v>412</v>
      </c>
      <c r="AI292">
        <v>4.9366975957354065E-2</v>
      </c>
    </row>
    <row r="293" spans="9:35" x14ac:dyDescent="0.45">
      <c r="I293" t="s">
        <v>249</v>
      </c>
      <c r="J293" t="s">
        <v>413</v>
      </c>
      <c r="K293">
        <v>4.2291350331992385E-4</v>
      </c>
      <c r="L293" t="s">
        <v>251</v>
      </c>
      <c r="N293" t="s">
        <v>419</v>
      </c>
      <c r="O293" t="s">
        <v>413</v>
      </c>
      <c r="P293">
        <v>4.0178995630458575E-3</v>
      </c>
      <c r="Q293" t="s">
        <v>251</v>
      </c>
      <c r="S293" t="s">
        <v>420</v>
      </c>
      <c r="T293" t="s">
        <v>413</v>
      </c>
      <c r="U293">
        <v>3.7559674580952369E-3</v>
      </c>
      <c r="V293" t="s">
        <v>251</v>
      </c>
      <c r="X293">
        <v>3.4246575342465752E-3</v>
      </c>
      <c r="Y293">
        <v>5.7181214727892006E-3</v>
      </c>
      <c r="Z293" t="s">
        <v>413</v>
      </c>
      <c r="AA293" t="s">
        <v>25</v>
      </c>
      <c r="AC293" t="s">
        <v>22</v>
      </c>
      <c r="AD293" t="s">
        <v>413</v>
      </c>
      <c r="AE293">
        <v>3.0264110955920062E-3</v>
      </c>
      <c r="AG293" t="s">
        <v>97</v>
      </c>
      <c r="AH293" t="s">
        <v>413</v>
      </c>
      <c r="AI293">
        <v>5.7103905898807206E-2</v>
      </c>
    </row>
    <row r="294" spans="9:35" x14ac:dyDescent="0.45">
      <c r="I294" t="s">
        <v>249</v>
      </c>
      <c r="J294" t="s">
        <v>414</v>
      </c>
      <c r="K294">
        <v>4.5951935646773169E-2</v>
      </c>
      <c r="L294" t="s">
        <v>251</v>
      </c>
      <c r="N294" t="s">
        <v>419</v>
      </c>
      <c r="O294" t="s">
        <v>414</v>
      </c>
      <c r="P294">
        <v>2.2986491983829922E-2</v>
      </c>
      <c r="Q294" t="s">
        <v>251</v>
      </c>
      <c r="S294" t="s">
        <v>420</v>
      </c>
      <c r="T294" t="s">
        <v>414</v>
      </c>
      <c r="U294">
        <v>2.6805267437855915E-2</v>
      </c>
      <c r="V294" t="s">
        <v>251</v>
      </c>
      <c r="X294">
        <v>2.3972602739726026E-2</v>
      </c>
      <c r="Y294">
        <v>3.0410461676155433E-2</v>
      </c>
      <c r="Z294" t="s">
        <v>414</v>
      </c>
      <c r="AA294" t="s">
        <v>25</v>
      </c>
      <c r="AC294" t="s">
        <v>22</v>
      </c>
      <c r="AD294" t="s">
        <v>414</v>
      </c>
      <c r="AE294">
        <v>2.393328570804747E-2</v>
      </c>
      <c r="AG294" t="s">
        <v>97</v>
      </c>
      <c r="AH294" t="s">
        <v>414</v>
      </c>
      <c r="AI294">
        <v>0.25664080807072542</v>
      </c>
    </row>
    <row r="295" spans="9:35" x14ac:dyDescent="0.45">
      <c r="I295" t="s">
        <v>249</v>
      </c>
      <c r="J295" t="s">
        <v>415</v>
      </c>
      <c r="K295">
        <v>6.8944311245482002E-3</v>
      </c>
      <c r="L295" t="s">
        <v>251</v>
      </c>
      <c r="N295" t="s">
        <v>419</v>
      </c>
      <c r="O295" t="s">
        <v>415</v>
      </c>
      <c r="P295">
        <v>2.9900178902216696E-3</v>
      </c>
      <c r="Q295" t="s">
        <v>251</v>
      </c>
      <c r="S295" t="s">
        <v>420</v>
      </c>
      <c r="T295" t="s">
        <v>415</v>
      </c>
      <c r="U295">
        <v>4.0418864979690702E-3</v>
      </c>
      <c r="V295" t="s">
        <v>251</v>
      </c>
      <c r="X295">
        <v>3.4246575342465752E-3</v>
      </c>
      <c r="Y295">
        <v>5.1711707232180593E-3</v>
      </c>
      <c r="Z295" t="s">
        <v>415</v>
      </c>
      <c r="AA295" t="s">
        <v>25</v>
      </c>
      <c r="AC295" t="s">
        <v>22</v>
      </c>
      <c r="AD295" t="s">
        <v>415</v>
      </c>
      <c r="AE295">
        <v>3.9718896102308408E-3</v>
      </c>
      <c r="AG295" t="s">
        <v>97</v>
      </c>
      <c r="AH295" t="s">
        <v>415</v>
      </c>
      <c r="AI295">
        <v>5.6921859090788285E-2</v>
      </c>
    </row>
    <row r="296" spans="9:35" x14ac:dyDescent="0.45">
      <c r="I296" t="s">
        <v>249</v>
      </c>
      <c r="J296" t="s">
        <v>416</v>
      </c>
      <c r="K296">
        <v>5.2872680652410152E-3</v>
      </c>
      <c r="L296" t="s">
        <v>251</v>
      </c>
      <c r="N296" t="s">
        <v>419</v>
      </c>
      <c r="O296" t="s">
        <v>416</v>
      </c>
      <c r="P296">
        <v>3.1723091712432183E-3</v>
      </c>
      <c r="Q296" t="s">
        <v>251</v>
      </c>
      <c r="S296" t="s">
        <v>420</v>
      </c>
      <c r="T296" t="s">
        <v>416</v>
      </c>
      <c r="U296">
        <v>4.0123530664647033E-3</v>
      </c>
      <c r="V296" t="s">
        <v>251</v>
      </c>
      <c r="X296">
        <v>3.4246575342465752E-3</v>
      </c>
      <c r="Y296">
        <v>6.662854585684809E-3</v>
      </c>
      <c r="Z296" t="s">
        <v>416</v>
      </c>
      <c r="AA296" t="s">
        <v>25</v>
      </c>
      <c r="AC296" t="s">
        <v>22</v>
      </c>
      <c r="AD296" t="s">
        <v>416</v>
      </c>
      <c r="AE296">
        <v>3.9718882763029074E-3</v>
      </c>
      <c r="AG296" t="s">
        <v>97</v>
      </c>
      <c r="AH296" t="s">
        <v>416</v>
      </c>
      <c r="AI296">
        <v>4.3453238243608805E-2</v>
      </c>
    </row>
    <row r="297" spans="9:35" x14ac:dyDescent="0.45">
      <c r="I297" t="s">
        <v>249</v>
      </c>
      <c r="J297" t="s">
        <v>417</v>
      </c>
      <c r="K297">
        <v>1.6751032051646954E-3</v>
      </c>
      <c r="L297" t="s">
        <v>251</v>
      </c>
      <c r="N297" t="s">
        <v>419</v>
      </c>
      <c r="O297" t="s">
        <v>417</v>
      </c>
      <c r="P297">
        <v>3.3489766185648786E-3</v>
      </c>
      <c r="Q297" t="s">
        <v>251</v>
      </c>
      <c r="S297" t="s">
        <v>420</v>
      </c>
      <c r="T297" t="s">
        <v>417</v>
      </c>
      <c r="U297">
        <v>4.1424762313886062E-3</v>
      </c>
      <c r="V297" t="s">
        <v>251</v>
      </c>
      <c r="X297">
        <v>3.4246575342465752E-3</v>
      </c>
      <c r="Y297">
        <v>6.662854585684809E-3</v>
      </c>
      <c r="Z297" t="s">
        <v>417</v>
      </c>
      <c r="AA297" t="s">
        <v>25</v>
      </c>
      <c r="AC297" t="s">
        <v>22</v>
      </c>
      <c r="AD297" t="s">
        <v>417</v>
      </c>
      <c r="AE297">
        <v>4.0482009594226759E-3</v>
      </c>
      <c r="AG297" t="s">
        <v>97</v>
      </c>
      <c r="AH297" t="s">
        <v>417</v>
      </c>
      <c r="AI297">
        <v>4.9004432548237276E-2</v>
      </c>
    </row>
    <row r="298" spans="9:35" x14ac:dyDescent="0.45">
      <c r="I298" t="s">
        <v>249</v>
      </c>
      <c r="J298" t="s">
        <v>418</v>
      </c>
      <c r="K298">
        <v>0</v>
      </c>
      <c r="L298" t="s">
        <v>251</v>
      </c>
      <c r="N298" t="s">
        <v>419</v>
      </c>
      <c r="O298" t="s">
        <v>418</v>
      </c>
      <c r="P298">
        <v>2.2761847850181316E-2</v>
      </c>
      <c r="Q298" t="s">
        <v>251</v>
      </c>
      <c r="S298" t="s">
        <v>420</v>
      </c>
      <c r="T298" t="s">
        <v>418</v>
      </c>
      <c r="U298">
        <v>2.5872681416913484E-2</v>
      </c>
      <c r="V298" t="s">
        <v>251</v>
      </c>
      <c r="X298">
        <v>2.0547945205479451E-2</v>
      </c>
      <c r="Y298">
        <v>1.8099097531263209E-2</v>
      </c>
      <c r="Z298" t="s">
        <v>418</v>
      </c>
      <c r="AA298" t="s">
        <v>25</v>
      </c>
      <c r="AC298" t="s">
        <v>22</v>
      </c>
      <c r="AD298" t="s">
        <v>418</v>
      </c>
      <c r="AE298">
        <v>2.4882338679449601E-2</v>
      </c>
      <c r="AG298" t="s">
        <v>97</v>
      </c>
      <c r="AH298" t="s">
        <v>418</v>
      </c>
      <c r="AI298">
        <v>0.10385407304148786</v>
      </c>
    </row>
    <row r="299" spans="9:35" x14ac:dyDescent="0.45">
      <c r="I299" t="s">
        <v>249</v>
      </c>
      <c r="J299" t="s">
        <v>772</v>
      </c>
      <c r="K299">
        <v>0</v>
      </c>
      <c r="L299" t="s">
        <v>251</v>
      </c>
      <c r="N299" t="s">
        <v>419</v>
      </c>
      <c r="O299" t="s">
        <v>772</v>
      </c>
      <c r="P299">
        <v>3.9958960553465191E-5</v>
      </c>
      <c r="Q299" t="s">
        <v>251</v>
      </c>
      <c r="S299" t="s">
        <v>420</v>
      </c>
      <c r="T299" t="s">
        <v>772</v>
      </c>
      <c r="U299">
        <v>7.5003867212616523E-5</v>
      </c>
      <c r="V299" t="s">
        <v>251</v>
      </c>
      <c r="X299">
        <v>1.1415525114155251E-4</v>
      </c>
      <c r="Y299">
        <v>2.1546544680075254E-5</v>
      </c>
      <c r="Z299" t="s">
        <v>772</v>
      </c>
      <c r="AA299" t="s">
        <v>25</v>
      </c>
      <c r="AC299" t="s">
        <v>22</v>
      </c>
      <c r="AD299" t="s">
        <v>772</v>
      </c>
      <c r="AE299">
        <v>1.5017008301311413E-4</v>
      </c>
      <c r="AG299" t="s">
        <v>97</v>
      </c>
      <c r="AH299" t="s">
        <v>772</v>
      </c>
      <c r="AI299">
        <v>0</v>
      </c>
    </row>
    <row r="300" spans="9:35" x14ac:dyDescent="0.45">
      <c r="I300" t="s">
        <v>249</v>
      </c>
      <c r="J300" t="s">
        <v>773</v>
      </c>
      <c r="K300">
        <v>0</v>
      </c>
      <c r="L300" t="s">
        <v>251</v>
      </c>
      <c r="N300" t="s">
        <v>419</v>
      </c>
      <c r="O300" t="s">
        <v>773</v>
      </c>
      <c r="P300">
        <v>3.4935150878549675E-5</v>
      </c>
      <c r="Q300" t="s">
        <v>251</v>
      </c>
      <c r="S300" t="s">
        <v>420</v>
      </c>
      <c r="T300" t="s">
        <v>773</v>
      </c>
      <c r="U300">
        <v>7.0637622146137012E-5</v>
      </c>
      <c r="V300" t="s">
        <v>251</v>
      </c>
      <c r="X300">
        <v>1.1415525114155251E-4</v>
      </c>
      <c r="Y300">
        <v>1.4916838624667481E-5</v>
      </c>
      <c r="Z300" t="s">
        <v>773</v>
      </c>
      <c r="AA300" t="s">
        <v>25</v>
      </c>
      <c r="AC300" t="s">
        <v>22</v>
      </c>
      <c r="AD300" t="s">
        <v>773</v>
      </c>
      <c r="AE300">
        <v>1.5232864519431653E-4</v>
      </c>
      <c r="AG300" t="s">
        <v>97</v>
      </c>
      <c r="AH300" t="s">
        <v>773</v>
      </c>
      <c r="AI300">
        <v>0</v>
      </c>
    </row>
    <row r="301" spans="9:35" x14ac:dyDescent="0.45">
      <c r="I301" t="s">
        <v>249</v>
      </c>
      <c r="J301" t="s">
        <v>774</v>
      </c>
      <c r="K301">
        <v>0</v>
      </c>
      <c r="L301" t="s">
        <v>251</v>
      </c>
      <c r="N301" t="s">
        <v>419</v>
      </c>
      <c r="O301" t="s">
        <v>774</v>
      </c>
      <c r="P301">
        <v>3.2484253868221491E-5</v>
      </c>
      <c r="Q301" t="s">
        <v>251</v>
      </c>
      <c r="S301" t="s">
        <v>420</v>
      </c>
      <c r="T301" t="s">
        <v>774</v>
      </c>
      <c r="U301">
        <v>7.0153478906621463E-5</v>
      </c>
      <c r="V301" t="s">
        <v>251</v>
      </c>
      <c r="X301">
        <v>1.1415525114155251E-4</v>
      </c>
      <c r="Y301">
        <v>1.6574265138519424E-5</v>
      </c>
      <c r="Z301" t="s">
        <v>774</v>
      </c>
      <c r="AA301" t="s">
        <v>25</v>
      </c>
      <c r="AC301" t="s">
        <v>22</v>
      </c>
      <c r="AD301" t="s">
        <v>774</v>
      </c>
      <c r="AE301">
        <v>1.4562565733092383E-4</v>
      </c>
      <c r="AG301" t="s">
        <v>97</v>
      </c>
      <c r="AH301" t="s">
        <v>774</v>
      </c>
      <c r="AI301">
        <v>0</v>
      </c>
    </row>
    <row r="302" spans="9:35" x14ac:dyDescent="0.45">
      <c r="I302" t="s">
        <v>249</v>
      </c>
      <c r="J302" t="s">
        <v>775</v>
      </c>
      <c r="K302">
        <v>0</v>
      </c>
      <c r="L302" t="s">
        <v>251</v>
      </c>
      <c r="N302" t="s">
        <v>419</v>
      </c>
      <c r="O302" t="s">
        <v>775</v>
      </c>
      <c r="P302">
        <v>3.4843070012388361E-5</v>
      </c>
      <c r="Q302" t="s">
        <v>251</v>
      </c>
      <c r="S302" t="s">
        <v>420</v>
      </c>
      <c r="T302" t="s">
        <v>775</v>
      </c>
      <c r="U302">
        <v>7.1392823701655912E-5</v>
      </c>
      <c r="V302" t="s">
        <v>251</v>
      </c>
      <c r="X302">
        <v>1.1415525114155251E-4</v>
      </c>
      <c r="Y302">
        <v>1.4585353321897093E-5</v>
      </c>
      <c r="Z302" t="s">
        <v>775</v>
      </c>
      <c r="AA302" t="s">
        <v>25</v>
      </c>
      <c r="AC302" t="s">
        <v>22</v>
      </c>
      <c r="AD302" t="s">
        <v>775</v>
      </c>
      <c r="AE302">
        <v>1.3496303779117388E-4</v>
      </c>
      <c r="AG302" t="s">
        <v>97</v>
      </c>
      <c r="AH302" t="s">
        <v>775</v>
      </c>
      <c r="AI302">
        <v>0</v>
      </c>
    </row>
    <row r="303" spans="9:35" x14ac:dyDescent="0.45">
      <c r="I303" t="s">
        <v>249</v>
      </c>
      <c r="J303" t="s">
        <v>776</v>
      </c>
      <c r="K303">
        <v>0</v>
      </c>
      <c r="L303" t="s">
        <v>251</v>
      </c>
      <c r="N303" t="s">
        <v>419</v>
      </c>
      <c r="O303" t="s">
        <v>776</v>
      </c>
      <c r="P303">
        <v>3.692301774816127E-5</v>
      </c>
      <c r="Q303" t="s">
        <v>251</v>
      </c>
      <c r="S303" t="s">
        <v>420</v>
      </c>
      <c r="T303" t="s">
        <v>776</v>
      </c>
      <c r="U303">
        <v>7.2838914664018377E-5</v>
      </c>
      <c r="V303" t="s">
        <v>251</v>
      </c>
      <c r="X303">
        <v>1.1415525114155251E-4</v>
      </c>
      <c r="Y303">
        <v>2.1215059377304864E-5</v>
      </c>
      <c r="Z303" t="s">
        <v>776</v>
      </c>
      <c r="AA303" t="s">
        <v>25</v>
      </c>
      <c r="AC303" t="s">
        <v>22</v>
      </c>
      <c r="AD303" t="s">
        <v>776</v>
      </c>
      <c r="AE303">
        <v>1.2220188282720718E-4</v>
      </c>
      <c r="AG303" t="s">
        <v>97</v>
      </c>
      <c r="AH303" t="s">
        <v>776</v>
      </c>
      <c r="AI303">
        <v>0</v>
      </c>
    </row>
    <row r="304" spans="9:35" x14ac:dyDescent="0.45">
      <c r="I304" t="s">
        <v>249</v>
      </c>
      <c r="J304" t="s">
        <v>777</v>
      </c>
      <c r="K304">
        <v>0</v>
      </c>
      <c r="L304" t="s">
        <v>251</v>
      </c>
      <c r="N304" t="s">
        <v>419</v>
      </c>
      <c r="O304" t="s">
        <v>777</v>
      </c>
      <c r="P304">
        <v>3.8621628682041479E-5</v>
      </c>
      <c r="Q304" t="s">
        <v>251</v>
      </c>
      <c r="S304" t="s">
        <v>420</v>
      </c>
      <c r="T304" t="s">
        <v>777</v>
      </c>
      <c r="U304">
        <v>7.182042082354825E-5</v>
      </c>
      <c r="V304" t="s">
        <v>251</v>
      </c>
      <c r="X304">
        <v>1.1415525114155251E-4</v>
      </c>
      <c r="Y304">
        <v>5.7678442682047593E-5</v>
      </c>
      <c r="Z304" t="s">
        <v>777</v>
      </c>
      <c r="AA304" t="s">
        <v>25</v>
      </c>
      <c r="AC304" t="s">
        <v>22</v>
      </c>
      <c r="AD304" t="s">
        <v>777</v>
      </c>
      <c r="AE304">
        <v>1.1146136189616925E-4</v>
      </c>
      <c r="AG304" t="s">
        <v>97</v>
      </c>
      <c r="AH304" t="s">
        <v>777</v>
      </c>
      <c r="AI304">
        <v>0</v>
      </c>
    </row>
    <row r="305" spans="9:35" x14ac:dyDescent="0.45">
      <c r="I305" t="s">
        <v>249</v>
      </c>
      <c r="J305" t="s">
        <v>778</v>
      </c>
      <c r="K305">
        <v>0</v>
      </c>
      <c r="L305" t="s">
        <v>251</v>
      </c>
      <c r="N305" t="s">
        <v>419</v>
      </c>
      <c r="O305" t="s">
        <v>778</v>
      </c>
      <c r="P305">
        <v>3.7907280692541579E-5</v>
      </c>
      <c r="Q305" t="s">
        <v>251</v>
      </c>
      <c r="S305" t="s">
        <v>420</v>
      </c>
      <c r="T305" t="s">
        <v>778</v>
      </c>
      <c r="U305">
        <v>7.5532481591252928E-5</v>
      </c>
      <c r="V305" t="s">
        <v>251</v>
      </c>
      <c r="X305">
        <v>1.1415525114155251E-4</v>
      </c>
      <c r="Y305">
        <v>1.6905750441289813E-4</v>
      </c>
      <c r="Z305" t="s">
        <v>778</v>
      </c>
      <c r="AA305" t="s">
        <v>25</v>
      </c>
      <c r="AC305" t="s">
        <v>22</v>
      </c>
      <c r="AD305" t="s">
        <v>778</v>
      </c>
      <c r="AE305">
        <v>9.8644715530189176E-5</v>
      </c>
      <c r="AG305" t="s">
        <v>97</v>
      </c>
      <c r="AH305" t="s">
        <v>778</v>
      </c>
      <c r="AI305">
        <v>0</v>
      </c>
    </row>
    <row r="306" spans="9:35" x14ac:dyDescent="0.45">
      <c r="I306" t="s">
        <v>249</v>
      </c>
      <c r="J306" t="s">
        <v>779</v>
      </c>
      <c r="K306">
        <v>1.3345880810175626E-6</v>
      </c>
      <c r="L306" t="s">
        <v>251</v>
      </c>
      <c r="N306" t="s">
        <v>419</v>
      </c>
      <c r="O306" t="s">
        <v>779</v>
      </c>
      <c r="P306">
        <v>3.5906521866522217E-5</v>
      </c>
      <c r="Q306" t="s">
        <v>251</v>
      </c>
      <c r="S306" t="s">
        <v>420</v>
      </c>
      <c r="T306" t="s">
        <v>779</v>
      </c>
      <c r="U306">
        <v>7.7665306886981657E-5</v>
      </c>
      <c r="V306" t="s">
        <v>251</v>
      </c>
      <c r="X306">
        <v>1.1415525114155251E-4</v>
      </c>
      <c r="Y306">
        <v>1.9060404909297337E-4</v>
      </c>
      <c r="Z306" t="s">
        <v>779</v>
      </c>
      <c r="AA306" t="s">
        <v>25</v>
      </c>
      <c r="AC306" t="s">
        <v>22</v>
      </c>
      <c r="AD306" t="s">
        <v>779</v>
      </c>
      <c r="AE306">
        <v>9.4348934014712576E-5</v>
      </c>
      <c r="AG306" t="s">
        <v>97</v>
      </c>
      <c r="AH306" t="s">
        <v>779</v>
      </c>
      <c r="AI306">
        <v>0</v>
      </c>
    </row>
    <row r="307" spans="9:35" x14ac:dyDescent="0.45">
      <c r="I307" t="s">
        <v>249</v>
      </c>
      <c r="J307" t="s">
        <v>780</v>
      </c>
      <c r="K307">
        <v>1.08096632876E-4</v>
      </c>
      <c r="L307" t="s">
        <v>251</v>
      </c>
      <c r="N307" t="s">
        <v>419</v>
      </c>
      <c r="O307" t="s">
        <v>780</v>
      </c>
      <c r="P307">
        <v>3.5352511637285615E-5</v>
      </c>
      <c r="Q307" t="s">
        <v>251</v>
      </c>
      <c r="S307" t="s">
        <v>420</v>
      </c>
      <c r="T307" t="s">
        <v>780</v>
      </c>
      <c r="U307">
        <v>8.0198224141276442E-5</v>
      </c>
      <c r="V307" t="s">
        <v>251</v>
      </c>
      <c r="X307">
        <v>1.1415525114155251E-4</v>
      </c>
      <c r="Y307">
        <v>1.4585353321897094E-4</v>
      </c>
      <c r="Z307" t="s">
        <v>780</v>
      </c>
      <c r="AA307" t="s">
        <v>25</v>
      </c>
      <c r="AC307" t="s">
        <v>22</v>
      </c>
      <c r="AD307" t="s">
        <v>780</v>
      </c>
      <c r="AE307">
        <v>9.2137281501776224E-5</v>
      </c>
      <c r="AG307" t="s">
        <v>97</v>
      </c>
      <c r="AH307" t="s">
        <v>780</v>
      </c>
      <c r="AI307">
        <v>0</v>
      </c>
    </row>
    <row r="308" spans="9:35" x14ac:dyDescent="0.45">
      <c r="I308" t="s">
        <v>249</v>
      </c>
      <c r="J308" t="s">
        <v>781</v>
      </c>
      <c r="K308">
        <v>1.6979578924059999E-4</v>
      </c>
      <c r="L308" t="s">
        <v>251</v>
      </c>
      <c r="N308" t="s">
        <v>419</v>
      </c>
      <c r="O308" t="s">
        <v>781</v>
      </c>
      <c r="P308">
        <v>3.4742082562474232E-5</v>
      </c>
      <c r="Q308" t="s">
        <v>251</v>
      </c>
      <c r="S308" t="s">
        <v>420</v>
      </c>
      <c r="T308" t="s">
        <v>781</v>
      </c>
      <c r="U308">
        <v>9.0728845287947198E-5</v>
      </c>
      <c r="V308" t="s">
        <v>251</v>
      </c>
      <c r="X308">
        <v>1.1415525114155251E-4</v>
      </c>
      <c r="Y308">
        <v>1.4452759200788939E-4</v>
      </c>
      <c r="Z308" t="s">
        <v>781</v>
      </c>
      <c r="AA308" t="s">
        <v>25</v>
      </c>
      <c r="AC308" t="s">
        <v>22</v>
      </c>
      <c r="AD308" t="s">
        <v>781</v>
      </c>
      <c r="AE308">
        <v>9.1178720889112741E-5</v>
      </c>
      <c r="AG308" t="s">
        <v>97</v>
      </c>
      <c r="AH308" t="s">
        <v>781</v>
      </c>
      <c r="AI308">
        <v>0</v>
      </c>
    </row>
    <row r="309" spans="9:35" x14ac:dyDescent="0.45">
      <c r="I309" t="s">
        <v>249</v>
      </c>
      <c r="J309" t="s">
        <v>782</v>
      </c>
      <c r="K309">
        <v>2.0563873640930001E-4</v>
      </c>
      <c r="L309" t="s">
        <v>251</v>
      </c>
      <c r="N309" t="s">
        <v>419</v>
      </c>
      <c r="O309" t="s">
        <v>782</v>
      </c>
      <c r="P309">
        <v>3.150710320569339E-5</v>
      </c>
      <c r="Q309" t="s">
        <v>251</v>
      </c>
      <c r="S309" t="s">
        <v>420</v>
      </c>
      <c r="T309" t="s">
        <v>782</v>
      </c>
      <c r="U309">
        <v>8.4194109401491664E-5</v>
      </c>
      <c r="V309" t="s">
        <v>251</v>
      </c>
      <c r="X309">
        <v>1.1415525114155251E-4</v>
      </c>
      <c r="Y309">
        <v>1.408812536774151E-4</v>
      </c>
      <c r="Z309" t="s">
        <v>782</v>
      </c>
      <c r="AA309" t="s">
        <v>25</v>
      </c>
      <c r="AC309" t="s">
        <v>22</v>
      </c>
      <c r="AD309" t="s">
        <v>782</v>
      </c>
      <c r="AE309">
        <v>9.303448142952109E-5</v>
      </c>
      <c r="AG309" t="s">
        <v>97</v>
      </c>
      <c r="AH309" t="s">
        <v>782</v>
      </c>
      <c r="AI309">
        <v>0</v>
      </c>
    </row>
    <row r="310" spans="9:35" x14ac:dyDescent="0.45">
      <c r="I310" t="s">
        <v>249</v>
      </c>
      <c r="J310" t="s">
        <v>783</v>
      </c>
      <c r="K310">
        <v>2.056216752621E-4</v>
      </c>
      <c r="L310" t="s">
        <v>251</v>
      </c>
      <c r="N310" t="s">
        <v>419</v>
      </c>
      <c r="O310" t="s">
        <v>783</v>
      </c>
      <c r="P310">
        <v>2.9273645551638647E-5</v>
      </c>
      <c r="Q310" t="s">
        <v>251</v>
      </c>
      <c r="S310" t="s">
        <v>420</v>
      </c>
      <c r="T310" t="s">
        <v>783</v>
      </c>
      <c r="U310">
        <v>9.1377680401584876E-5</v>
      </c>
      <c r="V310" t="s">
        <v>251</v>
      </c>
      <c r="X310">
        <v>1.1415525114155251E-4</v>
      </c>
      <c r="Y310">
        <v>1.4054976837464471E-4</v>
      </c>
      <c r="Z310" t="s">
        <v>783</v>
      </c>
      <c r="AA310" t="s">
        <v>25</v>
      </c>
      <c r="AC310" t="s">
        <v>22</v>
      </c>
      <c r="AD310" t="s">
        <v>783</v>
      </c>
      <c r="AE310">
        <v>9.7060275931355763E-5</v>
      </c>
      <c r="AG310" t="s">
        <v>97</v>
      </c>
      <c r="AH310" t="s">
        <v>783</v>
      </c>
      <c r="AI310">
        <v>0</v>
      </c>
    </row>
    <row r="311" spans="9:35" x14ac:dyDescent="0.45">
      <c r="I311" t="s">
        <v>249</v>
      </c>
      <c r="J311" t="s">
        <v>784</v>
      </c>
      <c r="K311">
        <v>1.811879628025E-4</v>
      </c>
      <c r="L311" t="s">
        <v>251</v>
      </c>
      <c r="N311" t="s">
        <v>419</v>
      </c>
      <c r="O311" t="s">
        <v>784</v>
      </c>
      <c r="P311">
        <v>3.0032887727491621E-5</v>
      </c>
      <c r="Q311" t="s">
        <v>251</v>
      </c>
      <c r="S311" t="s">
        <v>420</v>
      </c>
      <c r="T311" t="s">
        <v>784</v>
      </c>
      <c r="U311">
        <v>9.5555566359300064E-5</v>
      </c>
      <c r="V311" t="s">
        <v>251</v>
      </c>
      <c r="X311">
        <v>1.1415525114155251E-4</v>
      </c>
      <c r="Y311">
        <v>1.4253868019126702E-4</v>
      </c>
      <c r="Z311" t="s">
        <v>784</v>
      </c>
      <c r="AA311" t="s">
        <v>25</v>
      </c>
      <c r="AC311" t="s">
        <v>22</v>
      </c>
      <c r="AD311" t="s">
        <v>784</v>
      </c>
      <c r="AE311">
        <v>9.9221772754010796E-5</v>
      </c>
      <c r="AG311" t="s">
        <v>97</v>
      </c>
      <c r="AH311" t="s">
        <v>784</v>
      </c>
      <c r="AI311">
        <v>0</v>
      </c>
    </row>
    <row r="312" spans="9:35" x14ac:dyDescent="0.45">
      <c r="I312" t="s">
        <v>249</v>
      </c>
      <c r="J312" t="s">
        <v>785</v>
      </c>
      <c r="K312">
        <v>1.958490159019E-4</v>
      </c>
      <c r="L312" t="s">
        <v>251</v>
      </c>
      <c r="N312" t="s">
        <v>419</v>
      </c>
      <c r="O312" t="s">
        <v>785</v>
      </c>
      <c r="P312">
        <v>3.3760431873443903E-5</v>
      </c>
      <c r="Q312" t="s">
        <v>251</v>
      </c>
      <c r="S312" t="s">
        <v>420</v>
      </c>
      <c r="T312" t="s">
        <v>785</v>
      </c>
      <c r="U312">
        <v>9.6258339283966074E-5</v>
      </c>
      <c r="V312" t="s">
        <v>251</v>
      </c>
      <c r="X312">
        <v>1.1415525114155251E-4</v>
      </c>
      <c r="Y312">
        <v>1.4883690094390442E-4</v>
      </c>
      <c r="Z312" t="s">
        <v>785</v>
      </c>
      <c r="AA312" t="s">
        <v>25</v>
      </c>
      <c r="AC312" t="s">
        <v>22</v>
      </c>
      <c r="AD312" t="s">
        <v>785</v>
      </c>
      <c r="AE312">
        <v>1.0232315519826714E-4</v>
      </c>
      <c r="AG312" t="s">
        <v>97</v>
      </c>
      <c r="AH312" t="s">
        <v>785</v>
      </c>
      <c r="AI312">
        <v>0</v>
      </c>
    </row>
    <row r="313" spans="9:35" x14ac:dyDescent="0.45">
      <c r="I313" t="s">
        <v>249</v>
      </c>
      <c r="J313" t="s">
        <v>786</v>
      </c>
      <c r="K313">
        <v>2.115366504202E-4</v>
      </c>
      <c r="L313" t="s">
        <v>251</v>
      </c>
      <c r="N313" t="s">
        <v>419</v>
      </c>
      <c r="O313" t="s">
        <v>786</v>
      </c>
      <c r="P313">
        <v>3.8526588487462425E-5</v>
      </c>
      <c r="Q313" t="s">
        <v>251</v>
      </c>
      <c r="S313" t="s">
        <v>420</v>
      </c>
      <c r="T313" t="s">
        <v>786</v>
      </c>
      <c r="U313">
        <v>1.107110078231E-4</v>
      </c>
      <c r="V313" t="s">
        <v>251</v>
      </c>
      <c r="X313">
        <v>1.1415525114155251E-4</v>
      </c>
      <c r="Y313">
        <v>1.5049432745775637E-4</v>
      </c>
      <c r="Z313" t="s">
        <v>786</v>
      </c>
      <c r="AA313" t="s">
        <v>25</v>
      </c>
      <c r="AC313" t="s">
        <v>22</v>
      </c>
      <c r="AD313" t="s">
        <v>786</v>
      </c>
      <c r="AE313">
        <v>1.0422613678750416E-4</v>
      </c>
      <c r="AG313" t="s">
        <v>97</v>
      </c>
      <c r="AH313" t="s">
        <v>786</v>
      </c>
      <c r="AI313">
        <v>0</v>
      </c>
    </row>
    <row r="314" spans="9:35" x14ac:dyDescent="0.45">
      <c r="I314" t="s">
        <v>249</v>
      </c>
      <c r="J314" t="s">
        <v>787</v>
      </c>
      <c r="K314">
        <v>1.9740269197319999E-4</v>
      </c>
      <c r="L314" t="s">
        <v>251</v>
      </c>
      <c r="N314" t="s">
        <v>419</v>
      </c>
      <c r="O314" t="s">
        <v>787</v>
      </c>
      <c r="P314">
        <v>4.5407221885476383E-5</v>
      </c>
      <c r="Q314" t="s">
        <v>251</v>
      </c>
      <c r="S314" t="s">
        <v>420</v>
      </c>
      <c r="T314" t="s">
        <v>787</v>
      </c>
      <c r="U314">
        <v>1.254988172657E-4</v>
      </c>
      <c r="V314" t="s">
        <v>251</v>
      </c>
      <c r="X314">
        <v>1.1415525114155251E-4</v>
      </c>
      <c r="Y314">
        <v>1.7237235744060203E-4</v>
      </c>
      <c r="Z314" t="s">
        <v>787</v>
      </c>
      <c r="AA314" t="s">
        <v>25</v>
      </c>
      <c r="AC314" t="s">
        <v>22</v>
      </c>
      <c r="AD314" t="s">
        <v>787</v>
      </c>
      <c r="AE314">
        <v>1.0819030381883361E-4</v>
      </c>
      <c r="AG314" t="s">
        <v>97</v>
      </c>
      <c r="AH314" t="s">
        <v>787</v>
      </c>
      <c r="AI314">
        <v>0</v>
      </c>
    </row>
    <row r="315" spans="9:35" x14ac:dyDescent="0.45">
      <c r="I315" t="s">
        <v>249</v>
      </c>
      <c r="J315" t="s">
        <v>788</v>
      </c>
      <c r="K315">
        <v>1.50711112727E-4</v>
      </c>
      <c r="L315" t="s">
        <v>251</v>
      </c>
      <c r="N315" t="s">
        <v>419</v>
      </c>
      <c r="O315" t="s">
        <v>788</v>
      </c>
      <c r="P315">
        <v>5.5477082835148088E-5</v>
      </c>
      <c r="Q315" t="s">
        <v>251</v>
      </c>
      <c r="S315" t="s">
        <v>420</v>
      </c>
      <c r="T315" t="s">
        <v>788</v>
      </c>
      <c r="U315">
        <v>1.4673166459949999E-4</v>
      </c>
      <c r="V315" t="s">
        <v>251</v>
      </c>
      <c r="X315">
        <v>1.1415525114155251E-4</v>
      </c>
      <c r="Y315">
        <v>2.2209515285616027E-4</v>
      </c>
      <c r="Z315" t="s">
        <v>788</v>
      </c>
      <c r="AA315" t="s">
        <v>25</v>
      </c>
      <c r="AC315" t="s">
        <v>22</v>
      </c>
      <c r="AD315" t="s">
        <v>788</v>
      </c>
      <c r="AE315">
        <v>1.1523984615922324E-4</v>
      </c>
      <c r="AG315" t="s">
        <v>97</v>
      </c>
      <c r="AH315" t="s">
        <v>788</v>
      </c>
      <c r="AI315">
        <v>0</v>
      </c>
    </row>
    <row r="316" spans="9:35" x14ac:dyDescent="0.45">
      <c r="I316" t="s">
        <v>249</v>
      </c>
      <c r="J316" t="s">
        <v>789</v>
      </c>
      <c r="K316">
        <v>4.381673705554688E-5</v>
      </c>
      <c r="L316" t="s">
        <v>251</v>
      </c>
      <c r="N316" t="s">
        <v>419</v>
      </c>
      <c r="O316" t="s">
        <v>789</v>
      </c>
      <c r="P316">
        <v>6.637163665047174E-5</v>
      </c>
      <c r="Q316" t="s">
        <v>251</v>
      </c>
      <c r="S316" t="s">
        <v>420</v>
      </c>
      <c r="T316" t="s">
        <v>789</v>
      </c>
      <c r="U316">
        <v>1.4967847296940001E-4</v>
      </c>
      <c r="V316" t="s">
        <v>251</v>
      </c>
      <c r="X316">
        <v>1.1415525114155251E-4</v>
      </c>
      <c r="Y316">
        <v>2.2209515285616027E-4</v>
      </c>
      <c r="Z316" t="s">
        <v>789</v>
      </c>
      <c r="AA316" t="s">
        <v>25</v>
      </c>
      <c r="AC316" t="s">
        <v>22</v>
      </c>
      <c r="AD316" t="s">
        <v>789</v>
      </c>
      <c r="AE316">
        <v>1.138696353864318E-4</v>
      </c>
      <c r="AG316" t="s">
        <v>97</v>
      </c>
      <c r="AH316" t="s">
        <v>789</v>
      </c>
      <c r="AI316">
        <v>0</v>
      </c>
    </row>
    <row r="317" spans="9:35" x14ac:dyDescent="0.45">
      <c r="I317" t="s">
        <v>249</v>
      </c>
      <c r="J317" t="s">
        <v>790</v>
      </c>
      <c r="K317">
        <v>0</v>
      </c>
      <c r="L317" t="s">
        <v>251</v>
      </c>
      <c r="N317" t="s">
        <v>419</v>
      </c>
      <c r="O317" t="s">
        <v>790</v>
      </c>
      <c r="P317">
        <v>7.5573537825915303E-5</v>
      </c>
      <c r="Q317" t="s">
        <v>251</v>
      </c>
      <c r="S317" t="s">
        <v>420</v>
      </c>
      <c r="T317" t="s">
        <v>790</v>
      </c>
      <c r="U317">
        <v>1.7222466319009999E-4</v>
      </c>
      <c r="V317" t="s">
        <v>251</v>
      </c>
      <c r="X317">
        <v>1.1415525114155251E-4</v>
      </c>
      <c r="Y317">
        <v>1.7237235744060203E-4</v>
      </c>
      <c r="Z317" t="s">
        <v>790</v>
      </c>
      <c r="AA317" t="s">
        <v>25</v>
      </c>
      <c r="AC317" t="s">
        <v>22</v>
      </c>
      <c r="AD317" t="s">
        <v>790</v>
      </c>
      <c r="AE317">
        <v>1.1337821633590962E-4</v>
      </c>
      <c r="AG317" t="s">
        <v>97</v>
      </c>
      <c r="AH317" t="s">
        <v>790</v>
      </c>
      <c r="AI317">
        <v>0</v>
      </c>
    </row>
    <row r="318" spans="9:35" x14ac:dyDescent="0.45">
      <c r="I318" t="s">
        <v>249</v>
      </c>
      <c r="J318" t="s">
        <v>791</v>
      </c>
      <c r="K318">
        <v>0</v>
      </c>
      <c r="L318" t="s">
        <v>251</v>
      </c>
      <c r="N318" t="s">
        <v>419</v>
      </c>
      <c r="O318" t="s">
        <v>791</v>
      </c>
      <c r="P318">
        <v>8.0773708085098131E-5</v>
      </c>
      <c r="Q318" t="s">
        <v>251</v>
      </c>
      <c r="S318" t="s">
        <v>420</v>
      </c>
      <c r="T318" t="s">
        <v>791</v>
      </c>
      <c r="U318">
        <v>1.9568604114979999E-4</v>
      </c>
      <c r="V318" t="s">
        <v>251</v>
      </c>
      <c r="X318">
        <v>1.1415525114155251E-4</v>
      </c>
      <c r="Y318">
        <v>1.5579809230208258E-4</v>
      </c>
      <c r="Z318" t="s">
        <v>791</v>
      </c>
      <c r="AA318" t="s">
        <v>25</v>
      </c>
      <c r="AC318" t="s">
        <v>22</v>
      </c>
      <c r="AD318" t="s">
        <v>791</v>
      </c>
      <c r="AE318">
        <v>1.1366981298206638E-4</v>
      </c>
      <c r="AG318" t="s">
        <v>97</v>
      </c>
      <c r="AH318" t="s">
        <v>791</v>
      </c>
      <c r="AI318">
        <v>0</v>
      </c>
    </row>
    <row r="319" spans="9:35" x14ac:dyDescent="0.45">
      <c r="I319" t="s">
        <v>249</v>
      </c>
      <c r="J319" t="s">
        <v>792</v>
      </c>
      <c r="K319">
        <v>0</v>
      </c>
      <c r="L319" t="s">
        <v>251</v>
      </c>
      <c r="N319" t="s">
        <v>419</v>
      </c>
      <c r="O319" t="s">
        <v>792</v>
      </c>
      <c r="P319">
        <v>8.0949829861657759E-5</v>
      </c>
      <c r="Q319" t="s">
        <v>251</v>
      </c>
      <c r="S319" t="s">
        <v>420</v>
      </c>
      <c r="T319" t="s">
        <v>792</v>
      </c>
      <c r="U319">
        <v>2.0403112695750001E-4</v>
      </c>
      <c r="V319" t="s">
        <v>251</v>
      </c>
      <c r="X319">
        <v>1.1415525114155251E-4</v>
      </c>
      <c r="Y319">
        <v>1.093901499142282E-4</v>
      </c>
      <c r="Z319" t="s">
        <v>792</v>
      </c>
      <c r="AA319" t="s">
        <v>25</v>
      </c>
      <c r="AC319" t="s">
        <v>22</v>
      </c>
      <c r="AD319" t="s">
        <v>792</v>
      </c>
      <c r="AE319">
        <v>1.1422072521840094E-4</v>
      </c>
      <c r="AG319" t="s">
        <v>97</v>
      </c>
      <c r="AH319" t="s">
        <v>792</v>
      </c>
      <c r="AI319">
        <v>0</v>
      </c>
    </row>
    <row r="320" spans="9:35" x14ac:dyDescent="0.45">
      <c r="I320" t="s">
        <v>249</v>
      </c>
      <c r="J320" t="s">
        <v>793</v>
      </c>
      <c r="K320">
        <v>0</v>
      </c>
      <c r="L320" t="s">
        <v>251</v>
      </c>
      <c r="N320" t="s">
        <v>419</v>
      </c>
      <c r="O320" t="s">
        <v>793</v>
      </c>
      <c r="P320">
        <v>8.0874245421703439E-5</v>
      </c>
      <c r="Q320" t="s">
        <v>251</v>
      </c>
      <c r="S320" t="s">
        <v>420</v>
      </c>
      <c r="T320" t="s">
        <v>793</v>
      </c>
      <c r="U320">
        <v>2.3124660544299999E-4</v>
      </c>
      <c r="V320" t="s">
        <v>251</v>
      </c>
      <c r="X320">
        <v>1.1415525114155251E-4</v>
      </c>
      <c r="Y320">
        <v>7.9556472664893237E-5</v>
      </c>
      <c r="Z320" t="s">
        <v>793</v>
      </c>
      <c r="AA320" t="s">
        <v>25</v>
      </c>
      <c r="AC320" t="s">
        <v>22</v>
      </c>
      <c r="AD320" t="s">
        <v>793</v>
      </c>
      <c r="AE320">
        <v>1.1555758779286706E-4</v>
      </c>
      <c r="AG320" t="s">
        <v>97</v>
      </c>
      <c r="AH320" t="s">
        <v>793</v>
      </c>
      <c r="AI320">
        <v>0</v>
      </c>
    </row>
    <row r="321" spans="9:35" x14ac:dyDescent="0.45">
      <c r="I321" t="s">
        <v>249</v>
      </c>
      <c r="J321" t="s">
        <v>794</v>
      </c>
      <c r="K321">
        <v>0</v>
      </c>
      <c r="L321" t="s">
        <v>251</v>
      </c>
      <c r="N321" t="s">
        <v>419</v>
      </c>
      <c r="O321" t="s">
        <v>794</v>
      </c>
      <c r="P321">
        <v>8.1890756220310957E-5</v>
      </c>
      <c r="Q321" t="s">
        <v>251</v>
      </c>
      <c r="S321" t="s">
        <v>420</v>
      </c>
      <c r="T321" t="s">
        <v>794</v>
      </c>
      <c r="U321">
        <v>2.451285700473E-4</v>
      </c>
      <c r="V321" t="s">
        <v>251</v>
      </c>
      <c r="X321">
        <v>1.1415525114155251E-4</v>
      </c>
      <c r="Y321">
        <v>5.6352501470966035E-5</v>
      </c>
      <c r="Z321" t="s">
        <v>794</v>
      </c>
      <c r="AA321" t="s">
        <v>25</v>
      </c>
      <c r="AC321" t="s">
        <v>22</v>
      </c>
      <c r="AD321" t="s">
        <v>794</v>
      </c>
      <c r="AE321">
        <v>1.1994941211952062E-4</v>
      </c>
      <c r="AG321" t="s">
        <v>97</v>
      </c>
      <c r="AH321" t="s">
        <v>794</v>
      </c>
      <c r="AI321">
        <v>0</v>
      </c>
    </row>
    <row r="322" spans="9:35" x14ac:dyDescent="0.45">
      <c r="I322" t="s">
        <v>249</v>
      </c>
      <c r="J322" t="s">
        <v>795</v>
      </c>
      <c r="K322">
        <v>0</v>
      </c>
      <c r="L322" t="s">
        <v>251</v>
      </c>
      <c r="N322" t="s">
        <v>419</v>
      </c>
      <c r="O322" t="s">
        <v>795</v>
      </c>
      <c r="P322">
        <v>8.5770437534772384E-5</v>
      </c>
      <c r="Q322" t="s">
        <v>251</v>
      </c>
      <c r="S322" t="s">
        <v>420</v>
      </c>
      <c r="T322" t="s">
        <v>795</v>
      </c>
      <c r="U322">
        <v>2.4824465379909999E-4</v>
      </c>
      <c r="V322" t="s">
        <v>251</v>
      </c>
      <c r="X322">
        <v>1.1415525114155251E-4</v>
      </c>
      <c r="Y322">
        <v>2.9833677249334962E-5</v>
      </c>
      <c r="Z322" t="s">
        <v>795</v>
      </c>
      <c r="AA322" t="s">
        <v>25</v>
      </c>
      <c r="AC322" t="s">
        <v>22</v>
      </c>
      <c r="AD322" t="s">
        <v>795</v>
      </c>
      <c r="AE322">
        <v>1.2629277301217292E-4</v>
      </c>
      <c r="AG322" t="s">
        <v>97</v>
      </c>
      <c r="AH322" t="s">
        <v>795</v>
      </c>
      <c r="AI322">
        <v>0</v>
      </c>
    </row>
    <row r="323" spans="9:35" x14ac:dyDescent="0.45">
      <c r="AC323" t="s">
        <v>19</v>
      </c>
      <c r="AD323" t="s">
        <v>250</v>
      </c>
      <c r="AE323">
        <v>2.1374482737781916E-2</v>
      </c>
    </row>
    <row r="324" spans="9:35" x14ac:dyDescent="0.45">
      <c r="AC324" t="s">
        <v>19</v>
      </c>
      <c r="AD324" t="s">
        <v>252</v>
      </c>
      <c r="AE324">
        <v>3.485168226884158E-3</v>
      </c>
    </row>
    <row r="325" spans="9:35" x14ac:dyDescent="0.45">
      <c r="AC325" t="s">
        <v>19</v>
      </c>
      <c r="AD325" t="s">
        <v>253</v>
      </c>
      <c r="AE325">
        <v>3.4724734662795196E-3</v>
      </c>
    </row>
    <row r="326" spans="9:35" x14ac:dyDescent="0.45">
      <c r="AC326" t="s">
        <v>19</v>
      </c>
      <c r="AD326" t="s">
        <v>254</v>
      </c>
      <c r="AE326">
        <v>2.4571821931557183E-2</v>
      </c>
    </row>
    <row r="327" spans="9:35" x14ac:dyDescent="0.45">
      <c r="AC327" t="s">
        <v>19</v>
      </c>
      <c r="AD327" t="s">
        <v>255</v>
      </c>
      <c r="AE327">
        <v>3.5616006831969537E-3</v>
      </c>
    </row>
    <row r="328" spans="9:35" x14ac:dyDescent="0.45">
      <c r="AC328" t="s">
        <v>19</v>
      </c>
      <c r="AD328" t="s">
        <v>256</v>
      </c>
      <c r="AE328">
        <v>3.5590811445633131E-3</v>
      </c>
    </row>
    <row r="329" spans="9:35" x14ac:dyDescent="0.45">
      <c r="AC329" t="s">
        <v>19</v>
      </c>
      <c r="AD329" t="s">
        <v>257</v>
      </c>
      <c r="AE329">
        <v>3.5638648660911904E-3</v>
      </c>
    </row>
    <row r="330" spans="9:35" x14ac:dyDescent="0.45">
      <c r="AC330" t="s">
        <v>19</v>
      </c>
      <c r="AD330" t="s">
        <v>258</v>
      </c>
      <c r="AE330">
        <v>2.1434813181539874E-2</v>
      </c>
    </row>
    <row r="331" spans="9:35" x14ac:dyDescent="0.45">
      <c r="AC331" t="s">
        <v>19</v>
      </c>
      <c r="AD331" t="s">
        <v>259</v>
      </c>
      <c r="AE331">
        <v>1.8617776195592087E-2</v>
      </c>
    </row>
    <row r="332" spans="9:35" x14ac:dyDescent="0.45">
      <c r="AC332" t="s">
        <v>19</v>
      </c>
      <c r="AD332" t="s">
        <v>260</v>
      </c>
      <c r="AE332">
        <v>3.0370557986622517E-3</v>
      </c>
    </row>
    <row r="333" spans="9:35" x14ac:dyDescent="0.45">
      <c r="AC333" t="s">
        <v>19</v>
      </c>
      <c r="AD333" t="s">
        <v>261</v>
      </c>
      <c r="AE333">
        <v>3.0284951345844469E-3</v>
      </c>
    </row>
    <row r="334" spans="9:35" x14ac:dyDescent="0.45">
      <c r="AC334" t="s">
        <v>19</v>
      </c>
      <c r="AD334" t="s">
        <v>262</v>
      </c>
      <c r="AE334">
        <v>2.140143297868256E-2</v>
      </c>
    </row>
    <row r="335" spans="9:35" x14ac:dyDescent="0.45">
      <c r="AC335" t="s">
        <v>19</v>
      </c>
      <c r="AD335" t="s">
        <v>263</v>
      </c>
      <c r="AE335">
        <v>3.0958829013593755E-3</v>
      </c>
    </row>
    <row r="336" spans="9:35" x14ac:dyDescent="0.45">
      <c r="AC336" t="s">
        <v>19</v>
      </c>
      <c r="AD336" t="s">
        <v>264</v>
      </c>
      <c r="AE336">
        <v>3.0978856859910269E-3</v>
      </c>
    </row>
    <row r="337" spans="29:31" x14ac:dyDescent="0.45">
      <c r="AC337" t="s">
        <v>19</v>
      </c>
      <c r="AD337" t="s">
        <v>265</v>
      </c>
      <c r="AE337">
        <v>3.1022704934707624E-3</v>
      </c>
    </row>
    <row r="338" spans="29:31" x14ac:dyDescent="0.45">
      <c r="AC338" t="s">
        <v>19</v>
      </c>
      <c r="AD338" t="s">
        <v>266</v>
      </c>
      <c r="AE338">
        <v>1.8660306656277759E-2</v>
      </c>
    </row>
    <row r="339" spans="29:31" x14ac:dyDescent="0.45">
      <c r="AC339" t="s">
        <v>19</v>
      </c>
      <c r="AD339" t="s">
        <v>580</v>
      </c>
      <c r="AE339">
        <v>1.1597857552293395E-4</v>
      </c>
    </row>
    <row r="340" spans="29:31" x14ac:dyDescent="0.45">
      <c r="AC340" t="s">
        <v>19</v>
      </c>
      <c r="AD340" t="s">
        <v>581</v>
      </c>
      <c r="AE340">
        <v>1.1592068772078866E-4</v>
      </c>
    </row>
    <row r="341" spans="29:31" x14ac:dyDescent="0.45">
      <c r="AC341" t="s">
        <v>19</v>
      </c>
      <c r="AD341" t="s">
        <v>582</v>
      </c>
      <c r="AE341">
        <v>1.1561826051076954E-4</v>
      </c>
    </row>
    <row r="342" spans="29:31" x14ac:dyDescent="0.45">
      <c r="AC342" t="s">
        <v>19</v>
      </c>
      <c r="AD342" t="s">
        <v>583</v>
      </c>
      <c r="AE342">
        <v>1.1490319992951483E-4</v>
      </c>
    </row>
    <row r="343" spans="29:31" x14ac:dyDescent="0.45">
      <c r="AC343" t="s">
        <v>19</v>
      </c>
      <c r="AD343" t="s">
        <v>584</v>
      </c>
      <c r="AE343">
        <v>1.1388657228388951E-4</v>
      </c>
    </row>
    <row r="344" spans="29:31" x14ac:dyDescent="0.45">
      <c r="AC344" t="s">
        <v>19</v>
      </c>
      <c r="AD344" t="s">
        <v>585</v>
      </c>
      <c r="AE344">
        <v>1.1314379350911129E-4</v>
      </c>
    </row>
    <row r="345" spans="29:31" x14ac:dyDescent="0.45">
      <c r="AC345" t="s">
        <v>19</v>
      </c>
      <c r="AD345" t="s">
        <v>586</v>
      </c>
      <c r="AE345">
        <v>1.1219789133943542E-4</v>
      </c>
    </row>
    <row r="346" spans="29:31" x14ac:dyDescent="0.45">
      <c r="AC346" t="s">
        <v>19</v>
      </c>
      <c r="AD346" t="s">
        <v>587</v>
      </c>
      <c r="AE346">
        <v>1.1185652103517961E-4</v>
      </c>
    </row>
    <row r="347" spans="29:31" x14ac:dyDescent="0.45">
      <c r="AC347" t="s">
        <v>19</v>
      </c>
      <c r="AD347" t="s">
        <v>588</v>
      </c>
      <c r="AE347">
        <v>1.1149917352550257E-4</v>
      </c>
    </row>
    <row r="348" spans="29:31" x14ac:dyDescent="0.45">
      <c r="AC348" t="s">
        <v>19</v>
      </c>
      <c r="AD348" t="s">
        <v>589</v>
      </c>
      <c r="AE348">
        <v>1.1152267700534834E-4</v>
      </c>
    </row>
    <row r="349" spans="29:31" x14ac:dyDescent="0.45">
      <c r="AC349" t="s">
        <v>19</v>
      </c>
      <c r="AD349" t="s">
        <v>590</v>
      </c>
      <c r="AE349">
        <v>1.1177777470105774E-4</v>
      </c>
    </row>
    <row r="350" spans="29:31" x14ac:dyDescent="0.45">
      <c r="AC350" t="s">
        <v>19</v>
      </c>
      <c r="AD350" t="s">
        <v>591</v>
      </c>
      <c r="AE350">
        <v>1.1274851357633459E-4</v>
      </c>
    </row>
    <row r="351" spans="29:31" x14ac:dyDescent="0.45">
      <c r="AC351" t="s">
        <v>19</v>
      </c>
      <c r="AD351" t="s">
        <v>592</v>
      </c>
      <c r="AE351">
        <v>1.1427544413158475E-4</v>
      </c>
    </row>
    <row r="352" spans="29:31" x14ac:dyDescent="0.45">
      <c r="AC352" t="s">
        <v>19</v>
      </c>
      <c r="AD352" t="s">
        <v>593</v>
      </c>
      <c r="AE352">
        <v>1.1538971981195814E-4</v>
      </c>
    </row>
    <row r="353" spans="29:31" x14ac:dyDescent="0.45">
      <c r="AC353" t="s">
        <v>19</v>
      </c>
      <c r="AD353" t="s">
        <v>594</v>
      </c>
      <c r="AE353">
        <v>1.1595373881733299E-4</v>
      </c>
    </row>
    <row r="354" spans="29:31" x14ac:dyDescent="0.45">
      <c r="AC354" t="s">
        <v>19</v>
      </c>
      <c r="AD354" t="s">
        <v>595</v>
      </c>
      <c r="AE354">
        <v>1.1530837153724949E-4</v>
      </c>
    </row>
    <row r="355" spans="29:31" x14ac:dyDescent="0.45">
      <c r="AC355" t="s">
        <v>19</v>
      </c>
      <c r="AD355" t="s">
        <v>596</v>
      </c>
      <c r="AE355">
        <v>1.152504837351042E-4</v>
      </c>
    </row>
    <row r="356" spans="29:31" x14ac:dyDescent="0.45">
      <c r="AC356" t="s">
        <v>19</v>
      </c>
      <c r="AD356" t="s">
        <v>597</v>
      </c>
      <c r="AE356">
        <v>1.1534174518841201E-4</v>
      </c>
    </row>
    <row r="357" spans="29:31" x14ac:dyDescent="0.45">
      <c r="AC357" t="s">
        <v>19</v>
      </c>
      <c r="AD357" t="s">
        <v>598</v>
      </c>
      <c r="AE357">
        <v>1.15265407262106E-4</v>
      </c>
    </row>
    <row r="358" spans="29:31" x14ac:dyDescent="0.45">
      <c r="AC358" t="s">
        <v>19</v>
      </c>
      <c r="AD358" t="s">
        <v>599</v>
      </c>
      <c r="AE358">
        <v>1.1527736328662041E-4</v>
      </c>
    </row>
    <row r="359" spans="29:31" x14ac:dyDescent="0.45">
      <c r="AC359" t="s">
        <v>19</v>
      </c>
      <c r="AD359" t="s">
        <v>600</v>
      </c>
      <c r="AE359">
        <v>1.1529740468023089E-4</v>
      </c>
    </row>
    <row r="360" spans="29:31" x14ac:dyDescent="0.45">
      <c r="AC360" t="s">
        <v>19</v>
      </c>
      <c r="AD360" t="s">
        <v>601</v>
      </c>
      <c r="AE360">
        <v>1.1539862231942032E-4</v>
      </c>
    </row>
    <row r="361" spans="29:31" x14ac:dyDescent="0.45">
      <c r="AC361" t="s">
        <v>19</v>
      </c>
      <c r="AD361" t="s">
        <v>602</v>
      </c>
      <c r="AE361">
        <v>1.1568481428032364E-4</v>
      </c>
    </row>
    <row r="362" spans="29:31" x14ac:dyDescent="0.45">
      <c r="AC362" t="s">
        <v>19</v>
      </c>
      <c r="AD362" t="s">
        <v>603</v>
      </c>
      <c r="AE362">
        <v>1.1592090275720078E-4</v>
      </c>
    </row>
    <row r="363" spans="29:31" x14ac:dyDescent="0.45">
      <c r="AC363" t="s">
        <v>19</v>
      </c>
      <c r="AD363" t="s">
        <v>267</v>
      </c>
      <c r="AE363">
        <v>2.0595676398313327E-2</v>
      </c>
    </row>
    <row r="364" spans="29:31" x14ac:dyDescent="0.45">
      <c r="AC364" t="s">
        <v>19</v>
      </c>
      <c r="AD364" t="s">
        <v>268</v>
      </c>
      <c r="AE364">
        <v>3.3652709088067439E-3</v>
      </c>
    </row>
    <row r="365" spans="29:31" x14ac:dyDescent="0.45">
      <c r="AC365" t="s">
        <v>19</v>
      </c>
      <c r="AD365" t="s">
        <v>269</v>
      </c>
      <c r="AE365">
        <v>3.3594143061078286E-3</v>
      </c>
    </row>
    <row r="366" spans="29:31" x14ac:dyDescent="0.45">
      <c r="AC366" t="s">
        <v>19</v>
      </c>
      <c r="AD366" t="s">
        <v>270</v>
      </c>
      <c r="AE366">
        <v>2.3838217919844945E-2</v>
      </c>
    </row>
    <row r="367" spans="29:31" x14ac:dyDescent="0.45">
      <c r="AC367" t="s">
        <v>19</v>
      </c>
      <c r="AD367" t="s">
        <v>271</v>
      </c>
      <c r="AE367">
        <v>3.4407220679564276E-3</v>
      </c>
    </row>
    <row r="368" spans="29:31" x14ac:dyDescent="0.45">
      <c r="AC368" t="s">
        <v>19</v>
      </c>
      <c r="AD368" t="s">
        <v>272</v>
      </c>
      <c r="AE368">
        <v>3.4459749129210067E-3</v>
      </c>
    </row>
    <row r="369" spans="29:31" x14ac:dyDescent="0.45">
      <c r="AC369" t="s">
        <v>19</v>
      </c>
      <c r="AD369" t="s">
        <v>273</v>
      </c>
      <c r="AE369">
        <v>3.4474971986897546E-3</v>
      </c>
    </row>
    <row r="370" spans="29:31" x14ac:dyDescent="0.45">
      <c r="AC370" t="s">
        <v>19</v>
      </c>
      <c r="AD370" t="s">
        <v>274</v>
      </c>
      <c r="AE370">
        <v>2.0706041363920125E-2</v>
      </c>
    </row>
    <row r="371" spans="29:31" x14ac:dyDescent="0.45">
      <c r="AC371" t="s">
        <v>19</v>
      </c>
      <c r="AD371" t="s">
        <v>604</v>
      </c>
      <c r="AE371">
        <v>1.1669093620931368E-4</v>
      </c>
    </row>
    <row r="372" spans="29:31" x14ac:dyDescent="0.45">
      <c r="AC372" t="s">
        <v>19</v>
      </c>
      <c r="AD372" t="s">
        <v>605</v>
      </c>
      <c r="AE372">
        <v>1.1674592101989523E-4</v>
      </c>
    </row>
    <row r="373" spans="29:31" x14ac:dyDescent="0.45">
      <c r="AC373" t="s">
        <v>19</v>
      </c>
      <c r="AD373" t="s">
        <v>606</v>
      </c>
      <c r="AE373">
        <v>1.1649587667987087E-4</v>
      </c>
    </row>
    <row r="374" spans="29:31" x14ac:dyDescent="0.45">
      <c r="AC374" t="s">
        <v>19</v>
      </c>
      <c r="AD374" t="s">
        <v>607</v>
      </c>
      <c r="AE374">
        <v>1.1574892619869734E-4</v>
      </c>
    </row>
    <row r="375" spans="29:31" x14ac:dyDescent="0.45">
      <c r="AC375" t="s">
        <v>19</v>
      </c>
      <c r="AD375" t="s">
        <v>608</v>
      </c>
      <c r="AE375">
        <v>1.1467380864897277E-4</v>
      </c>
    </row>
    <row r="376" spans="29:31" x14ac:dyDescent="0.45">
      <c r="AC376" t="s">
        <v>19</v>
      </c>
      <c r="AD376" t="s">
        <v>609</v>
      </c>
      <c r="AE376">
        <v>1.1402635551569162E-4</v>
      </c>
    </row>
    <row r="377" spans="29:31" x14ac:dyDescent="0.45">
      <c r="AC377" t="s">
        <v>19</v>
      </c>
      <c r="AD377" t="s">
        <v>610</v>
      </c>
      <c r="AE377">
        <v>1.125295300581396E-4</v>
      </c>
    </row>
    <row r="378" spans="29:31" x14ac:dyDescent="0.45">
      <c r="AC378" t="s">
        <v>19</v>
      </c>
      <c r="AD378" t="s">
        <v>611</v>
      </c>
      <c r="AE378">
        <v>1.1218274083629813E-4</v>
      </c>
    </row>
    <row r="379" spans="29:31" x14ac:dyDescent="0.45">
      <c r="AC379" t="s">
        <v>19</v>
      </c>
      <c r="AD379" t="s">
        <v>612</v>
      </c>
      <c r="AE379">
        <v>1.1204023620597982E-4</v>
      </c>
    </row>
    <row r="380" spans="29:31" x14ac:dyDescent="0.45">
      <c r="AC380" t="s">
        <v>19</v>
      </c>
      <c r="AD380" t="s">
        <v>613</v>
      </c>
      <c r="AE380">
        <v>1.1204199950455928E-4</v>
      </c>
    </row>
    <row r="381" spans="29:31" x14ac:dyDescent="0.45">
      <c r="AC381" t="s">
        <v>19</v>
      </c>
      <c r="AD381" t="s">
        <v>614</v>
      </c>
      <c r="AE381">
        <v>1.1219071868718814E-4</v>
      </c>
    </row>
    <row r="382" spans="29:31" x14ac:dyDescent="0.45">
      <c r="AC382" t="s">
        <v>19</v>
      </c>
      <c r="AD382" t="s">
        <v>615</v>
      </c>
      <c r="AE382">
        <v>1.1319160566744557E-4</v>
      </c>
    </row>
    <row r="383" spans="29:31" x14ac:dyDescent="0.45">
      <c r="AC383" t="s">
        <v>19</v>
      </c>
      <c r="AD383" t="s">
        <v>616</v>
      </c>
      <c r="AE383">
        <v>1.1489800561225913E-4</v>
      </c>
    </row>
    <row r="384" spans="29:31" x14ac:dyDescent="0.45">
      <c r="AC384" t="s">
        <v>19</v>
      </c>
      <c r="AD384" t="s">
        <v>617</v>
      </c>
      <c r="AE384">
        <v>1.1588018442466127E-4</v>
      </c>
    </row>
    <row r="385" spans="29:31" x14ac:dyDescent="0.45">
      <c r="AC385" t="s">
        <v>19</v>
      </c>
      <c r="AD385" t="s">
        <v>618</v>
      </c>
      <c r="AE385">
        <v>1.1616355940856573E-4</v>
      </c>
    </row>
    <row r="386" spans="29:31" x14ac:dyDescent="0.45">
      <c r="AC386" t="s">
        <v>19</v>
      </c>
      <c r="AD386" t="s">
        <v>619</v>
      </c>
      <c r="AE386">
        <v>1.1558640167840976E-4</v>
      </c>
    </row>
    <row r="387" spans="29:31" x14ac:dyDescent="0.45">
      <c r="AC387" t="s">
        <v>19</v>
      </c>
      <c r="AD387" t="s">
        <v>620</v>
      </c>
      <c r="AE387">
        <v>1.152786415653698E-4</v>
      </c>
    </row>
    <row r="388" spans="29:31" x14ac:dyDescent="0.45">
      <c r="AC388" t="s">
        <v>19</v>
      </c>
      <c r="AD388" t="s">
        <v>621</v>
      </c>
      <c r="AE388">
        <v>1.1559308931082699E-4</v>
      </c>
    </row>
    <row r="389" spans="29:31" x14ac:dyDescent="0.45">
      <c r="AC389" t="s">
        <v>19</v>
      </c>
      <c r="AD389" t="s">
        <v>622</v>
      </c>
      <c r="AE389">
        <v>1.1549649495449836E-4</v>
      </c>
    </row>
    <row r="390" spans="29:31" x14ac:dyDescent="0.45">
      <c r="AC390" t="s">
        <v>19</v>
      </c>
      <c r="AD390" t="s">
        <v>623</v>
      </c>
      <c r="AE390">
        <v>1.1551991241977927E-4</v>
      </c>
    </row>
    <row r="391" spans="29:31" x14ac:dyDescent="0.45">
      <c r="AC391" t="s">
        <v>19</v>
      </c>
      <c r="AD391" t="s">
        <v>624</v>
      </c>
      <c r="AE391">
        <v>1.1549189317527878E-4</v>
      </c>
    </row>
    <row r="392" spans="29:31" x14ac:dyDescent="0.45">
      <c r="AC392" t="s">
        <v>19</v>
      </c>
      <c r="AD392" t="s">
        <v>625</v>
      </c>
      <c r="AE392">
        <v>1.1549189317527878E-4</v>
      </c>
    </row>
    <row r="393" spans="29:31" x14ac:dyDescent="0.45">
      <c r="AC393" t="s">
        <v>19</v>
      </c>
      <c r="AD393" t="s">
        <v>626</v>
      </c>
      <c r="AE393">
        <v>1.1559149804137723E-4</v>
      </c>
    </row>
    <row r="394" spans="29:31" x14ac:dyDescent="0.45">
      <c r="AC394" t="s">
        <v>19</v>
      </c>
      <c r="AD394" t="s">
        <v>627</v>
      </c>
      <c r="AE394">
        <v>1.158941617914497E-4</v>
      </c>
    </row>
    <row r="395" spans="29:31" x14ac:dyDescent="0.45">
      <c r="AC395" t="s">
        <v>19</v>
      </c>
      <c r="AD395" t="s">
        <v>299</v>
      </c>
      <c r="AE395">
        <v>1.9177227395419334E-2</v>
      </c>
    </row>
    <row r="396" spans="29:31" x14ac:dyDescent="0.45">
      <c r="AC396" t="s">
        <v>19</v>
      </c>
      <c r="AD396" t="s">
        <v>300</v>
      </c>
      <c r="AE396">
        <v>3.1461120630697941E-3</v>
      </c>
    </row>
    <row r="397" spans="29:31" x14ac:dyDescent="0.45">
      <c r="AC397" t="s">
        <v>19</v>
      </c>
      <c r="AD397" t="s">
        <v>301</v>
      </c>
      <c r="AE397">
        <v>3.1410721256568646E-3</v>
      </c>
    </row>
    <row r="398" spans="29:31" x14ac:dyDescent="0.45">
      <c r="AC398" t="s">
        <v>19</v>
      </c>
      <c r="AD398" t="s">
        <v>302</v>
      </c>
      <c r="AE398">
        <v>2.2305187396299258E-2</v>
      </c>
    </row>
    <row r="399" spans="29:31" x14ac:dyDescent="0.45">
      <c r="AC399" t="s">
        <v>19</v>
      </c>
      <c r="AD399" t="s">
        <v>303</v>
      </c>
      <c r="AE399">
        <v>3.2111588144404322E-3</v>
      </c>
    </row>
    <row r="400" spans="29:31" x14ac:dyDescent="0.45">
      <c r="AC400" t="s">
        <v>19</v>
      </c>
      <c r="AD400" t="s">
        <v>304</v>
      </c>
      <c r="AE400">
        <v>3.215919871130471E-3</v>
      </c>
    </row>
    <row r="401" spans="29:31" x14ac:dyDescent="0.45">
      <c r="AC401" t="s">
        <v>19</v>
      </c>
      <c r="AD401" t="s">
        <v>305</v>
      </c>
      <c r="AE401">
        <v>3.2122529412089889E-3</v>
      </c>
    </row>
    <row r="402" spans="29:31" x14ac:dyDescent="0.45">
      <c r="AC402" t="s">
        <v>19</v>
      </c>
      <c r="AD402" t="s">
        <v>306</v>
      </c>
      <c r="AE402">
        <v>1.92894986803233E-2</v>
      </c>
    </row>
    <row r="403" spans="29:31" x14ac:dyDescent="0.45">
      <c r="AC403" t="s">
        <v>19</v>
      </c>
      <c r="AD403" t="s">
        <v>628</v>
      </c>
      <c r="AE403">
        <v>1.1466096184132362E-4</v>
      </c>
    </row>
    <row r="404" spans="29:31" x14ac:dyDescent="0.45">
      <c r="AC404" t="s">
        <v>19</v>
      </c>
      <c r="AD404" t="s">
        <v>629</v>
      </c>
      <c r="AE404">
        <v>1.1452209132637029E-4</v>
      </c>
    </row>
    <row r="405" spans="29:31" x14ac:dyDescent="0.45">
      <c r="AC405" t="s">
        <v>19</v>
      </c>
      <c r="AD405" t="s">
        <v>630</v>
      </c>
      <c r="AE405">
        <v>1.141956660527575E-4</v>
      </c>
    </row>
    <row r="406" spans="29:31" x14ac:dyDescent="0.45">
      <c r="AC406" t="s">
        <v>19</v>
      </c>
      <c r="AD406" t="s">
        <v>631</v>
      </c>
      <c r="AE406">
        <v>1.1367205238922182E-4</v>
      </c>
    </row>
    <row r="407" spans="29:31" x14ac:dyDescent="0.45">
      <c r="AC407" t="s">
        <v>19</v>
      </c>
      <c r="AD407" t="s">
        <v>632</v>
      </c>
      <c r="AE407">
        <v>1.1316060978661268E-4</v>
      </c>
    </row>
    <row r="408" spans="29:31" x14ac:dyDescent="0.45">
      <c r="AC408" t="s">
        <v>19</v>
      </c>
      <c r="AD408" t="s">
        <v>633</v>
      </c>
      <c r="AE408">
        <v>1.125890860104545E-4</v>
      </c>
    </row>
    <row r="409" spans="29:31" x14ac:dyDescent="0.45">
      <c r="AC409" t="s">
        <v>19</v>
      </c>
      <c r="AD409" t="s">
        <v>634</v>
      </c>
      <c r="AE409">
        <v>1.1229885136500313E-4</v>
      </c>
    </row>
    <row r="410" spans="29:31" x14ac:dyDescent="0.45">
      <c r="AC410" t="s">
        <v>19</v>
      </c>
      <c r="AD410" t="s">
        <v>635</v>
      </c>
      <c r="AE410">
        <v>1.1204411923119435E-4</v>
      </c>
    </row>
    <row r="411" spans="29:31" x14ac:dyDescent="0.45">
      <c r="AC411" t="s">
        <v>19</v>
      </c>
      <c r="AD411" t="s">
        <v>636</v>
      </c>
      <c r="AE411">
        <v>1.1201885245276911E-4</v>
      </c>
    </row>
    <row r="412" spans="29:31" x14ac:dyDescent="0.45">
      <c r="AC412" t="s">
        <v>19</v>
      </c>
      <c r="AD412" t="s">
        <v>637</v>
      </c>
      <c r="AE412">
        <v>1.1204302254549248E-4</v>
      </c>
    </row>
    <row r="413" spans="29:31" x14ac:dyDescent="0.45">
      <c r="AC413" t="s">
        <v>19</v>
      </c>
      <c r="AD413" t="s">
        <v>638</v>
      </c>
      <c r="AE413">
        <v>1.1235340610276043E-4</v>
      </c>
    </row>
    <row r="414" spans="29:31" x14ac:dyDescent="0.45">
      <c r="AC414" t="s">
        <v>19</v>
      </c>
      <c r="AD414" t="s">
        <v>639</v>
      </c>
      <c r="AE414">
        <v>1.1265237122654426E-4</v>
      </c>
    </row>
    <row r="415" spans="29:31" x14ac:dyDescent="0.45">
      <c r="AC415" t="s">
        <v>19</v>
      </c>
      <c r="AD415" t="s">
        <v>640</v>
      </c>
      <c r="AE415">
        <v>1.1298109738976685E-4</v>
      </c>
    </row>
    <row r="416" spans="29:31" x14ac:dyDescent="0.45">
      <c r="AC416" t="s">
        <v>19</v>
      </c>
      <c r="AD416" t="s">
        <v>641</v>
      </c>
      <c r="AE416">
        <v>1.1341482583303234E-4</v>
      </c>
    </row>
    <row r="417" spans="29:31" x14ac:dyDescent="0.45">
      <c r="AC417" t="s">
        <v>19</v>
      </c>
      <c r="AD417" t="s">
        <v>642</v>
      </c>
      <c r="AE417">
        <v>1.1376318482068235E-4</v>
      </c>
    </row>
    <row r="418" spans="29:31" x14ac:dyDescent="0.45">
      <c r="AC418" t="s">
        <v>19</v>
      </c>
      <c r="AD418" t="s">
        <v>643</v>
      </c>
      <c r="AE418">
        <v>1.13544643315035E-4</v>
      </c>
    </row>
    <row r="419" spans="29:31" x14ac:dyDescent="0.45">
      <c r="AC419" t="s">
        <v>19</v>
      </c>
      <c r="AD419" t="s">
        <v>644</v>
      </c>
      <c r="AE419">
        <v>1.13700544713829E-4</v>
      </c>
    </row>
    <row r="420" spans="29:31" x14ac:dyDescent="0.45">
      <c r="AC420" t="s">
        <v>19</v>
      </c>
      <c r="AD420" t="s">
        <v>645</v>
      </c>
      <c r="AE420">
        <v>1.1358070492134914E-4</v>
      </c>
    </row>
    <row r="421" spans="29:31" x14ac:dyDescent="0.45">
      <c r="AC421" t="s">
        <v>19</v>
      </c>
      <c r="AD421" t="s">
        <v>646</v>
      </c>
      <c r="AE421">
        <v>1.1344460837611228E-4</v>
      </c>
    </row>
    <row r="422" spans="29:31" x14ac:dyDescent="0.45">
      <c r="AC422" t="s">
        <v>19</v>
      </c>
      <c r="AD422" t="s">
        <v>647</v>
      </c>
      <c r="AE422">
        <v>1.1350522714069164E-4</v>
      </c>
    </row>
    <row r="423" spans="29:31" x14ac:dyDescent="0.45">
      <c r="AC423" t="s">
        <v>19</v>
      </c>
      <c r="AD423" t="s">
        <v>648</v>
      </c>
      <c r="AE423">
        <v>1.1360881018041448E-4</v>
      </c>
    </row>
    <row r="424" spans="29:31" x14ac:dyDescent="0.45">
      <c r="AC424" t="s">
        <v>19</v>
      </c>
      <c r="AD424" t="s">
        <v>649</v>
      </c>
      <c r="AE424">
        <v>1.138627896867808E-4</v>
      </c>
    </row>
    <row r="425" spans="29:31" x14ac:dyDescent="0.45">
      <c r="AC425" t="s">
        <v>19</v>
      </c>
      <c r="AD425" t="s">
        <v>650</v>
      </c>
      <c r="AE425">
        <v>1.1410980201339412E-4</v>
      </c>
    </row>
    <row r="426" spans="29:31" x14ac:dyDescent="0.45">
      <c r="AC426" t="s">
        <v>19</v>
      </c>
      <c r="AD426" t="s">
        <v>651</v>
      </c>
      <c r="AE426">
        <v>1.140993082364822E-4</v>
      </c>
    </row>
    <row r="427" spans="29:31" x14ac:dyDescent="0.45">
      <c r="AC427" t="s">
        <v>19</v>
      </c>
      <c r="AD427" t="s">
        <v>652</v>
      </c>
      <c r="AE427">
        <v>1.1520487494216434E-4</v>
      </c>
    </row>
    <row r="428" spans="29:31" x14ac:dyDescent="0.45">
      <c r="AC428" t="s">
        <v>19</v>
      </c>
      <c r="AD428" t="s">
        <v>653</v>
      </c>
      <c r="AE428">
        <v>1.1493979955693212E-4</v>
      </c>
    </row>
    <row r="429" spans="29:31" x14ac:dyDescent="0.45">
      <c r="AC429" t="s">
        <v>19</v>
      </c>
      <c r="AD429" t="s">
        <v>654</v>
      </c>
      <c r="AE429">
        <v>1.1467076750171672E-4</v>
      </c>
    </row>
    <row r="430" spans="29:31" x14ac:dyDescent="0.45">
      <c r="AC430" t="s">
        <v>19</v>
      </c>
      <c r="AD430" t="s">
        <v>655</v>
      </c>
      <c r="AE430">
        <v>1.1396639423014487E-4</v>
      </c>
    </row>
    <row r="431" spans="29:31" x14ac:dyDescent="0.45">
      <c r="AC431" t="s">
        <v>19</v>
      </c>
      <c r="AD431" t="s">
        <v>656</v>
      </c>
      <c r="AE431">
        <v>1.1341813739377912E-4</v>
      </c>
    </row>
    <row r="432" spans="29:31" x14ac:dyDescent="0.45">
      <c r="AC432" t="s">
        <v>19</v>
      </c>
      <c r="AD432" t="s">
        <v>657</v>
      </c>
      <c r="AE432">
        <v>1.1257777509517648E-4</v>
      </c>
    </row>
    <row r="433" spans="29:31" x14ac:dyDescent="0.45">
      <c r="AC433" t="s">
        <v>19</v>
      </c>
      <c r="AD433" t="s">
        <v>658</v>
      </c>
      <c r="AE433">
        <v>1.1227859493498051E-4</v>
      </c>
    </row>
    <row r="434" spans="29:31" x14ac:dyDescent="0.45">
      <c r="AC434" t="s">
        <v>19</v>
      </c>
      <c r="AD434" t="s">
        <v>659</v>
      </c>
      <c r="AE434">
        <v>1.1211525327632683E-4</v>
      </c>
    </row>
    <row r="435" spans="29:31" x14ac:dyDescent="0.45">
      <c r="AC435" t="s">
        <v>19</v>
      </c>
      <c r="AD435" t="s">
        <v>660</v>
      </c>
      <c r="AE435">
        <v>1.1218292523522403E-4</v>
      </c>
    </row>
    <row r="436" spans="29:31" x14ac:dyDescent="0.45">
      <c r="AC436" t="s">
        <v>19</v>
      </c>
      <c r="AD436" t="s">
        <v>661</v>
      </c>
      <c r="AE436">
        <v>1.1229818475212551E-4</v>
      </c>
    </row>
    <row r="437" spans="29:31" x14ac:dyDescent="0.45">
      <c r="AC437" t="s">
        <v>19</v>
      </c>
      <c r="AD437" t="s">
        <v>662</v>
      </c>
      <c r="AE437">
        <v>1.1315007300241831E-4</v>
      </c>
    </row>
    <row r="438" spans="29:31" x14ac:dyDescent="0.45">
      <c r="AC438" t="s">
        <v>19</v>
      </c>
      <c r="AD438" t="s">
        <v>663</v>
      </c>
      <c r="AE438">
        <v>1.1403939909206287E-4</v>
      </c>
    </row>
    <row r="439" spans="29:31" x14ac:dyDescent="0.45">
      <c r="AC439" t="s">
        <v>19</v>
      </c>
      <c r="AD439" t="s">
        <v>664</v>
      </c>
      <c r="AE439">
        <v>1.1490513568729682E-4</v>
      </c>
    </row>
    <row r="440" spans="29:31" x14ac:dyDescent="0.45">
      <c r="AC440" t="s">
        <v>19</v>
      </c>
      <c r="AD440" t="s">
        <v>665</v>
      </c>
      <c r="AE440">
        <v>1.1555714759251512E-4</v>
      </c>
    </row>
    <row r="441" spans="29:31" x14ac:dyDescent="0.45">
      <c r="AC441" t="s">
        <v>19</v>
      </c>
      <c r="AD441" t="s">
        <v>666</v>
      </c>
      <c r="AE441">
        <v>1.1519031697706314E-4</v>
      </c>
    </row>
    <row r="442" spans="29:31" x14ac:dyDescent="0.45">
      <c r="AC442" t="s">
        <v>19</v>
      </c>
      <c r="AD442" t="s">
        <v>667</v>
      </c>
      <c r="AE442">
        <v>1.1503753360624505E-4</v>
      </c>
    </row>
    <row r="443" spans="29:31" x14ac:dyDescent="0.45">
      <c r="AC443" t="s">
        <v>19</v>
      </c>
      <c r="AD443" t="s">
        <v>668</v>
      </c>
      <c r="AE443">
        <v>1.1503127604665207E-4</v>
      </c>
    </row>
    <row r="444" spans="29:31" x14ac:dyDescent="0.45">
      <c r="AC444" t="s">
        <v>19</v>
      </c>
      <c r="AD444" t="s">
        <v>669</v>
      </c>
      <c r="AE444">
        <v>1.1498631193287576E-4</v>
      </c>
    </row>
    <row r="445" spans="29:31" x14ac:dyDescent="0.45">
      <c r="AC445" t="s">
        <v>19</v>
      </c>
      <c r="AD445" t="s">
        <v>670</v>
      </c>
      <c r="AE445">
        <v>1.1501635251965027E-4</v>
      </c>
    </row>
    <row r="446" spans="29:31" x14ac:dyDescent="0.45">
      <c r="AC446" t="s">
        <v>19</v>
      </c>
      <c r="AD446" t="s">
        <v>671</v>
      </c>
      <c r="AE446">
        <v>1.1500293424753337E-4</v>
      </c>
    </row>
    <row r="447" spans="29:31" x14ac:dyDescent="0.45">
      <c r="AC447" t="s">
        <v>19</v>
      </c>
      <c r="AD447" t="s">
        <v>672</v>
      </c>
      <c r="AE447">
        <v>1.1501615898687935E-4</v>
      </c>
    </row>
    <row r="448" spans="29:31" x14ac:dyDescent="0.45">
      <c r="AC448" t="s">
        <v>19</v>
      </c>
      <c r="AD448" t="s">
        <v>673</v>
      </c>
      <c r="AE448">
        <v>1.1504585551539446E-4</v>
      </c>
    </row>
    <row r="449" spans="29:31" x14ac:dyDescent="0.45">
      <c r="AC449" t="s">
        <v>19</v>
      </c>
      <c r="AD449" t="s">
        <v>674</v>
      </c>
      <c r="AE449">
        <v>1.150412752398161E-4</v>
      </c>
    </row>
    <row r="450" spans="29:31" x14ac:dyDescent="0.45">
      <c r="AC450" t="s">
        <v>19</v>
      </c>
      <c r="AD450" t="s">
        <v>675</v>
      </c>
      <c r="AE450">
        <v>1.1509894800554925E-4</v>
      </c>
    </row>
    <row r="451" spans="29:31" x14ac:dyDescent="0.45">
      <c r="AC451" t="s">
        <v>19</v>
      </c>
      <c r="AD451" t="s">
        <v>331</v>
      </c>
      <c r="AE451">
        <v>2.0536427653780047E-2</v>
      </c>
    </row>
    <row r="452" spans="29:31" x14ac:dyDescent="0.45">
      <c r="AC452" t="s">
        <v>19</v>
      </c>
      <c r="AD452" t="s">
        <v>332</v>
      </c>
      <c r="AE452">
        <v>3.3732476632711769E-3</v>
      </c>
    </row>
    <row r="453" spans="29:31" x14ac:dyDescent="0.45">
      <c r="AC453" t="s">
        <v>19</v>
      </c>
      <c r="AD453" t="s">
        <v>333</v>
      </c>
      <c r="AE453">
        <v>3.3673304848149642E-3</v>
      </c>
    </row>
    <row r="454" spans="29:31" x14ac:dyDescent="0.45">
      <c r="AC454" t="s">
        <v>19</v>
      </c>
      <c r="AD454" t="s">
        <v>334</v>
      </c>
      <c r="AE454">
        <v>2.3852449655026153E-2</v>
      </c>
    </row>
    <row r="455" spans="29:31" x14ac:dyDescent="0.45">
      <c r="AC455" t="s">
        <v>19</v>
      </c>
      <c r="AD455" t="s">
        <v>335</v>
      </c>
      <c r="AE455">
        <v>3.4418803403468467E-3</v>
      </c>
    </row>
    <row r="456" spans="29:31" x14ac:dyDescent="0.45">
      <c r="AC456" t="s">
        <v>19</v>
      </c>
      <c r="AD456" t="s">
        <v>336</v>
      </c>
      <c r="AE456">
        <v>3.4424161035676677E-3</v>
      </c>
    </row>
    <row r="457" spans="29:31" x14ac:dyDescent="0.45">
      <c r="AC457" t="s">
        <v>19</v>
      </c>
      <c r="AD457" t="s">
        <v>337</v>
      </c>
      <c r="AE457">
        <v>3.4427871273931565E-3</v>
      </c>
    </row>
    <row r="458" spans="29:31" x14ac:dyDescent="0.45">
      <c r="AC458" t="s">
        <v>19</v>
      </c>
      <c r="AD458" t="s">
        <v>338</v>
      </c>
      <c r="AE458">
        <v>2.0677694556013784E-2</v>
      </c>
    </row>
    <row r="459" spans="29:31" x14ac:dyDescent="0.45">
      <c r="AC459" t="s">
        <v>19</v>
      </c>
      <c r="AD459" t="s">
        <v>676</v>
      </c>
      <c r="AE459">
        <v>1.1568625169468887E-4</v>
      </c>
    </row>
    <row r="460" spans="29:31" x14ac:dyDescent="0.45">
      <c r="AC460" t="s">
        <v>19</v>
      </c>
      <c r="AD460" t="s">
        <v>677</v>
      </c>
      <c r="AE460">
        <v>1.1535460103626132E-4</v>
      </c>
    </row>
    <row r="461" spans="29:31" x14ac:dyDescent="0.45">
      <c r="AC461" t="s">
        <v>19</v>
      </c>
      <c r="AD461" t="s">
        <v>678</v>
      </c>
      <c r="AE461">
        <v>1.1503331513289842E-4</v>
      </c>
    </row>
    <row r="462" spans="29:31" x14ac:dyDescent="0.45">
      <c r="AC462" t="s">
        <v>19</v>
      </c>
      <c r="AD462" t="s">
        <v>679</v>
      </c>
      <c r="AE462">
        <v>1.1413207602602189E-4</v>
      </c>
    </row>
    <row r="463" spans="29:31" x14ac:dyDescent="0.45">
      <c r="AC463" t="s">
        <v>19</v>
      </c>
      <c r="AD463" t="s">
        <v>680</v>
      </c>
      <c r="AE463">
        <v>1.1375943942744242E-4</v>
      </c>
    </row>
    <row r="464" spans="29:31" x14ac:dyDescent="0.45">
      <c r="AC464" t="s">
        <v>19</v>
      </c>
      <c r="AD464" t="s">
        <v>681</v>
      </c>
      <c r="AE464">
        <v>1.1304775491785814E-4</v>
      </c>
    </row>
    <row r="465" spans="29:31" x14ac:dyDescent="0.45">
      <c r="AC465" t="s">
        <v>19</v>
      </c>
      <c r="AD465" t="s">
        <v>682</v>
      </c>
      <c r="AE465">
        <v>1.1271849116360524E-4</v>
      </c>
    </row>
    <row r="466" spans="29:31" x14ac:dyDescent="0.45">
      <c r="AC466" t="s">
        <v>19</v>
      </c>
      <c r="AD466" t="s">
        <v>683</v>
      </c>
      <c r="AE466">
        <v>1.1238615238865888E-4</v>
      </c>
    </row>
    <row r="467" spans="29:31" x14ac:dyDescent="0.45">
      <c r="AC467" t="s">
        <v>19</v>
      </c>
      <c r="AD467" t="s">
        <v>684</v>
      </c>
      <c r="AE467">
        <v>1.1244115870288164E-4</v>
      </c>
    </row>
    <row r="468" spans="29:31" x14ac:dyDescent="0.45">
      <c r="AC468" t="s">
        <v>19</v>
      </c>
      <c r="AD468" t="s">
        <v>685</v>
      </c>
      <c r="AE468">
        <v>1.1252515192545949E-4</v>
      </c>
    </row>
    <row r="469" spans="29:31" x14ac:dyDescent="0.45">
      <c r="AC469" t="s">
        <v>19</v>
      </c>
      <c r="AD469" t="s">
        <v>686</v>
      </c>
      <c r="AE469">
        <v>1.1310908330259752E-4</v>
      </c>
    </row>
    <row r="470" spans="29:31" x14ac:dyDescent="0.45">
      <c r="AC470" t="s">
        <v>19</v>
      </c>
      <c r="AD470" t="s">
        <v>687</v>
      </c>
      <c r="AE470">
        <v>1.1368252090282366E-4</v>
      </c>
    </row>
    <row r="471" spans="29:31" x14ac:dyDescent="0.45">
      <c r="AC471" t="s">
        <v>19</v>
      </c>
      <c r="AD471" t="s">
        <v>688</v>
      </c>
      <c r="AE471">
        <v>1.1444723339163909E-4</v>
      </c>
    </row>
    <row r="472" spans="29:31" x14ac:dyDescent="0.45">
      <c r="AC472" t="s">
        <v>19</v>
      </c>
      <c r="AD472" t="s">
        <v>689</v>
      </c>
      <c r="AE472">
        <v>1.1495884802337794E-4</v>
      </c>
    </row>
    <row r="473" spans="29:31" x14ac:dyDescent="0.45">
      <c r="AC473" t="s">
        <v>19</v>
      </c>
      <c r="AD473" t="s">
        <v>690</v>
      </c>
      <c r="AE473">
        <v>1.1513302751720294E-4</v>
      </c>
    </row>
    <row r="474" spans="29:31" x14ac:dyDescent="0.45">
      <c r="AC474" t="s">
        <v>19</v>
      </c>
      <c r="AD474" t="s">
        <v>691</v>
      </c>
      <c r="AE474">
        <v>1.151805720679248E-4</v>
      </c>
    </row>
    <row r="475" spans="29:31" x14ac:dyDescent="0.45">
      <c r="AC475" t="s">
        <v>19</v>
      </c>
      <c r="AD475" t="s">
        <v>692</v>
      </c>
      <c r="AE475">
        <v>1.1526260845915225E-4</v>
      </c>
    </row>
    <row r="476" spans="29:31" x14ac:dyDescent="0.45">
      <c r="AC476" t="s">
        <v>19</v>
      </c>
      <c r="AD476" t="s">
        <v>693</v>
      </c>
      <c r="AE476">
        <v>1.153326673222241E-4</v>
      </c>
    </row>
    <row r="477" spans="29:31" x14ac:dyDescent="0.45">
      <c r="AC477" t="s">
        <v>19</v>
      </c>
      <c r="AD477" t="s">
        <v>694</v>
      </c>
      <c r="AE477">
        <v>1.1538380298102853E-4</v>
      </c>
    </row>
    <row r="478" spans="29:31" x14ac:dyDescent="0.45">
      <c r="AC478" t="s">
        <v>19</v>
      </c>
      <c r="AD478" t="s">
        <v>695</v>
      </c>
      <c r="AE478">
        <v>1.1547474187971815E-4</v>
      </c>
    </row>
    <row r="479" spans="29:31" x14ac:dyDescent="0.45">
      <c r="AC479" t="s">
        <v>19</v>
      </c>
      <c r="AD479" t="s">
        <v>696</v>
      </c>
      <c r="AE479">
        <v>1.1553394140397746E-4</v>
      </c>
    </row>
    <row r="480" spans="29:31" x14ac:dyDescent="0.45">
      <c r="AC480" t="s">
        <v>19</v>
      </c>
      <c r="AD480" t="s">
        <v>697</v>
      </c>
      <c r="AE480">
        <v>1.1553450049864899E-4</v>
      </c>
    </row>
    <row r="481" spans="29:31" x14ac:dyDescent="0.45">
      <c r="AC481" t="s">
        <v>19</v>
      </c>
      <c r="AD481" t="s">
        <v>698</v>
      </c>
      <c r="AE481">
        <v>1.1557054060132191E-4</v>
      </c>
    </row>
    <row r="482" spans="29:31" x14ac:dyDescent="0.45">
      <c r="AC482" t="s">
        <v>19</v>
      </c>
      <c r="AD482" t="s">
        <v>699</v>
      </c>
      <c r="AE482">
        <v>1.1560655920035363E-4</v>
      </c>
    </row>
    <row r="483" spans="29:31" x14ac:dyDescent="0.45">
      <c r="AC483" t="s">
        <v>19</v>
      </c>
      <c r="AD483" t="s">
        <v>339</v>
      </c>
      <c r="AE483">
        <v>2.0548453822010204E-2</v>
      </c>
    </row>
    <row r="484" spans="29:31" x14ac:dyDescent="0.45">
      <c r="AC484" t="s">
        <v>19</v>
      </c>
      <c r="AD484" t="s">
        <v>340</v>
      </c>
      <c r="AE484">
        <v>3.379574715271021E-3</v>
      </c>
    </row>
    <row r="485" spans="29:31" x14ac:dyDescent="0.45">
      <c r="AC485" t="s">
        <v>19</v>
      </c>
      <c r="AD485" t="s">
        <v>341</v>
      </c>
      <c r="AE485">
        <v>3.3722211580927064E-3</v>
      </c>
    </row>
    <row r="486" spans="29:31" x14ac:dyDescent="0.45">
      <c r="AC486" t="s">
        <v>19</v>
      </c>
      <c r="AD486" t="s">
        <v>342</v>
      </c>
      <c r="AE486">
        <v>2.3827821977797994E-2</v>
      </c>
    </row>
    <row r="487" spans="29:31" x14ac:dyDescent="0.45">
      <c r="AC487" t="s">
        <v>19</v>
      </c>
      <c r="AD487" t="s">
        <v>343</v>
      </c>
      <c r="AE487">
        <v>3.4402832575524313E-3</v>
      </c>
    </row>
    <row r="488" spans="29:31" x14ac:dyDescent="0.45">
      <c r="AC488" t="s">
        <v>19</v>
      </c>
      <c r="AD488" t="s">
        <v>344</v>
      </c>
      <c r="AE488">
        <v>3.44164882478402E-3</v>
      </c>
    </row>
    <row r="489" spans="29:31" x14ac:dyDescent="0.45">
      <c r="AC489" t="s">
        <v>19</v>
      </c>
      <c r="AD489" t="s">
        <v>345</v>
      </c>
      <c r="AE489">
        <v>3.443684079913903E-3</v>
      </c>
    </row>
    <row r="490" spans="29:31" x14ac:dyDescent="0.45">
      <c r="AC490" t="s">
        <v>19</v>
      </c>
      <c r="AD490" t="s">
        <v>346</v>
      </c>
      <c r="AE490">
        <v>2.0692724073301229E-2</v>
      </c>
    </row>
    <row r="491" spans="29:31" x14ac:dyDescent="0.45">
      <c r="AC491" t="s">
        <v>19</v>
      </c>
      <c r="AD491" t="s">
        <v>347</v>
      </c>
      <c r="AE491">
        <v>2.1239478364632636E-2</v>
      </c>
    </row>
    <row r="492" spans="29:31" x14ac:dyDescent="0.45">
      <c r="AC492" t="s">
        <v>19</v>
      </c>
      <c r="AD492" t="s">
        <v>348</v>
      </c>
      <c r="AE492">
        <v>3.4901148460204979E-3</v>
      </c>
    </row>
    <row r="493" spans="29:31" x14ac:dyDescent="0.45">
      <c r="AC493" t="s">
        <v>19</v>
      </c>
      <c r="AD493" t="s">
        <v>349</v>
      </c>
      <c r="AE493">
        <v>3.4806753711336021E-3</v>
      </c>
    </row>
    <row r="494" spans="29:31" x14ac:dyDescent="0.45">
      <c r="AC494" t="s">
        <v>19</v>
      </c>
      <c r="AD494" t="s">
        <v>350</v>
      </c>
      <c r="AE494">
        <v>2.4573462626051094E-2</v>
      </c>
    </row>
    <row r="495" spans="29:31" x14ac:dyDescent="0.45">
      <c r="AC495" t="s">
        <v>19</v>
      </c>
      <c r="AD495" t="s">
        <v>351</v>
      </c>
      <c r="AE495">
        <v>3.557426769452868E-3</v>
      </c>
    </row>
    <row r="496" spans="29:31" x14ac:dyDescent="0.45">
      <c r="AC496" t="s">
        <v>19</v>
      </c>
      <c r="AD496" t="s">
        <v>352</v>
      </c>
      <c r="AE496">
        <v>3.5620926725305397E-3</v>
      </c>
    </row>
    <row r="497" spans="29:31" x14ac:dyDescent="0.45">
      <c r="AC497" t="s">
        <v>19</v>
      </c>
      <c r="AD497" t="s">
        <v>353</v>
      </c>
      <c r="AE497">
        <v>3.5667831327664762E-3</v>
      </c>
    </row>
    <row r="498" spans="29:31" x14ac:dyDescent="0.45">
      <c r="AC498" t="s">
        <v>19</v>
      </c>
      <c r="AD498" t="s">
        <v>354</v>
      </c>
      <c r="AE498">
        <v>2.145256291275302E-2</v>
      </c>
    </row>
    <row r="499" spans="29:31" x14ac:dyDescent="0.45">
      <c r="AC499" t="s">
        <v>19</v>
      </c>
      <c r="AD499" t="s">
        <v>355</v>
      </c>
      <c r="AE499">
        <v>2.1237807807494583E-2</v>
      </c>
    </row>
    <row r="500" spans="29:31" x14ac:dyDescent="0.45">
      <c r="AC500" t="s">
        <v>19</v>
      </c>
      <c r="AD500" t="s">
        <v>356</v>
      </c>
      <c r="AE500">
        <v>3.4888832171749555E-3</v>
      </c>
    </row>
    <row r="501" spans="29:31" x14ac:dyDescent="0.45">
      <c r="AC501" t="s">
        <v>19</v>
      </c>
      <c r="AD501" t="s">
        <v>357</v>
      </c>
      <c r="AE501">
        <v>3.4800252222500988E-3</v>
      </c>
    </row>
    <row r="502" spans="29:31" x14ac:dyDescent="0.45">
      <c r="AC502" t="s">
        <v>19</v>
      </c>
      <c r="AD502" t="s">
        <v>358</v>
      </c>
      <c r="AE502">
        <v>2.458106701164595E-2</v>
      </c>
    </row>
    <row r="503" spans="29:31" x14ac:dyDescent="0.45">
      <c r="AC503" t="s">
        <v>19</v>
      </c>
      <c r="AD503" t="s">
        <v>359</v>
      </c>
      <c r="AE503">
        <v>3.5565696910299731E-3</v>
      </c>
    </row>
    <row r="504" spans="29:31" x14ac:dyDescent="0.45">
      <c r="AC504" t="s">
        <v>19</v>
      </c>
      <c r="AD504" t="s">
        <v>360</v>
      </c>
      <c r="AE504">
        <v>3.5593149318817849E-3</v>
      </c>
    </row>
    <row r="505" spans="29:31" x14ac:dyDescent="0.45">
      <c r="AC505" t="s">
        <v>19</v>
      </c>
      <c r="AD505" t="s">
        <v>361</v>
      </c>
      <c r="AE505">
        <v>3.562844862105099E-3</v>
      </c>
    </row>
    <row r="506" spans="29:31" x14ac:dyDescent="0.45">
      <c r="AC506" t="s">
        <v>19</v>
      </c>
      <c r="AD506" t="s">
        <v>362</v>
      </c>
      <c r="AE506">
        <v>2.1438247074888759E-2</v>
      </c>
    </row>
    <row r="507" spans="29:31" x14ac:dyDescent="0.45">
      <c r="AC507" t="s">
        <v>19</v>
      </c>
      <c r="AD507" t="s">
        <v>363</v>
      </c>
      <c r="AE507">
        <v>1.9848248473521318E-2</v>
      </c>
    </row>
    <row r="508" spans="29:31" x14ac:dyDescent="0.45">
      <c r="AC508" t="s">
        <v>19</v>
      </c>
      <c r="AD508" t="s">
        <v>364</v>
      </c>
      <c r="AE508">
        <v>3.2616976427767216E-3</v>
      </c>
    </row>
    <row r="509" spans="29:31" x14ac:dyDescent="0.45">
      <c r="AC509" t="s">
        <v>19</v>
      </c>
      <c r="AD509" t="s">
        <v>365</v>
      </c>
      <c r="AE509">
        <v>3.2547978554352828E-3</v>
      </c>
    </row>
    <row r="510" spans="29:31" x14ac:dyDescent="0.45">
      <c r="AC510" t="s">
        <v>19</v>
      </c>
      <c r="AD510" t="s">
        <v>366</v>
      </c>
      <c r="AE510">
        <v>2.3014948620365877E-2</v>
      </c>
    </row>
    <row r="511" spans="29:31" x14ac:dyDescent="0.45">
      <c r="AC511" t="s">
        <v>19</v>
      </c>
      <c r="AD511" t="s">
        <v>367</v>
      </c>
      <c r="AE511">
        <v>3.3276084964658607E-3</v>
      </c>
    </row>
    <row r="512" spans="29:31" x14ac:dyDescent="0.45">
      <c r="AC512" t="s">
        <v>19</v>
      </c>
      <c r="AD512" t="s">
        <v>368</v>
      </c>
      <c r="AE512">
        <v>3.3295884657341857E-3</v>
      </c>
    </row>
    <row r="513" spans="29:31" x14ac:dyDescent="0.45">
      <c r="AC513" t="s">
        <v>19</v>
      </c>
      <c r="AD513" t="s">
        <v>369</v>
      </c>
      <c r="AE513">
        <v>3.3317073700283879E-3</v>
      </c>
    </row>
    <row r="514" spans="29:31" x14ac:dyDescent="0.45">
      <c r="AC514" t="s">
        <v>19</v>
      </c>
      <c r="AD514" t="s">
        <v>370</v>
      </c>
      <c r="AE514">
        <v>2.0031763730171657E-2</v>
      </c>
    </row>
    <row r="515" spans="29:31" x14ac:dyDescent="0.45">
      <c r="AC515" t="s">
        <v>19</v>
      </c>
      <c r="AD515" t="s">
        <v>700</v>
      </c>
      <c r="AE515">
        <v>1.1600209663576553E-4</v>
      </c>
    </row>
    <row r="516" spans="29:31" x14ac:dyDescent="0.45">
      <c r="AC516" t="s">
        <v>19</v>
      </c>
      <c r="AD516" t="s">
        <v>701</v>
      </c>
      <c r="AE516">
        <v>1.1568119779794447E-4</v>
      </c>
    </row>
    <row r="517" spans="29:31" x14ac:dyDescent="0.45">
      <c r="AC517" t="s">
        <v>19</v>
      </c>
      <c r="AD517" t="s">
        <v>702</v>
      </c>
      <c r="AE517">
        <v>1.1546306486148016E-4</v>
      </c>
    </row>
    <row r="518" spans="29:31" x14ac:dyDescent="0.45">
      <c r="AC518" t="s">
        <v>19</v>
      </c>
      <c r="AD518" t="s">
        <v>703</v>
      </c>
      <c r="AE518">
        <v>1.1447310173095893E-4</v>
      </c>
    </row>
    <row r="519" spans="29:31" x14ac:dyDescent="0.45">
      <c r="AC519" t="s">
        <v>19</v>
      </c>
      <c r="AD519" t="s">
        <v>704</v>
      </c>
      <c r="AE519">
        <v>1.1388173009396119E-4</v>
      </c>
    </row>
    <row r="520" spans="29:31" x14ac:dyDescent="0.45">
      <c r="AC520" t="s">
        <v>19</v>
      </c>
      <c r="AD520" t="s">
        <v>705</v>
      </c>
      <c r="AE520">
        <v>1.1334435410004921E-4</v>
      </c>
    </row>
    <row r="521" spans="29:31" x14ac:dyDescent="0.45">
      <c r="AC521" t="s">
        <v>19</v>
      </c>
      <c r="AD521" t="s">
        <v>706</v>
      </c>
      <c r="AE521">
        <v>1.1307192446952216E-4</v>
      </c>
    </row>
    <row r="522" spans="29:31" x14ac:dyDescent="0.45">
      <c r="AC522" t="s">
        <v>19</v>
      </c>
      <c r="AD522" t="s">
        <v>707</v>
      </c>
      <c r="AE522">
        <v>1.1279904326252966E-4</v>
      </c>
    </row>
    <row r="523" spans="29:31" x14ac:dyDescent="0.45">
      <c r="AC523" t="s">
        <v>19</v>
      </c>
      <c r="AD523" t="s">
        <v>708</v>
      </c>
      <c r="AE523">
        <v>1.127570036439583E-4</v>
      </c>
    </row>
    <row r="524" spans="29:31" x14ac:dyDescent="0.45">
      <c r="AC524" t="s">
        <v>19</v>
      </c>
      <c r="AD524" t="s">
        <v>709</v>
      </c>
      <c r="AE524">
        <v>1.1280446218011532E-4</v>
      </c>
    </row>
    <row r="525" spans="29:31" x14ac:dyDescent="0.45">
      <c r="AC525" t="s">
        <v>19</v>
      </c>
      <c r="AD525" t="s">
        <v>710</v>
      </c>
      <c r="AE525">
        <v>1.1330837850829992E-4</v>
      </c>
    </row>
    <row r="526" spans="29:31" x14ac:dyDescent="0.45">
      <c r="AC526" t="s">
        <v>19</v>
      </c>
      <c r="AD526" t="s">
        <v>711</v>
      </c>
      <c r="AE526">
        <v>1.1372843063575396E-4</v>
      </c>
    </row>
    <row r="527" spans="29:31" x14ac:dyDescent="0.45">
      <c r="AC527" t="s">
        <v>19</v>
      </c>
      <c r="AD527" t="s">
        <v>712</v>
      </c>
      <c r="AE527">
        <v>1.1439125887250238E-4</v>
      </c>
    </row>
    <row r="528" spans="29:31" x14ac:dyDescent="0.45">
      <c r="AC528" t="s">
        <v>19</v>
      </c>
      <c r="AD528" t="s">
        <v>713</v>
      </c>
      <c r="AE528">
        <v>1.1497493220594586E-4</v>
      </c>
    </row>
    <row r="529" spans="29:31" x14ac:dyDescent="0.45">
      <c r="AC529" t="s">
        <v>19</v>
      </c>
      <c r="AD529" t="s">
        <v>714</v>
      </c>
      <c r="AE529">
        <v>1.1530903427947169E-4</v>
      </c>
    </row>
    <row r="530" spans="29:31" x14ac:dyDescent="0.45">
      <c r="AC530" t="s">
        <v>19</v>
      </c>
      <c r="AD530" t="s">
        <v>715</v>
      </c>
      <c r="AE530">
        <v>1.1548033228537417E-4</v>
      </c>
    </row>
    <row r="531" spans="29:31" x14ac:dyDescent="0.45">
      <c r="AC531" t="s">
        <v>19</v>
      </c>
      <c r="AD531" t="s">
        <v>716</v>
      </c>
      <c r="AE531">
        <v>1.1573641914857936E-4</v>
      </c>
    </row>
    <row r="532" spans="29:31" x14ac:dyDescent="0.45">
      <c r="AC532" t="s">
        <v>19</v>
      </c>
      <c r="AD532" t="s">
        <v>717</v>
      </c>
      <c r="AE532">
        <v>1.1595433704863154E-4</v>
      </c>
    </row>
    <row r="533" spans="29:31" x14ac:dyDescent="0.45">
      <c r="AC533" t="s">
        <v>19</v>
      </c>
      <c r="AD533" t="s">
        <v>718</v>
      </c>
      <c r="AE533">
        <v>1.1636120744402204E-4</v>
      </c>
    </row>
    <row r="534" spans="29:31" x14ac:dyDescent="0.45">
      <c r="AC534" t="s">
        <v>19</v>
      </c>
      <c r="AD534" t="s">
        <v>719</v>
      </c>
      <c r="AE534">
        <v>1.1649954036794505E-4</v>
      </c>
    </row>
    <row r="535" spans="29:31" x14ac:dyDescent="0.45">
      <c r="AC535" t="s">
        <v>19</v>
      </c>
      <c r="AD535" t="s">
        <v>720</v>
      </c>
      <c r="AE535">
        <v>1.1654274118314189E-4</v>
      </c>
    </row>
    <row r="536" spans="29:31" x14ac:dyDescent="0.45">
      <c r="AC536" t="s">
        <v>19</v>
      </c>
      <c r="AD536" t="s">
        <v>721</v>
      </c>
      <c r="AE536">
        <v>1.164951536251376E-4</v>
      </c>
    </row>
    <row r="537" spans="29:31" x14ac:dyDescent="0.45">
      <c r="AC537" t="s">
        <v>19</v>
      </c>
      <c r="AD537" t="s">
        <v>722</v>
      </c>
      <c r="AE537">
        <v>1.1598682905050432E-4</v>
      </c>
    </row>
    <row r="538" spans="29:31" x14ac:dyDescent="0.45">
      <c r="AC538" t="s">
        <v>19</v>
      </c>
      <c r="AD538" t="s">
        <v>723</v>
      </c>
      <c r="AE538">
        <v>1.1592993041585481E-4</v>
      </c>
    </row>
    <row r="539" spans="29:31" x14ac:dyDescent="0.45">
      <c r="AC539" t="s">
        <v>19</v>
      </c>
      <c r="AD539" t="s">
        <v>395</v>
      </c>
      <c r="AE539">
        <v>2.0539677702320656E-2</v>
      </c>
    </row>
    <row r="540" spans="29:31" x14ac:dyDescent="0.45">
      <c r="AC540" t="s">
        <v>19</v>
      </c>
      <c r="AD540" t="s">
        <v>396</v>
      </c>
      <c r="AE540">
        <v>3.3731192057210647E-3</v>
      </c>
    </row>
    <row r="541" spans="29:31" x14ac:dyDescent="0.45">
      <c r="AC541" t="s">
        <v>19</v>
      </c>
      <c r="AD541" t="s">
        <v>397</v>
      </c>
      <c r="AE541">
        <v>3.3673732392561894E-3</v>
      </c>
    </row>
    <row r="542" spans="29:31" x14ac:dyDescent="0.45">
      <c r="AC542" t="s">
        <v>19</v>
      </c>
      <c r="AD542" t="s">
        <v>398</v>
      </c>
      <c r="AE542">
        <v>2.3871260109112856E-2</v>
      </c>
    </row>
    <row r="543" spans="29:31" x14ac:dyDescent="0.45">
      <c r="AC543" t="s">
        <v>19</v>
      </c>
      <c r="AD543" t="s">
        <v>399</v>
      </c>
      <c r="AE543">
        <v>3.440081501450953E-3</v>
      </c>
    </row>
    <row r="544" spans="29:31" x14ac:dyDescent="0.45">
      <c r="AC544" t="s">
        <v>19</v>
      </c>
      <c r="AD544" t="s">
        <v>400</v>
      </c>
      <c r="AE544">
        <v>3.4416663843192721E-3</v>
      </c>
    </row>
    <row r="545" spans="29:31" x14ac:dyDescent="0.45">
      <c r="AC545" t="s">
        <v>19</v>
      </c>
      <c r="AD545" t="s">
        <v>401</v>
      </c>
      <c r="AE545">
        <v>3.441146856347567E-3</v>
      </c>
    </row>
    <row r="546" spans="29:31" x14ac:dyDescent="0.45">
      <c r="AC546" t="s">
        <v>19</v>
      </c>
      <c r="AD546" t="s">
        <v>402</v>
      </c>
      <c r="AE546">
        <v>2.0663413589026396E-2</v>
      </c>
    </row>
    <row r="547" spans="29:31" x14ac:dyDescent="0.45">
      <c r="AC547" t="s">
        <v>19</v>
      </c>
      <c r="AD547" t="s">
        <v>724</v>
      </c>
      <c r="AE547">
        <v>1.1536009754037182E-4</v>
      </c>
    </row>
    <row r="548" spans="29:31" x14ac:dyDescent="0.45">
      <c r="AC548" t="s">
        <v>19</v>
      </c>
      <c r="AD548" t="s">
        <v>725</v>
      </c>
      <c r="AE548">
        <v>1.1510581698302851E-4</v>
      </c>
    </row>
    <row r="549" spans="29:31" x14ac:dyDescent="0.45">
      <c r="AC549" t="s">
        <v>19</v>
      </c>
      <c r="AD549" t="s">
        <v>726</v>
      </c>
      <c r="AE549">
        <v>1.1486033141494132E-4</v>
      </c>
    </row>
    <row r="550" spans="29:31" x14ac:dyDescent="0.45">
      <c r="AC550" t="s">
        <v>19</v>
      </c>
      <c r="AD550" t="s">
        <v>727</v>
      </c>
      <c r="AE550">
        <v>1.1418447197161785E-4</v>
      </c>
    </row>
    <row r="551" spans="29:31" x14ac:dyDescent="0.45">
      <c r="AC551" t="s">
        <v>19</v>
      </c>
      <c r="AD551" t="s">
        <v>728</v>
      </c>
      <c r="AE551">
        <v>1.135760049398558E-4</v>
      </c>
    </row>
    <row r="552" spans="29:31" x14ac:dyDescent="0.45">
      <c r="AC552" t="s">
        <v>19</v>
      </c>
      <c r="AD552" t="s">
        <v>729</v>
      </c>
      <c r="AE552">
        <v>1.1273125589844572E-4</v>
      </c>
    </row>
    <row r="553" spans="29:31" x14ac:dyDescent="0.45">
      <c r="AC553" t="s">
        <v>19</v>
      </c>
      <c r="AD553" t="s">
        <v>730</v>
      </c>
      <c r="AE553">
        <v>1.1251877841962042E-4</v>
      </c>
    </row>
    <row r="554" spans="29:31" x14ac:dyDescent="0.45">
      <c r="AC554" t="s">
        <v>19</v>
      </c>
      <c r="AD554" t="s">
        <v>731</v>
      </c>
      <c r="AE554">
        <v>1.1231393473342572E-4</v>
      </c>
    </row>
    <row r="555" spans="29:31" x14ac:dyDescent="0.45">
      <c r="AC555" t="s">
        <v>19</v>
      </c>
      <c r="AD555" t="s">
        <v>732</v>
      </c>
      <c r="AE555">
        <v>1.1242454946382521E-4</v>
      </c>
    </row>
    <row r="556" spans="29:31" x14ac:dyDescent="0.45">
      <c r="AC556" t="s">
        <v>19</v>
      </c>
      <c r="AD556" t="s">
        <v>733</v>
      </c>
      <c r="AE556">
        <v>1.125245628991067E-4</v>
      </c>
    </row>
    <row r="557" spans="29:31" x14ac:dyDescent="0.45">
      <c r="AC557" t="s">
        <v>19</v>
      </c>
      <c r="AD557" t="s">
        <v>734</v>
      </c>
      <c r="AE557">
        <v>1.1331103707282967E-4</v>
      </c>
    </row>
    <row r="558" spans="29:31" x14ac:dyDescent="0.45">
      <c r="AC558" t="s">
        <v>19</v>
      </c>
      <c r="AD558" t="s">
        <v>735</v>
      </c>
      <c r="AE558">
        <v>1.1431284870965925E-4</v>
      </c>
    </row>
    <row r="559" spans="29:31" x14ac:dyDescent="0.45">
      <c r="AC559" t="s">
        <v>19</v>
      </c>
      <c r="AD559" t="s">
        <v>736</v>
      </c>
      <c r="AE559">
        <v>1.1521894763944992E-4</v>
      </c>
    </row>
    <row r="560" spans="29:31" x14ac:dyDescent="0.45">
      <c r="AC560" t="s">
        <v>19</v>
      </c>
      <c r="AD560" t="s">
        <v>737</v>
      </c>
      <c r="AE560">
        <v>1.1592824524485955E-4</v>
      </c>
    </row>
    <row r="561" spans="29:31" x14ac:dyDescent="0.45">
      <c r="AC561" t="s">
        <v>19</v>
      </c>
      <c r="AD561" t="s">
        <v>738</v>
      </c>
      <c r="AE561">
        <v>1.1566071844452906E-4</v>
      </c>
    </row>
    <row r="562" spans="29:31" x14ac:dyDescent="0.45">
      <c r="AC562" t="s">
        <v>19</v>
      </c>
      <c r="AD562" t="s">
        <v>739</v>
      </c>
      <c r="AE562">
        <v>1.1493008922703617E-4</v>
      </c>
    </row>
    <row r="563" spans="29:31" x14ac:dyDescent="0.45">
      <c r="AC563" t="s">
        <v>19</v>
      </c>
      <c r="AD563" t="s">
        <v>740</v>
      </c>
      <c r="AE563">
        <v>1.1498872965662393E-4</v>
      </c>
    </row>
    <row r="564" spans="29:31" x14ac:dyDescent="0.45">
      <c r="AC564" t="s">
        <v>19</v>
      </c>
      <c r="AD564" t="s">
        <v>741</v>
      </c>
      <c r="AE564">
        <v>1.1506590622493727E-4</v>
      </c>
    </row>
    <row r="565" spans="29:31" x14ac:dyDescent="0.45">
      <c r="AC565" t="s">
        <v>19</v>
      </c>
      <c r="AD565" t="s">
        <v>742</v>
      </c>
      <c r="AE565">
        <v>1.1521320616724607E-4</v>
      </c>
    </row>
    <row r="566" spans="29:31" x14ac:dyDescent="0.45">
      <c r="AC566" t="s">
        <v>19</v>
      </c>
      <c r="AD566" t="s">
        <v>743</v>
      </c>
      <c r="AE566">
        <v>1.1526262153475346E-4</v>
      </c>
    </row>
    <row r="567" spans="29:31" x14ac:dyDescent="0.45">
      <c r="AC567" t="s">
        <v>19</v>
      </c>
      <c r="AD567" t="s">
        <v>744</v>
      </c>
      <c r="AE567">
        <v>1.1529773698085422E-4</v>
      </c>
    </row>
    <row r="568" spans="29:31" x14ac:dyDescent="0.45">
      <c r="AC568" t="s">
        <v>19</v>
      </c>
      <c r="AD568" t="s">
        <v>745</v>
      </c>
      <c r="AE568">
        <v>1.1532745501301055E-4</v>
      </c>
    </row>
    <row r="569" spans="29:31" x14ac:dyDescent="0.45">
      <c r="AC569" t="s">
        <v>19</v>
      </c>
      <c r="AD569" t="s">
        <v>746</v>
      </c>
      <c r="AE569">
        <v>1.1517247827078871E-4</v>
      </c>
    </row>
    <row r="570" spans="29:31" x14ac:dyDescent="0.45">
      <c r="AC570" t="s">
        <v>19</v>
      </c>
      <c r="AD570" t="s">
        <v>747</v>
      </c>
      <c r="AE570">
        <v>1.1518335911324246E-4</v>
      </c>
    </row>
    <row r="571" spans="29:31" x14ac:dyDescent="0.45">
      <c r="AC571" t="s">
        <v>19</v>
      </c>
      <c r="AD571" t="s">
        <v>403</v>
      </c>
      <c r="AE571">
        <v>1.9949945615847533E-2</v>
      </c>
    </row>
    <row r="572" spans="29:31" x14ac:dyDescent="0.45">
      <c r="AC572" t="s">
        <v>19</v>
      </c>
      <c r="AD572" t="s">
        <v>404</v>
      </c>
      <c r="AE572">
        <v>3.2649829966596576E-3</v>
      </c>
    </row>
    <row r="573" spans="29:31" x14ac:dyDescent="0.45">
      <c r="AC573" t="s">
        <v>19</v>
      </c>
      <c r="AD573" t="s">
        <v>405</v>
      </c>
      <c r="AE573">
        <v>3.2570807310685116E-3</v>
      </c>
    </row>
    <row r="574" spans="29:31" x14ac:dyDescent="0.45">
      <c r="AC574" t="s">
        <v>19</v>
      </c>
      <c r="AD574" t="s">
        <v>406</v>
      </c>
      <c r="AE574">
        <v>2.3024891796060713E-2</v>
      </c>
    </row>
    <row r="575" spans="29:31" x14ac:dyDescent="0.45">
      <c r="AC575" t="s">
        <v>19</v>
      </c>
      <c r="AD575" t="s">
        <v>407</v>
      </c>
      <c r="AE575">
        <v>3.3379979437854006E-3</v>
      </c>
    </row>
    <row r="576" spans="29:31" x14ac:dyDescent="0.45">
      <c r="AC576" t="s">
        <v>19</v>
      </c>
      <c r="AD576" t="s">
        <v>408</v>
      </c>
      <c r="AE576">
        <v>3.3243237138271529E-3</v>
      </c>
    </row>
    <row r="577" spans="29:31" x14ac:dyDescent="0.45">
      <c r="AC577" t="s">
        <v>19</v>
      </c>
      <c r="AD577" t="s">
        <v>409</v>
      </c>
      <c r="AE577">
        <v>3.3270577727855339E-3</v>
      </c>
    </row>
    <row r="578" spans="29:31" x14ac:dyDescent="0.45">
      <c r="AC578" t="s">
        <v>19</v>
      </c>
      <c r="AD578" t="s">
        <v>410</v>
      </c>
      <c r="AE578">
        <v>1.9964592068432305E-2</v>
      </c>
    </row>
    <row r="579" spans="29:31" x14ac:dyDescent="0.45">
      <c r="AC579" t="s">
        <v>19</v>
      </c>
      <c r="AD579" t="s">
        <v>748</v>
      </c>
      <c r="AE579">
        <v>1.159458321972545E-4</v>
      </c>
    </row>
    <row r="580" spans="29:31" x14ac:dyDescent="0.45">
      <c r="AC580" t="s">
        <v>19</v>
      </c>
      <c r="AD580" t="s">
        <v>749</v>
      </c>
      <c r="AE580">
        <v>1.1617503950894349E-4</v>
      </c>
    </row>
    <row r="581" spans="29:31" x14ac:dyDescent="0.45">
      <c r="AC581" t="s">
        <v>19</v>
      </c>
      <c r="AD581" t="s">
        <v>750</v>
      </c>
      <c r="AE581">
        <v>1.1591194245870286E-4</v>
      </c>
    </row>
    <row r="582" spans="29:31" x14ac:dyDescent="0.45">
      <c r="AC582" t="s">
        <v>19</v>
      </c>
      <c r="AD582" t="s">
        <v>751</v>
      </c>
      <c r="AE582">
        <v>1.1538080252074266E-4</v>
      </c>
    </row>
    <row r="583" spans="29:31" x14ac:dyDescent="0.45">
      <c r="AC583" t="s">
        <v>19</v>
      </c>
      <c r="AD583" t="s">
        <v>752</v>
      </c>
      <c r="AE583">
        <v>1.1413176352088762E-4</v>
      </c>
    </row>
    <row r="584" spans="29:31" x14ac:dyDescent="0.45">
      <c r="AC584" t="s">
        <v>19</v>
      </c>
      <c r="AD584" t="s">
        <v>753</v>
      </c>
      <c r="AE584">
        <v>1.1360864444109982E-4</v>
      </c>
    </row>
    <row r="585" spans="29:31" x14ac:dyDescent="0.45">
      <c r="AC585" t="s">
        <v>19</v>
      </c>
      <c r="AD585" t="s">
        <v>754</v>
      </c>
      <c r="AE585">
        <v>1.1241347206248327E-4</v>
      </c>
    </row>
    <row r="586" spans="29:31" x14ac:dyDescent="0.45">
      <c r="AC586" t="s">
        <v>19</v>
      </c>
      <c r="AD586" t="s">
        <v>755</v>
      </c>
      <c r="AE586">
        <v>1.1220546734103027E-4</v>
      </c>
    </row>
    <row r="587" spans="29:31" x14ac:dyDescent="0.45">
      <c r="AC587" t="s">
        <v>19</v>
      </c>
      <c r="AD587" t="s">
        <v>756</v>
      </c>
      <c r="AE587">
        <v>1.1205307103575399E-4</v>
      </c>
    </row>
    <row r="588" spans="29:31" x14ac:dyDescent="0.45">
      <c r="AC588" t="s">
        <v>19</v>
      </c>
      <c r="AD588" t="s">
        <v>757</v>
      </c>
      <c r="AE588">
        <v>1.1203842705608796E-4</v>
      </c>
    </row>
    <row r="589" spans="29:31" x14ac:dyDescent="0.45">
      <c r="AC589" t="s">
        <v>19</v>
      </c>
      <c r="AD589" t="s">
        <v>758</v>
      </c>
      <c r="AE589">
        <v>1.1223531439503386E-4</v>
      </c>
    </row>
    <row r="590" spans="29:31" x14ac:dyDescent="0.45">
      <c r="AC590" t="s">
        <v>19</v>
      </c>
      <c r="AD590" t="s">
        <v>759</v>
      </c>
      <c r="AE590">
        <v>1.1253984896189188E-4</v>
      </c>
    </row>
    <row r="591" spans="29:31" x14ac:dyDescent="0.45">
      <c r="AC591" t="s">
        <v>19</v>
      </c>
      <c r="AD591" t="s">
        <v>760</v>
      </c>
      <c r="AE591">
        <v>1.1281255813975469E-4</v>
      </c>
    </row>
    <row r="592" spans="29:31" x14ac:dyDescent="0.45">
      <c r="AC592" t="s">
        <v>19</v>
      </c>
      <c r="AD592" t="s">
        <v>761</v>
      </c>
      <c r="AE592">
        <v>1.1305135607542465E-4</v>
      </c>
    </row>
    <row r="593" spans="29:31" x14ac:dyDescent="0.45">
      <c r="AC593" t="s">
        <v>19</v>
      </c>
      <c r="AD593" t="s">
        <v>762</v>
      </c>
      <c r="AE593">
        <v>1.1329778780372522E-4</v>
      </c>
    </row>
    <row r="594" spans="29:31" x14ac:dyDescent="0.45">
      <c r="AC594" t="s">
        <v>19</v>
      </c>
      <c r="AD594" t="s">
        <v>763</v>
      </c>
      <c r="AE594">
        <v>1.1371411980124942E-4</v>
      </c>
    </row>
    <row r="595" spans="29:31" x14ac:dyDescent="0.45">
      <c r="AC595" t="s">
        <v>19</v>
      </c>
      <c r="AD595" t="s">
        <v>764</v>
      </c>
      <c r="AE595">
        <v>1.1367392949582239E-4</v>
      </c>
    </row>
    <row r="596" spans="29:31" x14ac:dyDescent="0.45">
      <c r="AC596" t="s">
        <v>19</v>
      </c>
      <c r="AD596" t="s">
        <v>765</v>
      </c>
      <c r="AE596">
        <v>1.1369014324129696E-4</v>
      </c>
    </row>
    <row r="597" spans="29:31" x14ac:dyDescent="0.45">
      <c r="AC597" t="s">
        <v>19</v>
      </c>
      <c r="AD597" t="s">
        <v>766</v>
      </c>
      <c r="AE597">
        <v>1.1376310509593255E-4</v>
      </c>
    </row>
    <row r="598" spans="29:31" x14ac:dyDescent="0.45">
      <c r="AC598" t="s">
        <v>19</v>
      </c>
      <c r="AD598" t="s">
        <v>767</v>
      </c>
      <c r="AE598">
        <v>1.1373654809903454E-4</v>
      </c>
    </row>
    <row r="599" spans="29:31" x14ac:dyDescent="0.45">
      <c r="AC599" t="s">
        <v>19</v>
      </c>
      <c r="AD599" t="s">
        <v>768</v>
      </c>
      <c r="AE599">
        <v>1.1378093161449811E-4</v>
      </c>
    </row>
    <row r="600" spans="29:31" x14ac:dyDescent="0.45">
      <c r="AC600" t="s">
        <v>19</v>
      </c>
      <c r="AD600" t="s">
        <v>769</v>
      </c>
      <c r="AE600">
        <v>1.1378093161449811E-4</v>
      </c>
    </row>
    <row r="601" spans="29:31" x14ac:dyDescent="0.45">
      <c r="AC601" t="s">
        <v>19</v>
      </c>
      <c r="AD601" t="s">
        <v>770</v>
      </c>
      <c r="AE601">
        <v>1.1403781411242818E-4</v>
      </c>
    </row>
    <row r="602" spans="29:31" x14ac:dyDescent="0.45">
      <c r="AC602" t="s">
        <v>19</v>
      </c>
      <c r="AD602" t="s">
        <v>771</v>
      </c>
      <c r="AE602">
        <v>1.1478495812637261E-4</v>
      </c>
    </row>
    <row r="603" spans="29:31" x14ac:dyDescent="0.45">
      <c r="AC603" t="s">
        <v>19</v>
      </c>
      <c r="AD603" t="s">
        <v>411</v>
      </c>
      <c r="AE603">
        <v>2.0660046110835287E-2</v>
      </c>
    </row>
    <row r="604" spans="29:31" x14ac:dyDescent="0.45">
      <c r="AC604" t="s">
        <v>19</v>
      </c>
      <c r="AD604" t="s">
        <v>412</v>
      </c>
      <c r="AE604">
        <v>3.3767474205909564E-3</v>
      </c>
    </row>
    <row r="605" spans="29:31" x14ac:dyDescent="0.45">
      <c r="AC605" t="s">
        <v>19</v>
      </c>
      <c r="AD605" t="s">
        <v>413</v>
      </c>
      <c r="AE605">
        <v>3.3673877457166016E-3</v>
      </c>
    </row>
    <row r="606" spans="29:31" x14ac:dyDescent="0.45">
      <c r="AC606" t="s">
        <v>19</v>
      </c>
      <c r="AD606" t="s">
        <v>414</v>
      </c>
      <c r="AE606">
        <v>2.3793243355559133E-2</v>
      </c>
    </row>
    <row r="607" spans="29:31" x14ac:dyDescent="0.45">
      <c r="AC607" t="s">
        <v>19</v>
      </c>
      <c r="AD607" t="s">
        <v>415</v>
      </c>
      <c r="AE607">
        <v>3.4435958760442634E-3</v>
      </c>
    </row>
    <row r="608" spans="29:31" x14ac:dyDescent="0.45">
      <c r="AC608" t="s">
        <v>19</v>
      </c>
      <c r="AD608" t="s">
        <v>416</v>
      </c>
      <c r="AE608">
        <v>3.4435957685260577E-3</v>
      </c>
    </row>
    <row r="609" spans="29:31" x14ac:dyDescent="0.45">
      <c r="AC609" t="s">
        <v>19</v>
      </c>
      <c r="AD609" t="s">
        <v>417</v>
      </c>
      <c r="AE609">
        <v>3.4497467775768198E-3</v>
      </c>
    </row>
    <row r="610" spans="29:31" x14ac:dyDescent="0.45">
      <c r="AC610" t="s">
        <v>19</v>
      </c>
      <c r="AD610" t="s">
        <v>418</v>
      </c>
      <c r="AE610">
        <v>2.0746288786313131E-2</v>
      </c>
    </row>
    <row r="611" spans="29:31" x14ac:dyDescent="0.45">
      <c r="AC611" t="s">
        <v>19</v>
      </c>
      <c r="AD611" t="s">
        <v>772</v>
      </c>
      <c r="AE611">
        <v>1.1621914263600145E-4</v>
      </c>
    </row>
    <row r="612" spans="29:31" x14ac:dyDescent="0.45">
      <c r="AC612" t="s">
        <v>19</v>
      </c>
      <c r="AD612" t="s">
        <v>773</v>
      </c>
      <c r="AE612">
        <v>1.1639312859705555E-4</v>
      </c>
    </row>
    <row r="613" spans="29:31" x14ac:dyDescent="0.45">
      <c r="AC613" t="s">
        <v>19</v>
      </c>
      <c r="AD613" t="s">
        <v>774</v>
      </c>
      <c r="AE613">
        <v>1.1585284961157982E-4</v>
      </c>
    </row>
    <row r="614" spans="29:31" x14ac:dyDescent="0.45">
      <c r="AC614" t="s">
        <v>19</v>
      </c>
      <c r="AD614" t="s">
        <v>775</v>
      </c>
      <c r="AE614">
        <v>1.1499341358322126E-4</v>
      </c>
    </row>
    <row r="615" spans="29:31" x14ac:dyDescent="0.45">
      <c r="AC615" t="s">
        <v>19</v>
      </c>
      <c r="AD615" t="s">
        <v>776</v>
      </c>
      <c r="AE615">
        <v>1.1396482991308154E-4</v>
      </c>
    </row>
    <row r="616" spans="29:31" x14ac:dyDescent="0.45">
      <c r="AC616" t="s">
        <v>19</v>
      </c>
      <c r="AD616" t="s">
        <v>777</v>
      </c>
      <c r="AE616">
        <v>1.1309911482148881E-4</v>
      </c>
    </row>
    <row r="617" spans="29:31" x14ac:dyDescent="0.45">
      <c r="AC617" t="s">
        <v>19</v>
      </c>
      <c r="AD617" t="s">
        <v>778</v>
      </c>
      <c r="AE617">
        <v>1.120660583939768E-4</v>
      </c>
    </row>
    <row r="618" spans="29:31" x14ac:dyDescent="0.45">
      <c r="AC618" t="s">
        <v>19</v>
      </c>
      <c r="AD618" t="s">
        <v>779</v>
      </c>
      <c r="AE618">
        <v>1.1171980676316565E-4</v>
      </c>
    </row>
    <row r="619" spans="29:31" x14ac:dyDescent="0.45">
      <c r="AC619" t="s">
        <v>19</v>
      </c>
      <c r="AD619" t="s">
        <v>780</v>
      </c>
      <c r="AE619">
        <v>1.1154154157751017E-4</v>
      </c>
    </row>
    <row r="620" spans="29:31" x14ac:dyDescent="0.45">
      <c r="AC620" t="s">
        <v>19</v>
      </c>
      <c r="AD620" t="s">
        <v>781</v>
      </c>
      <c r="AE620">
        <v>1.1146427899463199E-4</v>
      </c>
    </row>
    <row r="621" spans="29:31" x14ac:dyDescent="0.45">
      <c r="AC621" t="s">
        <v>19</v>
      </c>
      <c r="AD621" t="s">
        <v>782</v>
      </c>
      <c r="AE621">
        <v>1.1161385832290936E-4</v>
      </c>
    </row>
    <row r="622" spans="29:31" x14ac:dyDescent="0.45">
      <c r="AC622" t="s">
        <v>19</v>
      </c>
      <c r="AD622" t="s">
        <v>783</v>
      </c>
      <c r="AE622">
        <v>1.11938348268813E-4</v>
      </c>
    </row>
    <row r="623" spans="29:31" x14ac:dyDescent="0.45">
      <c r="AC623" t="s">
        <v>19</v>
      </c>
      <c r="AD623" t="s">
        <v>784</v>
      </c>
      <c r="AE623">
        <v>1.1211257076992044E-4</v>
      </c>
    </row>
    <row r="624" spans="29:31" x14ac:dyDescent="0.45">
      <c r="AC624" t="s">
        <v>19</v>
      </c>
      <c r="AD624" t="s">
        <v>785</v>
      </c>
      <c r="AE624">
        <v>1.1236255059902115E-4</v>
      </c>
    </row>
    <row r="625" spans="29:31" x14ac:dyDescent="0.45">
      <c r="AC625" t="s">
        <v>19</v>
      </c>
      <c r="AD625" t="s">
        <v>786</v>
      </c>
      <c r="AE625">
        <v>1.1251593607179323E-4</v>
      </c>
    </row>
    <row r="626" spans="29:31" x14ac:dyDescent="0.45">
      <c r="AC626" t="s">
        <v>19</v>
      </c>
      <c r="AD626" t="s">
        <v>787</v>
      </c>
      <c r="AE626">
        <v>1.1283545867657666E-4</v>
      </c>
    </row>
    <row r="627" spans="29:31" x14ac:dyDescent="0.45">
      <c r="AC627" t="s">
        <v>19</v>
      </c>
      <c r="AD627" t="s">
        <v>788</v>
      </c>
      <c r="AE627">
        <v>1.1340367089198803E-4</v>
      </c>
    </row>
    <row r="628" spans="29:31" x14ac:dyDescent="0.45">
      <c r="AC628" t="s">
        <v>19</v>
      </c>
      <c r="AD628" t="s">
        <v>789</v>
      </c>
      <c r="AE628">
        <v>1.1329322819071825E-4</v>
      </c>
    </row>
    <row r="629" spans="29:31" x14ac:dyDescent="0.45">
      <c r="AC629" t="s">
        <v>19</v>
      </c>
      <c r="AD629" t="s">
        <v>790</v>
      </c>
      <c r="AE629">
        <v>1.1325361848360397E-4</v>
      </c>
    </row>
    <row r="630" spans="29:31" x14ac:dyDescent="0.45">
      <c r="AC630" t="s">
        <v>19</v>
      </c>
      <c r="AD630" t="s">
        <v>791</v>
      </c>
      <c r="AE630">
        <v>1.1327712196344974E-4</v>
      </c>
    </row>
    <row r="631" spans="29:31" x14ac:dyDescent="0.45">
      <c r="AC631" t="s">
        <v>19</v>
      </c>
      <c r="AD631" t="s">
        <v>792</v>
      </c>
      <c r="AE631">
        <v>1.133215269825545E-4</v>
      </c>
    </row>
    <row r="632" spans="29:31" x14ac:dyDescent="0.45">
      <c r="AC632" t="s">
        <v>19</v>
      </c>
      <c r="AD632" t="s">
        <v>793</v>
      </c>
      <c r="AE632">
        <v>1.1342928172867266E-4</v>
      </c>
    </row>
    <row r="633" spans="29:31" x14ac:dyDescent="0.45">
      <c r="AC633" t="s">
        <v>19</v>
      </c>
      <c r="AD633" t="s">
        <v>794</v>
      </c>
      <c r="AE633">
        <v>1.1378327467032048E-4</v>
      </c>
    </row>
    <row r="634" spans="29:31" x14ac:dyDescent="0.45">
      <c r="AC634" t="s">
        <v>19</v>
      </c>
      <c r="AD634" t="s">
        <v>795</v>
      </c>
      <c r="AE634">
        <v>1.1429456674744113E-4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8C1D5-AEF4-45A2-9438-65F7A1E2378E}">
  <dimension ref="A9:AN92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106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248</v>
      </c>
      <c r="L10" t="s">
        <v>30</v>
      </c>
      <c r="N10" t="s">
        <v>13</v>
      </c>
      <c r="O10" t="s">
        <v>122</v>
      </c>
      <c r="P10" t="s">
        <v>248</v>
      </c>
      <c r="Q10" t="s">
        <v>30</v>
      </c>
      <c r="S10" t="s">
        <v>13</v>
      </c>
      <c r="T10" t="s">
        <v>122</v>
      </c>
      <c r="U10" t="s">
        <v>248</v>
      </c>
      <c r="V10" t="s">
        <v>30</v>
      </c>
      <c r="X10" t="s">
        <v>421</v>
      </c>
      <c r="Y10" t="s">
        <v>248</v>
      </c>
      <c r="Z10" t="s">
        <v>122</v>
      </c>
      <c r="AA10" t="s">
        <v>13</v>
      </c>
      <c r="AC10" t="s">
        <v>13</v>
      </c>
      <c r="AD10" t="s">
        <v>122</v>
      </c>
      <c r="AE10" t="s">
        <v>248</v>
      </c>
      <c r="AG10" t="s">
        <v>13</v>
      </c>
      <c r="AH10" t="s">
        <v>122</v>
      </c>
      <c r="AI10" t="s">
        <v>427</v>
      </c>
      <c r="AK10" t="s">
        <v>47</v>
      </c>
      <c r="AL10" t="s">
        <v>122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430</v>
      </c>
      <c r="F11" t="s">
        <v>154</v>
      </c>
      <c r="G11" t="s">
        <v>155</v>
      </c>
      <c r="I11" t="s">
        <v>249</v>
      </c>
      <c r="J11" t="s">
        <v>250</v>
      </c>
      <c r="K11">
        <v>0</v>
      </c>
      <c r="L11" t="s">
        <v>251</v>
      </c>
      <c r="N11" t="s">
        <v>419</v>
      </c>
      <c r="O11" t="s">
        <v>250</v>
      </c>
      <c r="P11">
        <v>2.5660311917472152E-2</v>
      </c>
      <c r="Q11" t="s">
        <v>251</v>
      </c>
      <c r="S11" t="s">
        <v>420</v>
      </c>
      <c r="T11" t="s">
        <v>250</v>
      </c>
      <c r="U11">
        <v>2.6769906846017193E-2</v>
      </c>
      <c r="V11" t="s">
        <v>251</v>
      </c>
      <c r="X11">
        <v>2.1232876712328767E-2</v>
      </c>
      <c r="Y11">
        <v>4.5420116185598634E-3</v>
      </c>
      <c r="Z11" t="s">
        <v>250</v>
      </c>
      <c r="AA11" t="s">
        <v>25</v>
      </c>
      <c r="AC11" t="s">
        <v>22</v>
      </c>
      <c r="AD11" t="s">
        <v>250</v>
      </c>
      <c r="AE11">
        <v>2.5607497604483307E-2</v>
      </c>
      <c r="AG11" t="s">
        <v>97</v>
      </c>
      <c r="AH11" t="s">
        <v>250</v>
      </c>
      <c r="AI11">
        <v>0.1255692735717755</v>
      </c>
    </row>
    <row r="12" spans="1:40" x14ac:dyDescent="0.45">
      <c r="C12" t="s">
        <v>156</v>
      </c>
      <c r="D12" t="s">
        <v>155</v>
      </c>
      <c r="E12" t="s">
        <v>431</v>
      </c>
      <c r="F12" t="s">
        <v>156</v>
      </c>
      <c r="G12" t="s">
        <v>155</v>
      </c>
      <c r="I12" t="s">
        <v>249</v>
      </c>
      <c r="J12" t="s">
        <v>252</v>
      </c>
      <c r="K12">
        <v>0</v>
      </c>
      <c r="L12" t="s">
        <v>251</v>
      </c>
      <c r="N12" t="s">
        <v>419</v>
      </c>
      <c r="O12" t="s">
        <v>252</v>
      </c>
      <c r="P12">
        <v>4.0814319723471888E-3</v>
      </c>
      <c r="Q12" t="s">
        <v>251</v>
      </c>
      <c r="S12" t="s">
        <v>420</v>
      </c>
      <c r="T12" t="s">
        <v>252</v>
      </c>
      <c r="U12">
        <v>4.3097825222294175E-3</v>
      </c>
      <c r="V12" t="s">
        <v>251</v>
      </c>
      <c r="X12">
        <v>3.5388127853881279E-3</v>
      </c>
      <c r="Y12">
        <v>5.240782636799844E-3</v>
      </c>
      <c r="Z12" t="s">
        <v>252</v>
      </c>
      <c r="AA12" t="s">
        <v>25</v>
      </c>
      <c r="AC12" t="s">
        <v>22</v>
      </c>
      <c r="AD12" t="s">
        <v>252</v>
      </c>
      <c r="AE12">
        <v>3.3095668155421962E-3</v>
      </c>
      <c r="AG12" t="s">
        <v>97</v>
      </c>
      <c r="AH12" t="s">
        <v>252</v>
      </c>
      <c r="AI12">
        <v>3.1209633865931563E-2</v>
      </c>
    </row>
    <row r="13" spans="1:40" x14ac:dyDescent="0.45">
      <c r="C13" t="s">
        <v>158</v>
      </c>
      <c r="D13" t="s">
        <v>159</v>
      </c>
      <c r="E13" t="s">
        <v>432</v>
      </c>
      <c r="F13" t="s">
        <v>158</v>
      </c>
      <c r="G13" t="s">
        <v>155</v>
      </c>
      <c r="I13" t="s">
        <v>249</v>
      </c>
      <c r="J13" t="s">
        <v>253</v>
      </c>
      <c r="K13">
        <v>2.0106799524999386E-4</v>
      </c>
      <c r="L13" t="s">
        <v>251</v>
      </c>
      <c r="N13" t="s">
        <v>419</v>
      </c>
      <c r="O13" t="s">
        <v>253</v>
      </c>
      <c r="P13">
        <v>4.033150452332668E-3</v>
      </c>
      <c r="Q13" t="s">
        <v>251</v>
      </c>
      <c r="S13" t="s">
        <v>420</v>
      </c>
      <c r="T13" t="s">
        <v>253</v>
      </c>
      <c r="U13">
        <v>4.30556758140406E-3</v>
      </c>
      <c r="V13" t="s">
        <v>251</v>
      </c>
      <c r="X13">
        <v>3.5388127853881279E-3</v>
      </c>
      <c r="Y13">
        <v>5.9087255218821738E-3</v>
      </c>
      <c r="Z13" t="s">
        <v>253</v>
      </c>
      <c r="AA13" t="s">
        <v>25</v>
      </c>
      <c r="AC13" t="s">
        <v>22</v>
      </c>
      <c r="AD13" t="s">
        <v>253</v>
      </c>
      <c r="AE13">
        <v>3.1520688773489483E-3</v>
      </c>
      <c r="AG13" t="s">
        <v>97</v>
      </c>
      <c r="AH13" t="s">
        <v>253</v>
      </c>
      <c r="AI13">
        <v>3.7632188426626412E-2</v>
      </c>
    </row>
    <row r="14" spans="1:40" x14ac:dyDescent="0.45">
      <c r="C14" t="s">
        <v>161</v>
      </c>
      <c r="D14" t="s">
        <v>162</v>
      </c>
      <c r="E14" t="s">
        <v>433</v>
      </c>
      <c r="F14" t="s">
        <v>161</v>
      </c>
      <c r="G14" t="s">
        <v>155</v>
      </c>
      <c r="I14" t="s">
        <v>249</v>
      </c>
      <c r="J14" t="s">
        <v>254</v>
      </c>
      <c r="K14">
        <v>4.9834507681872697E-2</v>
      </c>
      <c r="L14" t="s">
        <v>251</v>
      </c>
      <c r="N14" t="s">
        <v>419</v>
      </c>
      <c r="O14" t="s">
        <v>254</v>
      </c>
      <c r="P14">
        <v>2.3667065373781479E-2</v>
      </c>
      <c r="Q14" t="s">
        <v>251</v>
      </c>
      <c r="S14" t="s">
        <v>420</v>
      </c>
      <c r="T14" t="s">
        <v>254</v>
      </c>
      <c r="U14">
        <v>2.8474195890723288E-2</v>
      </c>
      <c r="V14" t="s">
        <v>251</v>
      </c>
      <c r="X14">
        <v>2.4771689497716895E-2</v>
      </c>
      <c r="Y14">
        <v>3.1424143732027281E-2</v>
      </c>
      <c r="Z14" t="s">
        <v>254</v>
      </c>
      <c r="AA14" t="s">
        <v>25</v>
      </c>
      <c r="AC14" t="s">
        <v>22</v>
      </c>
      <c r="AD14" t="s">
        <v>254</v>
      </c>
      <c r="AE14">
        <v>2.5346104661222169E-2</v>
      </c>
      <c r="AG14" t="s">
        <v>97</v>
      </c>
      <c r="AH14" t="s">
        <v>254</v>
      </c>
      <c r="AI14">
        <v>0.28402737458105975</v>
      </c>
    </row>
    <row r="15" spans="1:40" x14ac:dyDescent="0.45">
      <c r="C15" t="s">
        <v>165</v>
      </c>
      <c r="D15" t="s">
        <v>434</v>
      </c>
      <c r="E15" t="s">
        <v>435</v>
      </c>
      <c r="F15" t="s">
        <v>161</v>
      </c>
      <c r="G15" t="s">
        <v>155</v>
      </c>
      <c r="I15" t="s">
        <v>249</v>
      </c>
      <c r="J15" t="s">
        <v>255</v>
      </c>
      <c r="K15">
        <v>7.7021391491125003E-3</v>
      </c>
      <c r="L15" t="s">
        <v>251</v>
      </c>
      <c r="N15" t="s">
        <v>419</v>
      </c>
      <c r="O15" t="s">
        <v>255</v>
      </c>
      <c r="P15">
        <v>3.101223359272192E-3</v>
      </c>
      <c r="Q15" t="s">
        <v>251</v>
      </c>
      <c r="S15" t="s">
        <v>420</v>
      </c>
      <c r="T15" t="s">
        <v>255</v>
      </c>
      <c r="U15">
        <v>4.067137061951746E-3</v>
      </c>
      <c r="V15" t="s">
        <v>251</v>
      </c>
      <c r="X15">
        <v>3.5388127853881279E-3</v>
      </c>
      <c r="Y15">
        <v>5.3435430806586613E-3</v>
      </c>
      <c r="Z15" t="s">
        <v>255</v>
      </c>
      <c r="AA15" t="s">
        <v>25</v>
      </c>
      <c r="AC15" t="s">
        <v>22</v>
      </c>
      <c r="AD15" t="s">
        <v>255</v>
      </c>
      <c r="AE15">
        <v>4.2578284374204705E-3</v>
      </c>
      <c r="AG15" t="s">
        <v>97</v>
      </c>
      <c r="AH15" t="s">
        <v>255</v>
      </c>
      <c r="AI15">
        <v>5.7465312640921917E-2</v>
      </c>
    </row>
    <row r="16" spans="1:40" x14ac:dyDescent="0.45">
      <c r="C16" t="s">
        <v>167</v>
      </c>
      <c r="D16" t="s">
        <v>436</v>
      </c>
      <c r="E16" t="s">
        <v>437</v>
      </c>
      <c r="F16" t="s">
        <v>161</v>
      </c>
      <c r="G16" t="s">
        <v>155</v>
      </c>
      <c r="I16" t="s">
        <v>249</v>
      </c>
      <c r="J16" t="s">
        <v>256</v>
      </c>
      <c r="K16">
        <v>6.5047348408537988E-3</v>
      </c>
      <c r="L16" t="s">
        <v>251</v>
      </c>
      <c r="N16" t="s">
        <v>419</v>
      </c>
      <c r="O16" t="s">
        <v>256</v>
      </c>
      <c r="P16">
        <v>3.1831217606181723E-3</v>
      </c>
      <c r="Q16" t="s">
        <v>251</v>
      </c>
      <c r="S16" t="s">
        <v>420</v>
      </c>
      <c r="T16" t="s">
        <v>256</v>
      </c>
      <c r="U16">
        <v>4.0561869751066289E-3</v>
      </c>
      <c r="V16" t="s">
        <v>251</v>
      </c>
      <c r="X16">
        <v>3.5388127853881279E-3</v>
      </c>
      <c r="Y16">
        <v>6.8849497385409693E-3</v>
      </c>
      <c r="Z16" t="s">
        <v>256</v>
      </c>
      <c r="AA16" t="s">
        <v>25</v>
      </c>
      <c r="AC16" t="s">
        <v>22</v>
      </c>
      <c r="AD16" t="s">
        <v>256</v>
      </c>
      <c r="AE16">
        <v>4.2265697038094052E-3</v>
      </c>
      <c r="AG16" t="s">
        <v>97</v>
      </c>
      <c r="AH16" t="s">
        <v>256</v>
      </c>
      <c r="AI16">
        <v>3.8379035468125267E-2</v>
      </c>
    </row>
    <row r="17" spans="3:35" x14ac:dyDescent="0.45">
      <c r="C17" t="s">
        <v>169</v>
      </c>
      <c r="D17" t="s">
        <v>438</v>
      </c>
      <c r="E17" t="s">
        <v>439</v>
      </c>
      <c r="F17" t="s">
        <v>165</v>
      </c>
      <c r="G17" t="s">
        <v>155</v>
      </c>
      <c r="I17" t="s">
        <v>249</v>
      </c>
      <c r="J17" t="s">
        <v>257</v>
      </c>
      <c r="K17">
        <v>3.8391612194623543E-3</v>
      </c>
      <c r="L17" t="s">
        <v>251</v>
      </c>
      <c r="N17" t="s">
        <v>419</v>
      </c>
      <c r="O17" t="s">
        <v>257</v>
      </c>
      <c r="P17">
        <v>3.4653706361787956E-3</v>
      </c>
      <c r="Q17" t="s">
        <v>251</v>
      </c>
      <c r="S17" t="s">
        <v>420</v>
      </c>
      <c r="T17" t="s">
        <v>257</v>
      </c>
      <c r="U17">
        <v>4.1657394600128654E-3</v>
      </c>
      <c r="V17" t="s">
        <v>251</v>
      </c>
      <c r="X17">
        <v>3.5388127853881279E-3</v>
      </c>
      <c r="Y17">
        <v>6.8849497385409693E-3</v>
      </c>
      <c r="Z17" t="s">
        <v>257</v>
      </c>
      <c r="AA17" t="s">
        <v>25</v>
      </c>
      <c r="AC17" t="s">
        <v>22</v>
      </c>
      <c r="AD17" t="s">
        <v>257</v>
      </c>
      <c r="AE17">
        <v>4.2859190921906275E-3</v>
      </c>
      <c r="AG17" t="s">
        <v>97</v>
      </c>
      <c r="AH17" t="s">
        <v>257</v>
      </c>
      <c r="AI17">
        <v>4.4527242369231779E-2</v>
      </c>
    </row>
    <row r="18" spans="3:35" x14ac:dyDescent="0.45">
      <c r="C18" t="s">
        <v>171</v>
      </c>
      <c r="D18" t="s">
        <v>440</v>
      </c>
      <c r="E18" t="s">
        <v>441</v>
      </c>
      <c r="F18" t="s">
        <v>165</v>
      </c>
      <c r="G18" t="s">
        <v>155</v>
      </c>
      <c r="I18" t="s">
        <v>249</v>
      </c>
      <c r="J18" t="s">
        <v>258</v>
      </c>
      <c r="K18">
        <v>2.5439683141916474E-5</v>
      </c>
      <c r="L18" t="s">
        <v>251</v>
      </c>
      <c r="N18" t="s">
        <v>419</v>
      </c>
      <c r="O18" t="s">
        <v>258</v>
      </c>
      <c r="P18">
        <v>2.4479808311505789E-2</v>
      </c>
      <c r="Q18" t="s">
        <v>251</v>
      </c>
      <c r="S18" t="s">
        <v>420</v>
      </c>
      <c r="T18" t="s">
        <v>258</v>
      </c>
      <c r="U18">
        <v>2.8289011003994943E-2</v>
      </c>
      <c r="V18" t="s">
        <v>251</v>
      </c>
      <c r="X18">
        <v>2.1232876712328767E-2</v>
      </c>
      <c r="Y18">
        <v>1.8702400782305319E-2</v>
      </c>
      <c r="Z18" t="s">
        <v>258</v>
      </c>
      <c r="AA18" t="s">
        <v>25</v>
      </c>
      <c r="AC18" t="s">
        <v>22</v>
      </c>
      <c r="AD18" t="s">
        <v>258</v>
      </c>
      <c r="AE18">
        <v>2.6355989111971137E-2</v>
      </c>
      <c r="AG18" t="s">
        <v>97</v>
      </c>
      <c r="AH18" t="s">
        <v>258</v>
      </c>
      <c r="AI18">
        <v>9.6362226456162325E-2</v>
      </c>
    </row>
    <row r="19" spans="3:35" x14ac:dyDescent="0.45">
      <c r="C19" t="s">
        <v>164</v>
      </c>
      <c r="D19" t="s">
        <v>442</v>
      </c>
      <c r="E19" t="s">
        <v>443</v>
      </c>
      <c r="F19" t="s">
        <v>164</v>
      </c>
      <c r="G19" t="s">
        <v>155</v>
      </c>
      <c r="I19" t="s">
        <v>249</v>
      </c>
      <c r="J19" t="s">
        <v>259</v>
      </c>
      <c r="K19">
        <v>0</v>
      </c>
      <c r="L19" t="s">
        <v>251</v>
      </c>
      <c r="N19" t="s">
        <v>419</v>
      </c>
      <c r="O19" t="s">
        <v>259</v>
      </c>
      <c r="P19">
        <v>2.2799811813955566E-2</v>
      </c>
      <c r="Q19" t="s">
        <v>251</v>
      </c>
      <c r="S19" t="s">
        <v>420</v>
      </c>
      <c r="T19" t="s">
        <v>259</v>
      </c>
      <c r="U19">
        <v>1.847495076826134E-2</v>
      </c>
      <c r="V19" t="s">
        <v>251</v>
      </c>
      <c r="X19">
        <v>1.8493150684931507E-2</v>
      </c>
      <c r="Y19">
        <v>3.9559456032618153E-3</v>
      </c>
      <c r="Z19" t="s">
        <v>259</v>
      </c>
      <c r="AA19" t="s">
        <v>25</v>
      </c>
      <c r="AC19" t="s">
        <v>22</v>
      </c>
      <c r="AD19" t="s">
        <v>259</v>
      </c>
      <c r="AE19">
        <v>2.20795193625021E-2</v>
      </c>
      <c r="AG19" t="s">
        <v>97</v>
      </c>
      <c r="AH19" t="s">
        <v>259</v>
      </c>
      <c r="AI19">
        <v>0.1285917481113199</v>
      </c>
    </row>
    <row r="20" spans="3:35" x14ac:dyDescent="0.45">
      <c r="C20" t="s">
        <v>174</v>
      </c>
      <c r="D20" t="s">
        <v>444</v>
      </c>
      <c r="E20" t="s">
        <v>445</v>
      </c>
      <c r="F20" t="s">
        <v>174</v>
      </c>
      <c r="G20" t="s">
        <v>155</v>
      </c>
      <c r="I20" t="s">
        <v>249</v>
      </c>
      <c r="J20" t="s">
        <v>260</v>
      </c>
      <c r="K20">
        <v>0</v>
      </c>
      <c r="L20" t="s">
        <v>251</v>
      </c>
      <c r="N20" t="s">
        <v>419</v>
      </c>
      <c r="O20" t="s">
        <v>260</v>
      </c>
      <c r="P20">
        <v>3.6737642391134629E-3</v>
      </c>
      <c r="Q20" t="s">
        <v>251</v>
      </c>
      <c r="S20" t="s">
        <v>420</v>
      </c>
      <c r="T20" t="s">
        <v>260</v>
      </c>
      <c r="U20">
        <v>3.0913263835168001E-3</v>
      </c>
      <c r="V20" t="s">
        <v>251</v>
      </c>
      <c r="X20">
        <v>3.0821917808219177E-3</v>
      </c>
      <c r="Y20">
        <v>4.5645526191482504E-3</v>
      </c>
      <c r="Z20" t="s">
        <v>260</v>
      </c>
      <c r="AA20" t="s">
        <v>25</v>
      </c>
      <c r="AC20" t="s">
        <v>22</v>
      </c>
      <c r="AD20" t="s">
        <v>260</v>
      </c>
      <c r="AE20">
        <v>2.8622439027669254E-3</v>
      </c>
      <c r="AG20" t="s">
        <v>97</v>
      </c>
      <c r="AH20" t="s">
        <v>260</v>
      </c>
      <c r="AI20">
        <v>3.287756338608272E-2</v>
      </c>
    </row>
    <row r="21" spans="3:35" x14ac:dyDescent="0.45">
      <c r="C21" t="s">
        <v>176</v>
      </c>
      <c r="D21" t="s">
        <v>798</v>
      </c>
      <c r="E21" t="s">
        <v>446</v>
      </c>
      <c r="F21" t="s">
        <v>174</v>
      </c>
      <c r="G21" t="s">
        <v>155</v>
      </c>
      <c r="I21" t="s">
        <v>249</v>
      </c>
      <c r="J21" t="s">
        <v>261</v>
      </c>
      <c r="K21">
        <v>1.3839827927820719E-3</v>
      </c>
      <c r="L21" t="s">
        <v>251</v>
      </c>
      <c r="N21" t="s">
        <v>419</v>
      </c>
      <c r="O21" t="s">
        <v>261</v>
      </c>
      <c r="P21">
        <v>3.5961335505518732E-3</v>
      </c>
      <c r="Q21" t="s">
        <v>251</v>
      </c>
      <c r="S21" t="s">
        <v>420</v>
      </c>
      <c r="T21" t="s">
        <v>261</v>
      </c>
      <c r="U21">
        <v>3.1371462437282242E-3</v>
      </c>
      <c r="V21" t="s">
        <v>251</v>
      </c>
      <c r="X21">
        <v>3.0821917808219177E-3</v>
      </c>
      <c r="Y21">
        <v>5.146309325510281E-3</v>
      </c>
      <c r="Z21" t="s">
        <v>261</v>
      </c>
      <c r="AA21" t="s">
        <v>25</v>
      </c>
      <c r="AC21" t="s">
        <v>22</v>
      </c>
      <c r="AD21" t="s">
        <v>261</v>
      </c>
      <c r="AE21">
        <v>2.7560357603836324E-3</v>
      </c>
      <c r="AG21" t="s">
        <v>97</v>
      </c>
      <c r="AH21" t="s">
        <v>261</v>
      </c>
      <c r="AI21">
        <v>3.7383068282757392E-2</v>
      </c>
    </row>
    <row r="22" spans="3:35" x14ac:dyDescent="0.45">
      <c r="C22" t="s">
        <v>178</v>
      </c>
      <c r="D22" t="s">
        <v>799</v>
      </c>
      <c r="E22" t="s">
        <v>447</v>
      </c>
      <c r="F22" t="s">
        <v>174</v>
      </c>
      <c r="G22" t="s">
        <v>155</v>
      </c>
      <c r="I22" t="s">
        <v>249</v>
      </c>
      <c r="J22" t="s">
        <v>262</v>
      </c>
      <c r="K22">
        <v>4.9609925048041466E-2</v>
      </c>
      <c r="L22" t="s">
        <v>251</v>
      </c>
      <c r="N22" t="s">
        <v>419</v>
      </c>
      <c r="O22" t="s">
        <v>262</v>
      </c>
      <c r="P22">
        <v>2.1803778147660942E-2</v>
      </c>
      <c r="Q22" t="s">
        <v>251</v>
      </c>
      <c r="S22" t="s">
        <v>420</v>
      </c>
      <c r="T22" t="s">
        <v>262</v>
      </c>
      <c r="U22">
        <v>2.1200961526597405E-2</v>
      </c>
      <c r="V22" t="s">
        <v>251</v>
      </c>
      <c r="X22">
        <v>2.1575342465753426E-2</v>
      </c>
      <c r="Y22">
        <v>2.7369415508539895E-2</v>
      </c>
      <c r="Z22" t="s">
        <v>262</v>
      </c>
      <c r="AA22" t="s">
        <v>25</v>
      </c>
      <c r="AC22" t="s">
        <v>22</v>
      </c>
      <c r="AD22" t="s">
        <v>262</v>
      </c>
      <c r="AE22">
        <v>2.1797960578814932E-2</v>
      </c>
      <c r="AG22" t="s">
        <v>97</v>
      </c>
      <c r="AH22" t="s">
        <v>262</v>
      </c>
      <c r="AI22">
        <v>0.25524284095614469</v>
      </c>
    </row>
    <row r="23" spans="3:35" x14ac:dyDescent="0.45">
      <c r="D23" t="s">
        <v>800</v>
      </c>
      <c r="E23" t="s">
        <v>448</v>
      </c>
      <c r="F23" t="s">
        <v>176</v>
      </c>
      <c r="G23" t="s">
        <v>155</v>
      </c>
      <c r="I23" t="s">
        <v>249</v>
      </c>
      <c r="J23" t="s">
        <v>263</v>
      </c>
      <c r="K23">
        <v>7.4300446721567003E-3</v>
      </c>
      <c r="L23" t="s">
        <v>251</v>
      </c>
      <c r="N23" t="s">
        <v>419</v>
      </c>
      <c r="O23" t="s">
        <v>263</v>
      </c>
      <c r="P23">
        <v>3.0954677607786048E-3</v>
      </c>
      <c r="Q23" t="s">
        <v>251</v>
      </c>
      <c r="S23" t="s">
        <v>420</v>
      </c>
      <c r="T23" t="s">
        <v>263</v>
      </c>
      <c r="U23">
        <v>3.0872780893372517E-3</v>
      </c>
      <c r="V23" t="s">
        <v>251</v>
      </c>
      <c r="X23">
        <v>3.0821917808219177E-3</v>
      </c>
      <c r="Y23">
        <v>4.6540536508962536E-3</v>
      </c>
      <c r="Z23" t="s">
        <v>263</v>
      </c>
      <c r="AA23" t="s">
        <v>25</v>
      </c>
      <c r="AC23" t="s">
        <v>22</v>
      </c>
      <c r="AD23" t="s">
        <v>263</v>
      </c>
      <c r="AE23">
        <v>3.5920841631097737E-3</v>
      </c>
      <c r="AG23" t="s">
        <v>97</v>
      </c>
      <c r="AH23" t="s">
        <v>263</v>
      </c>
      <c r="AI23">
        <v>6.3298117082185801E-2</v>
      </c>
    </row>
    <row r="24" spans="3:35" x14ac:dyDescent="0.45">
      <c r="D24" t="s">
        <v>801</v>
      </c>
      <c r="E24" t="s">
        <v>449</v>
      </c>
      <c r="F24" t="s">
        <v>178</v>
      </c>
      <c r="G24" t="s">
        <v>155</v>
      </c>
      <c r="I24" t="s">
        <v>249</v>
      </c>
      <c r="J24" t="s">
        <v>264</v>
      </c>
      <c r="K24">
        <v>6.6344895739469997E-3</v>
      </c>
      <c r="L24" t="s">
        <v>251</v>
      </c>
      <c r="N24" t="s">
        <v>419</v>
      </c>
      <c r="O24" t="s">
        <v>264</v>
      </c>
      <c r="P24">
        <v>3.0686886051517247E-3</v>
      </c>
      <c r="Q24" t="s">
        <v>251</v>
      </c>
      <c r="S24" t="s">
        <v>420</v>
      </c>
      <c r="T24" t="s">
        <v>264</v>
      </c>
      <c r="U24">
        <v>3.024907008534325E-3</v>
      </c>
      <c r="V24" t="s">
        <v>251</v>
      </c>
      <c r="X24">
        <v>3.0821917808219177E-3</v>
      </c>
      <c r="Y24">
        <v>5.9965691271163281E-3</v>
      </c>
      <c r="Z24" t="s">
        <v>264</v>
      </c>
      <c r="AA24" t="s">
        <v>25</v>
      </c>
      <c r="AC24" t="s">
        <v>22</v>
      </c>
      <c r="AD24" t="s">
        <v>264</v>
      </c>
      <c r="AE24">
        <v>3.6169317722891886E-3</v>
      </c>
      <c r="AG24" t="s">
        <v>97</v>
      </c>
      <c r="AH24" t="s">
        <v>264</v>
      </c>
      <c r="AI24">
        <v>4.2790318756747991E-2</v>
      </c>
    </row>
    <row r="25" spans="3:35" x14ac:dyDescent="0.45">
      <c r="D25" t="s">
        <v>802</v>
      </c>
      <c r="E25" t="s">
        <v>450</v>
      </c>
      <c r="F25" t="s">
        <v>178</v>
      </c>
      <c r="G25" t="s">
        <v>155</v>
      </c>
      <c r="I25" t="s">
        <v>249</v>
      </c>
      <c r="J25" t="s">
        <v>265</v>
      </c>
      <c r="K25">
        <v>5.021345098525057E-3</v>
      </c>
      <c r="L25" t="s">
        <v>251</v>
      </c>
      <c r="N25" t="s">
        <v>419</v>
      </c>
      <c r="O25" t="s">
        <v>265</v>
      </c>
      <c r="P25">
        <v>3.1445361649823601E-3</v>
      </c>
      <c r="Q25" t="s">
        <v>251</v>
      </c>
      <c r="S25" t="s">
        <v>420</v>
      </c>
      <c r="T25" t="s">
        <v>265</v>
      </c>
      <c r="U25">
        <v>3.0315811438240653E-3</v>
      </c>
      <c r="V25" t="s">
        <v>251</v>
      </c>
      <c r="X25">
        <v>3.0821917808219177E-3</v>
      </c>
      <c r="Y25">
        <v>5.9965691271163281E-3</v>
      </c>
      <c r="Z25" t="s">
        <v>265</v>
      </c>
      <c r="AA25" t="s">
        <v>25</v>
      </c>
      <c r="AC25" t="s">
        <v>22</v>
      </c>
      <c r="AD25" t="s">
        <v>265</v>
      </c>
      <c r="AE25">
        <v>3.6713320212533448E-3</v>
      </c>
      <c r="AG25" t="s">
        <v>97</v>
      </c>
      <c r="AH25" t="s">
        <v>265</v>
      </c>
      <c r="AI25">
        <v>4.8945097500422197E-2</v>
      </c>
    </row>
    <row r="26" spans="3:35" x14ac:dyDescent="0.45">
      <c r="D26" t="s">
        <v>803</v>
      </c>
      <c r="E26" t="s">
        <v>451</v>
      </c>
      <c r="F26" t="s">
        <v>178</v>
      </c>
      <c r="G26" t="s">
        <v>155</v>
      </c>
      <c r="I26" t="s">
        <v>249</v>
      </c>
      <c r="J26" t="s">
        <v>266</v>
      </c>
      <c r="K26">
        <v>1.321460235787148E-3</v>
      </c>
      <c r="L26" t="s">
        <v>251</v>
      </c>
      <c r="N26" t="s">
        <v>419</v>
      </c>
      <c r="O26" t="s">
        <v>266</v>
      </c>
      <c r="P26">
        <v>2.2084144116053351E-2</v>
      </c>
      <c r="Q26" t="s">
        <v>251</v>
      </c>
      <c r="S26" t="s">
        <v>420</v>
      </c>
      <c r="T26" t="s">
        <v>266</v>
      </c>
      <c r="U26">
        <v>2.0045075592993834E-2</v>
      </c>
      <c r="V26" t="s">
        <v>251</v>
      </c>
      <c r="X26">
        <v>1.8493150684931507E-2</v>
      </c>
      <c r="Y26">
        <v>1.6289187778136888E-2</v>
      </c>
      <c r="Z26" t="s">
        <v>266</v>
      </c>
      <c r="AA26" t="s">
        <v>25</v>
      </c>
      <c r="AC26" t="s">
        <v>22</v>
      </c>
      <c r="AD26" t="s">
        <v>266</v>
      </c>
      <c r="AE26">
        <v>2.2607174832110163E-2</v>
      </c>
      <c r="AG26" t="s">
        <v>97</v>
      </c>
      <c r="AH26" t="s">
        <v>266</v>
      </c>
      <c r="AI26">
        <v>0.1041320277223281</v>
      </c>
    </row>
    <row r="27" spans="3:35" x14ac:dyDescent="0.45">
      <c r="E27" t="s">
        <v>452</v>
      </c>
      <c r="G27" t="s">
        <v>155</v>
      </c>
      <c r="I27" t="s">
        <v>249</v>
      </c>
      <c r="J27" t="s">
        <v>580</v>
      </c>
      <c r="K27">
        <v>0</v>
      </c>
      <c r="L27" t="s">
        <v>251</v>
      </c>
      <c r="N27" t="s">
        <v>419</v>
      </c>
      <c r="O27" t="s">
        <v>580</v>
      </c>
      <c r="P27">
        <v>1.2303496520499999E-4</v>
      </c>
      <c r="Q27" t="s">
        <v>251</v>
      </c>
      <c r="S27" t="s">
        <v>420</v>
      </c>
      <c r="T27" t="s">
        <v>580</v>
      </c>
      <c r="U27">
        <v>2.1426226598999999E-4</v>
      </c>
      <c r="V27" t="s">
        <v>251</v>
      </c>
      <c r="X27">
        <v>1.1415525114155251E-4</v>
      </c>
      <c r="Y27">
        <v>2.1546544680075254E-5</v>
      </c>
      <c r="Z27" t="s">
        <v>580</v>
      </c>
      <c r="AA27" t="s">
        <v>25</v>
      </c>
      <c r="AC27" t="s">
        <v>22</v>
      </c>
      <c r="AD27" t="s">
        <v>580</v>
      </c>
      <c r="AE27">
        <v>1.4937019875467839E-4</v>
      </c>
      <c r="AG27" t="s">
        <v>97</v>
      </c>
      <c r="AH27" t="s">
        <v>580</v>
      </c>
      <c r="AI27">
        <v>0</v>
      </c>
    </row>
    <row r="28" spans="3:35" x14ac:dyDescent="0.45">
      <c r="E28" t="s">
        <v>453</v>
      </c>
      <c r="G28" t="s">
        <v>155</v>
      </c>
      <c r="I28" t="s">
        <v>249</v>
      </c>
      <c r="J28" t="s">
        <v>581</v>
      </c>
      <c r="K28">
        <v>0</v>
      </c>
      <c r="L28" t="s">
        <v>251</v>
      </c>
      <c r="N28" t="s">
        <v>419</v>
      </c>
      <c r="O28" t="s">
        <v>581</v>
      </c>
      <c r="P28">
        <v>1.2041777052610001E-4</v>
      </c>
      <c r="Q28" t="s">
        <v>251</v>
      </c>
      <c r="S28" t="s">
        <v>420</v>
      </c>
      <c r="T28" t="s">
        <v>581</v>
      </c>
      <c r="U28">
        <v>2.1416571791119999E-4</v>
      </c>
      <c r="V28" t="s">
        <v>251</v>
      </c>
      <c r="X28">
        <v>1.1415525114155251E-4</v>
      </c>
      <c r="Y28">
        <v>1.4916838624667481E-5</v>
      </c>
      <c r="Z28" t="s">
        <v>581</v>
      </c>
      <c r="AA28" t="s">
        <v>25</v>
      </c>
      <c r="AC28" t="s">
        <v>22</v>
      </c>
      <c r="AD28" t="s">
        <v>581</v>
      </c>
      <c r="AE28">
        <v>1.4865201195554394E-4</v>
      </c>
      <c r="AG28" t="s">
        <v>97</v>
      </c>
      <c r="AH28" t="s">
        <v>581</v>
      </c>
      <c r="AI28">
        <v>0</v>
      </c>
    </row>
    <row r="29" spans="3:35" x14ac:dyDescent="0.45">
      <c r="E29" t="s">
        <v>454</v>
      </c>
      <c r="G29" t="s">
        <v>155</v>
      </c>
      <c r="I29" t="s">
        <v>249</v>
      </c>
      <c r="J29" t="s">
        <v>582</v>
      </c>
      <c r="K29">
        <v>0</v>
      </c>
      <c r="L29" t="s">
        <v>251</v>
      </c>
      <c r="N29" t="s">
        <v>419</v>
      </c>
      <c r="O29" t="s">
        <v>582</v>
      </c>
      <c r="P29">
        <v>1.190616971075E-4</v>
      </c>
      <c r="Q29" t="s">
        <v>251</v>
      </c>
      <c r="S29" t="s">
        <v>420</v>
      </c>
      <c r="T29" t="s">
        <v>582</v>
      </c>
      <c r="U29">
        <v>2.1529328802749999E-4</v>
      </c>
      <c r="V29" t="s">
        <v>251</v>
      </c>
      <c r="X29">
        <v>1.1415525114155251E-4</v>
      </c>
      <c r="Y29">
        <v>1.6574265138519424E-5</v>
      </c>
      <c r="Z29" t="s">
        <v>582</v>
      </c>
      <c r="AA29" t="s">
        <v>25</v>
      </c>
      <c r="AC29" t="s">
        <v>22</v>
      </c>
      <c r="AD29" t="s">
        <v>582</v>
      </c>
      <c r="AE29">
        <v>1.4489993946556362E-4</v>
      </c>
      <c r="AG29" t="s">
        <v>97</v>
      </c>
      <c r="AH29" t="s">
        <v>582</v>
      </c>
      <c r="AI29">
        <v>0</v>
      </c>
    </row>
    <row r="30" spans="3:35" x14ac:dyDescent="0.45">
      <c r="E30" t="s">
        <v>455</v>
      </c>
      <c r="G30" t="s">
        <v>155</v>
      </c>
      <c r="I30" t="s">
        <v>249</v>
      </c>
      <c r="J30" t="s">
        <v>583</v>
      </c>
      <c r="K30">
        <v>0</v>
      </c>
      <c r="L30" t="s">
        <v>251</v>
      </c>
      <c r="N30" t="s">
        <v>419</v>
      </c>
      <c r="O30" t="s">
        <v>583</v>
      </c>
      <c r="P30">
        <v>1.0963123429499999E-4</v>
      </c>
      <c r="Q30" t="s">
        <v>251</v>
      </c>
      <c r="S30" t="s">
        <v>420</v>
      </c>
      <c r="T30" t="s">
        <v>583</v>
      </c>
      <c r="U30">
        <v>2.1511487130480001E-4</v>
      </c>
      <c r="V30" t="s">
        <v>251</v>
      </c>
      <c r="X30">
        <v>1.1415525114155251E-4</v>
      </c>
      <c r="Y30">
        <v>1.4585353321897093E-5</v>
      </c>
      <c r="Z30" t="s">
        <v>583</v>
      </c>
      <c r="AA30" t="s">
        <v>25</v>
      </c>
      <c r="AC30" t="s">
        <v>22</v>
      </c>
      <c r="AD30" t="s">
        <v>583</v>
      </c>
      <c r="AE30">
        <v>1.3602851835426419E-4</v>
      </c>
      <c r="AG30" t="s">
        <v>97</v>
      </c>
      <c r="AH30" t="s">
        <v>583</v>
      </c>
      <c r="AI30">
        <v>0</v>
      </c>
    </row>
    <row r="31" spans="3:35" x14ac:dyDescent="0.45">
      <c r="E31" t="s">
        <v>456</v>
      </c>
      <c r="G31" t="s">
        <v>155</v>
      </c>
      <c r="I31" t="s">
        <v>249</v>
      </c>
      <c r="J31" t="s">
        <v>584</v>
      </c>
      <c r="K31">
        <v>0</v>
      </c>
      <c r="L31" t="s">
        <v>251</v>
      </c>
      <c r="N31" t="s">
        <v>419</v>
      </c>
      <c r="O31" t="s">
        <v>584</v>
      </c>
      <c r="P31">
        <v>1.0630664072779999E-4</v>
      </c>
      <c r="Q31" t="s">
        <v>251</v>
      </c>
      <c r="S31" t="s">
        <v>420</v>
      </c>
      <c r="T31" t="s">
        <v>584</v>
      </c>
      <c r="U31">
        <v>2.1294312292919999E-4</v>
      </c>
      <c r="V31" t="s">
        <v>251</v>
      </c>
      <c r="X31">
        <v>1.1415525114155251E-4</v>
      </c>
      <c r="Y31">
        <v>2.1215059377304864E-5</v>
      </c>
      <c r="Z31" t="s">
        <v>584</v>
      </c>
      <c r="AA31" t="s">
        <v>25</v>
      </c>
      <c r="AC31" t="s">
        <v>22</v>
      </c>
      <c r="AD31" t="s">
        <v>584</v>
      </c>
      <c r="AE31">
        <v>1.2341569617644856E-4</v>
      </c>
      <c r="AG31" t="s">
        <v>97</v>
      </c>
      <c r="AH31" t="s">
        <v>584</v>
      </c>
      <c r="AI31">
        <v>0</v>
      </c>
    </row>
    <row r="32" spans="3:35" x14ac:dyDescent="0.45">
      <c r="E32" t="s">
        <v>457</v>
      </c>
      <c r="G32" t="s">
        <v>155</v>
      </c>
      <c r="I32" t="s">
        <v>249</v>
      </c>
      <c r="J32" t="s">
        <v>585</v>
      </c>
      <c r="K32">
        <v>0</v>
      </c>
      <c r="L32" t="s">
        <v>251</v>
      </c>
      <c r="N32" t="s">
        <v>419</v>
      </c>
      <c r="O32" t="s">
        <v>585</v>
      </c>
      <c r="P32">
        <v>1.030406923936E-4</v>
      </c>
      <c r="Q32" t="s">
        <v>251</v>
      </c>
      <c r="S32" t="s">
        <v>420</v>
      </c>
      <c r="T32" t="s">
        <v>585</v>
      </c>
      <c r="U32">
        <v>2.08173057448E-4</v>
      </c>
      <c r="V32" t="s">
        <v>251</v>
      </c>
      <c r="X32">
        <v>1.1415525114155251E-4</v>
      </c>
      <c r="Y32">
        <v>5.7678442682047593E-5</v>
      </c>
      <c r="Z32" t="s">
        <v>585</v>
      </c>
      <c r="AA32" t="s">
        <v>25</v>
      </c>
      <c r="AC32" t="s">
        <v>22</v>
      </c>
      <c r="AD32" t="s">
        <v>585</v>
      </c>
      <c r="AE32">
        <v>1.1420038844401827E-4</v>
      </c>
      <c r="AG32" t="s">
        <v>97</v>
      </c>
      <c r="AH32" t="s">
        <v>585</v>
      </c>
      <c r="AI32">
        <v>0</v>
      </c>
    </row>
    <row r="33" spans="5:35" x14ac:dyDescent="0.45">
      <c r="E33" t="s">
        <v>458</v>
      </c>
      <c r="G33" t="s">
        <v>155</v>
      </c>
      <c r="I33" t="s">
        <v>249</v>
      </c>
      <c r="J33" t="s">
        <v>586</v>
      </c>
      <c r="K33">
        <v>0</v>
      </c>
      <c r="L33" t="s">
        <v>251</v>
      </c>
      <c r="N33" t="s">
        <v>419</v>
      </c>
      <c r="O33" t="s">
        <v>586</v>
      </c>
      <c r="P33">
        <v>1.0033120511310001E-4</v>
      </c>
      <c r="Q33" t="s">
        <v>251</v>
      </c>
      <c r="S33" t="s">
        <v>420</v>
      </c>
      <c r="T33" t="s">
        <v>586</v>
      </c>
      <c r="U33">
        <v>2.037960929512E-4</v>
      </c>
      <c r="V33" t="s">
        <v>251</v>
      </c>
      <c r="X33">
        <v>1.1415525114155251E-4</v>
      </c>
      <c r="Y33">
        <v>1.6905750441289813E-4</v>
      </c>
      <c r="Z33" t="s">
        <v>586</v>
      </c>
      <c r="AA33" t="s">
        <v>25</v>
      </c>
      <c r="AC33" t="s">
        <v>22</v>
      </c>
      <c r="AD33" t="s">
        <v>586</v>
      </c>
      <c r="AE33">
        <v>1.024650240605389E-4</v>
      </c>
      <c r="AG33" t="s">
        <v>97</v>
      </c>
      <c r="AH33" t="s">
        <v>586</v>
      </c>
      <c r="AI33">
        <v>0</v>
      </c>
    </row>
    <row r="34" spans="5:35" x14ac:dyDescent="0.45">
      <c r="E34" t="s">
        <v>459</v>
      </c>
      <c r="G34" t="s">
        <v>155</v>
      </c>
      <c r="I34" t="s">
        <v>249</v>
      </c>
      <c r="J34" t="s">
        <v>587</v>
      </c>
      <c r="K34">
        <v>1.15317092793E-4</v>
      </c>
      <c r="L34" t="s">
        <v>251</v>
      </c>
      <c r="N34" t="s">
        <v>419</v>
      </c>
      <c r="O34" t="s">
        <v>587</v>
      </c>
      <c r="P34">
        <v>9.6199772690958423E-5</v>
      </c>
      <c r="Q34" t="s">
        <v>251</v>
      </c>
      <c r="S34" t="s">
        <v>420</v>
      </c>
      <c r="T34" t="s">
        <v>587</v>
      </c>
      <c r="U34">
        <v>1.9962333698999999E-4</v>
      </c>
      <c r="V34" t="s">
        <v>251</v>
      </c>
      <c r="X34">
        <v>1.1415525114155251E-4</v>
      </c>
      <c r="Y34">
        <v>1.9060404909297337E-4</v>
      </c>
      <c r="Z34" t="s">
        <v>587</v>
      </c>
      <c r="AA34" t="s">
        <v>25</v>
      </c>
      <c r="AC34" t="s">
        <v>22</v>
      </c>
      <c r="AD34" t="s">
        <v>587</v>
      </c>
      <c r="AE34">
        <v>9.8229802873221124E-5</v>
      </c>
      <c r="AG34" t="s">
        <v>97</v>
      </c>
      <c r="AH34" t="s">
        <v>587</v>
      </c>
      <c r="AI34">
        <v>0</v>
      </c>
    </row>
    <row r="35" spans="5:35" x14ac:dyDescent="0.45">
      <c r="E35" t="s">
        <v>153</v>
      </c>
      <c r="G35" t="s">
        <v>159</v>
      </c>
      <c r="I35" t="s">
        <v>249</v>
      </c>
      <c r="J35" t="s">
        <v>588</v>
      </c>
      <c r="K35">
        <v>2.6308270060829999E-4</v>
      </c>
      <c r="L35" t="s">
        <v>251</v>
      </c>
      <c r="N35" t="s">
        <v>419</v>
      </c>
      <c r="O35" t="s">
        <v>588</v>
      </c>
      <c r="P35">
        <v>8.6570255867583542E-5</v>
      </c>
      <c r="Q35" t="s">
        <v>251</v>
      </c>
      <c r="S35" t="s">
        <v>420</v>
      </c>
      <c r="T35" t="s">
        <v>588</v>
      </c>
      <c r="U35">
        <v>1.9732499710540001E-4</v>
      </c>
      <c r="V35" t="s">
        <v>251</v>
      </c>
      <c r="X35">
        <v>1.1415525114155251E-4</v>
      </c>
      <c r="Y35">
        <v>1.4585353321897094E-4</v>
      </c>
      <c r="Z35" t="s">
        <v>588</v>
      </c>
      <c r="AA35" t="s">
        <v>25</v>
      </c>
      <c r="AC35" t="s">
        <v>22</v>
      </c>
      <c r="AD35" t="s">
        <v>588</v>
      </c>
      <c r="AE35">
        <v>9.3796359995057521E-5</v>
      </c>
      <c r="AG35" t="s">
        <v>97</v>
      </c>
      <c r="AH35" t="s">
        <v>588</v>
      </c>
      <c r="AI35">
        <v>0</v>
      </c>
    </row>
    <row r="36" spans="5:35" x14ac:dyDescent="0.45">
      <c r="E36" t="s">
        <v>157</v>
      </c>
      <c r="G36" t="s">
        <v>159</v>
      </c>
      <c r="I36" t="s">
        <v>249</v>
      </c>
      <c r="J36" t="s">
        <v>589</v>
      </c>
      <c r="K36">
        <v>3.1546376353810003E-4</v>
      </c>
      <c r="L36" t="s">
        <v>251</v>
      </c>
      <c r="N36" t="s">
        <v>419</v>
      </c>
      <c r="O36" t="s">
        <v>589</v>
      </c>
      <c r="P36">
        <v>7.7547721554165018E-5</v>
      </c>
      <c r="Q36" t="s">
        <v>251</v>
      </c>
      <c r="S36" t="s">
        <v>420</v>
      </c>
      <c r="T36" t="s">
        <v>589</v>
      </c>
      <c r="U36">
        <v>1.9601137775260001E-4</v>
      </c>
      <c r="V36" t="s">
        <v>251</v>
      </c>
      <c r="X36">
        <v>1.1415525114155251E-4</v>
      </c>
      <c r="Y36">
        <v>1.4452759200788939E-4</v>
      </c>
      <c r="Z36" t="s">
        <v>589</v>
      </c>
      <c r="AA36" t="s">
        <v>25</v>
      </c>
      <c r="AC36" t="s">
        <v>22</v>
      </c>
      <c r="AD36" t="s">
        <v>589</v>
      </c>
      <c r="AE36">
        <v>9.4087956641214265E-5</v>
      </c>
      <c r="AG36" t="s">
        <v>97</v>
      </c>
      <c r="AH36" t="s">
        <v>589</v>
      </c>
      <c r="AI36">
        <v>0</v>
      </c>
    </row>
    <row r="37" spans="5:35" x14ac:dyDescent="0.45">
      <c r="E37" t="s">
        <v>160</v>
      </c>
      <c r="G37" t="s">
        <v>159</v>
      </c>
      <c r="I37" t="s">
        <v>249</v>
      </c>
      <c r="J37" t="s">
        <v>590</v>
      </c>
      <c r="K37">
        <v>3.3242430208620002E-4</v>
      </c>
      <c r="L37" t="s">
        <v>251</v>
      </c>
      <c r="N37" t="s">
        <v>419</v>
      </c>
      <c r="O37" t="s">
        <v>590</v>
      </c>
      <c r="P37">
        <v>7.1907785253890857E-5</v>
      </c>
      <c r="Q37" t="s">
        <v>251</v>
      </c>
      <c r="S37" t="s">
        <v>420</v>
      </c>
      <c r="T37" t="s">
        <v>590</v>
      </c>
      <c r="U37">
        <v>1.9472215622439999E-4</v>
      </c>
      <c r="V37" t="s">
        <v>251</v>
      </c>
      <c r="X37">
        <v>1.1415525114155251E-4</v>
      </c>
      <c r="Y37">
        <v>1.408812536774151E-4</v>
      </c>
      <c r="Z37" t="s">
        <v>590</v>
      </c>
      <c r="AA37" t="s">
        <v>25</v>
      </c>
      <c r="AC37" t="s">
        <v>22</v>
      </c>
      <c r="AD37" t="s">
        <v>590</v>
      </c>
      <c r="AE37">
        <v>9.7252834055082036E-5</v>
      </c>
      <c r="AG37" t="s">
        <v>97</v>
      </c>
      <c r="AH37" t="s">
        <v>590</v>
      </c>
      <c r="AI37">
        <v>0</v>
      </c>
    </row>
    <row r="38" spans="5:35" x14ac:dyDescent="0.45">
      <c r="E38" t="s">
        <v>163</v>
      </c>
      <c r="G38" t="s">
        <v>159</v>
      </c>
      <c r="I38" t="s">
        <v>249</v>
      </c>
      <c r="J38" t="s">
        <v>591</v>
      </c>
      <c r="K38">
        <v>3.2632782722210002E-4</v>
      </c>
      <c r="L38" t="s">
        <v>251</v>
      </c>
      <c r="N38" t="s">
        <v>419</v>
      </c>
      <c r="O38" t="s">
        <v>591</v>
      </c>
      <c r="P38">
        <v>6.8349557933216953E-5</v>
      </c>
      <c r="Q38" t="s">
        <v>251</v>
      </c>
      <c r="S38" t="s">
        <v>420</v>
      </c>
      <c r="T38" t="s">
        <v>591</v>
      </c>
      <c r="U38">
        <v>1.9208169951959999E-4</v>
      </c>
      <c r="V38" t="s">
        <v>251</v>
      </c>
      <c r="X38">
        <v>1.1415525114155251E-4</v>
      </c>
      <c r="Y38">
        <v>1.4054976837464471E-4</v>
      </c>
      <c r="Z38" t="s">
        <v>591</v>
      </c>
      <c r="AA38" t="s">
        <v>25</v>
      </c>
      <c r="AC38" t="s">
        <v>22</v>
      </c>
      <c r="AD38" t="s">
        <v>591</v>
      </c>
      <c r="AE38">
        <v>1.092963357910875E-4</v>
      </c>
      <c r="AG38" t="s">
        <v>97</v>
      </c>
      <c r="AH38" t="s">
        <v>591</v>
      </c>
      <c r="AI38">
        <v>0</v>
      </c>
    </row>
    <row r="39" spans="5:35" x14ac:dyDescent="0.45">
      <c r="E39" t="s">
        <v>166</v>
      </c>
      <c r="G39" t="s">
        <v>159</v>
      </c>
      <c r="I39" t="s">
        <v>249</v>
      </c>
      <c r="J39" t="s">
        <v>592</v>
      </c>
      <c r="K39">
        <v>2.995904305821E-4</v>
      </c>
      <c r="L39" t="s">
        <v>251</v>
      </c>
      <c r="N39" t="s">
        <v>419</v>
      </c>
      <c r="O39" t="s">
        <v>592</v>
      </c>
      <c r="P39">
        <v>6.883663342058301E-5</v>
      </c>
      <c r="Q39" t="s">
        <v>251</v>
      </c>
      <c r="S39" t="s">
        <v>420</v>
      </c>
      <c r="T39" t="s">
        <v>592</v>
      </c>
      <c r="U39">
        <v>1.8999952036189999E-4</v>
      </c>
      <c r="V39" t="s">
        <v>251</v>
      </c>
      <c r="X39">
        <v>1.1415525114155251E-4</v>
      </c>
      <c r="Y39">
        <v>1.4253868019126702E-4</v>
      </c>
      <c r="Z39" t="s">
        <v>592</v>
      </c>
      <c r="AA39" t="s">
        <v>25</v>
      </c>
      <c r="AC39" t="s">
        <v>22</v>
      </c>
      <c r="AD39" t="s">
        <v>592</v>
      </c>
      <c r="AE39">
        <v>1.2824024672457171E-4</v>
      </c>
      <c r="AG39" t="s">
        <v>97</v>
      </c>
      <c r="AH39" t="s">
        <v>592</v>
      </c>
      <c r="AI39">
        <v>0</v>
      </c>
    </row>
    <row r="40" spans="5:35" x14ac:dyDescent="0.45">
      <c r="E40" t="s">
        <v>168</v>
      </c>
      <c r="G40" t="s">
        <v>159</v>
      </c>
      <c r="I40" t="s">
        <v>249</v>
      </c>
      <c r="J40" t="s">
        <v>593</v>
      </c>
      <c r="K40">
        <v>2.9944592458020002E-4</v>
      </c>
      <c r="L40" t="s">
        <v>251</v>
      </c>
      <c r="N40" t="s">
        <v>419</v>
      </c>
      <c r="O40" t="s">
        <v>593</v>
      </c>
      <c r="P40">
        <v>7.163442677540691E-5</v>
      </c>
      <c r="Q40" t="s">
        <v>251</v>
      </c>
      <c r="S40" t="s">
        <v>420</v>
      </c>
      <c r="T40" t="s">
        <v>593</v>
      </c>
      <c r="U40">
        <v>1.9007275515919999E-4</v>
      </c>
      <c r="V40" t="s">
        <v>251</v>
      </c>
      <c r="X40">
        <v>1.1415525114155251E-4</v>
      </c>
      <c r="Y40">
        <v>1.4883690094390442E-4</v>
      </c>
      <c r="Z40" t="s">
        <v>593</v>
      </c>
      <c r="AA40" t="s">
        <v>25</v>
      </c>
      <c r="AC40" t="s">
        <v>22</v>
      </c>
      <c r="AD40" t="s">
        <v>593</v>
      </c>
      <c r="AE40">
        <v>1.4206454225115016E-4</v>
      </c>
      <c r="AG40" t="s">
        <v>97</v>
      </c>
      <c r="AH40" t="s">
        <v>593</v>
      </c>
      <c r="AI40">
        <v>0</v>
      </c>
    </row>
    <row r="41" spans="5:35" x14ac:dyDescent="0.45">
      <c r="E41" t="s">
        <v>170</v>
      </c>
      <c r="G41" t="s">
        <v>159</v>
      </c>
      <c r="I41" t="s">
        <v>249</v>
      </c>
      <c r="J41" t="s">
        <v>594</v>
      </c>
      <c r="K41">
        <v>3.2039163942920002E-4</v>
      </c>
      <c r="L41" t="s">
        <v>251</v>
      </c>
      <c r="N41" t="s">
        <v>419</v>
      </c>
      <c r="O41" t="s">
        <v>594</v>
      </c>
      <c r="P41">
        <v>7.5880899146814294E-5</v>
      </c>
      <c r="Q41" t="s">
        <v>251</v>
      </c>
      <c r="S41" t="s">
        <v>420</v>
      </c>
      <c r="T41" t="s">
        <v>594</v>
      </c>
      <c r="U41">
        <v>1.900980347237E-4</v>
      </c>
      <c r="V41" t="s">
        <v>251</v>
      </c>
      <c r="X41">
        <v>1.1415525114155251E-4</v>
      </c>
      <c r="Y41">
        <v>1.5049432745775637E-4</v>
      </c>
      <c r="Z41" t="s">
        <v>594</v>
      </c>
      <c r="AA41" t="s">
        <v>25</v>
      </c>
      <c r="AC41" t="s">
        <v>22</v>
      </c>
      <c r="AD41" t="s">
        <v>594</v>
      </c>
      <c r="AE41">
        <v>1.4906206140215226E-4</v>
      </c>
      <c r="AG41" t="s">
        <v>97</v>
      </c>
      <c r="AH41" t="s">
        <v>594</v>
      </c>
      <c r="AI41">
        <v>0</v>
      </c>
    </row>
    <row r="42" spans="5:35" x14ac:dyDescent="0.45">
      <c r="E42" t="s">
        <v>172</v>
      </c>
      <c r="G42" t="s">
        <v>159</v>
      </c>
      <c r="I42" t="s">
        <v>249</v>
      </c>
      <c r="J42" t="s">
        <v>595</v>
      </c>
      <c r="K42">
        <v>3.2266236991800002E-4</v>
      </c>
      <c r="L42" t="s">
        <v>251</v>
      </c>
      <c r="N42" t="s">
        <v>419</v>
      </c>
      <c r="O42" t="s">
        <v>595</v>
      </c>
      <c r="P42">
        <v>6.7966139090836945E-5</v>
      </c>
      <c r="Q42" t="s">
        <v>251</v>
      </c>
      <c r="S42" t="s">
        <v>420</v>
      </c>
      <c r="T42" t="s">
        <v>595</v>
      </c>
      <c r="U42">
        <v>1.9047572836879999E-4</v>
      </c>
      <c r="V42" t="s">
        <v>251</v>
      </c>
      <c r="X42">
        <v>1.1415525114155251E-4</v>
      </c>
      <c r="Y42">
        <v>1.7237235744060203E-4</v>
      </c>
      <c r="Z42" t="s">
        <v>595</v>
      </c>
      <c r="AA42" t="s">
        <v>25</v>
      </c>
      <c r="AC42" t="s">
        <v>22</v>
      </c>
      <c r="AD42" t="s">
        <v>595</v>
      </c>
      <c r="AE42">
        <v>1.4105529237703218E-4</v>
      </c>
      <c r="AG42" t="s">
        <v>97</v>
      </c>
      <c r="AH42" t="s">
        <v>595</v>
      </c>
      <c r="AI42">
        <v>0</v>
      </c>
    </row>
    <row r="43" spans="5:35" x14ac:dyDescent="0.45">
      <c r="E43" t="s">
        <v>173</v>
      </c>
      <c r="G43" t="s">
        <v>159</v>
      </c>
      <c r="I43" t="s">
        <v>249</v>
      </c>
      <c r="J43" t="s">
        <v>596</v>
      </c>
      <c r="K43">
        <v>3.025057016722E-4</v>
      </c>
      <c r="L43" t="s">
        <v>251</v>
      </c>
      <c r="N43" t="s">
        <v>419</v>
      </c>
      <c r="O43" t="s">
        <v>596</v>
      </c>
      <c r="P43">
        <v>6.0041373331958497E-5</v>
      </c>
      <c r="Q43" t="s">
        <v>251</v>
      </c>
      <c r="S43" t="s">
        <v>420</v>
      </c>
      <c r="T43" t="s">
        <v>596</v>
      </c>
      <c r="U43">
        <v>1.8257011631059999E-4</v>
      </c>
      <c r="V43" t="s">
        <v>251</v>
      </c>
      <c r="X43">
        <v>1.1415525114155251E-4</v>
      </c>
      <c r="Y43">
        <v>2.2209515285616027E-4</v>
      </c>
      <c r="Z43" t="s">
        <v>596</v>
      </c>
      <c r="AA43" t="s">
        <v>25</v>
      </c>
      <c r="AC43" t="s">
        <v>22</v>
      </c>
      <c r="AD43" t="s">
        <v>596</v>
      </c>
      <c r="AE43">
        <v>1.4033710557789772E-4</v>
      </c>
      <c r="AG43" t="s">
        <v>97</v>
      </c>
      <c r="AH43" t="s">
        <v>596</v>
      </c>
      <c r="AI43">
        <v>0</v>
      </c>
    </row>
    <row r="44" spans="5:35" x14ac:dyDescent="0.45">
      <c r="E44" t="s">
        <v>175</v>
      </c>
      <c r="G44" t="s">
        <v>159</v>
      </c>
      <c r="I44" t="s">
        <v>249</v>
      </c>
      <c r="J44" t="s">
        <v>597</v>
      </c>
      <c r="K44">
        <v>2.467687934208E-4</v>
      </c>
      <c r="L44" t="s">
        <v>251</v>
      </c>
      <c r="N44" t="s">
        <v>419</v>
      </c>
      <c r="O44" t="s">
        <v>597</v>
      </c>
      <c r="P44">
        <v>5.1211040024398931E-5</v>
      </c>
      <c r="Q44" t="s">
        <v>251</v>
      </c>
      <c r="S44" t="s">
        <v>420</v>
      </c>
      <c r="T44" t="s">
        <v>597</v>
      </c>
      <c r="U44">
        <v>1.8097241467839999E-4</v>
      </c>
      <c r="V44" t="s">
        <v>251</v>
      </c>
      <c r="X44">
        <v>1.1415525114155251E-4</v>
      </c>
      <c r="Y44">
        <v>2.2209515285616027E-4</v>
      </c>
      <c r="Z44" t="s">
        <v>597</v>
      </c>
      <c r="AA44" t="s">
        <v>25</v>
      </c>
      <c r="AC44" t="s">
        <v>22</v>
      </c>
      <c r="AD44" t="s">
        <v>597</v>
      </c>
      <c r="AE44">
        <v>1.4146934360743956E-4</v>
      </c>
      <c r="AG44" t="s">
        <v>97</v>
      </c>
      <c r="AH44" t="s">
        <v>597</v>
      </c>
      <c r="AI44">
        <v>0</v>
      </c>
    </row>
    <row r="45" spans="5:35" x14ac:dyDescent="0.45">
      <c r="E45" t="s">
        <v>177</v>
      </c>
      <c r="G45" t="s">
        <v>159</v>
      </c>
      <c r="I45" t="s">
        <v>249</v>
      </c>
      <c r="J45" t="s">
        <v>598</v>
      </c>
      <c r="K45">
        <v>1.018421857154E-4</v>
      </c>
      <c r="L45" t="s">
        <v>251</v>
      </c>
      <c r="N45" t="s">
        <v>419</v>
      </c>
      <c r="O45" t="s">
        <v>598</v>
      </c>
      <c r="P45">
        <v>5.0985314108960522E-5</v>
      </c>
      <c r="Q45" t="s">
        <v>251</v>
      </c>
      <c r="S45" t="s">
        <v>420</v>
      </c>
      <c r="T45" t="s">
        <v>598</v>
      </c>
      <c r="U45">
        <v>1.8773932379180001E-4</v>
      </c>
      <c r="V45" t="s">
        <v>251</v>
      </c>
      <c r="X45">
        <v>1.1415525114155251E-4</v>
      </c>
      <c r="Y45">
        <v>1.7237235744060203E-4</v>
      </c>
      <c r="Z45" t="s">
        <v>598</v>
      </c>
      <c r="AA45" t="s">
        <v>25</v>
      </c>
      <c r="AC45" t="s">
        <v>22</v>
      </c>
      <c r="AD45" t="s">
        <v>598</v>
      </c>
      <c r="AE45">
        <v>1.40522254775E-4</v>
      </c>
      <c r="AG45" t="s">
        <v>97</v>
      </c>
      <c r="AH45" t="s">
        <v>598</v>
      </c>
      <c r="AI45">
        <v>0</v>
      </c>
    </row>
    <row r="46" spans="5:35" x14ac:dyDescent="0.45">
      <c r="E46" t="s">
        <v>179</v>
      </c>
      <c r="G46" t="s">
        <v>159</v>
      </c>
      <c r="I46" t="s">
        <v>249</v>
      </c>
      <c r="J46" t="s">
        <v>599</v>
      </c>
      <c r="K46">
        <v>0</v>
      </c>
      <c r="L46" t="s">
        <v>251</v>
      </c>
      <c r="N46" t="s">
        <v>419</v>
      </c>
      <c r="O46" t="s">
        <v>599</v>
      </c>
      <c r="P46">
        <v>5.2294142915665621E-5</v>
      </c>
      <c r="Q46" t="s">
        <v>251</v>
      </c>
      <c r="S46" t="s">
        <v>420</v>
      </c>
      <c r="T46" t="s">
        <v>599</v>
      </c>
      <c r="U46">
        <v>1.9435846386089999E-4</v>
      </c>
      <c r="V46" t="s">
        <v>251</v>
      </c>
      <c r="X46">
        <v>1.1415525114155251E-4</v>
      </c>
      <c r="Y46">
        <v>1.5579809230208258E-4</v>
      </c>
      <c r="Z46" t="s">
        <v>599</v>
      </c>
      <c r="AA46" t="s">
        <v>25</v>
      </c>
      <c r="AC46" t="s">
        <v>22</v>
      </c>
      <c r="AD46" t="s">
        <v>599</v>
      </c>
      <c r="AE46">
        <v>1.4067058756115109E-4</v>
      </c>
      <c r="AG46" t="s">
        <v>97</v>
      </c>
      <c r="AH46" t="s">
        <v>599</v>
      </c>
      <c r="AI46">
        <v>0</v>
      </c>
    </row>
    <row r="47" spans="5:35" x14ac:dyDescent="0.45">
      <c r="E47" t="s">
        <v>180</v>
      </c>
      <c r="G47" t="s">
        <v>159</v>
      </c>
      <c r="I47" t="s">
        <v>249</v>
      </c>
      <c r="J47" t="s">
        <v>600</v>
      </c>
      <c r="K47">
        <v>0</v>
      </c>
      <c r="L47" t="s">
        <v>251</v>
      </c>
      <c r="N47" t="s">
        <v>419</v>
      </c>
      <c r="O47" t="s">
        <v>600</v>
      </c>
      <c r="P47">
        <v>5.3302920288193069E-5</v>
      </c>
      <c r="Q47" t="s">
        <v>251</v>
      </c>
      <c r="S47" t="s">
        <v>420</v>
      </c>
      <c r="T47" t="s">
        <v>600</v>
      </c>
      <c r="U47">
        <v>1.987180698499E-4</v>
      </c>
      <c r="V47" t="s">
        <v>251</v>
      </c>
      <c r="X47">
        <v>1.1415525114155251E-4</v>
      </c>
      <c r="Y47">
        <v>1.093901499142282E-4</v>
      </c>
      <c r="Z47" t="s">
        <v>600</v>
      </c>
      <c r="AA47" t="s">
        <v>25</v>
      </c>
      <c r="AC47" t="s">
        <v>22</v>
      </c>
      <c r="AD47" t="s">
        <v>600</v>
      </c>
      <c r="AE47">
        <v>1.409192317278648E-4</v>
      </c>
      <c r="AG47" t="s">
        <v>97</v>
      </c>
      <c r="AH47" t="s">
        <v>600</v>
      </c>
      <c r="AI47">
        <v>0</v>
      </c>
    </row>
    <row r="48" spans="5:35" x14ac:dyDescent="0.45">
      <c r="E48" t="s">
        <v>181</v>
      </c>
      <c r="G48" t="s">
        <v>159</v>
      </c>
      <c r="I48" t="s">
        <v>249</v>
      </c>
      <c r="J48" t="s">
        <v>601</v>
      </c>
      <c r="K48">
        <v>0</v>
      </c>
      <c r="L48" t="s">
        <v>251</v>
      </c>
      <c r="N48" t="s">
        <v>419</v>
      </c>
      <c r="O48" t="s">
        <v>601</v>
      </c>
      <c r="P48">
        <v>5.2534304868499202E-5</v>
      </c>
      <c r="Q48" t="s">
        <v>251</v>
      </c>
      <c r="S48" t="s">
        <v>420</v>
      </c>
      <c r="T48" t="s">
        <v>601</v>
      </c>
      <c r="U48">
        <v>2.0049373590409999E-4</v>
      </c>
      <c r="V48" t="s">
        <v>251</v>
      </c>
      <c r="X48">
        <v>1.1415525114155251E-4</v>
      </c>
      <c r="Y48">
        <v>7.9556472664893237E-5</v>
      </c>
      <c r="Z48" t="s">
        <v>601</v>
      </c>
      <c r="AA48" t="s">
        <v>25</v>
      </c>
      <c r="AC48" t="s">
        <v>22</v>
      </c>
      <c r="AD48" t="s">
        <v>601</v>
      </c>
      <c r="AE48">
        <v>1.4217499148400369E-4</v>
      </c>
      <c r="AG48" t="s">
        <v>97</v>
      </c>
      <c r="AH48" t="s">
        <v>601</v>
      </c>
      <c r="AI48">
        <v>0</v>
      </c>
    </row>
    <row r="49" spans="5:35" x14ac:dyDescent="0.45">
      <c r="E49" t="s">
        <v>182</v>
      </c>
      <c r="G49" t="s">
        <v>159</v>
      </c>
      <c r="I49" t="s">
        <v>249</v>
      </c>
      <c r="J49" t="s">
        <v>602</v>
      </c>
      <c r="K49">
        <v>0</v>
      </c>
      <c r="L49" t="s">
        <v>251</v>
      </c>
      <c r="N49" t="s">
        <v>419</v>
      </c>
      <c r="O49" t="s">
        <v>602</v>
      </c>
      <c r="P49">
        <v>5.0096841810427148E-5</v>
      </c>
      <c r="Q49" t="s">
        <v>251</v>
      </c>
      <c r="S49" t="s">
        <v>420</v>
      </c>
      <c r="T49" t="s">
        <v>602</v>
      </c>
      <c r="U49">
        <v>1.9947612003629999E-4</v>
      </c>
      <c r="V49" t="s">
        <v>251</v>
      </c>
      <c r="X49">
        <v>1.1415525114155251E-4</v>
      </c>
      <c r="Y49">
        <v>5.6352501470966035E-5</v>
      </c>
      <c r="Z49" t="s">
        <v>602</v>
      </c>
      <c r="AA49" t="s">
        <v>25</v>
      </c>
      <c r="AC49" t="s">
        <v>22</v>
      </c>
      <c r="AD49" t="s">
        <v>602</v>
      </c>
      <c r="AE49">
        <v>1.4572564085609896E-4</v>
      </c>
      <c r="AG49" t="s">
        <v>97</v>
      </c>
      <c r="AH49" t="s">
        <v>602</v>
      </c>
      <c r="AI49">
        <v>0</v>
      </c>
    </row>
    <row r="50" spans="5:35" x14ac:dyDescent="0.45">
      <c r="E50" t="s">
        <v>183</v>
      </c>
      <c r="G50" t="s">
        <v>159</v>
      </c>
      <c r="I50" t="s">
        <v>249</v>
      </c>
      <c r="J50" t="s">
        <v>603</v>
      </c>
      <c r="K50">
        <v>0</v>
      </c>
      <c r="L50" t="s">
        <v>251</v>
      </c>
      <c r="N50" t="s">
        <v>419</v>
      </c>
      <c r="O50" t="s">
        <v>603</v>
      </c>
      <c r="P50">
        <v>4.6728852056332998E-5</v>
      </c>
      <c r="Q50" t="s">
        <v>251</v>
      </c>
      <c r="S50" t="s">
        <v>420</v>
      </c>
      <c r="T50" t="s">
        <v>603</v>
      </c>
      <c r="U50">
        <v>1.9482848480310001E-4</v>
      </c>
      <c r="V50" t="s">
        <v>251</v>
      </c>
      <c r="X50">
        <v>1.1415525114155251E-4</v>
      </c>
      <c r="Y50">
        <v>2.9833677249334962E-5</v>
      </c>
      <c r="Z50" t="s">
        <v>603</v>
      </c>
      <c r="AA50" t="s">
        <v>25</v>
      </c>
      <c r="AC50" t="s">
        <v>22</v>
      </c>
      <c r="AD50" t="s">
        <v>603</v>
      </c>
      <c r="AE50">
        <v>1.4865467981140995E-4</v>
      </c>
      <c r="AG50" t="s">
        <v>97</v>
      </c>
      <c r="AH50" t="s">
        <v>603</v>
      </c>
      <c r="AI50">
        <v>0</v>
      </c>
    </row>
    <row r="51" spans="5:35" x14ac:dyDescent="0.45">
      <c r="E51" t="s">
        <v>184</v>
      </c>
      <c r="G51" t="s">
        <v>159</v>
      </c>
      <c r="I51" t="s">
        <v>249</v>
      </c>
      <c r="J51" t="s">
        <v>267</v>
      </c>
      <c r="K51">
        <v>0</v>
      </c>
      <c r="L51" t="s">
        <v>251</v>
      </c>
      <c r="N51" t="s">
        <v>419</v>
      </c>
      <c r="O51" t="s">
        <v>267</v>
      </c>
      <c r="P51">
        <v>2.3373736692577831E-2</v>
      </c>
      <c r="Q51" t="s">
        <v>251</v>
      </c>
      <c r="S51" t="s">
        <v>420</v>
      </c>
      <c r="T51" t="s">
        <v>267</v>
      </c>
      <c r="U51">
        <v>2.1393844026432282E-2</v>
      </c>
      <c r="V51" t="s">
        <v>251</v>
      </c>
      <c r="X51">
        <v>2.0547945205479451E-2</v>
      </c>
      <c r="Y51">
        <v>4.3954951147353507E-3</v>
      </c>
      <c r="Z51" t="s">
        <v>267</v>
      </c>
      <c r="AA51" t="s">
        <v>25</v>
      </c>
      <c r="AC51" t="s">
        <v>22</v>
      </c>
      <c r="AD51" t="s">
        <v>267</v>
      </c>
      <c r="AE51">
        <v>2.1768015100710601E-2</v>
      </c>
      <c r="AG51" t="s">
        <v>97</v>
      </c>
      <c r="AH51" t="s">
        <v>267</v>
      </c>
      <c r="AI51">
        <v>0.16707021196597416</v>
      </c>
    </row>
    <row r="52" spans="5:35" x14ac:dyDescent="0.45">
      <c r="E52" t="s">
        <v>185</v>
      </c>
      <c r="G52" t="s">
        <v>159</v>
      </c>
      <c r="I52" t="s">
        <v>249</v>
      </c>
      <c r="J52" t="s">
        <v>268</v>
      </c>
      <c r="K52">
        <v>3.098396949005206E-4</v>
      </c>
      <c r="L52" t="s">
        <v>251</v>
      </c>
      <c r="N52" t="s">
        <v>419</v>
      </c>
      <c r="O52" t="s">
        <v>268</v>
      </c>
      <c r="P52">
        <v>3.811049373547295E-3</v>
      </c>
      <c r="Q52" t="s">
        <v>251</v>
      </c>
      <c r="S52" t="s">
        <v>420</v>
      </c>
      <c r="T52" t="s">
        <v>268</v>
      </c>
      <c r="U52">
        <v>3.394730970557668E-3</v>
      </c>
      <c r="V52" t="s">
        <v>251</v>
      </c>
      <c r="X52">
        <v>3.4246575342465752E-3</v>
      </c>
      <c r="Y52">
        <v>5.0717251323869452E-3</v>
      </c>
      <c r="Z52" t="s">
        <v>268</v>
      </c>
      <c r="AA52" t="s">
        <v>25</v>
      </c>
      <c r="AC52" t="s">
        <v>22</v>
      </c>
      <c r="AD52" t="s">
        <v>268</v>
      </c>
      <c r="AE52">
        <v>2.7925241014647357E-3</v>
      </c>
      <c r="AG52" t="s">
        <v>97</v>
      </c>
      <c r="AH52" t="s">
        <v>268</v>
      </c>
      <c r="AI52">
        <v>5.8975040490549802E-2</v>
      </c>
    </row>
    <row r="53" spans="5:35" x14ac:dyDescent="0.45">
      <c r="E53" t="s">
        <v>186</v>
      </c>
      <c r="G53" t="s">
        <v>159</v>
      </c>
      <c r="I53" t="s">
        <v>249</v>
      </c>
      <c r="J53" t="s">
        <v>269</v>
      </c>
      <c r="K53">
        <v>4.5752443232588607E-3</v>
      </c>
      <c r="L53" t="s">
        <v>251</v>
      </c>
      <c r="N53" t="s">
        <v>419</v>
      </c>
      <c r="O53" t="s">
        <v>269</v>
      </c>
      <c r="P53">
        <v>3.6146849589760526E-3</v>
      </c>
      <c r="Q53" t="s">
        <v>251</v>
      </c>
      <c r="S53" t="s">
        <v>420</v>
      </c>
      <c r="T53" t="s">
        <v>269</v>
      </c>
      <c r="U53">
        <v>3.4256861623300195E-3</v>
      </c>
      <c r="V53" t="s">
        <v>251</v>
      </c>
      <c r="X53">
        <v>3.4246575342465752E-3</v>
      </c>
      <c r="Y53">
        <v>5.7181214727892006E-3</v>
      </c>
      <c r="Z53" t="s">
        <v>269</v>
      </c>
      <c r="AA53" t="s">
        <v>25</v>
      </c>
      <c r="AC53" t="s">
        <v>22</v>
      </c>
      <c r="AD53" t="s">
        <v>269</v>
      </c>
      <c r="AE53">
        <v>2.7198639798111453E-3</v>
      </c>
      <c r="AG53" t="s">
        <v>97</v>
      </c>
      <c r="AH53" t="s">
        <v>269</v>
      </c>
      <c r="AI53">
        <v>4.6613973066471193E-2</v>
      </c>
    </row>
    <row r="54" spans="5:35" x14ac:dyDescent="0.45">
      <c r="E54" t="s">
        <v>187</v>
      </c>
      <c r="G54" t="s">
        <v>159</v>
      </c>
      <c r="I54" t="s">
        <v>249</v>
      </c>
      <c r="J54" t="s">
        <v>270</v>
      </c>
      <c r="K54">
        <v>5.8586635677510102E-2</v>
      </c>
      <c r="L54" t="s">
        <v>251</v>
      </c>
      <c r="N54" t="s">
        <v>419</v>
      </c>
      <c r="O54" t="s">
        <v>270</v>
      </c>
      <c r="P54">
        <v>2.2602250473590404E-2</v>
      </c>
      <c r="Q54" t="s">
        <v>251</v>
      </c>
      <c r="S54" t="s">
        <v>420</v>
      </c>
      <c r="T54" t="s">
        <v>270</v>
      </c>
      <c r="U54">
        <v>2.2463616871217645E-2</v>
      </c>
      <c r="V54" t="s">
        <v>251</v>
      </c>
      <c r="X54">
        <v>2.3972602739726026E-2</v>
      </c>
      <c r="Y54">
        <v>3.0410461676155433E-2</v>
      </c>
      <c r="Z54" t="s">
        <v>270</v>
      </c>
      <c r="AA54" t="s">
        <v>25</v>
      </c>
      <c r="AC54" t="s">
        <v>22</v>
      </c>
      <c r="AD54" t="s">
        <v>270</v>
      </c>
      <c r="AE54">
        <v>2.3037893281267607E-2</v>
      </c>
      <c r="AG54" t="s">
        <v>97</v>
      </c>
      <c r="AH54" t="s">
        <v>270</v>
      </c>
      <c r="AI54">
        <v>0.25225846547596253</v>
      </c>
    </row>
    <row r="55" spans="5:35" x14ac:dyDescent="0.45">
      <c r="E55" t="s">
        <v>188</v>
      </c>
      <c r="G55" t="s">
        <v>159</v>
      </c>
      <c r="I55" t="s">
        <v>249</v>
      </c>
      <c r="J55" t="s">
        <v>271</v>
      </c>
      <c r="K55">
        <v>8.2621907739625997E-3</v>
      </c>
      <c r="L55" t="s">
        <v>251</v>
      </c>
      <c r="N55" t="s">
        <v>419</v>
      </c>
      <c r="O55" t="s">
        <v>271</v>
      </c>
      <c r="P55">
        <v>3.3222085928234671E-3</v>
      </c>
      <c r="Q55" t="s">
        <v>251</v>
      </c>
      <c r="S55" t="s">
        <v>420</v>
      </c>
      <c r="T55" t="s">
        <v>271</v>
      </c>
      <c r="U55">
        <v>3.4226505957336401E-3</v>
      </c>
      <c r="V55" t="s">
        <v>251</v>
      </c>
      <c r="X55">
        <v>3.4246575342465752E-3</v>
      </c>
      <c r="Y55">
        <v>5.1711707232180593E-3</v>
      </c>
      <c r="Z55" t="s">
        <v>271</v>
      </c>
      <c r="AA55" t="s">
        <v>25</v>
      </c>
      <c r="AC55" t="s">
        <v>22</v>
      </c>
      <c r="AD55" t="s">
        <v>271</v>
      </c>
      <c r="AE55">
        <v>3.7286112298839822E-3</v>
      </c>
      <c r="AG55" t="s">
        <v>97</v>
      </c>
      <c r="AH55" t="s">
        <v>271</v>
      </c>
      <c r="AI55">
        <v>7.5498395525352313E-2</v>
      </c>
    </row>
    <row r="56" spans="5:35" x14ac:dyDescent="0.45">
      <c r="E56" t="s">
        <v>189</v>
      </c>
      <c r="G56" t="s">
        <v>159</v>
      </c>
      <c r="I56" t="s">
        <v>249</v>
      </c>
      <c r="J56" t="s">
        <v>272</v>
      </c>
      <c r="K56">
        <v>7.4346059738689997E-3</v>
      </c>
      <c r="L56" t="s">
        <v>251</v>
      </c>
      <c r="N56" t="s">
        <v>419</v>
      </c>
      <c r="O56" t="s">
        <v>272</v>
      </c>
      <c r="P56">
        <v>3.2746320972121459E-3</v>
      </c>
      <c r="Q56" t="s">
        <v>251</v>
      </c>
      <c r="S56" t="s">
        <v>420</v>
      </c>
      <c r="T56" t="s">
        <v>272</v>
      </c>
      <c r="U56">
        <v>3.3291755760847287E-3</v>
      </c>
      <c r="V56" t="s">
        <v>251</v>
      </c>
      <c r="X56">
        <v>3.4246575342465752E-3</v>
      </c>
      <c r="Y56">
        <v>6.662854585684809E-3</v>
      </c>
      <c r="Z56" t="s">
        <v>272</v>
      </c>
      <c r="AA56" t="s">
        <v>25</v>
      </c>
      <c r="AC56" t="s">
        <v>22</v>
      </c>
      <c r="AD56" t="s">
        <v>272</v>
      </c>
      <c r="AE56">
        <v>3.7937808126225292E-3</v>
      </c>
      <c r="AG56" t="s">
        <v>97</v>
      </c>
      <c r="AH56" t="s">
        <v>272</v>
      </c>
      <c r="AI56">
        <v>6.6260946744809868E-2</v>
      </c>
    </row>
    <row r="57" spans="5:35" x14ac:dyDescent="0.45">
      <c r="E57" t="s">
        <v>190</v>
      </c>
      <c r="G57" t="s">
        <v>159</v>
      </c>
      <c r="I57" t="s">
        <v>249</v>
      </c>
      <c r="J57" t="s">
        <v>273</v>
      </c>
      <c r="K57">
        <v>5.8830536883139996E-3</v>
      </c>
      <c r="L57" t="s">
        <v>251</v>
      </c>
      <c r="N57" t="s">
        <v>419</v>
      </c>
      <c r="O57" t="s">
        <v>273</v>
      </c>
      <c r="P57">
        <v>3.2491468856000964E-3</v>
      </c>
      <c r="Q57" t="s">
        <v>251</v>
      </c>
      <c r="S57" t="s">
        <v>420</v>
      </c>
      <c r="T57" t="s">
        <v>273</v>
      </c>
      <c r="U57">
        <v>3.367378819246957E-3</v>
      </c>
      <c r="V57" t="s">
        <v>251</v>
      </c>
      <c r="X57">
        <v>3.4246575342465752E-3</v>
      </c>
      <c r="Y57">
        <v>6.662854585684809E-3</v>
      </c>
      <c r="Z57" t="s">
        <v>273</v>
      </c>
      <c r="AA57" t="s">
        <v>25</v>
      </c>
      <c r="AC57" t="s">
        <v>22</v>
      </c>
      <c r="AD57" t="s">
        <v>273</v>
      </c>
      <c r="AE57">
        <v>3.8126670978693069E-3</v>
      </c>
      <c r="AG57" t="s">
        <v>97</v>
      </c>
      <c r="AH57" t="s">
        <v>273</v>
      </c>
      <c r="AI57">
        <v>6.6455929736345398E-2</v>
      </c>
    </row>
    <row r="58" spans="5:35" x14ac:dyDescent="0.45">
      <c r="E58" t="s">
        <v>191</v>
      </c>
      <c r="G58" t="s">
        <v>159</v>
      </c>
      <c r="I58" t="s">
        <v>249</v>
      </c>
      <c r="J58" t="s">
        <v>274</v>
      </c>
      <c r="K58">
        <v>3.204606915999276E-3</v>
      </c>
      <c r="L58" t="s">
        <v>251</v>
      </c>
      <c r="N58" t="s">
        <v>419</v>
      </c>
      <c r="O58" t="s">
        <v>274</v>
      </c>
      <c r="P58">
        <v>2.3354138550517767E-2</v>
      </c>
      <c r="Q58" t="s">
        <v>251</v>
      </c>
      <c r="S58" t="s">
        <v>420</v>
      </c>
      <c r="T58" t="s">
        <v>274</v>
      </c>
      <c r="U58">
        <v>2.4480579459460947E-2</v>
      </c>
      <c r="V58" t="s">
        <v>251</v>
      </c>
      <c r="X58">
        <v>2.0547945205479451E-2</v>
      </c>
      <c r="Y58">
        <v>1.8099097531263209E-2</v>
      </c>
      <c r="Z58" t="s">
        <v>274</v>
      </c>
      <c r="AA58" t="s">
        <v>25</v>
      </c>
      <c r="AC58" t="s">
        <v>22</v>
      </c>
      <c r="AD58" t="s">
        <v>274</v>
      </c>
      <c r="AE58">
        <v>2.3137261443606477E-2</v>
      </c>
      <c r="AG58" t="s">
        <v>97</v>
      </c>
      <c r="AH58" t="s">
        <v>274</v>
      </c>
      <c r="AI58">
        <v>0.10618668616869731</v>
      </c>
    </row>
    <row r="59" spans="5:35" x14ac:dyDescent="0.45">
      <c r="E59" t="s">
        <v>460</v>
      </c>
      <c r="G59" t="s">
        <v>162</v>
      </c>
      <c r="I59" t="s">
        <v>249</v>
      </c>
      <c r="J59" t="s">
        <v>604</v>
      </c>
      <c r="K59">
        <v>0</v>
      </c>
      <c r="L59" t="s">
        <v>251</v>
      </c>
      <c r="N59" t="s">
        <v>419</v>
      </c>
      <c r="O59" t="s">
        <v>604</v>
      </c>
      <c r="P59">
        <v>4.535068088833522E-5</v>
      </c>
      <c r="Q59" t="s">
        <v>251</v>
      </c>
      <c r="S59" t="s">
        <v>420</v>
      </c>
      <c r="T59" t="s">
        <v>604</v>
      </c>
      <c r="U59">
        <v>1.895259291059E-4</v>
      </c>
      <c r="V59" t="s">
        <v>251</v>
      </c>
      <c r="X59">
        <v>1.1415525114155251E-4</v>
      </c>
      <c r="Y59">
        <v>2.1546544680075254E-5</v>
      </c>
      <c r="Z59" t="s">
        <v>604</v>
      </c>
      <c r="AA59" t="s">
        <v>25</v>
      </c>
      <c r="AC59" t="s">
        <v>22</v>
      </c>
      <c r="AD59" t="s">
        <v>604</v>
      </c>
      <c r="AE59">
        <v>1.4910259144089121E-4</v>
      </c>
      <c r="AG59" t="s">
        <v>97</v>
      </c>
      <c r="AH59" t="s">
        <v>604</v>
      </c>
      <c r="AI59">
        <v>0</v>
      </c>
    </row>
    <row r="60" spans="5:35" x14ac:dyDescent="0.45">
      <c r="E60" t="s">
        <v>461</v>
      </c>
      <c r="G60" t="s">
        <v>162</v>
      </c>
      <c r="I60" t="s">
        <v>249</v>
      </c>
      <c r="J60" t="s">
        <v>605</v>
      </c>
      <c r="K60">
        <v>0</v>
      </c>
      <c r="L60" t="s">
        <v>251</v>
      </c>
      <c r="N60" t="s">
        <v>419</v>
      </c>
      <c r="O60" t="s">
        <v>605</v>
      </c>
      <c r="P60">
        <v>4.6060905765149268E-5</v>
      </c>
      <c r="Q60" t="s">
        <v>251</v>
      </c>
      <c r="S60" t="s">
        <v>420</v>
      </c>
      <c r="T60" t="s">
        <v>605</v>
      </c>
      <c r="U60">
        <v>1.852588961444E-4</v>
      </c>
      <c r="V60" t="s">
        <v>251</v>
      </c>
      <c r="X60">
        <v>1.1415525114155251E-4</v>
      </c>
      <c r="Y60">
        <v>1.4916838624667481E-5</v>
      </c>
      <c r="Z60" t="s">
        <v>605</v>
      </c>
      <c r="AA60" t="s">
        <v>25</v>
      </c>
      <c r="AC60" t="s">
        <v>22</v>
      </c>
      <c r="AD60" t="s">
        <v>605</v>
      </c>
      <c r="AE60">
        <v>1.4978476218583433E-4</v>
      </c>
      <c r="AG60" t="s">
        <v>97</v>
      </c>
      <c r="AH60" t="s">
        <v>605</v>
      </c>
      <c r="AI60">
        <v>0</v>
      </c>
    </row>
    <row r="61" spans="5:35" x14ac:dyDescent="0.45">
      <c r="E61" t="s">
        <v>462</v>
      </c>
      <c r="G61" t="s">
        <v>162</v>
      </c>
      <c r="I61" t="s">
        <v>249</v>
      </c>
      <c r="J61" t="s">
        <v>606</v>
      </c>
      <c r="K61">
        <v>0</v>
      </c>
      <c r="L61" t="s">
        <v>251</v>
      </c>
      <c r="N61" t="s">
        <v>419</v>
      </c>
      <c r="O61" t="s">
        <v>606</v>
      </c>
      <c r="P61">
        <v>4.946513691768318E-5</v>
      </c>
      <c r="Q61" t="s">
        <v>251</v>
      </c>
      <c r="S61" t="s">
        <v>420</v>
      </c>
      <c r="T61" t="s">
        <v>606</v>
      </c>
      <c r="U61">
        <v>1.78743590609E-4</v>
      </c>
      <c r="V61" t="s">
        <v>251</v>
      </c>
      <c r="X61">
        <v>1.1415525114155251E-4</v>
      </c>
      <c r="Y61">
        <v>1.6574265138519424E-5</v>
      </c>
      <c r="Z61" t="s">
        <v>606</v>
      </c>
      <c r="AA61" t="s">
        <v>25</v>
      </c>
      <c r="AC61" t="s">
        <v>22</v>
      </c>
      <c r="AD61" t="s">
        <v>606</v>
      </c>
      <c r="AE61">
        <v>1.4668257938481817E-4</v>
      </c>
      <c r="AG61" t="s">
        <v>97</v>
      </c>
      <c r="AH61" t="s">
        <v>606</v>
      </c>
      <c r="AI61">
        <v>0</v>
      </c>
    </row>
    <row r="62" spans="5:35" x14ac:dyDescent="0.45">
      <c r="E62" t="s">
        <v>463</v>
      </c>
      <c r="G62" t="s">
        <v>162</v>
      </c>
      <c r="I62" t="s">
        <v>249</v>
      </c>
      <c r="J62" t="s">
        <v>607</v>
      </c>
      <c r="K62">
        <v>0</v>
      </c>
      <c r="L62" t="s">
        <v>251</v>
      </c>
      <c r="N62" t="s">
        <v>419</v>
      </c>
      <c r="O62" t="s">
        <v>607</v>
      </c>
      <c r="P62">
        <v>5.4429342064326791E-5</v>
      </c>
      <c r="Q62" t="s">
        <v>251</v>
      </c>
      <c r="S62" t="s">
        <v>420</v>
      </c>
      <c r="T62" t="s">
        <v>607</v>
      </c>
      <c r="U62">
        <v>1.731615746703E-4</v>
      </c>
      <c r="V62" t="s">
        <v>251</v>
      </c>
      <c r="X62">
        <v>1.1415525114155251E-4</v>
      </c>
      <c r="Y62">
        <v>1.4585353321897093E-5</v>
      </c>
      <c r="Z62" t="s">
        <v>607</v>
      </c>
      <c r="AA62" t="s">
        <v>25</v>
      </c>
      <c r="AC62" t="s">
        <v>22</v>
      </c>
      <c r="AD62" t="s">
        <v>607</v>
      </c>
      <c r="AE62">
        <v>1.3741551524858693E-4</v>
      </c>
      <c r="AG62" t="s">
        <v>97</v>
      </c>
      <c r="AH62" t="s">
        <v>607</v>
      </c>
      <c r="AI62">
        <v>0</v>
      </c>
    </row>
    <row r="63" spans="5:35" x14ac:dyDescent="0.45">
      <c r="E63" t="s">
        <v>464</v>
      </c>
      <c r="G63" t="s">
        <v>162</v>
      </c>
      <c r="I63" t="s">
        <v>249</v>
      </c>
      <c r="J63" t="s">
        <v>608</v>
      </c>
      <c r="K63">
        <v>0</v>
      </c>
      <c r="L63" t="s">
        <v>251</v>
      </c>
      <c r="N63" t="s">
        <v>419</v>
      </c>
      <c r="O63" t="s">
        <v>608</v>
      </c>
      <c r="P63">
        <v>6.0218067702877062E-5</v>
      </c>
      <c r="Q63" t="s">
        <v>251</v>
      </c>
      <c r="S63" t="s">
        <v>420</v>
      </c>
      <c r="T63" t="s">
        <v>608</v>
      </c>
      <c r="U63">
        <v>1.7525895156759999E-4</v>
      </c>
      <c r="V63" t="s">
        <v>251</v>
      </c>
      <c r="X63">
        <v>1.1415525114155251E-4</v>
      </c>
      <c r="Y63">
        <v>2.1215059377304864E-5</v>
      </c>
      <c r="Z63" t="s">
        <v>608</v>
      </c>
      <c r="AA63" t="s">
        <v>25</v>
      </c>
      <c r="AC63" t="s">
        <v>22</v>
      </c>
      <c r="AD63" t="s">
        <v>608</v>
      </c>
      <c r="AE63">
        <v>1.24077036275212E-4</v>
      </c>
      <c r="AG63" t="s">
        <v>97</v>
      </c>
      <c r="AH63" t="s">
        <v>608</v>
      </c>
      <c r="AI63">
        <v>0</v>
      </c>
    </row>
    <row r="64" spans="5:35" x14ac:dyDescent="0.45">
      <c r="E64" t="s">
        <v>465</v>
      </c>
      <c r="G64" t="s">
        <v>162</v>
      </c>
      <c r="I64" t="s">
        <v>249</v>
      </c>
      <c r="J64" t="s">
        <v>609</v>
      </c>
      <c r="K64">
        <v>0</v>
      </c>
      <c r="L64" t="s">
        <v>251</v>
      </c>
      <c r="N64" t="s">
        <v>419</v>
      </c>
      <c r="O64" t="s">
        <v>609</v>
      </c>
      <c r="P64">
        <v>6.7252825560012685E-5</v>
      </c>
      <c r="Q64" t="s">
        <v>251</v>
      </c>
      <c r="S64" t="s">
        <v>420</v>
      </c>
      <c r="T64" t="s">
        <v>609</v>
      </c>
      <c r="U64">
        <v>1.8606238860289999E-4</v>
      </c>
      <c r="V64" t="s">
        <v>251</v>
      </c>
      <c r="X64">
        <v>1.1415525114155251E-4</v>
      </c>
      <c r="Y64">
        <v>5.7678442682047593E-5</v>
      </c>
      <c r="Z64" t="s">
        <v>609</v>
      </c>
      <c r="AA64" t="s">
        <v>25</v>
      </c>
      <c r="AC64" t="s">
        <v>22</v>
      </c>
      <c r="AD64" t="s">
        <v>609</v>
      </c>
      <c r="AE64">
        <v>1.1604438904819144E-4</v>
      </c>
      <c r="AG64" t="s">
        <v>97</v>
      </c>
      <c r="AH64" t="s">
        <v>609</v>
      </c>
      <c r="AI64">
        <v>0</v>
      </c>
    </row>
    <row r="65" spans="5:35" x14ac:dyDescent="0.45">
      <c r="E65" t="s">
        <v>466</v>
      </c>
      <c r="G65" t="s">
        <v>162</v>
      </c>
      <c r="I65" t="s">
        <v>249</v>
      </c>
      <c r="J65" t="s">
        <v>610</v>
      </c>
      <c r="K65">
        <v>0</v>
      </c>
      <c r="L65" t="s">
        <v>251</v>
      </c>
      <c r="N65" t="s">
        <v>419</v>
      </c>
      <c r="O65" t="s">
        <v>610</v>
      </c>
      <c r="P65">
        <v>7.4710923617212505E-5</v>
      </c>
      <c r="Q65" t="s">
        <v>251</v>
      </c>
      <c r="S65" t="s">
        <v>420</v>
      </c>
      <c r="T65" t="s">
        <v>610</v>
      </c>
      <c r="U65">
        <v>1.932981232947E-4</v>
      </c>
      <c r="V65" t="s">
        <v>251</v>
      </c>
      <c r="X65">
        <v>1.1415525114155251E-4</v>
      </c>
      <c r="Y65">
        <v>1.6905750441289813E-4</v>
      </c>
      <c r="Z65" t="s">
        <v>610</v>
      </c>
      <c r="AA65" t="s">
        <v>25</v>
      </c>
      <c r="AC65" t="s">
        <v>22</v>
      </c>
      <c r="AD65" t="s">
        <v>610</v>
      </c>
      <c r="AE65">
        <v>9.747397793595103E-5</v>
      </c>
      <c r="AG65" t="s">
        <v>97</v>
      </c>
      <c r="AH65" t="s">
        <v>610</v>
      </c>
      <c r="AI65">
        <v>0</v>
      </c>
    </row>
    <row r="66" spans="5:35" x14ac:dyDescent="0.45">
      <c r="E66" t="s">
        <v>467</v>
      </c>
      <c r="G66" t="s">
        <v>162</v>
      </c>
      <c r="I66" t="s">
        <v>249</v>
      </c>
      <c r="J66" t="s">
        <v>611</v>
      </c>
      <c r="K66">
        <v>1.19482985637E-4</v>
      </c>
      <c r="L66" t="s">
        <v>251</v>
      </c>
      <c r="N66" t="s">
        <v>419</v>
      </c>
      <c r="O66" t="s">
        <v>611</v>
      </c>
      <c r="P66">
        <v>7.6516841475639071E-5</v>
      </c>
      <c r="Q66" t="s">
        <v>251</v>
      </c>
      <c r="S66" t="s">
        <v>420</v>
      </c>
      <c r="T66" t="s">
        <v>611</v>
      </c>
      <c r="U66">
        <v>1.9270078670400001E-4</v>
      </c>
      <c r="V66" t="s">
        <v>251</v>
      </c>
      <c r="X66">
        <v>1.1415525114155251E-4</v>
      </c>
      <c r="Y66">
        <v>1.9060404909297337E-4</v>
      </c>
      <c r="Z66" t="s">
        <v>611</v>
      </c>
      <c r="AA66" t="s">
        <v>25</v>
      </c>
      <c r="AC66" t="s">
        <v>22</v>
      </c>
      <c r="AD66" t="s">
        <v>611</v>
      </c>
      <c r="AE66">
        <v>9.3171526780809342E-5</v>
      </c>
      <c r="AG66" t="s">
        <v>97</v>
      </c>
      <c r="AH66" t="s">
        <v>611</v>
      </c>
      <c r="AI66">
        <v>0</v>
      </c>
    </row>
    <row r="67" spans="5:35" x14ac:dyDescent="0.45">
      <c r="E67" t="s">
        <v>468</v>
      </c>
      <c r="G67" t="s">
        <v>162</v>
      </c>
      <c r="I67" t="s">
        <v>249</v>
      </c>
      <c r="J67" t="s">
        <v>612</v>
      </c>
      <c r="K67">
        <v>2.5727385350200001E-4</v>
      </c>
      <c r="L67" t="s">
        <v>251</v>
      </c>
      <c r="N67" t="s">
        <v>419</v>
      </c>
      <c r="O67" t="s">
        <v>612</v>
      </c>
      <c r="P67">
        <v>6.6255833336245341E-5</v>
      </c>
      <c r="Q67" t="s">
        <v>251</v>
      </c>
      <c r="S67" t="s">
        <v>420</v>
      </c>
      <c r="T67" t="s">
        <v>612</v>
      </c>
      <c r="U67">
        <v>1.86560804552E-4</v>
      </c>
      <c r="V67" t="s">
        <v>251</v>
      </c>
      <c r="X67">
        <v>1.1415525114155251E-4</v>
      </c>
      <c r="Y67">
        <v>1.4585353321897094E-4</v>
      </c>
      <c r="Z67" t="s">
        <v>612</v>
      </c>
      <c r="AA67" t="s">
        <v>25</v>
      </c>
      <c r="AC67" t="s">
        <v>22</v>
      </c>
      <c r="AD67" t="s">
        <v>612</v>
      </c>
      <c r="AE67">
        <v>9.1403538698393299E-5</v>
      </c>
      <c r="AG67" t="s">
        <v>97</v>
      </c>
      <c r="AH67" t="s">
        <v>612</v>
      </c>
      <c r="AI67">
        <v>0</v>
      </c>
    </row>
    <row r="68" spans="5:35" x14ac:dyDescent="0.45">
      <c r="E68" t="s">
        <v>469</v>
      </c>
      <c r="G68" t="s">
        <v>162</v>
      </c>
      <c r="I68" t="s">
        <v>249</v>
      </c>
      <c r="J68" t="s">
        <v>613</v>
      </c>
      <c r="K68">
        <v>3.06258215499E-4</v>
      </c>
      <c r="L68" t="s">
        <v>251</v>
      </c>
      <c r="N68" t="s">
        <v>419</v>
      </c>
      <c r="O68" t="s">
        <v>613</v>
      </c>
      <c r="P68">
        <v>6.9048710073577255E-5</v>
      </c>
      <c r="Q68" t="s">
        <v>251</v>
      </c>
      <c r="S68" t="s">
        <v>420</v>
      </c>
      <c r="T68" t="s">
        <v>613</v>
      </c>
      <c r="U68">
        <v>1.7513102929800001E-4</v>
      </c>
      <c r="V68" t="s">
        <v>251</v>
      </c>
      <c r="X68">
        <v>1.1415525114155251E-4</v>
      </c>
      <c r="Y68">
        <v>1.4452759200788939E-4</v>
      </c>
      <c r="Z68" t="s">
        <v>613</v>
      </c>
      <c r="AA68" t="s">
        <v>25</v>
      </c>
      <c r="AC68" t="s">
        <v>22</v>
      </c>
      <c r="AD68" t="s">
        <v>613</v>
      </c>
      <c r="AE68">
        <v>9.1425415116494713E-5</v>
      </c>
      <c r="AG68" t="s">
        <v>97</v>
      </c>
      <c r="AH68" t="s">
        <v>613</v>
      </c>
      <c r="AI68">
        <v>0</v>
      </c>
    </row>
    <row r="69" spans="5:35" x14ac:dyDescent="0.45">
      <c r="E69" t="s">
        <v>470</v>
      </c>
      <c r="G69" t="s">
        <v>162</v>
      </c>
      <c r="I69" t="s">
        <v>249</v>
      </c>
      <c r="J69" t="s">
        <v>614</v>
      </c>
      <c r="K69">
        <v>3.2181728272029998E-4</v>
      </c>
      <c r="L69" t="s">
        <v>251</v>
      </c>
      <c r="N69" t="s">
        <v>419</v>
      </c>
      <c r="O69" t="s">
        <v>614</v>
      </c>
      <c r="P69">
        <v>7.0009678195327114E-5</v>
      </c>
      <c r="Q69" t="s">
        <v>251</v>
      </c>
      <c r="S69" t="s">
        <v>420</v>
      </c>
      <c r="T69" t="s">
        <v>614</v>
      </c>
      <c r="U69">
        <v>1.571958802581E-4</v>
      </c>
      <c r="V69" t="s">
        <v>251</v>
      </c>
      <c r="X69">
        <v>1.1415525114155251E-4</v>
      </c>
      <c r="Y69">
        <v>1.408812536774151E-4</v>
      </c>
      <c r="Z69" t="s">
        <v>614</v>
      </c>
      <c r="AA69" t="s">
        <v>25</v>
      </c>
      <c r="AC69" t="s">
        <v>22</v>
      </c>
      <c r="AD69" t="s">
        <v>614</v>
      </c>
      <c r="AE69">
        <v>9.3270504233438958E-5</v>
      </c>
      <c r="AG69" t="s">
        <v>97</v>
      </c>
      <c r="AH69" t="s">
        <v>614</v>
      </c>
      <c r="AI69">
        <v>0</v>
      </c>
    </row>
    <row r="70" spans="5:35" x14ac:dyDescent="0.45">
      <c r="E70" t="s">
        <v>471</v>
      </c>
      <c r="G70" t="s">
        <v>162</v>
      </c>
      <c r="I70" t="s">
        <v>249</v>
      </c>
      <c r="J70" t="s">
        <v>615</v>
      </c>
      <c r="K70">
        <v>3.1622402180900001E-4</v>
      </c>
      <c r="L70" t="s">
        <v>251</v>
      </c>
      <c r="N70" t="s">
        <v>419</v>
      </c>
      <c r="O70" t="s">
        <v>615</v>
      </c>
      <c r="P70">
        <v>7.0505669939979919E-5</v>
      </c>
      <c r="Q70" t="s">
        <v>251</v>
      </c>
      <c r="S70" t="s">
        <v>420</v>
      </c>
      <c r="T70" t="s">
        <v>615</v>
      </c>
      <c r="U70">
        <v>1.347659801184E-4</v>
      </c>
      <c r="V70" t="s">
        <v>251</v>
      </c>
      <c r="X70">
        <v>1.1415525114155251E-4</v>
      </c>
      <c r="Y70">
        <v>1.4054976837464471E-4</v>
      </c>
      <c r="Z70" t="s">
        <v>615</v>
      </c>
      <c r="AA70" t="s">
        <v>25</v>
      </c>
      <c r="AC70" t="s">
        <v>22</v>
      </c>
      <c r="AD70" t="s">
        <v>615</v>
      </c>
      <c r="AE70">
        <v>1.0568803936186141E-4</v>
      </c>
      <c r="AG70" t="s">
        <v>97</v>
      </c>
      <c r="AH70" t="s">
        <v>615</v>
      </c>
      <c r="AI70">
        <v>0</v>
      </c>
    </row>
    <row r="71" spans="5:35" x14ac:dyDescent="0.45">
      <c r="E71" t="s">
        <v>472</v>
      </c>
      <c r="G71" t="s">
        <v>162</v>
      </c>
      <c r="I71" t="s">
        <v>249</v>
      </c>
      <c r="J71" t="s">
        <v>616</v>
      </c>
      <c r="K71">
        <v>2.9100711381989998E-4</v>
      </c>
      <c r="L71" t="s">
        <v>251</v>
      </c>
      <c r="N71" t="s">
        <v>419</v>
      </c>
      <c r="O71" t="s">
        <v>616</v>
      </c>
      <c r="P71">
        <v>7.3962976362134934E-5</v>
      </c>
      <c r="Q71" t="s">
        <v>251</v>
      </c>
      <c r="S71" t="s">
        <v>420</v>
      </c>
      <c r="T71" t="s">
        <v>616</v>
      </c>
      <c r="U71">
        <v>1.238853617348E-4</v>
      </c>
      <c r="V71" t="s">
        <v>251</v>
      </c>
      <c r="X71">
        <v>1.1415525114155251E-4</v>
      </c>
      <c r="Y71">
        <v>1.4253868019126702E-4</v>
      </c>
      <c r="Z71" t="s">
        <v>616</v>
      </c>
      <c r="AA71" t="s">
        <v>25</v>
      </c>
      <c r="AC71" t="s">
        <v>22</v>
      </c>
      <c r="AD71" t="s">
        <v>616</v>
      </c>
      <c r="AE71">
        <v>1.2685854280113169E-4</v>
      </c>
      <c r="AG71" t="s">
        <v>97</v>
      </c>
      <c r="AH71" t="s">
        <v>616</v>
      </c>
      <c r="AI71">
        <v>0</v>
      </c>
    </row>
    <row r="72" spans="5:35" x14ac:dyDescent="0.45">
      <c r="E72" t="s">
        <v>473</v>
      </c>
      <c r="G72" t="s">
        <v>162</v>
      </c>
      <c r="I72" t="s">
        <v>249</v>
      </c>
      <c r="J72" t="s">
        <v>617</v>
      </c>
      <c r="K72">
        <v>2.9060591612220001E-4</v>
      </c>
      <c r="L72" t="s">
        <v>251</v>
      </c>
      <c r="N72" t="s">
        <v>419</v>
      </c>
      <c r="O72" t="s">
        <v>617</v>
      </c>
      <c r="P72">
        <v>7.9147386845742498E-5</v>
      </c>
      <c r="Q72" t="s">
        <v>251</v>
      </c>
      <c r="S72" t="s">
        <v>420</v>
      </c>
      <c r="T72" t="s">
        <v>617</v>
      </c>
      <c r="U72">
        <v>1.172534785252E-4</v>
      </c>
      <c r="V72" t="s">
        <v>251</v>
      </c>
      <c r="X72">
        <v>1.1415525114155251E-4</v>
      </c>
      <c r="Y72">
        <v>1.4883690094390442E-4</v>
      </c>
      <c r="Z72" t="s">
        <v>617</v>
      </c>
      <c r="AA72" t="s">
        <v>25</v>
      </c>
      <c r="AC72" t="s">
        <v>22</v>
      </c>
      <c r="AD72" t="s">
        <v>617</v>
      </c>
      <c r="AE72">
        <v>1.390439744692098E-4</v>
      </c>
      <c r="AG72" t="s">
        <v>97</v>
      </c>
      <c r="AH72" t="s">
        <v>617</v>
      </c>
      <c r="AI72">
        <v>0</v>
      </c>
    </row>
    <row r="73" spans="5:35" x14ac:dyDescent="0.45">
      <c r="E73" t="s">
        <v>474</v>
      </c>
      <c r="G73" t="s">
        <v>162</v>
      </c>
      <c r="I73" t="s">
        <v>249</v>
      </c>
      <c r="J73" t="s">
        <v>618</v>
      </c>
      <c r="K73">
        <v>3.1073258621310001E-4</v>
      </c>
      <c r="L73" t="s">
        <v>251</v>
      </c>
      <c r="N73" t="s">
        <v>419</v>
      </c>
      <c r="O73" t="s">
        <v>618</v>
      </c>
      <c r="P73">
        <v>8.2996447876900148E-5</v>
      </c>
      <c r="Q73" t="s">
        <v>251</v>
      </c>
      <c r="S73" t="s">
        <v>420</v>
      </c>
      <c r="T73" t="s">
        <v>618</v>
      </c>
      <c r="U73">
        <v>1.1519952628049999E-4</v>
      </c>
      <c r="V73" t="s">
        <v>251</v>
      </c>
      <c r="X73">
        <v>1.1415525114155251E-4</v>
      </c>
      <c r="Y73">
        <v>1.5049432745775637E-4</v>
      </c>
      <c r="Z73" t="s">
        <v>618</v>
      </c>
      <c r="AA73" t="s">
        <v>25</v>
      </c>
      <c r="AC73" t="s">
        <v>22</v>
      </c>
      <c r="AD73" t="s">
        <v>618</v>
      </c>
      <c r="AE73">
        <v>1.4255967492946011E-4</v>
      </c>
      <c r="AG73" t="s">
        <v>97</v>
      </c>
      <c r="AH73" t="s">
        <v>618</v>
      </c>
      <c r="AI73">
        <v>0</v>
      </c>
    </row>
    <row r="74" spans="5:35" x14ac:dyDescent="0.45">
      <c r="E74" t="s">
        <v>475</v>
      </c>
      <c r="G74" t="s">
        <v>162</v>
      </c>
      <c r="I74" t="s">
        <v>249</v>
      </c>
      <c r="J74" t="s">
        <v>619</v>
      </c>
      <c r="K74">
        <v>3.1220881651209997E-4</v>
      </c>
      <c r="L74" t="s">
        <v>251</v>
      </c>
      <c r="N74" t="s">
        <v>419</v>
      </c>
      <c r="O74" t="s">
        <v>619</v>
      </c>
      <c r="P74">
        <v>7.4351489829401859E-5</v>
      </c>
      <c r="Q74" t="s">
        <v>251</v>
      </c>
      <c r="S74" t="s">
        <v>420</v>
      </c>
      <c r="T74" t="s">
        <v>619</v>
      </c>
      <c r="U74">
        <v>1.150529029747E-4</v>
      </c>
      <c r="V74" t="s">
        <v>251</v>
      </c>
      <c r="X74">
        <v>1.1415525114155251E-4</v>
      </c>
      <c r="Y74">
        <v>1.7237235744060203E-4</v>
      </c>
      <c r="Z74" t="s">
        <v>619</v>
      </c>
      <c r="AA74" t="s">
        <v>25</v>
      </c>
      <c r="AC74" t="s">
        <v>22</v>
      </c>
      <c r="AD74" t="s">
        <v>619</v>
      </c>
      <c r="AE74">
        <v>1.3539914978504379E-4</v>
      </c>
      <c r="AG74" t="s">
        <v>97</v>
      </c>
      <c r="AH74" t="s">
        <v>619</v>
      </c>
      <c r="AI74">
        <v>0</v>
      </c>
    </row>
    <row r="75" spans="5:35" x14ac:dyDescent="0.45">
      <c r="E75" t="s">
        <v>476</v>
      </c>
      <c r="G75" t="s">
        <v>162</v>
      </c>
      <c r="I75" t="s">
        <v>249</v>
      </c>
      <c r="J75" t="s">
        <v>620</v>
      </c>
      <c r="K75">
        <v>2.928017498887E-4</v>
      </c>
      <c r="L75" t="s">
        <v>251</v>
      </c>
      <c r="N75" t="s">
        <v>419</v>
      </c>
      <c r="O75" t="s">
        <v>620</v>
      </c>
      <c r="P75">
        <v>6.8928631184556757E-5</v>
      </c>
      <c r="Q75" t="s">
        <v>251</v>
      </c>
      <c r="S75" t="s">
        <v>420</v>
      </c>
      <c r="T75" t="s">
        <v>620</v>
      </c>
      <c r="U75">
        <v>1.153977676252E-4</v>
      </c>
      <c r="V75" t="s">
        <v>251</v>
      </c>
      <c r="X75">
        <v>1.1415525114155251E-4</v>
      </c>
      <c r="Y75">
        <v>2.2209515285616027E-4</v>
      </c>
      <c r="Z75" t="s">
        <v>620</v>
      </c>
      <c r="AA75" t="s">
        <v>25</v>
      </c>
      <c r="AC75" t="s">
        <v>22</v>
      </c>
      <c r="AD75" t="s">
        <v>620</v>
      </c>
      <c r="AE75">
        <v>1.31580914469586E-4</v>
      </c>
      <c r="AG75" t="s">
        <v>97</v>
      </c>
      <c r="AH75" t="s">
        <v>620</v>
      </c>
      <c r="AI75">
        <v>0</v>
      </c>
    </row>
    <row r="76" spans="5:35" x14ac:dyDescent="0.45">
      <c r="E76" t="s">
        <v>477</v>
      </c>
      <c r="G76" t="s">
        <v>162</v>
      </c>
      <c r="I76" t="s">
        <v>249</v>
      </c>
      <c r="J76" t="s">
        <v>621</v>
      </c>
      <c r="K76">
        <v>2.392954853644E-4</v>
      </c>
      <c r="L76" t="s">
        <v>251</v>
      </c>
      <c r="N76" t="s">
        <v>419</v>
      </c>
      <c r="O76" t="s">
        <v>621</v>
      </c>
      <c r="P76">
        <v>6.4141120632195783E-5</v>
      </c>
      <c r="Q76" t="s">
        <v>251</v>
      </c>
      <c r="S76" t="s">
        <v>420</v>
      </c>
      <c r="T76" t="s">
        <v>621</v>
      </c>
      <c r="U76">
        <v>1.3144253846479999E-4</v>
      </c>
      <c r="V76" t="s">
        <v>251</v>
      </c>
      <c r="X76">
        <v>1.1415525114155251E-4</v>
      </c>
      <c r="Y76">
        <v>2.2209515285616027E-4</v>
      </c>
      <c r="Z76" t="s">
        <v>621</v>
      </c>
      <c r="AA76" t="s">
        <v>25</v>
      </c>
      <c r="AC76" t="s">
        <v>22</v>
      </c>
      <c r="AD76" t="s">
        <v>621</v>
      </c>
      <c r="AE76">
        <v>1.3548212010247723E-4</v>
      </c>
      <c r="AG76" t="s">
        <v>97</v>
      </c>
      <c r="AH76" t="s">
        <v>621</v>
      </c>
      <c r="AI76">
        <v>0</v>
      </c>
    </row>
    <row r="77" spans="5:35" x14ac:dyDescent="0.45">
      <c r="E77" t="s">
        <v>478</v>
      </c>
      <c r="G77" t="s">
        <v>162</v>
      </c>
      <c r="I77" t="s">
        <v>249</v>
      </c>
      <c r="J77" t="s">
        <v>622</v>
      </c>
      <c r="K77">
        <v>1.035377033838E-4</v>
      </c>
      <c r="L77" t="s">
        <v>251</v>
      </c>
      <c r="N77" t="s">
        <v>419</v>
      </c>
      <c r="O77" t="s">
        <v>622</v>
      </c>
      <c r="P77">
        <v>7.1315371165762802E-5</v>
      </c>
      <c r="Q77" t="s">
        <v>251</v>
      </c>
      <c r="S77" t="s">
        <v>420</v>
      </c>
      <c r="T77" t="s">
        <v>622</v>
      </c>
      <c r="U77">
        <v>1.552729129864E-4</v>
      </c>
      <c r="V77" t="s">
        <v>251</v>
      </c>
      <c r="X77">
        <v>1.1415525114155251E-4</v>
      </c>
      <c r="Y77">
        <v>1.7237235744060203E-4</v>
      </c>
      <c r="Z77" t="s">
        <v>622</v>
      </c>
      <c r="AA77" t="s">
        <v>25</v>
      </c>
      <c r="AC77" t="s">
        <v>22</v>
      </c>
      <c r="AD77" t="s">
        <v>622</v>
      </c>
      <c r="AE77">
        <v>1.3428371924745791E-4</v>
      </c>
      <c r="AG77" t="s">
        <v>97</v>
      </c>
      <c r="AH77" t="s">
        <v>622</v>
      </c>
      <c r="AI77">
        <v>0</v>
      </c>
    </row>
    <row r="78" spans="5:35" x14ac:dyDescent="0.45">
      <c r="E78" t="s">
        <v>479</v>
      </c>
      <c r="G78" t="s">
        <v>162</v>
      </c>
      <c r="I78" t="s">
        <v>249</v>
      </c>
      <c r="J78" t="s">
        <v>623</v>
      </c>
      <c r="K78">
        <v>0</v>
      </c>
      <c r="L78" t="s">
        <v>251</v>
      </c>
      <c r="N78" t="s">
        <v>419</v>
      </c>
      <c r="O78" t="s">
        <v>623</v>
      </c>
      <c r="P78">
        <v>7.8797680466523756E-5</v>
      </c>
      <c r="Q78" t="s">
        <v>251</v>
      </c>
      <c r="S78" t="s">
        <v>420</v>
      </c>
      <c r="T78" t="s">
        <v>623</v>
      </c>
      <c r="U78">
        <v>1.6788653586360001E-4</v>
      </c>
      <c r="V78" t="s">
        <v>251</v>
      </c>
      <c r="X78">
        <v>1.1415525114155251E-4</v>
      </c>
      <c r="Y78">
        <v>1.5579809230208258E-4</v>
      </c>
      <c r="Z78" t="s">
        <v>623</v>
      </c>
      <c r="AA78" t="s">
        <v>25</v>
      </c>
      <c r="AC78" t="s">
        <v>22</v>
      </c>
      <c r="AD78" t="s">
        <v>623</v>
      </c>
      <c r="AE78">
        <v>1.3457424875126824E-4</v>
      </c>
      <c r="AG78" t="s">
        <v>97</v>
      </c>
      <c r="AH78" t="s">
        <v>623</v>
      </c>
      <c r="AI78">
        <v>0</v>
      </c>
    </row>
    <row r="79" spans="5:35" x14ac:dyDescent="0.45">
      <c r="E79" t="s">
        <v>480</v>
      </c>
      <c r="G79" t="s">
        <v>162</v>
      </c>
      <c r="I79" t="s">
        <v>249</v>
      </c>
      <c r="J79" t="s">
        <v>624</v>
      </c>
      <c r="K79">
        <v>0</v>
      </c>
      <c r="L79" t="s">
        <v>251</v>
      </c>
      <c r="N79" t="s">
        <v>419</v>
      </c>
      <c r="O79" t="s">
        <v>624</v>
      </c>
      <c r="P79">
        <v>8.7658896290040525E-5</v>
      </c>
      <c r="Q79" t="s">
        <v>251</v>
      </c>
      <c r="S79" t="s">
        <v>420</v>
      </c>
      <c r="T79" t="s">
        <v>624</v>
      </c>
      <c r="U79">
        <v>1.701514326532E-4</v>
      </c>
      <c r="V79" t="s">
        <v>251</v>
      </c>
      <c r="X79">
        <v>1.1415525114155251E-4</v>
      </c>
      <c r="Y79">
        <v>1.093901499142282E-4</v>
      </c>
      <c r="Z79" t="s">
        <v>624</v>
      </c>
      <c r="AA79" t="s">
        <v>25</v>
      </c>
      <c r="AC79" t="s">
        <v>22</v>
      </c>
      <c r="AD79" t="s">
        <v>624</v>
      </c>
      <c r="AE79">
        <v>1.3422662713192493E-4</v>
      </c>
      <c r="AG79" t="s">
        <v>97</v>
      </c>
      <c r="AH79" t="s">
        <v>624</v>
      </c>
      <c r="AI79">
        <v>0</v>
      </c>
    </row>
    <row r="80" spans="5:35" x14ac:dyDescent="0.45">
      <c r="E80" t="s">
        <v>481</v>
      </c>
      <c r="G80" t="s">
        <v>162</v>
      </c>
      <c r="I80" t="s">
        <v>249</v>
      </c>
      <c r="J80" t="s">
        <v>625</v>
      </c>
      <c r="K80">
        <v>0</v>
      </c>
      <c r="L80" t="s">
        <v>251</v>
      </c>
      <c r="N80" t="s">
        <v>419</v>
      </c>
      <c r="O80" t="s">
        <v>625</v>
      </c>
      <c r="P80">
        <v>9.3344580989113E-5</v>
      </c>
      <c r="Q80" t="s">
        <v>251</v>
      </c>
      <c r="S80" t="s">
        <v>420</v>
      </c>
      <c r="T80" t="s">
        <v>625</v>
      </c>
      <c r="U80">
        <v>1.5697137027429999E-4</v>
      </c>
      <c r="V80" t="s">
        <v>251</v>
      </c>
      <c r="X80">
        <v>1.1415525114155251E-4</v>
      </c>
      <c r="Y80">
        <v>7.9556472664893237E-5</v>
      </c>
      <c r="Z80" t="s">
        <v>625</v>
      </c>
      <c r="AA80" t="s">
        <v>25</v>
      </c>
      <c r="AC80" t="s">
        <v>22</v>
      </c>
      <c r="AD80" t="s">
        <v>625</v>
      </c>
      <c r="AE80">
        <v>1.3422662713192496E-4</v>
      </c>
      <c r="AG80" t="s">
        <v>97</v>
      </c>
      <c r="AH80" t="s">
        <v>625</v>
      </c>
      <c r="AI80">
        <v>0</v>
      </c>
    </row>
    <row r="81" spans="5:35" x14ac:dyDescent="0.45">
      <c r="E81" t="s">
        <v>482</v>
      </c>
      <c r="G81" t="s">
        <v>162</v>
      </c>
      <c r="I81" t="s">
        <v>249</v>
      </c>
      <c r="J81" t="s">
        <v>626</v>
      </c>
      <c r="K81">
        <v>0</v>
      </c>
      <c r="L81" t="s">
        <v>251</v>
      </c>
      <c r="N81" t="s">
        <v>419</v>
      </c>
      <c r="O81" t="s">
        <v>626</v>
      </c>
      <c r="P81">
        <v>9.5633338596012838E-5</v>
      </c>
      <c r="Q81" t="s">
        <v>251</v>
      </c>
      <c r="S81" t="s">
        <v>420</v>
      </c>
      <c r="T81" t="s">
        <v>626</v>
      </c>
      <c r="U81">
        <v>1.3440842256109999E-4</v>
      </c>
      <c r="V81" t="s">
        <v>251</v>
      </c>
      <c r="X81">
        <v>1.1415525114155251E-4</v>
      </c>
      <c r="Y81">
        <v>5.6352501470966035E-5</v>
      </c>
      <c r="Z81" t="s">
        <v>626</v>
      </c>
      <c r="AA81" t="s">
        <v>25</v>
      </c>
      <c r="AC81" t="s">
        <v>22</v>
      </c>
      <c r="AD81" t="s">
        <v>626</v>
      </c>
      <c r="AE81">
        <v>1.3546237796906863E-4</v>
      </c>
      <c r="AG81" t="s">
        <v>97</v>
      </c>
      <c r="AH81" t="s">
        <v>626</v>
      </c>
      <c r="AI81">
        <v>0</v>
      </c>
    </row>
    <row r="82" spans="5:35" x14ac:dyDescent="0.45">
      <c r="E82" t="s">
        <v>483</v>
      </c>
      <c r="G82" t="s">
        <v>162</v>
      </c>
      <c r="I82" t="s">
        <v>249</v>
      </c>
      <c r="J82" t="s">
        <v>627</v>
      </c>
      <c r="K82">
        <v>0</v>
      </c>
      <c r="L82" t="s">
        <v>251</v>
      </c>
      <c r="N82" t="s">
        <v>419</v>
      </c>
      <c r="O82" t="s">
        <v>627</v>
      </c>
      <c r="P82">
        <v>9.3990405388899925E-5</v>
      </c>
      <c r="Q82" t="s">
        <v>251</v>
      </c>
      <c r="S82" t="s">
        <v>420</v>
      </c>
      <c r="T82" t="s">
        <v>627</v>
      </c>
      <c r="U82">
        <v>1.1500341863230001E-4</v>
      </c>
      <c r="V82" t="s">
        <v>251</v>
      </c>
      <c r="X82">
        <v>1.1415525114155251E-4</v>
      </c>
      <c r="Y82">
        <v>2.9833677249334962E-5</v>
      </c>
      <c r="Z82" t="s">
        <v>627</v>
      </c>
      <c r="AA82" t="s">
        <v>25</v>
      </c>
      <c r="AC82" t="s">
        <v>22</v>
      </c>
      <c r="AD82" t="s">
        <v>627</v>
      </c>
      <c r="AE82">
        <v>1.3921738510050156E-4</v>
      </c>
      <c r="AG82" t="s">
        <v>97</v>
      </c>
      <c r="AH82" t="s">
        <v>627</v>
      </c>
      <c r="AI82">
        <v>0</v>
      </c>
    </row>
    <row r="83" spans="5:35" x14ac:dyDescent="0.45">
      <c r="E83" t="s">
        <v>192</v>
      </c>
      <c r="G83" t="s">
        <v>434</v>
      </c>
      <c r="I83" t="s">
        <v>249</v>
      </c>
      <c r="J83" t="s">
        <v>299</v>
      </c>
      <c r="K83">
        <v>0</v>
      </c>
      <c r="L83" t="s">
        <v>251</v>
      </c>
      <c r="N83" t="s">
        <v>419</v>
      </c>
      <c r="O83" t="s">
        <v>299</v>
      </c>
      <c r="P83">
        <v>2.1834690406980686E-2</v>
      </c>
      <c r="Q83" t="s">
        <v>251</v>
      </c>
      <c r="S83" t="s">
        <v>420</v>
      </c>
      <c r="T83" t="s">
        <v>299</v>
      </c>
      <c r="U83">
        <v>2.3463279928305377E-2</v>
      </c>
      <c r="V83" t="s">
        <v>251</v>
      </c>
      <c r="X83">
        <v>1.8493150684931507E-2</v>
      </c>
      <c r="Y83">
        <v>3.9559456032618153E-3</v>
      </c>
      <c r="Z83" t="s">
        <v>299</v>
      </c>
      <c r="AA83" t="s">
        <v>25</v>
      </c>
      <c r="AC83" t="s">
        <v>22</v>
      </c>
      <c r="AD83" t="s">
        <v>299</v>
      </c>
      <c r="AE83">
        <v>1.7673074870034028E-2</v>
      </c>
      <c r="AG83" t="s">
        <v>97</v>
      </c>
      <c r="AH83" t="s">
        <v>299</v>
      </c>
      <c r="AI83">
        <v>0.19813902348943691</v>
      </c>
    </row>
    <row r="84" spans="5:35" x14ac:dyDescent="0.45">
      <c r="E84" t="s">
        <v>193</v>
      </c>
      <c r="G84" t="s">
        <v>434</v>
      </c>
      <c r="I84" t="s">
        <v>249</v>
      </c>
      <c r="J84" t="s">
        <v>300</v>
      </c>
      <c r="K84">
        <v>2.6167816649429617E-3</v>
      </c>
      <c r="L84" t="s">
        <v>251</v>
      </c>
      <c r="N84" t="s">
        <v>419</v>
      </c>
      <c r="O84" t="s">
        <v>300</v>
      </c>
      <c r="P84">
        <v>3.4020687734584317E-3</v>
      </c>
      <c r="Q84" t="s">
        <v>251</v>
      </c>
      <c r="S84" t="s">
        <v>420</v>
      </c>
      <c r="T84" t="s">
        <v>300</v>
      </c>
      <c r="U84">
        <v>3.7224255695733227E-3</v>
      </c>
      <c r="V84" t="s">
        <v>251</v>
      </c>
      <c r="X84">
        <v>3.0821917808219177E-3</v>
      </c>
      <c r="Y84">
        <v>4.5645526191482504E-3</v>
      </c>
      <c r="Z84" t="s">
        <v>300</v>
      </c>
      <c r="AA84" t="s">
        <v>25</v>
      </c>
      <c r="AC84" t="s">
        <v>22</v>
      </c>
      <c r="AD84" t="s">
        <v>300</v>
      </c>
      <c r="AE84">
        <v>2.3466011130124347E-3</v>
      </c>
      <c r="AG84" t="s">
        <v>97</v>
      </c>
      <c r="AH84" t="s">
        <v>300</v>
      </c>
      <c r="AI84">
        <v>4.6029578002795279E-2</v>
      </c>
    </row>
    <row r="85" spans="5:35" x14ac:dyDescent="0.45">
      <c r="E85" t="s">
        <v>194</v>
      </c>
      <c r="G85" t="s">
        <v>434</v>
      </c>
      <c r="I85" t="s">
        <v>249</v>
      </c>
      <c r="J85" t="s">
        <v>301</v>
      </c>
      <c r="K85">
        <v>5.6164910366155998E-3</v>
      </c>
      <c r="L85" t="s">
        <v>251</v>
      </c>
      <c r="N85" t="s">
        <v>419</v>
      </c>
      <c r="O85" t="s">
        <v>301</v>
      </c>
      <c r="P85">
        <v>3.033424812109223E-3</v>
      </c>
      <c r="Q85" t="s">
        <v>251</v>
      </c>
      <c r="S85" t="s">
        <v>420</v>
      </c>
      <c r="T85" t="s">
        <v>301</v>
      </c>
      <c r="U85">
        <v>3.6411798327087019E-3</v>
      </c>
      <c r="V85" t="s">
        <v>251</v>
      </c>
      <c r="X85">
        <v>3.0821917808219177E-3</v>
      </c>
      <c r="Y85">
        <v>5.146309325510281E-3</v>
      </c>
      <c r="Z85" t="s">
        <v>301</v>
      </c>
      <c r="AA85" t="s">
        <v>25</v>
      </c>
      <c r="AC85" t="s">
        <v>22</v>
      </c>
      <c r="AD85" t="s">
        <v>301</v>
      </c>
      <c r="AE85">
        <v>2.2860994776826757E-3</v>
      </c>
      <c r="AG85" t="s">
        <v>97</v>
      </c>
      <c r="AH85" t="s">
        <v>301</v>
      </c>
      <c r="AI85">
        <v>4.630022656542554E-2</v>
      </c>
    </row>
    <row r="86" spans="5:35" x14ac:dyDescent="0.45">
      <c r="E86" t="s">
        <v>195</v>
      </c>
      <c r="G86" t="s">
        <v>434</v>
      </c>
      <c r="I86" t="s">
        <v>249</v>
      </c>
      <c r="J86" t="s">
        <v>302</v>
      </c>
      <c r="K86">
        <v>5.6431707539074401E-2</v>
      </c>
      <c r="L86" t="s">
        <v>251</v>
      </c>
      <c r="N86" t="s">
        <v>419</v>
      </c>
      <c r="O86" t="s">
        <v>302</v>
      </c>
      <c r="P86">
        <v>2.1127920147005236E-2</v>
      </c>
      <c r="Q86" t="s">
        <v>251</v>
      </c>
      <c r="S86" t="s">
        <v>420</v>
      </c>
      <c r="T86" t="s">
        <v>302</v>
      </c>
      <c r="U86">
        <v>2.283267796591033E-2</v>
      </c>
      <c r="V86" t="s">
        <v>251</v>
      </c>
      <c r="X86">
        <v>2.1575342465753426E-2</v>
      </c>
      <c r="Y86">
        <v>2.7369415508539895E-2</v>
      </c>
      <c r="Z86" t="s">
        <v>302</v>
      </c>
      <c r="AA86" t="s">
        <v>25</v>
      </c>
      <c r="AC86" t="s">
        <v>22</v>
      </c>
      <c r="AD86" t="s">
        <v>302</v>
      </c>
      <c r="AE86">
        <v>1.9799727274027734E-2</v>
      </c>
      <c r="AG86" t="s">
        <v>97</v>
      </c>
      <c r="AH86" t="s">
        <v>302</v>
      </c>
      <c r="AI86">
        <v>0.27586289284687382</v>
      </c>
    </row>
    <row r="87" spans="5:35" x14ac:dyDescent="0.45">
      <c r="E87" t="s">
        <v>196</v>
      </c>
      <c r="G87" t="s">
        <v>434</v>
      </c>
      <c r="I87" t="s">
        <v>249</v>
      </c>
      <c r="J87" t="s">
        <v>303</v>
      </c>
      <c r="K87">
        <v>7.7978416866159002E-3</v>
      </c>
      <c r="L87" t="s">
        <v>251</v>
      </c>
      <c r="N87" t="s">
        <v>419</v>
      </c>
      <c r="O87" t="s">
        <v>303</v>
      </c>
      <c r="P87">
        <v>3.1664829234861851E-3</v>
      </c>
      <c r="Q87" t="s">
        <v>251</v>
      </c>
      <c r="S87" t="s">
        <v>420</v>
      </c>
      <c r="T87" t="s">
        <v>303</v>
      </c>
      <c r="U87">
        <v>3.4105530761667237E-3</v>
      </c>
      <c r="V87" t="s">
        <v>251</v>
      </c>
      <c r="X87">
        <v>3.0821917808219177E-3</v>
      </c>
      <c r="Y87">
        <v>4.6540536508962536E-3</v>
      </c>
      <c r="Z87" t="s">
        <v>303</v>
      </c>
      <c r="AA87" t="s">
        <v>25</v>
      </c>
      <c r="AC87" t="s">
        <v>22</v>
      </c>
      <c r="AD87" t="s">
        <v>303</v>
      </c>
      <c r="AE87">
        <v>3.1190022115571842E-3</v>
      </c>
      <c r="AG87" t="s">
        <v>97</v>
      </c>
      <c r="AH87" t="s">
        <v>303</v>
      </c>
      <c r="AI87">
        <v>7.8318930578072932E-2</v>
      </c>
    </row>
    <row r="88" spans="5:35" x14ac:dyDescent="0.45">
      <c r="E88" t="s">
        <v>197</v>
      </c>
      <c r="G88" t="s">
        <v>434</v>
      </c>
      <c r="I88" t="s">
        <v>249</v>
      </c>
      <c r="J88" t="s">
        <v>304</v>
      </c>
      <c r="K88">
        <v>7.0694328950376001E-3</v>
      </c>
      <c r="L88" t="s">
        <v>251</v>
      </c>
      <c r="N88" t="s">
        <v>419</v>
      </c>
      <c r="O88" t="s">
        <v>304</v>
      </c>
      <c r="P88">
        <v>3.1216464381889292E-3</v>
      </c>
      <c r="Q88" t="s">
        <v>251</v>
      </c>
      <c r="S88" t="s">
        <v>420</v>
      </c>
      <c r="T88" t="s">
        <v>304</v>
      </c>
      <c r="U88">
        <v>3.2364777775845109E-3</v>
      </c>
      <c r="V88" t="s">
        <v>251</v>
      </c>
      <c r="X88">
        <v>3.0821917808219177E-3</v>
      </c>
      <c r="Y88">
        <v>5.9965691271163281E-3</v>
      </c>
      <c r="Z88" t="s">
        <v>304</v>
      </c>
      <c r="AA88" t="s">
        <v>25</v>
      </c>
      <c r="AC88" t="s">
        <v>22</v>
      </c>
      <c r="AD88" t="s">
        <v>304</v>
      </c>
      <c r="AE88">
        <v>3.1788883725386509E-3</v>
      </c>
      <c r="AG88" t="s">
        <v>97</v>
      </c>
      <c r="AH88" t="s">
        <v>304</v>
      </c>
      <c r="AI88">
        <v>8.7283820667539924E-2</v>
      </c>
    </row>
    <row r="89" spans="5:35" x14ac:dyDescent="0.45">
      <c r="E89" t="s">
        <v>198</v>
      </c>
      <c r="G89" t="s">
        <v>434</v>
      </c>
      <c r="I89" t="s">
        <v>249</v>
      </c>
      <c r="J89" t="s">
        <v>305</v>
      </c>
      <c r="K89">
        <v>5.9068717792646001E-3</v>
      </c>
      <c r="L89" t="s">
        <v>251</v>
      </c>
      <c r="N89" t="s">
        <v>419</v>
      </c>
      <c r="O89" t="s">
        <v>305</v>
      </c>
      <c r="P89">
        <v>3.053177917332344E-3</v>
      </c>
      <c r="Q89" t="s">
        <v>251</v>
      </c>
      <c r="S89" t="s">
        <v>420</v>
      </c>
      <c r="T89" t="s">
        <v>305</v>
      </c>
      <c r="U89">
        <v>3.2472094935065469E-3</v>
      </c>
      <c r="V89" t="s">
        <v>251</v>
      </c>
      <c r="X89">
        <v>3.0821917808219177E-3</v>
      </c>
      <c r="Y89">
        <v>5.9965691271163281E-3</v>
      </c>
      <c r="Z89" t="s">
        <v>305</v>
      </c>
      <c r="AA89" t="s">
        <v>25</v>
      </c>
      <c r="AC89" t="s">
        <v>22</v>
      </c>
      <c r="AD89" t="s">
        <v>305</v>
      </c>
      <c r="AE89">
        <v>3.1335609678036802E-3</v>
      </c>
      <c r="AG89" t="s">
        <v>97</v>
      </c>
      <c r="AH89" t="s">
        <v>305</v>
      </c>
      <c r="AI89">
        <v>9.3004379692195771E-2</v>
      </c>
    </row>
    <row r="90" spans="5:35" x14ac:dyDescent="0.45">
      <c r="E90" t="s">
        <v>199</v>
      </c>
      <c r="G90" t="s">
        <v>434</v>
      </c>
      <c r="I90" t="s">
        <v>249</v>
      </c>
      <c r="J90" t="s">
        <v>306</v>
      </c>
      <c r="K90">
        <v>4.5255073233246741E-3</v>
      </c>
      <c r="L90" t="s">
        <v>251</v>
      </c>
      <c r="N90" t="s">
        <v>419</v>
      </c>
      <c r="O90" t="s">
        <v>306</v>
      </c>
      <c r="P90">
        <v>2.2310656281985818E-2</v>
      </c>
      <c r="Q90" t="s">
        <v>251</v>
      </c>
      <c r="S90" t="s">
        <v>420</v>
      </c>
      <c r="T90" t="s">
        <v>306</v>
      </c>
      <c r="U90">
        <v>2.1865683543540123E-2</v>
      </c>
      <c r="V90" t="s">
        <v>251</v>
      </c>
      <c r="X90">
        <v>1.8493150684931507E-2</v>
      </c>
      <c r="Y90">
        <v>1.6289187778136888E-2</v>
      </c>
      <c r="Z90" t="s">
        <v>306</v>
      </c>
      <c r="AA90" t="s">
        <v>25</v>
      </c>
      <c r="AC90" t="s">
        <v>22</v>
      </c>
      <c r="AD90" t="s">
        <v>306</v>
      </c>
      <c r="AE90">
        <v>1.8997917953466923E-2</v>
      </c>
      <c r="AG90" t="s">
        <v>97</v>
      </c>
      <c r="AH90" t="s">
        <v>306</v>
      </c>
      <c r="AI90">
        <v>0.11497772139136408</v>
      </c>
    </row>
    <row r="91" spans="5:35" x14ac:dyDescent="0.45">
      <c r="E91" t="s">
        <v>200</v>
      </c>
      <c r="G91" t="s">
        <v>434</v>
      </c>
      <c r="I91" t="s">
        <v>249</v>
      </c>
      <c r="J91" t="s">
        <v>628</v>
      </c>
      <c r="K91">
        <v>0</v>
      </c>
      <c r="L91" t="s">
        <v>251</v>
      </c>
      <c r="N91" t="s">
        <v>419</v>
      </c>
      <c r="O91" t="s">
        <v>628</v>
      </c>
      <c r="P91">
        <v>2.3493038919190001E-4</v>
      </c>
      <c r="Q91" t="s">
        <v>251</v>
      </c>
      <c r="S91" t="s">
        <v>420</v>
      </c>
      <c r="T91" t="s">
        <v>628</v>
      </c>
      <c r="U91">
        <v>8.044167253484388E-5</v>
      </c>
      <c r="V91" t="s">
        <v>251</v>
      </c>
      <c r="X91">
        <v>1.1415525114155251E-4</v>
      </c>
      <c r="Y91">
        <v>2.1546544680075254E-5</v>
      </c>
      <c r="Z91" t="s">
        <v>628</v>
      </c>
      <c r="AA91" t="s">
        <v>25</v>
      </c>
      <c r="AC91" t="s">
        <v>22</v>
      </c>
      <c r="AD91" t="s">
        <v>628</v>
      </c>
      <c r="AE91">
        <v>1.1539885322344985E-4</v>
      </c>
      <c r="AG91" t="s">
        <v>97</v>
      </c>
      <c r="AH91" t="s">
        <v>628</v>
      </c>
      <c r="AI91">
        <v>0</v>
      </c>
    </row>
    <row r="92" spans="5:35" x14ac:dyDescent="0.45">
      <c r="E92" t="s">
        <v>201</v>
      </c>
      <c r="G92" t="s">
        <v>434</v>
      </c>
      <c r="I92" t="s">
        <v>249</v>
      </c>
      <c r="J92" t="s">
        <v>629</v>
      </c>
      <c r="K92">
        <v>0</v>
      </c>
      <c r="L92" t="s">
        <v>251</v>
      </c>
      <c r="N92" t="s">
        <v>419</v>
      </c>
      <c r="O92" t="s">
        <v>629</v>
      </c>
      <c r="P92">
        <v>2.2892331688490001E-4</v>
      </c>
      <c r="Q92" t="s">
        <v>251</v>
      </c>
      <c r="S92" t="s">
        <v>420</v>
      </c>
      <c r="T92" t="s">
        <v>629</v>
      </c>
      <c r="U92">
        <v>8.0233431373059807E-5</v>
      </c>
      <c r="V92" t="s">
        <v>251</v>
      </c>
      <c r="X92">
        <v>1.1415525114155251E-4</v>
      </c>
      <c r="Y92">
        <v>1.4916838624667481E-5</v>
      </c>
      <c r="Z92" t="s">
        <v>629</v>
      </c>
      <c r="AA92" t="s">
        <v>25</v>
      </c>
      <c r="AC92" t="s">
        <v>22</v>
      </c>
      <c r="AD92" t="s">
        <v>629</v>
      </c>
      <c r="AE92">
        <v>1.1367595190516965E-4</v>
      </c>
      <c r="AG92" t="s">
        <v>97</v>
      </c>
      <c r="AH92" t="s">
        <v>629</v>
      </c>
      <c r="AI92">
        <v>0</v>
      </c>
    </row>
    <row r="93" spans="5:35" x14ac:dyDescent="0.45">
      <c r="E93" t="s">
        <v>202</v>
      </c>
      <c r="G93" t="s">
        <v>434</v>
      </c>
      <c r="I93" t="s">
        <v>249</v>
      </c>
      <c r="J93" t="s">
        <v>630</v>
      </c>
      <c r="K93">
        <v>0</v>
      </c>
      <c r="L93" t="s">
        <v>251</v>
      </c>
      <c r="N93" t="s">
        <v>419</v>
      </c>
      <c r="O93" t="s">
        <v>630</v>
      </c>
      <c r="P93">
        <v>2.2137859299630001E-4</v>
      </c>
      <c r="Q93" t="s">
        <v>251</v>
      </c>
      <c r="S93" t="s">
        <v>420</v>
      </c>
      <c r="T93" t="s">
        <v>630</v>
      </c>
      <c r="U93">
        <v>7.9001091815929545E-5</v>
      </c>
      <c r="V93" t="s">
        <v>251</v>
      </c>
      <c r="X93">
        <v>1.1415525114155251E-4</v>
      </c>
      <c r="Y93">
        <v>1.6574265138519424E-5</v>
      </c>
      <c r="Z93" t="s">
        <v>630</v>
      </c>
      <c r="AA93" t="s">
        <v>25</v>
      </c>
      <c r="AC93" t="s">
        <v>22</v>
      </c>
      <c r="AD93" t="s">
        <v>630</v>
      </c>
      <c r="AE93">
        <v>1.0962614670054074E-4</v>
      </c>
      <c r="AG93" t="s">
        <v>97</v>
      </c>
      <c r="AH93" t="s">
        <v>630</v>
      </c>
      <c r="AI93">
        <v>0</v>
      </c>
    </row>
    <row r="94" spans="5:35" x14ac:dyDescent="0.45">
      <c r="E94" t="s">
        <v>203</v>
      </c>
      <c r="G94" t="s">
        <v>434</v>
      </c>
      <c r="I94" t="s">
        <v>249</v>
      </c>
      <c r="J94" t="s">
        <v>631</v>
      </c>
      <c r="K94">
        <v>0</v>
      </c>
      <c r="L94" t="s">
        <v>251</v>
      </c>
      <c r="N94" t="s">
        <v>419</v>
      </c>
      <c r="O94" t="s">
        <v>631</v>
      </c>
      <c r="P94">
        <v>2.1512732549610001E-4</v>
      </c>
      <c r="Q94" t="s">
        <v>251</v>
      </c>
      <c r="S94" t="s">
        <v>420</v>
      </c>
      <c r="T94" t="s">
        <v>631</v>
      </c>
      <c r="U94">
        <v>7.0877680701019103E-5</v>
      </c>
      <c r="V94" t="s">
        <v>251</v>
      </c>
      <c r="X94">
        <v>1.1415525114155251E-4</v>
      </c>
      <c r="Y94">
        <v>1.4585353321897093E-5</v>
      </c>
      <c r="Z94" t="s">
        <v>631</v>
      </c>
      <c r="AA94" t="s">
        <v>25</v>
      </c>
      <c r="AC94" t="s">
        <v>22</v>
      </c>
      <c r="AD94" t="s">
        <v>631</v>
      </c>
      <c r="AE94">
        <v>1.0312991766676511E-4</v>
      </c>
      <c r="AG94" t="s">
        <v>97</v>
      </c>
      <c r="AH94" t="s">
        <v>631</v>
      </c>
      <c r="AI94">
        <v>0</v>
      </c>
    </row>
    <row r="95" spans="5:35" x14ac:dyDescent="0.45">
      <c r="E95" t="s">
        <v>204</v>
      </c>
      <c r="G95" t="s">
        <v>434</v>
      </c>
      <c r="I95" t="s">
        <v>249</v>
      </c>
      <c r="J95" t="s">
        <v>632</v>
      </c>
      <c r="K95">
        <v>0</v>
      </c>
      <c r="L95" t="s">
        <v>251</v>
      </c>
      <c r="N95" t="s">
        <v>419</v>
      </c>
      <c r="O95" t="s">
        <v>632</v>
      </c>
      <c r="P95">
        <v>2.1515994265190001E-4</v>
      </c>
      <c r="Q95" t="s">
        <v>251</v>
      </c>
      <c r="S95" t="s">
        <v>420</v>
      </c>
      <c r="T95" t="s">
        <v>632</v>
      </c>
      <c r="U95">
        <v>4.6776613748816818E-5</v>
      </c>
      <c r="V95" t="s">
        <v>251</v>
      </c>
      <c r="X95">
        <v>1.1415525114155251E-4</v>
      </c>
      <c r="Y95">
        <v>2.1215059377304864E-5</v>
      </c>
      <c r="Z95" t="s">
        <v>632</v>
      </c>
      <c r="AA95" t="s">
        <v>25</v>
      </c>
      <c r="AC95" t="s">
        <v>22</v>
      </c>
      <c r="AD95" t="s">
        <v>632</v>
      </c>
      <c r="AE95">
        <v>9.6784689275006606E-5</v>
      </c>
      <c r="AG95" t="s">
        <v>97</v>
      </c>
      <c r="AH95" t="s">
        <v>632</v>
      </c>
      <c r="AI95">
        <v>0</v>
      </c>
    </row>
    <row r="96" spans="5:35" x14ac:dyDescent="0.45">
      <c r="E96" t="s">
        <v>205</v>
      </c>
      <c r="G96" t="s">
        <v>434</v>
      </c>
      <c r="I96" t="s">
        <v>249</v>
      </c>
      <c r="J96" t="s">
        <v>633</v>
      </c>
      <c r="K96">
        <v>0</v>
      </c>
      <c r="L96" t="s">
        <v>251</v>
      </c>
      <c r="N96" t="s">
        <v>419</v>
      </c>
      <c r="O96" t="s">
        <v>633</v>
      </c>
      <c r="P96">
        <v>2.1885980596819999E-4</v>
      </c>
      <c r="Q96" t="s">
        <v>251</v>
      </c>
      <c r="S96" t="s">
        <v>420</v>
      </c>
      <c r="T96" t="s">
        <v>633</v>
      </c>
      <c r="U96">
        <v>4.0467513077573629E-5</v>
      </c>
      <c r="V96" t="s">
        <v>251</v>
      </c>
      <c r="X96">
        <v>1.1415525114155251E-4</v>
      </c>
      <c r="Y96">
        <v>5.7678442682047593E-5</v>
      </c>
      <c r="Z96" t="s">
        <v>633</v>
      </c>
      <c r="AA96" t="s">
        <v>25</v>
      </c>
      <c r="AC96" t="s">
        <v>22</v>
      </c>
      <c r="AD96" t="s">
        <v>633</v>
      </c>
      <c r="AE96">
        <v>8.9694061954280165E-5</v>
      </c>
      <c r="AG96" t="s">
        <v>97</v>
      </c>
      <c r="AH96" t="s">
        <v>633</v>
      </c>
      <c r="AI96">
        <v>0</v>
      </c>
    </row>
    <row r="97" spans="5:35" x14ac:dyDescent="0.45">
      <c r="E97" t="s">
        <v>206</v>
      </c>
      <c r="G97" t="s">
        <v>434</v>
      </c>
      <c r="I97" t="s">
        <v>249</v>
      </c>
      <c r="J97" t="s">
        <v>634</v>
      </c>
      <c r="K97">
        <v>9.3273071981662316E-5</v>
      </c>
      <c r="L97" t="s">
        <v>251</v>
      </c>
      <c r="N97" t="s">
        <v>419</v>
      </c>
      <c r="O97" t="s">
        <v>634</v>
      </c>
      <c r="P97">
        <v>2.189835309227E-4</v>
      </c>
      <c r="Q97" t="s">
        <v>251</v>
      </c>
      <c r="S97" t="s">
        <v>420</v>
      </c>
      <c r="T97" t="s">
        <v>634</v>
      </c>
      <c r="U97">
        <v>3.5024633699657177E-5</v>
      </c>
      <c r="V97" t="s">
        <v>251</v>
      </c>
      <c r="X97">
        <v>1.1415525114155251E-4</v>
      </c>
      <c r="Y97">
        <v>1.6905750441289813E-4</v>
      </c>
      <c r="Z97" t="s">
        <v>634</v>
      </c>
      <c r="AA97" t="s">
        <v>25</v>
      </c>
      <c r="AC97" t="s">
        <v>22</v>
      </c>
      <c r="AD97" t="s">
        <v>634</v>
      </c>
      <c r="AE97">
        <v>8.6093256891903573E-5</v>
      </c>
      <c r="AG97" t="s">
        <v>97</v>
      </c>
      <c r="AH97" t="s">
        <v>634</v>
      </c>
      <c r="AI97">
        <v>0</v>
      </c>
    </row>
    <row r="98" spans="5:35" x14ac:dyDescent="0.45">
      <c r="E98" t="s">
        <v>207</v>
      </c>
      <c r="G98" t="s">
        <v>434</v>
      </c>
      <c r="I98" t="s">
        <v>249</v>
      </c>
      <c r="J98" t="s">
        <v>635</v>
      </c>
      <c r="K98">
        <v>2.1942770732790001E-4</v>
      </c>
      <c r="L98" t="s">
        <v>251</v>
      </c>
      <c r="N98" t="s">
        <v>419</v>
      </c>
      <c r="O98" t="s">
        <v>635</v>
      </c>
      <c r="P98">
        <v>2.1178561949870001E-4</v>
      </c>
      <c r="Q98" t="s">
        <v>251</v>
      </c>
      <c r="S98" t="s">
        <v>420</v>
      </c>
      <c r="T98" t="s">
        <v>635</v>
      </c>
      <c r="U98">
        <v>2.7447322642200601E-5</v>
      </c>
      <c r="V98" t="s">
        <v>251</v>
      </c>
      <c r="X98">
        <v>1.1415525114155251E-4</v>
      </c>
      <c r="Y98">
        <v>1.9060404909297337E-4</v>
      </c>
      <c r="Z98" t="s">
        <v>635</v>
      </c>
      <c r="AA98" t="s">
        <v>25</v>
      </c>
      <c r="AC98" t="s">
        <v>22</v>
      </c>
      <c r="AD98" t="s">
        <v>635</v>
      </c>
      <c r="AE98">
        <v>8.2932914833008065E-5</v>
      </c>
      <c r="AG98" t="s">
        <v>97</v>
      </c>
      <c r="AH98" t="s">
        <v>635</v>
      </c>
      <c r="AI98">
        <v>0</v>
      </c>
    </row>
    <row r="99" spans="5:35" x14ac:dyDescent="0.45">
      <c r="E99" t="s">
        <v>208</v>
      </c>
      <c r="G99" t="s">
        <v>434</v>
      </c>
      <c r="I99" t="s">
        <v>249</v>
      </c>
      <c r="J99" t="s">
        <v>636</v>
      </c>
      <c r="K99">
        <v>2.7558663415999999E-4</v>
      </c>
      <c r="L99" t="s">
        <v>251</v>
      </c>
      <c r="N99" t="s">
        <v>419</v>
      </c>
      <c r="O99" t="s">
        <v>636</v>
      </c>
      <c r="P99">
        <v>2.1350925838699999E-4</v>
      </c>
      <c r="Q99" t="s">
        <v>251</v>
      </c>
      <c r="S99" t="s">
        <v>420</v>
      </c>
      <c r="T99" t="s">
        <v>636</v>
      </c>
      <c r="U99">
        <v>2.6959303255329743E-5</v>
      </c>
      <c r="V99" t="s">
        <v>251</v>
      </c>
      <c r="X99">
        <v>1.1415525114155251E-4</v>
      </c>
      <c r="Y99">
        <v>1.4585353321897094E-4</v>
      </c>
      <c r="Z99" t="s">
        <v>636</v>
      </c>
      <c r="AA99" t="s">
        <v>25</v>
      </c>
      <c r="AC99" t="s">
        <v>22</v>
      </c>
      <c r="AD99" t="s">
        <v>636</v>
      </c>
      <c r="AE99">
        <v>8.261944176874988E-5</v>
      </c>
      <c r="AG99" t="s">
        <v>97</v>
      </c>
      <c r="AH99" t="s">
        <v>636</v>
      </c>
      <c r="AI99">
        <v>0</v>
      </c>
    </row>
    <row r="100" spans="5:35" x14ac:dyDescent="0.45">
      <c r="E100" t="s">
        <v>209</v>
      </c>
      <c r="G100" t="s">
        <v>434</v>
      </c>
      <c r="I100" t="s">
        <v>249</v>
      </c>
      <c r="J100" t="s">
        <v>637</v>
      </c>
      <c r="K100">
        <v>3.0429572739150001E-4</v>
      </c>
      <c r="L100" t="s">
        <v>251</v>
      </c>
      <c r="N100" t="s">
        <v>419</v>
      </c>
      <c r="O100" t="s">
        <v>637</v>
      </c>
      <c r="P100">
        <v>2.188955611501E-4</v>
      </c>
      <c r="Q100" t="s">
        <v>251</v>
      </c>
      <c r="S100" t="s">
        <v>420</v>
      </c>
      <c r="T100" t="s">
        <v>637</v>
      </c>
      <c r="U100">
        <v>3.2149599749168365E-5</v>
      </c>
      <c r="V100" t="s">
        <v>251</v>
      </c>
      <c r="X100">
        <v>1.1415525114155251E-4</v>
      </c>
      <c r="Y100">
        <v>1.4452759200788939E-4</v>
      </c>
      <c r="Z100" t="s">
        <v>637</v>
      </c>
      <c r="AA100" t="s">
        <v>25</v>
      </c>
      <c r="AC100" t="s">
        <v>22</v>
      </c>
      <c r="AD100" t="s">
        <v>637</v>
      </c>
      <c r="AE100">
        <v>8.2919308768091319E-5</v>
      </c>
      <c r="AG100" t="s">
        <v>97</v>
      </c>
      <c r="AH100" t="s">
        <v>637</v>
      </c>
      <c r="AI100">
        <v>0</v>
      </c>
    </row>
    <row r="101" spans="5:35" x14ac:dyDescent="0.45">
      <c r="E101" t="s">
        <v>210</v>
      </c>
      <c r="G101" t="s">
        <v>434</v>
      </c>
      <c r="I101" t="s">
        <v>249</v>
      </c>
      <c r="J101" t="s">
        <v>638</v>
      </c>
      <c r="K101">
        <v>3.172126903631E-4</v>
      </c>
      <c r="L101" t="s">
        <v>251</v>
      </c>
      <c r="N101" t="s">
        <v>419</v>
      </c>
      <c r="O101" t="s">
        <v>638</v>
      </c>
      <c r="P101">
        <v>2.191696843887E-4</v>
      </c>
      <c r="Q101" t="s">
        <v>251</v>
      </c>
      <c r="S101" t="s">
        <v>420</v>
      </c>
      <c r="T101" t="s">
        <v>638</v>
      </c>
      <c r="U101">
        <v>3.6985284126304209E-5</v>
      </c>
      <c r="V101" t="s">
        <v>251</v>
      </c>
      <c r="X101">
        <v>1.1415525114155251E-4</v>
      </c>
      <c r="Y101">
        <v>1.408812536774151E-4</v>
      </c>
      <c r="Z101" t="s">
        <v>638</v>
      </c>
      <c r="AA101" t="s">
        <v>25</v>
      </c>
      <c r="AC101" t="s">
        <v>22</v>
      </c>
      <c r="AD101" t="s">
        <v>638</v>
      </c>
      <c r="AE101">
        <v>8.6770091925114613E-5</v>
      </c>
      <c r="AG101" t="s">
        <v>97</v>
      </c>
      <c r="AH101" t="s">
        <v>638</v>
      </c>
      <c r="AI101">
        <v>0</v>
      </c>
    </row>
    <row r="102" spans="5:35" x14ac:dyDescent="0.45">
      <c r="E102" t="s">
        <v>211</v>
      </c>
      <c r="G102" t="s">
        <v>434</v>
      </c>
      <c r="I102" t="s">
        <v>249</v>
      </c>
      <c r="J102" t="s">
        <v>639</v>
      </c>
      <c r="K102">
        <v>3.185744806266E-4</v>
      </c>
      <c r="L102" t="s">
        <v>251</v>
      </c>
      <c r="N102" t="s">
        <v>419</v>
      </c>
      <c r="O102" t="s">
        <v>639</v>
      </c>
      <c r="P102">
        <v>2.1389704810020001E-4</v>
      </c>
      <c r="Q102" t="s">
        <v>251</v>
      </c>
      <c r="S102" t="s">
        <v>420</v>
      </c>
      <c r="T102" t="s">
        <v>639</v>
      </c>
      <c r="U102">
        <v>4.1080356565471749E-5</v>
      </c>
      <c r="V102" t="s">
        <v>251</v>
      </c>
      <c r="X102">
        <v>1.1415525114155251E-4</v>
      </c>
      <c r="Y102">
        <v>1.4054976837464471E-4</v>
      </c>
      <c r="Z102" t="s">
        <v>639</v>
      </c>
      <c r="AA102" t="s">
        <v>25</v>
      </c>
      <c r="AC102" t="s">
        <v>22</v>
      </c>
      <c r="AD102" t="s">
        <v>639</v>
      </c>
      <c r="AE102">
        <v>9.0479211935651902E-5</v>
      </c>
      <c r="AG102" t="s">
        <v>97</v>
      </c>
      <c r="AH102" t="s">
        <v>639</v>
      </c>
      <c r="AI102">
        <v>0</v>
      </c>
    </row>
    <row r="103" spans="5:35" x14ac:dyDescent="0.45">
      <c r="E103" t="s">
        <v>212</v>
      </c>
      <c r="G103" t="s">
        <v>434</v>
      </c>
      <c r="I103" t="s">
        <v>249</v>
      </c>
      <c r="J103" t="s">
        <v>640</v>
      </c>
      <c r="K103">
        <v>3.074454565856E-4</v>
      </c>
      <c r="L103" t="s">
        <v>251</v>
      </c>
      <c r="N103" t="s">
        <v>419</v>
      </c>
      <c r="O103" t="s">
        <v>640</v>
      </c>
      <c r="P103">
        <v>2.088474391161E-4</v>
      </c>
      <c r="Q103" t="s">
        <v>251</v>
      </c>
      <c r="S103" t="s">
        <v>420</v>
      </c>
      <c r="T103" t="s">
        <v>640</v>
      </c>
      <c r="U103">
        <v>4.4422998077102129E-5</v>
      </c>
      <c r="V103" t="s">
        <v>251</v>
      </c>
      <c r="X103">
        <v>1.1415525114155251E-4</v>
      </c>
      <c r="Y103">
        <v>1.4253868019126702E-4</v>
      </c>
      <c r="Z103" t="s">
        <v>640</v>
      </c>
      <c r="AA103" t="s">
        <v>25</v>
      </c>
      <c r="AC103" t="s">
        <v>22</v>
      </c>
      <c r="AD103" t="s">
        <v>640</v>
      </c>
      <c r="AE103">
        <v>9.455756319804729E-5</v>
      </c>
      <c r="AG103" t="s">
        <v>97</v>
      </c>
      <c r="AH103" t="s">
        <v>640</v>
      </c>
      <c r="AI103">
        <v>0</v>
      </c>
    </row>
    <row r="104" spans="5:35" x14ac:dyDescent="0.45">
      <c r="E104" t="s">
        <v>213</v>
      </c>
      <c r="G104" t="s">
        <v>434</v>
      </c>
      <c r="I104" t="s">
        <v>249</v>
      </c>
      <c r="J104" t="s">
        <v>641</v>
      </c>
      <c r="K104">
        <v>3.0957452367060001E-4</v>
      </c>
      <c r="L104" t="s">
        <v>251</v>
      </c>
      <c r="N104" t="s">
        <v>419</v>
      </c>
      <c r="O104" t="s">
        <v>641</v>
      </c>
      <c r="P104">
        <v>2.044065062088E-4</v>
      </c>
      <c r="Q104" t="s">
        <v>251</v>
      </c>
      <c r="S104" t="s">
        <v>420</v>
      </c>
      <c r="T104" t="s">
        <v>641</v>
      </c>
      <c r="U104">
        <v>5.2378760846553443E-5</v>
      </c>
      <c r="V104" t="s">
        <v>251</v>
      </c>
      <c r="X104">
        <v>1.1415525114155251E-4</v>
      </c>
      <c r="Y104">
        <v>1.4883690094390442E-4</v>
      </c>
      <c r="Z104" t="s">
        <v>641</v>
      </c>
      <c r="AA104" t="s">
        <v>25</v>
      </c>
      <c r="AC104" t="s">
        <v>22</v>
      </c>
      <c r="AD104" t="s">
        <v>641</v>
      </c>
      <c r="AE104">
        <v>9.9938628479823648E-5</v>
      </c>
      <c r="AG104" t="s">
        <v>97</v>
      </c>
      <c r="AH104" t="s">
        <v>641</v>
      </c>
      <c r="AI104">
        <v>0</v>
      </c>
    </row>
    <row r="105" spans="5:35" x14ac:dyDescent="0.45">
      <c r="E105" t="s">
        <v>214</v>
      </c>
      <c r="G105" t="s">
        <v>434</v>
      </c>
      <c r="I105" t="s">
        <v>249</v>
      </c>
      <c r="J105" t="s">
        <v>642</v>
      </c>
      <c r="K105">
        <v>3.112724176205E-4</v>
      </c>
      <c r="L105" t="s">
        <v>251</v>
      </c>
      <c r="N105" t="s">
        <v>419</v>
      </c>
      <c r="O105" t="s">
        <v>642</v>
      </c>
      <c r="P105">
        <v>2.0119636818880001E-4</v>
      </c>
      <c r="Q105" t="s">
        <v>251</v>
      </c>
      <c r="S105" t="s">
        <v>420</v>
      </c>
      <c r="T105" t="s">
        <v>642</v>
      </c>
      <c r="U105">
        <v>6.4442399729834089E-5</v>
      </c>
      <c r="V105" t="s">
        <v>251</v>
      </c>
      <c r="X105">
        <v>1.1415525114155251E-4</v>
      </c>
      <c r="Y105">
        <v>1.5049432745775637E-4</v>
      </c>
      <c r="Z105" t="s">
        <v>642</v>
      </c>
      <c r="AA105" t="s">
        <v>25</v>
      </c>
      <c r="AC105" t="s">
        <v>22</v>
      </c>
      <c r="AD105" t="s">
        <v>642</v>
      </c>
      <c r="AE105">
        <v>1.0426055498278733E-4</v>
      </c>
      <c r="AG105" t="s">
        <v>97</v>
      </c>
      <c r="AH105" t="s">
        <v>642</v>
      </c>
      <c r="AI105">
        <v>0</v>
      </c>
    </row>
    <row r="106" spans="5:35" x14ac:dyDescent="0.45">
      <c r="E106" t="s">
        <v>215</v>
      </c>
      <c r="G106" t="s">
        <v>434</v>
      </c>
      <c r="I106" t="s">
        <v>249</v>
      </c>
      <c r="J106" t="s">
        <v>643</v>
      </c>
      <c r="K106">
        <v>3.0151812767080001E-4</v>
      </c>
      <c r="L106" t="s">
        <v>251</v>
      </c>
      <c r="N106" t="s">
        <v>419</v>
      </c>
      <c r="O106" t="s">
        <v>643</v>
      </c>
      <c r="P106">
        <v>1.8667299638259999E-4</v>
      </c>
      <c r="Q106" t="s">
        <v>251</v>
      </c>
      <c r="S106" t="s">
        <v>420</v>
      </c>
      <c r="T106" t="s">
        <v>643</v>
      </c>
      <c r="U106">
        <v>7.8374928051028013E-5</v>
      </c>
      <c r="V106" t="s">
        <v>251</v>
      </c>
      <c r="X106">
        <v>1.1415525114155251E-4</v>
      </c>
      <c r="Y106">
        <v>1.7237235744060203E-4</v>
      </c>
      <c r="Z106" t="s">
        <v>643</v>
      </c>
      <c r="AA106" t="s">
        <v>25</v>
      </c>
      <c r="AC106" t="s">
        <v>22</v>
      </c>
      <c r="AD106" t="s">
        <v>643</v>
      </c>
      <c r="AE106">
        <v>1.0154921306614413E-4</v>
      </c>
      <c r="AG106" t="s">
        <v>97</v>
      </c>
      <c r="AH106" t="s">
        <v>643</v>
      </c>
      <c r="AI106">
        <v>0</v>
      </c>
    </row>
    <row r="107" spans="5:35" x14ac:dyDescent="0.45">
      <c r="E107" t="s">
        <v>804</v>
      </c>
      <c r="G107" t="s">
        <v>436</v>
      </c>
      <c r="I107" t="s">
        <v>249</v>
      </c>
      <c r="J107" t="s">
        <v>644</v>
      </c>
      <c r="K107">
        <v>2.777182897345E-4</v>
      </c>
      <c r="L107" t="s">
        <v>251</v>
      </c>
      <c r="N107" t="s">
        <v>419</v>
      </c>
      <c r="O107" t="s">
        <v>644</v>
      </c>
      <c r="P107">
        <v>1.9029927747259999E-4</v>
      </c>
      <c r="Q107" t="s">
        <v>251</v>
      </c>
      <c r="S107" t="s">
        <v>420</v>
      </c>
      <c r="T107" t="s">
        <v>644</v>
      </c>
      <c r="U107">
        <v>1.046781073155E-4</v>
      </c>
      <c r="V107" t="s">
        <v>251</v>
      </c>
      <c r="X107">
        <v>1.1415525114155251E-4</v>
      </c>
      <c r="Y107">
        <v>2.2209515285616027E-4</v>
      </c>
      <c r="Z107" t="s">
        <v>644</v>
      </c>
      <c r="AA107" t="s">
        <v>25</v>
      </c>
      <c r="AC107" t="s">
        <v>22</v>
      </c>
      <c r="AD107" t="s">
        <v>644</v>
      </c>
      <c r="AE107">
        <v>1.0348340856901366E-4</v>
      </c>
      <c r="AG107" t="s">
        <v>97</v>
      </c>
      <c r="AH107" t="s">
        <v>644</v>
      </c>
      <c r="AI107">
        <v>0</v>
      </c>
    </row>
    <row r="108" spans="5:35" x14ac:dyDescent="0.45">
      <c r="E108" t="s">
        <v>805</v>
      </c>
      <c r="G108" t="s">
        <v>436</v>
      </c>
      <c r="I108" t="s">
        <v>249</v>
      </c>
      <c r="J108" t="s">
        <v>645</v>
      </c>
      <c r="K108">
        <v>2.4058516585659999E-4</v>
      </c>
      <c r="L108" t="s">
        <v>251</v>
      </c>
      <c r="N108" t="s">
        <v>419</v>
      </c>
      <c r="O108" t="s">
        <v>645</v>
      </c>
      <c r="P108">
        <v>2.032456176804E-4</v>
      </c>
      <c r="Q108" t="s">
        <v>251</v>
      </c>
      <c r="S108" t="s">
        <v>420</v>
      </c>
      <c r="T108" t="s">
        <v>645</v>
      </c>
      <c r="U108">
        <v>1.3573255525170001E-4</v>
      </c>
      <c r="V108" t="s">
        <v>251</v>
      </c>
      <c r="X108">
        <v>1.1415525114155251E-4</v>
      </c>
      <c r="Y108">
        <v>2.2209515285616027E-4</v>
      </c>
      <c r="Z108" t="s">
        <v>645</v>
      </c>
      <c r="AA108" t="s">
        <v>25</v>
      </c>
      <c r="AC108" t="s">
        <v>22</v>
      </c>
      <c r="AD108" t="s">
        <v>645</v>
      </c>
      <c r="AE108">
        <v>1.0199661249487684E-4</v>
      </c>
      <c r="AG108" t="s">
        <v>97</v>
      </c>
      <c r="AH108" t="s">
        <v>645</v>
      </c>
      <c r="AI108">
        <v>0</v>
      </c>
    </row>
    <row r="109" spans="5:35" x14ac:dyDescent="0.45">
      <c r="E109" t="s">
        <v>806</v>
      </c>
      <c r="G109" t="s">
        <v>436</v>
      </c>
      <c r="I109" t="s">
        <v>249</v>
      </c>
      <c r="J109" t="s">
        <v>646</v>
      </c>
      <c r="K109">
        <v>1.701087369657E-4</v>
      </c>
      <c r="L109" t="s">
        <v>251</v>
      </c>
      <c r="N109" t="s">
        <v>419</v>
      </c>
      <c r="O109" t="s">
        <v>646</v>
      </c>
      <c r="P109">
        <v>2.1021856436329999E-4</v>
      </c>
      <c r="Q109" t="s">
        <v>251</v>
      </c>
      <c r="S109" t="s">
        <v>420</v>
      </c>
      <c r="T109" t="s">
        <v>646</v>
      </c>
      <c r="U109">
        <v>1.5203605931759999E-4</v>
      </c>
      <c r="V109" t="s">
        <v>251</v>
      </c>
      <c r="X109">
        <v>1.1415525114155251E-4</v>
      </c>
      <c r="Y109">
        <v>1.7237235744060203E-4</v>
      </c>
      <c r="Z109" t="s">
        <v>646</v>
      </c>
      <c r="AA109" t="s">
        <v>25</v>
      </c>
      <c r="AC109" t="s">
        <v>22</v>
      </c>
      <c r="AD109" t="s">
        <v>646</v>
      </c>
      <c r="AE109">
        <v>1.0030812651726841E-4</v>
      </c>
      <c r="AG109" t="s">
        <v>97</v>
      </c>
      <c r="AH109" t="s">
        <v>646</v>
      </c>
      <c r="AI109">
        <v>0</v>
      </c>
    </row>
    <row r="110" spans="5:35" x14ac:dyDescent="0.45">
      <c r="E110" t="s">
        <v>807</v>
      </c>
      <c r="G110" t="s">
        <v>436</v>
      </c>
      <c r="I110" t="s">
        <v>249</v>
      </c>
      <c r="J110" t="s">
        <v>647</v>
      </c>
      <c r="K110">
        <v>1.2877948726459341E-5</v>
      </c>
      <c r="L110" t="s">
        <v>251</v>
      </c>
      <c r="N110" t="s">
        <v>419</v>
      </c>
      <c r="O110" t="s">
        <v>647</v>
      </c>
      <c r="P110">
        <v>2.104902895961E-4</v>
      </c>
      <c r="Q110" t="s">
        <v>251</v>
      </c>
      <c r="S110" t="s">
        <v>420</v>
      </c>
      <c r="T110" t="s">
        <v>647</v>
      </c>
      <c r="U110">
        <v>1.644334996835E-4</v>
      </c>
      <c r="V110" t="s">
        <v>251</v>
      </c>
      <c r="X110">
        <v>1.1415525114155251E-4</v>
      </c>
      <c r="Y110">
        <v>1.5579809230208258E-4</v>
      </c>
      <c r="Z110" t="s">
        <v>647</v>
      </c>
      <c r="AA110" t="s">
        <v>25</v>
      </c>
      <c r="AC110" t="s">
        <v>22</v>
      </c>
      <c r="AD110" t="s">
        <v>647</v>
      </c>
      <c r="AE110">
        <v>1.010601950859014E-4</v>
      </c>
      <c r="AG110" t="s">
        <v>97</v>
      </c>
      <c r="AH110" t="s">
        <v>647</v>
      </c>
      <c r="AI110">
        <v>0</v>
      </c>
    </row>
    <row r="111" spans="5:35" x14ac:dyDescent="0.45">
      <c r="E111" t="s">
        <v>808</v>
      </c>
      <c r="G111" t="s">
        <v>436</v>
      </c>
      <c r="I111" t="s">
        <v>249</v>
      </c>
      <c r="J111" t="s">
        <v>648</v>
      </c>
      <c r="K111">
        <v>0</v>
      </c>
      <c r="L111" t="s">
        <v>251</v>
      </c>
      <c r="N111" t="s">
        <v>419</v>
      </c>
      <c r="O111" t="s">
        <v>648</v>
      </c>
      <c r="P111">
        <v>2.08989427334E-4</v>
      </c>
      <c r="Q111" t="s">
        <v>251</v>
      </c>
      <c r="S111" t="s">
        <v>420</v>
      </c>
      <c r="T111" t="s">
        <v>648</v>
      </c>
      <c r="U111">
        <v>1.8039538616409999E-4</v>
      </c>
      <c r="V111" t="s">
        <v>251</v>
      </c>
      <c r="X111">
        <v>1.1415525114155251E-4</v>
      </c>
      <c r="Y111">
        <v>1.093901499142282E-4</v>
      </c>
      <c r="Z111" t="s">
        <v>648</v>
      </c>
      <c r="AA111" t="s">
        <v>25</v>
      </c>
      <c r="AC111" t="s">
        <v>22</v>
      </c>
      <c r="AD111" t="s">
        <v>648</v>
      </c>
      <c r="AE111">
        <v>1.0234530125656658E-4</v>
      </c>
      <c r="AG111" t="s">
        <v>97</v>
      </c>
      <c r="AH111" t="s">
        <v>648</v>
      </c>
      <c r="AI111">
        <v>0</v>
      </c>
    </row>
    <row r="112" spans="5:35" x14ac:dyDescent="0.45">
      <c r="E112" t="s">
        <v>809</v>
      </c>
      <c r="G112" t="s">
        <v>436</v>
      </c>
      <c r="I112" t="s">
        <v>249</v>
      </c>
      <c r="J112" t="s">
        <v>649</v>
      </c>
      <c r="K112">
        <v>0</v>
      </c>
      <c r="L112" t="s">
        <v>251</v>
      </c>
      <c r="N112" t="s">
        <v>419</v>
      </c>
      <c r="O112" t="s">
        <v>649</v>
      </c>
      <c r="P112">
        <v>2.066782047945E-4</v>
      </c>
      <c r="Q112" t="s">
        <v>251</v>
      </c>
      <c r="S112" t="s">
        <v>420</v>
      </c>
      <c r="T112" t="s">
        <v>649</v>
      </c>
      <c r="U112">
        <v>1.959155792597E-4</v>
      </c>
      <c r="V112" t="s">
        <v>251</v>
      </c>
      <c r="X112">
        <v>1.1415525114155251E-4</v>
      </c>
      <c r="Y112">
        <v>7.9556472664893237E-5</v>
      </c>
      <c r="Z112" t="s">
        <v>649</v>
      </c>
      <c r="AA112" t="s">
        <v>25</v>
      </c>
      <c r="AC112" t="s">
        <v>22</v>
      </c>
      <c r="AD112" t="s">
        <v>649</v>
      </c>
      <c r="AE112">
        <v>1.0549630581993101E-4</v>
      </c>
      <c r="AG112" t="s">
        <v>97</v>
      </c>
      <c r="AH112" t="s">
        <v>649</v>
      </c>
      <c r="AI112">
        <v>0</v>
      </c>
    </row>
    <row r="113" spans="5:35" x14ac:dyDescent="0.45">
      <c r="E113" t="s">
        <v>810</v>
      </c>
      <c r="G113" t="s">
        <v>436</v>
      </c>
      <c r="I113" t="s">
        <v>249</v>
      </c>
      <c r="J113" t="s">
        <v>650</v>
      </c>
      <c r="K113">
        <v>0</v>
      </c>
      <c r="L113" t="s">
        <v>251</v>
      </c>
      <c r="N113" t="s">
        <v>419</v>
      </c>
      <c r="O113" t="s">
        <v>650</v>
      </c>
      <c r="P113">
        <v>2.030816796164E-4</v>
      </c>
      <c r="Q113" t="s">
        <v>251</v>
      </c>
      <c r="S113" t="s">
        <v>420</v>
      </c>
      <c r="T113" t="s">
        <v>650</v>
      </c>
      <c r="U113">
        <v>2.090312600511E-4</v>
      </c>
      <c r="V113" t="s">
        <v>251</v>
      </c>
      <c r="X113">
        <v>1.1415525114155251E-4</v>
      </c>
      <c r="Y113">
        <v>5.6352501470966035E-5</v>
      </c>
      <c r="Z113" t="s">
        <v>650</v>
      </c>
      <c r="AA113" t="s">
        <v>25</v>
      </c>
      <c r="AC113" t="s">
        <v>22</v>
      </c>
      <c r="AD113" t="s">
        <v>650</v>
      </c>
      <c r="AE113">
        <v>1.0856087185323616E-4</v>
      </c>
      <c r="AG113" t="s">
        <v>97</v>
      </c>
      <c r="AH113" t="s">
        <v>650</v>
      </c>
      <c r="AI113">
        <v>0</v>
      </c>
    </row>
    <row r="114" spans="5:35" x14ac:dyDescent="0.45">
      <c r="E114" t="s">
        <v>811</v>
      </c>
      <c r="G114" t="s">
        <v>436</v>
      </c>
      <c r="I114" t="s">
        <v>249</v>
      </c>
      <c r="J114" t="s">
        <v>651</v>
      </c>
      <c r="K114">
        <v>0</v>
      </c>
      <c r="L114" t="s">
        <v>251</v>
      </c>
      <c r="N114" t="s">
        <v>419</v>
      </c>
      <c r="O114" t="s">
        <v>651</v>
      </c>
      <c r="P114">
        <v>2.0183275366090001E-4</v>
      </c>
      <c r="Q114" t="s">
        <v>251</v>
      </c>
      <c r="S114" t="s">
        <v>420</v>
      </c>
      <c r="T114" t="s">
        <v>651</v>
      </c>
      <c r="U114">
        <v>2.1579829327359999E-4</v>
      </c>
      <c r="V114" t="s">
        <v>251</v>
      </c>
      <c r="X114">
        <v>1.1415525114155251E-4</v>
      </c>
      <c r="Y114">
        <v>2.9833677249334962E-5</v>
      </c>
      <c r="Z114" t="s">
        <v>651</v>
      </c>
      <c r="AA114" t="s">
        <v>25</v>
      </c>
      <c r="AC114" t="s">
        <v>22</v>
      </c>
      <c r="AD114" t="s">
        <v>651</v>
      </c>
      <c r="AE114">
        <v>1.0843068048697405E-4</v>
      </c>
      <c r="AG114" t="s">
        <v>97</v>
      </c>
      <c r="AH114" t="s">
        <v>651</v>
      </c>
      <c r="AI114">
        <v>0</v>
      </c>
    </row>
    <row r="115" spans="5:35" x14ac:dyDescent="0.45">
      <c r="E115" t="s">
        <v>812</v>
      </c>
      <c r="G115" t="s">
        <v>436</v>
      </c>
      <c r="I115" t="s">
        <v>249</v>
      </c>
      <c r="J115" t="s">
        <v>652</v>
      </c>
      <c r="K115">
        <v>0</v>
      </c>
      <c r="L115" t="s">
        <v>251</v>
      </c>
      <c r="N115" t="s">
        <v>419</v>
      </c>
      <c r="O115" t="s">
        <v>652</v>
      </c>
      <c r="P115">
        <v>2.068316457713E-4</v>
      </c>
      <c r="Q115" t="s">
        <v>251</v>
      </c>
      <c r="S115" t="s">
        <v>420</v>
      </c>
      <c r="T115" t="s">
        <v>652</v>
      </c>
      <c r="U115">
        <v>1.1250938837329999E-4</v>
      </c>
      <c r="V115" t="s">
        <v>251</v>
      </c>
      <c r="X115">
        <v>1.1415525114155251E-4</v>
      </c>
      <c r="Y115">
        <v>2.1546544680075254E-5</v>
      </c>
      <c r="Z115" t="s">
        <v>652</v>
      </c>
      <c r="AA115" t="s">
        <v>25</v>
      </c>
      <c r="AC115" t="s">
        <v>22</v>
      </c>
      <c r="AD115" t="s">
        <v>652</v>
      </c>
      <c r="AE115">
        <v>1.2214692785097843E-4</v>
      </c>
      <c r="AG115" t="s">
        <v>97</v>
      </c>
      <c r="AH115" t="s">
        <v>652</v>
      </c>
      <c r="AI115">
        <v>0</v>
      </c>
    </row>
    <row r="116" spans="5:35" x14ac:dyDescent="0.45">
      <c r="E116" t="s">
        <v>813</v>
      </c>
      <c r="G116" t="s">
        <v>436</v>
      </c>
      <c r="I116" t="s">
        <v>249</v>
      </c>
      <c r="J116" t="s">
        <v>653</v>
      </c>
      <c r="K116">
        <v>0</v>
      </c>
      <c r="L116" t="s">
        <v>251</v>
      </c>
      <c r="N116" t="s">
        <v>419</v>
      </c>
      <c r="O116" t="s">
        <v>653</v>
      </c>
      <c r="P116">
        <v>2.133698696153E-4</v>
      </c>
      <c r="Q116" t="s">
        <v>251</v>
      </c>
      <c r="S116" t="s">
        <v>420</v>
      </c>
      <c r="T116" t="s">
        <v>653</v>
      </c>
      <c r="U116">
        <v>1.304557357375E-4</v>
      </c>
      <c r="V116" t="s">
        <v>251</v>
      </c>
      <c r="X116">
        <v>1.1415525114155251E-4</v>
      </c>
      <c r="Y116">
        <v>1.4916838624667481E-5</v>
      </c>
      <c r="Z116" t="s">
        <v>653</v>
      </c>
      <c r="AA116" t="s">
        <v>25</v>
      </c>
      <c r="AC116" t="s">
        <v>22</v>
      </c>
      <c r="AD116" t="s">
        <v>653</v>
      </c>
      <c r="AE116">
        <v>1.1885826192492701E-4</v>
      </c>
      <c r="AG116" t="s">
        <v>97</v>
      </c>
      <c r="AH116" t="s">
        <v>653</v>
      </c>
      <c r="AI116">
        <v>0</v>
      </c>
    </row>
    <row r="117" spans="5:35" x14ac:dyDescent="0.45">
      <c r="E117" t="s">
        <v>814</v>
      </c>
      <c r="G117" t="s">
        <v>436</v>
      </c>
      <c r="I117" t="s">
        <v>249</v>
      </c>
      <c r="J117" t="s">
        <v>654</v>
      </c>
      <c r="K117">
        <v>0</v>
      </c>
      <c r="L117" t="s">
        <v>251</v>
      </c>
      <c r="N117" t="s">
        <v>419</v>
      </c>
      <c r="O117" t="s">
        <v>654</v>
      </c>
      <c r="P117">
        <v>2.1944319048419999E-4</v>
      </c>
      <c r="Q117" t="s">
        <v>251</v>
      </c>
      <c r="S117" t="s">
        <v>420</v>
      </c>
      <c r="T117" t="s">
        <v>654</v>
      </c>
      <c r="U117">
        <v>1.502871849535E-4</v>
      </c>
      <c r="V117" t="s">
        <v>251</v>
      </c>
      <c r="X117">
        <v>1.1415525114155251E-4</v>
      </c>
      <c r="Y117">
        <v>1.6574265138519424E-5</v>
      </c>
      <c r="Z117" t="s">
        <v>654</v>
      </c>
      <c r="AA117" t="s">
        <v>25</v>
      </c>
      <c r="AC117" t="s">
        <v>22</v>
      </c>
      <c r="AD117" t="s">
        <v>654</v>
      </c>
      <c r="AE117">
        <v>1.1552050745094068E-4</v>
      </c>
      <c r="AG117" t="s">
        <v>97</v>
      </c>
      <c r="AH117" t="s">
        <v>654</v>
      </c>
      <c r="AI117">
        <v>0</v>
      </c>
    </row>
    <row r="118" spans="5:35" x14ac:dyDescent="0.45">
      <c r="E118" t="s">
        <v>815</v>
      </c>
      <c r="G118" t="s">
        <v>436</v>
      </c>
      <c r="I118" t="s">
        <v>249</v>
      </c>
      <c r="J118" t="s">
        <v>655</v>
      </c>
      <c r="K118">
        <v>0</v>
      </c>
      <c r="L118" t="s">
        <v>251</v>
      </c>
      <c r="N118" t="s">
        <v>419</v>
      </c>
      <c r="O118" t="s">
        <v>655</v>
      </c>
      <c r="P118">
        <v>2.2475508567009999E-4</v>
      </c>
      <c r="Q118" t="s">
        <v>251</v>
      </c>
      <c r="S118" t="s">
        <v>420</v>
      </c>
      <c r="T118" t="s">
        <v>655</v>
      </c>
      <c r="U118">
        <v>1.587642643081E-4</v>
      </c>
      <c r="V118" t="s">
        <v>251</v>
      </c>
      <c r="X118">
        <v>1.1415525114155251E-4</v>
      </c>
      <c r="Y118">
        <v>1.4585353321897093E-5</v>
      </c>
      <c r="Z118" t="s">
        <v>655</v>
      </c>
      <c r="AA118" t="s">
        <v>25</v>
      </c>
      <c r="AC118" t="s">
        <v>22</v>
      </c>
      <c r="AD118" t="s">
        <v>655</v>
      </c>
      <c r="AE118">
        <v>1.067816787761828E-4</v>
      </c>
      <c r="AG118" t="s">
        <v>97</v>
      </c>
      <c r="AH118" t="s">
        <v>655</v>
      </c>
      <c r="AI118">
        <v>0</v>
      </c>
    </row>
    <row r="119" spans="5:35" x14ac:dyDescent="0.45">
      <c r="E119" t="s">
        <v>816</v>
      </c>
      <c r="G119" t="s">
        <v>436</v>
      </c>
      <c r="I119" t="s">
        <v>249</v>
      </c>
      <c r="J119" t="s">
        <v>656</v>
      </c>
      <c r="K119">
        <v>0</v>
      </c>
      <c r="L119" t="s">
        <v>251</v>
      </c>
      <c r="N119" t="s">
        <v>419</v>
      </c>
      <c r="O119" t="s">
        <v>656</v>
      </c>
      <c r="P119">
        <v>2.234836509721E-4</v>
      </c>
      <c r="Q119" t="s">
        <v>251</v>
      </c>
      <c r="S119" t="s">
        <v>420</v>
      </c>
      <c r="T119" t="s">
        <v>656</v>
      </c>
      <c r="U119">
        <v>1.6646227910649999E-4</v>
      </c>
      <c r="V119" t="s">
        <v>251</v>
      </c>
      <c r="X119">
        <v>1.1415525114155251E-4</v>
      </c>
      <c r="Y119">
        <v>2.1215059377304864E-5</v>
      </c>
      <c r="Z119" t="s">
        <v>656</v>
      </c>
      <c r="AA119" t="s">
        <v>25</v>
      </c>
      <c r="AC119" t="s">
        <v>22</v>
      </c>
      <c r="AD119" t="s">
        <v>656</v>
      </c>
      <c r="AE119">
        <v>9.9979713460160484E-5</v>
      </c>
      <c r="AG119" t="s">
        <v>97</v>
      </c>
      <c r="AH119" t="s">
        <v>656</v>
      </c>
      <c r="AI119">
        <v>0</v>
      </c>
    </row>
    <row r="120" spans="5:35" x14ac:dyDescent="0.45">
      <c r="E120" t="s">
        <v>817</v>
      </c>
      <c r="G120" t="s">
        <v>436</v>
      </c>
      <c r="I120" t="s">
        <v>249</v>
      </c>
      <c r="J120" t="s">
        <v>657</v>
      </c>
      <c r="K120">
        <v>0</v>
      </c>
      <c r="L120" t="s">
        <v>251</v>
      </c>
      <c r="N120" t="s">
        <v>419</v>
      </c>
      <c r="O120" t="s">
        <v>657</v>
      </c>
      <c r="P120">
        <v>2.1938177183149999E-4</v>
      </c>
      <c r="Q120" t="s">
        <v>251</v>
      </c>
      <c r="S120" t="s">
        <v>420</v>
      </c>
      <c r="T120" t="s">
        <v>657</v>
      </c>
      <c r="U120">
        <v>1.6025301685510001E-4</v>
      </c>
      <c r="V120" t="s">
        <v>251</v>
      </c>
      <c r="X120">
        <v>1.1415525114155251E-4</v>
      </c>
      <c r="Y120">
        <v>5.7678442682047593E-5</v>
      </c>
      <c r="Z120" t="s">
        <v>657</v>
      </c>
      <c r="AA120" t="s">
        <v>25</v>
      </c>
      <c r="AC120" t="s">
        <v>22</v>
      </c>
      <c r="AD120" t="s">
        <v>657</v>
      </c>
      <c r="AE120">
        <v>8.9553732735727143E-5</v>
      </c>
      <c r="AG120" t="s">
        <v>97</v>
      </c>
      <c r="AH120" t="s">
        <v>657</v>
      </c>
      <c r="AI120">
        <v>0</v>
      </c>
    </row>
    <row r="121" spans="5:35" x14ac:dyDescent="0.45">
      <c r="E121" t="s">
        <v>818</v>
      </c>
      <c r="G121" t="s">
        <v>436</v>
      </c>
      <c r="I121" t="s">
        <v>249</v>
      </c>
      <c r="J121" t="s">
        <v>658</v>
      </c>
      <c r="K121">
        <v>1.2327990374899999E-4</v>
      </c>
      <c r="L121" t="s">
        <v>251</v>
      </c>
      <c r="N121" t="s">
        <v>419</v>
      </c>
      <c r="O121" t="s">
        <v>658</v>
      </c>
      <c r="P121">
        <v>2.184024983387E-4</v>
      </c>
      <c r="Q121" t="s">
        <v>251</v>
      </c>
      <c r="S121" t="s">
        <v>420</v>
      </c>
      <c r="T121" t="s">
        <v>658</v>
      </c>
      <c r="U121">
        <v>1.5925918946229999E-4</v>
      </c>
      <c r="V121" t="s">
        <v>251</v>
      </c>
      <c r="X121">
        <v>1.1415525114155251E-4</v>
      </c>
      <c r="Y121">
        <v>1.6905750441289813E-4</v>
      </c>
      <c r="Z121" t="s">
        <v>658</v>
      </c>
      <c r="AA121" t="s">
        <v>25</v>
      </c>
      <c r="AC121" t="s">
        <v>22</v>
      </c>
      <c r="AD121" t="s">
        <v>658</v>
      </c>
      <c r="AE121">
        <v>8.5841944869323848E-5</v>
      </c>
      <c r="AG121" t="s">
        <v>97</v>
      </c>
      <c r="AH121" t="s">
        <v>658</v>
      </c>
      <c r="AI121">
        <v>0</v>
      </c>
    </row>
    <row r="122" spans="5:35" x14ac:dyDescent="0.45">
      <c r="E122" t="s">
        <v>819</v>
      </c>
      <c r="G122" t="s">
        <v>436</v>
      </c>
      <c r="I122" t="s">
        <v>249</v>
      </c>
      <c r="J122" t="s">
        <v>659</v>
      </c>
      <c r="K122">
        <v>2.4446832970629999E-4</v>
      </c>
      <c r="L122" t="s">
        <v>251</v>
      </c>
      <c r="N122" t="s">
        <v>419</v>
      </c>
      <c r="O122" t="s">
        <v>659</v>
      </c>
      <c r="P122">
        <v>2.200284218404E-4</v>
      </c>
      <c r="Q122" t="s">
        <v>251</v>
      </c>
      <c r="S122" t="s">
        <v>420</v>
      </c>
      <c r="T122" t="s">
        <v>659</v>
      </c>
      <c r="U122">
        <v>1.5040828189889999E-4</v>
      </c>
      <c r="V122" t="s">
        <v>251</v>
      </c>
      <c r="X122">
        <v>1.1415525114155251E-4</v>
      </c>
      <c r="Y122">
        <v>1.9060404909297337E-4</v>
      </c>
      <c r="Z122" t="s">
        <v>659</v>
      </c>
      <c r="AA122" t="s">
        <v>25</v>
      </c>
      <c r="AC122" t="s">
        <v>22</v>
      </c>
      <c r="AD122" t="s">
        <v>659</v>
      </c>
      <c r="AE122">
        <v>8.3815441553489772E-5</v>
      </c>
      <c r="AG122" t="s">
        <v>97</v>
      </c>
      <c r="AH122" t="s">
        <v>659</v>
      </c>
      <c r="AI122">
        <v>0</v>
      </c>
    </row>
    <row r="123" spans="5:35" x14ac:dyDescent="0.45">
      <c r="E123" t="s">
        <v>820</v>
      </c>
      <c r="G123" t="s">
        <v>436</v>
      </c>
      <c r="I123" t="s">
        <v>249</v>
      </c>
      <c r="J123" t="s">
        <v>660</v>
      </c>
      <c r="K123">
        <v>3.0162575190050001E-4</v>
      </c>
      <c r="L123" t="s">
        <v>251</v>
      </c>
      <c r="N123" t="s">
        <v>419</v>
      </c>
      <c r="O123" t="s">
        <v>660</v>
      </c>
      <c r="P123">
        <v>2.2126800327719999E-4</v>
      </c>
      <c r="Q123" t="s">
        <v>251</v>
      </c>
      <c r="S123" t="s">
        <v>420</v>
      </c>
      <c r="T123" t="s">
        <v>660</v>
      </c>
      <c r="U123">
        <v>1.5810325552510001E-4</v>
      </c>
      <c r="V123" t="s">
        <v>251</v>
      </c>
      <c r="X123">
        <v>1.1415525114155251E-4</v>
      </c>
      <c r="Y123">
        <v>1.4585353321897094E-4</v>
      </c>
      <c r="Z123" t="s">
        <v>660</v>
      </c>
      <c r="AA123" t="s">
        <v>25</v>
      </c>
      <c r="AC123" t="s">
        <v>22</v>
      </c>
      <c r="AD123" t="s">
        <v>660</v>
      </c>
      <c r="AE123">
        <v>8.4655015794528454E-5</v>
      </c>
      <c r="AG123" t="s">
        <v>97</v>
      </c>
      <c r="AH123" t="s">
        <v>660</v>
      </c>
      <c r="AI123">
        <v>0</v>
      </c>
    </row>
    <row r="124" spans="5:35" x14ac:dyDescent="0.45">
      <c r="E124" t="s">
        <v>821</v>
      </c>
      <c r="G124" t="s">
        <v>436</v>
      </c>
      <c r="I124" t="s">
        <v>249</v>
      </c>
      <c r="J124" t="s">
        <v>661</v>
      </c>
      <c r="K124">
        <v>3.3075384530070002E-4</v>
      </c>
      <c r="L124" t="s">
        <v>251</v>
      </c>
      <c r="N124" t="s">
        <v>419</v>
      </c>
      <c r="O124" t="s">
        <v>661</v>
      </c>
      <c r="P124">
        <v>2.2379674208360001E-4</v>
      </c>
      <c r="Q124" t="s">
        <v>251</v>
      </c>
      <c r="S124" t="s">
        <v>420</v>
      </c>
      <c r="T124" t="s">
        <v>661</v>
      </c>
      <c r="U124">
        <v>1.7375501173459999E-4</v>
      </c>
      <c r="V124" t="s">
        <v>251</v>
      </c>
      <c r="X124">
        <v>1.1415525114155251E-4</v>
      </c>
      <c r="Y124">
        <v>1.4452759200788939E-4</v>
      </c>
      <c r="Z124" t="s">
        <v>661</v>
      </c>
      <c r="AA124" t="s">
        <v>25</v>
      </c>
      <c r="AC124" t="s">
        <v>22</v>
      </c>
      <c r="AD124" t="s">
        <v>661</v>
      </c>
      <c r="AE124">
        <v>8.6084986538718892E-5</v>
      </c>
      <c r="AG124" t="s">
        <v>97</v>
      </c>
      <c r="AH124" t="s">
        <v>661</v>
      </c>
      <c r="AI124">
        <v>0</v>
      </c>
    </row>
    <row r="125" spans="5:35" x14ac:dyDescent="0.45">
      <c r="E125" t="s">
        <v>822</v>
      </c>
      <c r="G125" t="s">
        <v>436</v>
      </c>
      <c r="I125" t="s">
        <v>249</v>
      </c>
      <c r="J125" t="s">
        <v>662</v>
      </c>
      <c r="K125">
        <v>3.4405373539710002E-4</v>
      </c>
      <c r="L125" t="s">
        <v>251</v>
      </c>
      <c r="N125" t="s">
        <v>419</v>
      </c>
      <c r="O125" t="s">
        <v>662</v>
      </c>
      <c r="P125">
        <v>2.236389553603E-4</v>
      </c>
      <c r="Q125" t="s">
        <v>251</v>
      </c>
      <c r="S125" t="s">
        <v>420</v>
      </c>
      <c r="T125" t="s">
        <v>662</v>
      </c>
      <c r="U125">
        <v>1.6571625308049999E-4</v>
      </c>
      <c r="V125" t="s">
        <v>251</v>
      </c>
      <c r="X125">
        <v>1.1415525114155251E-4</v>
      </c>
      <c r="Y125">
        <v>1.408812536774151E-4</v>
      </c>
      <c r="Z125" t="s">
        <v>662</v>
      </c>
      <c r="AA125" t="s">
        <v>25</v>
      </c>
      <c r="AC125" t="s">
        <v>22</v>
      </c>
      <c r="AD125" t="s">
        <v>662</v>
      </c>
      <c r="AE125">
        <v>9.6653964337571274E-5</v>
      </c>
      <c r="AG125" t="s">
        <v>97</v>
      </c>
      <c r="AH125" t="s">
        <v>662</v>
      </c>
      <c r="AI125">
        <v>0</v>
      </c>
    </row>
    <row r="126" spans="5:35" x14ac:dyDescent="0.45">
      <c r="E126" t="s">
        <v>823</v>
      </c>
      <c r="G126" t="s">
        <v>436</v>
      </c>
      <c r="I126" t="s">
        <v>249</v>
      </c>
      <c r="J126" t="s">
        <v>663</v>
      </c>
      <c r="K126">
        <v>3.4326780085729998E-4</v>
      </c>
      <c r="L126" t="s">
        <v>251</v>
      </c>
      <c r="N126" t="s">
        <v>419</v>
      </c>
      <c r="O126" t="s">
        <v>663</v>
      </c>
      <c r="P126">
        <v>2.223601436964E-4</v>
      </c>
      <c r="Q126" t="s">
        <v>251</v>
      </c>
      <c r="S126" t="s">
        <v>420</v>
      </c>
      <c r="T126" t="s">
        <v>663</v>
      </c>
      <c r="U126">
        <v>1.4991196910819999E-4</v>
      </c>
      <c r="V126" t="s">
        <v>251</v>
      </c>
      <c r="X126">
        <v>1.1415525114155251E-4</v>
      </c>
      <c r="Y126">
        <v>1.4054976837464471E-4</v>
      </c>
      <c r="Z126" t="s">
        <v>663</v>
      </c>
      <c r="AA126" t="s">
        <v>25</v>
      </c>
      <c r="AC126" t="s">
        <v>22</v>
      </c>
      <c r="AD126" t="s">
        <v>663</v>
      </c>
      <c r="AE126">
        <v>1.0768741584269895E-4</v>
      </c>
      <c r="AG126" t="s">
        <v>97</v>
      </c>
      <c r="AH126" t="s">
        <v>663</v>
      </c>
      <c r="AI126">
        <v>0</v>
      </c>
    </row>
    <row r="127" spans="5:35" x14ac:dyDescent="0.45">
      <c r="E127" t="s">
        <v>824</v>
      </c>
      <c r="G127" t="s">
        <v>436</v>
      </c>
      <c r="I127" t="s">
        <v>249</v>
      </c>
      <c r="J127" t="s">
        <v>664</v>
      </c>
      <c r="K127">
        <v>3.3037400184009999E-4</v>
      </c>
      <c r="L127" t="s">
        <v>251</v>
      </c>
      <c r="N127" t="s">
        <v>419</v>
      </c>
      <c r="O127" t="s">
        <v>664</v>
      </c>
      <c r="P127">
        <v>2.2135443955769999E-4</v>
      </c>
      <c r="Q127" t="s">
        <v>251</v>
      </c>
      <c r="S127" t="s">
        <v>420</v>
      </c>
      <c r="T127" t="s">
        <v>664</v>
      </c>
      <c r="U127">
        <v>1.4440057610470001E-4</v>
      </c>
      <c r="V127" t="s">
        <v>251</v>
      </c>
      <c r="X127">
        <v>1.1415525114155251E-4</v>
      </c>
      <c r="Y127">
        <v>1.4253868019126702E-4</v>
      </c>
      <c r="Z127" t="s">
        <v>664</v>
      </c>
      <c r="AA127" t="s">
        <v>25</v>
      </c>
      <c r="AC127" t="s">
        <v>22</v>
      </c>
      <c r="AD127" t="s">
        <v>664</v>
      </c>
      <c r="AE127">
        <v>1.1842820355932346E-4</v>
      </c>
      <c r="AG127" t="s">
        <v>97</v>
      </c>
      <c r="AH127" t="s">
        <v>664</v>
      </c>
      <c r="AI127">
        <v>0</v>
      </c>
    </row>
    <row r="128" spans="5:35" x14ac:dyDescent="0.45">
      <c r="E128" t="s">
        <v>825</v>
      </c>
      <c r="G128" t="s">
        <v>436</v>
      </c>
      <c r="I128" t="s">
        <v>249</v>
      </c>
      <c r="J128" t="s">
        <v>665</v>
      </c>
      <c r="K128">
        <v>3.3262692613489998E-4</v>
      </c>
      <c r="L128" t="s">
        <v>251</v>
      </c>
      <c r="N128" t="s">
        <v>419</v>
      </c>
      <c r="O128" t="s">
        <v>665</v>
      </c>
      <c r="P128">
        <v>2.2362515325169999E-4</v>
      </c>
      <c r="Q128" t="s">
        <v>251</v>
      </c>
      <c r="S128" t="s">
        <v>420</v>
      </c>
      <c r="T128" t="s">
        <v>665</v>
      </c>
      <c r="U128">
        <v>1.5011201062369999E-4</v>
      </c>
      <c r="V128" t="s">
        <v>251</v>
      </c>
      <c r="X128">
        <v>1.1415525114155251E-4</v>
      </c>
      <c r="Y128">
        <v>1.4883690094390442E-4</v>
      </c>
      <c r="Z128" t="s">
        <v>665</v>
      </c>
      <c r="AA128" t="s">
        <v>25</v>
      </c>
      <c r="AC128" t="s">
        <v>22</v>
      </c>
      <c r="AD128" t="s">
        <v>665</v>
      </c>
      <c r="AE128">
        <v>1.2651740933070378E-4</v>
      </c>
      <c r="AG128" t="s">
        <v>97</v>
      </c>
      <c r="AH128" t="s">
        <v>665</v>
      </c>
      <c r="AI128">
        <v>0</v>
      </c>
    </row>
    <row r="129" spans="5:35" x14ac:dyDescent="0.45">
      <c r="E129" t="s">
        <v>826</v>
      </c>
      <c r="G129" t="s">
        <v>436</v>
      </c>
      <c r="I129" t="s">
        <v>249</v>
      </c>
      <c r="J129" t="s">
        <v>666</v>
      </c>
      <c r="K129">
        <v>3.3162910556639997E-4</v>
      </c>
      <c r="L129" t="s">
        <v>251</v>
      </c>
      <c r="N129" t="s">
        <v>419</v>
      </c>
      <c r="O129" t="s">
        <v>666</v>
      </c>
      <c r="P129">
        <v>2.258250843121E-4</v>
      </c>
      <c r="Q129" t="s">
        <v>251</v>
      </c>
      <c r="S129" t="s">
        <v>420</v>
      </c>
      <c r="T129" t="s">
        <v>666</v>
      </c>
      <c r="U129">
        <v>1.6118714076679999E-4</v>
      </c>
      <c r="V129" t="s">
        <v>251</v>
      </c>
      <c r="X129">
        <v>1.1415525114155251E-4</v>
      </c>
      <c r="Y129">
        <v>1.5049432745775637E-4</v>
      </c>
      <c r="Z129" t="s">
        <v>666</v>
      </c>
      <c r="AA129" t="s">
        <v>25</v>
      </c>
      <c r="AC129" t="s">
        <v>22</v>
      </c>
      <c r="AD129" t="s">
        <v>666</v>
      </c>
      <c r="AE129">
        <v>1.2196631400884841E-4</v>
      </c>
      <c r="AG129" t="s">
        <v>97</v>
      </c>
      <c r="AH129" t="s">
        <v>666</v>
      </c>
      <c r="AI129">
        <v>0</v>
      </c>
    </row>
    <row r="130" spans="5:35" x14ac:dyDescent="0.45">
      <c r="E130" t="s">
        <v>827</v>
      </c>
      <c r="G130" t="s">
        <v>436</v>
      </c>
      <c r="I130" t="s">
        <v>249</v>
      </c>
      <c r="J130" t="s">
        <v>667</v>
      </c>
      <c r="K130">
        <v>3.1947068534269999E-4</v>
      </c>
      <c r="L130" t="s">
        <v>251</v>
      </c>
      <c r="N130" t="s">
        <v>419</v>
      </c>
      <c r="O130" t="s">
        <v>667</v>
      </c>
      <c r="P130">
        <v>2.1961672345450001E-4</v>
      </c>
      <c r="Q130" t="s">
        <v>251</v>
      </c>
      <c r="S130" t="s">
        <v>420</v>
      </c>
      <c r="T130" t="s">
        <v>667</v>
      </c>
      <c r="U130">
        <v>1.86352687676E-4</v>
      </c>
      <c r="V130" t="s">
        <v>251</v>
      </c>
      <c r="X130">
        <v>1.1415525114155251E-4</v>
      </c>
      <c r="Y130">
        <v>1.7237235744060203E-4</v>
      </c>
      <c r="Z130" t="s">
        <v>667</v>
      </c>
      <c r="AA130" t="s">
        <v>25</v>
      </c>
      <c r="AC130" t="s">
        <v>22</v>
      </c>
      <c r="AD130" t="s">
        <v>667</v>
      </c>
      <c r="AE130">
        <v>1.2007080241603627E-4</v>
      </c>
      <c r="AG130" t="s">
        <v>97</v>
      </c>
      <c r="AH130" t="s">
        <v>667</v>
      </c>
      <c r="AI130">
        <v>0</v>
      </c>
    </row>
    <row r="131" spans="5:35" x14ac:dyDescent="0.45">
      <c r="E131" t="s">
        <v>828</v>
      </c>
      <c r="G131" t="s">
        <v>438</v>
      </c>
      <c r="I131" t="s">
        <v>249</v>
      </c>
      <c r="J131" t="s">
        <v>668</v>
      </c>
      <c r="K131">
        <v>2.9464130636330002E-4</v>
      </c>
      <c r="L131" t="s">
        <v>251</v>
      </c>
      <c r="N131" t="s">
        <v>419</v>
      </c>
      <c r="O131" t="s">
        <v>668</v>
      </c>
      <c r="P131">
        <v>2.161053250759E-4</v>
      </c>
      <c r="Q131" t="s">
        <v>251</v>
      </c>
      <c r="S131" t="s">
        <v>420</v>
      </c>
      <c r="T131" t="s">
        <v>668</v>
      </c>
      <c r="U131">
        <v>1.9113431457799999E-4</v>
      </c>
      <c r="V131" t="s">
        <v>251</v>
      </c>
      <c r="X131">
        <v>1.1415525114155251E-4</v>
      </c>
      <c r="Y131">
        <v>2.2209515285616027E-4</v>
      </c>
      <c r="Z131" t="s">
        <v>668</v>
      </c>
      <c r="AA131" t="s">
        <v>25</v>
      </c>
      <c r="AC131" t="s">
        <v>22</v>
      </c>
      <c r="AD131" t="s">
        <v>668</v>
      </c>
      <c r="AE131">
        <v>1.1999316781033487E-4</v>
      </c>
      <c r="AG131" t="s">
        <v>97</v>
      </c>
      <c r="AH131" t="s">
        <v>668</v>
      </c>
      <c r="AI131">
        <v>0</v>
      </c>
    </row>
    <row r="132" spans="5:35" x14ac:dyDescent="0.45">
      <c r="E132" t="s">
        <v>829</v>
      </c>
      <c r="G132" t="s">
        <v>438</v>
      </c>
      <c r="I132" t="s">
        <v>249</v>
      </c>
      <c r="J132" t="s">
        <v>669</v>
      </c>
      <c r="K132">
        <v>2.5377261493689999E-4</v>
      </c>
      <c r="L132" t="s">
        <v>251</v>
      </c>
      <c r="N132" t="s">
        <v>419</v>
      </c>
      <c r="O132" t="s">
        <v>669</v>
      </c>
      <c r="P132">
        <v>2.1293151189600001E-4</v>
      </c>
      <c r="Q132" t="s">
        <v>251</v>
      </c>
      <c r="S132" t="s">
        <v>420</v>
      </c>
      <c r="T132" t="s">
        <v>669</v>
      </c>
      <c r="U132">
        <v>2.031951628682E-4</v>
      </c>
      <c r="V132" t="s">
        <v>251</v>
      </c>
      <c r="X132">
        <v>1.1415525114155251E-4</v>
      </c>
      <c r="Y132">
        <v>2.2209515285616027E-4</v>
      </c>
      <c r="Z132" t="s">
        <v>669</v>
      </c>
      <c r="AA132" t="s">
        <v>25</v>
      </c>
      <c r="AC132" t="s">
        <v>22</v>
      </c>
      <c r="AD132" t="s">
        <v>669</v>
      </c>
      <c r="AE132">
        <v>1.1943531914874865E-4</v>
      </c>
      <c r="AG132" t="s">
        <v>97</v>
      </c>
      <c r="AH132" t="s">
        <v>669</v>
      </c>
      <c r="AI132">
        <v>0</v>
      </c>
    </row>
    <row r="133" spans="5:35" x14ac:dyDescent="0.45">
      <c r="E133" t="s">
        <v>830</v>
      </c>
      <c r="G133" t="s">
        <v>438</v>
      </c>
      <c r="I133" t="s">
        <v>249</v>
      </c>
      <c r="J133" t="s">
        <v>670</v>
      </c>
      <c r="K133">
        <v>1.8316235416300001E-4</v>
      </c>
      <c r="L133" t="s">
        <v>251</v>
      </c>
      <c r="N133" t="s">
        <v>419</v>
      </c>
      <c r="O133" t="s">
        <v>670</v>
      </c>
      <c r="P133">
        <v>2.0227875475170001E-4</v>
      </c>
      <c r="Q133" t="s">
        <v>251</v>
      </c>
      <c r="S133" t="s">
        <v>420</v>
      </c>
      <c r="T133" t="s">
        <v>670</v>
      </c>
      <c r="U133">
        <v>2.191540996744E-4</v>
      </c>
      <c r="V133" t="s">
        <v>251</v>
      </c>
      <c r="X133">
        <v>1.1415525114155251E-4</v>
      </c>
      <c r="Y133">
        <v>1.7237235744060203E-4</v>
      </c>
      <c r="Z133" t="s">
        <v>670</v>
      </c>
      <c r="AA133" t="s">
        <v>25</v>
      </c>
      <c r="AC133" t="s">
        <v>22</v>
      </c>
      <c r="AD133" t="s">
        <v>670</v>
      </c>
      <c r="AE133">
        <v>1.1980801861323259E-4</v>
      </c>
      <c r="AG133" t="s">
        <v>97</v>
      </c>
      <c r="AH133" t="s">
        <v>670</v>
      </c>
      <c r="AI133">
        <v>0</v>
      </c>
    </row>
    <row r="134" spans="5:35" x14ac:dyDescent="0.45">
      <c r="E134" t="s">
        <v>831</v>
      </c>
      <c r="G134" t="s">
        <v>438</v>
      </c>
      <c r="I134" t="s">
        <v>249</v>
      </c>
      <c r="J134" t="s">
        <v>671</v>
      </c>
      <c r="K134">
        <v>2.4065670480551817E-5</v>
      </c>
      <c r="L134" t="s">
        <v>251</v>
      </c>
      <c r="N134" t="s">
        <v>419</v>
      </c>
      <c r="O134" t="s">
        <v>671</v>
      </c>
      <c r="P134">
        <v>1.8793857495269999E-4</v>
      </c>
      <c r="Q134" t="s">
        <v>251</v>
      </c>
      <c r="S134" t="s">
        <v>420</v>
      </c>
      <c r="T134" t="s">
        <v>671</v>
      </c>
      <c r="U134">
        <v>2.354482632242E-4</v>
      </c>
      <c r="V134" t="s">
        <v>251</v>
      </c>
      <c r="X134">
        <v>1.1415525114155251E-4</v>
      </c>
      <c r="Y134">
        <v>1.5579809230208258E-4</v>
      </c>
      <c r="Z134" t="s">
        <v>671</v>
      </c>
      <c r="AA134" t="s">
        <v>25</v>
      </c>
      <c r="AC134" t="s">
        <v>22</v>
      </c>
      <c r="AD134" t="s">
        <v>671</v>
      </c>
      <c r="AE134">
        <v>1.1964154440719253E-4</v>
      </c>
      <c r="AG134" t="s">
        <v>97</v>
      </c>
      <c r="AH134" t="s">
        <v>671</v>
      </c>
      <c r="AI134">
        <v>0</v>
      </c>
    </row>
    <row r="135" spans="5:35" x14ac:dyDescent="0.45">
      <c r="E135" t="s">
        <v>832</v>
      </c>
      <c r="G135" t="s">
        <v>438</v>
      </c>
      <c r="I135" t="s">
        <v>249</v>
      </c>
      <c r="J135" t="s">
        <v>672</v>
      </c>
      <c r="K135">
        <v>0</v>
      </c>
      <c r="L135" t="s">
        <v>251</v>
      </c>
      <c r="N135" t="s">
        <v>419</v>
      </c>
      <c r="O135" t="s">
        <v>672</v>
      </c>
      <c r="P135">
        <v>1.739003567882E-4</v>
      </c>
      <c r="Q135" t="s">
        <v>251</v>
      </c>
      <c r="S135" t="s">
        <v>420</v>
      </c>
      <c r="T135" t="s">
        <v>672</v>
      </c>
      <c r="U135">
        <v>2.5028129366659997E-4</v>
      </c>
      <c r="V135" t="s">
        <v>251</v>
      </c>
      <c r="X135">
        <v>1.1415525114155251E-4</v>
      </c>
      <c r="Y135">
        <v>1.093901499142282E-4</v>
      </c>
      <c r="Z135" t="s">
        <v>672</v>
      </c>
      <c r="AA135" t="s">
        <v>25</v>
      </c>
      <c r="AC135" t="s">
        <v>22</v>
      </c>
      <c r="AD135" t="s">
        <v>672</v>
      </c>
      <c r="AE135">
        <v>1.1980561754295318E-4</v>
      </c>
      <c r="AG135" t="s">
        <v>97</v>
      </c>
      <c r="AH135" t="s">
        <v>672</v>
      </c>
      <c r="AI135">
        <v>0</v>
      </c>
    </row>
    <row r="136" spans="5:35" x14ac:dyDescent="0.45">
      <c r="E136" t="s">
        <v>833</v>
      </c>
      <c r="G136" t="s">
        <v>438</v>
      </c>
      <c r="I136" t="s">
        <v>249</v>
      </c>
      <c r="J136" t="s">
        <v>673</v>
      </c>
      <c r="K136">
        <v>0</v>
      </c>
      <c r="L136" t="s">
        <v>251</v>
      </c>
      <c r="N136" t="s">
        <v>419</v>
      </c>
      <c r="O136" t="s">
        <v>673</v>
      </c>
      <c r="P136">
        <v>1.6339823653330001E-4</v>
      </c>
      <c r="Q136" t="s">
        <v>251</v>
      </c>
      <c r="S136" t="s">
        <v>420</v>
      </c>
      <c r="T136" t="s">
        <v>673</v>
      </c>
      <c r="U136">
        <v>2.5910852710629999E-4</v>
      </c>
      <c r="V136" t="s">
        <v>251</v>
      </c>
      <c r="X136">
        <v>1.1415525114155251E-4</v>
      </c>
      <c r="Y136">
        <v>7.9556472664893237E-5</v>
      </c>
      <c r="Z136" t="s">
        <v>673</v>
      </c>
      <c r="AA136" t="s">
        <v>25</v>
      </c>
      <c r="AC136" t="s">
        <v>22</v>
      </c>
      <c r="AD136" t="s">
        <v>673</v>
      </c>
      <c r="AE136">
        <v>1.2017404843805149E-4</v>
      </c>
      <c r="AG136" t="s">
        <v>97</v>
      </c>
      <c r="AH136" t="s">
        <v>673</v>
      </c>
      <c r="AI136">
        <v>0</v>
      </c>
    </row>
    <row r="137" spans="5:35" x14ac:dyDescent="0.45">
      <c r="E137" t="s">
        <v>834</v>
      </c>
      <c r="G137" t="s">
        <v>438</v>
      </c>
      <c r="I137" t="s">
        <v>249</v>
      </c>
      <c r="J137" t="s">
        <v>674</v>
      </c>
      <c r="K137">
        <v>0</v>
      </c>
      <c r="L137" t="s">
        <v>251</v>
      </c>
      <c r="N137" t="s">
        <v>419</v>
      </c>
      <c r="O137" t="s">
        <v>674</v>
      </c>
      <c r="P137">
        <v>1.5808852878660001E-4</v>
      </c>
      <c r="Q137" t="s">
        <v>251</v>
      </c>
      <c r="S137" t="s">
        <v>420</v>
      </c>
      <c r="T137" t="s">
        <v>674</v>
      </c>
      <c r="U137">
        <v>2.6379380446880002E-4</v>
      </c>
      <c r="V137" t="s">
        <v>251</v>
      </c>
      <c r="X137">
        <v>1.1415525114155251E-4</v>
      </c>
      <c r="Y137">
        <v>5.6352501470966035E-5</v>
      </c>
      <c r="Z137" t="s">
        <v>674</v>
      </c>
      <c r="AA137" t="s">
        <v>25</v>
      </c>
      <c r="AC137" t="s">
        <v>22</v>
      </c>
      <c r="AD137" t="s">
        <v>674</v>
      </c>
      <c r="AE137">
        <v>1.2011722310810513E-4</v>
      </c>
      <c r="AG137" t="s">
        <v>97</v>
      </c>
      <c r="AH137" t="s">
        <v>674</v>
      </c>
      <c r="AI137">
        <v>0</v>
      </c>
    </row>
    <row r="138" spans="5:35" x14ac:dyDescent="0.45">
      <c r="E138" t="s">
        <v>835</v>
      </c>
      <c r="G138" t="s">
        <v>438</v>
      </c>
      <c r="I138" t="s">
        <v>249</v>
      </c>
      <c r="J138" t="s">
        <v>675</v>
      </c>
      <c r="K138">
        <v>0</v>
      </c>
      <c r="L138" t="s">
        <v>251</v>
      </c>
      <c r="N138" t="s">
        <v>419</v>
      </c>
      <c r="O138" t="s">
        <v>675</v>
      </c>
      <c r="P138">
        <v>1.5942046812069999E-4</v>
      </c>
      <c r="Q138" t="s">
        <v>251</v>
      </c>
      <c r="S138" t="s">
        <v>420</v>
      </c>
      <c r="T138" t="s">
        <v>675</v>
      </c>
      <c r="U138">
        <v>2.6760112112930002E-4</v>
      </c>
      <c r="V138" t="s">
        <v>251</v>
      </c>
      <c r="X138">
        <v>1.1415525114155251E-4</v>
      </c>
      <c r="Y138">
        <v>2.9833677249334962E-5</v>
      </c>
      <c r="Z138" t="s">
        <v>675</v>
      </c>
      <c r="AA138" t="s">
        <v>25</v>
      </c>
      <c r="AC138" t="s">
        <v>22</v>
      </c>
      <c r="AD138" t="s">
        <v>675</v>
      </c>
      <c r="AE138">
        <v>1.2083274205137355E-4</v>
      </c>
      <c r="AG138" t="s">
        <v>97</v>
      </c>
      <c r="AH138" t="s">
        <v>675</v>
      </c>
      <c r="AI138">
        <v>0</v>
      </c>
    </row>
    <row r="139" spans="5:35" x14ac:dyDescent="0.45">
      <c r="E139" t="s">
        <v>836</v>
      </c>
      <c r="G139" t="s">
        <v>438</v>
      </c>
      <c r="I139" t="s">
        <v>249</v>
      </c>
      <c r="J139" t="s">
        <v>948</v>
      </c>
      <c r="K139">
        <v>0</v>
      </c>
      <c r="L139" t="s">
        <v>251</v>
      </c>
      <c r="N139" t="s">
        <v>419</v>
      </c>
      <c r="O139" t="s">
        <v>948</v>
      </c>
      <c r="P139">
        <v>2.3454084180469999E-4</v>
      </c>
      <c r="Q139" t="s">
        <v>251</v>
      </c>
      <c r="S139" t="s">
        <v>420</v>
      </c>
      <c r="T139" t="s">
        <v>948</v>
      </c>
      <c r="U139">
        <v>1.5358223710350001E-4</v>
      </c>
      <c r="V139" t="s">
        <v>251</v>
      </c>
      <c r="X139">
        <v>1.1415525114155251E-4</v>
      </c>
      <c r="Y139">
        <v>2.1546544680075254E-5</v>
      </c>
      <c r="Z139" t="s">
        <v>948</v>
      </c>
      <c r="AA139" t="s">
        <v>25</v>
      </c>
      <c r="AC139" t="s">
        <v>22</v>
      </c>
      <c r="AD139" t="s">
        <v>948</v>
      </c>
      <c r="AE139">
        <v>1.1994808104619902E-4</v>
      </c>
      <c r="AG139" t="s">
        <v>97</v>
      </c>
      <c r="AH139" t="s">
        <v>948</v>
      </c>
      <c r="AI139">
        <v>0</v>
      </c>
    </row>
    <row r="140" spans="5:35" x14ac:dyDescent="0.45">
      <c r="E140" t="s">
        <v>837</v>
      </c>
      <c r="G140" t="s">
        <v>438</v>
      </c>
      <c r="I140" t="s">
        <v>249</v>
      </c>
      <c r="J140" t="s">
        <v>949</v>
      </c>
      <c r="K140">
        <v>0</v>
      </c>
      <c r="L140" t="s">
        <v>251</v>
      </c>
      <c r="N140" t="s">
        <v>419</v>
      </c>
      <c r="O140" t="s">
        <v>949</v>
      </c>
      <c r="P140">
        <v>2.3365233466630001E-4</v>
      </c>
      <c r="Q140" t="s">
        <v>251</v>
      </c>
      <c r="S140" t="s">
        <v>420</v>
      </c>
      <c r="T140" t="s">
        <v>949</v>
      </c>
      <c r="U140">
        <v>1.537472640279E-4</v>
      </c>
      <c r="V140" t="s">
        <v>251</v>
      </c>
      <c r="X140">
        <v>1.1415525114155251E-4</v>
      </c>
      <c r="Y140">
        <v>1.4916838624667481E-5</v>
      </c>
      <c r="Z140" t="s">
        <v>949</v>
      </c>
      <c r="AA140" t="s">
        <v>25</v>
      </c>
      <c r="AC140" t="s">
        <v>22</v>
      </c>
      <c r="AD140" t="s">
        <v>949</v>
      </c>
      <c r="AE140">
        <v>1.1754967862264078E-4</v>
      </c>
      <c r="AG140" t="s">
        <v>97</v>
      </c>
      <c r="AH140" t="s">
        <v>949</v>
      </c>
      <c r="AI140">
        <v>0</v>
      </c>
    </row>
    <row r="141" spans="5:35" x14ac:dyDescent="0.45">
      <c r="E141" t="s">
        <v>838</v>
      </c>
      <c r="G141" t="s">
        <v>438</v>
      </c>
      <c r="I141" t="s">
        <v>249</v>
      </c>
      <c r="J141" t="s">
        <v>950</v>
      </c>
      <c r="K141">
        <v>0</v>
      </c>
      <c r="L141" t="s">
        <v>251</v>
      </c>
      <c r="N141" t="s">
        <v>419</v>
      </c>
      <c r="O141" t="s">
        <v>950</v>
      </c>
      <c r="P141">
        <v>2.3246567071820001E-4</v>
      </c>
      <c r="Q141" t="s">
        <v>251</v>
      </c>
      <c r="S141" t="s">
        <v>420</v>
      </c>
      <c r="T141" t="s">
        <v>950</v>
      </c>
      <c r="U141">
        <v>1.527328531639E-4</v>
      </c>
      <c r="V141" t="s">
        <v>251</v>
      </c>
      <c r="X141">
        <v>1.1415525114155251E-4</v>
      </c>
      <c r="Y141">
        <v>1.6574265138519424E-5</v>
      </c>
      <c r="Z141" t="s">
        <v>950</v>
      </c>
      <c r="AA141" t="s">
        <v>25</v>
      </c>
      <c r="AC141" t="s">
        <v>22</v>
      </c>
      <c r="AD141" t="s">
        <v>950</v>
      </c>
      <c r="AE141">
        <v>1.1452539721291262E-4</v>
      </c>
      <c r="AG141" t="s">
        <v>97</v>
      </c>
      <c r="AH141" t="s">
        <v>950</v>
      </c>
      <c r="AI141">
        <v>0</v>
      </c>
    </row>
    <row r="142" spans="5:35" x14ac:dyDescent="0.45">
      <c r="E142" t="s">
        <v>839</v>
      </c>
      <c r="G142" t="s">
        <v>438</v>
      </c>
      <c r="I142" t="s">
        <v>249</v>
      </c>
      <c r="J142" t="s">
        <v>951</v>
      </c>
      <c r="K142">
        <v>0</v>
      </c>
      <c r="L142" t="s">
        <v>251</v>
      </c>
      <c r="N142" t="s">
        <v>419</v>
      </c>
      <c r="O142" t="s">
        <v>951</v>
      </c>
      <c r="P142">
        <v>2.3774915072559999E-4</v>
      </c>
      <c r="Q142" t="s">
        <v>251</v>
      </c>
      <c r="S142" t="s">
        <v>420</v>
      </c>
      <c r="T142" t="s">
        <v>951</v>
      </c>
      <c r="U142">
        <v>1.5828962921679999E-4</v>
      </c>
      <c r="V142" t="s">
        <v>251</v>
      </c>
      <c r="X142">
        <v>1.1415525114155251E-4</v>
      </c>
      <c r="Y142">
        <v>1.4585353321897093E-5</v>
      </c>
      <c r="Z142" t="s">
        <v>951</v>
      </c>
      <c r="AA142" t="s">
        <v>25</v>
      </c>
      <c r="AC142" t="s">
        <v>22</v>
      </c>
      <c r="AD142" t="s">
        <v>951</v>
      </c>
      <c r="AE142">
        <v>1.0704739722043908E-4</v>
      </c>
      <c r="AG142" t="s">
        <v>97</v>
      </c>
      <c r="AH142" t="s">
        <v>951</v>
      </c>
      <c r="AI142">
        <v>0</v>
      </c>
    </row>
    <row r="143" spans="5:35" x14ac:dyDescent="0.45">
      <c r="E143" t="s">
        <v>840</v>
      </c>
      <c r="G143" t="s">
        <v>438</v>
      </c>
      <c r="I143" t="s">
        <v>249</v>
      </c>
      <c r="J143" t="s">
        <v>952</v>
      </c>
      <c r="K143">
        <v>0</v>
      </c>
      <c r="L143" t="s">
        <v>251</v>
      </c>
      <c r="N143" t="s">
        <v>419</v>
      </c>
      <c r="O143" t="s">
        <v>952</v>
      </c>
      <c r="P143">
        <v>2.3187786847219999E-4</v>
      </c>
      <c r="Q143" t="s">
        <v>251</v>
      </c>
      <c r="S143" t="s">
        <v>420</v>
      </c>
      <c r="T143" t="s">
        <v>952</v>
      </c>
      <c r="U143">
        <v>1.657567568387E-4</v>
      </c>
      <c r="V143" t="s">
        <v>251</v>
      </c>
      <c r="X143">
        <v>1.1415525114155251E-4</v>
      </c>
      <c r="Y143">
        <v>2.1215059377304864E-5</v>
      </c>
      <c r="Z143" t="s">
        <v>952</v>
      </c>
      <c r="AA143" t="s">
        <v>25</v>
      </c>
      <c r="AC143" t="s">
        <v>22</v>
      </c>
      <c r="AD143" t="s">
        <v>952</v>
      </c>
      <c r="AE143">
        <v>1.0065174635281266E-4</v>
      </c>
      <c r="AG143" t="s">
        <v>97</v>
      </c>
      <c r="AH143" t="s">
        <v>952</v>
      </c>
      <c r="AI143">
        <v>0</v>
      </c>
    </row>
    <row r="144" spans="5:35" x14ac:dyDescent="0.45">
      <c r="E144" t="s">
        <v>841</v>
      </c>
      <c r="G144" t="s">
        <v>438</v>
      </c>
      <c r="I144" t="s">
        <v>249</v>
      </c>
      <c r="J144" t="s">
        <v>953</v>
      </c>
      <c r="K144">
        <v>3.9643991682068213E-8</v>
      </c>
      <c r="L144" t="s">
        <v>251</v>
      </c>
      <c r="N144" t="s">
        <v>419</v>
      </c>
      <c r="O144" t="s">
        <v>953</v>
      </c>
      <c r="P144">
        <v>2.2247873857640001E-4</v>
      </c>
      <c r="Q144" t="s">
        <v>251</v>
      </c>
      <c r="S144" t="s">
        <v>420</v>
      </c>
      <c r="T144" t="s">
        <v>953</v>
      </c>
      <c r="U144">
        <v>1.5734158301080001E-4</v>
      </c>
      <c r="V144" t="s">
        <v>251</v>
      </c>
      <c r="X144">
        <v>1.1415525114155251E-4</v>
      </c>
      <c r="Y144">
        <v>5.7678442682047593E-5</v>
      </c>
      <c r="Z144" t="s">
        <v>953</v>
      </c>
      <c r="AA144" t="s">
        <v>25</v>
      </c>
      <c r="AC144" t="s">
        <v>22</v>
      </c>
      <c r="AD144" t="s">
        <v>953</v>
      </c>
      <c r="AE144">
        <v>8.9553732735727143E-5</v>
      </c>
      <c r="AG144" t="s">
        <v>97</v>
      </c>
      <c r="AH144" t="s">
        <v>953</v>
      </c>
      <c r="AI144">
        <v>0</v>
      </c>
    </row>
    <row r="145" spans="5:35" x14ac:dyDescent="0.45">
      <c r="E145" t="s">
        <v>842</v>
      </c>
      <c r="G145" t="s">
        <v>438</v>
      </c>
      <c r="I145" t="s">
        <v>249</v>
      </c>
      <c r="J145" t="s">
        <v>954</v>
      </c>
      <c r="K145">
        <v>1.5024613608170001E-4</v>
      </c>
      <c r="L145" t="s">
        <v>251</v>
      </c>
      <c r="N145" t="s">
        <v>419</v>
      </c>
      <c r="O145" t="s">
        <v>954</v>
      </c>
      <c r="P145">
        <v>2.06754903612E-4</v>
      </c>
      <c r="Q145" t="s">
        <v>251</v>
      </c>
      <c r="S145" t="s">
        <v>420</v>
      </c>
      <c r="T145" t="s">
        <v>954</v>
      </c>
      <c r="U145">
        <v>1.6271577950350001E-4</v>
      </c>
      <c r="V145" t="s">
        <v>251</v>
      </c>
      <c r="X145">
        <v>1.1415525114155251E-4</v>
      </c>
      <c r="Y145">
        <v>1.6905750441289813E-4</v>
      </c>
      <c r="Z145" t="s">
        <v>954</v>
      </c>
      <c r="AA145" t="s">
        <v>25</v>
      </c>
      <c r="AC145" t="s">
        <v>22</v>
      </c>
      <c r="AD145" t="s">
        <v>954</v>
      </c>
      <c r="AE145">
        <v>8.56498592469699E-5</v>
      </c>
      <c r="AG145" t="s">
        <v>97</v>
      </c>
      <c r="AH145" t="s">
        <v>954</v>
      </c>
      <c r="AI145">
        <v>0</v>
      </c>
    </row>
    <row r="146" spans="5:35" x14ac:dyDescent="0.45">
      <c r="E146" t="s">
        <v>843</v>
      </c>
      <c r="G146" t="s">
        <v>438</v>
      </c>
      <c r="I146" t="s">
        <v>249</v>
      </c>
      <c r="J146" t="s">
        <v>955</v>
      </c>
      <c r="K146">
        <v>2.3155845330710001E-4</v>
      </c>
      <c r="L146" t="s">
        <v>251</v>
      </c>
      <c r="N146" t="s">
        <v>419</v>
      </c>
      <c r="O146" t="s">
        <v>955</v>
      </c>
      <c r="P146">
        <v>1.9271726968510001E-4</v>
      </c>
      <c r="Q146" t="s">
        <v>251</v>
      </c>
      <c r="S146" t="s">
        <v>420</v>
      </c>
      <c r="T146" t="s">
        <v>955</v>
      </c>
      <c r="U146">
        <v>1.779700479909E-4</v>
      </c>
      <c r="V146" t="s">
        <v>251</v>
      </c>
      <c r="X146">
        <v>1.1415525114155251E-4</v>
      </c>
      <c r="Y146">
        <v>1.9060404909297337E-4</v>
      </c>
      <c r="Z146" t="s">
        <v>955</v>
      </c>
      <c r="AA146" t="s">
        <v>25</v>
      </c>
      <c r="AC146" t="s">
        <v>22</v>
      </c>
      <c r="AD146" t="s">
        <v>955</v>
      </c>
      <c r="AE146">
        <v>8.3623355931135824E-5</v>
      </c>
      <c r="AG146" t="s">
        <v>97</v>
      </c>
      <c r="AH146" t="s">
        <v>955</v>
      </c>
      <c r="AI146">
        <v>0</v>
      </c>
    </row>
    <row r="147" spans="5:35" x14ac:dyDescent="0.45">
      <c r="E147" t="s">
        <v>844</v>
      </c>
      <c r="G147" t="s">
        <v>438</v>
      </c>
      <c r="I147" t="s">
        <v>249</v>
      </c>
      <c r="J147" t="s">
        <v>956</v>
      </c>
      <c r="K147">
        <v>2.7583523358759999E-4</v>
      </c>
      <c r="L147" t="s">
        <v>251</v>
      </c>
      <c r="N147" t="s">
        <v>419</v>
      </c>
      <c r="O147" t="s">
        <v>956</v>
      </c>
      <c r="P147">
        <v>1.8689566053799999E-4</v>
      </c>
      <c r="Q147" t="s">
        <v>251</v>
      </c>
      <c r="S147" t="s">
        <v>420</v>
      </c>
      <c r="T147" t="s">
        <v>956</v>
      </c>
      <c r="U147">
        <v>1.8606265621339999E-4</v>
      </c>
      <c r="V147" t="s">
        <v>251</v>
      </c>
      <c r="X147">
        <v>1.1415525114155251E-4</v>
      </c>
      <c r="Y147">
        <v>1.4585353321897094E-4</v>
      </c>
      <c r="Z147" t="s">
        <v>956</v>
      </c>
      <c r="AA147" t="s">
        <v>25</v>
      </c>
      <c r="AC147" t="s">
        <v>22</v>
      </c>
      <c r="AD147" t="s">
        <v>956</v>
      </c>
      <c r="AE147">
        <v>8.4274045976859797E-5</v>
      </c>
      <c r="AG147" t="s">
        <v>97</v>
      </c>
      <c r="AH147" t="s">
        <v>956</v>
      </c>
      <c r="AI147">
        <v>0</v>
      </c>
    </row>
    <row r="148" spans="5:35" x14ac:dyDescent="0.45">
      <c r="E148" t="s">
        <v>845</v>
      </c>
      <c r="G148" t="s">
        <v>438</v>
      </c>
      <c r="I148" t="s">
        <v>249</v>
      </c>
      <c r="J148" t="s">
        <v>957</v>
      </c>
      <c r="K148">
        <v>2.999529296941E-4</v>
      </c>
      <c r="L148" t="s">
        <v>251</v>
      </c>
      <c r="N148" t="s">
        <v>419</v>
      </c>
      <c r="O148" t="s">
        <v>957</v>
      </c>
      <c r="P148">
        <v>1.752668829468E-4</v>
      </c>
      <c r="Q148" t="s">
        <v>251</v>
      </c>
      <c r="S148" t="s">
        <v>420</v>
      </c>
      <c r="T148" t="s">
        <v>957</v>
      </c>
      <c r="U148">
        <v>1.879137137491E-4</v>
      </c>
      <c r="V148" t="s">
        <v>251</v>
      </c>
      <c r="X148">
        <v>1.1415525114155251E-4</v>
      </c>
      <c r="Y148">
        <v>1.4452759200788939E-4</v>
      </c>
      <c r="Z148" t="s">
        <v>957</v>
      </c>
      <c r="AA148" t="s">
        <v>25</v>
      </c>
      <c r="AC148" t="s">
        <v>22</v>
      </c>
      <c r="AD148" t="s">
        <v>957</v>
      </c>
      <c r="AE148">
        <v>8.6084986538718892E-5</v>
      </c>
      <c r="AG148" t="s">
        <v>97</v>
      </c>
      <c r="AH148" t="s">
        <v>957</v>
      </c>
      <c r="AI148">
        <v>0</v>
      </c>
    </row>
    <row r="149" spans="5:35" x14ac:dyDescent="0.45">
      <c r="E149" t="s">
        <v>846</v>
      </c>
      <c r="G149" t="s">
        <v>438</v>
      </c>
      <c r="I149" t="s">
        <v>249</v>
      </c>
      <c r="J149" t="s">
        <v>958</v>
      </c>
      <c r="K149">
        <v>3.1242930785129998E-4</v>
      </c>
      <c r="L149" t="s">
        <v>251</v>
      </c>
      <c r="N149" t="s">
        <v>419</v>
      </c>
      <c r="O149" t="s">
        <v>958</v>
      </c>
      <c r="P149">
        <v>1.6226484631090001E-4</v>
      </c>
      <c r="Q149" t="s">
        <v>251</v>
      </c>
      <c r="S149" t="s">
        <v>420</v>
      </c>
      <c r="T149" t="s">
        <v>958</v>
      </c>
      <c r="U149">
        <v>1.861013420579E-4</v>
      </c>
      <c r="V149" t="s">
        <v>251</v>
      </c>
      <c r="X149">
        <v>1.1415525114155251E-4</v>
      </c>
      <c r="Y149">
        <v>1.408812536774151E-4</v>
      </c>
      <c r="Z149" t="s">
        <v>958</v>
      </c>
      <c r="AA149" t="s">
        <v>25</v>
      </c>
      <c r="AC149" t="s">
        <v>22</v>
      </c>
      <c r="AD149" t="s">
        <v>958</v>
      </c>
      <c r="AE149">
        <v>9.4974815855493924E-5</v>
      </c>
      <c r="AG149" t="s">
        <v>97</v>
      </c>
      <c r="AH149" t="s">
        <v>958</v>
      </c>
      <c r="AI149">
        <v>0</v>
      </c>
    </row>
    <row r="150" spans="5:35" x14ac:dyDescent="0.45">
      <c r="E150" t="s">
        <v>847</v>
      </c>
      <c r="G150" t="s">
        <v>438</v>
      </c>
      <c r="I150" t="s">
        <v>249</v>
      </c>
      <c r="J150" t="s">
        <v>959</v>
      </c>
      <c r="K150">
        <v>3.1352260925669999E-4</v>
      </c>
      <c r="L150" t="s">
        <v>251</v>
      </c>
      <c r="N150" t="s">
        <v>419</v>
      </c>
      <c r="O150" t="s">
        <v>959</v>
      </c>
      <c r="P150">
        <v>1.5301975667659999E-4</v>
      </c>
      <c r="Q150" t="s">
        <v>251</v>
      </c>
      <c r="S150" t="s">
        <v>420</v>
      </c>
      <c r="T150" t="s">
        <v>959</v>
      </c>
      <c r="U150">
        <v>1.8477864938100001E-4</v>
      </c>
      <c r="V150" t="s">
        <v>251</v>
      </c>
      <c r="X150">
        <v>1.1415525114155251E-4</v>
      </c>
      <c r="Y150">
        <v>1.4054976837464471E-4</v>
      </c>
      <c r="Z150" t="s">
        <v>959</v>
      </c>
      <c r="AA150" t="s">
        <v>25</v>
      </c>
      <c r="AC150" t="s">
        <v>22</v>
      </c>
      <c r="AD150" t="s">
        <v>959</v>
      </c>
      <c r="AE150">
        <v>1.0411622398043526E-4</v>
      </c>
      <c r="AG150" t="s">
        <v>97</v>
      </c>
      <c r="AH150" t="s">
        <v>959</v>
      </c>
      <c r="AI150">
        <v>0</v>
      </c>
    </row>
    <row r="151" spans="5:35" x14ac:dyDescent="0.45">
      <c r="E151" t="s">
        <v>848</v>
      </c>
      <c r="G151" t="s">
        <v>438</v>
      </c>
      <c r="I151" t="s">
        <v>249</v>
      </c>
      <c r="J151" t="s">
        <v>960</v>
      </c>
      <c r="K151">
        <v>3.0600690454099999E-4</v>
      </c>
      <c r="L151" t="s">
        <v>251</v>
      </c>
      <c r="N151" t="s">
        <v>419</v>
      </c>
      <c r="O151" t="s">
        <v>960</v>
      </c>
      <c r="P151">
        <v>1.5192126822750001E-4</v>
      </c>
      <c r="Q151" t="s">
        <v>251</v>
      </c>
      <c r="S151" t="s">
        <v>420</v>
      </c>
      <c r="T151" t="s">
        <v>960</v>
      </c>
      <c r="U151">
        <v>1.8413711697699999E-4</v>
      </c>
      <c r="V151" t="s">
        <v>251</v>
      </c>
      <c r="X151">
        <v>1.1415525114155251E-4</v>
      </c>
      <c r="Y151">
        <v>1.4253868019126702E-4</v>
      </c>
      <c r="Z151" t="s">
        <v>960</v>
      </c>
      <c r="AA151" t="s">
        <v>25</v>
      </c>
      <c r="AC151" t="s">
        <v>22</v>
      </c>
      <c r="AD151" t="s">
        <v>960</v>
      </c>
      <c r="AE151">
        <v>1.1614451893800439E-4</v>
      </c>
      <c r="AG151" t="s">
        <v>97</v>
      </c>
      <c r="AH151" t="s">
        <v>960</v>
      </c>
      <c r="AI151">
        <v>0</v>
      </c>
    </row>
    <row r="152" spans="5:35" x14ac:dyDescent="0.45">
      <c r="E152" t="s">
        <v>849</v>
      </c>
      <c r="G152" t="s">
        <v>438</v>
      </c>
      <c r="I152" t="s">
        <v>249</v>
      </c>
      <c r="J152" t="s">
        <v>961</v>
      </c>
      <c r="K152">
        <v>3.0556595774889998E-4</v>
      </c>
      <c r="L152" t="s">
        <v>251</v>
      </c>
      <c r="N152" t="s">
        <v>419</v>
      </c>
      <c r="O152" t="s">
        <v>961</v>
      </c>
      <c r="P152">
        <v>1.5338810765229999E-4</v>
      </c>
      <c r="Q152" t="s">
        <v>251</v>
      </c>
      <c r="S152" t="s">
        <v>420</v>
      </c>
      <c r="T152" t="s">
        <v>961</v>
      </c>
      <c r="U152">
        <v>1.8075224216219999E-4</v>
      </c>
      <c r="V152" t="s">
        <v>251</v>
      </c>
      <c r="X152">
        <v>1.1415525114155251E-4</v>
      </c>
      <c r="Y152">
        <v>1.4883690094390442E-4</v>
      </c>
      <c r="Z152" t="s">
        <v>961</v>
      </c>
      <c r="AA152" t="s">
        <v>25</v>
      </c>
      <c r="AC152" t="s">
        <v>22</v>
      </c>
      <c r="AD152" t="s">
        <v>961</v>
      </c>
      <c r="AE152">
        <v>1.2264421618440587E-4</v>
      </c>
      <c r="AG152" t="s">
        <v>97</v>
      </c>
      <c r="AH152" t="s">
        <v>961</v>
      </c>
      <c r="AI152">
        <v>0</v>
      </c>
    </row>
    <row r="153" spans="5:35" x14ac:dyDescent="0.45">
      <c r="E153" t="s">
        <v>850</v>
      </c>
      <c r="G153" t="s">
        <v>438</v>
      </c>
      <c r="I153" t="s">
        <v>249</v>
      </c>
      <c r="J153" t="s">
        <v>962</v>
      </c>
      <c r="K153">
        <v>3.0139392881310001E-4</v>
      </c>
      <c r="L153" t="s">
        <v>251</v>
      </c>
      <c r="N153" t="s">
        <v>419</v>
      </c>
      <c r="O153" t="s">
        <v>962</v>
      </c>
      <c r="P153">
        <v>1.5706706225030001E-4</v>
      </c>
      <c r="Q153" t="s">
        <v>251</v>
      </c>
      <c r="S153" t="s">
        <v>420</v>
      </c>
      <c r="T153" t="s">
        <v>962</v>
      </c>
      <c r="U153">
        <v>1.8230574220630001E-4</v>
      </c>
      <c r="V153" t="s">
        <v>251</v>
      </c>
      <c r="X153">
        <v>1.1415525114155251E-4</v>
      </c>
      <c r="Y153">
        <v>1.5049432745775637E-4</v>
      </c>
      <c r="Z153" t="s">
        <v>962</v>
      </c>
      <c r="AA153" t="s">
        <v>25</v>
      </c>
      <c r="AC153" t="s">
        <v>22</v>
      </c>
      <c r="AD153" t="s">
        <v>962</v>
      </c>
      <c r="AE153">
        <v>1.214316756932966E-4</v>
      </c>
      <c r="AG153" t="s">
        <v>97</v>
      </c>
      <c r="AH153" t="s">
        <v>962</v>
      </c>
      <c r="AI153">
        <v>0</v>
      </c>
    </row>
    <row r="154" spans="5:35" x14ac:dyDescent="0.45">
      <c r="E154" t="s">
        <v>851</v>
      </c>
      <c r="G154" t="s">
        <v>438</v>
      </c>
      <c r="I154" t="s">
        <v>249</v>
      </c>
      <c r="J154" t="s">
        <v>963</v>
      </c>
      <c r="K154">
        <v>2.908354277383E-4</v>
      </c>
      <c r="L154" t="s">
        <v>251</v>
      </c>
      <c r="N154" t="s">
        <v>419</v>
      </c>
      <c r="O154" t="s">
        <v>963</v>
      </c>
      <c r="P154">
        <v>1.5831943902109999E-4</v>
      </c>
      <c r="Q154" t="s">
        <v>251</v>
      </c>
      <c r="S154" t="s">
        <v>420</v>
      </c>
      <c r="T154" t="s">
        <v>963</v>
      </c>
      <c r="U154">
        <v>1.8255915388210001E-4</v>
      </c>
      <c r="V154" t="s">
        <v>251</v>
      </c>
      <c r="X154">
        <v>1.1415525114155251E-4</v>
      </c>
      <c r="Y154">
        <v>1.7237235744060203E-4</v>
      </c>
      <c r="Z154" t="s">
        <v>963</v>
      </c>
      <c r="AA154" t="s">
        <v>25</v>
      </c>
      <c r="AC154" t="s">
        <v>22</v>
      </c>
      <c r="AD154" t="s">
        <v>963</v>
      </c>
      <c r="AE154">
        <v>1.202532837572725E-4</v>
      </c>
      <c r="AG154" t="s">
        <v>97</v>
      </c>
      <c r="AH154" t="s">
        <v>963</v>
      </c>
      <c r="AI154">
        <v>0</v>
      </c>
    </row>
    <row r="155" spans="5:35" x14ac:dyDescent="0.45">
      <c r="E155" t="s">
        <v>484</v>
      </c>
      <c r="G155" t="s">
        <v>440</v>
      </c>
      <c r="I155" t="s">
        <v>249</v>
      </c>
      <c r="J155" t="s">
        <v>964</v>
      </c>
      <c r="K155">
        <v>2.644014516961E-4</v>
      </c>
      <c r="L155" t="s">
        <v>251</v>
      </c>
      <c r="N155" t="s">
        <v>419</v>
      </c>
      <c r="O155" t="s">
        <v>964</v>
      </c>
      <c r="P155">
        <v>1.6519414662060001E-4</v>
      </c>
      <c r="Q155" t="s">
        <v>251</v>
      </c>
      <c r="S155" t="s">
        <v>420</v>
      </c>
      <c r="T155" t="s">
        <v>964</v>
      </c>
      <c r="U155">
        <v>1.83767753014E-4</v>
      </c>
      <c r="V155" t="s">
        <v>251</v>
      </c>
      <c r="X155">
        <v>1.1415525114155251E-4</v>
      </c>
      <c r="Y155">
        <v>2.2209515285616027E-4</v>
      </c>
      <c r="Z155" t="s">
        <v>964</v>
      </c>
      <c r="AA155" t="s">
        <v>25</v>
      </c>
      <c r="AC155" t="s">
        <v>22</v>
      </c>
      <c r="AD155" t="s">
        <v>964</v>
      </c>
      <c r="AE155">
        <v>1.1943531914874865E-4</v>
      </c>
      <c r="AG155" t="s">
        <v>97</v>
      </c>
      <c r="AH155" t="s">
        <v>964</v>
      </c>
      <c r="AI155">
        <v>0</v>
      </c>
    </row>
    <row r="156" spans="5:35" x14ac:dyDescent="0.45">
      <c r="E156" t="s">
        <v>485</v>
      </c>
      <c r="G156" t="s">
        <v>440</v>
      </c>
      <c r="I156" t="s">
        <v>249</v>
      </c>
      <c r="J156" t="s">
        <v>965</v>
      </c>
      <c r="K156">
        <v>2.275794819859E-4</v>
      </c>
      <c r="L156" t="s">
        <v>251</v>
      </c>
      <c r="N156" t="s">
        <v>419</v>
      </c>
      <c r="O156" t="s">
        <v>965</v>
      </c>
      <c r="P156">
        <v>1.7501280452090001E-4</v>
      </c>
      <c r="Q156" t="s">
        <v>251</v>
      </c>
      <c r="S156" t="s">
        <v>420</v>
      </c>
      <c r="T156" t="s">
        <v>965</v>
      </c>
      <c r="U156">
        <v>1.782251035625E-4</v>
      </c>
      <c r="V156" t="s">
        <v>251</v>
      </c>
      <c r="X156">
        <v>1.1415525114155251E-4</v>
      </c>
      <c r="Y156">
        <v>2.2209515285616027E-4</v>
      </c>
      <c r="Z156" t="s">
        <v>965</v>
      </c>
      <c r="AA156" t="s">
        <v>25</v>
      </c>
      <c r="AC156" t="s">
        <v>22</v>
      </c>
      <c r="AD156" t="s">
        <v>965</v>
      </c>
      <c r="AE156">
        <v>1.1926884494270856E-4</v>
      </c>
      <c r="AG156" t="s">
        <v>97</v>
      </c>
      <c r="AH156" t="s">
        <v>965</v>
      </c>
      <c r="AI156">
        <v>0</v>
      </c>
    </row>
    <row r="157" spans="5:35" x14ac:dyDescent="0.45">
      <c r="E157" t="s">
        <v>486</v>
      </c>
      <c r="G157" t="s">
        <v>440</v>
      </c>
      <c r="I157" t="s">
        <v>249</v>
      </c>
      <c r="J157" t="s">
        <v>966</v>
      </c>
      <c r="K157">
        <v>1.6294242410159999E-4</v>
      </c>
      <c r="L157" t="s">
        <v>251</v>
      </c>
      <c r="N157" t="s">
        <v>419</v>
      </c>
      <c r="O157" t="s">
        <v>966</v>
      </c>
      <c r="P157">
        <v>1.8313418673219999E-4</v>
      </c>
      <c r="Q157" t="s">
        <v>251</v>
      </c>
      <c r="S157" t="s">
        <v>420</v>
      </c>
      <c r="T157" t="s">
        <v>966</v>
      </c>
      <c r="U157">
        <v>1.812746774153E-4</v>
      </c>
      <c r="V157" t="s">
        <v>251</v>
      </c>
      <c r="X157">
        <v>1.1415525114155251E-4</v>
      </c>
      <c r="Y157">
        <v>1.7237235744060203E-4</v>
      </c>
      <c r="Z157" t="s">
        <v>966</v>
      </c>
      <c r="AA157" t="s">
        <v>25</v>
      </c>
      <c r="AC157" t="s">
        <v>22</v>
      </c>
      <c r="AD157" t="s">
        <v>966</v>
      </c>
      <c r="AE157">
        <v>1.191842739117555E-4</v>
      </c>
      <c r="AG157" t="s">
        <v>97</v>
      </c>
      <c r="AH157" t="s">
        <v>966</v>
      </c>
      <c r="AI157">
        <v>0</v>
      </c>
    </row>
    <row r="158" spans="5:35" x14ac:dyDescent="0.45">
      <c r="E158" t="s">
        <v>487</v>
      </c>
      <c r="G158" t="s">
        <v>440</v>
      </c>
      <c r="I158" t="s">
        <v>249</v>
      </c>
      <c r="J158" t="s">
        <v>967</v>
      </c>
      <c r="K158">
        <v>3.820435253799269E-5</v>
      </c>
      <c r="L158" t="s">
        <v>251</v>
      </c>
      <c r="N158" t="s">
        <v>419</v>
      </c>
      <c r="O158" t="s">
        <v>967</v>
      </c>
      <c r="P158">
        <v>1.8198965105879999E-4</v>
      </c>
      <c r="Q158" t="s">
        <v>251</v>
      </c>
      <c r="S158" t="s">
        <v>420</v>
      </c>
      <c r="T158" t="s">
        <v>967</v>
      </c>
      <c r="U158">
        <v>1.7948223589090001E-4</v>
      </c>
      <c r="V158" t="s">
        <v>251</v>
      </c>
      <c r="X158">
        <v>1.1415525114155251E-4</v>
      </c>
      <c r="Y158">
        <v>1.5579809230208258E-4</v>
      </c>
      <c r="Z158" t="s">
        <v>967</v>
      </c>
      <c r="AA158" t="s">
        <v>25</v>
      </c>
      <c r="AC158" t="s">
        <v>22</v>
      </c>
      <c r="AD158" t="s">
        <v>967</v>
      </c>
      <c r="AE158">
        <v>1.191842739117555E-4</v>
      </c>
      <c r="AG158" t="s">
        <v>97</v>
      </c>
      <c r="AH158" t="s">
        <v>967</v>
      </c>
      <c r="AI158">
        <v>0</v>
      </c>
    </row>
    <row r="159" spans="5:35" x14ac:dyDescent="0.45">
      <c r="E159" t="s">
        <v>488</v>
      </c>
      <c r="G159" t="s">
        <v>440</v>
      </c>
      <c r="I159" t="s">
        <v>249</v>
      </c>
      <c r="J159" t="s">
        <v>968</v>
      </c>
      <c r="K159">
        <v>0</v>
      </c>
      <c r="L159" t="s">
        <v>251</v>
      </c>
      <c r="N159" t="s">
        <v>419</v>
      </c>
      <c r="O159" t="s">
        <v>968</v>
      </c>
      <c r="P159">
        <v>1.7989854871440001E-4</v>
      </c>
      <c r="Q159" t="s">
        <v>251</v>
      </c>
      <c r="S159" t="s">
        <v>420</v>
      </c>
      <c r="T159" t="s">
        <v>968</v>
      </c>
      <c r="U159">
        <v>1.7034395867950001E-4</v>
      </c>
      <c r="V159" t="s">
        <v>251</v>
      </c>
      <c r="X159">
        <v>1.1415525114155251E-4</v>
      </c>
      <c r="Y159">
        <v>1.093901499142282E-4</v>
      </c>
      <c r="Z159" t="s">
        <v>968</v>
      </c>
      <c r="AA159" t="s">
        <v>25</v>
      </c>
      <c r="AC159" t="s">
        <v>22</v>
      </c>
      <c r="AD159" t="s">
        <v>968</v>
      </c>
      <c r="AE159">
        <v>1.1944519021545293E-4</v>
      </c>
      <c r="AG159" t="s">
        <v>97</v>
      </c>
      <c r="AH159" t="s">
        <v>968</v>
      </c>
      <c r="AI159">
        <v>0</v>
      </c>
    </row>
    <row r="160" spans="5:35" x14ac:dyDescent="0.45">
      <c r="E160" t="s">
        <v>489</v>
      </c>
      <c r="G160" t="s">
        <v>440</v>
      </c>
      <c r="I160" t="s">
        <v>249</v>
      </c>
      <c r="J160" t="s">
        <v>969</v>
      </c>
      <c r="K160">
        <v>0</v>
      </c>
      <c r="L160" t="s">
        <v>251</v>
      </c>
      <c r="N160" t="s">
        <v>419</v>
      </c>
      <c r="O160" t="s">
        <v>969</v>
      </c>
      <c r="P160">
        <v>1.8018329435150001E-4</v>
      </c>
      <c r="Q160" t="s">
        <v>251</v>
      </c>
      <c r="S160" t="s">
        <v>420</v>
      </c>
      <c r="T160" t="s">
        <v>969</v>
      </c>
      <c r="U160">
        <v>1.5860039109070001E-4</v>
      </c>
      <c r="V160" t="s">
        <v>251</v>
      </c>
      <c r="X160">
        <v>1.1415525114155251E-4</v>
      </c>
      <c r="Y160">
        <v>7.9556472664893237E-5</v>
      </c>
      <c r="Z160" t="s">
        <v>969</v>
      </c>
      <c r="AA160" t="s">
        <v>25</v>
      </c>
      <c r="AC160" t="s">
        <v>22</v>
      </c>
      <c r="AD160" t="s">
        <v>969</v>
      </c>
      <c r="AE160">
        <v>1.1981362111055128E-4</v>
      </c>
      <c r="AG160" t="s">
        <v>97</v>
      </c>
      <c r="AH160" t="s">
        <v>969</v>
      </c>
      <c r="AI160">
        <v>0</v>
      </c>
    </row>
    <row r="161" spans="5:35" x14ac:dyDescent="0.45">
      <c r="E161" t="s">
        <v>490</v>
      </c>
      <c r="G161" t="s">
        <v>440</v>
      </c>
      <c r="I161" t="s">
        <v>249</v>
      </c>
      <c r="J161" t="s">
        <v>970</v>
      </c>
      <c r="K161">
        <v>0</v>
      </c>
      <c r="L161" t="s">
        <v>251</v>
      </c>
      <c r="N161" t="s">
        <v>419</v>
      </c>
      <c r="O161" t="s">
        <v>970</v>
      </c>
      <c r="P161">
        <v>1.8495048269869999E-4</v>
      </c>
      <c r="Q161" t="s">
        <v>251</v>
      </c>
      <c r="S161" t="s">
        <v>420</v>
      </c>
      <c r="T161" t="s">
        <v>970</v>
      </c>
      <c r="U161">
        <v>1.5126696581740001E-4</v>
      </c>
      <c r="V161" t="s">
        <v>251</v>
      </c>
      <c r="X161">
        <v>1.1415525114155251E-4</v>
      </c>
      <c r="Y161">
        <v>5.6352501470966035E-5</v>
      </c>
      <c r="Z161" t="s">
        <v>970</v>
      </c>
      <c r="AA161" t="s">
        <v>25</v>
      </c>
      <c r="AC161" t="s">
        <v>22</v>
      </c>
      <c r="AD161" t="s">
        <v>970</v>
      </c>
      <c r="AE161">
        <v>1.1949374519221463E-4</v>
      </c>
      <c r="AG161" t="s">
        <v>97</v>
      </c>
      <c r="AH161" t="s">
        <v>970</v>
      </c>
      <c r="AI161">
        <v>0</v>
      </c>
    </row>
    <row r="162" spans="5:35" x14ac:dyDescent="0.45">
      <c r="E162" t="s">
        <v>491</v>
      </c>
      <c r="G162" t="s">
        <v>440</v>
      </c>
      <c r="I162" t="s">
        <v>249</v>
      </c>
      <c r="J162" t="s">
        <v>971</v>
      </c>
      <c r="K162">
        <v>0</v>
      </c>
      <c r="L162" t="s">
        <v>251</v>
      </c>
      <c r="N162" t="s">
        <v>419</v>
      </c>
      <c r="O162" t="s">
        <v>971</v>
      </c>
      <c r="P162">
        <v>1.885882972759E-4</v>
      </c>
      <c r="Q162" t="s">
        <v>251</v>
      </c>
      <c r="S162" t="s">
        <v>420</v>
      </c>
      <c r="T162" t="s">
        <v>971</v>
      </c>
      <c r="U162">
        <v>1.3628408017370001E-4</v>
      </c>
      <c r="V162" t="s">
        <v>251</v>
      </c>
      <c r="X162">
        <v>1.1415525114155251E-4</v>
      </c>
      <c r="Y162">
        <v>2.9833677249334962E-5</v>
      </c>
      <c r="Z162" t="s">
        <v>971</v>
      </c>
      <c r="AA162" t="s">
        <v>25</v>
      </c>
      <c r="AC162" t="s">
        <v>22</v>
      </c>
      <c r="AD162" t="s">
        <v>971</v>
      </c>
      <c r="AE162">
        <v>1.2020899734989643E-4</v>
      </c>
      <c r="AG162" t="s">
        <v>97</v>
      </c>
      <c r="AH162" t="s">
        <v>971</v>
      </c>
      <c r="AI162">
        <v>0</v>
      </c>
    </row>
    <row r="163" spans="5:35" x14ac:dyDescent="0.45">
      <c r="E163" t="s">
        <v>492</v>
      </c>
      <c r="G163" t="s">
        <v>440</v>
      </c>
      <c r="I163" t="s">
        <v>249</v>
      </c>
      <c r="J163" t="s">
        <v>331</v>
      </c>
      <c r="K163">
        <v>4.3257271256727335E-4</v>
      </c>
      <c r="L163" t="s">
        <v>251</v>
      </c>
      <c r="N163" t="s">
        <v>419</v>
      </c>
      <c r="O163" t="s">
        <v>331</v>
      </c>
      <c r="P163">
        <v>2.1380555180187732E-2</v>
      </c>
      <c r="Q163" t="s">
        <v>251</v>
      </c>
      <c r="S163" t="s">
        <v>420</v>
      </c>
      <c r="T163" t="s">
        <v>331</v>
      </c>
      <c r="U163">
        <v>2.0213818708675124E-2</v>
      </c>
      <c r="V163" t="s">
        <v>251</v>
      </c>
      <c r="X163">
        <v>1.9863013698630139E-2</v>
      </c>
      <c r="Y163">
        <v>4.2489786109108389E-3</v>
      </c>
      <c r="Z163" t="s">
        <v>331</v>
      </c>
      <c r="AA163" t="s">
        <v>25</v>
      </c>
      <c r="AC163" t="s">
        <v>22</v>
      </c>
      <c r="AD163" t="s">
        <v>331</v>
      </c>
      <c r="AE163">
        <v>1.835670710914172E-2</v>
      </c>
      <c r="AG163" t="s">
        <v>97</v>
      </c>
      <c r="AH163" t="s">
        <v>331</v>
      </c>
      <c r="AI163">
        <v>0.13185666621021785</v>
      </c>
    </row>
    <row r="164" spans="5:35" x14ac:dyDescent="0.45">
      <c r="E164" t="s">
        <v>493</v>
      </c>
      <c r="G164" t="s">
        <v>440</v>
      </c>
      <c r="I164" t="s">
        <v>249</v>
      </c>
      <c r="J164" t="s">
        <v>332</v>
      </c>
      <c r="K164">
        <v>4.064733233575266E-3</v>
      </c>
      <c r="L164" t="s">
        <v>251</v>
      </c>
      <c r="N164" t="s">
        <v>419</v>
      </c>
      <c r="O164" t="s">
        <v>332</v>
      </c>
      <c r="P164">
        <v>3.0736725572274074E-3</v>
      </c>
      <c r="Q164" t="s">
        <v>251</v>
      </c>
      <c r="S164" t="s">
        <v>420</v>
      </c>
      <c r="T164" t="s">
        <v>332</v>
      </c>
      <c r="U164">
        <v>3.1688452751808243E-3</v>
      </c>
      <c r="V164" t="s">
        <v>251</v>
      </c>
      <c r="X164">
        <v>3.3105022831050228E-3</v>
      </c>
      <c r="Y164">
        <v>4.9026676279740472E-3</v>
      </c>
      <c r="Z164" t="s">
        <v>332</v>
      </c>
      <c r="AA164" t="s">
        <v>25</v>
      </c>
      <c r="AC164" t="s">
        <v>22</v>
      </c>
      <c r="AD164" t="s">
        <v>332</v>
      </c>
      <c r="AE164">
        <v>2.4673682410837438E-3</v>
      </c>
      <c r="AG164" t="s">
        <v>97</v>
      </c>
      <c r="AH164" t="s">
        <v>332</v>
      </c>
      <c r="AI164">
        <v>2.6446937707323315E-2</v>
      </c>
    </row>
    <row r="165" spans="5:35" x14ac:dyDescent="0.45">
      <c r="E165" t="s">
        <v>494</v>
      </c>
      <c r="G165" t="s">
        <v>440</v>
      </c>
      <c r="I165" t="s">
        <v>249</v>
      </c>
      <c r="J165" t="s">
        <v>333</v>
      </c>
      <c r="K165">
        <v>6.1280483215609997E-3</v>
      </c>
      <c r="L165" t="s">
        <v>251</v>
      </c>
      <c r="N165" t="s">
        <v>419</v>
      </c>
      <c r="O165" t="s">
        <v>333</v>
      </c>
      <c r="P165">
        <v>2.8359400754971419E-3</v>
      </c>
      <c r="Q165" t="s">
        <v>251</v>
      </c>
      <c r="S165" t="s">
        <v>420</v>
      </c>
      <c r="T165" t="s">
        <v>333</v>
      </c>
      <c r="U165">
        <v>3.1612462876699889E-3</v>
      </c>
      <c r="V165" t="s">
        <v>251</v>
      </c>
      <c r="X165">
        <v>3.3105022831050228E-3</v>
      </c>
      <c r="Y165">
        <v>5.5275174236962274E-3</v>
      </c>
      <c r="Z165" t="s">
        <v>333</v>
      </c>
      <c r="AA165" t="s">
        <v>25</v>
      </c>
      <c r="AC165" t="s">
        <v>22</v>
      </c>
      <c r="AD165" t="s">
        <v>333</v>
      </c>
      <c r="AE165">
        <v>2.3975816669834513E-3</v>
      </c>
      <c r="AG165" t="s">
        <v>97</v>
      </c>
      <c r="AH165" t="s">
        <v>333</v>
      </c>
      <c r="AI165">
        <v>1.5642508325602433E-2</v>
      </c>
    </row>
    <row r="166" spans="5:35" x14ac:dyDescent="0.45">
      <c r="E166" t="s">
        <v>495</v>
      </c>
      <c r="G166" t="s">
        <v>440</v>
      </c>
      <c r="I166" t="s">
        <v>249</v>
      </c>
      <c r="J166" t="s">
        <v>334</v>
      </c>
      <c r="K166">
        <v>5.9386182391277E-2</v>
      </c>
      <c r="L166" t="s">
        <v>251</v>
      </c>
      <c r="N166" t="s">
        <v>419</v>
      </c>
      <c r="O166" t="s">
        <v>334</v>
      </c>
      <c r="P166">
        <v>2.1138420074689322E-2</v>
      </c>
      <c r="Q166" t="s">
        <v>251</v>
      </c>
      <c r="S166" t="s">
        <v>420</v>
      </c>
      <c r="T166" t="s">
        <v>334</v>
      </c>
      <c r="U166">
        <v>2.1425160314506184E-2</v>
      </c>
      <c r="V166" t="s">
        <v>251</v>
      </c>
      <c r="X166">
        <v>2.3173515981735161E-2</v>
      </c>
      <c r="Y166">
        <v>2.9396779620283593E-2</v>
      </c>
      <c r="Z166" t="s">
        <v>334</v>
      </c>
      <c r="AA166" t="s">
        <v>25</v>
      </c>
      <c r="AC166" t="s">
        <v>22</v>
      </c>
      <c r="AD166" t="s">
        <v>334</v>
      </c>
      <c r="AE166">
        <v>2.0160606008117633E-2</v>
      </c>
      <c r="AG166" t="s">
        <v>97</v>
      </c>
      <c r="AH166" t="s">
        <v>334</v>
      </c>
      <c r="AI166">
        <v>0.21235720922543799</v>
      </c>
    </row>
    <row r="167" spans="5:35" x14ac:dyDescent="0.45">
      <c r="E167" t="s">
        <v>496</v>
      </c>
      <c r="G167" t="s">
        <v>440</v>
      </c>
      <c r="I167" t="s">
        <v>249</v>
      </c>
      <c r="J167" t="s">
        <v>335</v>
      </c>
      <c r="K167">
        <v>8.0043293422863999E-3</v>
      </c>
      <c r="L167" t="s">
        <v>251</v>
      </c>
      <c r="N167" t="s">
        <v>419</v>
      </c>
      <c r="O167" t="s">
        <v>335</v>
      </c>
      <c r="P167">
        <v>3.1451237768568693E-3</v>
      </c>
      <c r="Q167" t="s">
        <v>251</v>
      </c>
      <c r="S167" t="s">
        <v>420</v>
      </c>
      <c r="T167" t="s">
        <v>335</v>
      </c>
      <c r="U167">
        <v>3.3645410184496207E-3</v>
      </c>
      <c r="V167" t="s">
        <v>251</v>
      </c>
      <c r="X167">
        <v>3.3105022831050228E-3</v>
      </c>
      <c r="Y167">
        <v>4.9987983657774574E-3</v>
      </c>
      <c r="Z167" t="s">
        <v>335</v>
      </c>
      <c r="AA167" t="s">
        <v>25</v>
      </c>
      <c r="AC167" t="s">
        <v>22</v>
      </c>
      <c r="AD167" t="s">
        <v>335</v>
      </c>
      <c r="AE167">
        <v>3.2878195580603319E-3</v>
      </c>
      <c r="AG167" t="s">
        <v>97</v>
      </c>
      <c r="AH167" t="s">
        <v>335</v>
      </c>
      <c r="AI167">
        <v>4.64187283250872E-2</v>
      </c>
    </row>
    <row r="168" spans="5:35" x14ac:dyDescent="0.45">
      <c r="E168" t="s">
        <v>497</v>
      </c>
      <c r="G168" t="s">
        <v>440</v>
      </c>
      <c r="I168" t="s">
        <v>249</v>
      </c>
      <c r="J168" t="s">
        <v>336</v>
      </c>
      <c r="K168">
        <v>7.1860560218073005E-3</v>
      </c>
      <c r="L168" t="s">
        <v>251</v>
      </c>
      <c r="N168" t="s">
        <v>419</v>
      </c>
      <c r="O168" t="s">
        <v>336</v>
      </c>
      <c r="P168">
        <v>3.155031396469775E-3</v>
      </c>
      <c r="Q168" t="s">
        <v>251</v>
      </c>
      <c r="S168" t="s">
        <v>420</v>
      </c>
      <c r="T168" t="s">
        <v>336</v>
      </c>
      <c r="U168">
        <v>3.3370445877809471E-3</v>
      </c>
      <c r="V168" t="s">
        <v>251</v>
      </c>
      <c r="X168">
        <v>3.3105022831050228E-3</v>
      </c>
      <c r="Y168">
        <v>6.4407594328286487E-3</v>
      </c>
      <c r="Z168" t="s">
        <v>336</v>
      </c>
      <c r="AA168" t="s">
        <v>25</v>
      </c>
      <c r="AC168" t="s">
        <v>22</v>
      </c>
      <c r="AD168" t="s">
        <v>336</v>
      </c>
      <c r="AE168">
        <v>3.2935930649400005E-3</v>
      </c>
      <c r="AG168" t="s">
        <v>97</v>
      </c>
      <c r="AH168" t="s">
        <v>336</v>
      </c>
      <c r="AI168">
        <v>4.3101270816219506E-2</v>
      </c>
    </row>
    <row r="169" spans="5:35" x14ac:dyDescent="0.45">
      <c r="E169" t="s">
        <v>498</v>
      </c>
      <c r="G169" t="s">
        <v>440</v>
      </c>
      <c r="I169" t="s">
        <v>249</v>
      </c>
      <c r="J169" t="s">
        <v>337</v>
      </c>
      <c r="K169">
        <v>6.0160318370518001E-3</v>
      </c>
      <c r="L169" t="s">
        <v>251</v>
      </c>
      <c r="N169" t="s">
        <v>419</v>
      </c>
      <c r="O169" t="s">
        <v>337</v>
      </c>
      <c r="P169">
        <v>3.1112974353018413E-3</v>
      </c>
      <c r="Q169" t="s">
        <v>251</v>
      </c>
      <c r="S169" t="s">
        <v>420</v>
      </c>
      <c r="T169" t="s">
        <v>337</v>
      </c>
      <c r="U169">
        <v>3.3749663444788683E-3</v>
      </c>
      <c r="V169" t="s">
        <v>251</v>
      </c>
      <c r="X169">
        <v>3.3105022831050228E-3</v>
      </c>
      <c r="Y169">
        <v>6.4407594328286487E-3</v>
      </c>
      <c r="Z169" t="s">
        <v>337</v>
      </c>
      <c r="AA169" t="s">
        <v>25</v>
      </c>
      <c r="AC169" t="s">
        <v>22</v>
      </c>
      <c r="AD169" t="s">
        <v>337</v>
      </c>
      <c r="AE169">
        <v>3.2973766181291996E-3</v>
      </c>
      <c r="AG169" t="s">
        <v>97</v>
      </c>
      <c r="AH169" t="s">
        <v>337</v>
      </c>
      <c r="AI169">
        <v>4.9386755618903377E-2</v>
      </c>
    </row>
    <row r="170" spans="5:35" x14ac:dyDescent="0.45">
      <c r="E170" t="s">
        <v>499</v>
      </c>
      <c r="G170" t="s">
        <v>440</v>
      </c>
      <c r="I170" t="s">
        <v>249</v>
      </c>
      <c r="J170" t="s">
        <v>338</v>
      </c>
      <c r="K170">
        <v>5.8883586003963314E-3</v>
      </c>
      <c r="L170" t="s">
        <v>251</v>
      </c>
      <c r="N170" t="s">
        <v>419</v>
      </c>
      <c r="O170" t="s">
        <v>338</v>
      </c>
      <c r="P170">
        <v>2.2293783049507746E-2</v>
      </c>
      <c r="Q170" t="s">
        <v>251</v>
      </c>
      <c r="S170" t="s">
        <v>420</v>
      </c>
      <c r="T170" t="s">
        <v>338</v>
      </c>
      <c r="U170">
        <v>2.2694408036062302E-2</v>
      </c>
      <c r="V170" t="s">
        <v>251</v>
      </c>
      <c r="X170">
        <v>1.9863013698630139E-2</v>
      </c>
      <c r="Y170">
        <v>1.7495794280221105E-2</v>
      </c>
      <c r="Z170" t="s">
        <v>338</v>
      </c>
      <c r="AA170" t="s">
        <v>25</v>
      </c>
      <c r="AC170" t="s">
        <v>22</v>
      </c>
      <c r="AD170" t="s">
        <v>338</v>
      </c>
      <c r="AE170">
        <v>2.0032822239099409E-2</v>
      </c>
      <c r="AG170" t="s">
        <v>97</v>
      </c>
      <c r="AH170" t="s">
        <v>338</v>
      </c>
      <c r="AI170">
        <v>7.7570613581005254E-2</v>
      </c>
    </row>
    <row r="171" spans="5:35" x14ac:dyDescent="0.45">
      <c r="E171" t="s">
        <v>500</v>
      </c>
      <c r="G171" t="s">
        <v>440</v>
      </c>
      <c r="I171" t="s">
        <v>249</v>
      </c>
      <c r="J171" t="s">
        <v>972</v>
      </c>
      <c r="K171">
        <v>0</v>
      </c>
      <c r="L171" t="s">
        <v>251</v>
      </c>
      <c r="N171" t="s">
        <v>419</v>
      </c>
      <c r="O171" t="s">
        <v>972</v>
      </c>
      <c r="P171">
        <v>1.8865087703929999E-4</v>
      </c>
      <c r="Q171" t="s">
        <v>251</v>
      </c>
      <c r="S171" t="s">
        <v>420</v>
      </c>
      <c r="T171" t="s">
        <v>972</v>
      </c>
      <c r="U171">
        <v>1.5204268401729999E-4</v>
      </c>
      <c r="V171" t="s">
        <v>251</v>
      </c>
      <c r="X171">
        <v>1.1415525114155251E-4</v>
      </c>
      <c r="Y171">
        <v>2.1546544680075254E-5</v>
      </c>
      <c r="Z171" t="s">
        <v>972</v>
      </c>
      <c r="AA171" t="s">
        <v>25</v>
      </c>
      <c r="AC171" t="s">
        <v>22</v>
      </c>
      <c r="AD171" t="s">
        <v>972</v>
      </c>
      <c r="AE171">
        <v>1.2424089346333331E-4</v>
      </c>
      <c r="AG171" t="s">
        <v>97</v>
      </c>
      <c r="AH171" t="s">
        <v>972</v>
      </c>
      <c r="AI171">
        <v>0</v>
      </c>
    </row>
    <row r="172" spans="5:35" x14ac:dyDescent="0.45">
      <c r="E172" t="s">
        <v>501</v>
      </c>
      <c r="G172" t="s">
        <v>440</v>
      </c>
      <c r="I172" t="s">
        <v>249</v>
      </c>
      <c r="J172" t="s">
        <v>973</v>
      </c>
      <c r="K172">
        <v>0</v>
      </c>
      <c r="L172" t="s">
        <v>251</v>
      </c>
      <c r="N172" t="s">
        <v>419</v>
      </c>
      <c r="O172" t="s">
        <v>973</v>
      </c>
      <c r="P172">
        <v>1.895261728425E-4</v>
      </c>
      <c r="Q172" t="s">
        <v>251</v>
      </c>
      <c r="S172" t="s">
        <v>420</v>
      </c>
      <c r="T172" t="s">
        <v>973</v>
      </c>
      <c r="U172">
        <v>1.3340793164510001E-4</v>
      </c>
      <c r="V172" t="s">
        <v>251</v>
      </c>
      <c r="X172">
        <v>1.1415525114155251E-4</v>
      </c>
      <c r="Y172">
        <v>1.4916838624667481E-5</v>
      </c>
      <c r="Z172" t="s">
        <v>973</v>
      </c>
      <c r="AA172" t="s">
        <v>25</v>
      </c>
      <c r="AC172" t="s">
        <v>22</v>
      </c>
      <c r="AD172" t="s">
        <v>973</v>
      </c>
      <c r="AE172">
        <v>1.2137268162176773E-4</v>
      </c>
      <c r="AG172" t="s">
        <v>97</v>
      </c>
      <c r="AH172" t="s">
        <v>973</v>
      </c>
      <c r="AI172">
        <v>0</v>
      </c>
    </row>
    <row r="173" spans="5:35" x14ac:dyDescent="0.45">
      <c r="E173" t="s">
        <v>502</v>
      </c>
      <c r="G173" t="s">
        <v>440</v>
      </c>
      <c r="I173" t="s">
        <v>249</v>
      </c>
      <c r="J173" t="s">
        <v>974</v>
      </c>
      <c r="K173">
        <v>0</v>
      </c>
      <c r="L173" t="s">
        <v>251</v>
      </c>
      <c r="N173" t="s">
        <v>419</v>
      </c>
      <c r="O173" t="s">
        <v>974</v>
      </c>
      <c r="P173">
        <v>1.8970144528219999E-4</v>
      </c>
      <c r="Q173" t="s">
        <v>251</v>
      </c>
      <c r="S173" t="s">
        <v>420</v>
      </c>
      <c r="T173" t="s">
        <v>974</v>
      </c>
      <c r="U173">
        <v>1.207900809378E-4</v>
      </c>
      <c r="V173" t="s">
        <v>251</v>
      </c>
      <c r="X173">
        <v>1.1415525114155251E-4</v>
      </c>
      <c r="Y173">
        <v>1.6574265138519424E-5</v>
      </c>
      <c r="Z173" t="s">
        <v>974</v>
      </c>
      <c r="AA173" t="s">
        <v>25</v>
      </c>
      <c r="AC173" t="s">
        <v>22</v>
      </c>
      <c r="AD173" t="s">
        <v>974</v>
      </c>
      <c r="AE173">
        <v>1.1806160570644169E-4</v>
      </c>
      <c r="AG173" t="s">
        <v>97</v>
      </c>
      <c r="AH173" t="s">
        <v>974</v>
      </c>
      <c r="AI173">
        <v>0</v>
      </c>
    </row>
    <row r="174" spans="5:35" x14ac:dyDescent="0.45">
      <c r="E174" t="s">
        <v>503</v>
      </c>
      <c r="G174" t="s">
        <v>440</v>
      </c>
      <c r="I174" t="s">
        <v>249</v>
      </c>
      <c r="J174" t="s">
        <v>975</v>
      </c>
      <c r="K174">
        <v>0</v>
      </c>
      <c r="L174" t="s">
        <v>251</v>
      </c>
      <c r="N174" t="s">
        <v>419</v>
      </c>
      <c r="O174" t="s">
        <v>975</v>
      </c>
      <c r="P174">
        <v>1.766541774033E-4</v>
      </c>
      <c r="Q174" t="s">
        <v>251</v>
      </c>
      <c r="S174" t="s">
        <v>420</v>
      </c>
      <c r="T174" t="s">
        <v>975</v>
      </c>
      <c r="U174">
        <v>1.2464237809939999E-4</v>
      </c>
      <c r="V174" t="s">
        <v>251</v>
      </c>
      <c r="X174">
        <v>1.1415525114155251E-4</v>
      </c>
      <c r="Y174">
        <v>1.4585353321897093E-5</v>
      </c>
      <c r="Z174" t="s">
        <v>975</v>
      </c>
      <c r="AA174" t="s">
        <v>25</v>
      </c>
      <c r="AC174" t="s">
        <v>22</v>
      </c>
      <c r="AD174" t="s">
        <v>975</v>
      </c>
      <c r="AE174">
        <v>1.0872917910149279E-4</v>
      </c>
      <c r="AG174" t="s">
        <v>97</v>
      </c>
      <c r="AH174" t="s">
        <v>975</v>
      </c>
      <c r="AI174">
        <v>0</v>
      </c>
    </row>
    <row r="175" spans="5:35" x14ac:dyDescent="0.45">
      <c r="E175" t="s">
        <v>504</v>
      </c>
      <c r="G175" t="s">
        <v>440</v>
      </c>
      <c r="I175" t="s">
        <v>249</v>
      </c>
      <c r="J175" t="s">
        <v>976</v>
      </c>
      <c r="K175">
        <v>0</v>
      </c>
      <c r="L175" t="s">
        <v>251</v>
      </c>
      <c r="N175" t="s">
        <v>419</v>
      </c>
      <c r="O175" t="s">
        <v>976</v>
      </c>
      <c r="P175">
        <v>1.815583737859E-4</v>
      </c>
      <c r="Q175" t="s">
        <v>251</v>
      </c>
      <c r="S175" t="s">
        <v>420</v>
      </c>
      <c r="T175" t="s">
        <v>976</v>
      </c>
      <c r="U175">
        <v>1.2032699511370001E-4</v>
      </c>
      <c r="V175" t="s">
        <v>251</v>
      </c>
      <c r="X175">
        <v>1.1415525114155251E-4</v>
      </c>
      <c r="Y175">
        <v>2.1215059377304864E-5</v>
      </c>
      <c r="Z175" t="s">
        <v>976</v>
      </c>
      <c r="AA175" t="s">
        <v>25</v>
      </c>
      <c r="AC175" t="s">
        <v>22</v>
      </c>
      <c r="AD175" t="s">
        <v>976</v>
      </c>
      <c r="AE175">
        <v>1.01940286279214E-4</v>
      </c>
      <c r="AG175" t="s">
        <v>97</v>
      </c>
      <c r="AH175" t="s">
        <v>976</v>
      </c>
      <c r="AI175">
        <v>0</v>
      </c>
    </row>
    <row r="176" spans="5:35" x14ac:dyDescent="0.45">
      <c r="E176" t="s">
        <v>505</v>
      </c>
      <c r="G176" t="s">
        <v>440</v>
      </c>
      <c r="I176" t="s">
        <v>249</v>
      </c>
      <c r="J176" t="s">
        <v>977</v>
      </c>
      <c r="K176">
        <v>3.0389556690062032E-5</v>
      </c>
      <c r="L176" t="s">
        <v>251</v>
      </c>
      <c r="N176" t="s">
        <v>419</v>
      </c>
      <c r="O176" t="s">
        <v>977</v>
      </c>
      <c r="P176">
        <v>1.8090578848900001E-4</v>
      </c>
      <c r="Q176" t="s">
        <v>251</v>
      </c>
      <c r="S176" t="s">
        <v>420</v>
      </c>
      <c r="T176" t="s">
        <v>977</v>
      </c>
      <c r="U176">
        <v>1.257013218758E-4</v>
      </c>
      <c r="V176" t="s">
        <v>251</v>
      </c>
      <c r="X176">
        <v>1.1415525114155251E-4</v>
      </c>
      <c r="Y176">
        <v>5.7678442682047593E-5</v>
      </c>
      <c r="Z176" t="s">
        <v>977</v>
      </c>
      <c r="AA176" t="s">
        <v>25</v>
      </c>
      <c r="AC176" t="s">
        <v>22</v>
      </c>
      <c r="AD176" t="s">
        <v>977</v>
      </c>
      <c r="AE176">
        <v>9.4779227563624447E-5</v>
      </c>
      <c r="AG176" t="s">
        <v>97</v>
      </c>
      <c r="AH176" t="s">
        <v>977</v>
      </c>
      <c r="AI176">
        <v>0</v>
      </c>
    </row>
    <row r="177" spans="5:35" x14ac:dyDescent="0.45">
      <c r="E177" t="s">
        <v>506</v>
      </c>
      <c r="G177" t="s">
        <v>440</v>
      </c>
      <c r="I177" t="s">
        <v>249</v>
      </c>
      <c r="J177" t="s">
        <v>978</v>
      </c>
      <c r="K177">
        <v>1.5668910155040001E-4</v>
      </c>
      <c r="L177" t="s">
        <v>251</v>
      </c>
      <c r="N177" t="s">
        <v>419</v>
      </c>
      <c r="O177" t="s">
        <v>978</v>
      </c>
      <c r="P177">
        <v>1.73136397907E-4</v>
      </c>
      <c r="Q177" t="s">
        <v>251</v>
      </c>
      <c r="S177" t="s">
        <v>420</v>
      </c>
      <c r="T177" t="s">
        <v>978</v>
      </c>
      <c r="U177">
        <v>1.2763070193580001E-4</v>
      </c>
      <c r="V177" t="s">
        <v>251</v>
      </c>
      <c r="X177">
        <v>1.1415525114155251E-4</v>
      </c>
      <c r="Y177">
        <v>1.6905750441289813E-4</v>
      </c>
      <c r="Z177" t="s">
        <v>978</v>
      </c>
      <c r="AA177" t="s">
        <v>25</v>
      </c>
      <c r="AC177" t="s">
        <v>22</v>
      </c>
      <c r="AD177" t="s">
        <v>978</v>
      </c>
      <c r="AE177">
        <v>8.9600919327666141E-5</v>
      </c>
      <c r="AG177" t="s">
        <v>97</v>
      </c>
      <c r="AH177" t="s">
        <v>978</v>
      </c>
      <c r="AI177">
        <v>0</v>
      </c>
    </row>
    <row r="178" spans="5:35" x14ac:dyDescent="0.45">
      <c r="E178" t="s">
        <v>507</v>
      </c>
      <c r="G178" t="s">
        <v>440</v>
      </c>
      <c r="I178" t="s">
        <v>249</v>
      </c>
      <c r="J178" t="s">
        <v>979</v>
      </c>
      <c r="K178">
        <v>2.259696343667E-4</v>
      </c>
      <c r="L178" t="s">
        <v>251</v>
      </c>
      <c r="N178" t="s">
        <v>419</v>
      </c>
      <c r="O178" t="s">
        <v>979</v>
      </c>
      <c r="P178">
        <v>1.646507766291E-4</v>
      </c>
      <c r="Q178" t="s">
        <v>251</v>
      </c>
      <c r="S178" t="s">
        <v>420</v>
      </c>
      <c r="T178" t="s">
        <v>979</v>
      </c>
      <c r="U178">
        <v>1.2639905672409999E-4</v>
      </c>
      <c r="V178" t="s">
        <v>251</v>
      </c>
      <c r="X178">
        <v>1.1415525114155251E-4</v>
      </c>
      <c r="Y178">
        <v>1.9060404909297337E-4</v>
      </c>
      <c r="Z178" t="s">
        <v>979</v>
      </c>
      <c r="AA178" t="s">
        <v>25</v>
      </c>
      <c r="AC178" t="s">
        <v>22</v>
      </c>
      <c r="AD178" t="s">
        <v>979</v>
      </c>
      <c r="AE178">
        <v>8.5975836776908726E-5</v>
      </c>
      <c r="AG178" t="s">
        <v>97</v>
      </c>
      <c r="AH178" t="s">
        <v>979</v>
      </c>
      <c r="AI178">
        <v>0</v>
      </c>
    </row>
    <row r="179" spans="5:35" x14ac:dyDescent="0.45">
      <c r="E179" t="s">
        <v>216</v>
      </c>
      <c r="G179" t="s">
        <v>442</v>
      </c>
      <c r="I179" t="s">
        <v>249</v>
      </c>
      <c r="J179" t="s">
        <v>980</v>
      </c>
      <c r="K179">
        <v>2.6685021218550003E-4</v>
      </c>
      <c r="L179" t="s">
        <v>251</v>
      </c>
      <c r="N179" t="s">
        <v>419</v>
      </c>
      <c r="O179" t="s">
        <v>980</v>
      </c>
      <c r="P179">
        <v>1.6897194160099999E-4</v>
      </c>
      <c r="Q179" t="s">
        <v>251</v>
      </c>
      <c r="S179" t="s">
        <v>420</v>
      </c>
      <c r="T179" t="s">
        <v>980</v>
      </c>
      <c r="U179">
        <v>1.255553522258E-4</v>
      </c>
      <c r="V179" t="s">
        <v>251</v>
      </c>
      <c r="X179">
        <v>1.1415525114155251E-4</v>
      </c>
      <c r="Y179">
        <v>1.4585353321897094E-4</v>
      </c>
      <c r="Z179" t="s">
        <v>980</v>
      </c>
      <c r="AA179" t="s">
        <v>25</v>
      </c>
      <c r="AC179" t="s">
        <v>22</v>
      </c>
      <c r="AD179" t="s">
        <v>980</v>
      </c>
      <c r="AE179">
        <v>8.5834973987182497E-5</v>
      </c>
      <c r="AG179" t="s">
        <v>97</v>
      </c>
      <c r="AH179" t="s">
        <v>980</v>
      </c>
      <c r="AI179">
        <v>0</v>
      </c>
    </row>
    <row r="180" spans="5:35" x14ac:dyDescent="0.45">
      <c r="E180" t="s">
        <v>217</v>
      </c>
      <c r="G180" t="s">
        <v>442</v>
      </c>
      <c r="I180" t="s">
        <v>249</v>
      </c>
      <c r="J180" t="s">
        <v>981</v>
      </c>
      <c r="K180">
        <v>2.9257585689619999E-4</v>
      </c>
      <c r="L180" t="s">
        <v>251</v>
      </c>
      <c r="N180" t="s">
        <v>419</v>
      </c>
      <c r="O180" t="s">
        <v>981</v>
      </c>
      <c r="P180">
        <v>1.7152436177670001E-4</v>
      </c>
      <c r="Q180" t="s">
        <v>251</v>
      </c>
      <c r="S180" t="s">
        <v>420</v>
      </c>
      <c r="T180" t="s">
        <v>981</v>
      </c>
      <c r="U180">
        <v>1.3046384729910001E-4</v>
      </c>
      <c r="V180" t="s">
        <v>251</v>
      </c>
      <c r="X180">
        <v>1.1415525114155251E-4</v>
      </c>
      <c r="Y180">
        <v>1.4452759200788939E-4</v>
      </c>
      <c r="Z180" t="s">
        <v>981</v>
      </c>
      <c r="AA180" t="s">
        <v>25</v>
      </c>
      <c r="AC180" t="s">
        <v>22</v>
      </c>
      <c r="AD180" t="s">
        <v>981</v>
      </c>
      <c r="AE180">
        <v>8.5963297854338392E-5</v>
      </c>
      <c r="AG180" t="s">
        <v>97</v>
      </c>
      <c r="AH180" t="s">
        <v>981</v>
      </c>
      <c r="AI180">
        <v>0</v>
      </c>
    </row>
    <row r="181" spans="5:35" x14ac:dyDescent="0.45">
      <c r="E181" t="s">
        <v>218</v>
      </c>
      <c r="G181" t="s">
        <v>442</v>
      </c>
      <c r="I181" t="s">
        <v>249</v>
      </c>
      <c r="J181" t="s">
        <v>982</v>
      </c>
      <c r="K181">
        <v>3.0761396167559998E-4</v>
      </c>
      <c r="L181" t="s">
        <v>251</v>
      </c>
      <c r="N181" t="s">
        <v>419</v>
      </c>
      <c r="O181" t="s">
        <v>982</v>
      </c>
      <c r="P181">
        <v>1.7446731517719999E-4</v>
      </c>
      <c r="Q181" t="s">
        <v>251</v>
      </c>
      <c r="S181" t="s">
        <v>420</v>
      </c>
      <c r="T181" t="s">
        <v>982</v>
      </c>
      <c r="U181">
        <v>1.373756377852E-4</v>
      </c>
      <c r="V181" t="s">
        <v>251</v>
      </c>
      <c r="X181">
        <v>1.1415525114155251E-4</v>
      </c>
      <c r="Y181">
        <v>1.408812536774151E-4</v>
      </c>
      <c r="Z181" t="s">
        <v>982</v>
      </c>
      <c r="AA181" t="s">
        <v>25</v>
      </c>
      <c r="AC181" t="s">
        <v>22</v>
      </c>
      <c r="AD181" t="s">
        <v>982</v>
      </c>
      <c r="AE181">
        <v>9.3207860458534574E-5</v>
      </c>
      <c r="AG181" t="s">
        <v>97</v>
      </c>
      <c r="AH181" t="s">
        <v>982</v>
      </c>
      <c r="AI181">
        <v>0</v>
      </c>
    </row>
    <row r="182" spans="5:35" x14ac:dyDescent="0.45">
      <c r="E182" t="s">
        <v>219</v>
      </c>
      <c r="G182" t="s">
        <v>442</v>
      </c>
      <c r="I182" t="s">
        <v>249</v>
      </c>
      <c r="J182" t="s">
        <v>983</v>
      </c>
      <c r="K182">
        <v>3.1325356370129998E-4</v>
      </c>
      <c r="L182" t="s">
        <v>251</v>
      </c>
      <c r="N182" t="s">
        <v>419</v>
      </c>
      <c r="O182" t="s">
        <v>983</v>
      </c>
      <c r="P182">
        <v>1.7504376396289999E-4</v>
      </c>
      <c r="Q182" t="s">
        <v>251</v>
      </c>
      <c r="S182" t="s">
        <v>420</v>
      </c>
      <c r="T182" t="s">
        <v>983</v>
      </c>
      <c r="U182">
        <v>1.3733082508289999E-4</v>
      </c>
      <c r="V182" t="s">
        <v>251</v>
      </c>
      <c r="X182">
        <v>1.1415525114155251E-4</v>
      </c>
      <c r="Y182">
        <v>1.4054976837464471E-4</v>
      </c>
      <c r="Z182" t="s">
        <v>983</v>
      </c>
      <c r="AA182" t="s">
        <v>25</v>
      </c>
      <c r="AC182" t="s">
        <v>22</v>
      </c>
      <c r="AD182" t="s">
        <v>983</v>
      </c>
      <c r="AE182">
        <v>1.0042227629144467E-4</v>
      </c>
      <c r="AG182" t="s">
        <v>97</v>
      </c>
      <c r="AH182" t="s">
        <v>983</v>
      </c>
      <c r="AI182">
        <v>0</v>
      </c>
    </row>
    <row r="183" spans="5:35" x14ac:dyDescent="0.45">
      <c r="E183" t="s">
        <v>220</v>
      </c>
      <c r="G183" t="s">
        <v>442</v>
      </c>
      <c r="I183" t="s">
        <v>249</v>
      </c>
      <c r="J183" t="s">
        <v>984</v>
      </c>
      <c r="K183">
        <v>3.1031295257749999E-4</v>
      </c>
      <c r="L183" t="s">
        <v>251</v>
      </c>
      <c r="N183" t="s">
        <v>419</v>
      </c>
      <c r="O183" t="s">
        <v>984</v>
      </c>
      <c r="P183">
        <v>1.7908465958899999E-4</v>
      </c>
      <c r="Q183" t="s">
        <v>251</v>
      </c>
      <c r="S183" t="s">
        <v>420</v>
      </c>
      <c r="T183" t="s">
        <v>984</v>
      </c>
      <c r="U183">
        <v>1.3965484814499999E-4</v>
      </c>
      <c r="V183" t="s">
        <v>251</v>
      </c>
      <c r="X183">
        <v>1.1415525114155251E-4</v>
      </c>
      <c r="Y183">
        <v>1.4253868019126702E-4</v>
      </c>
      <c r="Z183" t="s">
        <v>984</v>
      </c>
      <c r="AA183" t="s">
        <v>25</v>
      </c>
      <c r="AC183" t="s">
        <v>22</v>
      </c>
      <c r="AD183" t="s">
        <v>984</v>
      </c>
      <c r="AE183">
        <v>1.0971788648544238E-4</v>
      </c>
      <c r="AG183" t="s">
        <v>97</v>
      </c>
      <c r="AH183" t="s">
        <v>984</v>
      </c>
      <c r="AI183">
        <v>0</v>
      </c>
    </row>
    <row r="184" spans="5:35" x14ac:dyDescent="0.45">
      <c r="E184" t="s">
        <v>221</v>
      </c>
      <c r="G184" t="s">
        <v>442</v>
      </c>
      <c r="I184" t="s">
        <v>249</v>
      </c>
      <c r="J184" t="s">
        <v>985</v>
      </c>
      <c r="K184">
        <v>3.0922003783590002E-4</v>
      </c>
      <c r="L184" t="s">
        <v>251</v>
      </c>
      <c r="N184" t="s">
        <v>419</v>
      </c>
      <c r="O184" t="s">
        <v>985</v>
      </c>
      <c r="P184">
        <v>1.865203680974E-4</v>
      </c>
      <c r="Q184" t="s">
        <v>251</v>
      </c>
      <c r="S184" t="s">
        <v>420</v>
      </c>
      <c r="T184" t="s">
        <v>985</v>
      </c>
      <c r="U184">
        <v>1.5072476368180001E-4</v>
      </c>
      <c r="V184" t="s">
        <v>251</v>
      </c>
      <c r="X184">
        <v>1.1415525114155251E-4</v>
      </c>
      <c r="Y184">
        <v>1.4883690094390442E-4</v>
      </c>
      <c r="Z184" t="s">
        <v>985</v>
      </c>
      <c r="AA184" t="s">
        <v>25</v>
      </c>
      <c r="AC184" t="s">
        <v>22</v>
      </c>
      <c r="AD184" t="s">
        <v>985</v>
      </c>
      <c r="AE184">
        <v>1.175499109513377E-4</v>
      </c>
      <c r="AG184" t="s">
        <v>97</v>
      </c>
      <c r="AH184" t="s">
        <v>985</v>
      </c>
      <c r="AI184">
        <v>0</v>
      </c>
    </row>
    <row r="185" spans="5:35" x14ac:dyDescent="0.45">
      <c r="E185" t="s">
        <v>222</v>
      </c>
      <c r="G185" t="s">
        <v>442</v>
      </c>
      <c r="I185" t="s">
        <v>249</v>
      </c>
      <c r="J185" t="s">
        <v>986</v>
      </c>
      <c r="K185">
        <v>3.045115999805E-4</v>
      </c>
      <c r="L185" t="s">
        <v>251</v>
      </c>
      <c r="N185" t="s">
        <v>419</v>
      </c>
      <c r="O185" t="s">
        <v>986</v>
      </c>
      <c r="P185">
        <v>1.9067986967829999E-4</v>
      </c>
      <c r="Q185" t="s">
        <v>251</v>
      </c>
      <c r="S185" t="s">
        <v>420</v>
      </c>
      <c r="T185" t="s">
        <v>986</v>
      </c>
      <c r="U185">
        <v>1.70317603667E-4</v>
      </c>
      <c r="V185" t="s">
        <v>251</v>
      </c>
      <c r="X185">
        <v>1.1415525114155251E-4</v>
      </c>
      <c r="Y185">
        <v>1.5049432745775637E-4</v>
      </c>
      <c r="Z185" t="s">
        <v>986</v>
      </c>
      <c r="AA185" t="s">
        <v>25</v>
      </c>
      <c r="AC185" t="s">
        <v>22</v>
      </c>
      <c r="AD185" t="s">
        <v>986</v>
      </c>
      <c r="AE185">
        <v>1.1952599179130387E-4</v>
      </c>
      <c r="AG185" t="s">
        <v>97</v>
      </c>
      <c r="AH185" t="s">
        <v>986</v>
      </c>
      <c r="AI185">
        <v>0</v>
      </c>
    </row>
    <row r="186" spans="5:35" x14ac:dyDescent="0.45">
      <c r="E186" t="s">
        <v>223</v>
      </c>
      <c r="G186" t="s">
        <v>442</v>
      </c>
      <c r="I186" t="s">
        <v>249</v>
      </c>
      <c r="J186" t="s">
        <v>987</v>
      </c>
      <c r="K186">
        <v>2.911492773356E-4</v>
      </c>
      <c r="L186" t="s">
        <v>251</v>
      </c>
      <c r="N186" t="s">
        <v>419</v>
      </c>
      <c r="O186" t="s">
        <v>987</v>
      </c>
      <c r="P186">
        <v>1.9798234593460001E-4</v>
      </c>
      <c r="Q186" t="s">
        <v>251</v>
      </c>
      <c r="S186" t="s">
        <v>420</v>
      </c>
      <c r="T186" t="s">
        <v>987</v>
      </c>
      <c r="U186">
        <v>1.805509937086E-4</v>
      </c>
      <c r="V186" t="s">
        <v>251</v>
      </c>
      <c r="X186">
        <v>1.1415525114155251E-4</v>
      </c>
      <c r="Y186">
        <v>1.7237235744060203E-4</v>
      </c>
      <c r="Z186" t="s">
        <v>987</v>
      </c>
      <c r="AA186" t="s">
        <v>25</v>
      </c>
      <c r="AC186" t="s">
        <v>22</v>
      </c>
      <c r="AD186" t="s">
        <v>987</v>
      </c>
      <c r="AE186">
        <v>1.2064302304240936E-4</v>
      </c>
      <c r="AG186" t="s">
        <v>97</v>
      </c>
      <c r="AH186" t="s">
        <v>987</v>
      </c>
      <c r="AI186">
        <v>0</v>
      </c>
    </row>
    <row r="187" spans="5:35" x14ac:dyDescent="0.45">
      <c r="E187" t="s">
        <v>224</v>
      </c>
      <c r="G187" t="s">
        <v>442</v>
      </c>
      <c r="I187" t="s">
        <v>249</v>
      </c>
      <c r="J187" t="s">
        <v>988</v>
      </c>
      <c r="K187">
        <v>2.691511661882E-4</v>
      </c>
      <c r="L187" t="s">
        <v>251</v>
      </c>
      <c r="N187" t="s">
        <v>419</v>
      </c>
      <c r="O187" t="s">
        <v>988</v>
      </c>
      <c r="P187">
        <v>1.8535515147920001E-4</v>
      </c>
      <c r="Q187" t="s">
        <v>251</v>
      </c>
      <c r="S187" t="s">
        <v>420</v>
      </c>
      <c r="T187" t="s">
        <v>988</v>
      </c>
      <c r="U187">
        <v>1.6823257543949999E-4</v>
      </c>
      <c r="V187" t="s">
        <v>251</v>
      </c>
      <c r="X187">
        <v>1.1415525114155251E-4</v>
      </c>
      <c r="Y187">
        <v>2.2209515285616027E-4</v>
      </c>
      <c r="Z187" t="s">
        <v>988</v>
      </c>
      <c r="AA187" t="s">
        <v>25</v>
      </c>
      <c r="AC187" t="s">
        <v>22</v>
      </c>
      <c r="AD187" t="s">
        <v>988</v>
      </c>
      <c r="AE187">
        <v>1.2151647905294658E-4</v>
      </c>
      <c r="AG187" t="s">
        <v>97</v>
      </c>
      <c r="AH187" t="s">
        <v>988</v>
      </c>
      <c r="AI187">
        <v>0</v>
      </c>
    </row>
    <row r="188" spans="5:35" x14ac:dyDescent="0.45">
      <c r="E188" t="s">
        <v>225</v>
      </c>
      <c r="G188" t="s">
        <v>442</v>
      </c>
      <c r="I188" t="s">
        <v>249</v>
      </c>
      <c r="J188" t="s">
        <v>989</v>
      </c>
      <c r="K188">
        <v>2.3459264190519999E-4</v>
      </c>
      <c r="L188" t="s">
        <v>251</v>
      </c>
      <c r="N188" t="s">
        <v>419</v>
      </c>
      <c r="O188" t="s">
        <v>989</v>
      </c>
      <c r="P188">
        <v>1.741923626944E-4</v>
      </c>
      <c r="Q188" t="s">
        <v>251</v>
      </c>
      <c r="S188" t="s">
        <v>420</v>
      </c>
      <c r="T188" t="s">
        <v>989</v>
      </c>
      <c r="U188">
        <v>1.65568489557E-4</v>
      </c>
      <c r="V188" t="s">
        <v>251</v>
      </c>
      <c r="X188">
        <v>1.1415525114155251E-4</v>
      </c>
      <c r="Y188">
        <v>2.2209515285616027E-4</v>
      </c>
      <c r="Z188" t="s">
        <v>989</v>
      </c>
      <c r="AA188" t="s">
        <v>25</v>
      </c>
      <c r="AC188" t="s">
        <v>22</v>
      </c>
      <c r="AD188" t="s">
        <v>989</v>
      </c>
      <c r="AE188">
        <v>1.2233604437499005E-4</v>
      </c>
      <c r="AG188" t="s">
        <v>97</v>
      </c>
      <c r="AH188" t="s">
        <v>989</v>
      </c>
      <c r="AI188">
        <v>0</v>
      </c>
    </row>
    <row r="189" spans="5:35" x14ac:dyDescent="0.45">
      <c r="E189" t="s">
        <v>226</v>
      </c>
      <c r="G189" t="s">
        <v>442</v>
      </c>
      <c r="I189" t="s">
        <v>249</v>
      </c>
      <c r="J189" t="s">
        <v>990</v>
      </c>
      <c r="K189">
        <v>1.8065863303700001E-4</v>
      </c>
      <c r="L189" t="s">
        <v>251</v>
      </c>
      <c r="N189" t="s">
        <v>419</v>
      </c>
      <c r="O189" t="s">
        <v>990</v>
      </c>
      <c r="P189">
        <v>1.7074225687220001E-4</v>
      </c>
      <c r="Q189" t="s">
        <v>251</v>
      </c>
      <c r="S189" t="s">
        <v>420</v>
      </c>
      <c r="T189" t="s">
        <v>990</v>
      </c>
      <c r="U189">
        <v>1.5805233478700001E-4</v>
      </c>
      <c r="V189" t="s">
        <v>251</v>
      </c>
      <c r="X189">
        <v>1.1415525114155251E-4</v>
      </c>
      <c r="Y189">
        <v>1.7237235744060203E-4</v>
      </c>
      <c r="Z189" t="s">
        <v>990</v>
      </c>
      <c r="AA189" t="s">
        <v>25</v>
      </c>
      <c r="AC189" t="s">
        <v>22</v>
      </c>
      <c r="AD189" t="s">
        <v>990</v>
      </c>
      <c r="AE189">
        <v>1.2286321269411698E-4</v>
      </c>
      <c r="AG189" t="s">
        <v>97</v>
      </c>
      <c r="AH189" t="s">
        <v>990</v>
      </c>
      <c r="AI189">
        <v>0</v>
      </c>
    </row>
    <row r="190" spans="5:35" x14ac:dyDescent="0.45">
      <c r="E190" t="s">
        <v>227</v>
      </c>
      <c r="G190" t="s">
        <v>442</v>
      </c>
      <c r="I190" t="s">
        <v>249</v>
      </c>
      <c r="J190" t="s">
        <v>991</v>
      </c>
      <c r="K190">
        <v>8.5456769684547749E-5</v>
      </c>
      <c r="L190" t="s">
        <v>251</v>
      </c>
      <c r="N190" t="s">
        <v>419</v>
      </c>
      <c r="O190" t="s">
        <v>991</v>
      </c>
      <c r="P190">
        <v>1.808498997904E-4</v>
      </c>
      <c r="Q190" t="s">
        <v>251</v>
      </c>
      <c r="S190" t="s">
        <v>420</v>
      </c>
      <c r="T190" t="s">
        <v>991</v>
      </c>
      <c r="U190">
        <v>1.568743698601E-4</v>
      </c>
      <c r="V190" t="s">
        <v>251</v>
      </c>
      <c r="X190">
        <v>1.1415525114155251E-4</v>
      </c>
      <c r="Y190">
        <v>1.5579809230208258E-4</v>
      </c>
      <c r="Z190" t="s">
        <v>991</v>
      </c>
      <c r="AA190" t="s">
        <v>25</v>
      </c>
      <c r="AC190" t="s">
        <v>22</v>
      </c>
      <c r="AD190" t="s">
        <v>991</v>
      </c>
      <c r="AE190">
        <v>1.2343360027827354E-4</v>
      </c>
      <c r="AG190" t="s">
        <v>97</v>
      </c>
      <c r="AH190" t="s">
        <v>991</v>
      </c>
      <c r="AI190">
        <v>0</v>
      </c>
    </row>
    <row r="191" spans="5:35" x14ac:dyDescent="0.45">
      <c r="E191" t="s">
        <v>228</v>
      </c>
      <c r="G191" t="s">
        <v>442</v>
      </c>
      <c r="I191" t="s">
        <v>249</v>
      </c>
      <c r="J191" t="s">
        <v>992</v>
      </c>
      <c r="K191">
        <v>0</v>
      </c>
      <c r="L191" t="s">
        <v>251</v>
      </c>
      <c r="N191" t="s">
        <v>419</v>
      </c>
      <c r="O191" t="s">
        <v>992</v>
      </c>
      <c r="P191">
        <v>1.930232594292E-4</v>
      </c>
      <c r="Q191" t="s">
        <v>251</v>
      </c>
      <c r="S191" t="s">
        <v>420</v>
      </c>
      <c r="T191" t="s">
        <v>992</v>
      </c>
      <c r="U191">
        <v>1.64480568795E-4</v>
      </c>
      <c r="V191" t="s">
        <v>251</v>
      </c>
      <c r="X191">
        <v>1.1415525114155251E-4</v>
      </c>
      <c r="Y191">
        <v>1.093901499142282E-4</v>
      </c>
      <c r="Z191" t="s">
        <v>992</v>
      </c>
      <c r="AA191" t="s">
        <v>25</v>
      </c>
      <c r="AC191" t="s">
        <v>22</v>
      </c>
      <c r="AD191" t="s">
        <v>992</v>
      </c>
      <c r="AE191">
        <v>1.2405814533651046E-4</v>
      </c>
      <c r="AG191" t="s">
        <v>97</v>
      </c>
      <c r="AH191" t="s">
        <v>992</v>
      </c>
      <c r="AI191">
        <v>0</v>
      </c>
    </row>
    <row r="192" spans="5:35" x14ac:dyDescent="0.45">
      <c r="E192" t="s">
        <v>229</v>
      </c>
      <c r="G192" t="s">
        <v>442</v>
      </c>
      <c r="I192" t="s">
        <v>249</v>
      </c>
      <c r="J192" t="s">
        <v>993</v>
      </c>
      <c r="K192">
        <v>0</v>
      </c>
      <c r="L192" t="s">
        <v>251</v>
      </c>
      <c r="N192" t="s">
        <v>419</v>
      </c>
      <c r="O192" t="s">
        <v>993</v>
      </c>
      <c r="P192">
        <v>1.944426874832E-4</v>
      </c>
      <c r="Q192" t="s">
        <v>251</v>
      </c>
      <c r="S192" t="s">
        <v>420</v>
      </c>
      <c r="T192" t="s">
        <v>993</v>
      </c>
      <c r="U192">
        <v>1.7090609511740001E-4</v>
      </c>
      <c r="V192" t="s">
        <v>251</v>
      </c>
      <c r="X192">
        <v>1.1415525114155251E-4</v>
      </c>
      <c r="Y192">
        <v>7.9556472664893237E-5</v>
      </c>
      <c r="Z192" t="s">
        <v>993</v>
      </c>
      <c r="AA192" t="s">
        <v>25</v>
      </c>
      <c r="AC192" t="s">
        <v>22</v>
      </c>
      <c r="AD192" t="s">
        <v>993</v>
      </c>
      <c r="AE192">
        <v>1.2406508176176213E-4</v>
      </c>
      <c r="AG192" t="s">
        <v>97</v>
      </c>
      <c r="AH192" t="s">
        <v>993</v>
      </c>
      <c r="AI192">
        <v>0</v>
      </c>
    </row>
    <row r="193" spans="5:35" x14ac:dyDescent="0.45">
      <c r="E193" t="s">
        <v>230</v>
      </c>
      <c r="G193" t="s">
        <v>442</v>
      </c>
      <c r="I193" t="s">
        <v>249</v>
      </c>
      <c r="J193" t="s">
        <v>994</v>
      </c>
      <c r="K193">
        <v>0</v>
      </c>
      <c r="L193" t="s">
        <v>251</v>
      </c>
      <c r="N193" t="s">
        <v>419</v>
      </c>
      <c r="O193" t="s">
        <v>994</v>
      </c>
      <c r="P193">
        <v>1.922332257544E-4</v>
      </c>
      <c r="Q193" t="s">
        <v>251</v>
      </c>
      <c r="S193" t="s">
        <v>420</v>
      </c>
      <c r="T193" t="s">
        <v>994</v>
      </c>
      <c r="U193">
        <v>1.771454238058E-4</v>
      </c>
      <c r="V193" t="s">
        <v>251</v>
      </c>
      <c r="X193">
        <v>1.1415525114155251E-4</v>
      </c>
      <c r="Y193">
        <v>5.6352501470966035E-5</v>
      </c>
      <c r="Z193" t="s">
        <v>994</v>
      </c>
      <c r="AA193" t="s">
        <v>25</v>
      </c>
      <c r="AC193" t="s">
        <v>22</v>
      </c>
      <c r="AD193" t="s">
        <v>994</v>
      </c>
      <c r="AE193">
        <v>1.24051742482432E-4</v>
      </c>
      <c r="AG193" t="s">
        <v>97</v>
      </c>
      <c r="AH193" t="s">
        <v>994</v>
      </c>
      <c r="AI193">
        <v>0</v>
      </c>
    </row>
    <row r="194" spans="5:35" x14ac:dyDescent="0.45">
      <c r="E194" t="s">
        <v>231</v>
      </c>
      <c r="G194" t="s">
        <v>442</v>
      </c>
      <c r="I194" t="s">
        <v>249</v>
      </c>
      <c r="J194" t="s">
        <v>995</v>
      </c>
      <c r="K194">
        <v>0</v>
      </c>
      <c r="L194" t="s">
        <v>251</v>
      </c>
      <c r="N194" t="s">
        <v>419</v>
      </c>
      <c r="O194" t="s">
        <v>995</v>
      </c>
      <c r="P194">
        <v>1.89840204128E-4</v>
      </c>
      <c r="Q194" t="s">
        <v>251</v>
      </c>
      <c r="S194" t="s">
        <v>420</v>
      </c>
      <c r="T194" t="s">
        <v>995</v>
      </c>
      <c r="U194">
        <v>1.843163645453E-4</v>
      </c>
      <c r="V194" t="s">
        <v>251</v>
      </c>
      <c r="X194">
        <v>1.1415525114155251E-4</v>
      </c>
      <c r="Y194">
        <v>2.9833677249334962E-5</v>
      </c>
      <c r="Z194" t="s">
        <v>995</v>
      </c>
      <c r="AA194" t="s">
        <v>25</v>
      </c>
      <c r="AC194" t="s">
        <v>22</v>
      </c>
      <c r="AD194" t="s">
        <v>995</v>
      </c>
      <c r="AE194">
        <v>1.2716913206188449E-4</v>
      </c>
      <c r="AG194" t="s">
        <v>97</v>
      </c>
      <c r="AH194" t="s">
        <v>995</v>
      </c>
      <c r="AI194">
        <v>0</v>
      </c>
    </row>
    <row r="195" spans="5:35" x14ac:dyDescent="0.45">
      <c r="E195" t="s">
        <v>232</v>
      </c>
      <c r="G195" t="s">
        <v>442</v>
      </c>
      <c r="I195" t="s">
        <v>249</v>
      </c>
      <c r="J195" t="s">
        <v>996</v>
      </c>
      <c r="K195">
        <v>0</v>
      </c>
      <c r="L195" t="s">
        <v>251</v>
      </c>
      <c r="N195" t="s">
        <v>419</v>
      </c>
      <c r="O195" t="s">
        <v>996</v>
      </c>
      <c r="P195">
        <v>1.9194882854649999E-4</v>
      </c>
      <c r="Q195" t="s">
        <v>251</v>
      </c>
      <c r="S195" t="s">
        <v>420</v>
      </c>
      <c r="T195" t="s">
        <v>996</v>
      </c>
      <c r="U195">
        <v>1.886618492409E-4</v>
      </c>
      <c r="V195" t="s">
        <v>251</v>
      </c>
      <c r="X195">
        <v>1.1415525114155251E-4</v>
      </c>
      <c r="Y195">
        <v>2.1546544680075254E-5</v>
      </c>
      <c r="Z195" t="s">
        <v>996</v>
      </c>
      <c r="AA195" t="s">
        <v>25</v>
      </c>
      <c r="AC195" t="s">
        <v>22</v>
      </c>
      <c r="AD195" t="s">
        <v>996</v>
      </c>
      <c r="AE195">
        <v>1.2548731572394108E-4</v>
      </c>
      <c r="AG195" t="s">
        <v>97</v>
      </c>
      <c r="AH195" t="s">
        <v>996</v>
      </c>
      <c r="AI195">
        <v>0</v>
      </c>
    </row>
    <row r="196" spans="5:35" x14ac:dyDescent="0.45">
      <c r="E196" t="s">
        <v>233</v>
      </c>
      <c r="G196" t="s">
        <v>442</v>
      </c>
      <c r="I196" t="s">
        <v>249</v>
      </c>
      <c r="J196" t="s">
        <v>997</v>
      </c>
      <c r="K196">
        <v>0</v>
      </c>
      <c r="L196" t="s">
        <v>251</v>
      </c>
      <c r="N196" t="s">
        <v>419</v>
      </c>
      <c r="O196" t="s">
        <v>997</v>
      </c>
      <c r="P196">
        <v>1.9248828625909999E-4</v>
      </c>
      <c r="Q196" t="s">
        <v>251</v>
      </c>
      <c r="S196" t="s">
        <v>420</v>
      </c>
      <c r="T196" t="s">
        <v>997</v>
      </c>
      <c r="U196">
        <v>1.8334810256760001E-4</v>
      </c>
      <c r="V196" t="s">
        <v>251</v>
      </c>
      <c r="X196">
        <v>1.1415525114155251E-4</v>
      </c>
      <c r="Y196">
        <v>1.4916838624667481E-5</v>
      </c>
      <c r="Z196" t="s">
        <v>997</v>
      </c>
      <c r="AA196" t="s">
        <v>25</v>
      </c>
      <c r="AC196" t="s">
        <v>22</v>
      </c>
      <c r="AD196" t="s">
        <v>997</v>
      </c>
      <c r="AE196">
        <v>1.2137268162176773E-4</v>
      </c>
      <c r="AG196" t="s">
        <v>97</v>
      </c>
      <c r="AH196" t="s">
        <v>997</v>
      </c>
      <c r="AI196">
        <v>0</v>
      </c>
    </row>
    <row r="197" spans="5:35" x14ac:dyDescent="0.45">
      <c r="E197" t="s">
        <v>234</v>
      </c>
      <c r="G197" t="s">
        <v>442</v>
      </c>
      <c r="I197" t="s">
        <v>249</v>
      </c>
      <c r="J197" t="s">
        <v>998</v>
      </c>
      <c r="K197">
        <v>0</v>
      </c>
      <c r="L197" t="s">
        <v>251</v>
      </c>
      <c r="N197" t="s">
        <v>419</v>
      </c>
      <c r="O197" t="s">
        <v>998</v>
      </c>
      <c r="P197">
        <v>1.8971413807749999E-4</v>
      </c>
      <c r="Q197" t="s">
        <v>251</v>
      </c>
      <c r="S197" t="s">
        <v>420</v>
      </c>
      <c r="T197" t="s">
        <v>998</v>
      </c>
      <c r="U197">
        <v>1.7873391322550001E-4</v>
      </c>
      <c r="V197" t="s">
        <v>251</v>
      </c>
      <c r="X197">
        <v>1.1415525114155251E-4</v>
      </c>
      <c r="Y197">
        <v>1.6574265138519424E-5</v>
      </c>
      <c r="Z197" t="s">
        <v>998</v>
      </c>
      <c r="AA197" t="s">
        <v>25</v>
      </c>
      <c r="AC197" t="s">
        <v>22</v>
      </c>
      <c r="AD197" t="s">
        <v>998</v>
      </c>
      <c r="AE197">
        <v>1.1738663817233687E-4</v>
      </c>
      <c r="AG197" t="s">
        <v>97</v>
      </c>
      <c r="AH197" t="s">
        <v>998</v>
      </c>
      <c r="AI197">
        <v>0</v>
      </c>
    </row>
    <row r="198" spans="5:35" x14ac:dyDescent="0.45">
      <c r="E198" t="s">
        <v>235</v>
      </c>
      <c r="G198" t="s">
        <v>442</v>
      </c>
      <c r="I198" t="s">
        <v>249</v>
      </c>
      <c r="J198" t="s">
        <v>999</v>
      </c>
      <c r="K198">
        <v>0</v>
      </c>
      <c r="L198" t="s">
        <v>251</v>
      </c>
      <c r="N198" t="s">
        <v>419</v>
      </c>
      <c r="O198" t="s">
        <v>999</v>
      </c>
      <c r="P198">
        <v>1.87923552849E-4</v>
      </c>
      <c r="Q198" t="s">
        <v>251</v>
      </c>
      <c r="S198" t="s">
        <v>420</v>
      </c>
      <c r="T198" t="s">
        <v>999</v>
      </c>
      <c r="U198">
        <v>1.8392263851689999E-4</v>
      </c>
      <c r="V198" t="s">
        <v>251</v>
      </c>
      <c r="X198">
        <v>1.1415525114155251E-4</v>
      </c>
      <c r="Y198">
        <v>1.4585353321897093E-5</v>
      </c>
      <c r="Z198" t="s">
        <v>999</v>
      </c>
      <c r="AA198" t="s">
        <v>25</v>
      </c>
      <c r="AC198" t="s">
        <v>22</v>
      </c>
      <c r="AD198" t="s">
        <v>999</v>
      </c>
      <c r="AE198">
        <v>1.0620538745223129E-4</v>
      </c>
      <c r="AG198" t="s">
        <v>97</v>
      </c>
      <c r="AH198" t="s">
        <v>999</v>
      </c>
      <c r="AI198">
        <v>0</v>
      </c>
    </row>
    <row r="199" spans="5:35" x14ac:dyDescent="0.45">
      <c r="E199" t="s">
        <v>236</v>
      </c>
      <c r="G199" t="s">
        <v>442</v>
      </c>
      <c r="I199" t="s">
        <v>249</v>
      </c>
      <c r="J199" t="s">
        <v>1000</v>
      </c>
      <c r="K199">
        <v>0</v>
      </c>
      <c r="L199" t="s">
        <v>251</v>
      </c>
      <c r="N199" t="s">
        <v>419</v>
      </c>
      <c r="O199" t="s">
        <v>1000</v>
      </c>
      <c r="P199">
        <v>1.8585998621099999E-4</v>
      </c>
      <c r="Q199" t="s">
        <v>251</v>
      </c>
      <c r="S199" t="s">
        <v>420</v>
      </c>
      <c r="T199" t="s">
        <v>1000</v>
      </c>
      <c r="U199">
        <v>1.602485532529E-4</v>
      </c>
      <c r="V199" t="s">
        <v>251</v>
      </c>
      <c r="X199">
        <v>1.1415525114155251E-4</v>
      </c>
      <c r="Y199">
        <v>2.1215059377304864E-5</v>
      </c>
      <c r="Z199" t="s">
        <v>1000</v>
      </c>
      <c r="AA199" t="s">
        <v>25</v>
      </c>
      <c r="AC199" t="s">
        <v>22</v>
      </c>
      <c r="AD199" t="s">
        <v>1000</v>
      </c>
      <c r="AE199">
        <v>1.0158226002199319E-4</v>
      </c>
      <c r="AG199" t="s">
        <v>97</v>
      </c>
      <c r="AH199" t="s">
        <v>1000</v>
      </c>
      <c r="AI199">
        <v>0</v>
      </c>
    </row>
    <row r="200" spans="5:35" x14ac:dyDescent="0.45">
      <c r="E200" t="s">
        <v>237</v>
      </c>
      <c r="G200" t="s">
        <v>442</v>
      </c>
      <c r="I200" t="s">
        <v>249</v>
      </c>
      <c r="J200" t="s">
        <v>1001</v>
      </c>
      <c r="K200">
        <v>3.0389178660796891E-5</v>
      </c>
      <c r="L200" t="s">
        <v>251</v>
      </c>
      <c r="N200" t="s">
        <v>419</v>
      </c>
      <c r="O200" t="s">
        <v>1001</v>
      </c>
      <c r="P200">
        <v>1.843044367736E-4</v>
      </c>
      <c r="Q200" t="s">
        <v>251</v>
      </c>
      <c r="S200" t="s">
        <v>420</v>
      </c>
      <c r="T200" t="s">
        <v>1001</v>
      </c>
      <c r="U200">
        <v>1.576773661686E-4</v>
      </c>
      <c r="V200" t="s">
        <v>251</v>
      </c>
      <c r="X200">
        <v>1.1415525114155251E-4</v>
      </c>
      <c r="Y200">
        <v>5.7678442682047593E-5</v>
      </c>
      <c r="Z200" t="s">
        <v>1001</v>
      </c>
      <c r="AA200" t="s">
        <v>25</v>
      </c>
      <c r="AC200" t="s">
        <v>22</v>
      </c>
      <c r="AD200" t="s">
        <v>1001</v>
      </c>
      <c r="AE200">
        <v>9.2752724247790398E-5</v>
      </c>
      <c r="AG200" t="s">
        <v>97</v>
      </c>
      <c r="AH200" t="s">
        <v>1001</v>
      </c>
      <c r="AI200">
        <v>0</v>
      </c>
    </row>
    <row r="201" spans="5:35" x14ac:dyDescent="0.45">
      <c r="E201" t="s">
        <v>238</v>
      </c>
      <c r="G201" t="s">
        <v>442</v>
      </c>
      <c r="I201" t="s">
        <v>249</v>
      </c>
      <c r="J201" t="s">
        <v>1002</v>
      </c>
      <c r="K201">
        <v>1.5503088810369999E-4</v>
      </c>
      <c r="L201" t="s">
        <v>251</v>
      </c>
      <c r="N201" t="s">
        <v>419</v>
      </c>
      <c r="O201" t="s">
        <v>1002</v>
      </c>
      <c r="P201">
        <v>1.7784329147299999E-4</v>
      </c>
      <c r="Q201" t="s">
        <v>251</v>
      </c>
      <c r="S201" t="s">
        <v>420</v>
      </c>
      <c r="T201" t="s">
        <v>1002</v>
      </c>
      <c r="U201">
        <v>1.4336747406819999E-4</v>
      </c>
      <c r="V201" t="s">
        <v>251</v>
      </c>
      <c r="X201">
        <v>1.1415525114155251E-4</v>
      </c>
      <c r="Y201">
        <v>1.6905750441289813E-4</v>
      </c>
      <c r="Z201" t="s">
        <v>1002</v>
      </c>
      <c r="AA201" t="s">
        <v>25</v>
      </c>
      <c r="AC201" t="s">
        <v>22</v>
      </c>
      <c r="AD201" t="s">
        <v>1002</v>
      </c>
      <c r="AE201">
        <v>8.8667703345729907E-5</v>
      </c>
      <c r="AG201" t="s">
        <v>97</v>
      </c>
      <c r="AH201" t="s">
        <v>1002</v>
      </c>
      <c r="AI201">
        <v>0</v>
      </c>
    </row>
    <row r="202" spans="5:35" x14ac:dyDescent="0.45">
      <c r="E202" t="s">
        <v>239</v>
      </c>
      <c r="G202" t="s">
        <v>442</v>
      </c>
      <c r="I202" t="s">
        <v>249</v>
      </c>
      <c r="J202" t="s">
        <v>1003</v>
      </c>
      <c r="K202">
        <v>2.2365715138730001E-4</v>
      </c>
      <c r="L202" t="s">
        <v>251</v>
      </c>
      <c r="N202" t="s">
        <v>419</v>
      </c>
      <c r="O202" t="s">
        <v>1003</v>
      </c>
      <c r="P202">
        <v>1.7248115963380001E-4</v>
      </c>
      <c r="Q202" t="s">
        <v>251</v>
      </c>
      <c r="S202" t="s">
        <v>420</v>
      </c>
      <c r="T202" t="s">
        <v>1003</v>
      </c>
      <c r="U202">
        <v>1.611538688948E-4</v>
      </c>
      <c r="V202" t="s">
        <v>251</v>
      </c>
      <c r="X202">
        <v>1.1415525114155251E-4</v>
      </c>
      <c r="Y202">
        <v>1.9060404909297337E-4</v>
      </c>
      <c r="Z202" t="s">
        <v>1003</v>
      </c>
      <c r="AA202" t="s">
        <v>25</v>
      </c>
      <c r="AC202" t="s">
        <v>22</v>
      </c>
      <c r="AD202" t="s">
        <v>1003</v>
      </c>
      <c r="AE202">
        <v>8.4544532104785237E-5</v>
      </c>
      <c r="AG202" t="s">
        <v>97</v>
      </c>
      <c r="AH202" t="s">
        <v>1003</v>
      </c>
      <c r="AI202">
        <v>0</v>
      </c>
    </row>
    <row r="203" spans="5:35" x14ac:dyDescent="0.45">
      <c r="E203" t="s">
        <v>852</v>
      </c>
      <c r="G203" t="s">
        <v>444</v>
      </c>
      <c r="I203" t="s">
        <v>249</v>
      </c>
      <c r="J203" t="s">
        <v>1004</v>
      </c>
      <c r="K203">
        <v>2.6401529238830003E-4</v>
      </c>
      <c r="L203" t="s">
        <v>251</v>
      </c>
      <c r="N203" t="s">
        <v>419</v>
      </c>
      <c r="O203" t="s">
        <v>1004</v>
      </c>
      <c r="P203">
        <v>1.749837306695E-4</v>
      </c>
      <c r="Q203" t="s">
        <v>251</v>
      </c>
      <c r="S203" t="s">
        <v>420</v>
      </c>
      <c r="T203" t="s">
        <v>1004</v>
      </c>
      <c r="U203">
        <v>1.6052909904700001E-4</v>
      </c>
      <c r="V203" t="s">
        <v>251</v>
      </c>
      <c r="X203">
        <v>1.1415525114155251E-4</v>
      </c>
      <c r="Y203">
        <v>1.4585353321897094E-4</v>
      </c>
      <c r="Z203" t="s">
        <v>1004</v>
      </c>
      <c r="AA203" t="s">
        <v>25</v>
      </c>
      <c r="AC203" t="s">
        <v>22</v>
      </c>
      <c r="AD203" t="s">
        <v>1004</v>
      </c>
      <c r="AE203">
        <v>8.5226969635314952E-5</v>
      </c>
      <c r="AG203" t="s">
        <v>97</v>
      </c>
      <c r="AH203" t="s">
        <v>1004</v>
      </c>
      <c r="AI203">
        <v>0</v>
      </c>
    </row>
    <row r="204" spans="5:35" x14ac:dyDescent="0.45">
      <c r="E204" t="s">
        <v>853</v>
      </c>
      <c r="G204" t="s">
        <v>444</v>
      </c>
      <c r="I204" t="s">
        <v>249</v>
      </c>
      <c r="J204" t="s">
        <v>1005</v>
      </c>
      <c r="K204">
        <v>2.8964299738979998E-4</v>
      </c>
      <c r="L204" t="s">
        <v>251</v>
      </c>
      <c r="N204" t="s">
        <v>419</v>
      </c>
      <c r="O204" t="s">
        <v>1005</v>
      </c>
      <c r="P204">
        <v>1.7408388211139999E-4</v>
      </c>
      <c r="Q204" t="s">
        <v>251</v>
      </c>
      <c r="S204" t="s">
        <v>420</v>
      </c>
      <c r="T204" t="s">
        <v>1005</v>
      </c>
      <c r="U204">
        <v>1.4951068730329999E-4</v>
      </c>
      <c r="V204" t="s">
        <v>251</v>
      </c>
      <c r="X204">
        <v>1.1415525114155251E-4</v>
      </c>
      <c r="Y204">
        <v>1.4452759200788939E-4</v>
      </c>
      <c r="Z204" t="s">
        <v>1005</v>
      </c>
      <c r="AA204" t="s">
        <v>25</v>
      </c>
      <c r="AC204" t="s">
        <v>22</v>
      </c>
      <c r="AD204" t="s">
        <v>1005</v>
      </c>
      <c r="AE204">
        <v>8.6269034136585076E-5</v>
      </c>
      <c r="AG204" t="s">
        <v>97</v>
      </c>
      <c r="AH204" t="s">
        <v>1005</v>
      </c>
      <c r="AI204">
        <v>0</v>
      </c>
    </row>
    <row r="205" spans="5:35" x14ac:dyDescent="0.45">
      <c r="E205" t="s">
        <v>854</v>
      </c>
      <c r="G205" t="s">
        <v>444</v>
      </c>
      <c r="I205" t="s">
        <v>249</v>
      </c>
      <c r="J205" t="s">
        <v>1006</v>
      </c>
      <c r="K205">
        <v>3.0513321181689998E-4</v>
      </c>
      <c r="L205" t="s">
        <v>251</v>
      </c>
      <c r="N205" t="s">
        <v>419</v>
      </c>
      <c r="O205" t="s">
        <v>1006</v>
      </c>
      <c r="P205">
        <v>1.714426842366E-4</v>
      </c>
      <c r="Q205" t="s">
        <v>251</v>
      </c>
      <c r="S205" t="s">
        <v>420</v>
      </c>
      <c r="T205" t="s">
        <v>1006</v>
      </c>
      <c r="U205">
        <v>1.3290277176659999E-4</v>
      </c>
      <c r="V205" t="s">
        <v>251</v>
      </c>
      <c r="X205">
        <v>1.1415525114155251E-4</v>
      </c>
      <c r="Y205">
        <v>1.408812536774151E-4</v>
      </c>
      <c r="Z205" t="s">
        <v>1006</v>
      </c>
      <c r="AA205" t="s">
        <v>25</v>
      </c>
      <c r="AC205" t="s">
        <v>22</v>
      </c>
      <c r="AD205" t="s">
        <v>1006</v>
      </c>
      <c r="AE205">
        <v>9.3513596740781271E-5</v>
      </c>
      <c r="AG205" t="s">
        <v>97</v>
      </c>
      <c r="AH205" t="s">
        <v>1006</v>
      </c>
      <c r="AI205">
        <v>0</v>
      </c>
    </row>
    <row r="206" spans="5:35" x14ac:dyDescent="0.45">
      <c r="E206" t="s">
        <v>855</v>
      </c>
      <c r="G206" t="s">
        <v>444</v>
      </c>
      <c r="I206" t="s">
        <v>249</v>
      </c>
      <c r="J206" t="s">
        <v>1007</v>
      </c>
      <c r="K206">
        <v>3.1109449933779999E-4</v>
      </c>
      <c r="L206" t="s">
        <v>251</v>
      </c>
      <c r="N206" t="s">
        <v>419</v>
      </c>
      <c r="O206" t="s">
        <v>1007</v>
      </c>
      <c r="P206">
        <v>1.6938547693269999E-4</v>
      </c>
      <c r="Q206" t="s">
        <v>251</v>
      </c>
      <c r="S206" t="s">
        <v>420</v>
      </c>
      <c r="T206" t="s">
        <v>1007</v>
      </c>
      <c r="U206">
        <v>1.207592378768E-4</v>
      </c>
      <c r="V206" t="s">
        <v>251</v>
      </c>
      <c r="X206">
        <v>1.1415525114155251E-4</v>
      </c>
      <c r="Y206">
        <v>1.4054976837464471E-4</v>
      </c>
      <c r="Z206" t="s">
        <v>1007</v>
      </c>
      <c r="AA206" t="s">
        <v>25</v>
      </c>
      <c r="AC206" t="s">
        <v>22</v>
      </c>
      <c r="AD206" t="s">
        <v>1007</v>
      </c>
      <c r="AE206">
        <v>1.0062796797871534E-4</v>
      </c>
      <c r="AG206" t="s">
        <v>97</v>
      </c>
      <c r="AH206" t="s">
        <v>1007</v>
      </c>
      <c r="AI206">
        <v>0</v>
      </c>
    </row>
    <row r="207" spans="5:35" x14ac:dyDescent="0.45">
      <c r="E207" t="s">
        <v>856</v>
      </c>
      <c r="G207" t="s">
        <v>444</v>
      </c>
      <c r="I207" t="s">
        <v>249</v>
      </c>
      <c r="J207" t="s">
        <v>1008</v>
      </c>
      <c r="K207">
        <v>3.0845554959910002E-4</v>
      </c>
      <c r="L207" t="s">
        <v>251</v>
      </c>
      <c r="N207" t="s">
        <v>419</v>
      </c>
      <c r="O207" t="s">
        <v>1008</v>
      </c>
      <c r="P207">
        <v>1.6965671343169999E-4</v>
      </c>
      <c r="Q207" t="s">
        <v>251</v>
      </c>
      <c r="S207" t="s">
        <v>420</v>
      </c>
      <c r="T207" t="s">
        <v>1008</v>
      </c>
      <c r="U207">
        <v>1.167181582431E-4</v>
      </c>
      <c r="V207" t="s">
        <v>251</v>
      </c>
      <c r="X207">
        <v>1.1415525114155251E-4</v>
      </c>
      <c r="Y207">
        <v>1.4253868019126702E-4</v>
      </c>
      <c r="Z207" t="s">
        <v>1008</v>
      </c>
      <c r="AA207" t="s">
        <v>25</v>
      </c>
      <c r="AC207" t="s">
        <v>22</v>
      </c>
      <c r="AD207" t="s">
        <v>1008</v>
      </c>
      <c r="AE207">
        <v>1.101153970094804E-4</v>
      </c>
      <c r="AG207" t="s">
        <v>97</v>
      </c>
      <c r="AH207" t="s">
        <v>1008</v>
      </c>
      <c r="AI207">
        <v>0</v>
      </c>
    </row>
    <row r="208" spans="5:35" x14ac:dyDescent="0.45">
      <c r="E208" t="s">
        <v>857</v>
      </c>
      <c r="G208" t="s">
        <v>444</v>
      </c>
      <c r="I208" t="s">
        <v>249</v>
      </c>
      <c r="J208" t="s">
        <v>1009</v>
      </c>
      <c r="K208">
        <v>3.080583804125E-4</v>
      </c>
      <c r="L208" t="s">
        <v>251</v>
      </c>
      <c r="N208" t="s">
        <v>419</v>
      </c>
      <c r="O208" t="s">
        <v>1009</v>
      </c>
      <c r="P208">
        <v>1.717550122953E-4</v>
      </c>
      <c r="Q208" t="s">
        <v>251</v>
      </c>
      <c r="S208" t="s">
        <v>420</v>
      </c>
      <c r="T208" t="s">
        <v>1009</v>
      </c>
      <c r="U208">
        <v>1.200877520326E-4</v>
      </c>
      <c r="V208" t="s">
        <v>251</v>
      </c>
      <c r="X208">
        <v>1.1415525114155251E-4</v>
      </c>
      <c r="Y208">
        <v>1.4883690094390442E-4</v>
      </c>
      <c r="Z208" t="s">
        <v>1009</v>
      </c>
      <c r="AA208" t="s">
        <v>25</v>
      </c>
      <c r="AC208" t="s">
        <v>22</v>
      </c>
      <c r="AD208" t="s">
        <v>1009</v>
      </c>
      <c r="AE208">
        <v>1.1646275968593173E-4</v>
      </c>
      <c r="AG208" t="s">
        <v>97</v>
      </c>
      <c r="AH208" t="s">
        <v>1009</v>
      </c>
      <c r="AI208">
        <v>0</v>
      </c>
    </row>
    <row r="209" spans="5:35" x14ac:dyDescent="0.45">
      <c r="E209" t="s">
        <v>858</v>
      </c>
      <c r="G209" t="s">
        <v>444</v>
      </c>
      <c r="I209" t="s">
        <v>249</v>
      </c>
      <c r="J209" t="s">
        <v>1010</v>
      </c>
      <c r="K209">
        <v>3.0284705151040003E-4</v>
      </c>
      <c r="L209" t="s">
        <v>251</v>
      </c>
      <c r="N209" t="s">
        <v>419</v>
      </c>
      <c r="O209" t="s">
        <v>1010</v>
      </c>
      <c r="P209">
        <v>1.7657343790119999E-4</v>
      </c>
      <c r="Q209" t="s">
        <v>251</v>
      </c>
      <c r="S209" t="s">
        <v>420</v>
      </c>
      <c r="T209" t="s">
        <v>1010</v>
      </c>
      <c r="U209">
        <v>1.264957121719E-4</v>
      </c>
      <c r="V209" t="s">
        <v>251</v>
      </c>
      <c r="X209">
        <v>1.1415525114155251E-4</v>
      </c>
      <c r="Y209">
        <v>1.5049432745775637E-4</v>
      </c>
      <c r="Z209" t="s">
        <v>1010</v>
      </c>
      <c r="AA209" t="s">
        <v>25</v>
      </c>
      <c r="AC209" t="s">
        <v>22</v>
      </c>
      <c r="AD209" t="s">
        <v>1010</v>
      </c>
      <c r="AE209">
        <v>1.1862372293741355E-4</v>
      </c>
      <c r="AG209" t="s">
        <v>97</v>
      </c>
      <c r="AH209" t="s">
        <v>1010</v>
      </c>
      <c r="AI209">
        <v>0</v>
      </c>
    </row>
    <row r="210" spans="5:35" x14ac:dyDescent="0.45">
      <c r="E210" t="s">
        <v>859</v>
      </c>
      <c r="G210" t="s">
        <v>444</v>
      </c>
      <c r="I210" t="s">
        <v>249</v>
      </c>
      <c r="J210" t="s">
        <v>1011</v>
      </c>
      <c r="K210">
        <v>2.8989489716169998E-4</v>
      </c>
      <c r="L210" t="s">
        <v>251</v>
      </c>
      <c r="N210" t="s">
        <v>419</v>
      </c>
      <c r="O210" t="s">
        <v>1011</v>
      </c>
      <c r="P210">
        <v>1.777124269582E-4</v>
      </c>
      <c r="Q210" t="s">
        <v>251</v>
      </c>
      <c r="S210" t="s">
        <v>420</v>
      </c>
      <c r="T210" t="s">
        <v>1011</v>
      </c>
      <c r="U210">
        <v>1.3694736540450001E-4</v>
      </c>
      <c r="V210" t="s">
        <v>251</v>
      </c>
      <c r="X210">
        <v>1.1415525114155251E-4</v>
      </c>
      <c r="Y210">
        <v>1.7237235744060203E-4</v>
      </c>
      <c r="Z210" t="s">
        <v>1011</v>
      </c>
      <c r="AA210" t="s">
        <v>25</v>
      </c>
      <c r="AC210" t="s">
        <v>22</v>
      </c>
      <c r="AD210" t="s">
        <v>1011</v>
      </c>
      <c r="AE210">
        <v>1.1921358586939212E-4</v>
      </c>
      <c r="AG210" t="s">
        <v>97</v>
      </c>
      <c r="AH210" t="s">
        <v>1011</v>
      </c>
      <c r="AI210">
        <v>0</v>
      </c>
    </row>
    <row r="211" spans="5:35" x14ac:dyDescent="0.45">
      <c r="E211" t="s">
        <v>860</v>
      </c>
      <c r="G211" t="s">
        <v>444</v>
      </c>
      <c r="I211" t="s">
        <v>249</v>
      </c>
      <c r="J211" t="s">
        <v>1012</v>
      </c>
      <c r="K211">
        <v>2.672070258053E-4</v>
      </c>
      <c r="L211" t="s">
        <v>251</v>
      </c>
      <c r="N211" t="s">
        <v>419</v>
      </c>
      <c r="O211" t="s">
        <v>1012</v>
      </c>
      <c r="P211">
        <v>1.7947203211000001E-4</v>
      </c>
      <c r="Q211" t="s">
        <v>251</v>
      </c>
      <c r="S211" t="s">
        <v>420</v>
      </c>
      <c r="T211" t="s">
        <v>1012</v>
      </c>
      <c r="U211">
        <v>1.381803695799E-4</v>
      </c>
      <c r="V211" t="s">
        <v>251</v>
      </c>
      <c r="X211">
        <v>1.1415525114155251E-4</v>
      </c>
      <c r="Y211">
        <v>2.2209515285616027E-4</v>
      </c>
      <c r="Z211" t="s">
        <v>1012</v>
      </c>
      <c r="AA211" t="s">
        <v>25</v>
      </c>
      <c r="AC211" t="s">
        <v>22</v>
      </c>
      <c r="AD211" t="s">
        <v>1012</v>
      </c>
      <c r="AE211">
        <v>1.2023137288228139E-4</v>
      </c>
      <c r="AG211" t="s">
        <v>97</v>
      </c>
      <c r="AH211" t="s">
        <v>1012</v>
      </c>
      <c r="AI211">
        <v>0</v>
      </c>
    </row>
    <row r="212" spans="5:35" x14ac:dyDescent="0.45">
      <c r="E212" t="s">
        <v>861</v>
      </c>
      <c r="G212" t="s">
        <v>444</v>
      </c>
      <c r="I212" t="s">
        <v>249</v>
      </c>
      <c r="J212" t="s">
        <v>1013</v>
      </c>
      <c r="K212">
        <v>2.3274880556030001E-4</v>
      </c>
      <c r="L212" t="s">
        <v>251</v>
      </c>
      <c r="N212" t="s">
        <v>419</v>
      </c>
      <c r="O212" t="s">
        <v>1013</v>
      </c>
      <c r="P212">
        <v>1.759445179644E-4</v>
      </c>
      <c r="Q212" t="s">
        <v>251</v>
      </c>
      <c r="S212" t="s">
        <v>420</v>
      </c>
      <c r="T212" t="s">
        <v>1013</v>
      </c>
      <c r="U212">
        <v>1.405046211668E-4</v>
      </c>
      <c r="V212" t="s">
        <v>251</v>
      </c>
      <c r="X212">
        <v>1.1415525114155251E-4</v>
      </c>
      <c r="Y212">
        <v>2.2209515285616027E-4</v>
      </c>
      <c r="Z212" t="s">
        <v>1013</v>
      </c>
      <c r="AA212" t="s">
        <v>25</v>
      </c>
      <c r="AC212" t="s">
        <v>22</v>
      </c>
      <c r="AD212" t="s">
        <v>1013</v>
      </c>
      <c r="AE212">
        <v>1.2110056032343297E-4</v>
      </c>
      <c r="AG212" t="s">
        <v>97</v>
      </c>
      <c r="AH212" t="s">
        <v>1013</v>
      </c>
      <c r="AI212">
        <v>0</v>
      </c>
    </row>
    <row r="213" spans="5:35" x14ac:dyDescent="0.45">
      <c r="E213" t="s">
        <v>862</v>
      </c>
      <c r="G213" t="s">
        <v>444</v>
      </c>
      <c r="I213" t="s">
        <v>249</v>
      </c>
      <c r="J213" t="s">
        <v>1014</v>
      </c>
      <c r="K213">
        <v>1.788546464087E-4</v>
      </c>
      <c r="L213" t="s">
        <v>251</v>
      </c>
      <c r="N213" t="s">
        <v>419</v>
      </c>
      <c r="O213" t="s">
        <v>1014</v>
      </c>
      <c r="P213">
        <v>1.7921954008669999E-4</v>
      </c>
      <c r="Q213" t="s">
        <v>251</v>
      </c>
      <c r="S213" t="s">
        <v>420</v>
      </c>
      <c r="T213" t="s">
        <v>1014</v>
      </c>
      <c r="U213">
        <v>1.470203891752E-4</v>
      </c>
      <c r="V213" t="s">
        <v>251</v>
      </c>
      <c r="X213">
        <v>1.1415525114155251E-4</v>
      </c>
      <c r="Y213">
        <v>1.7237235744060203E-4</v>
      </c>
      <c r="Z213" t="s">
        <v>1014</v>
      </c>
      <c r="AA213" t="s">
        <v>25</v>
      </c>
      <c r="AC213" t="s">
        <v>22</v>
      </c>
      <c r="AD213" t="s">
        <v>1014</v>
      </c>
      <c r="AE213">
        <v>1.2173497644837419E-4</v>
      </c>
      <c r="AG213" t="s">
        <v>97</v>
      </c>
      <c r="AH213" t="s">
        <v>1014</v>
      </c>
      <c r="AI213">
        <v>0</v>
      </c>
    </row>
    <row r="214" spans="5:35" x14ac:dyDescent="0.45">
      <c r="E214" t="s">
        <v>863</v>
      </c>
      <c r="G214" t="s">
        <v>444</v>
      </c>
      <c r="I214" t="s">
        <v>249</v>
      </c>
      <c r="J214" t="s">
        <v>1015</v>
      </c>
      <c r="K214">
        <v>8.4603209946918523E-5</v>
      </c>
      <c r="L214" t="s">
        <v>251</v>
      </c>
      <c r="N214" t="s">
        <v>419</v>
      </c>
      <c r="O214" t="s">
        <v>1015</v>
      </c>
      <c r="P214">
        <v>1.893982343014E-4</v>
      </c>
      <c r="Q214" t="s">
        <v>251</v>
      </c>
      <c r="S214" t="s">
        <v>420</v>
      </c>
      <c r="T214" t="s">
        <v>1015</v>
      </c>
      <c r="U214">
        <v>1.5422806018730001E-4</v>
      </c>
      <c r="V214" t="s">
        <v>251</v>
      </c>
      <c r="X214">
        <v>1.1415525114155251E-4</v>
      </c>
      <c r="Y214">
        <v>1.5579809230208258E-4</v>
      </c>
      <c r="Z214" t="s">
        <v>1015</v>
      </c>
      <c r="AA214" t="s">
        <v>25</v>
      </c>
      <c r="AC214" t="s">
        <v>22</v>
      </c>
      <c r="AD214" t="s">
        <v>1015</v>
      </c>
      <c r="AE214">
        <v>1.2286321269411698E-4</v>
      </c>
      <c r="AG214" t="s">
        <v>97</v>
      </c>
      <c r="AH214" t="s">
        <v>1015</v>
      </c>
      <c r="AI214">
        <v>0</v>
      </c>
    </row>
    <row r="215" spans="5:35" x14ac:dyDescent="0.45">
      <c r="E215" t="s">
        <v>864</v>
      </c>
      <c r="G215" t="s">
        <v>444</v>
      </c>
      <c r="I215" t="s">
        <v>249</v>
      </c>
      <c r="J215" t="s">
        <v>1016</v>
      </c>
      <c r="K215">
        <v>0</v>
      </c>
      <c r="L215" t="s">
        <v>251</v>
      </c>
      <c r="N215" t="s">
        <v>419</v>
      </c>
      <c r="O215" t="s">
        <v>1016</v>
      </c>
      <c r="P215">
        <v>1.9553407502619999E-4</v>
      </c>
      <c r="Q215" t="s">
        <v>251</v>
      </c>
      <c r="S215" t="s">
        <v>420</v>
      </c>
      <c r="T215" t="s">
        <v>1016</v>
      </c>
      <c r="U215">
        <v>1.6161088192790001E-4</v>
      </c>
      <c r="V215" t="s">
        <v>251</v>
      </c>
      <c r="X215">
        <v>1.1415525114155251E-4</v>
      </c>
      <c r="Y215">
        <v>1.093901499142282E-4</v>
      </c>
      <c r="Z215" t="s">
        <v>1016</v>
      </c>
      <c r="AA215" t="s">
        <v>25</v>
      </c>
      <c r="AC215" t="s">
        <v>22</v>
      </c>
      <c r="AD215" t="s">
        <v>1016</v>
      </c>
      <c r="AE215">
        <v>1.2359767341403423E-4</v>
      </c>
      <c r="AG215" t="s">
        <v>97</v>
      </c>
      <c r="AH215" t="s">
        <v>1016</v>
      </c>
      <c r="AI215">
        <v>0</v>
      </c>
    </row>
    <row r="216" spans="5:35" x14ac:dyDescent="0.45">
      <c r="E216" t="s">
        <v>865</v>
      </c>
      <c r="G216" t="s">
        <v>444</v>
      </c>
      <c r="I216" t="s">
        <v>249</v>
      </c>
      <c r="J216" t="s">
        <v>1017</v>
      </c>
      <c r="K216">
        <v>0</v>
      </c>
      <c r="L216" t="s">
        <v>251</v>
      </c>
      <c r="N216" t="s">
        <v>419</v>
      </c>
      <c r="O216" t="s">
        <v>1017</v>
      </c>
      <c r="P216">
        <v>1.9869457431040001E-4</v>
      </c>
      <c r="Q216" t="s">
        <v>251</v>
      </c>
      <c r="S216" t="s">
        <v>420</v>
      </c>
      <c r="T216" t="s">
        <v>1017</v>
      </c>
      <c r="U216">
        <v>1.6221655994980001E-4</v>
      </c>
      <c r="V216" t="s">
        <v>251</v>
      </c>
      <c r="X216">
        <v>1.1415525114155251E-4</v>
      </c>
      <c r="Y216">
        <v>7.9556472664893237E-5</v>
      </c>
      <c r="Z216" t="s">
        <v>1017</v>
      </c>
      <c r="AA216" t="s">
        <v>25</v>
      </c>
      <c r="AC216" t="s">
        <v>22</v>
      </c>
      <c r="AD216" t="s">
        <v>1017</v>
      </c>
      <c r="AE216">
        <v>1.2360460983928587E-4</v>
      </c>
      <c r="AG216" t="s">
        <v>97</v>
      </c>
      <c r="AH216" t="s">
        <v>1017</v>
      </c>
      <c r="AI216">
        <v>0</v>
      </c>
    </row>
    <row r="217" spans="5:35" x14ac:dyDescent="0.45">
      <c r="E217" t="s">
        <v>866</v>
      </c>
      <c r="G217" t="s">
        <v>444</v>
      </c>
      <c r="I217" t="s">
        <v>249</v>
      </c>
      <c r="J217" t="s">
        <v>1018</v>
      </c>
      <c r="K217">
        <v>0</v>
      </c>
      <c r="L217" t="s">
        <v>251</v>
      </c>
      <c r="N217" t="s">
        <v>419</v>
      </c>
      <c r="O217" t="s">
        <v>1018</v>
      </c>
      <c r="P217">
        <v>1.9767565590519999E-4</v>
      </c>
      <c r="Q217" t="s">
        <v>251</v>
      </c>
      <c r="S217" t="s">
        <v>420</v>
      </c>
      <c r="T217" t="s">
        <v>1018</v>
      </c>
      <c r="U217">
        <v>1.553603903124E-4</v>
      </c>
      <c r="V217" t="s">
        <v>251</v>
      </c>
      <c r="X217">
        <v>1.1415525114155251E-4</v>
      </c>
      <c r="Y217">
        <v>5.6352501470966035E-5</v>
      </c>
      <c r="Z217" t="s">
        <v>1018</v>
      </c>
      <c r="AA217" t="s">
        <v>25</v>
      </c>
      <c r="AC217" t="s">
        <v>22</v>
      </c>
      <c r="AD217" t="s">
        <v>1018</v>
      </c>
      <c r="AE217">
        <v>1.24051742482432E-4</v>
      </c>
      <c r="AG217" t="s">
        <v>97</v>
      </c>
      <c r="AH217" t="s">
        <v>1018</v>
      </c>
      <c r="AI217">
        <v>0</v>
      </c>
    </row>
    <row r="218" spans="5:35" x14ac:dyDescent="0.45">
      <c r="E218" t="s">
        <v>867</v>
      </c>
      <c r="G218" t="s">
        <v>444</v>
      </c>
      <c r="I218" t="s">
        <v>249</v>
      </c>
      <c r="J218" t="s">
        <v>1019</v>
      </c>
      <c r="K218">
        <v>0</v>
      </c>
      <c r="L218" t="s">
        <v>251</v>
      </c>
      <c r="N218" t="s">
        <v>419</v>
      </c>
      <c r="O218" t="s">
        <v>1019</v>
      </c>
      <c r="P218">
        <v>1.9528351112460001E-4</v>
      </c>
      <c r="Q218" t="s">
        <v>251</v>
      </c>
      <c r="S218" t="s">
        <v>420</v>
      </c>
      <c r="T218" t="s">
        <v>1019</v>
      </c>
      <c r="U218">
        <v>1.5528688080979999E-4</v>
      </c>
      <c r="V218" t="s">
        <v>251</v>
      </c>
      <c r="X218">
        <v>1.1415525114155251E-4</v>
      </c>
      <c r="Y218">
        <v>2.9833677249334962E-5</v>
      </c>
      <c r="Z218" t="s">
        <v>1019</v>
      </c>
      <c r="AA218" t="s">
        <v>25</v>
      </c>
      <c r="AC218" t="s">
        <v>22</v>
      </c>
      <c r="AD218" t="s">
        <v>1019</v>
      </c>
      <c r="AE218">
        <v>1.2449860833999151E-4</v>
      </c>
      <c r="AG218" t="s">
        <v>97</v>
      </c>
      <c r="AH218" t="s">
        <v>1019</v>
      </c>
      <c r="AI218">
        <v>0</v>
      </c>
    </row>
    <row r="219" spans="5:35" x14ac:dyDescent="0.45">
      <c r="E219" t="s">
        <v>868</v>
      </c>
      <c r="G219" t="s">
        <v>444</v>
      </c>
      <c r="I219" t="s">
        <v>249</v>
      </c>
      <c r="J219" t="s">
        <v>339</v>
      </c>
      <c r="K219">
        <v>8.9620492023086194E-4</v>
      </c>
      <c r="L219" t="s">
        <v>251</v>
      </c>
      <c r="N219" t="s">
        <v>419</v>
      </c>
      <c r="O219" t="s">
        <v>339</v>
      </c>
      <c r="P219">
        <v>2.1638010353090851E-2</v>
      </c>
      <c r="Q219" t="s">
        <v>251</v>
      </c>
      <c r="S219" t="s">
        <v>420</v>
      </c>
      <c r="T219" t="s">
        <v>339</v>
      </c>
      <c r="U219">
        <v>1.46554772617355E-2</v>
      </c>
      <c r="V219" t="s">
        <v>251</v>
      </c>
      <c r="X219">
        <v>2.0547945205479451E-2</v>
      </c>
      <c r="Y219">
        <v>4.3954951147353507E-3</v>
      </c>
      <c r="Z219" t="s">
        <v>339</v>
      </c>
      <c r="AA219" t="s">
        <v>25</v>
      </c>
      <c r="AC219" t="s">
        <v>22</v>
      </c>
      <c r="AD219" t="s">
        <v>339</v>
      </c>
      <c r="AE219">
        <v>1.9260500610045455E-2</v>
      </c>
      <c r="AG219" t="s">
        <v>97</v>
      </c>
      <c r="AH219" t="s">
        <v>339</v>
      </c>
      <c r="AI219">
        <v>0.14272160879684503</v>
      </c>
    </row>
    <row r="220" spans="5:35" x14ac:dyDescent="0.45">
      <c r="E220" t="s">
        <v>869</v>
      </c>
      <c r="G220" t="s">
        <v>444</v>
      </c>
      <c r="I220" t="s">
        <v>249</v>
      </c>
      <c r="J220" t="s">
        <v>340</v>
      </c>
      <c r="K220">
        <v>4.2189396573354999E-3</v>
      </c>
      <c r="L220" t="s">
        <v>251</v>
      </c>
      <c r="N220" t="s">
        <v>419</v>
      </c>
      <c r="O220" t="s">
        <v>340</v>
      </c>
      <c r="P220">
        <v>2.932390726346185E-3</v>
      </c>
      <c r="Q220" t="s">
        <v>251</v>
      </c>
      <c r="S220" t="s">
        <v>420</v>
      </c>
      <c r="T220" t="s">
        <v>340</v>
      </c>
      <c r="U220">
        <v>2.0274377563429028E-3</v>
      </c>
      <c r="V220" t="s">
        <v>251</v>
      </c>
      <c r="X220">
        <v>3.4246575342465752E-3</v>
      </c>
      <c r="Y220">
        <v>5.0717251323869452E-3</v>
      </c>
      <c r="Z220" t="s">
        <v>340</v>
      </c>
      <c r="AA220" t="s">
        <v>25</v>
      </c>
      <c r="AC220" t="s">
        <v>22</v>
      </c>
      <c r="AD220" t="s">
        <v>340</v>
      </c>
      <c r="AE220">
        <v>2.6497103592723766E-3</v>
      </c>
      <c r="AG220" t="s">
        <v>97</v>
      </c>
      <c r="AH220" t="s">
        <v>340</v>
      </c>
      <c r="AI220">
        <v>6.8326103573197461E-2</v>
      </c>
    </row>
    <row r="221" spans="5:35" x14ac:dyDescent="0.45">
      <c r="E221" t="s">
        <v>870</v>
      </c>
      <c r="G221" t="s">
        <v>444</v>
      </c>
      <c r="I221" t="s">
        <v>249</v>
      </c>
      <c r="J221" t="s">
        <v>341</v>
      </c>
      <c r="K221">
        <v>6.1886482059352998E-3</v>
      </c>
      <c r="L221" t="s">
        <v>251</v>
      </c>
      <c r="N221" t="s">
        <v>419</v>
      </c>
      <c r="O221" t="s">
        <v>341</v>
      </c>
      <c r="P221">
        <v>2.645260723797086E-3</v>
      </c>
      <c r="Q221" t="s">
        <v>251</v>
      </c>
      <c r="S221" t="s">
        <v>420</v>
      </c>
      <c r="T221" t="s">
        <v>341</v>
      </c>
      <c r="U221">
        <v>2.0224615995105386E-3</v>
      </c>
      <c r="V221" t="s">
        <v>251</v>
      </c>
      <c r="X221">
        <v>3.4246575342465752E-3</v>
      </c>
      <c r="Y221">
        <v>5.7181214727892006E-3</v>
      </c>
      <c r="Z221" t="s">
        <v>341</v>
      </c>
      <c r="AA221" t="s">
        <v>25</v>
      </c>
      <c r="AC221" t="s">
        <v>22</v>
      </c>
      <c r="AD221" t="s">
        <v>341</v>
      </c>
      <c r="AE221">
        <v>2.5584782257930265E-3</v>
      </c>
      <c r="AG221" t="s">
        <v>97</v>
      </c>
      <c r="AH221" t="s">
        <v>341</v>
      </c>
      <c r="AI221">
        <v>6.3283153241070034E-2</v>
      </c>
    </row>
    <row r="222" spans="5:35" x14ac:dyDescent="0.45">
      <c r="E222" t="s">
        <v>871</v>
      </c>
      <c r="G222" t="s">
        <v>444</v>
      </c>
      <c r="I222" t="s">
        <v>249</v>
      </c>
      <c r="J222" t="s">
        <v>342</v>
      </c>
      <c r="K222">
        <v>5.9391656967384999E-2</v>
      </c>
      <c r="L222" t="s">
        <v>251</v>
      </c>
      <c r="N222" t="s">
        <v>419</v>
      </c>
      <c r="O222" t="s">
        <v>342</v>
      </c>
      <c r="P222">
        <v>2.0186747215789343E-2</v>
      </c>
      <c r="Q222" t="s">
        <v>251</v>
      </c>
      <c r="S222" t="s">
        <v>420</v>
      </c>
      <c r="T222" t="s">
        <v>342</v>
      </c>
      <c r="U222">
        <v>1.5028412364267944E-2</v>
      </c>
      <c r="V222" t="s">
        <v>251</v>
      </c>
      <c r="X222">
        <v>2.3972602739726026E-2</v>
      </c>
      <c r="Y222">
        <v>3.0410461676155433E-2</v>
      </c>
      <c r="Z222" t="s">
        <v>342</v>
      </c>
      <c r="AA222" t="s">
        <v>25</v>
      </c>
      <c r="AC222" t="s">
        <v>22</v>
      </c>
      <c r="AD222" t="s">
        <v>342</v>
      </c>
      <c r="AE222">
        <v>2.0666995204675419E-2</v>
      </c>
      <c r="AG222" t="s">
        <v>97</v>
      </c>
      <c r="AH222" t="s">
        <v>342</v>
      </c>
      <c r="AI222">
        <v>0.19022521607323695</v>
      </c>
    </row>
    <row r="223" spans="5:35" x14ac:dyDescent="0.45">
      <c r="E223" t="s">
        <v>872</v>
      </c>
      <c r="G223" t="s">
        <v>444</v>
      </c>
      <c r="I223" t="s">
        <v>249</v>
      </c>
      <c r="J223" t="s">
        <v>343</v>
      </c>
      <c r="K223">
        <v>7.9800602970408006E-3</v>
      </c>
      <c r="L223" t="s">
        <v>251</v>
      </c>
      <c r="N223" t="s">
        <v>419</v>
      </c>
      <c r="O223" t="s">
        <v>343</v>
      </c>
      <c r="P223">
        <v>3.0852712538663382E-3</v>
      </c>
      <c r="Q223" t="s">
        <v>251</v>
      </c>
      <c r="S223" t="s">
        <v>420</v>
      </c>
      <c r="T223" t="s">
        <v>343</v>
      </c>
      <c r="U223">
        <v>2.547697763517483E-3</v>
      </c>
      <c r="V223" t="s">
        <v>251</v>
      </c>
      <c r="X223">
        <v>3.4246575342465752E-3</v>
      </c>
      <c r="Y223">
        <v>5.1711707232180593E-3</v>
      </c>
      <c r="Z223" t="s">
        <v>343</v>
      </c>
      <c r="AA223" t="s">
        <v>25</v>
      </c>
      <c r="AC223" t="s">
        <v>22</v>
      </c>
      <c r="AD223" t="s">
        <v>343</v>
      </c>
      <c r="AE223">
        <v>3.4028927577294411E-3</v>
      </c>
      <c r="AG223" t="s">
        <v>97</v>
      </c>
      <c r="AH223" t="s">
        <v>343</v>
      </c>
      <c r="AI223">
        <v>6.2489829878334291E-2</v>
      </c>
    </row>
    <row r="224" spans="5:35" x14ac:dyDescent="0.45">
      <c r="E224" t="s">
        <v>873</v>
      </c>
      <c r="G224" t="s">
        <v>444</v>
      </c>
      <c r="I224" t="s">
        <v>249</v>
      </c>
      <c r="J224" t="s">
        <v>344</v>
      </c>
      <c r="K224">
        <v>7.1260513681538004E-3</v>
      </c>
      <c r="L224" t="s">
        <v>251</v>
      </c>
      <c r="N224" t="s">
        <v>419</v>
      </c>
      <c r="O224" t="s">
        <v>344</v>
      </c>
      <c r="P224">
        <v>3.1615154664669859E-3</v>
      </c>
      <c r="Q224" t="s">
        <v>251</v>
      </c>
      <c r="S224" t="s">
        <v>420</v>
      </c>
      <c r="T224" t="s">
        <v>344</v>
      </c>
      <c r="U224">
        <v>2.4478011458801108E-3</v>
      </c>
      <c r="V224" t="s">
        <v>251</v>
      </c>
      <c r="X224">
        <v>3.4246575342465752E-3</v>
      </c>
      <c r="Y224">
        <v>6.662854585684809E-3</v>
      </c>
      <c r="Z224" t="s">
        <v>344</v>
      </c>
      <c r="AA224" t="s">
        <v>25</v>
      </c>
      <c r="AC224" t="s">
        <v>22</v>
      </c>
      <c r="AD224" t="s">
        <v>344</v>
      </c>
      <c r="AE224">
        <v>3.4198347096210586E-3</v>
      </c>
      <c r="AG224" t="s">
        <v>97</v>
      </c>
      <c r="AH224" t="s">
        <v>344</v>
      </c>
      <c r="AI224">
        <v>7.1290983808581343E-2</v>
      </c>
    </row>
    <row r="225" spans="5:35" x14ac:dyDescent="0.45">
      <c r="E225" t="s">
        <v>874</v>
      </c>
      <c r="G225" t="s">
        <v>444</v>
      </c>
      <c r="I225" t="s">
        <v>249</v>
      </c>
      <c r="J225" t="s">
        <v>345</v>
      </c>
      <c r="K225">
        <v>5.97267425403E-3</v>
      </c>
      <c r="L225" t="s">
        <v>251</v>
      </c>
      <c r="N225" t="s">
        <v>419</v>
      </c>
      <c r="O225" t="s">
        <v>345</v>
      </c>
      <c r="P225">
        <v>3.1609198927553899E-3</v>
      </c>
      <c r="Q225" t="s">
        <v>251</v>
      </c>
      <c r="S225" t="s">
        <v>420</v>
      </c>
      <c r="T225" t="s">
        <v>345</v>
      </c>
      <c r="U225">
        <v>2.4219064195414191E-3</v>
      </c>
      <c r="V225" t="s">
        <v>251</v>
      </c>
      <c r="X225">
        <v>3.4246575342465752E-3</v>
      </c>
      <c r="Y225">
        <v>6.662854585684809E-3</v>
      </c>
      <c r="Z225" t="s">
        <v>345</v>
      </c>
      <c r="AA225" t="s">
        <v>25</v>
      </c>
      <c r="AC225" t="s">
        <v>22</v>
      </c>
      <c r="AD225" t="s">
        <v>345</v>
      </c>
      <c r="AE225">
        <v>3.4450851650362443E-3</v>
      </c>
      <c r="AG225" t="s">
        <v>97</v>
      </c>
      <c r="AH225" t="s">
        <v>345</v>
      </c>
      <c r="AI225">
        <v>7.9933885841087848E-2</v>
      </c>
    </row>
    <row r="226" spans="5:35" x14ac:dyDescent="0.45">
      <c r="E226" t="s">
        <v>875</v>
      </c>
      <c r="G226" t="s">
        <v>444</v>
      </c>
      <c r="I226" t="s">
        <v>249</v>
      </c>
      <c r="J226" t="s">
        <v>346</v>
      </c>
      <c r="K226">
        <v>6.6998443253581154E-3</v>
      </c>
      <c r="L226" t="s">
        <v>251</v>
      </c>
      <c r="N226" t="s">
        <v>419</v>
      </c>
      <c r="O226" t="s">
        <v>346</v>
      </c>
      <c r="P226">
        <v>2.1552171110743049E-2</v>
      </c>
      <c r="Q226" t="s">
        <v>251</v>
      </c>
      <c r="S226" t="s">
        <v>420</v>
      </c>
      <c r="T226" t="s">
        <v>346</v>
      </c>
      <c r="U226">
        <v>1.5920745316699014E-2</v>
      </c>
      <c r="V226" t="s">
        <v>251</v>
      </c>
      <c r="X226">
        <v>2.0547945205479451E-2</v>
      </c>
      <c r="Y226">
        <v>1.8099097531263209E-2</v>
      </c>
      <c r="Z226" t="s">
        <v>346</v>
      </c>
      <c r="AA226" t="s">
        <v>25</v>
      </c>
      <c r="AC226" t="s">
        <v>22</v>
      </c>
      <c r="AD226" t="s">
        <v>346</v>
      </c>
      <c r="AE226">
        <v>2.1050393923406293E-2</v>
      </c>
      <c r="AG226" t="s">
        <v>97</v>
      </c>
      <c r="AH226" t="s">
        <v>346</v>
      </c>
      <c r="AI226">
        <v>0.12607735122688024</v>
      </c>
    </row>
    <row r="227" spans="5:35" x14ac:dyDescent="0.45">
      <c r="E227" t="s">
        <v>876</v>
      </c>
      <c r="G227" t="s">
        <v>798</v>
      </c>
      <c r="I227" t="s">
        <v>249</v>
      </c>
      <c r="J227" t="s">
        <v>347</v>
      </c>
      <c r="K227">
        <v>2.6851131546107499E-4</v>
      </c>
      <c r="L227" t="s">
        <v>251</v>
      </c>
      <c r="N227" t="s">
        <v>419</v>
      </c>
      <c r="O227" t="s">
        <v>347</v>
      </c>
      <c r="P227">
        <v>1.7906356699202514E-2</v>
      </c>
      <c r="Q227" t="s">
        <v>251</v>
      </c>
      <c r="S227" t="s">
        <v>420</v>
      </c>
      <c r="T227" t="s">
        <v>347</v>
      </c>
      <c r="U227">
        <v>1.6784868353445087E-2</v>
      </c>
      <c r="V227" t="s">
        <v>251</v>
      </c>
      <c r="X227">
        <v>2.1232876712328767E-2</v>
      </c>
      <c r="Y227">
        <v>4.5420116185598634E-3</v>
      </c>
      <c r="Z227" t="s">
        <v>347</v>
      </c>
      <c r="AA227" t="s">
        <v>25</v>
      </c>
      <c r="AC227" t="s">
        <v>22</v>
      </c>
      <c r="AD227" t="s">
        <v>347</v>
      </c>
      <c r="AE227">
        <v>2.1060695450919414E-2</v>
      </c>
      <c r="AG227" t="s">
        <v>97</v>
      </c>
      <c r="AH227" t="s">
        <v>347</v>
      </c>
      <c r="AI227">
        <v>0.2315021641066155</v>
      </c>
    </row>
    <row r="228" spans="5:35" x14ac:dyDescent="0.45">
      <c r="E228" t="s">
        <v>877</v>
      </c>
      <c r="G228" t="s">
        <v>798</v>
      </c>
      <c r="I228" t="s">
        <v>249</v>
      </c>
      <c r="J228" t="s">
        <v>348</v>
      </c>
      <c r="K228">
        <v>3.2204031164093181E-3</v>
      </c>
      <c r="L228" t="s">
        <v>251</v>
      </c>
      <c r="N228" t="s">
        <v>419</v>
      </c>
      <c r="O228" t="s">
        <v>348</v>
      </c>
      <c r="P228">
        <v>2.1598997955974584E-3</v>
      </c>
      <c r="Q228" t="s">
        <v>251</v>
      </c>
      <c r="S228" t="s">
        <v>420</v>
      </c>
      <c r="T228" t="s">
        <v>348</v>
      </c>
      <c r="U228">
        <v>2.4552076392760176E-3</v>
      </c>
      <c r="V228" t="s">
        <v>251</v>
      </c>
      <c r="X228">
        <v>3.5388127853881279E-3</v>
      </c>
      <c r="Y228">
        <v>5.240782636799844E-3</v>
      </c>
      <c r="Z228" t="s">
        <v>348</v>
      </c>
      <c r="AA228" t="s">
        <v>25</v>
      </c>
      <c r="AC228" t="s">
        <v>22</v>
      </c>
      <c r="AD228" t="s">
        <v>348</v>
      </c>
      <c r="AE228">
        <v>2.8922928243539656E-3</v>
      </c>
      <c r="AG228" t="s">
        <v>97</v>
      </c>
      <c r="AH228" t="s">
        <v>348</v>
      </c>
      <c r="AI228">
        <v>5.6133928654755527E-2</v>
      </c>
    </row>
    <row r="229" spans="5:35" x14ac:dyDescent="0.45">
      <c r="E229" t="s">
        <v>878</v>
      </c>
      <c r="G229" t="s">
        <v>798</v>
      </c>
      <c r="I229" t="s">
        <v>249</v>
      </c>
      <c r="J229" t="s">
        <v>349</v>
      </c>
      <c r="K229">
        <v>5.2350618749991001E-3</v>
      </c>
      <c r="L229" t="s">
        <v>251</v>
      </c>
      <c r="N229" t="s">
        <v>419</v>
      </c>
      <c r="O229" t="s">
        <v>349</v>
      </c>
      <c r="P229">
        <v>1.8496526274653208E-3</v>
      </c>
      <c r="Q229" t="s">
        <v>251</v>
      </c>
      <c r="S229" t="s">
        <v>420</v>
      </c>
      <c r="T229" t="s">
        <v>349</v>
      </c>
      <c r="U229">
        <v>2.3873461693071727E-3</v>
      </c>
      <c r="V229" t="s">
        <v>251</v>
      </c>
      <c r="X229">
        <v>3.5388127853881279E-3</v>
      </c>
      <c r="Y229">
        <v>5.9087255218821738E-3</v>
      </c>
      <c r="Z229" t="s">
        <v>349</v>
      </c>
      <c r="AA229" t="s">
        <v>25</v>
      </c>
      <c r="AC229" t="s">
        <v>22</v>
      </c>
      <c r="AD229" t="s">
        <v>349</v>
      </c>
      <c r="AE229">
        <v>2.7751816886173938E-3</v>
      </c>
      <c r="AG229" t="s">
        <v>97</v>
      </c>
      <c r="AH229" t="s">
        <v>349</v>
      </c>
      <c r="AI229">
        <v>5.9458371844419711E-2</v>
      </c>
    </row>
    <row r="230" spans="5:35" x14ac:dyDescent="0.45">
      <c r="E230" t="s">
        <v>879</v>
      </c>
      <c r="G230" t="s">
        <v>798</v>
      </c>
      <c r="I230" t="s">
        <v>249</v>
      </c>
      <c r="J230" t="s">
        <v>350</v>
      </c>
      <c r="K230">
        <v>5.4726961163533497E-2</v>
      </c>
      <c r="L230" t="s">
        <v>251</v>
      </c>
      <c r="N230" t="s">
        <v>419</v>
      </c>
      <c r="O230" t="s">
        <v>350</v>
      </c>
      <c r="P230">
        <v>1.3394753685262772E-2</v>
      </c>
      <c r="Q230" t="s">
        <v>251</v>
      </c>
      <c r="S230" t="s">
        <v>420</v>
      </c>
      <c r="T230" t="s">
        <v>350</v>
      </c>
      <c r="U230">
        <v>1.5760182629451346E-2</v>
      </c>
      <c r="V230" t="s">
        <v>251</v>
      </c>
      <c r="X230">
        <v>2.4771689497716895E-2</v>
      </c>
      <c r="Y230">
        <v>3.1424143732027281E-2</v>
      </c>
      <c r="Z230" t="s">
        <v>350</v>
      </c>
      <c r="AA230" t="s">
        <v>25</v>
      </c>
      <c r="AC230" t="s">
        <v>22</v>
      </c>
      <c r="AD230" t="s">
        <v>350</v>
      </c>
      <c r="AE230">
        <v>2.2015949371621827E-2</v>
      </c>
      <c r="AG230" t="s">
        <v>97</v>
      </c>
      <c r="AH230" t="s">
        <v>350</v>
      </c>
      <c r="AI230">
        <v>0.20573239206764882</v>
      </c>
    </row>
    <row r="231" spans="5:35" x14ac:dyDescent="0.45">
      <c r="E231" t="s">
        <v>880</v>
      </c>
      <c r="G231" t="s">
        <v>798</v>
      </c>
      <c r="I231" t="s">
        <v>249</v>
      </c>
      <c r="J231" t="s">
        <v>351</v>
      </c>
      <c r="K231">
        <v>7.1083135960544001E-3</v>
      </c>
      <c r="L231" t="s">
        <v>251</v>
      </c>
      <c r="N231" t="s">
        <v>419</v>
      </c>
      <c r="O231" t="s">
        <v>351</v>
      </c>
      <c r="P231">
        <v>2.0138639294259761E-3</v>
      </c>
      <c r="Q231" t="s">
        <v>251</v>
      </c>
      <c r="S231" t="s">
        <v>420</v>
      </c>
      <c r="T231" t="s">
        <v>351</v>
      </c>
      <c r="U231">
        <v>2.6066075866898052E-3</v>
      </c>
      <c r="V231" t="s">
        <v>251</v>
      </c>
      <c r="X231">
        <v>3.5388127853881279E-3</v>
      </c>
      <c r="Y231">
        <v>5.3435430806586613E-3</v>
      </c>
      <c r="Z231" t="s">
        <v>351</v>
      </c>
      <c r="AA231" t="s">
        <v>25</v>
      </c>
      <c r="AC231" t="s">
        <v>22</v>
      </c>
      <c r="AD231" t="s">
        <v>351</v>
      </c>
      <c r="AE231">
        <v>3.7274002743161584E-3</v>
      </c>
      <c r="AG231" t="s">
        <v>97</v>
      </c>
      <c r="AH231" t="s">
        <v>351</v>
      </c>
      <c r="AI231">
        <v>7.3142236951218909E-2</v>
      </c>
    </row>
    <row r="232" spans="5:35" x14ac:dyDescent="0.45">
      <c r="E232" t="s">
        <v>881</v>
      </c>
      <c r="G232" t="s">
        <v>798</v>
      </c>
      <c r="I232" t="s">
        <v>249</v>
      </c>
      <c r="J232" t="s">
        <v>352</v>
      </c>
      <c r="K232">
        <v>6.1891237235557998E-3</v>
      </c>
      <c r="L232" t="s">
        <v>251</v>
      </c>
      <c r="N232" t="s">
        <v>419</v>
      </c>
      <c r="O232" t="s">
        <v>352</v>
      </c>
      <c r="P232">
        <v>2.0792526059573023E-3</v>
      </c>
      <c r="Q232" t="s">
        <v>251</v>
      </c>
      <c r="S232" t="s">
        <v>420</v>
      </c>
      <c r="T232" t="s">
        <v>352</v>
      </c>
      <c r="U232">
        <v>2.5679852482390691E-3</v>
      </c>
      <c r="V232" t="s">
        <v>251</v>
      </c>
      <c r="X232">
        <v>3.5388127853881279E-3</v>
      </c>
      <c r="Y232">
        <v>6.8849497385409693E-3</v>
      </c>
      <c r="Z232" t="s">
        <v>352</v>
      </c>
      <c r="AA232" t="s">
        <v>25</v>
      </c>
      <c r="AC232" t="s">
        <v>22</v>
      </c>
      <c r="AD232" t="s">
        <v>352</v>
      </c>
      <c r="AE232">
        <v>3.785287944468385E-3</v>
      </c>
      <c r="AG232" t="s">
        <v>97</v>
      </c>
      <c r="AH232" t="s">
        <v>352</v>
      </c>
      <c r="AI232">
        <v>0.1053933651502823</v>
      </c>
    </row>
    <row r="233" spans="5:35" x14ac:dyDescent="0.45">
      <c r="E233" t="s">
        <v>882</v>
      </c>
      <c r="G233" t="s">
        <v>798</v>
      </c>
      <c r="I233" t="s">
        <v>249</v>
      </c>
      <c r="J233" t="s">
        <v>353</v>
      </c>
      <c r="K233">
        <v>4.9659416849278997E-3</v>
      </c>
      <c r="L233" t="s">
        <v>251</v>
      </c>
      <c r="N233" t="s">
        <v>419</v>
      </c>
      <c r="O233" t="s">
        <v>353</v>
      </c>
      <c r="P233">
        <v>2.1234054464425787E-3</v>
      </c>
      <c r="Q233" t="s">
        <v>251</v>
      </c>
      <c r="S233" t="s">
        <v>420</v>
      </c>
      <c r="T233" t="s">
        <v>353</v>
      </c>
      <c r="U233">
        <v>2.5660690043538253E-3</v>
      </c>
      <c r="V233" t="s">
        <v>251</v>
      </c>
      <c r="X233">
        <v>3.5388127853881279E-3</v>
      </c>
      <c r="Y233">
        <v>6.8849497385409693E-3</v>
      </c>
      <c r="Z233" t="s">
        <v>353</v>
      </c>
      <c r="AA233" t="s">
        <v>25</v>
      </c>
      <c r="AC233" t="s">
        <v>22</v>
      </c>
      <c r="AD233" t="s">
        <v>353</v>
      </c>
      <c r="AE233">
        <v>3.843480283760511E-3</v>
      </c>
      <c r="AG233" t="s">
        <v>97</v>
      </c>
      <c r="AH233" t="s">
        <v>353</v>
      </c>
      <c r="AI233">
        <v>0.10499916203418347</v>
      </c>
    </row>
    <row r="234" spans="5:35" x14ac:dyDescent="0.45">
      <c r="E234" t="s">
        <v>883</v>
      </c>
      <c r="G234" t="s">
        <v>798</v>
      </c>
      <c r="I234" t="s">
        <v>249</v>
      </c>
      <c r="J234" t="s">
        <v>354</v>
      </c>
      <c r="K234">
        <v>5.2532482843577442E-3</v>
      </c>
      <c r="L234" t="s">
        <v>251</v>
      </c>
      <c r="N234" t="s">
        <v>419</v>
      </c>
      <c r="O234" t="s">
        <v>354</v>
      </c>
      <c r="P234">
        <v>1.8305678872793222E-2</v>
      </c>
      <c r="Q234" t="s">
        <v>251</v>
      </c>
      <c r="S234" t="s">
        <v>420</v>
      </c>
      <c r="T234" t="s">
        <v>354</v>
      </c>
      <c r="U234">
        <v>1.6816073507230526E-2</v>
      </c>
      <c r="V234" t="s">
        <v>251</v>
      </c>
      <c r="X234">
        <v>2.1232876712328767E-2</v>
      </c>
      <c r="Y234">
        <v>1.8702400782305319E-2</v>
      </c>
      <c r="Z234" t="s">
        <v>354</v>
      </c>
      <c r="AA234" t="s">
        <v>25</v>
      </c>
      <c r="AC234" t="s">
        <v>22</v>
      </c>
      <c r="AD234" t="s">
        <v>354</v>
      </c>
      <c r="AE234">
        <v>2.3704335456036028E-2</v>
      </c>
      <c r="AG234" t="s">
        <v>97</v>
      </c>
      <c r="AH234" t="s">
        <v>354</v>
      </c>
      <c r="AI234">
        <v>0.13820527616738598</v>
      </c>
    </row>
    <row r="235" spans="5:35" x14ac:dyDescent="0.45">
      <c r="E235" t="s">
        <v>884</v>
      </c>
      <c r="G235" t="s">
        <v>798</v>
      </c>
      <c r="I235" t="s">
        <v>249</v>
      </c>
      <c r="J235" t="s">
        <v>355</v>
      </c>
      <c r="K235">
        <v>2.783153874109351E-8</v>
      </c>
      <c r="L235" t="s">
        <v>251</v>
      </c>
      <c r="N235" t="s">
        <v>419</v>
      </c>
      <c r="O235" t="s">
        <v>355</v>
      </c>
      <c r="P235">
        <v>1.6476624077206636E-2</v>
      </c>
      <c r="Q235" t="s">
        <v>251</v>
      </c>
      <c r="S235" t="s">
        <v>420</v>
      </c>
      <c r="T235" t="s">
        <v>355</v>
      </c>
      <c r="U235">
        <v>1.4198100847300008E-2</v>
      </c>
      <c r="V235" t="s">
        <v>251</v>
      </c>
      <c r="X235">
        <v>2.1232876712328767E-2</v>
      </c>
      <c r="Y235">
        <v>4.5420116185598634E-3</v>
      </c>
      <c r="Z235" t="s">
        <v>355</v>
      </c>
      <c r="AA235" t="s">
        <v>25</v>
      </c>
      <c r="AC235" t="s">
        <v>22</v>
      </c>
      <c r="AD235" t="s">
        <v>355</v>
      </c>
      <c r="AE235">
        <v>2.0531327419762581E-2</v>
      </c>
      <c r="AG235" t="s">
        <v>97</v>
      </c>
      <c r="AH235" t="s">
        <v>355</v>
      </c>
      <c r="AI235">
        <v>0.20279576727930415</v>
      </c>
    </row>
    <row r="236" spans="5:35" x14ac:dyDescent="0.45">
      <c r="E236" t="s">
        <v>885</v>
      </c>
      <c r="G236" t="s">
        <v>798</v>
      </c>
      <c r="I236" t="s">
        <v>249</v>
      </c>
      <c r="J236" t="s">
        <v>356</v>
      </c>
      <c r="K236">
        <v>2.7522411699255861E-3</v>
      </c>
      <c r="L236" t="s">
        <v>251</v>
      </c>
      <c r="N236" t="s">
        <v>419</v>
      </c>
      <c r="O236" t="s">
        <v>356</v>
      </c>
      <c r="P236">
        <v>2.0483594360940671E-3</v>
      </c>
      <c r="Q236" t="s">
        <v>251</v>
      </c>
      <c r="S236" t="s">
        <v>420</v>
      </c>
      <c r="T236" t="s">
        <v>356</v>
      </c>
      <c r="U236">
        <v>2.0917873914683208E-3</v>
      </c>
      <c r="V236" t="s">
        <v>251</v>
      </c>
      <c r="X236">
        <v>3.5388127853881279E-3</v>
      </c>
      <c r="Y236">
        <v>5.240782636799844E-3</v>
      </c>
      <c r="Z236" t="s">
        <v>356</v>
      </c>
      <c r="AA236" t="s">
        <v>25</v>
      </c>
      <c r="AC236" t="s">
        <v>22</v>
      </c>
      <c r="AD236" t="s">
        <v>356</v>
      </c>
      <c r="AE236">
        <v>2.7922388810710285E-3</v>
      </c>
      <c r="AG236" t="s">
        <v>97</v>
      </c>
      <c r="AH236" t="s">
        <v>356</v>
      </c>
      <c r="AI236">
        <v>7.8332183240009012E-2</v>
      </c>
    </row>
    <row r="237" spans="5:35" x14ac:dyDescent="0.45">
      <c r="E237" t="s">
        <v>886</v>
      </c>
      <c r="G237" t="s">
        <v>798</v>
      </c>
      <c r="I237" t="s">
        <v>249</v>
      </c>
      <c r="J237" t="s">
        <v>357</v>
      </c>
      <c r="K237">
        <v>5.5222011424492998E-3</v>
      </c>
      <c r="L237" t="s">
        <v>251</v>
      </c>
      <c r="N237" t="s">
        <v>419</v>
      </c>
      <c r="O237" t="s">
        <v>357</v>
      </c>
      <c r="P237">
        <v>1.563764425558836E-3</v>
      </c>
      <c r="Q237" t="s">
        <v>251</v>
      </c>
      <c r="S237" t="s">
        <v>420</v>
      </c>
      <c r="T237" t="s">
        <v>357</v>
      </c>
      <c r="U237">
        <v>2.0390217860858477E-3</v>
      </c>
      <c r="V237" t="s">
        <v>251</v>
      </c>
      <c r="X237">
        <v>3.5388127853881279E-3</v>
      </c>
      <c r="Y237">
        <v>5.9087255218821738E-3</v>
      </c>
      <c r="Z237" t="s">
        <v>357</v>
      </c>
      <c r="AA237" t="s">
        <v>25</v>
      </c>
      <c r="AC237" t="s">
        <v>22</v>
      </c>
      <c r="AD237" t="s">
        <v>357</v>
      </c>
      <c r="AE237">
        <v>2.68234189438178E-3</v>
      </c>
      <c r="AG237" t="s">
        <v>97</v>
      </c>
      <c r="AH237" t="s">
        <v>357</v>
      </c>
      <c r="AI237">
        <v>7.2485883556521413E-2</v>
      </c>
    </row>
    <row r="238" spans="5:35" x14ac:dyDescent="0.45">
      <c r="E238" t="s">
        <v>887</v>
      </c>
      <c r="G238" t="s">
        <v>798</v>
      </c>
      <c r="I238" t="s">
        <v>249</v>
      </c>
      <c r="J238" t="s">
        <v>358</v>
      </c>
      <c r="K238">
        <v>5.6711374637086802E-2</v>
      </c>
      <c r="L238" t="s">
        <v>251</v>
      </c>
      <c r="N238" t="s">
        <v>419</v>
      </c>
      <c r="O238" t="s">
        <v>358</v>
      </c>
      <c r="P238">
        <v>1.0239656113572375E-2</v>
      </c>
      <c r="Q238" t="s">
        <v>251</v>
      </c>
      <c r="S238" t="s">
        <v>420</v>
      </c>
      <c r="T238" t="s">
        <v>358</v>
      </c>
      <c r="U238">
        <v>1.3599721801736927E-2</v>
      </c>
      <c r="V238" t="s">
        <v>251</v>
      </c>
      <c r="X238">
        <v>2.4771689497716895E-2</v>
      </c>
      <c r="Y238">
        <v>3.1424143732027281E-2</v>
      </c>
      <c r="Z238" t="s">
        <v>358</v>
      </c>
      <c r="AA238" t="s">
        <v>25</v>
      </c>
      <c r="AC238" t="s">
        <v>22</v>
      </c>
      <c r="AD238" t="s">
        <v>358</v>
      </c>
      <c r="AE238">
        <v>2.1516877500868201E-2</v>
      </c>
      <c r="AG238" t="s">
        <v>97</v>
      </c>
      <c r="AH238" t="s">
        <v>358</v>
      </c>
      <c r="AI238">
        <v>0.19699593812495508</v>
      </c>
    </row>
    <row r="239" spans="5:35" x14ac:dyDescent="0.45">
      <c r="E239" t="s">
        <v>888</v>
      </c>
      <c r="G239" t="s">
        <v>798</v>
      </c>
      <c r="I239" t="s">
        <v>249</v>
      </c>
      <c r="J239" t="s">
        <v>359</v>
      </c>
      <c r="K239">
        <v>7.4687617925409998E-3</v>
      </c>
      <c r="L239" t="s">
        <v>251</v>
      </c>
      <c r="N239" t="s">
        <v>419</v>
      </c>
      <c r="O239" t="s">
        <v>359</v>
      </c>
      <c r="P239">
        <v>1.6032268362819705E-3</v>
      </c>
      <c r="Q239" t="s">
        <v>251</v>
      </c>
      <c r="S239" t="s">
        <v>420</v>
      </c>
      <c r="T239" t="s">
        <v>359</v>
      </c>
      <c r="U239">
        <v>2.1334074833218876E-3</v>
      </c>
      <c r="V239" t="s">
        <v>251</v>
      </c>
      <c r="X239">
        <v>3.5388127853881279E-3</v>
      </c>
      <c r="Y239">
        <v>5.3435430806586613E-3</v>
      </c>
      <c r="Z239" t="s">
        <v>359</v>
      </c>
      <c r="AA239" t="s">
        <v>25</v>
      </c>
      <c r="AC239" t="s">
        <v>22</v>
      </c>
      <c r="AD239" t="s">
        <v>359</v>
      </c>
      <c r="AE239">
        <v>3.6319932023806674E-3</v>
      </c>
      <c r="AG239" t="s">
        <v>97</v>
      </c>
      <c r="AH239" t="s">
        <v>359</v>
      </c>
      <c r="AI239">
        <v>6.75965833044474E-2</v>
      </c>
    </row>
    <row r="240" spans="5:35" x14ac:dyDescent="0.45">
      <c r="E240" t="s">
        <v>889</v>
      </c>
      <c r="G240" t="s">
        <v>798</v>
      </c>
      <c r="I240" t="s">
        <v>249</v>
      </c>
      <c r="J240" t="s">
        <v>360</v>
      </c>
      <c r="K240">
        <v>6.6138938984641E-3</v>
      </c>
      <c r="L240" t="s">
        <v>251</v>
      </c>
      <c r="N240" t="s">
        <v>419</v>
      </c>
      <c r="O240" t="s">
        <v>360</v>
      </c>
      <c r="P240">
        <v>1.702274214395016E-3</v>
      </c>
      <c r="Q240" t="s">
        <v>251</v>
      </c>
      <c r="S240" t="s">
        <v>420</v>
      </c>
      <c r="T240" t="s">
        <v>360</v>
      </c>
      <c r="U240">
        <v>2.0736100584980966E-3</v>
      </c>
      <c r="V240" t="s">
        <v>251</v>
      </c>
      <c r="X240">
        <v>3.5388127853881279E-3</v>
      </c>
      <c r="Y240">
        <v>6.8849497385409693E-3</v>
      </c>
      <c r="Z240" t="s">
        <v>360</v>
      </c>
      <c r="AA240" t="s">
        <v>25</v>
      </c>
      <c r="AC240" t="s">
        <v>22</v>
      </c>
      <c r="AD240" t="s">
        <v>360</v>
      </c>
      <c r="AE240">
        <v>3.6660521175087145E-3</v>
      </c>
      <c r="AG240" t="s">
        <v>97</v>
      </c>
      <c r="AH240" t="s">
        <v>360</v>
      </c>
      <c r="AI240">
        <v>7.9800658589176843E-2</v>
      </c>
    </row>
    <row r="241" spans="5:35" x14ac:dyDescent="0.45">
      <c r="E241" t="s">
        <v>890</v>
      </c>
      <c r="G241" t="s">
        <v>798</v>
      </c>
      <c r="I241" t="s">
        <v>249</v>
      </c>
      <c r="J241" t="s">
        <v>361</v>
      </c>
      <c r="K241">
        <v>5.3870160545135999E-3</v>
      </c>
      <c r="L241" t="s">
        <v>251</v>
      </c>
      <c r="N241" t="s">
        <v>419</v>
      </c>
      <c r="O241" t="s">
        <v>361</v>
      </c>
      <c r="P241">
        <v>1.8296506997353484E-3</v>
      </c>
      <c r="Q241" t="s">
        <v>251</v>
      </c>
      <c r="S241" t="s">
        <v>420</v>
      </c>
      <c r="T241" t="s">
        <v>361</v>
      </c>
      <c r="U241">
        <v>2.0472469150234025E-3</v>
      </c>
      <c r="V241" t="s">
        <v>251</v>
      </c>
      <c r="X241">
        <v>3.5388127853881279E-3</v>
      </c>
      <c r="Y241">
        <v>6.8849497385409693E-3</v>
      </c>
      <c r="Z241" t="s">
        <v>361</v>
      </c>
      <c r="AA241" t="s">
        <v>25</v>
      </c>
      <c r="AC241" t="s">
        <v>22</v>
      </c>
      <c r="AD241" t="s">
        <v>361</v>
      </c>
      <c r="AE241">
        <v>3.7098463054774798E-3</v>
      </c>
      <c r="AG241" t="s">
        <v>97</v>
      </c>
      <c r="AH241" t="s">
        <v>361</v>
      </c>
      <c r="AI241">
        <v>0.11778085626857693</v>
      </c>
    </row>
    <row r="242" spans="5:35" x14ac:dyDescent="0.45">
      <c r="E242" t="s">
        <v>891</v>
      </c>
      <c r="G242" t="s">
        <v>798</v>
      </c>
      <c r="I242" t="s">
        <v>249</v>
      </c>
      <c r="J242" t="s">
        <v>362</v>
      </c>
      <c r="K242">
        <v>4.8833452718522428E-3</v>
      </c>
      <c r="L242" t="s">
        <v>251</v>
      </c>
      <c r="N242" t="s">
        <v>419</v>
      </c>
      <c r="O242" t="s">
        <v>362</v>
      </c>
      <c r="P242">
        <v>1.8211523341571861E-2</v>
      </c>
      <c r="Q242" t="s">
        <v>251</v>
      </c>
      <c r="S242" t="s">
        <v>420</v>
      </c>
      <c r="T242" t="s">
        <v>362</v>
      </c>
      <c r="U242">
        <v>1.4510372030929865E-2</v>
      </c>
      <c r="V242" t="s">
        <v>251</v>
      </c>
      <c r="X242">
        <v>2.1232876712328767E-2</v>
      </c>
      <c r="Y242">
        <v>1.8702400782305319E-2</v>
      </c>
      <c r="Z242" t="s">
        <v>362</v>
      </c>
      <c r="AA242" t="s">
        <v>25</v>
      </c>
      <c r="AC242" t="s">
        <v>22</v>
      </c>
      <c r="AD242" t="s">
        <v>362</v>
      </c>
      <c r="AE242">
        <v>2.3018083360320719E-2</v>
      </c>
      <c r="AG242" t="s">
        <v>97</v>
      </c>
      <c r="AH242" t="s">
        <v>362</v>
      </c>
      <c r="AI242">
        <v>0.16156484455199549</v>
      </c>
    </row>
    <row r="243" spans="5:35" x14ac:dyDescent="0.45">
      <c r="E243" t="s">
        <v>892</v>
      </c>
      <c r="G243" t="s">
        <v>798</v>
      </c>
      <c r="I243" t="s">
        <v>249</v>
      </c>
      <c r="J243" t="s">
        <v>363</v>
      </c>
      <c r="K243">
        <v>0</v>
      </c>
      <c r="L243" t="s">
        <v>251</v>
      </c>
      <c r="N243" t="s">
        <v>419</v>
      </c>
      <c r="O243" t="s">
        <v>363</v>
      </c>
      <c r="P243">
        <v>2.1678145855586663E-2</v>
      </c>
      <c r="Q243" t="s">
        <v>251</v>
      </c>
      <c r="S243" t="s">
        <v>420</v>
      </c>
      <c r="T243" t="s">
        <v>363</v>
      </c>
      <c r="U243">
        <v>1.7601894519674918E-2</v>
      </c>
      <c r="V243" t="s">
        <v>251</v>
      </c>
      <c r="X243">
        <v>1.9863013698630139E-2</v>
      </c>
      <c r="Y243">
        <v>4.2489786109108389E-3</v>
      </c>
      <c r="Z243" t="s">
        <v>363</v>
      </c>
      <c r="AA243" t="s">
        <v>25</v>
      </c>
      <c r="AC243" t="s">
        <v>22</v>
      </c>
      <c r="AD243" t="s">
        <v>363</v>
      </c>
      <c r="AE243">
        <v>1.8730361932765584E-2</v>
      </c>
      <c r="AG243" t="s">
        <v>97</v>
      </c>
      <c r="AH243" t="s">
        <v>363</v>
      </c>
      <c r="AI243">
        <v>0.1772184900542122</v>
      </c>
    </row>
    <row r="244" spans="5:35" x14ac:dyDescent="0.45">
      <c r="E244" t="s">
        <v>893</v>
      </c>
      <c r="G244" t="s">
        <v>798</v>
      </c>
      <c r="I244" t="s">
        <v>249</v>
      </c>
      <c r="J244" t="s">
        <v>364</v>
      </c>
      <c r="K244">
        <v>1.3858011587950653E-3</v>
      </c>
      <c r="L244" t="s">
        <v>251</v>
      </c>
      <c r="N244" t="s">
        <v>419</v>
      </c>
      <c r="O244" t="s">
        <v>364</v>
      </c>
      <c r="P244">
        <v>3.2070926695004433E-3</v>
      </c>
      <c r="Q244" t="s">
        <v>251</v>
      </c>
      <c r="S244" t="s">
        <v>420</v>
      </c>
      <c r="T244" t="s">
        <v>364</v>
      </c>
      <c r="U244">
        <v>2.6926575754511761E-3</v>
      </c>
      <c r="V244" t="s">
        <v>251</v>
      </c>
      <c r="X244">
        <v>3.3105022831050228E-3</v>
      </c>
      <c r="Y244">
        <v>4.9026676279740472E-3</v>
      </c>
      <c r="Z244" t="s">
        <v>364</v>
      </c>
      <c r="AA244" t="s">
        <v>25</v>
      </c>
      <c r="AC244" t="s">
        <v>22</v>
      </c>
      <c r="AD244" t="s">
        <v>364</v>
      </c>
      <c r="AE244">
        <v>2.546761586292922E-3</v>
      </c>
      <c r="AG244" t="s">
        <v>97</v>
      </c>
      <c r="AH244" t="s">
        <v>364</v>
      </c>
      <c r="AI244">
        <v>7.6083547013469532E-2</v>
      </c>
    </row>
    <row r="245" spans="5:35" x14ac:dyDescent="0.45">
      <c r="E245" t="s">
        <v>894</v>
      </c>
      <c r="G245" t="s">
        <v>798</v>
      </c>
      <c r="I245" t="s">
        <v>249</v>
      </c>
      <c r="J245" t="s">
        <v>365</v>
      </c>
      <c r="K245">
        <v>5.0183499583225377E-3</v>
      </c>
      <c r="L245" t="s">
        <v>251</v>
      </c>
      <c r="N245" t="s">
        <v>419</v>
      </c>
      <c r="O245" t="s">
        <v>365</v>
      </c>
      <c r="P245">
        <v>2.7789313866867387E-3</v>
      </c>
      <c r="Q245" t="s">
        <v>251</v>
      </c>
      <c r="S245" t="s">
        <v>420</v>
      </c>
      <c r="T245" t="s">
        <v>365</v>
      </c>
      <c r="U245">
        <v>2.6982631910539997E-3</v>
      </c>
      <c r="V245" t="s">
        <v>251</v>
      </c>
      <c r="X245">
        <v>3.3105022831050228E-3</v>
      </c>
      <c r="Y245">
        <v>5.5275174236962274E-3</v>
      </c>
      <c r="Z245" t="s">
        <v>365</v>
      </c>
      <c r="AA245" t="s">
        <v>25</v>
      </c>
      <c r="AC245" t="s">
        <v>22</v>
      </c>
      <c r="AD245" t="s">
        <v>365</v>
      </c>
      <c r="AE245">
        <v>2.4611591622620615E-3</v>
      </c>
      <c r="AG245" t="s">
        <v>97</v>
      </c>
      <c r="AH245" t="s">
        <v>365</v>
      </c>
      <c r="AI245">
        <v>7.1611975646219905E-2</v>
      </c>
    </row>
    <row r="246" spans="5:35" x14ac:dyDescent="0.45">
      <c r="E246" t="s">
        <v>895</v>
      </c>
      <c r="G246" t="s">
        <v>798</v>
      </c>
      <c r="I246" t="s">
        <v>249</v>
      </c>
      <c r="J246" t="s">
        <v>366</v>
      </c>
      <c r="K246">
        <v>5.1716526594711203E-2</v>
      </c>
      <c r="L246" t="s">
        <v>251</v>
      </c>
      <c r="N246" t="s">
        <v>419</v>
      </c>
      <c r="O246" t="s">
        <v>366</v>
      </c>
      <c r="P246">
        <v>1.8212867093628592E-2</v>
      </c>
      <c r="Q246" t="s">
        <v>251</v>
      </c>
      <c r="S246" t="s">
        <v>420</v>
      </c>
      <c r="T246" t="s">
        <v>366</v>
      </c>
      <c r="U246">
        <v>1.807452226982011E-2</v>
      </c>
      <c r="V246" t="s">
        <v>251</v>
      </c>
      <c r="X246">
        <v>2.3173515981735161E-2</v>
      </c>
      <c r="Y246">
        <v>2.9396779620283593E-2</v>
      </c>
      <c r="Z246" t="s">
        <v>366</v>
      </c>
      <c r="AA246" t="s">
        <v>25</v>
      </c>
      <c r="AC246" t="s">
        <v>22</v>
      </c>
      <c r="AD246" t="s">
        <v>366</v>
      </c>
      <c r="AE246">
        <v>2.0098534161700314E-2</v>
      </c>
      <c r="AG246" t="s">
        <v>97</v>
      </c>
      <c r="AH246" t="s">
        <v>366</v>
      </c>
      <c r="AI246">
        <v>0.18276082882676148</v>
      </c>
    </row>
    <row r="247" spans="5:35" x14ac:dyDescent="0.45">
      <c r="E247" t="s">
        <v>896</v>
      </c>
      <c r="G247" t="s">
        <v>798</v>
      </c>
      <c r="I247" t="s">
        <v>249</v>
      </c>
      <c r="J247" t="s">
        <v>367</v>
      </c>
      <c r="K247">
        <v>7.0970379264762001E-3</v>
      </c>
      <c r="L247" t="s">
        <v>251</v>
      </c>
      <c r="N247" t="s">
        <v>419</v>
      </c>
      <c r="O247" t="s">
        <v>367</v>
      </c>
      <c r="P247">
        <v>2.6816198555602274E-3</v>
      </c>
      <c r="Q247" t="s">
        <v>251</v>
      </c>
      <c r="S247" t="s">
        <v>420</v>
      </c>
      <c r="T247" t="s">
        <v>367</v>
      </c>
      <c r="U247">
        <v>2.6248645017552426E-3</v>
      </c>
      <c r="V247" t="s">
        <v>251</v>
      </c>
      <c r="X247">
        <v>3.3105022831050228E-3</v>
      </c>
      <c r="Y247">
        <v>4.9987983657774574E-3</v>
      </c>
      <c r="Z247" t="s">
        <v>367</v>
      </c>
      <c r="AA247" t="s">
        <v>25</v>
      </c>
      <c r="AC247" t="s">
        <v>22</v>
      </c>
      <c r="AD247" t="s">
        <v>367</v>
      </c>
      <c r="AE247">
        <v>3.3644866213600163E-3</v>
      </c>
      <c r="AG247" t="s">
        <v>97</v>
      </c>
      <c r="AH247" t="s">
        <v>367</v>
      </c>
      <c r="AI247">
        <v>5.8253063448085562E-2</v>
      </c>
    </row>
    <row r="248" spans="5:35" x14ac:dyDescent="0.45">
      <c r="E248" t="s">
        <v>897</v>
      </c>
      <c r="G248" t="s">
        <v>798</v>
      </c>
      <c r="I248" t="s">
        <v>249</v>
      </c>
      <c r="J248" t="s">
        <v>368</v>
      </c>
      <c r="K248">
        <v>6.3630387589016998E-3</v>
      </c>
      <c r="L248" t="s">
        <v>251</v>
      </c>
      <c r="N248" t="s">
        <v>419</v>
      </c>
      <c r="O248" t="s">
        <v>368</v>
      </c>
      <c r="P248">
        <v>2.6671848162734932E-3</v>
      </c>
      <c r="Q248" t="s">
        <v>251</v>
      </c>
      <c r="S248" t="s">
        <v>420</v>
      </c>
      <c r="T248" t="s">
        <v>368</v>
      </c>
      <c r="U248">
        <v>2.5250436403794815E-3</v>
      </c>
      <c r="V248" t="s">
        <v>251</v>
      </c>
      <c r="X248">
        <v>3.3105022831050228E-3</v>
      </c>
      <c r="Y248">
        <v>6.4407594328286487E-3</v>
      </c>
      <c r="Z248" t="s">
        <v>368</v>
      </c>
      <c r="AA248" t="s">
        <v>25</v>
      </c>
      <c r="AC248" t="s">
        <v>22</v>
      </c>
      <c r="AD248" t="s">
        <v>368</v>
      </c>
      <c r="AE248">
        <v>3.3890511710320463E-3</v>
      </c>
      <c r="AG248" t="s">
        <v>97</v>
      </c>
      <c r="AH248" t="s">
        <v>368</v>
      </c>
      <c r="AI248">
        <v>7.3550923610524288E-2</v>
      </c>
    </row>
    <row r="249" spans="5:35" x14ac:dyDescent="0.45">
      <c r="E249" t="s">
        <v>898</v>
      </c>
      <c r="G249" t="s">
        <v>798</v>
      </c>
      <c r="I249" t="s">
        <v>249</v>
      </c>
      <c r="J249" t="s">
        <v>369</v>
      </c>
      <c r="K249">
        <v>5.0393715138564001E-3</v>
      </c>
      <c r="L249" t="s">
        <v>251</v>
      </c>
      <c r="N249" t="s">
        <v>419</v>
      </c>
      <c r="O249" t="s">
        <v>369</v>
      </c>
      <c r="P249">
        <v>2.7585448702919721E-3</v>
      </c>
      <c r="Q249" t="s">
        <v>251</v>
      </c>
      <c r="S249" t="s">
        <v>420</v>
      </c>
      <c r="T249" t="s">
        <v>369</v>
      </c>
      <c r="U249">
        <v>2.6202007129351233E-3</v>
      </c>
      <c r="V249" t="s">
        <v>251</v>
      </c>
      <c r="X249">
        <v>3.3105022831050228E-3</v>
      </c>
      <c r="Y249">
        <v>6.4407594328286487E-3</v>
      </c>
      <c r="Z249" t="s">
        <v>369</v>
      </c>
      <c r="AA249" t="s">
        <v>25</v>
      </c>
      <c r="AC249" t="s">
        <v>22</v>
      </c>
      <c r="AD249" t="s">
        <v>369</v>
      </c>
      <c r="AE249">
        <v>3.4153394223791159E-3</v>
      </c>
      <c r="AG249" t="s">
        <v>97</v>
      </c>
      <c r="AH249" t="s">
        <v>369</v>
      </c>
      <c r="AI249">
        <v>7.9402585579899876E-2</v>
      </c>
    </row>
    <row r="250" spans="5:35" x14ac:dyDescent="0.45">
      <c r="E250" t="s">
        <v>899</v>
      </c>
      <c r="G250" t="s">
        <v>798</v>
      </c>
      <c r="I250" t="s">
        <v>249</v>
      </c>
      <c r="J250" t="s">
        <v>370</v>
      </c>
      <c r="K250">
        <v>2.5025617360669634E-3</v>
      </c>
      <c r="L250" t="s">
        <v>251</v>
      </c>
      <c r="N250" t="s">
        <v>419</v>
      </c>
      <c r="O250" t="s">
        <v>370</v>
      </c>
      <c r="P250">
        <v>2.2849622553598448E-2</v>
      </c>
      <c r="Q250" t="s">
        <v>251</v>
      </c>
      <c r="S250" t="s">
        <v>420</v>
      </c>
      <c r="T250" t="s">
        <v>370</v>
      </c>
      <c r="U250">
        <v>1.8407881929254268E-2</v>
      </c>
      <c r="V250" t="s">
        <v>251</v>
      </c>
      <c r="X250">
        <v>1.9863013698630139E-2</v>
      </c>
      <c r="Y250">
        <v>1.7495794280221105E-2</v>
      </c>
      <c r="Z250" t="s">
        <v>370</v>
      </c>
      <c r="AA250" t="s">
        <v>25</v>
      </c>
      <c r="AC250" t="s">
        <v>22</v>
      </c>
      <c r="AD250" t="s">
        <v>370</v>
      </c>
      <c r="AE250">
        <v>2.1007149613099806E-2</v>
      </c>
      <c r="AG250" t="s">
        <v>97</v>
      </c>
      <c r="AH250" t="s">
        <v>370</v>
      </c>
      <c r="AI250">
        <v>0.12572433960213991</v>
      </c>
    </row>
    <row r="251" spans="5:35" x14ac:dyDescent="0.45">
      <c r="E251" t="s">
        <v>508</v>
      </c>
      <c r="G251" t="s">
        <v>799</v>
      </c>
      <c r="I251" t="s">
        <v>249</v>
      </c>
      <c r="J251" t="s">
        <v>1020</v>
      </c>
      <c r="K251">
        <v>0</v>
      </c>
      <c r="L251" t="s">
        <v>251</v>
      </c>
      <c r="N251" t="s">
        <v>419</v>
      </c>
      <c r="O251" t="s">
        <v>1020</v>
      </c>
      <c r="P251">
        <v>6.0094029898087089E-5</v>
      </c>
      <c r="Q251" t="s">
        <v>251</v>
      </c>
      <c r="S251" t="s">
        <v>420</v>
      </c>
      <c r="T251" t="s">
        <v>1020</v>
      </c>
      <c r="U251">
        <v>5.708990909765815E-5</v>
      </c>
      <c r="V251" t="s">
        <v>251</v>
      </c>
      <c r="X251">
        <v>1.1415525114155251E-4</v>
      </c>
      <c r="Y251">
        <v>2.1546544680075254E-5</v>
      </c>
      <c r="Z251" t="s">
        <v>1020</v>
      </c>
      <c r="AA251" t="s">
        <v>25</v>
      </c>
      <c r="AC251" t="s">
        <v>22</v>
      </c>
      <c r="AD251" t="s">
        <v>1020</v>
      </c>
      <c r="AE251">
        <v>1.3161149232468003E-4</v>
      </c>
      <c r="AG251" t="s">
        <v>97</v>
      </c>
      <c r="AH251" t="s">
        <v>1020</v>
      </c>
      <c r="AI251">
        <v>0</v>
      </c>
    </row>
    <row r="252" spans="5:35" x14ac:dyDescent="0.45">
      <c r="E252" t="s">
        <v>509</v>
      </c>
      <c r="G252" t="s">
        <v>799</v>
      </c>
      <c r="I252" t="s">
        <v>249</v>
      </c>
      <c r="J252" t="s">
        <v>1021</v>
      </c>
      <c r="K252">
        <v>0</v>
      </c>
      <c r="L252" t="s">
        <v>251</v>
      </c>
      <c r="N252" t="s">
        <v>419</v>
      </c>
      <c r="O252" t="s">
        <v>1021</v>
      </c>
      <c r="P252">
        <v>5.652553107226809E-5</v>
      </c>
      <c r="Q252" t="s">
        <v>251</v>
      </c>
      <c r="S252" t="s">
        <v>420</v>
      </c>
      <c r="T252" t="s">
        <v>1021</v>
      </c>
      <c r="U252">
        <v>5.5852585351412848E-5</v>
      </c>
      <c r="V252" t="s">
        <v>251</v>
      </c>
      <c r="X252">
        <v>1.1415525114155251E-4</v>
      </c>
      <c r="Y252">
        <v>1.4916838624667481E-5</v>
      </c>
      <c r="Z252" t="s">
        <v>1021</v>
      </c>
      <c r="AA252" t="s">
        <v>25</v>
      </c>
      <c r="AC252" t="s">
        <v>22</v>
      </c>
      <c r="AD252" t="s">
        <v>1021</v>
      </c>
      <c r="AE252">
        <v>1.2763025101580802E-4</v>
      </c>
      <c r="AG252" t="s">
        <v>97</v>
      </c>
      <c r="AH252" t="s">
        <v>1021</v>
      </c>
      <c r="AI252">
        <v>0</v>
      </c>
    </row>
    <row r="253" spans="5:35" x14ac:dyDescent="0.45">
      <c r="E253" t="s">
        <v>510</v>
      </c>
      <c r="G253" t="s">
        <v>799</v>
      </c>
      <c r="I253" t="s">
        <v>249</v>
      </c>
      <c r="J253" t="s">
        <v>1022</v>
      </c>
      <c r="K253">
        <v>0</v>
      </c>
      <c r="L253" t="s">
        <v>251</v>
      </c>
      <c r="N253" t="s">
        <v>419</v>
      </c>
      <c r="O253" t="s">
        <v>1022</v>
      </c>
      <c r="P253">
        <v>5.1332071938100322E-5</v>
      </c>
      <c r="Q253" t="s">
        <v>251</v>
      </c>
      <c r="S253" t="s">
        <v>420</v>
      </c>
      <c r="T253" t="s">
        <v>1022</v>
      </c>
      <c r="U253">
        <v>5.1840817773569868E-5</v>
      </c>
      <c r="V253" t="s">
        <v>251</v>
      </c>
      <c r="X253">
        <v>1.1415525114155251E-4</v>
      </c>
      <c r="Y253">
        <v>1.6574265138519424E-5</v>
      </c>
      <c r="Z253" t="s">
        <v>1022</v>
      </c>
      <c r="AA253" t="s">
        <v>25</v>
      </c>
      <c r="AC253" t="s">
        <v>22</v>
      </c>
      <c r="AD253" t="s">
        <v>1022</v>
      </c>
      <c r="AE253">
        <v>1.2492397802531027E-4</v>
      </c>
      <c r="AG253" t="s">
        <v>97</v>
      </c>
      <c r="AH253" t="s">
        <v>1022</v>
      </c>
      <c r="AI253">
        <v>0</v>
      </c>
    </row>
    <row r="254" spans="5:35" x14ac:dyDescent="0.45">
      <c r="E254" t="s">
        <v>511</v>
      </c>
      <c r="G254" t="s">
        <v>799</v>
      </c>
      <c r="I254" t="s">
        <v>249</v>
      </c>
      <c r="J254" t="s">
        <v>1023</v>
      </c>
      <c r="K254">
        <v>0</v>
      </c>
      <c r="L254" t="s">
        <v>251</v>
      </c>
      <c r="N254" t="s">
        <v>419</v>
      </c>
      <c r="O254" t="s">
        <v>1023</v>
      </c>
      <c r="P254">
        <v>5.3945167503429617E-5</v>
      </c>
      <c r="Q254" t="s">
        <v>251</v>
      </c>
      <c r="S254" t="s">
        <v>420</v>
      </c>
      <c r="T254" t="s">
        <v>1023</v>
      </c>
      <c r="U254">
        <v>4.9814749568872203E-5</v>
      </c>
      <c r="V254" t="s">
        <v>251</v>
      </c>
      <c r="X254">
        <v>1.1415525114155251E-4</v>
      </c>
      <c r="Y254">
        <v>1.4585353321897093E-5</v>
      </c>
      <c r="Z254" t="s">
        <v>1023</v>
      </c>
      <c r="AA254" t="s">
        <v>25</v>
      </c>
      <c r="AC254" t="s">
        <v>22</v>
      </c>
      <c r="AD254" t="s">
        <v>1023</v>
      </c>
      <c r="AE254">
        <v>1.12641969974882E-4</v>
      </c>
      <c r="AG254" t="s">
        <v>97</v>
      </c>
      <c r="AH254" t="s">
        <v>1023</v>
      </c>
      <c r="AI254">
        <v>0</v>
      </c>
    </row>
    <row r="255" spans="5:35" x14ac:dyDescent="0.45">
      <c r="E255" t="s">
        <v>512</v>
      </c>
      <c r="G255" t="s">
        <v>799</v>
      </c>
      <c r="I255" t="s">
        <v>249</v>
      </c>
      <c r="J255" t="s">
        <v>1024</v>
      </c>
      <c r="K255">
        <v>0</v>
      </c>
      <c r="L255" t="s">
        <v>251</v>
      </c>
      <c r="N255" t="s">
        <v>419</v>
      </c>
      <c r="O255" t="s">
        <v>1024</v>
      </c>
      <c r="P255">
        <v>4.65041881540715E-5</v>
      </c>
      <c r="Q255" t="s">
        <v>251</v>
      </c>
      <c r="S255" t="s">
        <v>420</v>
      </c>
      <c r="T255" t="s">
        <v>1024</v>
      </c>
      <c r="U255">
        <v>4.8338633251479815E-5</v>
      </c>
      <c r="V255" t="s">
        <v>251</v>
      </c>
      <c r="X255">
        <v>1.1415525114155251E-4</v>
      </c>
      <c r="Y255">
        <v>2.1215059377304864E-5</v>
      </c>
      <c r="Z255" t="s">
        <v>1024</v>
      </c>
      <c r="AA255" t="s">
        <v>25</v>
      </c>
      <c r="AC255" t="s">
        <v>22</v>
      </c>
      <c r="AD255" t="s">
        <v>1024</v>
      </c>
      <c r="AE255">
        <v>1.0530509955772126E-4</v>
      </c>
      <c r="AG255" t="s">
        <v>97</v>
      </c>
      <c r="AH255" t="s">
        <v>1024</v>
      </c>
      <c r="AI255">
        <v>0</v>
      </c>
    </row>
    <row r="256" spans="5:35" x14ac:dyDescent="0.45">
      <c r="E256" t="s">
        <v>513</v>
      </c>
      <c r="G256" t="s">
        <v>799</v>
      </c>
      <c r="I256" t="s">
        <v>249</v>
      </c>
      <c r="J256" t="s">
        <v>1025</v>
      </c>
      <c r="K256">
        <v>0</v>
      </c>
      <c r="L256" t="s">
        <v>251</v>
      </c>
      <c r="N256" t="s">
        <v>419</v>
      </c>
      <c r="O256" t="s">
        <v>1025</v>
      </c>
      <c r="P256">
        <v>4.096917049590117E-5</v>
      </c>
      <c r="Q256" t="s">
        <v>251</v>
      </c>
      <c r="S256" t="s">
        <v>420</v>
      </c>
      <c r="T256" t="s">
        <v>1025</v>
      </c>
      <c r="U256">
        <v>5.1855328450070497E-5</v>
      </c>
      <c r="V256" t="s">
        <v>251</v>
      </c>
      <c r="X256">
        <v>1.1415525114155251E-4</v>
      </c>
      <c r="Y256">
        <v>5.7678442682047593E-5</v>
      </c>
      <c r="Z256" t="s">
        <v>1025</v>
      </c>
      <c r="AA256" t="s">
        <v>25</v>
      </c>
      <c r="AC256" t="s">
        <v>22</v>
      </c>
      <c r="AD256" t="s">
        <v>1025</v>
      </c>
      <c r="AE256">
        <v>9.8638127748519906E-5</v>
      </c>
      <c r="AG256" t="s">
        <v>97</v>
      </c>
      <c r="AH256" t="s">
        <v>1025</v>
      </c>
      <c r="AI256">
        <v>0</v>
      </c>
    </row>
    <row r="257" spans="5:35" x14ac:dyDescent="0.45">
      <c r="E257" t="s">
        <v>514</v>
      </c>
      <c r="G257" t="s">
        <v>799</v>
      </c>
      <c r="I257" t="s">
        <v>249</v>
      </c>
      <c r="J257" t="s">
        <v>1026</v>
      </c>
      <c r="K257">
        <v>4.0787330059355363E-5</v>
      </c>
      <c r="L257" t="s">
        <v>251</v>
      </c>
      <c r="N257" t="s">
        <v>419</v>
      </c>
      <c r="O257" t="s">
        <v>1026</v>
      </c>
      <c r="P257">
        <v>3.5518429746406824E-5</v>
      </c>
      <c r="Q257" t="s">
        <v>251</v>
      </c>
      <c r="S257" t="s">
        <v>420</v>
      </c>
      <c r="T257" t="s">
        <v>1026</v>
      </c>
      <c r="U257">
        <v>5.9279547728978519E-5</v>
      </c>
      <c r="V257" t="s">
        <v>251</v>
      </c>
      <c r="X257">
        <v>1.1415525114155251E-4</v>
      </c>
      <c r="Y257">
        <v>1.6905750441289813E-4</v>
      </c>
      <c r="Z257" t="s">
        <v>1026</v>
      </c>
      <c r="AA257" t="s">
        <v>25</v>
      </c>
      <c r="AC257" t="s">
        <v>22</v>
      </c>
      <c r="AD257" t="s">
        <v>1026</v>
      </c>
      <c r="AE257">
        <v>9.5258221151850347E-5</v>
      </c>
      <c r="AG257" t="s">
        <v>97</v>
      </c>
      <c r="AH257" t="s">
        <v>1026</v>
      </c>
      <c r="AI257">
        <v>0</v>
      </c>
    </row>
    <row r="258" spans="5:35" x14ac:dyDescent="0.45">
      <c r="E258" t="s">
        <v>515</v>
      </c>
      <c r="G258" t="s">
        <v>799</v>
      </c>
      <c r="I258" t="s">
        <v>249</v>
      </c>
      <c r="J258" t="s">
        <v>1027</v>
      </c>
      <c r="K258">
        <v>9.4311621969324079E-5</v>
      </c>
      <c r="L258" t="s">
        <v>251</v>
      </c>
      <c r="N258" t="s">
        <v>419</v>
      </c>
      <c r="O258" t="s">
        <v>1027</v>
      </c>
      <c r="P258">
        <v>2.4784943653458371E-5</v>
      </c>
      <c r="Q258" t="s">
        <v>251</v>
      </c>
      <c r="S258" t="s">
        <v>420</v>
      </c>
      <c r="T258" t="s">
        <v>1027</v>
      </c>
      <c r="U258">
        <v>6.6705357315398155E-5</v>
      </c>
      <c r="V258" t="s">
        <v>251</v>
      </c>
      <c r="X258">
        <v>1.1415525114155251E-4</v>
      </c>
      <c r="Y258">
        <v>1.9060404909297337E-4</v>
      </c>
      <c r="Z258" t="s">
        <v>1027</v>
      </c>
      <c r="AA258" t="s">
        <v>25</v>
      </c>
      <c r="AC258" t="s">
        <v>22</v>
      </c>
      <c r="AD258" t="s">
        <v>1027</v>
      </c>
      <c r="AE258">
        <v>9.187271205786214E-5</v>
      </c>
      <c r="AG258" t="s">
        <v>97</v>
      </c>
      <c r="AH258" t="s">
        <v>1027</v>
      </c>
      <c r="AI258">
        <v>0</v>
      </c>
    </row>
    <row r="259" spans="5:35" x14ac:dyDescent="0.45">
      <c r="E259" t="s">
        <v>516</v>
      </c>
      <c r="G259" t="s">
        <v>799</v>
      </c>
      <c r="I259" t="s">
        <v>249</v>
      </c>
      <c r="J259" t="s">
        <v>1028</v>
      </c>
      <c r="K259">
        <v>1.4137556826109999E-4</v>
      </c>
      <c r="L259" t="s">
        <v>251</v>
      </c>
      <c r="N259" t="s">
        <v>419</v>
      </c>
      <c r="O259" t="s">
        <v>1028</v>
      </c>
      <c r="P259">
        <v>2.1681593446359102E-5</v>
      </c>
      <c r="Q259" t="s">
        <v>251</v>
      </c>
      <c r="S259" t="s">
        <v>420</v>
      </c>
      <c r="T259" t="s">
        <v>1028</v>
      </c>
      <c r="U259">
        <v>6.7925866717212714E-5</v>
      </c>
      <c r="V259" t="s">
        <v>251</v>
      </c>
      <c r="X259">
        <v>1.1415525114155251E-4</v>
      </c>
      <c r="Y259">
        <v>1.4585353321897094E-4</v>
      </c>
      <c r="Z259" t="s">
        <v>1028</v>
      </c>
      <c r="AA259" t="s">
        <v>25</v>
      </c>
      <c r="AC259" t="s">
        <v>22</v>
      </c>
      <c r="AD259" t="s">
        <v>1028</v>
      </c>
      <c r="AE259">
        <v>9.1351146236053892E-5</v>
      </c>
      <c r="AG259" t="s">
        <v>97</v>
      </c>
      <c r="AH259" t="s">
        <v>1028</v>
      </c>
      <c r="AI259">
        <v>0</v>
      </c>
    </row>
    <row r="260" spans="5:35" x14ac:dyDescent="0.45">
      <c r="E260" t="s">
        <v>517</v>
      </c>
      <c r="G260" t="s">
        <v>799</v>
      </c>
      <c r="I260" t="s">
        <v>249</v>
      </c>
      <c r="J260" t="s">
        <v>1029</v>
      </c>
      <c r="K260">
        <v>1.7124793398390001E-4</v>
      </c>
      <c r="L260" t="s">
        <v>251</v>
      </c>
      <c r="N260" t="s">
        <v>419</v>
      </c>
      <c r="O260" t="s">
        <v>1029</v>
      </c>
      <c r="P260">
        <v>2.3007490122673294E-5</v>
      </c>
      <c r="Q260" t="s">
        <v>251</v>
      </c>
      <c r="S260" t="s">
        <v>420</v>
      </c>
      <c r="T260" t="s">
        <v>1029</v>
      </c>
      <c r="U260">
        <v>7.4182878825795708E-5</v>
      </c>
      <c r="V260" t="s">
        <v>251</v>
      </c>
      <c r="X260">
        <v>1.1415525114155251E-4</v>
      </c>
      <c r="Y260">
        <v>1.4452759200788939E-4</v>
      </c>
      <c r="Z260" t="s">
        <v>1029</v>
      </c>
      <c r="AA260" t="s">
        <v>25</v>
      </c>
      <c r="AC260" t="s">
        <v>22</v>
      </c>
      <c r="AD260" t="s">
        <v>1029</v>
      </c>
      <c r="AE260">
        <v>9.1939942025686029E-5</v>
      </c>
      <c r="AG260" t="s">
        <v>97</v>
      </c>
      <c r="AH260" t="s">
        <v>1029</v>
      </c>
      <c r="AI260">
        <v>0</v>
      </c>
    </row>
    <row r="261" spans="5:35" x14ac:dyDescent="0.45">
      <c r="E261" t="s">
        <v>518</v>
      </c>
      <c r="G261" t="s">
        <v>799</v>
      </c>
      <c r="I261" t="s">
        <v>249</v>
      </c>
      <c r="J261" t="s">
        <v>1030</v>
      </c>
      <c r="K261">
        <v>1.895647993923E-4</v>
      </c>
      <c r="L261" t="s">
        <v>251</v>
      </c>
      <c r="N261" t="s">
        <v>419</v>
      </c>
      <c r="O261" t="s">
        <v>1030</v>
      </c>
      <c r="P261">
        <v>2.5284366441646623E-5</v>
      </c>
      <c r="Q261" t="s">
        <v>251</v>
      </c>
      <c r="S261" t="s">
        <v>420</v>
      </c>
      <c r="T261" t="s">
        <v>1030</v>
      </c>
      <c r="U261">
        <v>8.0349099865312172E-5</v>
      </c>
      <c r="V261" t="s">
        <v>251</v>
      </c>
      <c r="X261">
        <v>1.1415525114155251E-4</v>
      </c>
      <c r="Y261">
        <v>1.408812536774151E-4</v>
      </c>
      <c r="Z261" t="s">
        <v>1030</v>
      </c>
      <c r="AA261" t="s">
        <v>25</v>
      </c>
      <c r="AC261" t="s">
        <v>22</v>
      </c>
      <c r="AD261" t="s">
        <v>1030</v>
      </c>
      <c r="AE261">
        <v>9.819179546213359E-5</v>
      </c>
      <c r="AG261" t="s">
        <v>97</v>
      </c>
      <c r="AH261" t="s">
        <v>1030</v>
      </c>
      <c r="AI261">
        <v>0</v>
      </c>
    </row>
    <row r="262" spans="5:35" x14ac:dyDescent="0.45">
      <c r="E262" t="s">
        <v>519</v>
      </c>
      <c r="G262" t="s">
        <v>799</v>
      </c>
      <c r="I262" t="s">
        <v>249</v>
      </c>
      <c r="J262" t="s">
        <v>1031</v>
      </c>
      <c r="K262">
        <v>2.080089373088E-4</v>
      </c>
      <c r="L262" t="s">
        <v>251</v>
      </c>
      <c r="N262" t="s">
        <v>419</v>
      </c>
      <c r="O262" t="s">
        <v>1031</v>
      </c>
      <c r="P262">
        <v>2.7651993675796478E-5</v>
      </c>
      <c r="Q262" t="s">
        <v>251</v>
      </c>
      <c r="S262" t="s">
        <v>420</v>
      </c>
      <c r="T262" t="s">
        <v>1031</v>
      </c>
      <c r="U262">
        <v>8.2638830529696303E-5</v>
      </c>
      <c r="V262" t="s">
        <v>251</v>
      </c>
      <c r="X262">
        <v>1.1415525114155251E-4</v>
      </c>
      <c r="Y262">
        <v>1.4054976837464471E-4</v>
      </c>
      <c r="Z262" t="s">
        <v>1031</v>
      </c>
      <c r="AA262" t="s">
        <v>25</v>
      </c>
      <c r="AC262" t="s">
        <v>22</v>
      </c>
      <c r="AD262" t="s">
        <v>1031</v>
      </c>
      <c r="AE262">
        <v>1.0340318511083065E-4</v>
      </c>
      <c r="AG262" t="s">
        <v>97</v>
      </c>
      <c r="AH262" t="s">
        <v>1031</v>
      </c>
      <c r="AI262">
        <v>0</v>
      </c>
    </row>
    <row r="263" spans="5:35" x14ac:dyDescent="0.45">
      <c r="E263" t="s">
        <v>520</v>
      </c>
      <c r="G263" t="s">
        <v>799</v>
      </c>
      <c r="I263" t="s">
        <v>249</v>
      </c>
      <c r="J263" t="s">
        <v>1032</v>
      </c>
      <c r="K263">
        <v>2.0374882054820001E-4</v>
      </c>
      <c r="L263" t="s">
        <v>251</v>
      </c>
      <c r="N263" t="s">
        <v>419</v>
      </c>
      <c r="O263" t="s">
        <v>1032</v>
      </c>
      <c r="P263">
        <v>3.1085129511905552E-5</v>
      </c>
      <c r="Q263" t="s">
        <v>251</v>
      </c>
      <c r="S263" t="s">
        <v>420</v>
      </c>
      <c r="T263" t="s">
        <v>1032</v>
      </c>
      <c r="U263">
        <v>8.8059403849031261E-5</v>
      </c>
      <c r="V263" t="s">
        <v>251</v>
      </c>
      <c r="X263">
        <v>1.1415525114155251E-4</v>
      </c>
      <c r="Y263">
        <v>1.4253868019126702E-4</v>
      </c>
      <c r="Z263" t="s">
        <v>1032</v>
      </c>
      <c r="AA263" t="s">
        <v>25</v>
      </c>
      <c r="AC263" t="s">
        <v>22</v>
      </c>
      <c r="AD263" t="s">
        <v>1032</v>
      </c>
      <c r="AE263">
        <v>1.1162658403227212E-4</v>
      </c>
      <c r="AG263" t="s">
        <v>97</v>
      </c>
      <c r="AH263" t="s">
        <v>1032</v>
      </c>
      <c r="AI263">
        <v>0</v>
      </c>
    </row>
    <row r="264" spans="5:35" x14ac:dyDescent="0.45">
      <c r="E264" t="s">
        <v>521</v>
      </c>
      <c r="G264" t="s">
        <v>799</v>
      </c>
      <c r="I264" t="s">
        <v>249</v>
      </c>
      <c r="J264" t="s">
        <v>1033</v>
      </c>
      <c r="K264">
        <v>1.996512302124E-4</v>
      </c>
      <c r="L264" t="s">
        <v>251</v>
      </c>
      <c r="N264" t="s">
        <v>419</v>
      </c>
      <c r="O264" t="s">
        <v>1033</v>
      </c>
      <c r="P264">
        <v>3.3653217927049085E-5</v>
      </c>
      <c r="Q264" t="s">
        <v>251</v>
      </c>
      <c r="S264" t="s">
        <v>420</v>
      </c>
      <c r="T264" t="s">
        <v>1033</v>
      </c>
      <c r="U264">
        <v>9.2257914769287155E-5</v>
      </c>
      <c r="V264" t="s">
        <v>251</v>
      </c>
      <c r="X264">
        <v>1.1415525114155251E-4</v>
      </c>
      <c r="Y264">
        <v>1.4883690094390442E-4</v>
      </c>
      <c r="Z264" t="s">
        <v>1033</v>
      </c>
      <c r="AA264" t="s">
        <v>25</v>
      </c>
      <c r="AC264" t="s">
        <v>22</v>
      </c>
      <c r="AD264" t="s">
        <v>1033</v>
      </c>
      <c r="AE264">
        <v>1.1886794520942909E-4</v>
      </c>
      <c r="AG264" t="s">
        <v>97</v>
      </c>
      <c r="AH264" t="s">
        <v>1033</v>
      </c>
      <c r="AI264">
        <v>0</v>
      </c>
    </row>
    <row r="265" spans="5:35" x14ac:dyDescent="0.45">
      <c r="E265" t="s">
        <v>522</v>
      </c>
      <c r="G265" t="s">
        <v>799</v>
      </c>
      <c r="I265" t="s">
        <v>249</v>
      </c>
      <c r="J265" t="s">
        <v>1034</v>
      </c>
      <c r="K265">
        <v>1.984144051045E-4</v>
      </c>
      <c r="L265" t="s">
        <v>251</v>
      </c>
      <c r="N265" t="s">
        <v>419</v>
      </c>
      <c r="O265" t="s">
        <v>1034</v>
      </c>
      <c r="P265">
        <v>3.4525264843169706E-5</v>
      </c>
      <c r="Q265" t="s">
        <v>251</v>
      </c>
      <c r="S265" t="s">
        <v>420</v>
      </c>
      <c r="T265" t="s">
        <v>1034</v>
      </c>
      <c r="U265">
        <v>8.2063173210658859E-5</v>
      </c>
      <c r="V265" t="s">
        <v>251</v>
      </c>
      <c r="X265">
        <v>1.1415525114155251E-4</v>
      </c>
      <c r="Y265">
        <v>1.5049432745775637E-4</v>
      </c>
      <c r="Z265" t="s">
        <v>1034</v>
      </c>
      <c r="AA265" t="s">
        <v>25</v>
      </c>
      <c r="AC265" t="s">
        <v>22</v>
      </c>
      <c r="AD265" t="s">
        <v>1034</v>
      </c>
      <c r="AE265">
        <v>1.2301299286847516E-4</v>
      </c>
      <c r="AG265" t="s">
        <v>97</v>
      </c>
      <c r="AH265" t="s">
        <v>1034</v>
      </c>
      <c r="AI265">
        <v>0</v>
      </c>
    </row>
    <row r="266" spans="5:35" x14ac:dyDescent="0.45">
      <c r="E266" t="s">
        <v>523</v>
      </c>
      <c r="G266" t="s">
        <v>799</v>
      </c>
      <c r="I266" t="s">
        <v>249</v>
      </c>
      <c r="J266" t="s">
        <v>1035</v>
      </c>
      <c r="K266">
        <v>1.8498673104120001E-4</v>
      </c>
      <c r="L266" t="s">
        <v>251</v>
      </c>
      <c r="N266" t="s">
        <v>419</v>
      </c>
      <c r="O266" t="s">
        <v>1035</v>
      </c>
      <c r="P266">
        <v>3.8095749433067159E-5</v>
      </c>
      <c r="Q266" t="s">
        <v>251</v>
      </c>
      <c r="S266" t="s">
        <v>420</v>
      </c>
      <c r="T266" t="s">
        <v>1035</v>
      </c>
      <c r="U266">
        <v>7.6034119205626934E-5</v>
      </c>
      <c r="V266" t="s">
        <v>251</v>
      </c>
      <c r="X266">
        <v>1.1415525114155251E-4</v>
      </c>
      <c r="Y266">
        <v>1.7237235744060203E-4</v>
      </c>
      <c r="Z266" t="s">
        <v>1035</v>
      </c>
      <c r="AA266" t="s">
        <v>25</v>
      </c>
      <c r="AC266" t="s">
        <v>22</v>
      </c>
      <c r="AD266" t="s">
        <v>1035</v>
      </c>
      <c r="AE266">
        <v>1.2513820685135224E-4</v>
      </c>
      <c r="AG266" t="s">
        <v>97</v>
      </c>
      <c r="AH266" t="s">
        <v>1035</v>
      </c>
      <c r="AI266">
        <v>0</v>
      </c>
    </row>
    <row r="267" spans="5:35" x14ac:dyDescent="0.45">
      <c r="E267" t="s">
        <v>524</v>
      </c>
      <c r="G267" t="s">
        <v>799</v>
      </c>
      <c r="I267" t="s">
        <v>249</v>
      </c>
      <c r="J267" t="s">
        <v>1036</v>
      </c>
      <c r="K267">
        <v>1.6140733186189999E-4</v>
      </c>
      <c r="L267" t="s">
        <v>251</v>
      </c>
      <c r="N267" t="s">
        <v>419</v>
      </c>
      <c r="O267" t="s">
        <v>1036</v>
      </c>
      <c r="P267">
        <v>3.6063127810576708E-5</v>
      </c>
      <c r="Q267" t="s">
        <v>251</v>
      </c>
      <c r="S267" t="s">
        <v>420</v>
      </c>
      <c r="T267" t="s">
        <v>1036</v>
      </c>
      <c r="U267">
        <v>5.5347632277182925E-5</v>
      </c>
      <c r="V267" t="s">
        <v>251</v>
      </c>
      <c r="X267">
        <v>1.1415525114155251E-4</v>
      </c>
      <c r="Y267">
        <v>2.2209515285616027E-4</v>
      </c>
      <c r="Z267" t="s">
        <v>1036</v>
      </c>
      <c r="AA267" t="s">
        <v>25</v>
      </c>
      <c r="AC267" t="s">
        <v>22</v>
      </c>
      <c r="AD267" t="s">
        <v>1036</v>
      </c>
      <c r="AE267">
        <v>1.2831535640220372E-4</v>
      </c>
      <c r="AG267" t="s">
        <v>97</v>
      </c>
      <c r="AH267" t="s">
        <v>1036</v>
      </c>
      <c r="AI267">
        <v>0</v>
      </c>
    </row>
    <row r="268" spans="5:35" x14ac:dyDescent="0.45">
      <c r="E268" t="s">
        <v>525</v>
      </c>
      <c r="G268" t="s">
        <v>799</v>
      </c>
      <c r="I268" t="s">
        <v>249</v>
      </c>
      <c r="J268" t="s">
        <v>1037</v>
      </c>
      <c r="K268">
        <v>1.1617709056799999E-4</v>
      </c>
      <c r="L268" t="s">
        <v>251</v>
      </c>
      <c r="N268" t="s">
        <v>419</v>
      </c>
      <c r="O268" t="s">
        <v>1037</v>
      </c>
      <c r="P268">
        <v>3.3821627686976499E-5</v>
      </c>
      <c r="Q268" t="s">
        <v>251</v>
      </c>
      <c r="S268" t="s">
        <v>420</v>
      </c>
      <c r="T268" t="s">
        <v>1037</v>
      </c>
      <c r="U268">
        <v>6.6712044156919529E-5</v>
      </c>
      <c r="V268" t="s">
        <v>251</v>
      </c>
      <c r="X268">
        <v>1.1415525114155251E-4</v>
      </c>
      <c r="Y268">
        <v>2.2209515285616027E-4</v>
      </c>
      <c r="Z268" t="s">
        <v>1037</v>
      </c>
      <c r="AA268" t="s">
        <v>25</v>
      </c>
      <c r="AC268" t="s">
        <v>22</v>
      </c>
      <c r="AD268" t="s">
        <v>1037</v>
      </c>
      <c r="AE268">
        <v>1.3101896153683545E-4</v>
      </c>
      <c r="AG268" t="s">
        <v>97</v>
      </c>
      <c r="AH268" t="s">
        <v>1037</v>
      </c>
      <c r="AI268">
        <v>0</v>
      </c>
    </row>
    <row r="269" spans="5:35" x14ac:dyDescent="0.45">
      <c r="E269" t="s">
        <v>526</v>
      </c>
      <c r="G269" t="s">
        <v>799</v>
      </c>
      <c r="I269" t="s">
        <v>249</v>
      </c>
      <c r="J269" t="s">
        <v>1038</v>
      </c>
      <c r="K269">
        <v>6.5694116154064108E-5</v>
      </c>
      <c r="L269" t="s">
        <v>251</v>
      </c>
      <c r="N269" t="s">
        <v>419</v>
      </c>
      <c r="O269" t="s">
        <v>1038</v>
      </c>
      <c r="P269">
        <v>3.5914895946673685E-5</v>
      </c>
      <c r="Q269" t="s">
        <v>251</v>
      </c>
      <c r="S269" t="s">
        <v>420</v>
      </c>
      <c r="T269" t="s">
        <v>1038</v>
      </c>
      <c r="U269">
        <v>8.9287956692003843E-5</v>
      </c>
      <c r="V269" t="s">
        <v>251</v>
      </c>
      <c r="X269">
        <v>1.1415525114155251E-4</v>
      </c>
      <c r="Y269">
        <v>1.7237235744060203E-4</v>
      </c>
      <c r="Z269" t="s">
        <v>1038</v>
      </c>
      <c r="AA269" t="s">
        <v>25</v>
      </c>
      <c r="AC269" t="s">
        <v>22</v>
      </c>
      <c r="AD269" t="s">
        <v>1038</v>
      </c>
      <c r="AE269">
        <v>1.3606681162094505E-4</v>
      </c>
      <c r="AG269" t="s">
        <v>97</v>
      </c>
      <c r="AH269" t="s">
        <v>1038</v>
      </c>
      <c r="AI269">
        <v>0</v>
      </c>
    </row>
    <row r="270" spans="5:35" x14ac:dyDescent="0.45">
      <c r="E270" t="s">
        <v>527</v>
      </c>
      <c r="G270" t="s">
        <v>799</v>
      </c>
      <c r="I270" t="s">
        <v>249</v>
      </c>
      <c r="J270" t="s">
        <v>1039</v>
      </c>
      <c r="K270">
        <v>0</v>
      </c>
      <c r="L270" t="s">
        <v>251</v>
      </c>
      <c r="N270" t="s">
        <v>419</v>
      </c>
      <c r="O270" t="s">
        <v>1039</v>
      </c>
      <c r="P270">
        <v>4.2042996807454241E-5</v>
      </c>
      <c r="Q270" t="s">
        <v>251</v>
      </c>
      <c r="S270" t="s">
        <v>420</v>
      </c>
      <c r="T270" t="s">
        <v>1039</v>
      </c>
      <c r="U270">
        <v>1.14751184103E-4</v>
      </c>
      <c r="V270" t="s">
        <v>251</v>
      </c>
      <c r="X270">
        <v>1.1415525114155251E-4</v>
      </c>
      <c r="Y270">
        <v>1.5579809230208258E-4</v>
      </c>
      <c r="Z270" t="s">
        <v>1039</v>
      </c>
      <c r="AA270" t="s">
        <v>25</v>
      </c>
      <c r="AC270" t="s">
        <v>22</v>
      </c>
      <c r="AD270" t="s">
        <v>1039</v>
      </c>
      <c r="AE270">
        <v>1.3778304329956019E-4</v>
      </c>
      <c r="AG270" t="s">
        <v>97</v>
      </c>
      <c r="AH270" t="s">
        <v>1039</v>
      </c>
      <c r="AI270">
        <v>0</v>
      </c>
    </row>
    <row r="271" spans="5:35" x14ac:dyDescent="0.45">
      <c r="E271" t="s">
        <v>528</v>
      </c>
      <c r="G271" t="s">
        <v>799</v>
      </c>
      <c r="I271" t="s">
        <v>249</v>
      </c>
      <c r="J271" t="s">
        <v>1040</v>
      </c>
      <c r="K271">
        <v>0</v>
      </c>
      <c r="L271" t="s">
        <v>251</v>
      </c>
      <c r="N271" t="s">
        <v>419</v>
      </c>
      <c r="O271" t="s">
        <v>1040</v>
      </c>
      <c r="P271">
        <v>4.6931756891853767E-5</v>
      </c>
      <c r="Q271" t="s">
        <v>251</v>
      </c>
      <c r="S271" t="s">
        <v>420</v>
      </c>
      <c r="T271" t="s">
        <v>1040</v>
      </c>
      <c r="U271">
        <v>1.3160549668620001E-4</v>
      </c>
      <c r="V271" t="s">
        <v>251</v>
      </c>
      <c r="X271">
        <v>1.1415525114155251E-4</v>
      </c>
      <c r="Y271">
        <v>1.093901499142282E-4</v>
      </c>
      <c r="Z271" t="s">
        <v>1040</v>
      </c>
      <c r="AA271" t="s">
        <v>25</v>
      </c>
      <c r="AC271" t="s">
        <v>22</v>
      </c>
      <c r="AD271" t="s">
        <v>1040</v>
      </c>
      <c r="AE271">
        <v>1.3831901554304499E-4</v>
      </c>
      <c r="AG271" t="s">
        <v>97</v>
      </c>
      <c r="AH271" t="s">
        <v>1040</v>
      </c>
      <c r="AI271">
        <v>0</v>
      </c>
    </row>
    <row r="272" spans="5:35" x14ac:dyDescent="0.45">
      <c r="E272" t="s">
        <v>529</v>
      </c>
      <c r="G272" t="s">
        <v>799</v>
      </c>
      <c r="I272" t="s">
        <v>249</v>
      </c>
      <c r="J272" t="s">
        <v>1041</v>
      </c>
      <c r="K272">
        <v>0</v>
      </c>
      <c r="L272" t="s">
        <v>251</v>
      </c>
      <c r="N272" t="s">
        <v>419</v>
      </c>
      <c r="O272" t="s">
        <v>1041</v>
      </c>
      <c r="P272">
        <v>4.9495786772163647E-5</v>
      </c>
      <c r="Q272" t="s">
        <v>251</v>
      </c>
      <c r="S272" t="s">
        <v>420</v>
      </c>
      <c r="T272" t="s">
        <v>1041</v>
      </c>
      <c r="U272">
        <v>1.4647395713510001E-4</v>
      </c>
      <c r="V272" t="s">
        <v>251</v>
      </c>
      <c r="X272">
        <v>1.1415525114155251E-4</v>
      </c>
      <c r="Y272">
        <v>7.9556472664893237E-5</v>
      </c>
      <c r="Z272" t="s">
        <v>1041</v>
      </c>
      <c r="AA272" t="s">
        <v>25</v>
      </c>
      <c r="AC272" t="s">
        <v>22</v>
      </c>
      <c r="AD272" t="s">
        <v>1041</v>
      </c>
      <c r="AE272">
        <v>1.3772861903989323E-4</v>
      </c>
      <c r="AG272" t="s">
        <v>97</v>
      </c>
      <c r="AH272" t="s">
        <v>1041</v>
      </c>
      <c r="AI272">
        <v>0</v>
      </c>
    </row>
    <row r="273" spans="5:35" x14ac:dyDescent="0.45">
      <c r="E273" t="s">
        <v>530</v>
      </c>
      <c r="G273" t="s">
        <v>799</v>
      </c>
      <c r="I273" t="s">
        <v>249</v>
      </c>
      <c r="J273" t="s">
        <v>1042</v>
      </c>
      <c r="K273">
        <v>0</v>
      </c>
      <c r="L273" t="s">
        <v>251</v>
      </c>
      <c r="N273" t="s">
        <v>419</v>
      </c>
      <c r="O273" t="s">
        <v>1042</v>
      </c>
      <c r="P273">
        <v>4.884078354599622E-5</v>
      </c>
      <c r="Q273" t="s">
        <v>251</v>
      </c>
      <c r="S273" t="s">
        <v>420</v>
      </c>
      <c r="T273" t="s">
        <v>1042</v>
      </c>
      <c r="U273">
        <v>1.4757513937040001E-4</v>
      </c>
      <c r="V273" t="s">
        <v>251</v>
      </c>
      <c r="X273">
        <v>1.1415525114155251E-4</v>
      </c>
      <c r="Y273">
        <v>5.6352501470966035E-5</v>
      </c>
      <c r="Z273" t="s">
        <v>1042</v>
      </c>
      <c r="AA273" t="s">
        <v>25</v>
      </c>
      <c r="AC273" t="s">
        <v>22</v>
      </c>
      <c r="AD273" t="s">
        <v>1042</v>
      </c>
      <c r="AE273">
        <v>1.3142207455819213E-4</v>
      </c>
      <c r="AG273" t="s">
        <v>97</v>
      </c>
      <c r="AH273" t="s">
        <v>1042</v>
      </c>
      <c r="AI273">
        <v>0</v>
      </c>
    </row>
    <row r="274" spans="5:35" x14ac:dyDescent="0.45">
      <c r="E274" t="s">
        <v>531</v>
      </c>
      <c r="G274" t="s">
        <v>799</v>
      </c>
      <c r="I274" t="s">
        <v>249</v>
      </c>
      <c r="J274" t="s">
        <v>1043</v>
      </c>
      <c r="K274">
        <v>0</v>
      </c>
      <c r="L274" t="s">
        <v>251</v>
      </c>
      <c r="N274" t="s">
        <v>419</v>
      </c>
      <c r="O274" t="s">
        <v>1043</v>
      </c>
      <c r="P274">
        <v>4.6544656991490725E-5</v>
      </c>
      <c r="Q274" t="s">
        <v>251</v>
      </c>
      <c r="S274" t="s">
        <v>420</v>
      </c>
      <c r="T274" t="s">
        <v>1043</v>
      </c>
      <c r="U274">
        <v>1.409993126573E-4</v>
      </c>
      <c r="V274" t="s">
        <v>251</v>
      </c>
      <c r="X274">
        <v>1.1415525114155251E-4</v>
      </c>
      <c r="Y274">
        <v>2.9833677249334962E-5</v>
      </c>
      <c r="Z274" t="s">
        <v>1043</v>
      </c>
      <c r="AA274" t="s">
        <v>25</v>
      </c>
      <c r="AC274" t="s">
        <v>22</v>
      </c>
      <c r="AD274" t="s">
        <v>1043</v>
      </c>
      <c r="AE274">
        <v>1.3071615989604141E-4</v>
      </c>
      <c r="AG274" t="s">
        <v>97</v>
      </c>
      <c r="AH274" t="s">
        <v>1043</v>
      </c>
      <c r="AI274">
        <v>0</v>
      </c>
    </row>
    <row r="275" spans="5:35" x14ac:dyDescent="0.45">
      <c r="E275" t="s">
        <v>532</v>
      </c>
      <c r="G275" t="s">
        <v>800</v>
      </c>
      <c r="I275" t="s">
        <v>249</v>
      </c>
      <c r="J275" t="s">
        <v>395</v>
      </c>
      <c r="K275">
        <v>0</v>
      </c>
      <c r="L275" t="s">
        <v>251</v>
      </c>
      <c r="N275" t="s">
        <v>419</v>
      </c>
      <c r="O275" t="s">
        <v>395</v>
      </c>
      <c r="P275">
        <v>2.4489807388374259E-2</v>
      </c>
      <c r="Q275" t="s">
        <v>251</v>
      </c>
      <c r="S275" t="s">
        <v>420</v>
      </c>
      <c r="T275" t="s">
        <v>395</v>
      </c>
      <c r="U275">
        <v>2.0226823918603275E-2</v>
      </c>
      <c r="V275" t="s">
        <v>251</v>
      </c>
      <c r="X275">
        <v>1.9178082191780823E-2</v>
      </c>
      <c r="Y275">
        <v>4.1024621070863279E-3</v>
      </c>
      <c r="Z275" t="s">
        <v>395</v>
      </c>
      <c r="AA275" t="s">
        <v>25</v>
      </c>
      <c r="AC275" t="s">
        <v>22</v>
      </c>
      <c r="AD275" t="s">
        <v>395</v>
      </c>
      <c r="AE275">
        <v>1.7845105517206881E-2</v>
      </c>
      <c r="AG275" t="s">
        <v>97</v>
      </c>
      <c r="AH275" t="s">
        <v>395</v>
      </c>
      <c r="AI275">
        <v>0.147095637622074</v>
      </c>
    </row>
    <row r="276" spans="5:35" x14ac:dyDescent="0.45">
      <c r="E276" t="s">
        <v>533</v>
      </c>
      <c r="G276" t="s">
        <v>800</v>
      </c>
      <c r="I276" t="s">
        <v>249</v>
      </c>
      <c r="J276" t="s">
        <v>396</v>
      </c>
      <c r="K276">
        <v>2.9030621378624678E-4</v>
      </c>
      <c r="L276" t="s">
        <v>251</v>
      </c>
      <c r="N276" t="s">
        <v>419</v>
      </c>
      <c r="O276" t="s">
        <v>396</v>
      </c>
      <c r="P276">
        <v>3.872467988144254E-3</v>
      </c>
      <c r="Q276" t="s">
        <v>251</v>
      </c>
      <c r="S276" t="s">
        <v>420</v>
      </c>
      <c r="T276" t="s">
        <v>396</v>
      </c>
      <c r="U276">
        <v>3.307315219289118E-3</v>
      </c>
      <c r="V276" t="s">
        <v>251</v>
      </c>
      <c r="X276">
        <v>3.1963470319634705E-3</v>
      </c>
      <c r="Y276">
        <v>4.7336101235611484E-3</v>
      </c>
      <c r="Z276" t="s">
        <v>396</v>
      </c>
      <c r="AA276" t="s">
        <v>25</v>
      </c>
      <c r="AC276" t="s">
        <v>22</v>
      </c>
      <c r="AD276" t="s">
        <v>396</v>
      </c>
      <c r="AE276">
        <v>2.3969654459092314E-3</v>
      </c>
      <c r="AG276" t="s">
        <v>97</v>
      </c>
      <c r="AH276" t="s">
        <v>396</v>
      </c>
      <c r="AI276">
        <v>3.3198125467648554E-2</v>
      </c>
    </row>
    <row r="277" spans="5:35" x14ac:dyDescent="0.45">
      <c r="E277" t="s">
        <v>534</v>
      </c>
      <c r="G277" t="s">
        <v>800</v>
      </c>
      <c r="I277" t="s">
        <v>249</v>
      </c>
      <c r="J277" t="s">
        <v>397</v>
      </c>
      <c r="K277">
        <v>4.5708892777640833E-3</v>
      </c>
      <c r="L277" t="s">
        <v>251</v>
      </c>
      <c r="N277" t="s">
        <v>419</v>
      </c>
      <c r="O277" t="s">
        <v>397</v>
      </c>
      <c r="P277">
        <v>3.6730088306758434E-3</v>
      </c>
      <c r="Q277" t="s">
        <v>251</v>
      </c>
      <c r="S277" t="s">
        <v>420</v>
      </c>
      <c r="T277" t="s">
        <v>397</v>
      </c>
      <c r="U277">
        <v>3.2899979529889141E-3</v>
      </c>
      <c r="V277" t="s">
        <v>251</v>
      </c>
      <c r="X277">
        <v>3.1963470319634705E-3</v>
      </c>
      <c r="Y277">
        <v>5.3369133746032542E-3</v>
      </c>
      <c r="Z277" t="s">
        <v>397</v>
      </c>
      <c r="AA277" t="s">
        <v>25</v>
      </c>
      <c r="AC277" t="s">
        <v>22</v>
      </c>
      <c r="AD277" t="s">
        <v>397</v>
      </c>
      <c r="AE277">
        <v>2.3297309427303798E-3</v>
      </c>
      <c r="AG277" t="s">
        <v>97</v>
      </c>
      <c r="AH277" t="s">
        <v>397</v>
      </c>
      <c r="AI277">
        <v>2.6300158692809328E-2</v>
      </c>
    </row>
    <row r="278" spans="5:35" x14ac:dyDescent="0.45">
      <c r="E278" t="s">
        <v>535</v>
      </c>
      <c r="G278" t="s">
        <v>800</v>
      </c>
      <c r="I278" t="s">
        <v>249</v>
      </c>
      <c r="J278" t="s">
        <v>398</v>
      </c>
      <c r="K278">
        <v>5.1873552474936399E-2</v>
      </c>
      <c r="L278" t="s">
        <v>251</v>
      </c>
      <c r="N278" t="s">
        <v>419</v>
      </c>
      <c r="O278" t="s">
        <v>398</v>
      </c>
      <c r="P278">
        <v>2.3528220705176878E-2</v>
      </c>
      <c r="Q278" t="s">
        <v>251</v>
      </c>
      <c r="S278" t="s">
        <v>420</v>
      </c>
      <c r="T278" t="s">
        <v>398</v>
      </c>
      <c r="U278">
        <v>2.1956539933195802E-2</v>
      </c>
      <c r="V278" t="s">
        <v>251</v>
      </c>
      <c r="X278">
        <v>2.2374429223744292E-2</v>
      </c>
      <c r="Y278">
        <v>2.8383097564411743E-2</v>
      </c>
      <c r="Z278" t="s">
        <v>398</v>
      </c>
      <c r="AA278" t="s">
        <v>25</v>
      </c>
      <c r="AC278" t="s">
        <v>22</v>
      </c>
      <c r="AD278" t="s">
        <v>398</v>
      </c>
      <c r="AE278">
        <v>1.9731957446183942E-2</v>
      </c>
      <c r="AG278" t="s">
        <v>97</v>
      </c>
      <c r="AH278" t="s">
        <v>398</v>
      </c>
      <c r="AI278">
        <v>0.25414426122003064</v>
      </c>
    </row>
    <row r="279" spans="5:35" x14ac:dyDescent="0.45">
      <c r="E279" t="s">
        <v>536</v>
      </c>
      <c r="G279" t="s">
        <v>800</v>
      </c>
      <c r="I279" t="s">
        <v>249</v>
      </c>
      <c r="J279" t="s">
        <v>399</v>
      </c>
      <c r="K279">
        <v>7.2789421399567997E-3</v>
      </c>
      <c r="L279" t="s">
        <v>251</v>
      </c>
      <c r="N279" t="s">
        <v>419</v>
      </c>
      <c r="O279" t="s">
        <v>399</v>
      </c>
      <c r="P279">
        <v>3.3129100241887058E-3</v>
      </c>
      <c r="Q279" t="s">
        <v>251</v>
      </c>
      <c r="S279" t="s">
        <v>420</v>
      </c>
      <c r="T279" t="s">
        <v>399</v>
      </c>
      <c r="U279">
        <v>3.3369456593510625E-3</v>
      </c>
      <c r="V279" t="s">
        <v>251</v>
      </c>
      <c r="X279">
        <v>3.1963470319634705E-3</v>
      </c>
      <c r="Y279">
        <v>4.8264260083368555E-3</v>
      </c>
      <c r="Z279" t="s">
        <v>399</v>
      </c>
      <c r="AA279" t="s">
        <v>25</v>
      </c>
      <c r="AC279" t="s">
        <v>22</v>
      </c>
      <c r="AD279" t="s">
        <v>399</v>
      </c>
      <c r="AE279">
        <v>3.163744838573089E-3</v>
      </c>
      <c r="AG279" t="s">
        <v>97</v>
      </c>
      <c r="AH279" t="s">
        <v>399</v>
      </c>
      <c r="AI279">
        <v>5.5861727130216643E-2</v>
      </c>
    </row>
    <row r="280" spans="5:35" x14ac:dyDescent="0.45">
      <c r="E280" t="s">
        <v>537</v>
      </c>
      <c r="G280" t="s">
        <v>800</v>
      </c>
      <c r="I280" t="s">
        <v>249</v>
      </c>
      <c r="J280" t="s">
        <v>400</v>
      </c>
      <c r="K280">
        <v>6.2633921527759998E-3</v>
      </c>
      <c r="L280" t="s">
        <v>251</v>
      </c>
      <c r="N280" t="s">
        <v>419</v>
      </c>
      <c r="O280" t="s">
        <v>400</v>
      </c>
      <c r="P280">
        <v>3.253282396633033E-3</v>
      </c>
      <c r="Q280" t="s">
        <v>251</v>
      </c>
      <c r="S280" t="s">
        <v>420</v>
      </c>
      <c r="T280" t="s">
        <v>400</v>
      </c>
      <c r="U280">
        <v>3.2561230123228776E-3</v>
      </c>
      <c r="V280" t="s">
        <v>251</v>
      </c>
      <c r="X280">
        <v>3.1963470319634705E-3</v>
      </c>
      <c r="Y280">
        <v>6.2186642799724884E-3</v>
      </c>
      <c r="Z280" t="s">
        <v>400</v>
      </c>
      <c r="AA280" t="s">
        <v>25</v>
      </c>
      <c r="AC280" t="s">
        <v>22</v>
      </c>
      <c r="AD280" t="s">
        <v>400</v>
      </c>
      <c r="AE280">
        <v>3.1779087521514129E-3</v>
      </c>
      <c r="AG280" t="s">
        <v>97</v>
      </c>
      <c r="AH280" t="s">
        <v>400</v>
      </c>
      <c r="AI280">
        <v>5.9211583484773289E-2</v>
      </c>
    </row>
    <row r="281" spans="5:35" x14ac:dyDescent="0.45">
      <c r="E281" t="s">
        <v>538</v>
      </c>
      <c r="G281" t="s">
        <v>800</v>
      </c>
      <c r="I281" t="s">
        <v>249</v>
      </c>
      <c r="J281" t="s">
        <v>401</v>
      </c>
      <c r="K281">
        <v>4.2592608284821778E-3</v>
      </c>
      <c r="L281" t="s">
        <v>251</v>
      </c>
      <c r="N281" t="s">
        <v>419</v>
      </c>
      <c r="O281" t="s">
        <v>401</v>
      </c>
      <c r="P281">
        <v>3.3631060487914859E-3</v>
      </c>
      <c r="Q281" t="s">
        <v>251</v>
      </c>
      <c r="S281" t="s">
        <v>420</v>
      </c>
      <c r="T281" t="s">
        <v>401</v>
      </c>
      <c r="U281">
        <v>3.3040571742930444E-3</v>
      </c>
      <c r="V281" t="s">
        <v>251</v>
      </c>
      <c r="X281">
        <v>3.1963470319634705E-3</v>
      </c>
      <c r="Y281">
        <v>6.2186642799724884E-3</v>
      </c>
      <c r="Z281" t="s">
        <v>401</v>
      </c>
      <c r="AA281" t="s">
        <v>25</v>
      </c>
      <c r="AC281" t="s">
        <v>22</v>
      </c>
      <c r="AD281" t="s">
        <v>401</v>
      </c>
      <c r="AE281">
        <v>3.1735886931475552E-3</v>
      </c>
      <c r="AG281" t="s">
        <v>97</v>
      </c>
      <c r="AH281" t="s">
        <v>401</v>
      </c>
      <c r="AI281">
        <v>5.0796544742964356E-2</v>
      </c>
    </row>
    <row r="282" spans="5:35" x14ac:dyDescent="0.45">
      <c r="E282" t="s">
        <v>539</v>
      </c>
      <c r="G282" t="s">
        <v>800</v>
      </c>
      <c r="I282" t="s">
        <v>249</v>
      </c>
      <c r="J282" t="s">
        <v>402</v>
      </c>
      <c r="K282">
        <v>3.9264946667507479E-4</v>
      </c>
      <c r="L282" t="s">
        <v>251</v>
      </c>
      <c r="N282" t="s">
        <v>419</v>
      </c>
      <c r="O282" t="s">
        <v>402</v>
      </c>
      <c r="P282">
        <v>2.3784554485390977E-2</v>
      </c>
      <c r="Q282" t="s">
        <v>251</v>
      </c>
      <c r="S282" t="s">
        <v>420</v>
      </c>
      <c r="T282" t="s">
        <v>402</v>
      </c>
      <c r="U282">
        <v>2.1498697744467259E-2</v>
      </c>
      <c r="V282" t="s">
        <v>251</v>
      </c>
      <c r="X282">
        <v>1.9178082191780823E-2</v>
      </c>
      <c r="Y282">
        <v>1.6892491029178995E-2</v>
      </c>
      <c r="Z282" t="s">
        <v>402</v>
      </c>
      <c r="AA282" t="s">
        <v>25</v>
      </c>
      <c r="AC282" t="s">
        <v>22</v>
      </c>
      <c r="AD282" t="s">
        <v>402</v>
      </c>
      <c r="AE282">
        <v>1.9238689375240588E-2</v>
      </c>
      <c r="AG282" t="s">
        <v>97</v>
      </c>
      <c r="AH282" t="s">
        <v>402</v>
      </c>
      <c r="AI282">
        <v>5.429075857892296E-2</v>
      </c>
    </row>
    <row r="283" spans="5:35" x14ac:dyDescent="0.45">
      <c r="E283" t="s">
        <v>540</v>
      </c>
      <c r="G283" t="s">
        <v>800</v>
      </c>
      <c r="I283" t="s">
        <v>249</v>
      </c>
      <c r="J283" t="s">
        <v>1044</v>
      </c>
      <c r="K283">
        <v>0</v>
      </c>
      <c r="L283" t="s">
        <v>251</v>
      </c>
      <c r="N283" t="s">
        <v>419</v>
      </c>
      <c r="O283" t="s">
        <v>1044</v>
      </c>
      <c r="P283">
        <v>1.1274160174049999E-4</v>
      </c>
      <c r="Q283" t="s">
        <v>251</v>
      </c>
      <c r="S283" t="s">
        <v>420</v>
      </c>
      <c r="T283" t="s">
        <v>1044</v>
      </c>
      <c r="U283">
        <v>4.4209512845818252E-5</v>
      </c>
      <c r="V283" t="s">
        <v>251</v>
      </c>
      <c r="X283">
        <v>1.1415525114155251E-4</v>
      </c>
      <c r="Y283">
        <v>2.1546544680075254E-5</v>
      </c>
      <c r="Z283" t="s">
        <v>1044</v>
      </c>
      <c r="AA283" t="s">
        <v>25</v>
      </c>
      <c r="AC283" t="s">
        <v>22</v>
      </c>
      <c r="AD283" t="s">
        <v>1044</v>
      </c>
      <c r="AE283">
        <v>1.196533902425218E-4</v>
      </c>
      <c r="AG283" t="s">
        <v>97</v>
      </c>
      <c r="AH283" t="s">
        <v>1044</v>
      </c>
      <c r="AI283">
        <v>0</v>
      </c>
    </row>
    <row r="284" spans="5:35" x14ac:dyDescent="0.45">
      <c r="E284" t="s">
        <v>541</v>
      </c>
      <c r="G284" t="s">
        <v>800</v>
      </c>
      <c r="I284" t="s">
        <v>249</v>
      </c>
      <c r="J284" t="s">
        <v>1045</v>
      </c>
      <c r="K284">
        <v>0</v>
      </c>
      <c r="L284" t="s">
        <v>251</v>
      </c>
      <c r="N284" t="s">
        <v>419</v>
      </c>
      <c r="O284" t="s">
        <v>1045</v>
      </c>
      <c r="P284">
        <v>1.185201240061E-4</v>
      </c>
      <c r="Q284" t="s">
        <v>251</v>
      </c>
      <c r="S284" t="s">
        <v>420</v>
      </c>
      <c r="T284" t="s">
        <v>1045</v>
      </c>
      <c r="U284">
        <v>4.0146361694627392E-5</v>
      </c>
      <c r="V284" t="s">
        <v>251</v>
      </c>
      <c r="X284">
        <v>1.1415525114155251E-4</v>
      </c>
      <c r="Y284">
        <v>1.4916838624667481E-5</v>
      </c>
      <c r="Z284" t="s">
        <v>1045</v>
      </c>
      <c r="AA284" t="s">
        <v>25</v>
      </c>
      <c r="AC284" t="s">
        <v>22</v>
      </c>
      <c r="AD284" t="s">
        <v>1045</v>
      </c>
      <c r="AE284">
        <v>1.1708851361292349E-4</v>
      </c>
      <c r="AG284" t="s">
        <v>97</v>
      </c>
      <c r="AH284" t="s">
        <v>1045</v>
      </c>
      <c r="AI284">
        <v>0</v>
      </c>
    </row>
    <row r="285" spans="5:35" x14ac:dyDescent="0.45">
      <c r="E285" t="s">
        <v>542</v>
      </c>
      <c r="G285" t="s">
        <v>800</v>
      </c>
      <c r="I285" t="s">
        <v>249</v>
      </c>
      <c r="J285" t="s">
        <v>1046</v>
      </c>
      <c r="K285">
        <v>0</v>
      </c>
      <c r="L285" t="s">
        <v>251</v>
      </c>
      <c r="N285" t="s">
        <v>419</v>
      </c>
      <c r="O285" t="s">
        <v>1046</v>
      </c>
      <c r="P285">
        <v>1.2426978922070001E-4</v>
      </c>
      <c r="Q285" t="s">
        <v>251</v>
      </c>
      <c r="S285" t="s">
        <v>420</v>
      </c>
      <c r="T285" t="s">
        <v>1046</v>
      </c>
      <c r="U285">
        <v>3.6833953419754392E-5</v>
      </c>
      <c r="V285" t="s">
        <v>251</v>
      </c>
      <c r="X285">
        <v>1.1415525114155251E-4</v>
      </c>
      <c r="Y285">
        <v>1.6574265138519424E-5</v>
      </c>
      <c r="Z285" t="s">
        <v>1046</v>
      </c>
      <c r="AA285" t="s">
        <v>25</v>
      </c>
      <c r="AC285" t="s">
        <v>22</v>
      </c>
      <c r="AD285" t="s">
        <v>1046</v>
      </c>
      <c r="AE285">
        <v>1.144761491489099E-4</v>
      </c>
      <c r="AG285" t="s">
        <v>97</v>
      </c>
      <c r="AH285" t="s">
        <v>1046</v>
      </c>
      <c r="AI285">
        <v>0</v>
      </c>
    </row>
    <row r="286" spans="5:35" x14ac:dyDescent="0.45">
      <c r="E286" t="s">
        <v>543</v>
      </c>
      <c r="G286" t="s">
        <v>800</v>
      </c>
      <c r="I286" t="s">
        <v>249</v>
      </c>
      <c r="J286" t="s">
        <v>1047</v>
      </c>
      <c r="K286">
        <v>0</v>
      </c>
      <c r="L286" t="s">
        <v>251</v>
      </c>
      <c r="N286" t="s">
        <v>419</v>
      </c>
      <c r="O286" t="s">
        <v>1047</v>
      </c>
      <c r="P286">
        <v>1.3177743693980001E-4</v>
      </c>
      <c r="Q286" t="s">
        <v>251</v>
      </c>
      <c r="S286" t="s">
        <v>420</v>
      </c>
      <c r="T286" t="s">
        <v>1047</v>
      </c>
      <c r="U286">
        <v>3.2667182908249403E-5</v>
      </c>
      <c r="V286" t="s">
        <v>251</v>
      </c>
      <c r="X286">
        <v>1.1415525114155251E-4</v>
      </c>
      <c r="Y286">
        <v>1.4585353321897093E-5</v>
      </c>
      <c r="Z286" t="s">
        <v>1047</v>
      </c>
      <c r="AA286" t="s">
        <v>25</v>
      </c>
      <c r="AC286" t="s">
        <v>22</v>
      </c>
      <c r="AD286" t="s">
        <v>1047</v>
      </c>
      <c r="AE286">
        <v>1.0652727259608258E-4</v>
      </c>
      <c r="AG286" t="s">
        <v>97</v>
      </c>
      <c r="AH286" t="s">
        <v>1047</v>
      </c>
      <c r="AI286">
        <v>0</v>
      </c>
    </row>
    <row r="287" spans="5:35" x14ac:dyDescent="0.45">
      <c r="E287" t="s">
        <v>544</v>
      </c>
      <c r="G287" t="s">
        <v>800</v>
      </c>
      <c r="I287" t="s">
        <v>249</v>
      </c>
      <c r="J287" t="s">
        <v>1048</v>
      </c>
      <c r="K287">
        <v>0</v>
      </c>
      <c r="L287" t="s">
        <v>251</v>
      </c>
      <c r="N287" t="s">
        <v>419</v>
      </c>
      <c r="O287" t="s">
        <v>1048</v>
      </c>
      <c r="P287">
        <v>1.32495635349E-4</v>
      </c>
      <c r="Q287" t="s">
        <v>251</v>
      </c>
      <c r="S287" t="s">
        <v>420</v>
      </c>
      <c r="T287" t="s">
        <v>1048</v>
      </c>
      <c r="U287">
        <v>2.592011983448464E-5</v>
      </c>
      <c r="V287" t="s">
        <v>251</v>
      </c>
      <c r="X287">
        <v>1.1415525114155251E-4</v>
      </c>
      <c r="Y287">
        <v>2.1215059377304864E-5</v>
      </c>
      <c r="Z287" t="s">
        <v>1048</v>
      </c>
      <c r="AA287" t="s">
        <v>25</v>
      </c>
      <c r="AC287" t="s">
        <v>22</v>
      </c>
      <c r="AD287" t="s">
        <v>1048</v>
      </c>
      <c r="AE287">
        <v>1.0056354759316594E-4</v>
      </c>
      <c r="AG287" t="s">
        <v>97</v>
      </c>
      <c r="AH287" t="s">
        <v>1048</v>
      </c>
      <c r="AI287">
        <v>0</v>
      </c>
    </row>
    <row r="288" spans="5:35" x14ac:dyDescent="0.45">
      <c r="E288" t="s">
        <v>545</v>
      </c>
      <c r="G288" t="s">
        <v>800</v>
      </c>
      <c r="I288" t="s">
        <v>249</v>
      </c>
      <c r="J288" t="s">
        <v>1049</v>
      </c>
      <c r="K288">
        <v>0</v>
      </c>
      <c r="L288" t="s">
        <v>251</v>
      </c>
      <c r="N288" t="s">
        <v>419</v>
      </c>
      <c r="O288" t="s">
        <v>1049</v>
      </c>
      <c r="P288">
        <v>1.326240473589E-4</v>
      </c>
      <c r="Q288" t="s">
        <v>251</v>
      </c>
      <c r="S288" t="s">
        <v>420</v>
      </c>
      <c r="T288" t="s">
        <v>1049</v>
      </c>
      <c r="U288">
        <v>2.2389660202850277E-5</v>
      </c>
      <c r="V288" t="s">
        <v>251</v>
      </c>
      <c r="X288">
        <v>1.1415525114155251E-4</v>
      </c>
      <c r="Y288">
        <v>5.7678442682047593E-5</v>
      </c>
      <c r="Z288" t="s">
        <v>1049</v>
      </c>
      <c r="AA288" t="s">
        <v>25</v>
      </c>
      <c r="AC288" t="s">
        <v>22</v>
      </c>
      <c r="AD288" t="s">
        <v>1049</v>
      </c>
      <c r="AE288">
        <v>8.9237432299535104E-5</v>
      </c>
      <c r="AG288" t="s">
        <v>97</v>
      </c>
      <c r="AH288" t="s">
        <v>1049</v>
      </c>
      <c r="AI288">
        <v>0</v>
      </c>
    </row>
    <row r="289" spans="5:35" x14ac:dyDescent="0.45">
      <c r="E289" t="s">
        <v>546</v>
      </c>
      <c r="G289" t="s">
        <v>800</v>
      </c>
      <c r="I289" t="s">
        <v>249</v>
      </c>
      <c r="J289" t="s">
        <v>1050</v>
      </c>
      <c r="K289">
        <v>2.4415686988376328E-6</v>
      </c>
      <c r="L289" t="s">
        <v>251</v>
      </c>
      <c r="N289" t="s">
        <v>419</v>
      </c>
      <c r="O289" t="s">
        <v>1050</v>
      </c>
      <c r="P289">
        <v>1.3211891831099999E-4</v>
      </c>
      <c r="Q289" t="s">
        <v>251</v>
      </c>
      <c r="S289" t="s">
        <v>420</v>
      </c>
      <c r="T289" t="s">
        <v>1050</v>
      </c>
      <c r="U289">
        <v>2.1011165477469458E-5</v>
      </c>
      <c r="V289" t="s">
        <v>251</v>
      </c>
      <c r="X289">
        <v>1.1415525114155251E-4</v>
      </c>
      <c r="Y289">
        <v>1.6905750441289813E-4</v>
      </c>
      <c r="Z289" t="s">
        <v>1050</v>
      </c>
      <c r="AA289" t="s">
        <v>25</v>
      </c>
      <c r="AC289" t="s">
        <v>22</v>
      </c>
      <c r="AD289" t="s">
        <v>1050</v>
      </c>
      <c r="AE289">
        <v>8.5375444147874486E-5</v>
      </c>
      <c r="AG289" t="s">
        <v>97</v>
      </c>
      <c r="AH289" t="s">
        <v>1050</v>
      </c>
      <c r="AI289">
        <v>0</v>
      </c>
    </row>
    <row r="290" spans="5:35" x14ac:dyDescent="0.45">
      <c r="E290" t="s">
        <v>547</v>
      </c>
      <c r="G290" t="s">
        <v>800</v>
      </c>
      <c r="I290" t="s">
        <v>249</v>
      </c>
      <c r="J290" t="s">
        <v>1051</v>
      </c>
      <c r="K290">
        <v>1.8678609117820001E-4</v>
      </c>
      <c r="L290" t="s">
        <v>251</v>
      </c>
      <c r="N290" t="s">
        <v>419</v>
      </c>
      <c r="O290" t="s">
        <v>1051</v>
      </c>
      <c r="P290">
        <v>1.24238873186E-4</v>
      </c>
      <c r="Q290" t="s">
        <v>251</v>
      </c>
      <c r="S290" t="s">
        <v>420</v>
      </c>
      <c r="T290" t="s">
        <v>1051</v>
      </c>
      <c r="U290">
        <v>2.0388795983231464E-5</v>
      </c>
      <c r="V290" t="s">
        <v>251</v>
      </c>
      <c r="X290">
        <v>1.1415525114155251E-4</v>
      </c>
      <c r="Y290">
        <v>1.9060404909297337E-4</v>
      </c>
      <c r="Z290" t="s">
        <v>1051</v>
      </c>
      <c r="AA290" t="s">
        <v>25</v>
      </c>
      <c r="AC290" t="s">
        <v>22</v>
      </c>
      <c r="AD290" t="s">
        <v>1051</v>
      </c>
      <c r="AE290">
        <v>8.334894083204041E-5</v>
      </c>
      <c r="AG290" t="s">
        <v>97</v>
      </c>
      <c r="AH290" t="s">
        <v>1051</v>
      </c>
      <c r="AI290">
        <v>0</v>
      </c>
    </row>
    <row r="291" spans="5:35" x14ac:dyDescent="0.45">
      <c r="E291" t="s">
        <v>548</v>
      </c>
      <c r="G291" t="s">
        <v>800</v>
      </c>
      <c r="I291" t="s">
        <v>249</v>
      </c>
      <c r="J291" t="s">
        <v>1052</v>
      </c>
      <c r="K291">
        <v>2.6200452268950001E-4</v>
      </c>
      <c r="L291" t="s">
        <v>251</v>
      </c>
      <c r="N291" t="s">
        <v>419</v>
      </c>
      <c r="O291" t="s">
        <v>1052</v>
      </c>
      <c r="P291">
        <v>1.137937511226E-4</v>
      </c>
      <c r="Q291" t="s">
        <v>251</v>
      </c>
      <c r="S291" t="s">
        <v>420</v>
      </c>
      <c r="T291" t="s">
        <v>1052</v>
      </c>
      <c r="U291">
        <v>1.9002132731794704E-5</v>
      </c>
      <c r="V291" t="s">
        <v>251</v>
      </c>
      <c r="X291">
        <v>1.1415525114155251E-4</v>
      </c>
      <c r="Y291">
        <v>1.4585353321897094E-4</v>
      </c>
      <c r="Z291" t="s">
        <v>1052</v>
      </c>
      <c r="AA291" t="s">
        <v>25</v>
      </c>
      <c r="AC291" t="s">
        <v>22</v>
      </c>
      <c r="AD291" t="s">
        <v>1052</v>
      </c>
      <c r="AE291">
        <v>8.3999630877764383E-5</v>
      </c>
      <c r="AG291" t="s">
        <v>97</v>
      </c>
      <c r="AH291" t="s">
        <v>1052</v>
      </c>
      <c r="AI291">
        <v>0</v>
      </c>
    </row>
    <row r="292" spans="5:35" x14ac:dyDescent="0.45">
      <c r="E292" t="s">
        <v>549</v>
      </c>
      <c r="G292" t="s">
        <v>800</v>
      </c>
      <c r="I292" t="s">
        <v>249</v>
      </c>
      <c r="J292" t="s">
        <v>1053</v>
      </c>
      <c r="K292">
        <v>2.9785283734190001E-4</v>
      </c>
      <c r="L292" t="s">
        <v>251</v>
      </c>
      <c r="N292" t="s">
        <v>419</v>
      </c>
      <c r="O292" t="s">
        <v>1053</v>
      </c>
      <c r="P292">
        <v>1.146576958209E-4</v>
      </c>
      <c r="Q292" t="s">
        <v>251</v>
      </c>
      <c r="S292" t="s">
        <v>420</v>
      </c>
      <c r="T292" t="s">
        <v>1053</v>
      </c>
      <c r="U292">
        <v>2.0332969398680453E-5</v>
      </c>
      <c r="V292" t="s">
        <v>251</v>
      </c>
      <c r="X292">
        <v>1.1415525114155251E-4</v>
      </c>
      <c r="Y292">
        <v>1.4452759200788939E-4</v>
      </c>
      <c r="Z292" t="s">
        <v>1053</v>
      </c>
      <c r="AA292" t="s">
        <v>25</v>
      </c>
      <c r="AC292" t="s">
        <v>22</v>
      </c>
      <c r="AD292" t="s">
        <v>1053</v>
      </c>
      <c r="AE292">
        <v>8.5217240295019079E-5</v>
      </c>
      <c r="AG292" t="s">
        <v>97</v>
      </c>
      <c r="AH292" t="s">
        <v>1053</v>
      </c>
      <c r="AI292">
        <v>0</v>
      </c>
    </row>
    <row r="293" spans="5:35" x14ac:dyDescent="0.45">
      <c r="E293" t="s">
        <v>550</v>
      </c>
      <c r="G293" t="s">
        <v>800</v>
      </c>
      <c r="I293" t="s">
        <v>249</v>
      </c>
      <c r="J293" t="s">
        <v>1054</v>
      </c>
      <c r="K293">
        <v>3.0464583081279999E-4</v>
      </c>
      <c r="L293" t="s">
        <v>251</v>
      </c>
      <c r="N293" t="s">
        <v>419</v>
      </c>
      <c r="O293" t="s">
        <v>1054</v>
      </c>
      <c r="P293">
        <v>1.165876153202E-4</v>
      </c>
      <c r="Q293" t="s">
        <v>251</v>
      </c>
      <c r="S293" t="s">
        <v>420</v>
      </c>
      <c r="T293" t="s">
        <v>1054</v>
      </c>
      <c r="U293">
        <v>2.1336823346869209E-5</v>
      </c>
      <c r="V293" t="s">
        <v>251</v>
      </c>
      <c r="X293">
        <v>1.1415525114155251E-4</v>
      </c>
      <c r="Y293">
        <v>1.408812536774151E-4</v>
      </c>
      <c r="Z293" t="s">
        <v>1054</v>
      </c>
      <c r="AA293" t="s">
        <v>25</v>
      </c>
      <c r="AC293" t="s">
        <v>22</v>
      </c>
      <c r="AD293" t="s">
        <v>1054</v>
      </c>
      <c r="AE293">
        <v>9.3451577425511292E-5</v>
      </c>
      <c r="AG293" t="s">
        <v>97</v>
      </c>
      <c r="AH293" t="s">
        <v>1054</v>
      </c>
      <c r="AI293">
        <v>0</v>
      </c>
    </row>
    <row r="294" spans="5:35" x14ac:dyDescent="0.45">
      <c r="E294" t="s">
        <v>551</v>
      </c>
      <c r="G294" t="s">
        <v>800</v>
      </c>
      <c r="I294" t="s">
        <v>249</v>
      </c>
      <c r="J294" t="s">
        <v>1055</v>
      </c>
      <c r="K294">
        <v>2.8875106088659998E-4</v>
      </c>
      <c r="L294" t="s">
        <v>251</v>
      </c>
      <c r="N294" t="s">
        <v>419</v>
      </c>
      <c r="O294" t="s">
        <v>1055</v>
      </c>
      <c r="P294">
        <v>1.167100844556E-4</v>
      </c>
      <c r="Q294" t="s">
        <v>251</v>
      </c>
      <c r="S294" t="s">
        <v>420</v>
      </c>
      <c r="T294" t="s">
        <v>1055</v>
      </c>
      <c r="U294">
        <v>1.8793178515765254E-5</v>
      </c>
      <c r="V294" t="s">
        <v>251</v>
      </c>
      <c r="X294">
        <v>1.1415525114155251E-4</v>
      </c>
      <c r="Y294">
        <v>1.4054976837464471E-4</v>
      </c>
      <c r="Z294" t="s">
        <v>1055</v>
      </c>
      <c r="AA294" t="s">
        <v>25</v>
      </c>
      <c r="AC294" t="s">
        <v>22</v>
      </c>
      <c r="AD294" t="s">
        <v>1055</v>
      </c>
      <c r="AE294">
        <v>1.0359423185697256E-4</v>
      </c>
      <c r="AG294" t="s">
        <v>97</v>
      </c>
      <c r="AH294" t="s">
        <v>1055</v>
      </c>
      <c r="AI294">
        <v>0</v>
      </c>
    </row>
    <row r="295" spans="5:35" x14ac:dyDescent="0.45">
      <c r="E295" t="s">
        <v>552</v>
      </c>
      <c r="G295" t="s">
        <v>800</v>
      </c>
      <c r="I295" t="s">
        <v>249</v>
      </c>
      <c r="J295" t="s">
        <v>1056</v>
      </c>
      <c r="K295">
        <v>2.63339041417E-4</v>
      </c>
      <c r="L295" t="s">
        <v>251</v>
      </c>
      <c r="N295" t="s">
        <v>419</v>
      </c>
      <c r="O295" t="s">
        <v>1056</v>
      </c>
      <c r="P295">
        <v>1.141163090407E-4</v>
      </c>
      <c r="Q295" t="s">
        <v>251</v>
      </c>
      <c r="S295" t="s">
        <v>420</v>
      </c>
      <c r="T295" t="s">
        <v>1056</v>
      </c>
      <c r="U295">
        <v>1.5588446446114039E-5</v>
      </c>
      <c r="V295" t="s">
        <v>251</v>
      </c>
      <c r="X295">
        <v>1.1415525114155251E-4</v>
      </c>
      <c r="Y295">
        <v>1.4253868019126702E-4</v>
      </c>
      <c r="Z295" t="s">
        <v>1056</v>
      </c>
      <c r="AA295" t="s">
        <v>25</v>
      </c>
      <c r="AC295" t="s">
        <v>22</v>
      </c>
      <c r="AD295" t="s">
        <v>1056</v>
      </c>
      <c r="AE295">
        <v>1.1474560259137862E-4</v>
      </c>
      <c r="AG295" t="s">
        <v>97</v>
      </c>
      <c r="AH295" t="s">
        <v>1056</v>
      </c>
      <c r="AI295">
        <v>0</v>
      </c>
    </row>
    <row r="296" spans="5:35" x14ac:dyDescent="0.45">
      <c r="E296" t="s">
        <v>553</v>
      </c>
      <c r="G296" t="s">
        <v>800</v>
      </c>
      <c r="I296" t="s">
        <v>249</v>
      </c>
      <c r="J296" t="s">
        <v>1057</v>
      </c>
      <c r="K296">
        <v>2.8397640003159999E-4</v>
      </c>
      <c r="L296" t="s">
        <v>251</v>
      </c>
      <c r="N296" t="s">
        <v>419</v>
      </c>
      <c r="O296" t="s">
        <v>1057</v>
      </c>
      <c r="P296">
        <v>1.1025937545969999E-4</v>
      </c>
      <c r="Q296" t="s">
        <v>251</v>
      </c>
      <c r="S296" t="s">
        <v>420</v>
      </c>
      <c r="T296" t="s">
        <v>1057</v>
      </c>
      <c r="U296">
        <v>1.3931023113626431E-5</v>
      </c>
      <c r="V296" t="s">
        <v>251</v>
      </c>
      <c r="X296">
        <v>1.1415525114155251E-4</v>
      </c>
      <c r="Y296">
        <v>1.4883690094390442E-4</v>
      </c>
      <c r="Z296" t="s">
        <v>1057</v>
      </c>
      <c r="AA296" t="s">
        <v>25</v>
      </c>
      <c r="AC296" t="s">
        <v>22</v>
      </c>
      <c r="AD296" t="s">
        <v>1057</v>
      </c>
      <c r="AE296">
        <v>1.2283214050689292E-4</v>
      </c>
      <c r="AG296" t="s">
        <v>97</v>
      </c>
      <c r="AH296" t="s">
        <v>1057</v>
      </c>
      <c r="AI296">
        <v>0</v>
      </c>
    </row>
    <row r="297" spans="5:35" x14ac:dyDescent="0.45">
      <c r="E297" t="s">
        <v>554</v>
      </c>
      <c r="G297" t="s">
        <v>800</v>
      </c>
      <c r="I297" t="s">
        <v>249</v>
      </c>
      <c r="J297" t="s">
        <v>1058</v>
      </c>
      <c r="K297">
        <v>2.9506096170969998E-4</v>
      </c>
      <c r="L297" t="s">
        <v>251</v>
      </c>
      <c r="N297" t="s">
        <v>419</v>
      </c>
      <c r="O297" t="s">
        <v>1058</v>
      </c>
      <c r="P297">
        <v>1.042220661031E-4</v>
      </c>
      <c r="Q297" t="s">
        <v>251</v>
      </c>
      <c r="S297" t="s">
        <v>420</v>
      </c>
      <c r="T297" t="s">
        <v>1058</v>
      </c>
      <c r="U297">
        <v>1.4921949645936197E-5</v>
      </c>
      <c r="V297" t="s">
        <v>251</v>
      </c>
      <c r="X297">
        <v>1.1415525114155251E-4</v>
      </c>
      <c r="Y297">
        <v>1.5049432745775637E-4</v>
      </c>
      <c r="Z297" t="s">
        <v>1058</v>
      </c>
      <c r="AA297" t="s">
        <v>25</v>
      </c>
      <c r="AC297" t="s">
        <v>22</v>
      </c>
      <c r="AD297" t="s">
        <v>1058</v>
      </c>
      <c r="AE297">
        <v>1.2144432188538569E-4</v>
      </c>
      <c r="AG297" t="s">
        <v>97</v>
      </c>
      <c r="AH297" t="s">
        <v>1058</v>
      </c>
      <c r="AI297">
        <v>0</v>
      </c>
    </row>
    <row r="298" spans="5:35" x14ac:dyDescent="0.45">
      <c r="E298" t="s">
        <v>555</v>
      </c>
      <c r="G298" t="s">
        <v>800</v>
      </c>
      <c r="I298" t="s">
        <v>249</v>
      </c>
      <c r="J298" t="s">
        <v>1059</v>
      </c>
      <c r="K298">
        <v>2.8668113239280001E-4</v>
      </c>
      <c r="L298" t="s">
        <v>251</v>
      </c>
      <c r="N298" t="s">
        <v>419</v>
      </c>
      <c r="O298" t="s">
        <v>1059</v>
      </c>
      <c r="P298">
        <v>1.0899127687600001E-4</v>
      </c>
      <c r="Q298" t="s">
        <v>251</v>
      </c>
      <c r="S298" t="s">
        <v>420</v>
      </c>
      <c r="T298" t="s">
        <v>1059</v>
      </c>
      <c r="U298">
        <v>1.7151223835260693E-5</v>
      </c>
      <c r="V298" t="s">
        <v>251</v>
      </c>
      <c r="X298">
        <v>1.1415525114155251E-4</v>
      </c>
      <c r="Y298">
        <v>1.7237235744060203E-4</v>
      </c>
      <c r="Z298" t="s">
        <v>1059</v>
      </c>
      <c r="AA298" t="s">
        <v>25</v>
      </c>
      <c r="AC298" t="s">
        <v>22</v>
      </c>
      <c r="AD298" t="s">
        <v>1059</v>
      </c>
      <c r="AE298">
        <v>1.1889171739277111E-4</v>
      </c>
      <c r="AG298" t="s">
        <v>97</v>
      </c>
      <c r="AH298" t="s">
        <v>1059</v>
      </c>
      <c r="AI298">
        <v>0</v>
      </c>
    </row>
    <row r="299" spans="5:35" x14ac:dyDescent="0.45">
      <c r="E299" t="s">
        <v>900</v>
      </c>
      <c r="G299" t="s">
        <v>801</v>
      </c>
      <c r="I299" t="s">
        <v>249</v>
      </c>
      <c r="J299" t="s">
        <v>1060</v>
      </c>
      <c r="K299">
        <v>2.5250487414970002E-4</v>
      </c>
      <c r="L299" t="s">
        <v>251</v>
      </c>
      <c r="N299" t="s">
        <v>419</v>
      </c>
      <c r="O299" t="s">
        <v>1060</v>
      </c>
      <c r="P299">
        <v>9.6284437773661954E-5</v>
      </c>
      <c r="Q299" t="s">
        <v>251</v>
      </c>
      <c r="S299" t="s">
        <v>420</v>
      </c>
      <c r="T299" t="s">
        <v>1060</v>
      </c>
      <c r="U299">
        <v>1.9895514913788923E-5</v>
      </c>
      <c r="V299" t="s">
        <v>251</v>
      </c>
      <c r="X299">
        <v>1.1415525114155251E-4</v>
      </c>
      <c r="Y299">
        <v>2.2209515285616027E-4</v>
      </c>
      <c r="Z299" t="s">
        <v>1060</v>
      </c>
      <c r="AA299" t="s">
        <v>25</v>
      </c>
      <c r="AC299" t="s">
        <v>22</v>
      </c>
      <c r="AD299" t="s">
        <v>1060</v>
      </c>
      <c r="AE299">
        <v>1.1969847700665766E-4</v>
      </c>
      <c r="AG299" t="s">
        <v>97</v>
      </c>
      <c r="AH299" t="s">
        <v>1060</v>
      </c>
      <c r="AI299">
        <v>0</v>
      </c>
    </row>
    <row r="300" spans="5:35" x14ac:dyDescent="0.45">
      <c r="E300" t="s">
        <v>901</v>
      </c>
      <c r="G300" t="s">
        <v>801</v>
      </c>
      <c r="I300" t="s">
        <v>249</v>
      </c>
      <c r="J300" t="s">
        <v>1061</v>
      </c>
      <c r="K300">
        <v>1.803912493305E-4</v>
      </c>
      <c r="L300" t="s">
        <v>251</v>
      </c>
      <c r="N300" t="s">
        <v>419</v>
      </c>
      <c r="O300" t="s">
        <v>1061</v>
      </c>
      <c r="P300">
        <v>8.0169774446271419E-5</v>
      </c>
      <c r="Q300" t="s">
        <v>251</v>
      </c>
      <c r="S300" t="s">
        <v>420</v>
      </c>
      <c r="T300" t="s">
        <v>1061</v>
      </c>
      <c r="U300">
        <v>2.8270792303037748E-5</v>
      </c>
      <c r="V300" t="s">
        <v>251</v>
      </c>
      <c r="X300">
        <v>1.1415525114155251E-4</v>
      </c>
      <c r="Y300">
        <v>2.2209515285616027E-4</v>
      </c>
      <c r="Z300" t="s">
        <v>1061</v>
      </c>
      <c r="AA300" t="s">
        <v>25</v>
      </c>
      <c r="AC300" t="s">
        <v>22</v>
      </c>
      <c r="AD300" t="s">
        <v>1061</v>
      </c>
      <c r="AE300">
        <v>1.1897415413903133E-4</v>
      </c>
      <c r="AG300" t="s">
        <v>97</v>
      </c>
      <c r="AH300" t="s">
        <v>1061</v>
      </c>
      <c r="AI300">
        <v>0</v>
      </c>
    </row>
    <row r="301" spans="5:35" x14ac:dyDescent="0.45">
      <c r="E301" t="s">
        <v>902</v>
      </c>
      <c r="G301" t="s">
        <v>801</v>
      </c>
      <c r="I301" t="s">
        <v>249</v>
      </c>
      <c r="J301" t="s">
        <v>1062</v>
      </c>
      <c r="K301">
        <v>8.9396594830727959E-7</v>
      </c>
      <c r="L301" t="s">
        <v>251</v>
      </c>
      <c r="N301" t="s">
        <v>419</v>
      </c>
      <c r="O301" t="s">
        <v>1062</v>
      </c>
      <c r="P301">
        <v>7.9654681184665227E-5</v>
      </c>
      <c r="Q301" t="s">
        <v>251</v>
      </c>
      <c r="S301" t="s">
        <v>420</v>
      </c>
      <c r="T301" t="s">
        <v>1062</v>
      </c>
      <c r="U301">
        <v>3.622471857796697E-5</v>
      </c>
      <c r="V301" t="s">
        <v>251</v>
      </c>
      <c r="X301">
        <v>1.1415525114155251E-4</v>
      </c>
      <c r="Y301">
        <v>1.7237235744060203E-4</v>
      </c>
      <c r="Z301" t="s">
        <v>1062</v>
      </c>
      <c r="AA301" t="s">
        <v>25</v>
      </c>
      <c r="AC301" t="s">
        <v>22</v>
      </c>
      <c r="AD301" t="s">
        <v>1062</v>
      </c>
      <c r="AE301">
        <v>1.193468536035153E-4</v>
      </c>
      <c r="AG301" t="s">
        <v>97</v>
      </c>
      <c r="AH301" t="s">
        <v>1062</v>
      </c>
      <c r="AI301">
        <v>0</v>
      </c>
    </row>
    <row r="302" spans="5:35" x14ac:dyDescent="0.45">
      <c r="E302" t="s">
        <v>903</v>
      </c>
      <c r="G302" t="s">
        <v>801</v>
      </c>
      <c r="I302" t="s">
        <v>249</v>
      </c>
      <c r="J302" t="s">
        <v>1063</v>
      </c>
      <c r="K302">
        <v>0</v>
      </c>
      <c r="L302" t="s">
        <v>251</v>
      </c>
      <c r="N302" t="s">
        <v>419</v>
      </c>
      <c r="O302" t="s">
        <v>1063</v>
      </c>
      <c r="P302">
        <v>8.1915562117061561E-5</v>
      </c>
      <c r="Q302" t="s">
        <v>251</v>
      </c>
      <c r="S302" t="s">
        <v>420</v>
      </c>
      <c r="T302" t="s">
        <v>1063</v>
      </c>
      <c r="U302">
        <v>4.2750676711198371E-5</v>
      </c>
      <c r="V302" t="s">
        <v>251</v>
      </c>
      <c r="X302">
        <v>1.1415525114155251E-4</v>
      </c>
      <c r="Y302">
        <v>1.5579809230208258E-4</v>
      </c>
      <c r="Z302" t="s">
        <v>1063</v>
      </c>
      <c r="AA302" t="s">
        <v>25</v>
      </c>
      <c r="AC302" t="s">
        <v>22</v>
      </c>
      <c r="AD302" t="s">
        <v>1063</v>
      </c>
      <c r="AE302">
        <v>1.194436967714521E-4</v>
      </c>
      <c r="AG302" t="s">
        <v>97</v>
      </c>
      <c r="AH302" t="s">
        <v>1063</v>
      </c>
      <c r="AI302">
        <v>0</v>
      </c>
    </row>
    <row r="303" spans="5:35" x14ac:dyDescent="0.45">
      <c r="E303" t="s">
        <v>904</v>
      </c>
      <c r="G303" t="s">
        <v>801</v>
      </c>
      <c r="I303" t="s">
        <v>249</v>
      </c>
      <c r="J303" t="s">
        <v>1064</v>
      </c>
      <c r="K303">
        <v>0</v>
      </c>
      <c r="L303" t="s">
        <v>251</v>
      </c>
      <c r="N303" t="s">
        <v>419</v>
      </c>
      <c r="O303" t="s">
        <v>1064</v>
      </c>
      <c r="P303">
        <v>8.464379075688896E-5</v>
      </c>
      <c r="Q303" t="s">
        <v>251</v>
      </c>
      <c r="S303" t="s">
        <v>420</v>
      </c>
      <c r="T303" t="s">
        <v>1064</v>
      </c>
      <c r="U303">
        <v>5.0618829507299616E-5</v>
      </c>
      <c r="V303" t="s">
        <v>251</v>
      </c>
      <c r="X303">
        <v>1.1415525114155251E-4</v>
      </c>
      <c r="Y303">
        <v>1.093901499142282E-4</v>
      </c>
      <c r="Z303" t="s">
        <v>1064</v>
      </c>
      <c r="AA303" t="s">
        <v>25</v>
      </c>
      <c r="AC303" t="s">
        <v>22</v>
      </c>
      <c r="AD303" t="s">
        <v>1064</v>
      </c>
      <c r="AE303">
        <v>1.1960776990721274E-4</v>
      </c>
      <c r="AG303" t="s">
        <v>97</v>
      </c>
      <c r="AH303" t="s">
        <v>1064</v>
      </c>
      <c r="AI303">
        <v>0</v>
      </c>
    </row>
    <row r="304" spans="5:35" x14ac:dyDescent="0.45">
      <c r="E304" t="s">
        <v>905</v>
      </c>
      <c r="G304" t="s">
        <v>801</v>
      </c>
      <c r="I304" t="s">
        <v>249</v>
      </c>
      <c r="J304" t="s">
        <v>1065</v>
      </c>
      <c r="K304">
        <v>0</v>
      </c>
      <c r="L304" t="s">
        <v>251</v>
      </c>
      <c r="N304" t="s">
        <v>419</v>
      </c>
      <c r="O304" t="s">
        <v>1065</v>
      </c>
      <c r="P304">
        <v>8.7657070462958037E-5</v>
      </c>
      <c r="Q304" t="s">
        <v>251</v>
      </c>
      <c r="S304" t="s">
        <v>420</v>
      </c>
      <c r="T304" t="s">
        <v>1065</v>
      </c>
      <c r="U304">
        <v>6.0470431632182472E-5</v>
      </c>
      <c r="V304" t="s">
        <v>251</v>
      </c>
      <c r="X304">
        <v>1.1415525114155251E-4</v>
      </c>
      <c r="Y304">
        <v>7.9556472664893237E-5</v>
      </c>
      <c r="Z304" t="s">
        <v>1065</v>
      </c>
      <c r="AA304" t="s">
        <v>25</v>
      </c>
      <c r="AC304" t="s">
        <v>22</v>
      </c>
      <c r="AD304" t="s">
        <v>1065</v>
      </c>
      <c r="AE304">
        <v>1.2000661435918377E-4</v>
      </c>
      <c r="AG304" t="s">
        <v>97</v>
      </c>
      <c r="AH304" t="s">
        <v>1065</v>
      </c>
      <c r="AI304">
        <v>0</v>
      </c>
    </row>
    <row r="305" spans="5:35" x14ac:dyDescent="0.45">
      <c r="E305" t="s">
        <v>906</v>
      </c>
      <c r="G305" t="s">
        <v>801</v>
      </c>
      <c r="I305" t="s">
        <v>249</v>
      </c>
      <c r="J305" t="s">
        <v>1066</v>
      </c>
      <c r="K305">
        <v>0</v>
      </c>
      <c r="L305" t="s">
        <v>251</v>
      </c>
      <c r="N305" t="s">
        <v>419</v>
      </c>
      <c r="O305" t="s">
        <v>1066</v>
      </c>
      <c r="P305">
        <v>9.2763405706808717E-5</v>
      </c>
      <c r="Q305" t="s">
        <v>251</v>
      </c>
      <c r="S305" t="s">
        <v>420</v>
      </c>
      <c r="T305" t="s">
        <v>1066</v>
      </c>
      <c r="U305">
        <v>7.231525804488986E-5</v>
      </c>
      <c r="V305" t="s">
        <v>251</v>
      </c>
      <c r="X305">
        <v>1.1415525114155251E-4</v>
      </c>
      <c r="Y305">
        <v>5.6352501470966035E-5</v>
      </c>
      <c r="Z305" t="s">
        <v>1066</v>
      </c>
      <c r="AA305" t="s">
        <v>25</v>
      </c>
      <c r="AC305" t="s">
        <v>22</v>
      </c>
      <c r="AD305" t="s">
        <v>1066</v>
      </c>
      <c r="AE305">
        <v>1.197531680519112E-4</v>
      </c>
      <c r="AG305" t="s">
        <v>97</v>
      </c>
      <c r="AH305" t="s">
        <v>1066</v>
      </c>
      <c r="AI305">
        <v>0</v>
      </c>
    </row>
    <row r="306" spans="5:35" x14ac:dyDescent="0.45">
      <c r="E306" t="s">
        <v>907</v>
      </c>
      <c r="G306" t="s">
        <v>801</v>
      </c>
      <c r="I306" t="s">
        <v>249</v>
      </c>
      <c r="J306" t="s">
        <v>1067</v>
      </c>
      <c r="K306">
        <v>0</v>
      </c>
      <c r="L306" t="s">
        <v>251</v>
      </c>
      <c r="N306" t="s">
        <v>419</v>
      </c>
      <c r="O306" t="s">
        <v>1067</v>
      </c>
      <c r="P306">
        <v>9.6981257090393325E-5</v>
      </c>
      <c r="Q306" t="s">
        <v>251</v>
      </c>
      <c r="S306" t="s">
        <v>420</v>
      </c>
      <c r="T306" t="s">
        <v>1067</v>
      </c>
      <c r="U306">
        <v>8.9669648835788426E-5</v>
      </c>
      <c r="V306" t="s">
        <v>251</v>
      </c>
      <c r="X306">
        <v>1.1415525114155251E-4</v>
      </c>
      <c r="Y306">
        <v>2.9833677249334962E-5</v>
      </c>
      <c r="Z306" t="s">
        <v>1067</v>
      </c>
      <c r="AA306" t="s">
        <v>25</v>
      </c>
      <c r="AC306" t="s">
        <v>22</v>
      </c>
      <c r="AD306" t="s">
        <v>1067</v>
      </c>
      <c r="AE306">
        <v>1.2037157704165627E-4</v>
      </c>
      <c r="AG306" t="s">
        <v>97</v>
      </c>
      <c r="AH306" t="s">
        <v>1067</v>
      </c>
      <c r="AI306">
        <v>0</v>
      </c>
    </row>
    <row r="307" spans="5:35" x14ac:dyDescent="0.45">
      <c r="E307" t="s">
        <v>908</v>
      </c>
      <c r="G307" t="s">
        <v>801</v>
      </c>
      <c r="I307" t="s">
        <v>249</v>
      </c>
      <c r="J307" t="s">
        <v>1068</v>
      </c>
      <c r="K307">
        <v>0</v>
      </c>
      <c r="L307" t="s">
        <v>251</v>
      </c>
      <c r="N307" t="s">
        <v>419</v>
      </c>
      <c r="O307" t="s">
        <v>1068</v>
      </c>
      <c r="P307">
        <v>1.000156363452E-4</v>
      </c>
      <c r="Q307" t="s">
        <v>251</v>
      </c>
      <c r="S307" t="s">
        <v>420</v>
      </c>
      <c r="T307" t="s">
        <v>1068</v>
      </c>
      <c r="U307">
        <v>1.032908511945E-4</v>
      </c>
      <c r="V307" t="s">
        <v>251</v>
      </c>
      <c r="X307">
        <v>1.1415525114155251E-4</v>
      </c>
      <c r="Y307">
        <v>2.1546544680075254E-5</v>
      </c>
      <c r="Z307" t="s">
        <v>1068</v>
      </c>
      <c r="AA307" t="s">
        <v>25</v>
      </c>
      <c r="AC307" t="s">
        <v>22</v>
      </c>
      <c r="AD307" t="s">
        <v>1068</v>
      </c>
      <c r="AE307">
        <v>1.196533902425218E-4</v>
      </c>
      <c r="AG307" t="s">
        <v>97</v>
      </c>
      <c r="AH307" t="s">
        <v>1068</v>
      </c>
      <c r="AI307">
        <v>0</v>
      </c>
    </row>
    <row r="308" spans="5:35" x14ac:dyDescent="0.45">
      <c r="E308" t="s">
        <v>909</v>
      </c>
      <c r="G308" t="s">
        <v>801</v>
      </c>
      <c r="I308" t="s">
        <v>249</v>
      </c>
      <c r="J308" t="s">
        <v>1069</v>
      </c>
      <c r="K308">
        <v>0</v>
      </c>
      <c r="L308" t="s">
        <v>251</v>
      </c>
      <c r="N308" t="s">
        <v>419</v>
      </c>
      <c r="O308" t="s">
        <v>1069</v>
      </c>
      <c r="P308">
        <v>1.014297174186E-4</v>
      </c>
      <c r="Q308" t="s">
        <v>251</v>
      </c>
      <c r="S308" t="s">
        <v>420</v>
      </c>
      <c r="T308" t="s">
        <v>1069</v>
      </c>
      <c r="U308">
        <v>1.158287090774E-4</v>
      </c>
      <c r="V308" t="s">
        <v>251</v>
      </c>
      <c r="X308">
        <v>1.1415525114155251E-4</v>
      </c>
      <c r="Y308">
        <v>1.4916838624667481E-5</v>
      </c>
      <c r="Z308" t="s">
        <v>1069</v>
      </c>
      <c r="AA308" t="s">
        <v>25</v>
      </c>
      <c r="AC308" t="s">
        <v>22</v>
      </c>
      <c r="AD308" t="s">
        <v>1069</v>
      </c>
      <c r="AE308">
        <v>1.1708851361292347E-4</v>
      </c>
      <c r="AG308" t="s">
        <v>97</v>
      </c>
      <c r="AH308" t="s">
        <v>1069</v>
      </c>
      <c r="AI308">
        <v>0</v>
      </c>
    </row>
    <row r="309" spans="5:35" x14ac:dyDescent="0.45">
      <c r="E309" t="s">
        <v>910</v>
      </c>
      <c r="G309" t="s">
        <v>801</v>
      </c>
      <c r="I309" t="s">
        <v>249</v>
      </c>
      <c r="J309" t="s">
        <v>1070</v>
      </c>
      <c r="K309">
        <v>0</v>
      </c>
      <c r="L309" t="s">
        <v>251</v>
      </c>
      <c r="N309" t="s">
        <v>419</v>
      </c>
      <c r="O309" t="s">
        <v>1070</v>
      </c>
      <c r="P309">
        <v>1.028818455533E-4</v>
      </c>
      <c r="Q309" t="s">
        <v>251</v>
      </c>
      <c r="S309" t="s">
        <v>420</v>
      </c>
      <c r="T309" t="s">
        <v>1070</v>
      </c>
      <c r="U309">
        <v>1.2542738926519999E-4</v>
      </c>
      <c r="V309" t="s">
        <v>251</v>
      </c>
      <c r="X309">
        <v>1.1415525114155251E-4</v>
      </c>
      <c r="Y309">
        <v>1.6574265138519424E-5</v>
      </c>
      <c r="Z309" t="s">
        <v>1070</v>
      </c>
      <c r="AA309" t="s">
        <v>25</v>
      </c>
      <c r="AC309" t="s">
        <v>22</v>
      </c>
      <c r="AD309" t="s">
        <v>1070</v>
      </c>
      <c r="AE309">
        <v>1.144761491489099E-4</v>
      </c>
      <c r="AG309" t="s">
        <v>97</v>
      </c>
      <c r="AH309" t="s">
        <v>1070</v>
      </c>
      <c r="AI309">
        <v>0</v>
      </c>
    </row>
    <row r="310" spans="5:35" x14ac:dyDescent="0.45">
      <c r="E310" t="s">
        <v>911</v>
      </c>
      <c r="G310" t="s">
        <v>801</v>
      </c>
      <c r="I310" t="s">
        <v>249</v>
      </c>
      <c r="J310" t="s">
        <v>1071</v>
      </c>
      <c r="K310">
        <v>0</v>
      </c>
      <c r="L310" t="s">
        <v>251</v>
      </c>
      <c r="N310" t="s">
        <v>419</v>
      </c>
      <c r="O310" t="s">
        <v>1071</v>
      </c>
      <c r="P310">
        <v>1.082680379145E-4</v>
      </c>
      <c r="Q310" t="s">
        <v>251</v>
      </c>
      <c r="S310" t="s">
        <v>420</v>
      </c>
      <c r="T310" t="s">
        <v>1071</v>
      </c>
      <c r="U310">
        <v>1.2727946212570001E-4</v>
      </c>
      <c r="V310" t="s">
        <v>251</v>
      </c>
      <c r="X310">
        <v>1.1415525114155251E-4</v>
      </c>
      <c r="Y310">
        <v>1.4585353321897093E-5</v>
      </c>
      <c r="Z310" t="s">
        <v>1071</v>
      </c>
      <c r="AA310" t="s">
        <v>25</v>
      </c>
      <c r="AC310" t="s">
        <v>22</v>
      </c>
      <c r="AD310" t="s">
        <v>1071</v>
      </c>
      <c r="AE310">
        <v>1.0652727259608258E-4</v>
      </c>
      <c r="AG310" t="s">
        <v>97</v>
      </c>
      <c r="AH310" t="s">
        <v>1071</v>
      </c>
      <c r="AI310">
        <v>0</v>
      </c>
    </row>
    <row r="311" spans="5:35" x14ac:dyDescent="0.45">
      <c r="E311" t="s">
        <v>912</v>
      </c>
      <c r="G311" t="s">
        <v>801</v>
      </c>
      <c r="I311" t="s">
        <v>249</v>
      </c>
      <c r="J311" t="s">
        <v>1072</v>
      </c>
      <c r="K311">
        <v>0</v>
      </c>
      <c r="L311" t="s">
        <v>251</v>
      </c>
      <c r="N311" t="s">
        <v>419</v>
      </c>
      <c r="O311" t="s">
        <v>1072</v>
      </c>
      <c r="P311">
        <v>1.086654735329E-4</v>
      </c>
      <c r="Q311" t="s">
        <v>251</v>
      </c>
      <c r="S311" t="s">
        <v>420</v>
      </c>
      <c r="T311" t="s">
        <v>1072</v>
      </c>
      <c r="U311">
        <v>9.8178037769392114E-5</v>
      </c>
      <c r="V311" t="s">
        <v>251</v>
      </c>
      <c r="X311">
        <v>1.1415525114155251E-4</v>
      </c>
      <c r="Y311">
        <v>2.1215059377304864E-5</v>
      </c>
      <c r="Z311" t="s">
        <v>1072</v>
      </c>
      <c r="AA311" t="s">
        <v>25</v>
      </c>
      <c r="AC311" t="s">
        <v>22</v>
      </c>
      <c r="AD311" t="s">
        <v>1072</v>
      </c>
      <c r="AE311">
        <v>1.0056354759316593E-4</v>
      </c>
      <c r="AG311" t="s">
        <v>97</v>
      </c>
      <c r="AH311" t="s">
        <v>1072</v>
      </c>
      <c r="AI311">
        <v>0</v>
      </c>
    </row>
    <row r="312" spans="5:35" x14ac:dyDescent="0.45">
      <c r="E312" t="s">
        <v>913</v>
      </c>
      <c r="G312" t="s">
        <v>801</v>
      </c>
      <c r="I312" t="s">
        <v>249</v>
      </c>
      <c r="J312" t="s">
        <v>1073</v>
      </c>
      <c r="K312">
        <v>0</v>
      </c>
      <c r="L312" t="s">
        <v>251</v>
      </c>
      <c r="N312" t="s">
        <v>419</v>
      </c>
      <c r="O312" t="s">
        <v>1073</v>
      </c>
      <c r="P312">
        <v>1.107275075504E-4</v>
      </c>
      <c r="Q312" t="s">
        <v>251</v>
      </c>
      <c r="S312" t="s">
        <v>420</v>
      </c>
      <c r="T312" t="s">
        <v>1073</v>
      </c>
      <c r="U312">
        <v>9.5773217119794304E-5</v>
      </c>
      <c r="V312" t="s">
        <v>251</v>
      </c>
      <c r="X312">
        <v>1.1415525114155251E-4</v>
      </c>
      <c r="Y312">
        <v>5.7678442682047593E-5</v>
      </c>
      <c r="Z312" t="s">
        <v>1073</v>
      </c>
      <c r="AA312" t="s">
        <v>25</v>
      </c>
      <c r="AC312" t="s">
        <v>22</v>
      </c>
      <c r="AD312" t="s">
        <v>1073</v>
      </c>
      <c r="AE312">
        <v>8.923743229953509E-5</v>
      </c>
      <c r="AG312" t="s">
        <v>97</v>
      </c>
      <c r="AH312" t="s">
        <v>1073</v>
      </c>
      <c r="AI312">
        <v>0</v>
      </c>
    </row>
    <row r="313" spans="5:35" x14ac:dyDescent="0.45">
      <c r="E313" t="s">
        <v>914</v>
      </c>
      <c r="G313" t="s">
        <v>801</v>
      </c>
      <c r="I313" t="s">
        <v>249</v>
      </c>
      <c r="J313" t="s">
        <v>1074</v>
      </c>
      <c r="K313">
        <v>1.025349120653451E-6</v>
      </c>
      <c r="L313" t="s">
        <v>251</v>
      </c>
      <c r="N313" t="s">
        <v>419</v>
      </c>
      <c r="O313" t="s">
        <v>1074</v>
      </c>
      <c r="P313">
        <v>1.127766001047E-4</v>
      </c>
      <c r="Q313" t="s">
        <v>251</v>
      </c>
      <c r="S313" t="s">
        <v>420</v>
      </c>
      <c r="T313" t="s">
        <v>1074</v>
      </c>
      <c r="U313">
        <v>1.0216533813149999E-4</v>
      </c>
      <c r="V313" t="s">
        <v>251</v>
      </c>
      <c r="X313">
        <v>1.1415525114155251E-4</v>
      </c>
      <c r="Y313">
        <v>1.6905750441289813E-4</v>
      </c>
      <c r="Z313" t="s">
        <v>1074</v>
      </c>
      <c r="AA313" t="s">
        <v>25</v>
      </c>
      <c r="AC313" t="s">
        <v>22</v>
      </c>
      <c r="AD313" t="s">
        <v>1074</v>
      </c>
      <c r="AE313">
        <v>8.5375444147874486E-5</v>
      </c>
      <c r="AG313" t="s">
        <v>97</v>
      </c>
      <c r="AH313" t="s">
        <v>1074</v>
      </c>
      <c r="AI313">
        <v>0</v>
      </c>
    </row>
    <row r="314" spans="5:35" x14ac:dyDescent="0.45">
      <c r="E314" t="s">
        <v>915</v>
      </c>
      <c r="G314" t="s">
        <v>801</v>
      </c>
      <c r="I314" t="s">
        <v>249</v>
      </c>
      <c r="J314" t="s">
        <v>1075</v>
      </c>
      <c r="K314">
        <v>1.8005127650099999E-4</v>
      </c>
      <c r="L314" t="s">
        <v>251</v>
      </c>
      <c r="N314" t="s">
        <v>419</v>
      </c>
      <c r="O314" t="s">
        <v>1075</v>
      </c>
      <c r="P314">
        <v>1.095817817408E-4</v>
      </c>
      <c r="Q314" t="s">
        <v>251</v>
      </c>
      <c r="S314" t="s">
        <v>420</v>
      </c>
      <c r="T314" t="s">
        <v>1075</v>
      </c>
      <c r="U314">
        <v>1.0847705148769999E-4</v>
      </c>
      <c r="V314" t="s">
        <v>251</v>
      </c>
      <c r="X314">
        <v>1.1415525114155251E-4</v>
      </c>
      <c r="Y314">
        <v>1.9060404909297337E-4</v>
      </c>
      <c r="Z314" t="s">
        <v>1075</v>
      </c>
      <c r="AA314" t="s">
        <v>25</v>
      </c>
      <c r="AC314" t="s">
        <v>22</v>
      </c>
      <c r="AD314" t="s">
        <v>1075</v>
      </c>
      <c r="AE314">
        <v>8.334894083204041E-5</v>
      </c>
      <c r="AG314" t="s">
        <v>97</v>
      </c>
      <c r="AH314" t="s">
        <v>1075</v>
      </c>
      <c r="AI314">
        <v>0</v>
      </c>
    </row>
    <row r="315" spans="5:35" x14ac:dyDescent="0.45">
      <c r="E315" t="s">
        <v>916</v>
      </c>
      <c r="G315" t="s">
        <v>801</v>
      </c>
      <c r="I315" t="s">
        <v>249</v>
      </c>
      <c r="J315" t="s">
        <v>1076</v>
      </c>
      <c r="K315">
        <v>2.518192737607E-4</v>
      </c>
      <c r="L315" t="s">
        <v>251</v>
      </c>
      <c r="N315" t="s">
        <v>419</v>
      </c>
      <c r="O315" t="s">
        <v>1076</v>
      </c>
      <c r="P315">
        <v>9.664103572806776E-5</v>
      </c>
      <c r="Q315" t="s">
        <v>251</v>
      </c>
      <c r="S315" t="s">
        <v>420</v>
      </c>
      <c r="T315" t="s">
        <v>1076</v>
      </c>
      <c r="U315">
        <v>1.098433845885E-4</v>
      </c>
      <c r="V315" t="s">
        <v>251</v>
      </c>
      <c r="X315">
        <v>1.1415525114155251E-4</v>
      </c>
      <c r="Y315">
        <v>1.4585353321897094E-4</v>
      </c>
      <c r="Z315" t="s">
        <v>1076</v>
      </c>
      <c r="AA315" t="s">
        <v>25</v>
      </c>
      <c r="AC315" t="s">
        <v>22</v>
      </c>
      <c r="AD315" t="s">
        <v>1076</v>
      </c>
      <c r="AE315">
        <v>8.3999630877764383E-5</v>
      </c>
      <c r="AG315" t="s">
        <v>97</v>
      </c>
      <c r="AH315" t="s">
        <v>1076</v>
      </c>
      <c r="AI315">
        <v>0</v>
      </c>
    </row>
    <row r="316" spans="5:35" x14ac:dyDescent="0.45">
      <c r="E316" t="s">
        <v>917</v>
      </c>
      <c r="G316" t="s">
        <v>801</v>
      </c>
      <c r="I316" t="s">
        <v>249</v>
      </c>
      <c r="J316" t="s">
        <v>1077</v>
      </c>
      <c r="K316">
        <v>2.8538259082310001E-4</v>
      </c>
      <c r="L316" t="s">
        <v>251</v>
      </c>
      <c r="N316" t="s">
        <v>419</v>
      </c>
      <c r="O316" t="s">
        <v>1077</v>
      </c>
      <c r="P316">
        <v>1.093961235586E-4</v>
      </c>
      <c r="Q316" t="s">
        <v>251</v>
      </c>
      <c r="S316" t="s">
        <v>420</v>
      </c>
      <c r="T316" t="s">
        <v>1077</v>
      </c>
      <c r="U316">
        <v>1.0617764919549999E-4</v>
      </c>
      <c r="V316" t="s">
        <v>251</v>
      </c>
      <c r="X316">
        <v>1.1415525114155251E-4</v>
      </c>
      <c r="Y316">
        <v>1.4452759200788939E-4</v>
      </c>
      <c r="Z316" t="s">
        <v>1077</v>
      </c>
      <c r="AA316" t="s">
        <v>25</v>
      </c>
      <c r="AC316" t="s">
        <v>22</v>
      </c>
      <c r="AD316" t="s">
        <v>1077</v>
      </c>
      <c r="AE316">
        <v>8.5810571439623478E-5</v>
      </c>
      <c r="AG316" t="s">
        <v>97</v>
      </c>
      <c r="AH316" t="s">
        <v>1077</v>
      </c>
      <c r="AI316">
        <v>0</v>
      </c>
    </row>
    <row r="317" spans="5:35" x14ac:dyDescent="0.45">
      <c r="E317" t="s">
        <v>918</v>
      </c>
      <c r="G317" t="s">
        <v>801</v>
      </c>
      <c r="I317" t="s">
        <v>249</v>
      </c>
      <c r="J317" t="s">
        <v>1078</v>
      </c>
      <c r="K317">
        <v>2.9579081060390001E-4</v>
      </c>
      <c r="L317" t="s">
        <v>251</v>
      </c>
      <c r="N317" t="s">
        <v>419</v>
      </c>
      <c r="O317" t="s">
        <v>1078</v>
      </c>
      <c r="P317">
        <v>1.206422854018E-4</v>
      </c>
      <c r="Q317" t="s">
        <v>251</v>
      </c>
      <c r="S317" t="s">
        <v>420</v>
      </c>
      <c r="T317" t="s">
        <v>1078</v>
      </c>
      <c r="U317">
        <v>9.7909511747608564E-5</v>
      </c>
      <c r="V317" t="s">
        <v>251</v>
      </c>
      <c r="X317">
        <v>1.1415525114155251E-4</v>
      </c>
      <c r="Y317">
        <v>1.408812536774151E-4</v>
      </c>
      <c r="Z317" t="s">
        <v>1078</v>
      </c>
      <c r="AA317" t="s">
        <v>25</v>
      </c>
      <c r="AC317" t="s">
        <v>22</v>
      </c>
      <c r="AD317" t="s">
        <v>1078</v>
      </c>
      <c r="AE317">
        <v>9.5694977423253346E-5</v>
      </c>
      <c r="AG317" t="s">
        <v>97</v>
      </c>
      <c r="AH317" t="s">
        <v>1078</v>
      </c>
      <c r="AI317">
        <v>0</v>
      </c>
    </row>
    <row r="318" spans="5:35" x14ac:dyDescent="0.45">
      <c r="E318" t="s">
        <v>919</v>
      </c>
      <c r="G318" t="s">
        <v>801</v>
      </c>
      <c r="I318" t="s">
        <v>249</v>
      </c>
      <c r="J318" t="s">
        <v>1079</v>
      </c>
      <c r="K318">
        <v>2.820288874379E-4</v>
      </c>
      <c r="L318" t="s">
        <v>251</v>
      </c>
      <c r="N318" t="s">
        <v>419</v>
      </c>
      <c r="O318" t="s">
        <v>1079</v>
      </c>
      <c r="P318">
        <v>1.34066096529E-4</v>
      </c>
      <c r="Q318" t="s">
        <v>251</v>
      </c>
      <c r="S318" t="s">
        <v>420</v>
      </c>
      <c r="T318" t="s">
        <v>1079</v>
      </c>
      <c r="U318">
        <v>9.4184739927280462E-5</v>
      </c>
      <c r="V318" t="s">
        <v>251</v>
      </c>
      <c r="X318">
        <v>1.1415525114155251E-4</v>
      </c>
      <c r="Y318">
        <v>1.4054976837464471E-4</v>
      </c>
      <c r="Z318" t="s">
        <v>1079</v>
      </c>
      <c r="AA318" t="s">
        <v>25</v>
      </c>
      <c r="AC318" t="s">
        <v>22</v>
      </c>
      <c r="AD318" t="s">
        <v>1079</v>
      </c>
      <c r="AE318">
        <v>1.0624528023104354E-4</v>
      </c>
      <c r="AG318" t="s">
        <v>97</v>
      </c>
      <c r="AH318" t="s">
        <v>1079</v>
      </c>
      <c r="AI318">
        <v>0</v>
      </c>
    </row>
    <row r="319" spans="5:35" x14ac:dyDescent="0.45">
      <c r="E319" t="s">
        <v>920</v>
      </c>
      <c r="G319" t="s">
        <v>801</v>
      </c>
      <c r="I319" t="s">
        <v>249</v>
      </c>
      <c r="J319" t="s">
        <v>1080</v>
      </c>
      <c r="K319">
        <v>2.5968403594140002E-4</v>
      </c>
      <c r="L319" t="s">
        <v>251</v>
      </c>
      <c r="N319" t="s">
        <v>419</v>
      </c>
      <c r="O319" t="s">
        <v>1080</v>
      </c>
      <c r="P319">
        <v>1.414360478319E-4</v>
      </c>
      <c r="Q319" t="s">
        <v>251</v>
      </c>
      <c r="S319" t="s">
        <v>420</v>
      </c>
      <c r="T319" t="s">
        <v>1080</v>
      </c>
      <c r="U319">
        <v>9.1906748710109479E-5</v>
      </c>
      <c r="V319" t="s">
        <v>251</v>
      </c>
      <c r="X319">
        <v>1.1415525114155251E-4</v>
      </c>
      <c r="Y319">
        <v>1.4253868019126702E-4</v>
      </c>
      <c r="Z319" t="s">
        <v>1080</v>
      </c>
      <c r="AA319" t="s">
        <v>25</v>
      </c>
      <c r="AC319" t="s">
        <v>22</v>
      </c>
      <c r="AD319" t="s">
        <v>1080</v>
      </c>
      <c r="AE319">
        <v>1.170292872126977E-4</v>
      </c>
      <c r="AG319" t="s">
        <v>97</v>
      </c>
      <c r="AH319" t="s">
        <v>1080</v>
      </c>
      <c r="AI319">
        <v>0</v>
      </c>
    </row>
    <row r="320" spans="5:35" x14ac:dyDescent="0.45">
      <c r="E320" t="s">
        <v>921</v>
      </c>
      <c r="G320" t="s">
        <v>801</v>
      </c>
      <c r="I320" t="s">
        <v>249</v>
      </c>
      <c r="J320" t="s">
        <v>1081</v>
      </c>
      <c r="K320">
        <v>2.8053428263560002E-4</v>
      </c>
      <c r="L320" t="s">
        <v>251</v>
      </c>
      <c r="N320" t="s">
        <v>419</v>
      </c>
      <c r="O320" t="s">
        <v>1081</v>
      </c>
      <c r="P320">
        <v>1.459940922376E-4</v>
      </c>
      <c r="Q320" t="s">
        <v>251</v>
      </c>
      <c r="S320" t="s">
        <v>420</v>
      </c>
      <c r="T320" t="s">
        <v>1081</v>
      </c>
      <c r="U320">
        <v>8.9844627826257727E-5</v>
      </c>
      <c r="V320" t="s">
        <v>251</v>
      </c>
      <c r="X320">
        <v>1.1415525114155251E-4</v>
      </c>
      <c r="Y320">
        <v>1.4883690094390442E-4</v>
      </c>
      <c r="Z320" t="s">
        <v>1081</v>
      </c>
      <c r="AA320" t="s">
        <v>25</v>
      </c>
      <c r="AC320" t="s">
        <v>22</v>
      </c>
      <c r="AD320" t="s">
        <v>1081</v>
      </c>
      <c r="AE320">
        <v>1.2547705281247204E-4</v>
      </c>
      <c r="AG320" t="s">
        <v>97</v>
      </c>
      <c r="AH320" t="s">
        <v>1081</v>
      </c>
      <c r="AI320">
        <v>0</v>
      </c>
    </row>
    <row r="321" spans="5:35" x14ac:dyDescent="0.45">
      <c r="E321" t="s">
        <v>922</v>
      </c>
      <c r="G321" t="s">
        <v>801</v>
      </c>
      <c r="I321" t="s">
        <v>249</v>
      </c>
      <c r="J321" t="s">
        <v>1082</v>
      </c>
      <c r="K321">
        <v>2.9283579266879998E-4</v>
      </c>
      <c r="L321" t="s">
        <v>251</v>
      </c>
      <c r="N321" t="s">
        <v>419</v>
      </c>
      <c r="O321" t="s">
        <v>1082</v>
      </c>
      <c r="P321">
        <v>1.5032445127369999E-4</v>
      </c>
      <c r="Q321" t="s">
        <v>251</v>
      </c>
      <c r="S321" t="s">
        <v>420</v>
      </c>
      <c r="T321" t="s">
        <v>1082</v>
      </c>
      <c r="U321">
        <v>8.1900396885735592E-5</v>
      </c>
      <c r="V321" t="s">
        <v>251</v>
      </c>
      <c r="X321">
        <v>1.1415525114155251E-4</v>
      </c>
      <c r="Y321">
        <v>1.5049432745775637E-4</v>
      </c>
      <c r="Z321" t="s">
        <v>1082</v>
      </c>
      <c r="AA321" t="s">
        <v>25</v>
      </c>
      <c r="AC321" t="s">
        <v>22</v>
      </c>
      <c r="AD321" t="s">
        <v>1082</v>
      </c>
      <c r="AE321">
        <v>1.210878963416845E-4</v>
      </c>
      <c r="AG321" t="s">
        <v>97</v>
      </c>
      <c r="AH321" t="s">
        <v>1082</v>
      </c>
      <c r="AI321">
        <v>0</v>
      </c>
    </row>
    <row r="322" spans="5:35" x14ac:dyDescent="0.45">
      <c r="E322" t="s">
        <v>923</v>
      </c>
      <c r="G322" t="s">
        <v>801</v>
      </c>
      <c r="I322" t="s">
        <v>249</v>
      </c>
      <c r="J322" t="s">
        <v>1083</v>
      </c>
      <c r="K322">
        <v>2.8613968549439999E-4</v>
      </c>
      <c r="L322" t="s">
        <v>251</v>
      </c>
      <c r="N322" t="s">
        <v>419</v>
      </c>
      <c r="O322" t="s">
        <v>1083</v>
      </c>
      <c r="P322">
        <v>1.4666984882690001E-4</v>
      </c>
      <c r="Q322" t="s">
        <v>251</v>
      </c>
      <c r="S322" t="s">
        <v>420</v>
      </c>
      <c r="T322" t="s">
        <v>1083</v>
      </c>
      <c r="U322">
        <v>7.6449920502633806E-5</v>
      </c>
      <c r="V322" t="s">
        <v>251</v>
      </c>
      <c r="X322">
        <v>1.1415525114155251E-4</v>
      </c>
      <c r="Y322">
        <v>1.7237235744060203E-4</v>
      </c>
      <c r="Z322" t="s">
        <v>1083</v>
      </c>
      <c r="AA322" t="s">
        <v>25</v>
      </c>
      <c r="AC322" t="s">
        <v>22</v>
      </c>
      <c r="AD322" t="s">
        <v>1083</v>
      </c>
      <c r="AE322">
        <v>1.1584956134874057E-4</v>
      </c>
      <c r="AG322" t="s">
        <v>97</v>
      </c>
      <c r="AH322" t="s">
        <v>1083</v>
      </c>
      <c r="AI322">
        <v>0</v>
      </c>
    </row>
    <row r="323" spans="5:35" x14ac:dyDescent="0.45">
      <c r="E323" t="s">
        <v>924</v>
      </c>
      <c r="G323" t="s">
        <v>802</v>
      </c>
      <c r="I323" t="s">
        <v>249</v>
      </c>
      <c r="J323" t="s">
        <v>1084</v>
      </c>
      <c r="K323">
        <v>2.530712174309E-4</v>
      </c>
      <c r="L323" t="s">
        <v>251</v>
      </c>
      <c r="N323" t="s">
        <v>419</v>
      </c>
      <c r="O323" t="s">
        <v>1084</v>
      </c>
      <c r="P323">
        <v>1.372166218981E-4</v>
      </c>
      <c r="Q323" t="s">
        <v>251</v>
      </c>
      <c r="S323" t="s">
        <v>420</v>
      </c>
      <c r="T323" t="s">
        <v>1084</v>
      </c>
      <c r="U323">
        <v>6.5523400960982897E-5</v>
      </c>
      <c r="V323" t="s">
        <v>251</v>
      </c>
      <c r="X323">
        <v>1.1415525114155251E-4</v>
      </c>
      <c r="Y323">
        <v>2.2209515285616027E-4</v>
      </c>
      <c r="Z323" t="s">
        <v>1084</v>
      </c>
      <c r="AA323" t="s">
        <v>25</v>
      </c>
      <c r="AC323" t="s">
        <v>22</v>
      </c>
      <c r="AD323" t="s">
        <v>1084</v>
      </c>
      <c r="AE323">
        <v>1.2054178624590878E-4</v>
      </c>
      <c r="AG323" t="s">
        <v>97</v>
      </c>
      <c r="AH323" t="s">
        <v>1084</v>
      </c>
      <c r="AI323">
        <v>0</v>
      </c>
    </row>
    <row r="324" spans="5:35" x14ac:dyDescent="0.45">
      <c r="E324" t="s">
        <v>925</v>
      </c>
      <c r="G324" t="s">
        <v>802</v>
      </c>
      <c r="I324" t="s">
        <v>249</v>
      </c>
      <c r="J324" t="s">
        <v>1085</v>
      </c>
      <c r="K324">
        <v>1.785981703669E-4</v>
      </c>
      <c r="L324" t="s">
        <v>251</v>
      </c>
      <c r="N324" t="s">
        <v>419</v>
      </c>
      <c r="O324" t="s">
        <v>1085</v>
      </c>
      <c r="P324">
        <v>1.169504804746E-4</v>
      </c>
      <c r="Q324" t="s">
        <v>251</v>
      </c>
      <c r="S324" t="s">
        <v>420</v>
      </c>
      <c r="T324" t="s">
        <v>1085</v>
      </c>
      <c r="U324">
        <v>5.7766751069731069E-5</v>
      </c>
      <c r="V324" t="s">
        <v>251</v>
      </c>
      <c r="X324">
        <v>1.1415525114155251E-4</v>
      </c>
      <c r="Y324">
        <v>2.2209515285616027E-4</v>
      </c>
      <c r="Z324" t="s">
        <v>1085</v>
      </c>
      <c r="AA324" t="s">
        <v>25</v>
      </c>
      <c r="AC324" t="s">
        <v>22</v>
      </c>
      <c r="AD324" t="s">
        <v>1085</v>
      </c>
      <c r="AE324">
        <v>1.1914062834507141E-4</v>
      </c>
      <c r="AG324" t="s">
        <v>97</v>
      </c>
      <c r="AH324" t="s">
        <v>1085</v>
      </c>
      <c r="AI324">
        <v>0</v>
      </c>
    </row>
    <row r="325" spans="5:35" x14ac:dyDescent="0.45">
      <c r="E325" t="s">
        <v>926</v>
      </c>
      <c r="G325" t="s">
        <v>802</v>
      </c>
      <c r="I325" t="s">
        <v>249</v>
      </c>
      <c r="J325" t="s">
        <v>1086</v>
      </c>
      <c r="K325">
        <v>0</v>
      </c>
      <c r="L325" t="s">
        <v>251</v>
      </c>
      <c r="N325" t="s">
        <v>419</v>
      </c>
      <c r="O325" t="s">
        <v>1086</v>
      </c>
      <c r="P325">
        <v>1.0573397489319999E-4</v>
      </c>
      <c r="Q325" t="s">
        <v>251</v>
      </c>
      <c r="S325" t="s">
        <v>420</v>
      </c>
      <c r="T325" t="s">
        <v>1086</v>
      </c>
      <c r="U325">
        <v>5.5667949752844662E-5</v>
      </c>
      <c r="V325" t="s">
        <v>251</v>
      </c>
      <c r="X325">
        <v>1.1415525114155251E-4</v>
      </c>
      <c r="Y325">
        <v>1.7237235744060203E-4</v>
      </c>
      <c r="Z325" t="s">
        <v>1086</v>
      </c>
      <c r="AA325" t="s">
        <v>25</v>
      </c>
      <c r="AC325" t="s">
        <v>22</v>
      </c>
      <c r="AD325" t="s">
        <v>1086</v>
      </c>
      <c r="AE325">
        <v>1.193468536035153E-4</v>
      </c>
      <c r="AG325" t="s">
        <v>97</v>
      </c>
      <c r="AH325" t="s">
        <v>1086</v>
      </c>
      <c r="AI325">
        <v>0</v>
      </c>
    </row>
    <row r="326" spans="5:35" x14ac:dyDescent="0.45">
      <c r="E326" t="s">
        <v>927</v>
      </c>
      <c r="G326" t="s">
        <v>802</v>
      </c>
      <c r="I326" t="s">
        <v>249</v>
      </c>
      <c r="J326" t="s">
        <v>1087</v>
      </c>
      <c r="K326">
        <v>0</v>
      </c>
      <c r="L326" t="s">
        <v>251</v>
      </c>
      <c r="N326" t="s">
        <v>419</v>
      </c>
      <c r="O326" t="s">
        <v>1087</v>
      </c>
      <c r="P326">
        <v>1.0359455668379999E-4</v>
      </c>
      <c r="Q326" t="s">
        <v>251</v>
      </c>
      <c r="S326" t="s">
        <v>420</v>
      </c>
      <c r="T326" t="s">
        <v>1087</v>
      </c>
      <c r="U326">
        <v>5.5837038481214527E-5</v>
      </c>
      <c r="V326" t="s">
        <v>251</v>
      </c>
      <c r="X326">
        <v>1.1415525114155251E-4</v>
      </c>
      <c r="Y326">
        <v>1.5579809230208258E-4</v>
      </c>
      <c r="Z326" t="s">
        <v>1087</v>
      </c>
      <c r="AA326" t="s">
        <v>25</v>
      </c>
      <c r="AC326" t="s">
        <v>22</v>
      </c>
      <c r="AD326" t="s">
        <v>1087</v>
      </c>
      <c r="AE326">
        <v>1.1934685360351528E-4</v>
      </c>
      <c r="AG326" t="s">
        <v>97</v>
      </c>
      <c r="AH326" t="s">
        <v>1087</v>
      </c>
      <c r="AI326">
        <v>0</v>
      </c>
    </row>
    <row r="327" spans="5:35" x14ac:dyDescent="0.45">
      <c r="E327" t="s">
        <v>928</v>
      </c>
      <c r="G327" t="s">
        <v>802</v>
      </c>
      <c r="I327" t="s">
        <v>249</v>
      </c>
      <c r="J327" t="s">
        <v>1088</v>
      </c>
      <c r="K327">
        <v>0</v>
      </c>
      <c r="L327" t="s">
        <v>251</v>
      </c>
      <c r="N327" t="s">
        <v>419</v>
      </c>
      <c r="O327" t="s">
        <v>1088</v>
      </c>
      <c r="P327">
        <v>1.093526415815E-4</v>
      </c>
      <c r="Q327" t="s">
        <v>251</v>
      </c>
      <c r="S327" t="s">
        <v>420</v>
      </c>
      <c r="T327" t="s">
        <v>1088</v>
      </c>
      <c r="U327">
        <v>5.4170085584902641E-5</v>
      </c>
      <c r="V327" t="s">
        <v>251</v>
      </c>
      <c r="X327">
        <v>1.1415525114155251E-4</v>
      </c>
      <c r="Y327">
        <v>1.093901499142282E-4</v>
      </c>
      <c r="Z327" t="s">
        <v>1088</v>
      </c>
      <c r="AA327" t="s">
        <v>25</v>
      </c>
      <c r="AC327" t="s">
        <v>22</v>
      </c>
      <c r="AD327" t="s">
        <v>1088</v>
      </c>
      <c r="AE327">
        <v>1.1951092673927596E-4</v>
      </c>
      <c r="AG327" t="s">
        <v>97</v>
      </c>
      <c r="AH327" t="s">
        <v>1088</v>
      </c>
      <c r="AI327">
        <v>0</v>
      </c>
    </row>
    <row r="328" spans="5:35" x14ac:dyDescent="0.45">
      <c r="E328" t="s">
        <v>929</v>
      </c>
      <c r="G328" t="s">
        <v>802</v>
      </c>
      <c r="I328" t="s">
        <v>249</v>
      </c>
      <c r="J328" t="s">
        <v>1089</v>
      </c>
      <c r="K328">
        <v>0</v>
      </c>
      <c r="L328" t="s">
        <v>251</v>
      </c>
      <c r="N328" t="s">
        <v>419</v>
      </c>
      <c r="O328" t="s">
        <v>1089</v>
      </c>
      <c r="P328">
        <v>1.197790357282E-4</v>
      </c>
      <c r="Q328" t="s">
        <v>251</v>
      </c>
      <c r="S328" t="s">
        <v>420</v>
      </c>
      <c r="T328" t="s">
        <v>1089</v>
      </c>
      <c r="U328">
        <v>4.9416177745231208E-5</v>
      </c>
      <c r="V328" t="s">
        <v>251</v>
      </c>
      <c r="X328">
        <v>1.1415525114155251E-4</v>
      </c>
      <c r="Y328">
        <v>7.9556472664893237E-5</v>
      </c>
      <c r="Z328" t="s">
        <v>1089</v>
      </c>
      <c r="AA328" t="s">
        <v>25</v>
      </c>
      <c r="AC328" t="s">
        <v>22</v>
      </c>
      <c r="AD328" t="s">
        <v>1089</v>
      </c>
      <c r="AE328">
        <v>1.1987962441996088E-4</v>
      </c>
      <c r="AG328" t="s">
        <v>97</v>
      </c>
      <c r="AH328" t="s">
        <v>1089</v>
      </c>
      <c r="AI328">
        <v>0</v>
      </c>
    </row>
    <row r="329" spans="5:35" x14ac:dyDescent="0.45">
      <c r="E329" t="s">
        <v>930</v>
      </c>
      <c r="G329" t="s">
        <v>802</v>
      </c>
      <c r="I329" t="s">
        <v>249</v>
      </c>
      <c r="J329" t="s">
        <v>1090</v>
      </c>
      <c r="K329">
        <v>0</v>
      </c>
      <c r="L329" t="s">
        <v>251</v>
      </c>
      <c r="N329" t="s">
        <v>419</v>
      </c>
      <c r="O329" t="s">
        <v>1090</v>
      </c>
      <c r="P329">
        <v>1.2954179499969999E-4</v>
      </c>
      <c r="Q329" t="s">
        <v>251</v>
      </c>
      <c r="S329" t="s">
        <v>420</v>
      </c>
      <c r="T329" t="s">
        <v>1090</v>
      </c>
      <c r="U329">
        <v>4.4349216256106994E-5</v>
      </c>
      <c r="V329" t="s">
        <v>251</v>
      </c>
      <c r="X329">
        <v>1.1415525114155251E-4</v>
      </c>
      <c r="Y329">
        <v>5.6352501470966035E-5</v>
      </c>
      <c r="Z329" t="s">
        <v>1090</v>
      </c>
      <c r="AA329" t="s">
        <v>25</v>
      </c>
      <c r="AC329" t="s">
        <v>22</v>
      </c>
      <c r="AD329" t="s">
        <v>1090</v>
      </c>
      <c r="AE329">
        <v>1.1965632488397444E-4</v>
      </c>
      <c r="AG329" t="s">
        <v>97</v>
      </c>
      <c r="AH329" t="s">
        <v>1090</v>
      </c>
      <c r="AI329">
        <v>0</v>
      </c>
    </row>
    <row r="330" spans="5:35" x14ac:dyDescent="0.45">
      <c r="E330" t="s">
        <v>931</v>
      </c>
      <c r="G330" t="s">
        <v>802</v>
      </c>
      <c r="I330" t="s">
        <v>249</v>
      </c>
      <c r="J330" t="s">
        <v>1091</v>
      </c>
      <c r="K330">
        <v>0</v>
      </c>
      <c r="L330" t="s">
        <v>251</v>
      </c>
      <c r="N330" t="s">
        <v>419</v>
      </c>
      <c r="O330" t="s">
        <v>1091</v>
      </c>
      <c r="P330">
        <v>1.3893567063739999E-4</v>
      </c>
      <c r="Q330" t="s">
        <v>251</v>
      </c>
      <c r="S330" t="s">
        <v>420</v>
      </c>
      <c r="T330" t="s">
        <v>1091</v>
      </c>
      <c r="U330">
        <v>4.190682980082325E-5</v>
      </c>
      <c r="V330" t="s">
        <v>251</v>
      </c>
      <c r="X330">
        <v>1.1415525114155251E-4</v>
      </c>
      <c r="Y330">
        <v>2.9833677249334962E-5</v>
      </c>
      <c r="Z330" t="s">
        <v>1091</v>
      </c>
      <c r="AA330" t="s">
        <v>25</v>
      </c>
      <c r="AC330" t="s">
        <v>22</v>
      </c>
      <c r="AD330" t="s">
        <v>1091</v>
      </c>
      <c r="AE330">
        <v>1.2037157704165626E-4</v>
      </c>
      <c r="AG330" t="s">
        <v>97</v>
      </c>
      <c r="AH330" t="s">
        <v>1091</v>
      </c>
      <c r="AI330">
        <v>0</v>
      </c>
    </row>
    <row r="331" spans="5:35" x14ac:dyDescent="0.45">
      <c r="E331" t="s">
        <v>932</v>
      </c>
      <c r="G331" t="s">
        <v>802</v>
      </c>
      <c r="I331" t="s">
        <v>249</v>
      </c>
      <c r="J331" t="s">
        <v>1092</v>
      </c>
      <c r="K331">
        <v>0</v>
      </c>
      <c r="L331" t="s">
        <v>251</v>
      </c>
      <c r="N331" t="s">
        <v>419</v>
      </c>
      <c r="O331" t="s">
        <v>1092</v>
      </c>
      <c r="P331">
        <v>1.3752577363419999E-4</v>
      </c>
      <c r="Q331" t="s">
        <v>251</v>
      </c>
      <c r="S331" t="s">
        <v>420</v>
      </c>
      <c r="T331" t="s">
        <v>1092</v>
      </c>
      <c r="U331">
        <v>1.730226641038E-4</v>
      </c>
      <c r="V331" t="s">
        <v>251</v>
      </c>
      <c r="X331">
        <v>1.1415525114155251E-4</v>
      </c>
      <c r="Y331">
        <v>2.1546544680075254E-5</v>
      </c>
      <c r="Z331" t="s">
        <v>1092</v>
      </c>
      <c r="AA331" t="s">
        <v>25</v>
      </c>
      <c r="AC331" t="s">
        <v>22</v>
      </c>
      <c r="AD331" t="s">
        <v>1092</v>
      </c>
      <c r="AE331">
        <v>1.2185223704730122E-4</v>
      </c>
      <c r="AG331" t="s">
        <v>97</v>
      </c>
      <c r="AH331" t="s">
        <v>1092</v>
      </c>
      <c r="AI331">
        <v>0</v>
      </c>
    </row>
    <row r="332" spans="5:35" x14ac:dyDescent="0.45">
      <c r="E332" t="s">
        <v>933</v>
      </c>
      <c r="G332" t="s">
        <v>802</v>
      </c>
      <c r="I332" t="s">
        <v>249</v>
      </c>
      <c r="J332" t="s">
        <v>1093</v>
      </c>
      <c r="K332">
        <v>0</v>
      </c>
      <c r="L332" t="s">
        <v>251</v>
      </c>
      <c r="N332" t="s">
        <v>419</v>
      </c>
      <c r="O332" t="s">
        <v>1093</v>
      </c>
      <c r="P332">
        <v>1.4145434846490001E-4</v>
      </c>
      <c r="Q332" t="s">
        <v>251</v>
      </c>
      <c r="S332" t="s">
        <v>420</v>
      </c>
      <c r="T332" t="s">
        <v>1093</v>
      </c>
      <c r="U332">
        <v>1.7660873976009999E-4</v>
      </c>
      <c r="V332" t="s">
        <v>251</v>
      </c>
      <c r="X332">
        <v>1.1415525114155251E-4</v>
      </c>
      <c r="Y332">
        <v>1.4916838624667481E-5</v>
      </c>
      <c r="Z332" t="s">
        <v>1093</v>
      </c>
      <c r="AA332" t="s">
        <v>25</v>
      </c>
      <c r="AC332" t="s">
        <v>22</v>
      </c>
      <c r="AD332" t="s">
        <v>1093</v>
      </c>
      <c r="AE332">
        <v>1.1869749748572433E-4</v>
      </c>
      <c r="AG332" t="s">
        <v>97</v>
      </c>
      <c r="AH332" t="s">
        <v>1093</v>
      </c>
      <c r="AI332">
        <v>0</v>
      </c>
    </row>
    <row r="333" spans="5:35" x14ac:dyDescent="0.45">
      <c r="E333" t="s">
        <v>934</v>
      </c>
      <c r="G333" t="s">
        <v>802</v>
      </c>
      <c r="I333" t="s">
        <v>249</v>
      </c>
      <c r="J333" t="s">
        <v>1094</v>
      </c>
      <c r="K333">
        <v>0</v>
      </c>
      <c r="L333" t="s">
        <v>251</v>
      </c>
      <c r="N333" t="s">
        <v>419</v>
      </c>
      <c r="O333" t="s">
        <v>1094</v>
      </c>
      <c r="P333">
        <v>1.418412583067E-4</v>
      </c>
      <c r="Q333" t="s">
        <v>251</v>
      </c>
      <c r="S333" t="s">
        <v>420</v>
      </c>
      <c r="T333" t="s">
        <v>1094</v>
      </c>
      <c r="U333">
        <v>1.8213228082619999E-4</v>
      </c>
      <c r="V333" t="s">
        <v>251</v>
      </c>
      <c r="X333">
        <v>1.1415525114155251E-4</v>
      </c>
      <c r="Y333">
        <v>1.6574265138519424E-5</v>
      </c>
      <c r="Z333" t="s">
        <v>1094</v>
      </c>
      <c r="AA333" t="s">
        <v>25</v>
      </c>
      <c r="AC333" t="s">
        <v>22</v>
      </c>
      <c r="AD333" t="s">
        <v>1094</v>
      </c>
      <c r="AE333">
        <v>1.1565187322906797E-4</v>
      </c>
      <c r="AG333" t="s">
        <v>97</v>
      </c>
      <c r="AH333" t="s">
        <v>1094</v>
      </c>
      <c r="AI333">
        <v>0</v>
      </c>
    </row>
    <row r="334" spans="5:35" x14ac:dyDescent="0.45">
      <c r="E334" t="s">
        <v>935</v>
      </c>
      <c r="G334" t="s">
        <v>802</v>
      </c>
      <c r="I334" t="s">
        <v>249</v>
      </c>
      <c r="J334" t="s">
        <v>1095</v>
      </c>
      <c r="K334">
        <v>0</v>
      </c>
      <c r="L334" t="s">
        <v>251</v>
      </c>
      <c r="N334" t="s">
        <v>419</v>
      </c>
      <c r="O334" t="s">
        <v>1095</v>
      </c>
      <c r="P334">
        <v>1.5002816367979999E-4</v>
      </c>
      <c r="Q334" t="s">
        <v>251</v>
      </c>
      <c r="S334" t="s">
        <v>420</v>
      </c>
      <c r="T334" t="s">
        <v>1095</v>
      </c>
      <c r="U334">
        <v>1.9051706364069999E-4</v>
      </c>
      <c r="V334" t="s">
        <v>251</v>
      </c>
      <c r="X334">
        <v>1.1415525114155251E-4</v>
      </c>
      <c r="Y334">
        <v>1.4585353321897093E-5</v>
      </c>
      <c r="Z334" t="s">
        <v>1095</v>
      </c>
      <c r="AA334" t="s">
        <v>25</v>
      </c>
      <c r="AC334" t="s">
        <v>22</v>
      </c>
      <c r="AD334" t="s">
        <v>1095</v>
      </c>
      <c r="AE334">
        <v>1.0726680224214527E-4</v>
      </c>
      <c r="AG334" t="s">
        <v>97</v>
      </c>
      <c r="AH334" t="s">
        <v>1095</v>
      </c>
      <c r="AI334">
        <v>0</v>
      </c>
    </row>
    <row r="335" spans="5:35" x14ac:dyDescent="0.45">
      <c r="E335" t="s">
        <v>936</v>
      </c>
      <c r="G335" t="s">
        <v>802</v>
      </c>
      <c r="I335" t="s">
        <v>249</v>
      </c>
      <c r="J335" t="s">
        <v>1096</v>
      </c>
      <c r="K335">
        <v>0</v>
      </c>
      <c r="L335" t="s">
        <v>251</v>
      </c>
      <c r="N335" t="s">
        <v>419</v>
      </c>
      <c r="O335" t="s">
        <v>1096</v>
      </c>
      <c r="P335">
        <v>1.4495874111829999E-4</v>
      </c>
      <c r="Q335" t="s">
        <v>251</v>
      </c>
      <c r="S335" t="s">
        <v>420</v>
      </c>
      <c r="T335" t="s">
        <v>1096</v>
      </c>
      <c r="U335">
        <v>2.003904075051E-4</v>
      </c>
      <c r="V335" t="s">
        <v>251</v>
      </c>
      <c r="X335">
        <v>1.1415525114155251E-4</v>
      </c>
      <c r="Y335">
        <v>2.1215059377304864E-5</v>
      </c>
      <c r="Z335" t="s">
        <v>1096</v>
      </c>
      <c r="AA335" t="s">
        <v>25</v>
      </c>
      <c r="AC335" t="s">
        <v>22</v>
      </c>
      <c r="AD335" t="s">
        <v>1096</v>
      </c>
      <c r="AE335">
        <v>9.971783728363539E-5</v>
      </c>
      <c r="AG335" t="s">
        <v>97</v>
      </c>
      <c r="AH335" t="s">
        <v>1096</v>
      </c>
      <c r="AI335">
        <v>0</v>
      </c>
    </row>
    <row r="336" spans="5:35" x14ac:dyDescent="0.45">
      <c r="E336" t="s">
        <v>937</v>
      </c>
      <c r="G336" t="s">
        <v>802</v>
      </c>
      <c r="I336" t="s">
        <v>249</v>
      </c>
      <c r="J336" t="s">
        <v>1097</v>
      </c>
      <c r="K336">
        <v>0</v>
      </c>
      <c r="L336" t="s">
        <v>251</v>
      </c>
      <c r="N336" t="s">
        <v>419</v>
      </c>
      <c r="O336" t="s">
        <v>1097</v>
      </c>
      <c r="P336">
        <v>1.399309851367E-4</v>
      </c>
      <c r="Q336" t="s">
        <v>251</v>
      </c>
      <c r="S336" t="s">
        <v>420</v>
      </c>
      <c r="T336" t="s">
        <v>1097</v>
      </c>
      <c r="U336">
        <v>1.992069709994E-4</v>
      </c>
      <c r="V336" t="s">
        <v>251</v>
      </c>
      <c r="X336">
        <v>1.1415525114155251E-4</v>
      </c>
      <c r="Y336">
        <v>5.7678442682047593E-5</v>
      </c>
      <c r="Z336" t="s">
        <v>1097</v>
      </c>
      <c r="AA336" t="s">
        <v>25</v>
      </c>
      <c r="AC336" t="s">
        <v>22</v>
      </c>
      <c r="AD336" t="s">
        <v>1097</v>
      </c>
      <c r="AE336">
        <v>8.923743229953509E-5</v>
      </c>
      <c r="AG336" t="s">
        <v>97</v>
      </c>
      <c r="AH336" t="s">
        <v>1097</v>
      </c>
      <c r="AI336">
        <v>0</v>
      </c>
    </row>
    <row r="337" spans="5:35" x14ac:dyDescent="0.45">
      <c r="E337" t="s">
        <v>938</v>
      </c>
      <c r="G337" t="s">
        <v>802</v>
      </c>
      <c r="I337" t="s">
        <v>249</v>
      </c>
      <c r="J337" t="s">
        <v>1098</v>
      </c>
      <c r="K337">
        <v>0</v>
      </c>
      <c r="L337" t="s">
        <v>251</v>
      </c>
      <c r="N337" t="s">
        <v>419</v>
      </c>
      <c r="O337" t="s">
        <v>1098</v>
      </c>
      <c r="P337">
        <v>1.3696092586520001E-4</v>
      </c>
      <c r="Q337" t="s">
        <v>251</v>
      </c>
      <c r="S337" t="s">
        <v>420</v>
      </c>
      <c r="T337" t="s">
        <v>1098</v>
      </c>
      <c r="U337">
        <v>2.006374444678E-4</v>
      </c>
      <c r="V337" t="s">
        <v>251</v>
      </c>
      <c r="X337">
        <v>1.1415525114155251E-4</v>
      </c>
      <c r="Y337">
        <v>1.6905750441289813E-4</v>
      </c>
      <c r="Z337" t="s">
        <v>1098</v>
      </c>
      <c r="AA337" t="s">
        <v>25</v>
      </c>
      <c r="AC337" t="s">
        <v>22</v>
      </c>
      <c r="AD337" t="s">
        <v>1098</v>
      </c>
      <c r="AE337">
        <v>8.6601323918313863E-5</v>
      </c>
      <c r="AG337" t="s">
        <v>97</v>
      </c>
      <c r="AH337" t="s">
        <v>1098</v>
      </c>
      <c r="AI337">
        <v>0</v>
      </c>
    </row>
    <row r="338" spans="5:35" x14ac:dyDescent="0.45">
      <c r="E338" t="s">
        <v>939</v>
      </c>
      <c r="G338" t="s">
        <v>802</v>
      </c>
      <c r="I338" t="s">
        <v>249</v>
      </c>
      <c r="J338" t="s">
        <v>1099</v>
      </c>
      <c r="K338">
        <v>1.7293465610540001E-4</v>
      </c>
      <c r="L338" t="s">
        <v>251</v>
      </c>
      <c r="N338" t="s">
        <v>419</v>
      </c>
      <c r="O338" t="s">
        <v>1099</v>
      </c>
      <c r="P338">
        <v>1.263180250877E-4</v>
      </c>
      <c r="Q338" t="s">
        <v>251</v>
      </c>
      <c r="S338" t="s">
        <v>420</v>
      </c>
      <c r="T338" t="s">
        <v>1099</v>
      </c>
      <c r="U338">
        <v>1.994497113052E-4</v>
      </c>
      <c r="V338" t="s">
        <v>251</v>
      </c>
      <c r="X338">
        <v>1.1415525114155251E-4</v>
      </c>
      <c r="Y338">
        <v>1.9060404909297337E-4</v>
      </c>
      <c r="Z338" t="s">
        <v>1099</v>
      </c>
      <c r="AA338" t="s">
        <v>25</v>
      </c>
      <c r="AC338" t="s">
        <v>22</v>
      </c>
      <c r="AD338" t="s">
        <v>1099</v>
      </c>
      <c r="AE338">
        <v>8.4059924420336614E-5</v>
      </c>
      <c r="AG338" t="s">
        <v>97</v>
      </c>
      <c r="AH338" t="s">
        <v>1099</v>
      </c>
      <c r="AI338">
        <v>0</v>
      </c>
    </row>
    <row r="339" spans="5:35" x14ac:dyDescent="0.45">
      <c r="E339" t="s">
        <v>940</v>
      </c>
      <c r="G339" t="s">
        <v>802</v>
      </c>
      <c r="I339" t="s">
        <v>249</v>
      </c>
      <c r="J339" t="s">
        <v>1100</v>
      </c>
      <c r="K339">
        <v>2.53384537303E-4</v>
      </c>
      <c r="L339" t="s">
        <v>251</v>
      </c>
      <c r="N339" t="s">
        <v>419</v>
      </c>
      <c r="O339" t="s">
        <v>1100</v>
      </c>
      <c r="P339">
        <v>1.031171967889E-4</v>
      </c>
      <c r="Q339" t="s">
        <v>251</v>
      </c>
      <c r="S339" t="s">
        <v>420</v>
      </c>
      <c r="T339" t="s">
        <v>1100</v>
      </c>
      <c r="U339">
        <v>1.9552430110899999E-4</v>
      </c>
      <c r="V339" t="s">
        <v>251</v>
      </c>
      <c r="X339">
        <v>1.1415525114155251E-4</v>
      </c>
      <c r="Y339">
        <v>1.4585353321897094E-4</v>
      </c>
      <c r="Z339" t="s">
        <v>1100</v>
      </c>
      <c r="AA339" t="s">
        <v>25</v>
      </c>
      <c r="AC339" t="s">
        <v>22</v>
      </c>
      <c r="AD339" t="s">
        <v>1100</v>
      </c>
      <c r="AE339">
        <v>8.5432269477820854E-5</v>
      </c>
      <c r="AG339" t="s">
        <v>97</v>
      </c>
      <c r="AH339" t="s">
        <v>1100</v>
      </c>
      <c r="AI339">
        <v>0</v>
      </c>
    </row>
    <row r="340" spans="5:35" x14ac:dyDescent="0.45">
      <c r="E340" t="s">
        <v>941</v>
      </c>
      <c r="G340" t="s">
        <v>802</v>
      </c>
      <c r="I340" t="s">
        <v>249</v>
      </c>
      <c r="J340" t="s">
        <v>1101</v>
      </c>
      <c r="K340">
        <v>2.8931189486340001E-4</v>
      </c>
      <c r="L340" t="s">
        <v>251</v>
      </c>
      <c r="N340" t="s">
        <v>419</v>
      </c>
      <c r="O340" t="s">
        <v>1101</v>
      </c>
      <c r="P340">
        <v>1.1499537148560001E-4</v>
      </c>
      <c r="Q340" t="s">
        <v>251</v>
      </c>
      <c r="S340" t="s">
        <v>420</v>
      </c>
      <c r="T340" t="s">
        <v>1101</v>
      </c>
      <c r="U340">
        <v>1.906616143359E-4</v>
      </c>
      <c r="V340" t="s">
        <v>251</v>
      </c>
      <c r="X340">
        <v>1.1415525114155251E-4</v>
      </c>
      <c r="Y340">
        <v>1.4452759200788939E-4</v>
      </c>
      <c r="Z340" t="s">
        <v>1101</v>
      </c>
      <c r="AA340" t="s">
        <v>25</v>
      </c>
      <c r="AC340" t="s">
        <v>22</v>
      </c>
      <c r="AD340" t="s">
        <v>1101</v>
      </c>
      <c r="AE340">
        <v>8.6673089241109987E-5</v>
      </c>
      <c r="AG340" t="s">
        <v>97</v>
      </c>
      <c r="AH340" t="s">
        <v>1101</v>
      </c>
      <c r="AI340">
        <v>0</v>
      </c>
    </row>
    <row r="341" spans="5:35" x14ac:dyDescent="0.45">
      <c r="E341" t="s">
        <v>942</v>
      </c>
      <c r="G341" t="s">
        <v>802</v>
      </c>
      <c r="I341" t="s">
        <v>249</v>
      </c>
      <c r="J341" t="s">
        <v>1102</v>
      </c>
      <c r="K341">
        <v>2.9490061422090001E-4</v>
      </c>
      <c r="L341" t="s">
        <v>251</v>
      </c>
      <c r="N341" t="s">
        <v>419</v>
      </c>
      <c r="O341" t="s">
        <v>1102</v>
      </c>
      <c r="P341">
        <v>1.211602626803E-4</v>
      </c>
      <c r="Q341" t="s">
        <v>251</v>
      </c>
      <c r="S341" t="s">
        <v>420</v>
      </c>
      <c r="T341" t="s">
        <v>1102</v>
      </c>
      <c r="U341">
        <v>1.7930771155859999E-4</v>
      </c>
      <c r="V341" t="s">
        <v>251</v>
      </c>
      <c r="X341">
        <v>1.1415525114155251E-4</v>
      </c>
      <c r="Y341">
        <v>1.408812536774151E-4</v>
      </c>
      <c r="Z341" t="s">
        <v>1102</v>
      </c>
      <c r="AA341" t="s">
        <v>25</v>
      </c>
      <c r="AC341" t="s">
        <v>22</v>
      </c>
      <c r="AD341" t="s">
        <v>1102</v>
      </c>
      <c r="AE341">
        <v>9.6430505285516983E-5</v>
      </c>
      <c r="AG341" t="s">
        <v>97</v>
      </c>
      <c r="AH341" t="s">
        <v>1102</v>
      </c>
      <c r="AI341">
        <v>0</v>
      </c>
    </row>
    <row r="342" spans="5:35" x14ac:dyDescent="0.45">
      <c r="E342" t="s">
        <v>943</v>
      </c>
      <c r="G342" t="s">
        <v>802</v>
      </c>
      <c r="I342" t="s">
        <v>249</v>
      </c>
      <c r="J342" t="s">
        <v>1103</v>
      </c>
      <c r="K342">
        <v>2.773263235436E-4</v>
      </c>
      <c r="L342" t="s">
        <v>251</v>
      </c>
      <c r="N342" t="s">
        <v>419</v>
      </c>
      <c r="O342" t="s">
        <v>1103</v>
      </c>
      <c r="P342">
        <v>1.2160533681349999E-4</v>
      </c>
      <c r="Q342" t="s">
        <v>251</v>
      </c>
      <c r="S342" t="s">
        <v>420</v>
      </c>
      <c r="T342" t="s">
        <v>1103</v>
      </c>
      <c r="U342">
        <v>1.6690573159010001E-4</v>
      </c>
      <c r="V342" t="s">
        <v>251</v>
      </c>
      <c r="X342">
        <v>1.1415525114155251E-4</v>
      </c>
      <c r="Y342">
        <v>1.4054976837464471E-4</v>
      </c>
      <c r="Z342" t="s">
        <v>1103</v>
      </c>
      <c r="AA342" t="s">
        <v>25</v>
      </c>
      <c r="AC342" t="s">
        <v>22</v>
      </c>
      <c r="AD342" t="s">
        <v>1103</v>
      </c>
      <c r="AE342">
        <v>1.0885951219416335E-4</v>
      </c>
      <c r="AG342" t="s">
        <v>97</v>
      </c>
      <c r="AH342" t="s">
        <v>1103</v>
      </c>
      <c r="AI342">
        <v>0</v>
      </c>
    </row>
    <row r="343" spans="5:35" x14ac:dyDescent="0.45">
      <c r="E343" t="s">
        <v>944</v>
      </c>
      <c r="G343" t="s">
        <v>802</v>
      </c>
      <c r="I343" t="s">
        <v>249</v>
      </c>
      <c r="J343" t="s">
        <v>1104</v>
      </c>
      <c r="K343">
        <v>2.5218914048520002E-4</v>
      </c>
      <c r="L343" t="s">
        <v>251</v>
      </c>
      <c r="N343" t="s">
        <v>419</v>
      </c>
      <c r="O343" t="s">
        <v>1104</v>
      </c>
      <c r="P343">
        <v>1.245288198848E-4</v>
      </c>
      <c r="Q343" t="s">
        <v>251</v>
      </c>
      <c r="S343" t="s">
        <v>420</v>
      </c>
      <c r="T343" t="s">
        <v>1104</v>
      </c>
      <c r="U343">
        <v>1.5287065225109999E-4</v>
      </c>
      <c r="V343" t="s">
        <v>251</v>
      </c>
      <c r="X343">
        <v>1.1415525114155251E-4</v>
      </c>
      <c r="Y343">
        <v>1.4253868019126702E-4</v>
      </c>
      <c r="Z343" t="s">
        <v>1104</v>
      </c>
      <c r="AA343" t="s">
        <v>25</v>
      </c>
      <c r="AC343" t="s">
        <v>22</v>
      </c>
      <c r="AD343" t="s">
        <v>1104</v>
      </c>
      <c r="AE343">
        <v>1.2010105645684112E-4</v>
      </c>
      <c r="AG343" t="s">
        <v>97</v>
      </c>
      <c r="AH343" t="s">
        <v>1104</v>
      </c>
      <c r="AI343">
        <v>0</v>
      </c>
    </row>
    <row r="344" spans="5:35" x14ac:dyDescent="0.45">
      <c r="E344" t="s">
        <v>945</v>
      </c>
      <c r="G344" t="s">
        <v>802</v>
      </c>
      <c r="I344" t="s">
        <v>249</v>
      </c>
      <c r="J344" t="s">
        <v>1105</v>
      </c>
      <c r="K344">
        <v>2.7398788904450002E-4</v>
      </c>
      <c r="L344" t="s">
        <v>251</v>
      </c>
      <c r="N344" t="s">
        <v>419</v>
      </c>
      <c r="O344" t="s">
        <v>1105</v>
      </c>
      <c r="P344">
        <v>1.2608636979549999E-4</v>
      </c>
      <c r="Q344" t="s">
        <v>251</v>
      </c>
      <c r="S344" t="s">
        <v>420</v>
      </c>
      <c r="T344" t="s">
        <v>1105</v>
      </c>
      <c r="U344">
        <v>1.4502845191489999E-4</v>
      </c>
      <c r="V344" t="s">
        <v>251</v>
      </c>
      <c r="X344">
        <v>1.1415525114155251E-4</v>
      </c>
      <c r="Y344">
        <v>1.4883690094390442E-4</v>
      </c>
      <c r="Z344" t="s">
        <v>1105</v>
      </c>
      <c r="AA344" t="s">
        <v>25</v>
      </c>
      <c r="AC344" t="s">
        <v>22</v>
      </c>
      <c r="AD344" t="s">
        <v>1105</v>
      </c>
      <c r="AE344">
        <v>1.2890097903093102E-4</v>
      </c>
      <c r="AG344" t="s">
        <v>97</v>
      </c>
      <c r="AH344" t="s">
        <v>1105</v>
      </c>
      <c r="AI344">
        <v>0</v>
      </c>
    </row>
    <row r="345" spans="5:35" x14ac:dyDescent="0.45">
      <c r="E345" t="s">
        <v>946</v>
      </c>
      <c r="G345" t="s">
        <v>802</v>
      </c>
      <c r="I345" t="s">
        <v>249</v>
      </c>
      <c r="J345" t="s">
        <v>1106</v>
      </c>
      <c r="K345">
        <v>2.8632528444680002E-4</v>
      </c>
      <c r="L345" t="s">
        <v>251</v>
      </c>
      <c r="N345" t="s">
        <v>419</v>
      </c>
      <c r="O345" t="s">
        <v>1106</v>
      </c>
      <c r="P345">
        <v>1.2376963735099999E-4</v>
      </c>
      <c r="Q345" t="s">
        <v>251</v>
      </c>
      <c r="S345" t="s">
        <v>420</v>
      </c>
      <c r="T345" t="s">
        <v>1106</v>
      </c>
      <c r="U345">
        <v>1.4317734423069999E-4</v>
      </c>
      <c r="V345" t="s">
        <v>251</v>
      </c>
      <c r="X345">
        <v>1.1415525114155251E-4</v>
      </c>
      <c r="Y345">
        <v>1.5049432745775637E-4</v>
      </c>
      <c r="Z345" t="s">
        <v>1106</v>
      </c>
      <c r="AA345" t="s">
        <v>25</v>
      </c>
      <c r="AC345" t="s">
        <v>22</v>
      </c>
      <c r="AD345" t="s">
        <v>1106</v>
      </c>
      <c r="AE345">
        <v>1.255818995480069E-4</v>
      </c>
      <c r="AG345" t="s">
        <v>97</v>
      </c>
      <c r="AH345" t="s">
        <v>1106</v>
      </c>
      <c r="AI345">
        <v>0</v>
      </c>
    </row>
    <row r="346" spans="5:35" x14ac:dyDescent="0.45">
      <c r="E346" t="s">
        <v>947</v>
      </c>
      <c r="G346" t="s">
        <v>802</v>
      </c>
      <c r="I346" t="s">
        <v>249</v>
      </c>
      <c r="J346" t="s">
        <v>1107</v>
      </c>
      <c r="K346">
        <v>2.7692191635009998E-4</v>
      </c>
      <c r="L346" t="s">
        <v>251</v>
      </c>
      <c r="N346" t="s">
        <v>419</v>
      </c>
      <c r="O346" t="s">
        <v>1107</v>
      </c>
      <c r="P346">
        <v>9.3138154847397994E-5</v>
      </c>
      <c r="Q346" t="s">
        <v>251</v>
      </c>
      <c r="S346" t="s">
        <v>420</v>
      </c>
      <c r="T346" t="s">
        <v>1107</v>
      </c>
      <c r="U346">
        <v>1.4184771742169999E-4</v>
      </c>
      <c r="V346" t="s">
        <v>251</v>
      </c>
      <c r="X346">
        <v>1.1415525114155251E-4</v>
      </c>
      <c r="Y346">
        <v>1.7237235744060203E-4</v>
      </c>
      <c r="Z346" t="s">
        <v>1107</v>
      </c>
      <c r="AA346" t="s">
        <v>25</v>
      </c>
      <c r="AC346" t="s">
        <v>22</v>
      </c>
      <c r="AD346" t="s">
        <v>1107</v>
      </c>
      <c r="AE346">
        <v>1.1651732567200711E-4</v>
      </c>
      <c r="AG346" t="s">
        <v>97</v>
      </c>
      <c r="AH346" t="s">
        <v>1107</v>
      </c>
      <c r="AI346">
        <v>0</v>
      </c>
    </row>
    <row r="347" spans="5:35" x14ac:dyDescent="0.45">
      <c r="E347" t="s">
        <v>556</v>
      </c>
      <c r="G347" t="s">
        <v>803</v>
      </c>
      <c r="I347" t="s">
        <v>249</v>
      </c>
      <c r="J347" t="s">
        <v>1108</v>
      </c>
      <c r="K347">
        <v>2.380283869744E-4</v>
      </c>
      <c r="L347" t="s">
        <v>251</v>
      </c>
      <c r="N347" t="s">
        <v>419</v>
      </c>
      <c r="O347" t="s">
        <v>1108</v>
      </c>
      <c r="P347">
        <v>6.1711411314386704E-5</v>
      </c>
      <c r="Q347" t="s">
        <v>251</v>
      </c>
      <c r="S347" t="s">
        <v>420</v>
      </c>
      <c r="T347" t="s">
        <v>1108</v>
      </c>
      <c r="U347">
        <v>1.431026998808E-4</v>
      </c>
      <c r="V347" t="s">
        <v>251</v>
      </c>
      <c r="X347">
        <v>1.1415525114155251E-4</v>
      </c>
      <c r="Y347">
        <v>2.2209515285616027E-4</v>
      </c>
      <c r="Z347" t="s">
        <v>1108</v>
      </c>
      <c r="AA347" t="s">
        <v>25</v>
      </c>
      <c r="AC347" t="s">
        <v>22</v>
      </c>
      <c r="AD347" t="s">
        <v>1108</v>
      </c>
      <c r="AE347">
        <v>1.1724484996667266E-4</v>
      </c>
      <c r="AG347" t="s">
        <v>97</v>
      </c>
      <c r="AH347" t="s">
        <v>1108</v>
      </c>
      <c r="AI347">
        <v>0</v>
      </c>
    </row>
    <row r="348" spans="5:35" x14ac:dyDescent="0.45">
      <c r="E348" t="s">
        <v>557</v>
      </c>
      <c r="G348" t="s">
        <v>803</v>
      </c>
      <c r="I348" t="s">
        <v>249</v>
      </c>
      <c r="J348" t="s">
        <v>1109</v>
      </c>
      <c r="K348">
        <v>1.5171718212769999E-4</v>
      </c>
      <c r="L348" t="s">
        <v>251</v>
      </c>
      <c r="N348" t="s">
        <v>419</v>
      </c>
      <c r="O348" t="s">
        <v>1109</v>
      </c>
      <c r="P348">
        <v>4.9980423005545331E-5</v>
      </c>
      <c r="Q348" t="s">
        <v>251</v>
      </c>
      <c r="S348" t="s">
        <v>420</v>
      </c>
      <c r="T348" t="s">
        <v>1109</v>
      </c>
      <c r="U348">
        <v>1.4232017934100001E-4</v>
      </c>
      <c r="V348" t="s">
        <v>251</v>
      </c>
      <c r="X348">
        <v>1.1415525114155251E-4</v>
      </c>
      <c r="Y348">
        <v>2.2209515285616027E-4</v>
      </c>
      <c r="Z348" t="s">
        <v>1109</v>
      </c>
      <c r="AA348" t="s">
        <v>25</v>
      </c>
      <c r="AC348" t="s">
        <v>22</v>
      </c>
      <c r="AD348" t="s">
        <v>1109</v>
      </c>
      <c r="AE348">
        <v>1.1820234343698973E-4</v>
      </c>
      <c r="AG348" t="s">
        <v>97</v>
      </c>
      <c r="AH348" t="s">
        <v>1109</v>
      </c>
      <c r="AI348">
        <v>0</v>
      </c>
    </row>
    <row r="349" spans="5:35" x14ac:dyDescent="0.45">
      <c r="E349" t="s">
        <v>558</v>
      </c>
      <c r="G349" t="s">
        <v>803</v>
      </c>
      <c r="I349" t="s">
        <v>249</v>
      </c>
      <c r="J349" t="s">
        <v>1110</v>
      </c>
      <c r="K349">
        <v>0</v>
      </c>
      <c r="L349" t="s">
        <v>251</v>
      </c>
      <c r="N349" t="s">
        <v>419</v>
      </c>
      <c r="O349" t="s">
        <v>1110</v>
      </c>
      <c r="P349">
        <v>4.2501665467106413E-5</v>
      </c>
      <c r="Q349" t="s">
        <v>251</v>
      </c>
      <c r="S349" t="s">
        <v>420</v>
      </c>
      <c r="T349" t="s">
        <v>1110</v>
      </c>
      <c r="U349">
        <v>1.445981732726E-4</v>
      </c>
      <c r="V349" t="s">
        <v>251</v>
      </c>
      <c r="X349">
        <v>1.1415525114155251E-4</v>
      </c>
      <c r="Y349">
        <v>1.7237235744060203E-4</v>
      </c>
      <c r="Z349" t="s">
        <v>1110</v>
      </c>
      <c r="AA349" t="s">
        <v>25</v>
      </c>
      <c r="AC349" t="s">
        <v>22</v>
      </c>
      <c r="AD349" t="s">
        <v>1110</v>
      </c>
      <c r="AE349">
        <v>1.200298247052182E-4</v>
      </c>
      <c r="AG349" t="s">
        <v>97</v>
      </c>
      <c r="AH349" t="s">
        <v>1110</v>
      </c>
      <c r="AI349">
        <v>0</v>
      </c>
    </row>
    <row r="350" spans="5:35" x14ac:dyDescent="0.45">
      <c r="E350" t="s">
        <v>559</v>
      </c>
      <c r="G350" t="s">
        <v>803</v>
      </c>
      <c r="I350" t="s">
        <v>249</v>
      </c>
      <c r="J350" t="s">
        <v>1111</v>
      </c>
      <c r="K350">
        <v>0</v>
      </c>
      <c r="L350" t="s">
        <v>251</v>
      </c>
      <c r="N350" t="s">
        <v>419</v>
      </c>
      <c r="O350" t="s">
        <v>1111</v>
      </c>
      <c r="P350">
        <v>3.6535428362160713E-5</v>
      </c>
      <c r="Q350" t="s">
        <v>251</v>
      </c>
      <c r="S350" t="s">
        <v>420</v>
      </c>
      <c r="T350" t="s">
        <v>1111</v>
      </c>
      <c r="U350">
        <v>1.4542769510719999E-4</v>
      </c>
      <c r="V350" t="s">
        <v>251</v>
      </c>
      <c r="X350">
        <v>1.1415525114155251E-4</v>
      </c>
      <c r="Y350">
        <v>1.5579809230208258E-4</v>
      </c>
      <c r="Z350" t="s">
        <v>1111</v>
      </c>
      <c r="AA350" t="s">
        <v>25</v>
      </c>
      <c r="AC350" t="s">
        <v>22</v>
      </c>
      <c r="AD350" t="s">
        <v>1111</v>
      </c>
      <c r="AE350">
        <v>1.2064289798323119E-4</v>
      </c>
      <c r="AG350" t="s">
        <v>97</v>
      </c>
      <c r="AH350" t="s">
        <v>1111</v>
      </c>
      <c r="AI350">
        <v>0</v>
      </c>
    </row>
    <row r="351" spans="5:35" x14ac:dyDescent="0.45">
      <c r="E351" t="s">
        <v>560</v>
      </c>
      <c r="G351" t="s">
        <v>803</v>
      </c>
      <c r="I351" t="s">
        <v>249</v>
      </c>
      <c r="J351" t="s">
        <v>1112</v>
      </c>
      <c r="K351">
        <v>0</v>
      </c>
      <c r="L351" t="s">
        <v>251</v>
      </c>
      <c r="N351" t="s">
        <v>419</v>
      </c>
      <c r="O351" t="s">
        <v>1112</v>
      </c>
      <c r="P351">
        <v>3.2730562637378934E-5</v>
      </c>
      <c r="Q351" t="s">
        <v>251</v>
      </c>
      <c r="S351" t="s">
        <v>420</v>
      </c>
      <c r="T351" t="s">
        <v>1112</v>
      </c>
      <c r="U351">
        <v>1.4015825610229999E-4</v>
      </c>
      <c r="V351" t="s">
        <v>251</v>
      </c>
      <c r="X351">
        <v>1.1415525114155251E-4</v>
      </c>
      <c r="Y351">
        <v>1.093901499142282E-4</v>
      </c>
      <c r="Z351" t="s">
        <v>1112</v>
      </c>
      <c r="AA351" t="s">
        <v>25</v>
      </c>
      <c r="AC351" t="s">
        <v>22</v>
      </c>
      <c r="AD351" t="s">
        <v>1112</v>
      </c>
      <c r="AE351">
        <v>1.2107855884615339E-4</v>
      </c>
      <c r="AG351" t="s">
        <v>97</v>
      </c>
      <c r="AH351" t="s">
        <v>1112</v>
      </c>
      <c r="AI351">
        <v>0</v>
      </c>
    </row>
    <row r="352" spans="5:35" x14ac:dyDescent="0.45">
      <c r="E352" t="s">
        <v>561</v>
      </c>
      <c r="G352" t="s">
        <v>803</v>
      </c>
      <c r="I352" t="s">
        <v>249</v>
      </c>
      <c r="J352" t="s">
        <v>1113</v>
      </c>
      <c r="K352">
        <v>0</v>
      </c>
      <c r="L352" t="s">
        <v>251</v>
      </c>
      <c r="N352" t="s">
        <v>419</v>
      </c>
      <c r="O352" t="s">
        <v>1113</v>
      </c>
      <c r="P352">
        <v>3.182705449682664E-5</v>
      </c>
      <c r="Q352" t="s">
        <v>251</v>
      </c>
      <c r="S352" t="s">
        <v>420</v>
      </c>
      <c r="T352" t="s">
        <v>1113</v>
      </c>
      <c r="U352">
        <v>1.309601784005E-4</v>
      </c>
      <c r="V352" t="s">
        <v>251</v>
      </c>
      <c r="X352">
        <v>1.1415525114155251E-4</v>
      </c>
      <c r="Y352">
        <v>7.9556472664893237E-5</v>
      </c>
      <c r="Z352" t="s">
        <v>1113</v>
      </c>
      <c r="AA352" t="s">
        <v>25</v>
      </c>
      <c r="AC352" t="s">
        <v>22</v>
      </c>
      <c r="AD352" t="s">
        <v>1113</v>
      </c>
      <c r="AE352">
        <v>1.2144725652683832E-4</v>
      </c>
      <c r="AG352" t="s">
        <v>97</v>
      </c>
      <c r="AH352" t="s">
        <v>1113</v>
      </c>
      <c r="AI352">
        <v>0</v>
      </c>
    </row>
    <row r="353" spans="5:35" x14ac:dyDescent="0.45">
      <c r="E353" t="s">
        <v>562</v>
      </c>
      <c r="G353" t="s">
        <v>803</v>
      </c>
      <c r="I353" t="s">
        <v>249</v>
      </c>
      <c r="J353" t="s">
        <v>1114</v>
      </c>
      <c r="K353">
        <v>0</v>
      </c>
      <c r="L353" t="s">
        <v>251</v>
      </c>
      <c r="N353" t="s">
        <v>419</v>
      </c>
      <c r="O353" t="s">
        <v>1114</v>
      </c>
      <c r="P353">
        <v>3.342251963964067E-5</v>
      </c>
      <c r="Q353" t="s">
        <v>251</v>
      </c>
      <c r="S353" t="s">
        <v>420</v>
      </c>
      <c r="T353" t="s">
        <v>1114</v>
      </c>
      <c r="U353">
        <v>1.273593602068E-4</v>
      </c>
      <c r="V353" t="s">
        <v>251</v>
      </c>
      <c r="X353">
        <v>1.1415525114155251E-4</v>
      </c>
      <c r="Y353">
        <v>5.6352501470966035E-5</v>
      </c>
      <c r="Z353" t="s">
        <v>1114</v>
      </c>
      <c r="AA353" t="s">
        <v>25</v>
      </c>
      <c r="AC353" t="s">
        <v>22</v>
      </c>
      <c r="AD353" t="s">
        <v>1114</v>
      </c>
      <c r="AE353">
        <v>1.195245328041927E-4</v>
      </c>
      <c r="AG353" t="s">
        <v>97</v>
      </c>
      <c r="AH353" t="s">
        <v>1114</v>
      </c>
      <c r="AI353">
        <v>0</v>
      </c>
    </row>
    <row r="354" spans="5:35" x14ac:dyDescent="0.45">
      <c r="E354" t="s">
        <v>563</v>
      </c>
      <c r="G354" t="s">
        <v>803</v>
      </c>
      <c r="I354" t="s">
        <v>249</v>
      </c>
      <c r="J354" t="s">
        <v>1115</v>
      </c>
      <c r="K354">
        <v>0</v>
      </c>
      <c r="L354" t="s">
        <v>251</v>
      </c>
      <c r="N354" t="s">
        <v>419</v>
      </c>
      <c r="O354" t="s">
        <v>1115</v>
      </c>
      <c r="P354">
        <v>3.7833082511923911E-5</v>
      </c>
      <c r="Q354" t="s">
        <v>251</v>
      </c>
      <c r="S354" t="s">
        <v>420</v>
      </c>
      <c r="T354" t="s">
        <v>1115</v>
      </c>
      <c r="U354">
        <v>1.273376384729E-4</v>
      </c>
      <c r="V354" t="s">
        <v>251</v>
      </c>
      <c r="X354">
        <v>1.1415525114155251E-4</v>
      </c>
      <c r="Y354">
        <v>2.9833677249334962E-5</v>
      </c>
      <c r="Z354" t="s">
        <v>1115</v>
      </c>
      <c r="AA354" t="s">
        <v>25</v>
      </c>
      <c r="AC354" t="s">
        <v>22</v>
      </c>
      <c r="AD354" t="s">
        <v>1115</v>
      </c>
      <c r="AE354">
        <v>1.1965952631101367E-4</v>
      </c>
      <c r="AG354" t="s">
        <v>97</v>
      </c>
      <c r="AH354" t="s">
        <v>1115</v>
      </c>
      <c r="AI354">
        <v>0</v>
      </c>
    </row>
    <row r="355" spans="5:35" x14ac:dyDescent="0.45">
      <c r="E355" t="s">
        <v>564</v>
      </c>
      <c r="G355" t="s">
        <v>803</v>
      </c>
      <c r="I355" t="s">
        <v>249</v>
      </c>
      <c r="J355" t="s">
        <v>403</v>
      </c>
      <c r="K355">
        <v>0</v>
      </c>
      <c r="L355" t="s">
        <v>251</v>
      </c>
      <c r="N355" t="s">
        <v>419</v>
      </c>
      <c r="O355" t="s">
        <v>403</v>
      </c>
      <c r="P355">
        <v>2.5892163776289893E-2</v>
      </c>
      <c r="Q355" t="s">
        <v>251</v>
      </c>
      <c r="S355" t="s">
        <v>420</v>
      </c>
      <c r="T355" t="s">
        <v>403</v>
      </c>
      <c r="U355">
        <v>2.9996286940678612E-2</v>
      </c>
      <c r="V355" t="s">
        <v>251</v>
      </c>
      <c r="X355">
        <v>1.9863013698630139E-2</v>
      </c>
      <c r="Y355">
        <v>4.2489786109108389E-3</v>
      </c>
      <c r="Z355" t="s">
        <v>403</v>
      </c>
      <c r="AA355" t="s">
        <v>25</v>
      </c>
      <c r="AC355" t="s">
        <v>22</v>
      </c>
      <c r="AD355" t="s">
        <v>403</v>
      </c>
      <c r="AE355">
        <v>2.0606768010298124E-2</v>
      </c>
      <c r="AG355" t="s">
        <v>97</v>
      </c>
      <c r="AH355" t="s">
        <v>403</v>
      </c>
      <c r="AI355">
        <v>0.16768286558766499</v>
      </c>
    </row>
    <row r="356" spans="5:35" x14ac:dyDescent="0.45">
      <c r="E356" t="s">
        <v>565</v>
      </c>
      <c r="G356" t="s">
        <v>803</v>
      </c>
      <c r="I356" t="s">
        <v>249</v>
      </c>
      <c r="J356" t="s">
        <v>404</v>
      </c>
      <c r="K356">
        <v>0</v>
      </c>
      <c r="L356" t="s">
        <v>251</v>
      </c>
      <c r="N356" t="s">
        <v>419</v>
      </c>
      <c r="O356" t="s">
        <v>404</v>
      </c>
      <c r="P356">
        <v>4.1590531558447896E-3</v>
      </c>
      <c r="Q356" t="s">
        <v>251</v>
      </c>
      <c r="S356" t="s">
        <v>420</v>
      </c>
      <c r="T356" t="s">
        <v>404</v>
      </c>
      <c r="U356">
        <v>4.613006851321314E-3</v>
      </c>
      <c r="V356" t="s">
        <v>251</v>
      </c>
      <c r="X356">
        <v>3.3105022831050228E-3</v>
      </c>
      <c r="Y356">
        <v>4.9026676279740472E-3</v>
      </c>
      <c r="Z356" t="s">
        <v>404</v>
      </c>
      <c r="AA356" t="s">
        <v>25</v>
      </c>
      <c r="AC356" t="s">
        <v>22</v>
      </c>
      <c r="AD356" t="s">
        <v>404</v>
      </c>
      <c r="AE356">
        <v>2.6899709888611968E-3</v>
      </c>
      <c r="AG356" t="s">
        <v>97</v>
      </c>
      <c r="AH356" t="s">
        <v>404</v>
      </c>
      <c r="AI356">
        <v>8.0691029625881594E-2</v>
      </c>
    </row>
    <row r="357" spans="5:35" x14ac:dyDescent="0.45">
      <c r="E357" t="s">
        <v>566</v>
      </c>
      <c r="G357" t="s">
        <v>803</v>
      </c>
      <c r="I357" t="s">
        <v>249</v>
      </c>
      <c r="J357" t="s">
        <v>405</v>
      </c>
      <c r="K357">
        <v>1.8735470408543843E-3</v>
      </c>
      <c r="L357" t="s">
        <v>251</v>
      </c>
      <c r="N357" t="s">
        <v>419</v>
      </c>
      <c r="O357" t="s">
        <v>405</v>
      </c>
      <c r="P357">
        <v>4.0709268381426853E-3</v>
      </c>
      <c r="Q357" t="s">
        <v>251</v>
      </c>
      <c r="S357" t="s">
        <v>420</v>
      </c>
      <c r="T357" t="s">
        <v>405</v>
      </c>
      <c r="U357">
        <v>4.4991822348084756E-3</v>
      </c>
      <c r="V357" t="s">
        <v>251</v>
      </c>
      <c r="X357">
        <v>3.3105022831050228E-3</v>
      </c>
      <c r="Y357">
        <v>5.5275174236962274E-3</v>
      </c>
      <c r="Z357" t="s">
        <v>405</v>
      </c>
      <c r="AA357" t="s">
        <v>25</v>
      </c>
      <c r="AC357" t="s">
        <v>22</v>
      </c>
      <c r="AD357" t="s">
        <v>405</v>
      </c>
      <c r="AE357">
        <v>2.591931287568505E-3</v>
      </c>
      <c r="AG357" t="s">
        <v>97</v>
      </c>
      <c r="AH357" t="s">
        <v>405</v>
      </c>
      <c r="AI357">
        <v>8.338972379299614E-2</v>
      </c>
    </row>
    <row r="358" spans="5:35" x14ac:dyDescent="0.45">
      <c r="E358" t="s">
        <v>567</v>
      </c>
      <c r="G358" t="s">
        <v>803</v>
      </c>
      <c r="I358" t="s">
        <v>249</v>
      </c>
      <c r="J358" t="s">
        <v>406</v>
      </c>
      <c r="K358">
        <v>4.4290516935963115E-2</v>
      </c>
      <c r="L358" t="s">
        <v>251</v>
      </c>
      <c r="N358" t="s">
        <v>419</v>
      </c>
      <c r="O358" t="s">
        <v>406</v>
      </c>
      <c r="P358">
        <v>2.3558901081765615E-2</v>
      </c>
      <c r="Q358" t="s">
        <v>251</v>
      </c>
      <c r="S358" t="s">
        <v>420</v>
      </c>
      <c r="T358" t="s">
        <v>406</v>
      </c>
      <c r="U358">
        <v>2.8626866323636108E-2</v>
      </c>
      <c r="V358" t="s">
        <v>251</v>
      </c>
      <c r="X358">
        <v>2.3173515981735161E-2</v>
      </c>
      <c r="Y358">
        <v>2.9396779620283593E-2</v>
      </c>
      <c r="Z358" t="s">
        <v>406</v>
      </c>
      <c r="AA358" t="s">
        <v>25</v>
      </c>
      <c r="AC358" t="s">
        <v>22</v>
      </c>
      <c r="AD358" t="s">
        <v>406</v>
      </c>
      <c r="AE358">
        <v>2.0939041386476998E-2</v>
      </c>
      <c r="AG358" t="s">
        <v>97</v>
      </c>
      <c r="AH358" t="s">
        <v>406</v>
      </c>
      <c r="AI358">
        <v>0.32191597045313003</v>
      </c>
    </row>
    <row r="359" spans="5:35" x14ac:dyDescent="0.45">
      <c r="E359" t="s">
        <v>568</v>
      </c>
      <c r="G359" t="s">
        <v>803</v>
      </c>
      <c r="I359" t="s">
        <v>249</v>
      </c>
      <c r="J359" t="s">
        <v>407</v>
      </c>
      <c r="K359">
        <v>6.2403923690078564E-3</v>
      </c>
      <c r="L359" t="s">
        <v>251</v>
      </c>
      <c r="N359" t="s">
        <v>419</v>
      </c>
      <c r="O359" t="s">
        <v>407</v>
      </c>
      <c r="P359">
        <v>3.1458411762107755E-3</v>
      </c>
      <c r="Q359" t="s">
        <v>251</v>
      </c>
      <c r="S359" t="s">
        <v>420</v>
      </c>
      <c r="T359" t="s">
        <v>407</v>
      </c>
      <c r="U359">
        <v>4.1092379588075628E-3</v>
      </c>
      <c r="V359" t="s">
        <v>251</v>
      </c>
      <c r="X359">
        <v>3.3105022831050228E-3</v>
      </c>
      <c r="Y359">
        <v>4.9987983657774574E-3</v>
      </c>
      <c r="Z359" t="s">
        <v>407</v>
      </c>
      <c r="AA359" t="s">
        <v>25</v>
      </c>
      <c r="AC359" t="s">
        <v>22</v>
      </c>
      <c r="AD359" t="s">
        <v>407</v>
      </c>
      <c r="AE359">
        <v>3.5958331778174644E-3</v>
      </c>
      <c r="AG359" t="s">
        <v>97</v>
      </c>
      <c r="AH359" t="s">
        <v>407</v>
      </c>
      <c r="AI359">
        <v>7.9087114193426622E-2</v>
      </c>
    </row>
    <row r="360" spans="5:35" x14ac:dyDescent="0.45">
      <c r="E360" t="s">
        <v>569</v>
      </c>
      <c r="G360" t="s">
        <v>803</v>
      </c>
      <c r="I360" t="s">
        <v>249</v>
      </c>
      <c r="J360" t="s">
        <v>408</v>
      </c>
      <c r="K360">
        <v>4.7889806318135433E-3</v>
      </c>
      <c r="L360" t="s">
        <v>251</v>
      </c>
      <c r="N360" t="s">
        <v>419</v>
      </c>
      <c r="O360" t="s">
        <v>408</v>
      </c>
      <c r="P360">
        <v>3.3031484830006582E-3</v>
      </c>
      <c r="Q360" t="s">
        <v>251</v>
      </c>
      <c r="S360" t="s">
        <v>420</v>
      </c>
      <c r="T360" t="s">
        <v>408</v>
      </c>
      <c r="U360">
        <v>4.0961795000351115E-3</v>
      </c>
      <c r="V360" t="s">
        <v>251</v>
      </c>
      <c r="X360">
        <v>3.3105022831050228E-3</v>
      </c>
      <c r="Y360">
        <v>6.4407594328286487E-3</v>
      </c>
      <c r="Z360" t="s">
        <v>408</v>
      </c>
      <c r="AA360" t="s">
        <v>25</v>
      </c>
      <c r="AC360" t="s">
        <v>22</v>
      </c>
      <c r="AD360" t="s">
        <v>408</v>
      </c>
      <c r="AE360">
        <v>3.4261834229400503E-3</v>
      </c>
      <c r="AG360" t="s">
        <v>97</v>
      </c>
      <c r="AH360" t="s">
        <v>408</v>
      </c>
      <c r="AI360">
        <v>6.9862940936207041E-2</v>
      </c>
    </row>
    <row r="361" spans="5:35" x14ac:dyDescent="0.45">
      <c r="E361" t="s">
        <v>570</v>
      </c>
      <c r="G361" t="s">
        <v>803</v>
      </c>
      <c r="I361" t="s">
        <v>249</v>
      </c>
      <c r="J361" t="s">
        <v>409</v>
      </c>
      <c r="K361">
        <v>1.7855052710088527E-3</v>
      </c>
      <c r="L361" t="s">
        <v>251</v>
      </c>
      <c r="N361" t="s">
        <v>419</v>
      </c>
      <c r="O361" t="s">
        <v>409</v>
      </c>
      <c r="P361">
        <v>3.6007236137185488E-3</v>
      </c>
      <c r="Q361" t="s">
        <v>251</v>
      </c>
      <c r="S361" t="s">
        <v>420</v>
      </c>
      <c r="T361" t="s">
        <v>409</v>
      </c>
      <c r="U361">
        <v>4.2763450315977825E-3</v>
      </c>
      <c r="V361" t="s">
        <v>251</v>
      </c>
      <c r="X361">
        <v>3.3105022831050228E-3</v>
      </c>
      <c r="Y361">
        <v>6.4407594328286487E-3</v>
      </c>
      <c r="Z361" t="s">
        <v>409</v>
      </c>
      <c r="AA361" t="s">
        <v>25</v>
      </c>
      <c r="AC361" t="s">
        <v>22</v>
      </c>
      <c r="AD361" t="s">
        <v>409</v>
      </c>
      <c r="AE361">
        <v>3.4601036095630636E-3</v>
      </c>
      <c r="AG361" t="s">
        <v>97</v>
      </c>
      <c r="AH361" t="s">
        <v>409</v>
      </c>
      <c r="AI361">
        <v>8.3976467779786512E-2</v>
      </c>
    </row>
    <row r="362" spans="5:35" x14ac:dyDescent="0.45">
      <c r="E362" t="s">
        <v>571</v>
      </c>
      <c r="G362" t="s">
        <v>803</v>
      </c>
      <c r="I362" t="s">
        <v>249</v>
      </c>
      <c r="J362" t="s">
        <v>410</v>
      </c>
      <c r="K362">
        <v>0</v>
      </c>
      <c r="L362" t="s">
        <v>251</v>
      </c>
      <c r="N362" t="s">
        <v>419</v>
      </c>
      <c r="O362" t="s">
        <v>410</v>
      </c>
      <c r="P362">
        <v>2.3968813817169209E-2</v>
      </c>
      <c r="Q362" t="s">
        <v>251</v>
      </c>
      <c r="S362" t="s">
        <v>420</v>
      </c>
      <c r="T362" t="s">
        <v>410</v>
      </c>
      <c r="U362">
        <v>2.9704460985337473E-2</v>
      </c>
      <c r="V362" t="s">
        <v>251</v>
      </c>
      <c r="X362">
        <v>1.9863013698630139E-2</v>
      </c>
      <c r="Y362">
        <v>1.7495794280221105E-2</v>
      </c>
      <c r="Z362" t="s">
        <v>410</v>
      </c>
      <c r="AA362" t="s">
        <v>25</v>
      </c>
      <c r="AC362" t="s">
        <v>22</v>
      </c>
      <c r="AD362" t="s">
        <v>410</v>
      </c>
      <c r="AE362">
        <v>2.078847967511702E-2</v>
      </c>
      <c r="AG362" t="s">
        <v>97</v>
      </c>
      <c r="AH362" t="s">
        <v>410</v>
      </c>
      <c r="AI362">
        <v>0.13809625990958541</v>
      </c>
    </row>
    <row r="363" spans="5:35" x14ac:dyDescent="0.45">
      <c r="E363" t="s">
        <v>572</v>
      </c>
      <c r="G363" t="s">
        <v>803</v>
      </c>
      <c r="I363" t="s">
        <v>249</v>
      </c>
      <c r="J363" t="s">
        <v>1116</v>
      </c>
      <c r="K363">
        <v>0</v>
      </c>
      <c r="L363" t="s">
        <v>251</v>
      </c>
      <c r="N363" t="s">
        <v>419</v>
      </c>
      <c r="O363" t="s">
        <v>1116</v>
      </c>
      <c r="P363">
        <v>6.9946043104188795E-5</v>
      </c>
      <c r="Q363" t="s">
        <v>251</v>
      </c>
      <c r="S363" t="s">
        <v>420</v>
      </c>
      <c r="T363" t="s">
        <v>1116</v>
      </c>
      <c r="U363">
        <v>2.2440889291170001E-4</v>
      </c>
      <c r="V363" t="s">
        <v>251</v>
      </c>
      <c r="X363">
        <v>1.1415525114155251E-4</v>
      </c>
      <c r="Y363">
        <v>2.1546544680075254E-5</v>
      </c>
      <c r="Z363" t="s">
        <v>1116</v>
      </c>
      <c r="AA363" t="s">
        <v>25</v>
      </c>
      <c r="AC363" t="s">
        <v>22</v>
      </c>
      <c r="AD363" t="s">
        <v>1116</v>
      </c>
      <c r="AE363">
        <v>1.3444618923280773E-4</v>
      </c>
      <c r="AG363" t="s">
        <v>97</v>
      </c>
      <c r="AH363" t="s">
        <v>1116</v>
      </c>
      <c r="AI363">
        <v>0</v>
      </c>
    </row>
    <row r="364" spans="5:35" x14ac:dyDescent="0.45">
      <c r="E364" t="s">
        <v>573</v>
      </c>
      <c r="G364" t="s">
        <v>803</v>
      </c>
      <c r="I364" t="s">
        <v>249</v>
      </c>
      <c r="J364" t="s">
        <v>1117</v>
      </c>
      <c r="K364">
        <v>0</v>
      </c>
      <c r="L364" t="s">
        <v>251</v>
      </c>
      <c r="N364" t="s">
        <v>419</v>
      </c>
      <c r="O364" t="s">
        <v>1117</v>
      </c>
      <c r="P364">
        <v>6.7116969830507676E-5</v>
      </c>
      <c r="Q364" t="s">
        <v>251</v>
      </c>
      <c r="S364" t="s">
        <v>420</v>
      </c>
      <c r="T364" t="s">
        <v>1117</v>
      </c>
      <c r="U364">
        <v>2.306747631429E-4</v>
      </c>
      <c r="V364" t="s">
        <v>251</v>
      </c>
      <c r="X364">
        <v>1.1415525114155251E-4</v>
      </c>
      <c r="Y364">
        <v>1.4916838624667481E-5</v>
      </c>
      <c r="Z364" t="s">
        <v>1117</v>
      </c>
      <c r="AA364" t="s">
        <v>25</v>
      </c>
      <c r="AC364" t="s">
        <v>22</v>
      </c>
      <c r="AD364" t="s">
        <v>1117</v>
      </c>
      <c r="AE364">
        <v>1.3728985680040584E-4</v>
      </c>
      <c r="AG364" t="s">
        <v>97</v>
      </c>
      <c r="AH364" t="s">
        <v>1117</v>
      </c>
      <c r="AI364">
        <v>0</v>
      </c>
    </row>
    <row r="365" spans="5:35" x14ac:dyDescent="0.45">
      <c r="E365" t="s">
        <v>574</v>
      </c>
      <c r="G365" t="s">
        <v>803</v>
      </c>
      <c r="I365" t="s">
        <v>249</v>
      </c>
      <c r="J365" t="s">
        <v>1118</v>
      </c>
      <c r="K365">
        <v>0</v>
      </c>
      <c r="L365" t="s">
        <v>251</v>
      </c>
      <c r="N365" t="s">
        <v>419</v>
      </c>
      <c r="O365" t="s">
        <v>1118</v>
      </c>
      <c r="P365">
        <v>6.7026059540488579E-5</v>
      </c>
      <c r="Q365" t="s">
        <v>251</v>
      </c>
      <c r="S365" t="s">
        <v>420</v>
      </c>
      <c r="T365" t="s">
        <v>1118</v>
      </c>
      <c r="U365">
        <v>2.3695252490239999E-4</v>
      </c>
      <c r="V365" t="s">
        <v>251</v>
      </c>
      <c r="X365">
        <v>1.1415525114155251E-4</v>
      </c>
      <c r="Y365">
        <v>1.6574265138519424E-5</v>
      </c>
      <c r="Z365" t="s">
        <v>1118</v>
      </c>
      <c r="AA365" t="s">
        <v>25</v>
      </c>
      <c r="AC365" t="s">
        <v>22</v>
      </c>
      <c r="AD365" t="s">
        <v>1118</v>
      </c>
      <c r="AE365">
        <v>1.3402573514832187E-4</v>
      </c>
      <c r="AG365" t="s">
        <v>97</v>
      </c>
      <c r="AH365" t="s">
        <v>1118</v>
      </c>
      <c r="AI365">
        <v>0</v>
      </c>
    </row>
    <row r="366" spans="5:35" x14ac:dyDescent="0.45">
      <c r="E366" t="s">
        <v>575</v>
      </c>
      <c r="G366" t="s">
        <v>803</v>
      </c>
      <c r="I366" t="s">
        <v>249</v>
      </c>
      <c r="J366" t="s">
        <v>1119</v>
      </c>
      <c r="K366">
        <v>0</v>
      </c>
      <c r="L366" t="s">
        <v>251</v>
      </c>
      <c r="N366" t="s">
        <v>419</v>
      </c>
      <c r="O366" t="s">
        <v>1119</v>
      </c>
      <c r="P366">
        <v>6.7818909482480883E-5</v>
      </c>
      <c r="Q366" t="s">
        <v>251</v>
      </c>
      <c r="S366" t="s">
        <v>420</v>
      </c>
      <c r="T366" t="s">
        <v>1119</v>
      </c>
      <c r="U366">
        <v>2.4023253099399999E-4</v>
      </c>
      <c r="V366" t="s">
        <v>251</v>
      </c>
      <c r="X366">
        <v>1.1415525114155251E-4</v>
      </c>
      <c r="Y366">
        <v>1.4585353321897093E-5</v>
      </c>
      <c r="Z366" t="s">
        <v>1119</v>
      </c>
      <c r="AA366" t="s">
        <v>25</v>
      </c>
      <c r="AC366" t="s">
        <v>22</v>
      </c>
      <c r="AD366" t="s">
        <v>1119</v>
      </c>
      <c r="AE366">
        <v>1.2743613115923531E-4</v>
      </c>
      <c r="AG366" t="s">
        <v>97</v>
      </c>
      <c r="AH366" t="s">
        <v>1119</v>
      </c>
      <c r="AI366">
        <v>0</v>
      </c>
    </row>
    <row r="367" spans="5:35" x14ac:dyDescent="0.45">
      <c r="E367" t="s">
        <v>576</v>
      </c>
      <c r="G367" t="s">
        <v>803</v>
      </c>
      <c r="I367" t="s">
        <v>249</v>
      </c>
      <c r="J367" t="s">
        <v>1120</v>
      </c>
      <c r="K367">
        <v>0</v>
      </c>
      <c r="L367" t="s">
        <v>251</v>
      </c>
      <c r="N367" t="s">
        <v>419</v>
      </c>
      <c r="O367" t="s">
        <v>1120</v>
      </c>
      <c r="P367">
        <v>6.3888460230190582E-5</v>
      </c>
      <c r="Q367" t="s">
        <v>251</v>
      </c>
      <c r="S367" t="s">
        <v>420</v>
      </c>
      <c r="T367" t="s">
        <v>1120</v>
      </c>
      <c r="U367">
        <v>2.385416171891E-4</v>
      </c>
      <c r="V367" t="s">
        <v>251</v>
      </c>
      <c r="X367">
        <v>1.1415525114155251E-4</v>
      </c>
      <c r="Y367">
        <v>2.1215059377304864E-5</v>
      </c>
      <c r="Z367" t="s">
        <v>1120</v>
      </c>
      <c r="AA367" t="s">
        <v>25</v>
      </c>
      <c r="AC367" t="s">
        <v>22</v>
      </c>
      <c r="AD367" t="s">
        <v>1120</v>
      </c>
      <c r="AE367">
        <v>1.1193989036141773E-4</v>
      </c>
      <c r="AG367" t="s">
        <v>97</v>
      </c>
      <c r="AH367" t="s">
        <v>1120</v>
      </c>
      <c r="AI367">
        <v>0</v>
      </c>
    </row>
    <row r="368" spans="5:35" x14ac:dyDescent="0.45">
      <c r="E368" t="s">
        <v>577</v>
      </c>
      <c r="G368" t="s">
        <v>803</v>
      </c>
      <c r="I368" t="s">
        <v>249</v>
      </c>
      <c r="J368" t="s">
        <v>1121</v>
      </c>
      <c r="K368">
        <v>0</v>
      </c>
      <c r="L368" t="s">
        <v>251</v>
      </c>
      <c r="N368" t="s">
        <v>419</v>
      </c>
      <c r="O368" t="s">
        <v>1121</v>
      </c>
      <c r="P368">
        <v>6.2807975987151093E-5</v>
      </c>
      <c r="Q368" t="s">
        <v>251</v>
      </c>
      <c r="S368" t="s">
        <v>420</v>
      </c>
      <c r="T368" t="s">
        <v>1121</v>
      </c>
      <c r="U368">
        <v>2.2111409195759999E-4</v>
      </c>
      <c r="V368" t="s">
        <v>251</v>
      </c>
      <c r="X368">
        <v>1.1415525114155251E-4</v>
      </c>
      <c r="Y368">
        <v>5.7678442682047593E-5</v>
      </c>
      <c r="Z368" t="s">
        <v>1121</v>
      </c>
      <c r="AA368" t="s">
        <v>25</v>
      </c>
      <c r="AC368" t="s">
        <v>22</v>
      </c>
      <c r="AD368" t="s">
        <v>1121</v>
      </c>
      <c r="AE368">
        <v>1.0544979739613396E-4</v>
      </c>
      <c r="AG368" t="s">
        <v>97</v>
      </c>
      <c r="AH368" t="s">
        <v>1121</v>
      </c>
      <c r="AI368">
        <v>0</v>
      </c>
    </row>
    <row r="369" spans="5:35" x14ac:dyDescent="0.45">
      <c r="E369" t="s">
        <v>578</v>
      </c>
      <c r="G369" t="s">
        <v>803</v>
      </c>
      <c r="I369" t="s">
        <v>249</v>
      </c>
      <c r="J369" t="s">
        <v>1122</v>
      </c>
      <c r="K369">
        <v>0</v>
      </c>
      <c r="L369" t="s">
        <v>251</v>
      </c>
      <c r="N369" t="s">
        <v>419</v>
      </c>
      <c r="O369" t="s">
        <v>1122</v>
      </c>
      <c r="P369">
        <v>6.4106411297248659E-5</v>
      </c>
      <c r="Q369" t="s">
        <v>251</v>
      </c>
      <c r="S369" t="s">
        <v>420</v>
      </c>
      <c r="T369" t="s">
        <v>1122</v>
      </c>
      <c r="U369">
        <v>2.3022083459770001E-4</v>
      </c>
      <c r="V369" t="s">
        <v>251</v>
      </c>
      <c r="X369">
        <v>1.1415525114155251E-4</v>
      </c>
      <c r="Y369">
        <v>1.6905750441289813E-4</v>
      </c>
      <c r="Z369" t="s">
        <v>1122</v>
      </c>
      <c r="AA369" t="s">
        <v>25</v>
      </c>
      <c r="AC369" t="s">
        <v>22</v>
      </c>
      <c r="AD369" t="s">
        <v>1122</v>
      </c>
      <c r="AE369">
        <v>9.062185449275616E-5</v>
      </c>
      <c r="AG369" t="s">
        <v>97</v>
      </c>
      <c r="AH369" t="s">
        <v>1122</v>
      </c>
      <c r="AI369">
        <v>0</v>
      </c>
    </row>
    <row r="370" spans="5:35" x14ac:dyDescent="0.45">
      <c r="E370" t="s">
        <v>579</v>
      </c>
      <c r="G370" t="s">
        <v>803</v>
      </c>
      <c r="I370" t="s">
        <v>249</v>
      </c>
      <c r="J370" t="s">
        <v>1123</v>
      </c>
      <c r="K370">
        <v>1.614454364489391E-5</v>
      </c>
      <c r="L370" t="s">
        <v>251</v>
      </c>
      <c r="N370" t="s">
        <v>419</v>
      </c>
      <c r="O370" t="s">
        <v>1123</v>
      </c>
      <c r="P370">
        <v>6.741493510020315E-5</v>
      </c>
      <c r="Q370" t="s">
        <v>251</v>
      </c>
      <c r="S370" t="s">
        <v>420</v>
      </c>
      <c r="T370" t="s">
        <v>1123</v>
      </c>
      <c r="U370">
        <v>2.3290061014720001E-4</v>
      </c>
      <c r="V370" t="s">
        <v>251</v>
      </c>
      <c r="X370">
        <v>1.1415525114155251E-4</v>
      </c>
      <c r="Y370">
        <v>1.9060404909297337E-4</v>
      </c>
      <c r="Z370" t="s">
        <v>1123</v>
      </c>
      <c r="AA370" t="s">
        <v>25</v>
      </c>
      <c r="AC370" t="s">
        <v>22</v>
      </c>
      <c r="AD370" t="s">
        <v>1123</v>
      </c>
      <c r="AE370">
        <v>8.8041237513548278E-5</v>
      </c>
      <c r="AG370" t="s">
        <v>97</v>
      </c>
      <c r="AH370" t="s">
        <v>1123</v>
      </c>
      <c r="AI370">
        <v>0</v>
      </c>
    </row>
    <row r="371" spans="5:35" x14ac:dyDescent="0.45">
      <c r="E371" t="s">
        <v>240</v>
      </c>
      <c r="G371" t="s">
        <v>152</v>
      </c>
      <c r="I371" t="s">
        <v>249</v>
      </c>
      <c r="J371" t="s">
        <v>1124</v>
      </c>
      <c r="K371">
        <v>3.8139933967426057E-5</v>
      </c>
      <c r="L371" t="s">
        <v>251</v>
      </c>
      <c r="N371" t="s">
        <v>419</v>
      </c>
      <c r="O371" t="s">
        <v>1124</v>
      </c>
      <c r="P371">
        <v>7.0404805862714272E-5</v>
      </c>
      <c r="Q371" t="s">
        <v>251</v>
      </c>
      <c r="S371" t="s">
        <v>420</v>
      </c>
      <c r="T371" t="s">
        <v>1124</v>
      </c>
      <c r="U371">
        <v>2.3644139794780001E-4</v>
      </c>
      <c r="V371" t="s">
        <v>251</v>
      </c>
      <c r="X371">
        <v>1.1415525114155251E-4</v>
      </c>
      <c r="Y371">
        <v>1.4585353321897094E-4</v>
      </c>
      <c r="Z371" t="s">
        <v>1124</v>
      </c>
      <c r="AA371" t="s">
        <v>25</v>
      </c>
      <c r="AC371" t="s">
        <v>22</v>
      </c>
      <c r="AD371" t="s">
        <v>1124</v>
      </c>
      <c r="AE371">
        <v>8.6150528061294975E-5</v>
      </c>
      <c r="AG371" t="s">
        <v>97</v>
      </c>
      <c r="AH371" t="s">
        <v>1124</v>
      </c>
      <c r="AI371">
        <v>0</v>
      </c>
    </row>
    <row r="372" spans="5:35" x14ac:dyDescent="0.45">
      <c r="E372" t="s">
        <v>241</v>
      </c>
      <c r="G372" t="s">
        <v>152</v>
      </c>
      <c r="I372" t="s">
        <v>249</v>
      </c>
      <c r="J372" t="s">
        <v>1125</v>
      </c>
      <c r="K372">
        <v>6.5987177965944746E-5</v>
      </c>
      <c r="L372" t="s">
        <v>251</v>
      </c>
      <c r="N372" t="s">
        <v>419</v>
      </c>
      <c r="O372" t="s">
        <v>1125</v>
      </c>
      <c r="P372">
        <v>7.0760646873989453E-5</v>
      </c>
      <c r="Q372" t="s">
        <v>251</v>
      </c>
      <c r="S372" t="s">
        <v>420</v>
      </c>
      <c r="T372" t="s">
        <v>1125</v>
      </c>
      <c r="U372">
        <v>2.390052178957E-4</v>
      </c>
      <c r="V372" t="s">
        <v>251</v>
      </c>
      <c r="X372">
        <v>1.1415525114155251E-4</v>
      </c>
      <c r="Y372">
        <v>1.4452759200788939E-4</v>
      </c>
      <c r="Z372" t="s">
        <v>1125</v>
      </c>
      <c r="AA372" t="s">
        <v>25</v>
      </c>
      <c r="AC372" t="s">
        <v>22</v>
      </c>
      <c r="AD372" t="s">
        <v>1125</v>
      </c>
      <c r="AE372">
        <v>8.5968847076818561E-5</v>
      </c>
      <c r="AG372" t="s">
        <v>97</v>
      </c>
      <c r="AH372" t="s">
        <v>1125</v>
      </c>
      <c r="AI372">
        <v>0</v>
      </c>
    </row>
    <row r="373" spans="5:35" x14ac:dyDescent="0.45">
      <c r="E373" t="s">
        <v>242</v>
      </c>
      <c r="G373" t="s">
        <v>152</v>
      </c>
      <c r="I373" t="s">
        <v>249</v>
      </c>
      <c r="J373" t="s">
        <v>1126</v>
      </c>
      <c r="K373">
        <v>8.7729761238121814E-5</v>
      </c>
      <c r="L373" t="s">
        <v>251</v>
      </c>
      <c r="N373" t="s">
        <v>419</v>
      </c>
      <c r="O373" t="s">
        <v>1126</v>
      </c>
      <c r="P373">
        <v>6.778967314642613E-5</v>
      </c>
      <c r="Q373" t="s">
        <v>251</v>
      </c>
      <c r="S373" t="s">
        <v>420</v>
      </c>
      <c r="T373" t="s">
        <v>1126</v>
      </c>
      <c r="U373">
        <v>2.3859002906309999E-4</v>
      </c>
      <c r="V373" t="s">
        <v>251</v>
      </c>
      <c r="X373">
        <v>1.1415525114155251E-4</v>
      </c>
      <c r="Y373">
        <v>1.408812536774151E-4</v>
      </c>
      <c r="Z373" t="s">
        <v>1126</v>
      </c>
      <c r="AA373" t="s">
        <v>25</v>
      </c>
      <c r="AC373" t="s">
        <v>22</v>
      </c>
      <c r="AD373" t="s">
        <v>1126</v>
      </c>
      <c r="AE373">
        <v>8.8411535907752831E-5</v>
      </c>
      <c r="AG373" t="s">
        <v>97</v>
      </c>
      <c r="AH373" t="s">
        <v>1126</v>
      </c>
      <c r="AI373">
        <v>0</v>
      </c>
    </row>
    <row r="374" spans="5:35" x14ac:dyDescent="0.45">
      <c r="E374" t="s">
        <v>243</v>
      </c>
      <c r="G374" t="s">
        <v>152</v>
      </c>
      <c r="I374" t="s">
        <v>249</v>
      </c>
      <c r="J374" t="s">
        <v>1127</v>
      </c>
      <c r="K374">
        <v>9.7343333913705476E-5</v>
      </c>
      <c r="L374" t="s">
        <v>251</v>
      </c>
      <c r="N374" t="s">
        <v>419</v>
      </c>
      <c r="O374" t="s">
        <v>1127</v>
      </c>
      <c r="P374">
        <v>6.5186240769404829E-5</v>
      </c>
      <c r="Q374" t="s">
        <v>251</v>
      </c>
      <c r="S374" t="s">
        <v>420</v>
      </c>
      <c r="T374" t="s">
        <v>1127</v>
      </c>
      <c r="U374">
        <v>2.3578288787479999E-4</v>
      </c>
      <c r="V374" t="s">
        <v>251</v>
      </c>
      <c r="X374">
        <v>1.1415525114155251E-4</v>
      </c>
      <c r="Y374">
        <v>1.4054976837464471E-4</v>
      </c>
      <c r="Z374" t="s">
        <v>1127</v>
      </c>
      <c r="AA374" t="s">
        <v>25</v>
      </c>
      <c r="AC374" t="s">
        <v>22</v>
      </c>
      <c r="AD374" t="s">
        <v>1127</v>
      </c>
      <c r="AE374">
        <v>9.2189753385220211E-5</v>
      </c>
      <c r="AG374" t="s">
        <v>97</v>
      </c>
      <c r="AH374" t="s">
        <v>1127</v>
      </c>
      <c r="AI374">
        <v>0</v>
      </c>
    </row>
    <row r="375" spans="5:35" x14ac:dyDescent="0.45">
      <c r="E375" t="s">
        <v>244</v>
      </c>
      <c r="G375" t="s">
        <v>152</v>
      </c>
      <c r="I375" t="s">
        <v>249</v>
      </c>
      <c r="J375" t="s">
        <v>1128</v>
      </c>
      <c r="K375">
        <v>9.6781368773486703E-5</v>
      </c>
      <c r="L375" t="s">
        <v>251</v>
      </c>
      <c r="N375" t="s">
        <v>419</v>
      </c>
      <c r="O375" t="s">
        <v>1128</v>
      </c>
      <c r="P375">
        <v>6.3011011350985578E-5</v>
      </c>
      <c r="Q375" t="s">
        <v>251</v>
      </c>
      <c r="S375" t="s">
        <v>420</v>
      </c>
      <c r="T375" t="s">
        <v>1128</v>
      </c>
      <c r="U375">
        <v>2.3410179291950001E-4</v>
      </c>
      <c r="V375" t="s">
        <v>251</v>
      </c>
      <c r="X375">
        <v>1.1415525114155251E-4</v>
      </c>
      <c r="Y375">
        <v>1.4253868019126702E-4</v>
      </c>
      <c r="Z375" t="s">
        <v>1128</v>
      </c>
      <c r="AA375" t="s">
        <v>25</v>
      </c>
      <c r="AC375" t="s">
        <v>22</v>
      </c>
      <c r="AD375" t="s">
        <v>1128</v>
      </c>
      <c r="AE375">
        <v>9.5573128194515592E-5</v>
      </c>
      <c r="AG375" t="s">
        <v>97</v>
      </c>
      <c r="AH375" t="s">
        <v>1128</v>
      </c>
      <c r="AI375">
        <v>0</v>
      </c>
    </row>
    <row r="376" spans="5:35" x14ac:dyDescent="0.45">
      <c r="E376" t="s">
        <v>245</v>
      </c>
      <c r="G376" t="s">
        <v>152</v>
      </c>
      <c r="I376" t="s">
        <v>249</v>
      </c>
      <c r="J376" t="s">
        <v>1129</v>
      </c>
      <c r="K376">
        <v>9.5601517190638361E-5</v>
      </c>
      <c r="L376" t="s">
        <v>251</v>
      </c>
      <c r="N376" t="s">
        <v>419</v>
      </c>
      <c r="O376" t="s">
        <v>1129</v>
      </c>
      <c r="P376">
        <v>6.415820762287521E-5</v>
      </c>
      <c r="Q376" t="s">
        <v>251</v>
      </c>
      <c r="S376" t="s">
        <v>420</v>
      </c>
      <c r="T376" t="s">
        <v>1129</v>
      </c>
      <c r="U376">
        <v>2.313282119141E-4</v>
      </c>
      <c r="V376" t="s">
        <v>251</v>
      </c>
      <c r="X376">
        <v>1.1415525114155251E-4</v>
      </c>
      <c r="Y376">
        <v>1.4883690094390442E-4</v>
      </c>
      <c r="Z376" t="s">
        <v>1129</v>
      </c>
      <c r="AA376" t="s">
        <v>25</v>
      </c>
      <c r="AC376" t="s">
        <v>22</v>
      </c>
      <c r="AD376" t="s">
        <v>1129</v>
      </c>
      <c r="AE376">
        <v>9.8535782133738503E-5</v>
      </c>
      <c r="AG376" t="s">
        <v>97</v>
      </c>
      <c r="AH376" t="s">
        <v>1129</v>
      </c>
      <c r="AI376">
        <v>0</v>
      </c>
    </row>
    <row r="377" spans="5:35" x14ac:dyDescent="0.45">
      <c r="E377" t="s">
        <v>246</v>
      </c>
      <c r="G377" t="s">
        <v>152</v>
      </c>
      <c r="I377" t="s">
        <v>249</v>
      </c>
      <c r="J377" t="s">
        <v>1130</v>
      </c>
      <c r="K377">
        <v>9.3058636017244001E-5</v>
      </c>
      <c r="L377" t="s">
        <v>251</v>
      </c>
      <c r="N377" t="s">
        <v>419</v>
      </c>
      <c r="O377" t="s">
        <v>1130</v>
      </c>
      <c r="P377">
        <v>6.7095151089435837E-5</v>
      </c>
      <c r="Q377" t="s">
        <v>251</v>
      </c>
      <c r="S377" t="s">
        <v>420</v>
      </c>
      <c r="T377" t="s">
        <v>1130</v>
      </c>
      <c r="U377">
        <v>2.3033681659299999E-4</v>
      </c>
      <c r="V377" t="s">
        <v>251</v>
      </c>
      <c r="X377">
        <v>1.1415525114155251E-4</v>
      </c>
      <c r="Y377">
        <v>1.5049432745775637E-4</v>
      </c>
      <c r="Z377" t="s">
        <v>1130</v>
      </c>
      <c r="AA377" t="s">
        <v>25</v>
      </c>
      <c r="AC377" t="s">
        <v>22</v>
      </c>
      <c r="AD377" t="s">
        <v>1130</v>
      </c>
      <c r="AE377">
        <v>1.0159314495620541E-4</v>
      </c>
      <c r="AG377" t="s">
        <v>97</v>
      </c>
      <c r="AH377" t="s">
        <v>1130</v>
      </c>
      <c r="AI377">
        <v>0</v>
      </c>
    </row>
    <row r="378" spans="5:35" x14ac:dyDescent="0.45">
      <c r="E378" t="s">
        <v>247</v>
      </c>
      <c r="G378" t="s">
        <v>152</v>
      </c>
      <c r="I378" t="s">
        <v>249</v>
      </c>
      <c r="J378" t="s">
        <v>1131</v>
      </c>
      <c r="K378">
        <v>7.6816181783129122E-5</v>
      </c>
      <c r="L378" t="s">
        <v>251</v>
      </c>
      <c r="N378" t="s">
        <v>419</v>
      </c>
      <c r="O378" t="s">
        <v>1131</v>
      </c>
      <c r="P378">
        <v>7.1319084050926415E-5</v>
      </c>
      <c r="Q378" t="s">
        <v>251</v>
      </c>
      <c r="S378" t="s">
        <v>420</v>
      </c>
      <c r="T378" t="s">
        <v>1131</v>
      </c>
      <c r="U378">
        <v>2.3017846043250001E-4</v>
      </c>
      <c r="V378" t="s">
        <v>251</v>
      </c>
      <c r="X378">
        <v>1.1415525114155251E-4</v>
      </c>
      <c r="Y378">
        <v>1.7237235744060203E-4</v>
      </c>
      <c r="Z378" t="s">
        <v>1131</v>
      </c>
      <c r="AA378" t="s">
        <v>25</v>
      </c>
      <c r="AC378" t="s">
        <v>22</v>
      </c>
      <c r="AD378" t="s">
        <v>1131</v>
      </c>
      <c r="AE378">
        <v>1.0675838069842019E-4</v>
      </c>
      <c r="AG378" t="s">
        <v>97</v>
      </c>
      <c r="AH378" t="s">
        <v>1131</v>
      </c>
      <c r="AI378">
        <v>0</v>
      </c>
    </row>
    <row r="379" spans="5:35" x14ac:dyDescent="0.45">
      <c r="I379" t="s">
        <v>249</v>
      </c>
      <c r="J379" t="s">
        <v>1132</v>
      </c>
      <c r="K379">
        <v>4.6659374473298699E-5</v>
      </c>
      <c r="L379" t="s">
        <v>251</v>
      </c>
      <c r="N379" t="s">
        <v>419</v>
      </c>
      <c r="O379" t="s">
        <v>1132</v>
      </c>
      <c r="P379">
        <v>8.1814249520534266E-5</v>
      </c>
      <c r="Q379" t="s">
        <v>251</v>
      </c>
      <c r="S379" t="s">
        <v>420</v>
      </c>
      <c r="T379" t="s">
        <v>1132</v>
      </c>
      <c r="U379">
        <v>2.307206474186E-4</v>
      </c>
      <c r="V379" t="s">
        <v>251</v>
      </c>
      <c r="X379">
        <v>1.1415525114155251E-4</v>
      </c>
      <c r="Y379">
        <v>2.2209515285616027E-4</v>
      </c>
      <c r="Z379" t="s">
        <v>1132</v>
      </c>
      <c r="AA379" t="s">
        <v>25</v>
      </c>
      <c r="AC379" t="s">
        <v>22</v>
      </c>
      <c r="AD379" t="s">
        <v>1132</v>
      </c>
      <c r="AE379">
        <v>1.0625975843705974E-4</v>
      </c>
      <c r="AG379" t="s">
        <v>97</v>
      </c>
      <c r="AH379" t="s">
        <v>1132</v>
      </c>
      <c r="AI379">
        <v>0</v>
      </c>
    </row>
    <row r="380" spans="5:35" x14ac:dyDescent="0.45">
      <c r="I380" t="s">
        <v>249</v>
      </c>
      <c r="J380" t="s">
        <v>1133</v>
      </c>
      <c r="K380">
        <v>7.5764878041532558E-6</v>
      </c>
      <c r="L380" t="s">
        <v>251</v>
      </c>
      <c r="N380" t="s">
        <v>419</v>
      </c>
      <c r="O380" t="s">
        <v>1133</v>
      </c>
      <c r="P380">
        <v>1.0378098529100001E-4</v>
      </c>
      <c r="Q380" t="s">
        <v>251</v>
      </c>
      <c r="S380" t="s">
        <v>420</v>
      </c>
      <c r="T380" t="s">
        <v>1133</v>
      </c>
      <c r="U380">
        <v>2.3356404721359999E-4</v>
      </c>
      <c r="V380" t="s">
        <v>251</v>
      </c>
      <c r="X380">
        <v>1.1415525114155251E-4</v>
      </c>
      <c r="Y380">
        <v>2.2209515285616027E-4</v>
      </c>
      <c r="Z380" t="s">
        <v>1133</v>
      </c>
      <c r="AA380" t="s">
        <v>25</v>
      </c>
      <c r="AC380" t="s">
        <v>22</v>
      </c>
      <c r="AD380" t="s">
        <v>1133</v>
      </c>
      <c r="AE380">
        <v>1.0646091476935818E-4</v>
      </c>
      <c r="AG380" t="s">
        <v>97</v>
      </c>
      <c r="AH380" t="s">
        <v>1133</v>
      </c>
      <c r="AI380">
        <v>0</v>
      </c>
    </row>
    <row r="381" spans="5:35" x14ac:dyDescent="0.45">
      <c r="I381" t="s">
        <v>249</v>
      </c>
      <c r="J381" t="s">
        <v>1134</v>
      </c>
      <c r="K381">
        <v>0</v>
      </c>
      <c r="L381" t="s">
        <v>251</v>
      </c>
      <c r="N381" t="s">
        <v>419</v>
      </c>
      <c r="O381" t="s">
        <v>1134</v>
      </c>
      <c r="P381">
        <v>1.194627848255E-4</v>
      </c>
      <c r="Q381" t="s">
        <v>251</v>
      </c>
      <c r="S381" t="s">
        <v>420</v>
      </c>
      <c r="T381" t="s">
        <v>1134</v>
      </c>
      <c r="U381">
        <v>2.371691681654E-4</v>
      </c>
      <c r="V381" t="s">
        <v>251</v>
      </c>
      <c r="X381">
        <v>1.1415525114155251E-4</v>
      </c>
      <c r="Y381">
        <v>1.7237235744060203E-4</v>
      </c>
      <c r="Z381" t="s">
        <v>1134</v>
      </c>
      <c r="AA381" t="s">
        <v>25</v>
      </c>
      <c r="AC381" t="s">
        <v>22</v>
      </c>
      <c r="AD381" t="s">
        <v>1134</v>
      </c>
      <c r="AE381">
        <v>1.0736611826470113E-4</v>
      </c>
      <c r="AG381" t="s">
        <v>97</v>
      </c>
      <c r="AH381" t="s">
        <v>1134</v>
      </c>
      <c r="AI381">
        <v>0</v>
      </c>
    </row>
    <row r="382" spans="5:35" x14ac:dyDescent="0.45">
      <c r="I382" t="s">
        <v>249</v>
      </c>
      <c r="J382" t="s">
        <v>1135</v>
      </c>
      <c r="K382">
        <v>0</v>
      </c>
      <c r="L382" t="s">
        <v>251</v>
      </c>
      <c r="N382" t="s">
        <v>419</v>
      </c>
      <c r="O382" t="s">
        <v>1135</v>
      </c>
      <c r="P382">
        <v>1.3182215213699999E-4</v>
      </c>
      <c r="Q382" t="s">
        <v>251</v>
      </c>
      <c r="S382" t="s">
        <v>420</v>
      </c>
      <c r="T382" t="s">
        <v>1135</v>
      </c>
      <c r="U382">
        <v>2.4050512869179999E-4</v>
      </c>
      <c r="V382" t="s">
        <v>251</v>
      </c>
      <c r="X382">
        <v>1.1415525114155251E-4</v>
      </c>
      <c r="Y382">
        <v>1.5579809230208258E-4</v>
      </c>
      <c r="Z382" t="s">
        <v>1135</v>
      </c>
      <c r="AA382" t="s">
        <v>25</v>
      </c>
      <c r="AC382" t="s">
        <v>22</v>
      </c>
      <c r="AD382" t="s">
        <v>1135</v>
      </c>
      <c r="AE382">
        <v>1.0703663806524679E-4</v>
      </c>
      <c r="AG382" t="s">
        <v>97</v>
      </c>
      <c r="AH382" t="s">
        <v>1135</v>
      </c>
      <c r="AI382">
        <v>0</v>
      </c>
    </row>
    <row r="383" spans="5:35" x14ac:dyDescent="0.45">
      <c r="I383" t="s">
        <v>249</v>
      </c>
      <c r="J383" t="s">
        <v>1136</v>
      </c>
      <c r="K383">
        <v>0</v>
      </c>
      <c r="L383" t="s">
        <v>251</v>
      </c>
      <c r="N383" t="s">
        <v>419</v>
      </c>
      <c r="O383" t="s">
        <v>1136</v>
      </c>
      <c r="P383">
        <v>1.3446857792190001E-4</v>
      </c>
      <c r="Q383" t="s">
        <v>251</v>
      </c>
      <c r="S383" t="s">
        <v>420</v>
      </c>
      <c r="T383" t="s">
        <v>1136</v>
      </c>
      <c r="U383">
        <v>2.431858227833E-4</v>
      </c>
      <c r="V383" t="s">
        <v>251</v>
      </c>
      <c r="X383">
        <v>1.1415525114155251E-4</v>
      </c>
      <c r="Y383">
        <v>1.093901499142282E-4</v>
      </c>
      <c r="Z383" t="s">
        <v>1136</v>
      </c>
      <c r="AA383" t="s">
        <v>25</v>
      </c>
      <c r="AC383" t="s">
        <v>22</v>
      </c>
      <c r="AD383" t="s">
        <v>1136</v>
      </c>
      <c r="AE383">
        <v>1.0758728351599476E-4</v>
      </c>
      <c r="AG383" t="s">
        <v>97</v>
      </c>
      <c r="AH383" t="s">
        <v>1136</v>
      </c>
      <c r="AI383">
        <v>0</v>
      </c>
    </row>
    <row r="384" spans="5:35" x14ac:dyDescent="0.45">
      <c r="I384" t="s">
        <v>249</v>
      </c>
      <c r="J384" t="s">
        <v>1137</v>
      </c>
      <c r="K384">
        <v>0</v>
      </c>
      <c r="L384" t="s">
        <v>251</v>
      </c>
      <c r="N384" t="s">
        <v>419</v>
      </c>
      <c r="O384" t="s">
        <v>1137</v>
      </c>
      <c r="P384">
        <v>1.3436513588410001E-4</v>
      </c>
      <c r="Q384" t="s">
        <v>251</v>
      </c>
      <c r="S384" t="s">
        <v>420</v>
      </c>
      <c r="T384" t="s">
        <v>1137</v>
      </c>
      <c r="U384">
        <v>2.4604235896420003E-4</v>
      </c>
      <c r="V384" t="s">
        <v>251</v>
      </c>
      <c r="X384">
        <v>1.1415525114155251E-4</v>
      </c>
      <c r="Y384">
        <v>7.9556472664893237E-5</v>
      </c>
      <c r="Z384" t="s">
        <v>1137</v>
      </c>
      <c r="AA384" t="s">
        <v>25</v>
      </c>
      <c r="AC384" t="s">
        <v>22</v>
      </c>
      <c r="AD384" t="s">
        <v>1137</v>
      </c>
      <c r="AE384">
        <v>1.0758728351599476E-4</v>
      </c>
      <c r="AG384" t="s">
        <v>97</v>
      </c>
      <c r="AH384" t="s">
        <v>1137</v>
      </c>
      <c r="AI384">
        <v>0</v>
      </c>
    </row>
    <row r="385" spans="9:35" x14ac:dyDescent="0.45">
      <c r="I385" t="s">
        <v>249</v>
      </c>
      <c r="J385" t="s">
        <v>1138</v>
      </c>
      <c r="K385">
        <v>0</v>
      </c>
      <c r="L385" t="s">
        <v>251</v>
      </c>
      <c r="N385" t="s">
        <v>419</v>
      </c>
      <c r="O385" t="s">
        <v>1138</v>
      </c>
      <c r="P385">
        <v>1.345145512163E-4</v>
      </c>
      <c r="Q385" t="s">
        <v>251</v>
      </c>
      <c r="S385" t="s">
        <v>420</v>
      </c>
      <c r="T385" t="s">
        <v>1138</v>
      </c>
      <c r="U385">
        <v>2.3991208093830001E-4</v>
      </c>
      <c r="V385" t="s">
        <v>251</v>
      </c>
      <c r="X385">
        <v>1.1415525114155251E-4</v>
      </c>
      <c r="Y385">
        <v>5.6352501470966035E-5</v>
      </c>
      <c r="Z385" t="s">
        <v>1138</v>
      </c>
      <c r="AA385" t="s">
        <v>25</v>
      </c>
      <c r="AC385" t="s">
        <v>22</v>
      </c>
      <c r="AD385" t="s">
        <v>1138</v>
      </c>
      <c r="AE385">
        <v>1.1077430413355054E-4</v>
      </c>
      <c r="AG385" t="s">
        <v>97</v>
      </c>
      <c r="AH385" t="s">
        <v>1138</v>
      </c>
      <c r="AI385">
        <v>0</v>
      </c>
    </row>
    <row r="386" spans="9:35" x14ac:dyDescent="0.45">
      <c r="I386" t="s">
        <v>249</v>
      </c>
      <c r="J386" t="s">
        <v>1139</v>
      </c>
      <c r="K386">
        <v>0</v>
      </c>
      <c r="L386" t="s">
        <v>251</v>
      </c>
      <c r="N386" t="s">
        <v>419</v>
      </c>
      <c r="O386" t="s">
        <v>1139</v>
      </c>
      <c r="P386">
        <v>1.3266883718009999E-4</v>
      </c>
      <c r="Q386" t="s">
        <v>251</v>
      </c>
      <c r="S386" t="s">
        <v>420</v>
      </c>
      <c r="T386" t="s">
        <v>1139</v>
      </c>
      <c r="U386">
        <v>2.3666617816759999E-4</v>
      </c>
      <c r="V386" t="s">
        <v>251</v>
      </c>
      <c r="X386">
        <v>1.1415525114155251E-4</v>
      </c>
      <c r="Y386">
        <v>2.9833677249334962E-5</v>
      </c>
      <c r="Z386" t="s">
        <v>1139</v>
      </c>
      <c r="AA386" t="s">
        <v>25</v>
      </c>
      <c r="AC386" t="s">
        <v>22</v>
      </c>
      <c r="AD386" t="s">
        <v>1139</v>
      </c>
      <c r="AE386">
        <v>1.2004376934006121E-4</v>
      </c>
      <c r="AG386" t="s">
        <v>97</v>
      </c>
      <c r="AH386" t="s">
        <v>1139</v>
      </c>
      <c r="AI386">
        <v>0</v>
      </c>
    </row>
    <row r="387" spans="9:35" x14ac:dyDescent="0.45">
      <c r="I387" t="s">
        <v>249</v>
      </c>
      <c r="J387" t="s">
        <v>411</v>
      </c>
      <c r="K387">
        <v>0</v>
      </c>
      <c r="L387" t="s">
        <v>251</v>
      </c>
      <c r="N387" t="s">
        <v>419</v>
      </c>
      <c r="O387" t="s">
        <v>411</v>
      </c>
      <c r="P387">
        <v>2.4606487053390236E-2</v>
      </c>
      <c r="Q387" t="s">
        <v>251</v>
      </c>
      <c r="S387" t="s">
        <v>420</v>
      </c>
      <c r="T387" t="s">
        <v>411</v>
      </c>
      <c r="U387">
        <v>2.2243426477431997E-2</v>
      </c>
      <c r="V387" t="s">
        <v>251</v>
      </c>
      <c r="X387">
        <v>1.9178082191780823E-2</v>
      </c>
      <c r="Y387">
        <v>4.1024621070863279E-3</v>
      </c>
      <c r="Z387" t="s">
        <v>411</v>
      </c>
      <c r="AA387" t="s">
        <v>25</v>
      </c>
      <c r="AC387" t="s">
        <v>22</v>
      </c>
      <c r="AD387" t="s">
        <v>411</v>
      </c>
      <c r="AE387">
        <v>2.230613473273356E-2</v>
      </c>
      <c r="AG387" t="s">
        <v>97</v>
      </c>
      <c r="AH387" t="s">
        <v>411</v>
      </c>
      <c r="AI387">
        <v>0.14554206222894139</v>
      </c>
    </row>
    <row r="388" spans="9:35" x14ac:dyDescent="0.45">
      <c r="I388" t="s">
        <v>249</v>
      </c>
      <c r="J388" t="s">
        <v>412</v>
      </c>
      <c r="K388">
        <v>0</v>
      </c>
      <c r="L388" t="s">
        <v>251</v>
      </c>
      <c r="N388" t="s">
        <v>419</v>
      </c>
      <c r="O388" t="s">
        <v>412</v>
      </c>
      <c r="P388">
        <v>3.9780947405320139E-3</v>
      </c>
      <c r="Q388" t="s">
        <v>251</v>
      </c>
      <c r="S388" t="s">
        <v>420</v>
      </c>
      <c r="T388" t="s">
        <v>412</v>
      </c>
      <c r="U388">
        <v>3.4770795370809931E-3</v>
      </c>
      <c r="V388" t="s">
        <v>251</v>
      </c>
      <c r="X388">
        <v>3.1963470319634705E-3</v>
      </c>
      <c r="Y388">
        <v>4.7336101235611484E-3</v>
      </c>
      <c r="Z388" t="s">
        <v>412</v>
      </c>
      <c r="AA388" t="s">
        <v>25</v>
      </c>
      <c r="AC388" t="s">
        <v>22</v>
      </c>
      <c r="AD388" t="s">
        <v>412</v>
      </c>
      <c r="AE388">
        <v>2.942148046151726E-3</v>
      </c>
      <c r="AG388" t="s">
        <v>97</v>
      </c>
      <c r="AH388" t="s">
        <v>412</v>
      </c>
      <c r="AI388">
        <v>4.6784630823129891E-2</v>
      </c>
    </row>
    <row r="389" spans="9:35" x14ac:dyDescent="0.45">
      <c r="I389" t="s">
        <v>249</v>
      </c>
      <c r="J389" t="s">
        <v>413</v>
      </c>
      <c r="K389">
        <v>3.760669546367377E-4</v>
      </c>
      <c r="L389" t="s">
        <v>251</v>
      </c>
      <c r="N389" t="s">
        <v>419</v>
      </c>
      <c r="O389" t="s">
        <v>413</v>
      </c>
      <c r="P389">
        <v>3.9068135374024093E-3</v>
      </c>
      <c r="Q389" t="s">
        <v>251</v>
      </c>
      <c r="S389" t="s">
        <v>420</v>
      </c>
      <c r="T389" t="s">
        <v>413</v>
      </c>
      <c r="U389">
        <v>3.4810634438247057E-3</v>
      </c>
      <c r="V389" t="s">
        <v>251</v>
      </c>
      <c r="X389">
        <v>3.1963470319634705E-3</v>
      </c>
      <c r="Y389">
        <v>5.3369133746032542E-3</v>
      </c>
      <c r="Z389" t="s">
        <v>413</v>
      </c>
      <c r="AA389" t="s">
        <v>25</v>
      </c>
      <c r="AC389" t="s">
        <v>22</v>
      </c>
      <c r="AD389" t="s">
        <v>413</v>
      </c>
      <c r="AE389">
        <v>2.8338632447623175E-3</v>
      </c>
      <c r="AG389" t="s">
        <v>97</v>
      </c>
      <c r="AH389" t="s">
        <v>413</v>
      </c>
      <c r="AI389">
        <v>5.43963206703586E-2</v>
      </c>
    </row>
    <row r="390" spans="9:35" x14ac:dyDescent="0.45">
      <c r="I390" t="s">
        <v>249</v>
      </c>
      <c r="J390" t="s">
        <v>414</v>
      </c>
      <c r="K390">
        <v>4.3414736918116571E-2</v>
      </c>
      <c r="L390" t="s">
        <v>251</v>
      </c>
      <c r="N390" t="s">
        <v>419</v>
      </c>
      <c r="O390" t="s">
        <v>414</v>
      </c>
      <c r="P390">
        <v>2.2351091810007342E-2</v>
      </c>
      <c r="Q390" t="s">
        <v>251</v>
      </c>
      <c r="S390" t="s">
        <v>420</v>
      </c>
      <c r="T390" t="s">
        <v>414</v>
      </c>
      <c r="U390">
        <v>2.5185119185780279E-2</v>
      </c>
      <c r="V390" t="s">
        <v>251</v>
      </c>
      <c r="X390">
        <v>2.2374429223744292E-2</v>
      </c>
      <c r="Y390">
        <v>2.8383097564411743E-2</v>
      </c>
      <c r="Z390" t="s">
        <v>414</v>
      </c>
      <c r="AA390" t="s">
        <v>25</v>
      </c>
      <c r="AC390" t="s">
        <v>22</v>
      </c>
      <c r="AD390" t="s">
        <v>414</v>
      </c>
      <c r="AE390">
        <v>2.2531934097138318E-2</v>
      </c>
      <c r="AG390" t="s">
        <v>97</v>
      </c>
      <c r="AH390" t="s">
        <v>414</v>
      </c>
      <c r="AI390">
        <v>0.24788547465206467</v>
      </c>
    </row>
    <row r="391" spans="9:35" x14ac:dyDescent="0.45">
      <c r="I391" t="s">
        <v>249</v>
      </c>
      <c r="J391" t="s">
        <v>415</v>
      </c>
      <c r="K391">
        <v>6.5203288745620995E-3</v>
      </c>
      <c r="L391" t="s">
        <v>251</v>
      </c>
      <c r="N391" t="s">
        <v>419</v>
      </c>
      <c r="O391" t="s">
        <v>415</v>
      </c>
      <c r="P391">
        <v>2.9014671962715346E-3</v>
      </c>
      <c r="Q391" t="s">
        <v>251</v>
      </c>
      <c r="S391" t="s">
        <v>420</v>
      </c>
      <c r="T391" t="s">
        <v>415</v>
      </c>
      <c r="U391">
        <v>3.8237981143893138E-3</v>
      </c>
      <c r="V391" t="s">
        <v>251</v>
      </c>
      <c r="X391">
        <v>3.1963470319634705E-3</v>
      </c>
      <c r="Y391">
        <v>4.8264260083368555E-3</v>
      </c>
      <c r="Z391" t="s">
        <v>415</v>
      </c>
      <c r="AA391" t="s">
        <v>25</v>
      </c>
      <c r="AC391" t="s">
        <v>22</v>
      </c>
      <c r="AD391" t="s">
        <v>415</v>
      </c>
      <c r="AE391">
        <v>3.7508645323160073E-3</v>
      </c>
      <c r="AG391" t="s">
        <v>97</v>
      </c>
      <c r="AH391" t="s">
        <v>415</v>
      </c>
      <c r="AI391">
        <v>4.6673819679074136E-2</v>
      </c>
    </row>
    <row r="392" spans="9:35" x14ac:dyDescent="0.45">
      <c r="I392" t="s">
        <v>249</v>
      </c>
      <c r="J392" t="s">
        <v>416</v>
      </c>
      <c r="K392">
        <v>5.018069471816715E-3</v>
      </c>
      <c r="L392" t="s">
        <v>251</v>
      </c>
      <c r="N392" t="s">
        <v>419</v>
      </c>
      <c r="O392" t="s">
        <v>416</v>
      </c>
      <c r="P392">
        <v>3.0705639443577202E-3</v>
      </c>
      <c r="Q392" t="s">
        <v>251</v>
      </c>
      <c r="S392" t="s">
        <v>420</v>
      </c>
      <c r="T392" t="s">
        <v>416</v>
      </c>
      <c r="U392">
        <v>3.7951501290465197E-3</v>
      </c>
      <c r="V392" t="s">
        <v>251</v>
      </c>
      <c r="X392">
        <v>3.1963470319634705E-3</v>
      </c>
      <c r="Y392">
        <v>6.2186642799724884E-3</v>
      </c>
      <c r="Z392" t="s">
        <v>416</v>
      </c>
      <c r="AA392" t="s">
        <v>25</v>
      </c>
      <c r="AC392" t="s">
        <v>22</v>
      </c>
      <c r="AD392" t="s">
        <v>416</v>
      </c>
      <c r="AE392">
        <v>3.7396830148103155E-3</v>
      </c>
      <c r="AG392" t="s">
        <v>97</v>
      </c>
      <c r="AH392" t="s">
        <v>416</v>
      </c>
      <c r="AI392">
        <v>3.5901552373696743E-2</v>
      </c>
    </row>
    <row r="393" spans="9:35" x14ac:dyDescent="0.45">
      <c r="I393" t="s">
        <v>249</v>
      </c>
      <c r="J393" t="s">
        <v>417</v>
      </c>
      <c r="K393">
        <v>1.6026339009739339E-3</v>
      </c>
      <c r="L393" t="s">
        <v>251</v>
      </c>
      <c r="N393" t="s">
        <v>419</v>
      </c>
      <c r="O393" t="s">
        <v>417</v>
      </c>
      <c r="P393">
        <v>3.2326953929908329E-3</v>
      </c>
      <c r="Q393" t="s">
        <v>251</v>
      </c>
      <c r="S393" t="s">
        <v>420</v>
      </c>
      <c r="T393" t="s">
        <v>417</v>
      </c>
      <c r="U393">
        <v>3.9212206723508291E-3</v>
      </c>
      <c r="V393" t="s">
        <v>251</v>
      </c>
      <c r="X393">
        <v>3.1963470319634705E-3</v>
      </c>
      <c r="Y393">
        <v>6.2186642799724884E-3</v>
      </c>
      <c r="Z393" t="s">
        <v>417</v>
      </c>
      <c r="AA393" t="s">
        <v>25</v>
      </c>
      <c r="AC393" t="s">
        <v>22</v>
      </c>
      <c r="AD393" t="s">
        <v>417</v>
      </c>
      <c r="AE393">
        <v>3.8168942317857611E-3</v>
      </c>
      <c r="AG393" t="s">
        <v>97</v>
      </c>
      <c r="AH393" t="s">
        <v>417</v>
      </c>
      <c r="AI393">
        <v>4.0169500184043194E-2</v>
      </c>
    </row>
    <row r="394" spans="9:35" x14ac:dyDescent="0.45">
      <c r="I394" t="s">
        <v>249</v>
      </c>
      <c r="J394" t="s">
        <v>418</v>
      </c>
      <c r="K394">
        <v>0</v>
      </c>
      <c r="L394" t="s">
        <v>251</v>
      </c>
      <c r="N394" t="s">
        <v>419</v>
      </c>
      <c r="O394" t="s">
        <v>418</v>
      </c>
      <c r="P394">
        <v>2.1721846782002233E-2</v>
      </c>
      <c r="Q394" t="s">
        <v>251</v>
      </c>
      <c r="S394" t="s">
        <v>420</v>
      </c>
      <c r="T394" t="s">
        <v>418</v>
      </c>
      <c r="U394">
        <v>2.4536760409916657E-2</v>
      </c>
      <c r="V394" t="s">
        <v>251</v>
      </c>
      <c r="X394">
        <v>1.9178082191780823E-2</v>
      </c>
      <c r="Y394">
        <v>1.6892491029178995E-2</v>
      </c>
      <c r="Z394" t="s">
        <v>418</v>
      </c>
      <c r="AA394" t="s">
        <v>25</v>
      </c>
      <c r="AC394" t="s">
        <v>22</v>
      </c>
      <c r="AD394" t="s">
        <v>418</v>
      </c>
      <c r="AE394">
        <v>2.3442796600872444E-2</v>
      </c>
      <c r="AG394" t="s">
        <v>97</v>
      </c>
      <c r="AH394" t="s">
        <v>418</v>
      </c>
      <c r="AI394">
        <v>9.5215829121749529E-2</v>
      </c>
    </row>
    <row r="395" spans="9:35" x14ac:dyDescent="0.45">
      <c r="I395" t="s">
        <v>249</v>
      </c>
      <c r="J395" t="s">
        <v>1140</v>
      </c>
      <c r="K395">
        <v>0</v>
      </c>
      <c r="L395" t="s">
        <v>251</v>
      </c>
      <c r="N395" t="s">
        <v>419</v>
      </c>
      <c r="O395" t="s">
        <v>1140</v>
      </c>
      <c r="P395">
        <v>4.440151082027794E-5</v>
      </c>
      <c r="Q395" t="s">
        <v>251</v>
      </c>
      <c r="S395" t="s">
        <v>420</v>
      </c>
      <c r="T395" t="s">
        <v>1140</v>
      </c>
      <c r="U395">
        <v>6.414674370011693E-5</v>
      </c>
      <c r="V395" t="s">
        <v>251</v>
      </c>
      <c r="X395">
        <v>1.1415525114155251E-4</v>
      </c>
      <c r="Y395">
        <v>2.1546544680075254E-5</v>
      </c>
      <c r="Z395" t="s">
        <v>1140</v>
      </c>
      <c r="AA395" t="s">
        <v>25</v>
      </c>
      <c r="AC395" t="s">
        <v>22</v>
      </c>
      <c r="AD395" t="s">
        <v>1140</v>
      </c>
      <c r="AE395">
        <v>1.1450912043751845E-4</v>
      </c>
      <c r="AG395" t="s">
        <v>97</v>
      </c>
      <c r="AH395" t="s">
        <v>1140</v>
      </c>
      <c r="AI395">
        <v>0</v>
      </c>
    </row>
    <row r="396" spans="9:35" x14ac:dyDescent="0.45">
      <c r="I396" t="s">
        <v>249</v>
      </c>
      <c r="J396" t="s">
        <v>1141</v>
      </c>
      <c r="K396">
        <v>0</v>
      </c>
      <c r="L396" t="s">
        <v>251</v>
      </c>
      <c r="N396" t="s">
        <v>419</v>
      </c>
      <c r="O396" t="s">
        <v>1141</v>
      </c>
      <c r="P396">
        <v>4.5932929403007049E-5</v>
      </c>
      <c r="Q396" t="s">
        <v>251</v>
      </c>
      <c r="S396" t="s">
        <v>420</v>
      </c>
      <c r="T396" t="s">
        <v>1141</v>
      </c>
      <c r="U396">
        <v>6.2975689973798947E-5</v>
      </c>
      <c r="V396" t="s">
        <v>251</v>
      </c>
      <c r="X396">
        <v>1.1415525114155251E-4</v>
      </c>
      <c r="Y396">
        <v>1.4916838624667481E-5</v>
      </c>
      <c r="Z396" t="s">
        <v>1141</v>
      </c>
      <c r="AA396" t="s">
        <v>25</v>
      </c>
      <c r="AC396" t="s">
        <v>22</v>
      </c>
      <c r="AD396" t="s">
        <v>1141</v>
      </c>
      <c r="AE396">
        <v>1.181854258209036E-4</v>
      </c>
      <c r="AG396" t="s">
        <v>97</v>
      </c>
      <c r="AH396" t="s">
        <v>1141</v>
      </c>
      <c r="AI396">
        <v>0</v>
      </c>
    </row>
    <row r="397" spans="9:35" x14ac:dyDescent="0.45">
      <c r="I397" t="s">
        <v>249</v>
      </c>
      <c r="J397" t="s">
        <v>1142</v>
      </c>
      <c r="K397">
        <v>0</v>
      </c>
      <c r="L397" t="s">
        <v>251</v>
      </c>
      <c r="N397" t="s">
        <v>419</v>
      </c>
      <c r="O397" t="s">
        <v>1142</v>
      </c>
      <c r="P397">
        <v>4.810998595207989E-5</v>
      </c>
      <c r="Q397" t="s">
        <v>251</v>
      </c>
      <c r="S397" t="s">
        <v>420</v>
      </c>
      <c r="T397" t="s">
        <v>1142</v>
      </c>
      <c r="U397">
        <v>6.3834776398063854E-5</v>
      </c>
      <c r="V397" t="s">
        <v>251</v>
      </c>
      <c r="X397">
        <v>1.1415525114155251E-4</v>
      </c>
      <c r="Y397">
        <v>1.6574265138519424E-5</v>
      </c>
      <c r="Z397" t="s">
        <v>1142</v>
      </c>
      <c r="AA397" t="s">
        <v>25</v>
      </c>
      <c r="AC397" t="s">
        <v>22</v>
      </c>
      <c r="AD397" t="s">
        <v>1142</v>
      </c>
      <c r="AE397">
        <v>1.1616105678976235E-4</v>
      </c>
      <c r="AG397" t="s">
        <v>97</v>
      </c>
      <c r="AH397" t="s">
        <v>1142</v>
      </c>
      <c r="AI397">
        <v>0</v>
      </c>
    </row>
    <row r="398" spans="9:35" x14ac:dyDescent="0.45">
      <c r="I398" t="s">
        <v>249</v>
      </c>
      <c r="J398" t="s">
        <v>1143</v>
      </c>
      <c r="K398">
        <v>0</v>
      </c>
      <c r="L398" t="s">
        <v>251</v>
      </c>
      <c r="N398" t="s">
        <v>419</v>
      </c>
      <c r="O398" t="s">
        <v>1143</v>
      </c>
      <c r="P398">
        <v>4.8929616747861392E-5</v>
      </c>
      <c r="Q398" t="s">
        <v>251</v>
      </c>
      <c r="S398" t="s">
        <v>420</v>
      </c>
      <c r="T398" t="s">
        <v>1143</v>
      </c>
      <c r="U398">
        <v>6.4977421721589722E-5</v>
      </c>
      <c r="V398" t="s">
        <v>251</v>
      </c>
      <c r="X398">
        <v>1.1415525114155251E-4</v>
      </c>
      <c r="Y398">
        <v>1.4585353321897093E-5</v>
      </c>
      <c r="Z398" t="s">
        <v>1143</v>
      </c>
      <c r="AA398" t="s">
        <v>25</v>
      </c>
      <c r="AC398" t="s">
        <v>22</v>
      </c>
      <c r="AD398" t="s">
        <v>1143</v>
      </c>
      <c r="AE398">
        <v>1.1392886178665759E-4</v>
      </c>
      <c r="AG398" t="s">
        <v>97</v>
      </c>
      <c r="AH398" t="s">
        <v>1143</v>
      </c>
      <c r="AI398">
        <v>0</v>
      </c>
    </row>
    <row r="399" spans="9:35" x14ac:dyDescent="0.45">
      <c r="I399" t="s">
        <v>249</v>
      </c>
      <c r="J399" t="s">
        <v>1144</v>
      </c>
      <c r="K399">
        <v>0</v>
      </c>
      <c r="L399" t="s">
        <v>251</v>
      </c>
      <c r="N399" t="s">
        <v>419</v>
      </c>
      <c r="O399" t="s">
        <v>1144</v>
      </c>
      <c r="P399">
        <v>5.1170653010310647E-5</v>
      </c>
      <c r="Q399" t="s">
        <v>251</v>
      </c>
      <c r="S399" t="s">
        <v>420</v>
      </c>
      <c r="T399" t="s">
        <v>1144</v>
      </c>
      <c r="U399">
        <v>6.4390716684174746E-5</v>
      </c>
      <c r="V399" t="s">
        <v>251</v>
      </c>
      <c r="X399">
        <v>1.1415525114155251E-4</v>
      </c>
      <c r="Y399">
        <v>2.1215059377304864E-5</v>
      </c>
      <c r="Z399" t="s">
        <v>1144</v>
      </c>
      <c r="AA399" t="s">
        <v>25</v>
      </c>
      <c r="AC399" t="s">
        <v>22</v>
      </c>
      <c r="AD399" t="s">
        <v>1144</v>
      </c>
      <c r="AE399">
        <v>1.0815402097905565E-4</v>
      </c>
      <c r="AG399" t="s">
        <v>97</v>
      </c>
      <c r="AH399" t="s">
        <v>1144</v>
      </c>
      <c r="AI399">
        <v>0</v>
      </c>
    </row>
    <row r="400" spans="9:35" x14ac:dyDescent="0.45">
      <c r="I400" t="s">
        <v>249</v>
      </c>
      <c r="J400" t="s">
        <v>1145</v>
      </c>
      <c r="K400">
        <v>0</v>
      </c>
      <c r="L400" t="s">
        <v>251</v>
      </c>
      <c r="N400" t="s">
        <v>419</v>
      </c>
      <c r="O400" t="s">
        <v>1145</v>
      </c>
      <c r="P400">
        <v>5.3697065901579378E-5</v>
      </c>
      <c r="Q400" t="s">
        <v>251</v>
      </c>
      <c r="S400" t="s">
        <v>420</v>
      </c>
      <c r="T400" t="s">
        <v>1145</v>
      </c>
      <c r="U400">
        <v>6.3257677600399111E-5</v>
      </c>
      <c r="V400" t="s">
        <v>251</v>
      </c>
      <c r="X400">
        <v>1.1415525114155251E-4</v>
      </c>
      <c r="Y400">
        <v>5.7678442682047593E-5</v>
      </c>
      <c r="Z400" t="s">
        <v>1145</v>
      </c>
      <c r="AA400" t="s">
        <v>25</v>
      </c>
      <c r="AC400" t="s">
        <v>22</v>
      </c>
      <c r="AD400" t="s">
        <v>1145</v>
      </c>
      <c r="AE400">
        <v>1.0058264603127114E-4</v>
      </c>
      <c r="AG400" t="s">
        <v>97</v>
      </c>
      <c r="AH400" t="s">
        <v>1145</v>
      </c>
      <c r="AI400">
        <v>0</v>
      </c>
    </row>
    <row r="401" spans="9:35" x14ac:dyDescent="0.45">
      <c r="I401" t="s">
        <v>249</v>
      </c>
      <c r="J401" t="s">
        <v>1146</v>
      </c>
      <c r="K401">
        <v>0</v>
      </c>
      <c r="L401" t="s">
        <v>251</v>
      </c>
      <c r="N401" t="s">
        <v>419</v>
      </c>
      <c r="O401" t="s">
        <v>1146</v>
      </c>
      <c r="P401">
        <v>5.7888138285333798E-5</v>
      </c>
      <c r="Q401" t="s">
        <v>251</v>
      </c>
      <c r="S401" t="s">
        <v>420</v>
      </c>
      <c r="T401" t="s">
        <v>1146</v>
      </c>
      <c r="U401">
        <v>6.733434351059691E-5</v>
      </c>
      <c r="V401" t="s">
        <v>251</v>
      </c>
      <c r="X401">
        <v>1.1415525114155251E-4</v>
      </c>
      <c r="Y401">
        <v>1.6905750441289813E-4</v>
      </c>
      <c r="Z401" t="s">
        <v>1146</v>
      </c>
      <c r="AA401" t="s">
        <v>25</v>
      </c>
      <c r="AC401" t="s">
        <v>22</v>
      </c>
      <c r="AD401" t="s">
        <v>1146</v>
      </c>
      <c r="AE401">
        <v>9.8206920382574138E-5</v>
      </c>
      <c r="AG401" t="s">
        <v>97</v>
      </c>
      <c r="AH401" t="s">
        <v>1146</v>
      </c>
      <c r="AI401">
        <v>0</v>
      </c>
    </row>
    <row r="402" spans="9:35" x14ac:dyDescent="0.45">
      <c r="I402" t="s">
        <v>249</v>
      </c>
      <c r="J402" t="s">
        <v>1147</v>
      </c>
      <c r="K402">
        <v>1.8228061184585392E-5</v>
      </c>
      <c r="L402" t="s">
        <v>251</v>
      </c>
      <c r="N402" t="s">
        <v>419</v>
      </c>
      <c r="O402" t="s">
        <v>1147</v>
      </c>
      <c r="P402">
        <v>6.2309568699241103E-5</v>
      </c>
      <c r="Q402" t="s">
        <v>251</v>
      </c>
      <c r="S402" t="s">
        <v>420</v>
      </c>
      <c r="T402" t="s">
        <v>1147</v>
      </c>
      <c r="U402">
        <v>6.5734836514830906E-5</v>
      </c>
      <c r="V402" t="s">
        <v>251</v>
      </c>
      <c r="X402">
        <v>1.1415525114155251E-4</v>
      </c>
      <c r="Y402">
        <v>1.9060404909297337E-4</v>
      </c>
      <c r="Z402" t="s">
        <v>1147</v>
      </c>
      <c r="AA402" t="s">
        <v>25</v>
      </c>
      <c r="AC402" t="s">
        <v>22</v>
      </c>
      <c r="AD402" t="s">
        <v>1147</v>
      </c>
      <c r="AE402">
        <v>9.4348934014712576E-5</v>
      </c>
      <c r="AG402" t="s">
        <v>97</v>
      </c>
      <c r="AH402" t="s">
        <v>1147</v>
      </c>
      <c r="AI402">
        <v>0</v>
      </c>
    </row>
    <row r="403" spans="9:35" x14ac:dyDescent="0.45">
      <c r="I403" t="s">
        <v>249</v>
      </c>
      <c r="J403" t="s">
        <v>1148</v>
      </c>
      <c r="K403">
        <v>1.3385590139730001E-4</v>
      </c>
      <c r="L403" t="s">
        <v>251</v>
      </c>
      <c r="N403" t="s">
        <v>419</v>
      </c>
      <c r="O403" t="s">
        <v>1148</v>
      </c>
      <c r="P403">
        <v>6.4491563778742295E-5</v>
      </c>
      <c r="Q403" t="s">
        <v>251</v>
      </c>
      <c r="S403" t="s">
        <v>420</v>
      </c>
      <c r="T403" t="s">
        <v>1148</v>
      </c>
      <c r="U403">
        <v>6.0504411722449742E-5</v>
      </c>
      <c r="V403" t="s">
        <v>251</v>
      </c>
      <c r="X403">
        <v>1.1415525114155251E-4</v>
      </c>
      <c r="Y403">
        <v>1.4585353321897094E-4</v>
      </c>
      <c r="Z403" t="s">
        <v>1148</v>
      </c>
      <c r="AA403" t="s">
        <v>25</v>
      </c>
      <c r="AC403" t="s">
        <v>22</v>
      </c>
      <c r="AD403" t="s">
        <v>1148</v>
      </c>
      <c r="AE403">
        <v>9.2137281501776224E-5</v>
      </c>
      <c r="AG403" t="s">
        <v>97</v>
      </c>
      <c r="AH403" t="s">
        <v>1148</v>
      </c>
      <c r="AI403">
        <v>0</v>
      </c>
    </row>
    <row r="404" spans="9:35" x14ac:dyDescent="0.45">
      <c r="I404" t="s">
        <v>249</v>
      </c>
      <c r="J404" t="s">
        <v>1149</v>
      </c>
      <c r="K404">
        <v>1.919913941453E-4</v>
      </c>
      <c r="L404" t="s">
        <v>251</v>
      </c>
      <c r="N404" t="s">
        <v>419</v>
      </c>
      <c r="O404" t="s">
        <v>1149</v>
      </c>
      <c r="P404">
        <v>5.3402513105469247E-5</v>
      </c>
      <c r="Q404" t="s">
        <v>251</v>
      </c>
      <c r="S404" t="s">
        <v>420</v>
      </c>
      <c r="T404" t="s">
        <v>1149</v>
      </c>
      <c r="U404">
        <v>5.5070709517843281E-5</v>
      </c>
      <c r="V404" t="s">
        <v>251</v>
      </c>
      <c r="X404">
        <v>1.1415525114155251E-4</v>
      </c>
      <c r="Y404">
        <v>1.4452759200788939E-4</v>
      </c>
      <c r="Z404" t="s">
        <v>1149</v>
      </c>
      <c r="AA404" t="s">
        <v>25</v>
      </c>
      <c r="AC404" t="s">
        <v>22</v>
      </c>
      <c r="AD404" t="s">
        <v>1149</v>
      </c>
      <c r="AE404">
        <v>9.1178720889112741E-5</v>
      </c>
      <c r="AG404" t="s">
        <v>97</v>
      </c>
      <c r="AH404" t="s">
        <v>1149</v>
      </c>
      <c r="AI404">
        <v>0</v>
      </c>
    </row>
    <row r="405" spans="9:35" x14ac:dyDescent="0.45">
      <c r="I405" t="s">
        <v>249</v>
      </c>
      <c r="J405" t="s">
        <v>1150</v>
      </c>
      <c r="K405">
        <v>2.156241912168E-4</v>
      </c>
      <c r="L405" t="s">
        <v>251</v>
      </c>
      <c r="N405" t="s">
        <v>419</v>
      </c>
      <c r="O405" t="s">
        <v>1150</v>
      </c>
      <c r="P405">
        <v>4.2269462301874799E-5</v>
      </c>
      <c r="Q405" t="s">
        <v>251</v>
      </c>
      <c r="S405" t="s">
        <v>420</v>
      </c>
      <c r="T405" t="s">
        <v>1150</v>
      </c>
      <c r="U405">
        <v>4.9159717653977133E-5</v>
      </c>
      <c r="V405" t="s">
        <v>251</v>
      </c>
      <c r="X405">
        <v>1.1415525114155251E-4</v>
      </c>
      <c r="Y405">
        <v>1.408812536774151E-4</v>
      </c>
      <c r="Z405" t="s">
        <v>1150</v>
      </c>
      <c r="AA405" t="s">
        <v>25</v>
      </c>
      <c r="AC405" t="s">
        <v>22</v>
      </c>
      <c r="AD405" t="s">
        <v>1150</v>
      </c>
      <c r="AE405">
        <v>9.3396242684954338E-5</v>
      </c>
      <c r="AG405" t="s">
        <v>97</v>
      </c>
      <c r="AH405" t="s">
        <v>1150</v>
      </c>
      <c r="AI405">
        <v>0</v>
      </c>
    </row>
    <row r="406" spans="9:35" x14ac:dyDescent="0.45">
      <c r="I406" t="s">
        <v>249</v>
      </c>
      <c r="J406" t="s">
        <v>1151</v>
      </c>
      <c r="K406">
        <v>2.116225513238E-4</v>
      </c>
      <c r="L406" t="s">
        <v>251</v>
      </c>
      <c r="N406" t="s">
        <v>419</v>
      </c>
      <c r="O406" t="s">
        <v>1151</v>
      </c>
      <c r="P406">
        <v>3.9536720667958471E-5</v>
      </c>
      <c r="Q406" t="s">
        <v>251</v>
      </c>
      <c r="S406" t="s">
        <v>420</v>
      </c>
      <c r="T406" t="s">
        <v>1151</v>
      </c>
      <c r="U406">
        <v>4.1835068479244975E-5</v>
      </c>
      <c r="V406" t="s">
        <v>251</v>
      </c>
      <c r="X406">
        <v>1.1415525114155251E-4</v>
      </c>
      <c r="Y406">
        <v>1.4054976837464471E-4</v>
      </c>
      <c r="Z406" t="s">
        <v>1151</v>
      </c>
      <c r="AA406" t="s">
        <v>25</v>
      </c>
      <c r="AC406" t="s">
        <v>22</v>
      </c>
      <c r="AD406" t="s">
        <v>1151</v>
      </c>
      <c r="AE406">
        <v>9.7060275931355763E-5</v>
      </c>
      <c r="AG406" t="s">
        <v>97</v>
      </c>
      <c r="AH406" t="s">
        <v>1151</v>
      </c>
      <c r="AI406">
        <v>0</v>
      </c>
    </row>
    <row r="407" spans="9:35" x14ac:dyDescent="0.45">
      <c r="I407" t="s">
        <v>249</v>
      </c>
      <c r="J407" t="s">
        <v>1152</v>
      </c>
      <c r="K407">
        <v>1.8719461788160001E-4</v>
      </c>
      <c r="L407" t="s">
        <v>251</v>
      </c>
      <c r="N407" t="s">
        <v>419</v>
      </c>
      <c r="O407" t="s">
        <v>1152</v>
      </c>
      <c r="P407">
        <v>4.05185347920302E-5</v>
      </c>
      <c r="Q407" t="s">
        <v>251</v>
      </c>
      <c r="S407" t="s">
        <v>420</v>
      </c>
      <c r="T407" t="s">
        <v>1152</v>
      </c>
      <c r="U407">
        <v>3.1407919561431042E-5</v>
      </c>
      <c r="V407" t="s">
        <v>251</v>
      </c>
      <c r="X407">
        <v>1.1415525114155251E-4</v>
      </c>
      <c r="Y407">
        <v>1.4253868019126702E-4</v>
      </c>
      <c r="Z407" t="s">
        <v>1152</v>
      </c>
      <c r="AA407" t="s">
        <v>25</v>
      </c>
      <c r="AC407" t="s">
        <v>22</v>
      </c>
      <c r="AD407" t="s">
        <v>1152</v>
      </c>
      <c r="AE407">
        <v>9.9221772754010796E-5</v>
      </c>
      <c r="AG407" t="s">
        <v>97</v>
      </c>
      <c r="AH407" t="s">
        <v>1152</v>
      </c>
      <c r="AI407">
        <v>0</v>
      </c>
    </row>
    <row r="408" spans="9:35" x14ac:dyDescent="0.45">
      <c r="I408" t="s">
        <v>249</v>
      </c>
      <c r="J408" t="s">
        <v>1153</v>
      </c>
      <c r="K408">
        <v>2.0800884219970001E-4</v>
      </c>
      <c r="L408" t="s">
        <v>251</v>
      </c>
      <c r="N408" t="s">
        <v>419</v>
      </c>
      <c r="O408" t="s">
        <v>1153</v>
      </c>
      <c r="P408">
        <v>4.0595833231661911E-5</v>
      </c>
      <c r="Q408" t="s">
        <v>251</v>
      </c>
      <c r="S408" t="s">
        <v>420</v>
      </c>
      <c r="T408" t="s">
        <v>1153</v>
      </c>
      <c r="U408">
        <v>2.6854280734694921E-5</v>
      </c>
      <c r="V408" t="s">
        <v>251</v>
      </c>
      <c r="X408">
        <v>1.1415525114155251E-4</v>
      </c>
      <c r="Y408">
        <v>1.4883690094390442E-4</v>
      </c>
      <c r="Z408" t="s">
        <v>1153</v>
      </c>
      <c r="AA408" t="s">
        <v>25</v>
      </c>
      <c r="AC408" t="s">
        <v>22</v>
      </c>
      <c r="AD408" t="s">
        <v>1153</v>
      </c>
      <c r="AE408">
        <v>1.0232315519826714E-4</v>
      </c>
      <c r="AG408" t="s">
        <v>97</v>
      </c>
      <c r="AH408" t="s">
        <v>1153</v>
      </c>
      <c r="AI408">
        <v>0</v>
      </c>
    </row>
    <row r="409" spans="9:35" x14ac:dyDescent="0.45">
      <c r="I409" t="s">
        <v>249</v>
      </c>
      <c r="J409" t="s">
        <v>1154</v>
      </c>
      <c r="K409">
        <v>2.211815923079E-4</v>
      </c>
      <c r="L409" t="s">
        <v>251</v>
      </c>
      <c r="N409" t="s">
        <v>419</v>
      </c>
      <c r="O409" t="s">
        <v>1154</v>
      </c>
      <c r="P409">
        <v>3.9815558307022939E-5</v>
      </c>
      <c r="Q409" t="s">
        <v>251</v>
      </c>
      <c r="S409" t="s">
        <v>420</v>
      </c>
      <c r="T409" t="s">
        <v>1154</v>
      </c>
      <c r="U409">
        <v>2.626209750279359E-5</v>
      </c>
      <c r="V409" t="s">
        <v>251</v>
      </c>
      <c r="X409">
        <v>1.1415525114155251E-4</v>
      </c>
      <c r="Y409">
        <v>1.5049432745775637E-4</v>
      </c>
      <c r="Z409" t="s">
        <v>1154</v>
      </c>
      <c r="AA409" t="s">
        <v>25</v>
      </c>
      <c r="AC409" t="s">
        <v>22</v>
      </c>
      <c r="AD409" t="s">
        <v>1154</v>
      </c>
      <c r="AE409">
        <v>1.0422613678750416E-4</v>
      </c>
      <c r="AG409" t="s">
        <v>97</v>
      </c>
      <c r="AH409" t="s">
        <v>1154</v>
      </c>
      <c r="AI409">
        <v>0</v>
      </c>
    </row>
    <row r="410" spans="9:35" x14ac:dyDescent="0.45">
      <c r="I410" t="s">
        <v>249</v>
      </c>
      <c r="J410" t="s">
        <v>1155</v>
      </c>
      <c r="K410">
        <v>1.9979229218569999E-4</v>
      </c>
      <c r="L410" t="s">
        <v>251</v>
      </c>
      <c r="N410" t="s">
        <v>419</v>
      </c>
      <c r="O410" t="s">
        <v>1155</v>
      </c>
      <c r="P410">
        <v>3.9388636981781303E-5</v>
      </c>
      <c r="Q410" t="s">
        <v>251</v>
      </c>
      <c r="S410" t="s">
        <v>420</v>
      </c>
      <c r="T410" t="s">
        <v>1155</v>
      </c>
      <c r="U410">
        <v>2.7285592374456369E-5</v>
      </c>
      <c r="V410" t="s">
        <v>251</v>
      </c>
      <c r="X410">
        <v>1.1415525114155251E-4</v>
      </c>
      <c r="Y410">
        <v>1.7237235744060203E-4</v>
      </c>
      <c r="Z410" t="s">
        <v>1155</v>
      </c>
      <c r="AA410" t="s">
        <v>25</v>
      </c>
      <c r="AC410" t="s">
        <v>22</v>
      </c>
      <c r="AD410" t="s">
        <v>1155</v>
      </c>
      <c r="AE410">
        <v>1.0819030381883361E-4</v>
      </c>
      <c r="AG410" t="s">
        <v>97</v>
      </c>
      <c r="AH410" t="s">
        <v>1155</v>
      </c>
      <c r="AI410">
        <v>0</v>
      </c>
    </row>
    <row r="411" spans="9:35" x14ac:dyDescent="0.45">
      <c r="I411" t="s">
        <v>249</v>
      </c>
      <c r="J411" t="s">
        <v>1156</v>
      </c>
      <c r="K411">
        <v>1.3495710166869999E-4</v>
      </c>
      <c r="L411" t="s">
        <v>251</v>
      </c>
      <c r="N411" t="s">
        <v>419</v>
      </c>
      <c r="O411" t="s">
        <v>1156</v>
      </c>
      <c r="P411">
        <v>4.7810139643122632E-5</v>
      </c>
      <c r="Q411" t="s">
        <v>251</v>
      </c>
      <c r="S411" t="s">
        <v>420</v>
      </c>
      <c r="T411" t="s">
        <v>1156</v>
      </c>
      <c r="U411">
        <v>2.6762173131184071E-5</v>
      </c>
      <c r="V411" t="s">
        <v>251</v>
      </c>
      <c r="X411">
        <v>1.1415525114155251E-4</v>
      </c>
      <c r="Y411">
        <v>2.2209515285616027E-4</v>
      </c>
      <c r="Z411" t="s">
        <v>1156</v>
      </c>
      <c r="AA411" t="s">
        <v>25</v>
      </c>
      <c r="AC411" t="s">
        <v>22</v>
      </c>
      <c r="AD411" t="s">
        <v>1156</v>
      </c>
      <c r="AE411">
        <v>1.1523984615922324E-4</v>
      </c>
      <c r="AG411" t="s">
        <v>97</v>
      </c>
      <c r="AH411" t="s">
        <v>1156</v>
      </c>
      <c r="AI411">
        <v>0</v>
      </c>
    </row>
    <row r="412" spans="9:35" x14ac:dyDescent="0.45">
      <c r="I412" t="s">
        <v>249</v>
      </c>
      <c r="J412" t="s">
        <v>1157</v>
      </c>
      <c r="K412">
        <v>3.0686280919643854E-5</v>
      </c>
      <c r="L412" t="s">
        <v>251</v>
      </c>
      <c r="N412" t="s">
        <v>419</v>
      </c>
      <c r="O412" t="s">
        <v>1157</v>
      </c>
      <c r="P412">
        <v>5.7323511277044918E-5</v>
      </c>
      <c r="Q412" t="s">
        <v>251</v>
      </c>
      <c r="S412" t="s">
        <v>420</v>
      </c>
      <c r="T412" t="s">
        <v>1157</v>
      </c>
      <c r="U412">
        <v>2.5859621326877512E-5</v>
      </c>
      <c r="V412" t="s">
        <v>251</v>
      </c>
      <c r="X412">
        <v>1.1415525114155251E-4</v>
      </c>
      <c r="Y412">
        <v>2.2209515285616027E-4</v>
      </c>
      <c r="Z412" t="s">
        <v>1157</v>
      </c>
      <c r="AA412" t="s">
        <v>25</v>
      </c>
      <c r="AC412" t="s">
        <v>22</v>
      </c>
      <c r="AD412" t="s">
        <v>1157</v>
      </c>
      <c r="AE412">
        <v>1.1321387641456236E-4</v>
      </c>
      <c r="AG412" t="s">
        <v>97</v>
      </c>
      <c r="AH412" t="s">
        <v>1157</v>
      </c>
      <c r="AI412">
        <v>0</v>
      </c>
    </row>
    <row r="413" spans="9:35" x14ac:dyDescent="0.45">
      <c r="I413" t="s">
        <v>249</v>
      </c>
      <c r="J413" t="s">
        <v>1158</v>
      </c>
      <c r="K413">
        <v>0</v>
      </c>
      <c r="L413" t="s">
        <v>251</v>
      </c>
      <c r="N413" t="s">
        <v>419</v>
      </c>
      <c r="O413" t="s">
        <v>1158</v>
      </c>
      <c r="P413">
        <v>6.7942244274119969E-5</v>
      </c>
      <c r="Q413" t="s">
        <v>251</v>
      </c>
      <c r="S413" t="s">
        <v>420</v>
      </c>
      <c r="T413" t="s">
        <v>1158</v>
      </c>
      <c r="U413">
        <v>2.9384630786003907E-5</v>
      </c>
      <c r="V413" t="s">
        <v>251</v>
      </c>
      <c r="X413">
        <v>1.1415525114155251E-4</v>
      </c>
      <c r="Y413">
        <v>1.7237235744060203E-4</v>
      </c>
      <c r="Z413" t="s">
        <v>1158</v>
      </c>
      <c r="AA413" t="s">
        <v>25</v>
      </c>
      <c r="AC413" t="s">
        <v>22</v>
      </c>
      <c r="AD413" t="s">
        <v>1158</v>
      </c>
      <c r="AE413">
        <v>1.1337821633590962E-4</v>
      </c>
      <c r="AG413" t="s">
        <v>97</v>
      </c>
      <c r="AH413" t="s">
        <v>1158</v>
      </c>
      <c r="AI413">
        <v>0</v>
      </c>
    </row>
    <row r="414" spans="9:35" x14ac:dyDescent="0.45">
      <c r="I414" t="s">
        <v>249</v>
      </c>
      <c r="J414" t="s">
        <v>1159</v>
      </c>
      <c r="K414">
        <v>0</v>
      </c>
      <c r="L414" t="s">
        <v>251</v>
      </c>
      <c r="N414" t="s">
        <v>419</v>
      </c>
      <c r="O414" t="s">
        <v>1159</v>
      </c>
      <c r="P414">
        <v>8.2360873021165089E-5</v>
      </c>
      <c r="Q414" t="s">
        <v>251</v>
      </c>
      <c r="S414" t="s">
        <v>420</v>
      </c>
      <c r="T414" t="s">
        <v>1159</v>
      </c>
      <c r="U414">
        <v>3.1690693344279075E-5</v>
      </c>
      <c r="V414" t="s">
        <v>251</v>
      </c>
      <c r="X414">
        <v>1.1415525114155251E-4</v>
      </c>
      <c r="Y414">
        <v>1.5579809230208258E-4</v>
      </c>
      <c r="Z414" t="s">
        <v>1159</v>
      </c>
      <c r="AA414" t="s">
        <v>25</v>
      </c>
      <c r="AC414" t="s">
        <v>22</v>
      </c>
      <c r="AD414" t="s">
        <v>1159</v>
      </c>
      <c r="AE414">
        <v>1.1363619799815443E-4</v>
      </c>
      <c r="AG414" t="s">
        <v>97</v>
      </c>
      <c r="AH414" t="s">
        <v>1159</v>
      </c>
      <c r="AI414">
        <v>0</v>
      </c>
    </row>
    <row r="415" spans="9:35" x14ac:dyDescent="0.45">
      <c r="I415" t="s">
        <v>249</v>
      </c>
      <c r="J415" t="s">
        <v>1160</v>
      </c>
      <c r="K415">
        <v>0</v>
      </c>
      <c r="L415" t="s">
        <v>251</v>
      </c>
      <c r="N415" t="s">
        <v>419</v>
      </c>
      <c r="O415" t="s">
        <v>1160</v>
      </c>
      <c r="P415">
        <v>9.6628744384218406E-5</v>
      </c>
      <c r="Q415" t="s">
        <v>251</v>
      </c>
      <c r="S415" t="s">
        <v>420</v>
      </c>
      <c r="T415" t="s">
        <v>1160</v>
      </c>
      <c r="U415">
        <v>3.4362084954253797E-5</v>
      </c>
      <c r="V415" t="s">
        <v>251</v>
      </c>
      <c r="X415">
        <v>1.1415525114155251E-4</v>
      </c>
      <c r="Y415">
        <v>1.093901499142282E-4</v>
      </c>
      <c r="Z415" t="s">
        <v>1160</v>
      </c>
      <c r="AA415" t="s">
        <v>25</v>
      </c>
      <c r="AC415" t="s">
        <v>22</v>
      </c>
      <c r="AD415" t="s">
        <v>1160</v>
      </c>
      <c r="AE415">
        <v>1.1306154184461221E-4</v>
      </c>
      <c r="AG415" t="s">
        <v>97</v>
      </c>
      <c r="AH415" t="s">
        <v>1160</v>
      </c>
      <c r="AI415">
        <v>0</v>
      </c>
    </row>
    <row r="416" spans="9:35" x14ac:dyDescent="0.45">
      <c r="I416" t="s">
        <v>249</v>
      </c>
      <c r="J416" t="s">
        <v>1161</v>
      </c>
      <c r="K416">
        <v>0</v>
      </c>
      <c r="L416" t="s">
        <v>251</v>
      </c>
      <c r="N416" t="s">
        <v>419</v>
      </c>
      <c r="O416" t="s">
        <v>1161</v>
      </c>
      <c r="P416">
        <v>1.0586628515480001E-4</v>
      </c>
      <c r="Q416" t="s">
        <v>251</v>
      </c>
      <c r="S416" t="s">
        <v>420</v>
      </c>
      <c r="T416" t="s">
        <v>1161</v>
      </c>
      <c r="U416">
        <v>3.7222172001545768E-5</v>
      </c>
      <c r="V416" t="s">
        <v>251</v>
      </c>
      <c r="X416">
        <v>1.1415525114155251E-4</v>
      </c>
      <c r="Y416">
        <v>7.9556472664893237E-5</v>
      </c>
      <c r="Z416" t="s">
        <v>1161</v>
      </c>
      <c r="AA416" t="s">
        <v>25</v>
      </c>
      <c r="AC416" t="s">
        <v>22</v>
      </c>
      <c r="AD416" t="s">
        <v>1161</v>
      </c>
      <c r="AE416">
        <v>1.1356363231859848E-4</v>
      </c>
      <c r="AG416" t="s">
        <v>97</v>
      </c>
      <c r="AH416" t="s">
        <v>1161</v>
      </c>
      <c r="AI416">
        <v>0</v>
      </c>
    </row>
    <row r="417" spans="9:35" x14ac:dyDescent="0.45">
      <c r="I417" t="s">
        <v>249</v>
      </c>
      <c r="J417" t="s">
        <v>1162</v>
      </c>
      <c r="K417">
        <v>0</v>
      </c>
      <c r="L417" t="s">
        <v>251</v>
      </c>
      <c r="N417" t="s">
        <v>419</v>
      </c>
      <c r="O417" t="s">
        <v>1162</v>
      </c>
      <c r="P417">
        <v>1.138639734036E-4</v>
      </c>
      <c r="Q417" t="s">
        <v>251</v>
      </c>
      <c r="S417" t="s">
        <v>420</v>
      </c>
      <c r="T417" t="s">
        <v>1162</v>
      </c>
      <c r="U417">
        <v>3.9917356521736881E-5</v>
      </c>
      <c r="V417" t="s">
        <v>251</v>
      </c>
      <c r="X417">
        <v>1.1415525114155251E-4</v>
      </c>
      <c r="Y417">
        <v>5.6352501470966035E-5</v>
      </c>
      <c r="Z417" t="s">
        <v>1162</v>
      </c>
      <c r="AA417" t="s">
        <v>25</v>
      </c>
      <c r="AC417" t="s">
        <v>22</v>
      </c>
      <c r="AD417" t="s">
        <v>1162</v>
      </c>
      <c r="AE417">
        <v>1.1822224223185477E-4</v>
      </c>
      <c r="AG417" t="s">
        <v>97</v>
      </c>
      <c r="AH417" t="s">
        <v>1162</v>
      </c>
      <c r="AI417">
        <v>0</v>
      </c>
    </row>
    <row r="418" spans="9:35" x14ac:dyDescent="0.45">
      <c r="I418" t="s">
        <v>249</v>
      </c>
      <c r="J418" t="s">
        <v>1163</v>
      </c>
      <c r="K418">
        <v>0</v>
      </c>
      <c r="L418" t="s">
        <v>251</v>
      </c>
      <c r="N418" t="s">
        <v>419</v>
      </c>
      <c r="O418" t="s">
        <v>1163</v>
      </c>
      <c r="P418">
        <v>1.18970210899E-4</v>
      </c>
      <c r="Q418" t="s">
        <v>251</v>
      </c>
      <c r="S418" t="s">
        <v>420</v>
      </c>
      <c r="T418" t="s">
        <v>1163</v>
      </c>
      <c r="U418">
        <v>4.2652099215507525E-5</v>
      </c>
      <c r="V418" t="s">
        <v>251</v>
      </c>
      <c r="X418">
        <v>1.1415525114155251E-4</v>
      </c>
      <c r="Y418">
        <v>2.9833677249334962E-5</v>
      </c>
      <c r="Z418" t="s">
        <v>1163</v>
      </c>
      <c r="AA418" t="s">
        <v>25</v>
      </c>
      <c r="AC418" t="s">
        <v>22</v>
      </c>
      <c r="AD418" t="s">
        <v>1163</v>
      </c>
      <c r="AE418">
        <v>1.2432229466952539E-4</v>
      </c>
      <c r="AG418" t="s">
        <v>97</v>
      </c>
      <c r="AH418" t="s">
        <v>1163</v>
      </c>
      <c r="AI418">
        <v>0</v>
      </c>
    </row>
    <row r="419" spans="9:35" x14ac:dyDescent="0.45">
      <c r="I419" t="s">
        <v>249</v>
      </c>
      <c r="J419" t="s">
        <v>1164</v>
      </c>
      <c r="K419">
        <v>0</v>
      </c>
      <c r="L419" t="s">
        <v>251</v>
      </c>
      <c r="N419" t="s">
        <v>419</v>
      </c>
      <c r="O419" t="s">
        <v>1164</v>
      </c>
      <c r="P419">
        <v>6.9289459898984394E-5</v>
      </c>
      <c r="Q419" t="s">
        <v>251</v>
      </c>
      <c r="S419" t="s">
        <v>420</v>
      </c>
      <c r="T419" t="s">
        <v>1164</v>
      </c>
      <c r="U419">
        <v>2.0857588466250001E-4</v>
      </c>
      <c r="V419" t="s">
        <v>251</v>
      </c>
      <c r="X419">
        <v>1.1415525114155251E-4</v>
      </c>
      <c r="Y419">
        <v>2.1546544680075254E-5</v>
      </c>
      <c r="Z419" t="s">
        <v>1164</v>
      </c>
      <c r="AA419" t="s">
        <v>25</v>
      </c>
      <c r="AC419" t="s">
        <v>22</v>
      </c>
      <c r="AD419" t="s">
        <v>1164</v>
      </c>
      <c r="AE419">
        <v>1.5399552153941019E-4</v>
      </c>
      <c r="AG419" t="s">
        <v>97</v>
      </c>
      <c r="AH419" t="s">
        <v>1164</v>
      </c>
      <c r="AI419">
        <v>0</v>
      </c>
    </row>
    <row r="420" spans="9:35" x14ac:dyDescent="0.45">
      <c r="I420" t="s">
        <v>249</v>
      </c>
      <c r="J420" t="s">
        <v>1165</v>
      </c>
      <c r="K420">
        <v>0</v>
      </c>
      <c r="L420" t="s">
        <v>251</v>
      </c>
      <c r="N420" t="s">
        <v>419</v>
      </c>
      <c r="O420" t="s">
        <v>1165</v>
      </c>
      <c r="P420">
        <v>6.7473713217132498E-5</v>
      </c>
      <c r="Q420" t="s">
        <v>251</v>
      </c>
      <c r="S420" t="s">
        <v>420</v>
      </c>
      <c r="T420" t="s">
        <v>1165</v>
      </c>
      <c r="U420">
        <v>2.0414045768190001E-4</v>
      </c>
      <c r="V420" t="s">
        <v>251</v>
      </c>
      <c r="X420">
        <v>1.1415525114155251E-4</v>
      </c>
      <c r="Y420">
        <v>1.4916838624667481E-5</v>
      </c>
      <c r="Z420" t="s">
        <v>1165</v>
      </c>
      <c r="AA420" t="s">
        <v>25</v>
      </c>
      <c r="AC420" t="s">
        <v>22</v>
      </c>
      <c r="AD420" t="s">
        <v>1165</v>
      </c>
      <c r="AE420">
        <v>1.5221205989297116E-4</v>
      </c>
      <c r="AG420" t="s">
        <v>97</v>
      </c>
      <c r="AH420" t="s">
        <v>1165</v>
      </c>
      <c r="AI420">
        <v>0</v>
      </c>
    </row>
    <row r="421" spans="9:35" x14ac:dyDescent="0.45">
      <c r="I421" t="s">
        <v>249</v>
      </c>
      <c r="J421" t="s">
        <v>1166</v>
      </c>
      <c r="K421">
        <v>0</v>
      </c>
      <c r="L421" t="s">
        <v>251</v>
      </c>
      <c r="N421" t="s">
        <v>419</v>
      </c>
      <c r="O421" t="s">
        <v>1166</v>
      </c>
      <c r="P421">
        <v>6.4896497596276693E-5</v>
      </c>
      <c r="Q421" t="s">
        <v>251</v>
      </c>
      <c r="S421" t="s">
        <v>420</v>
      </c>
      <c r="T421" t="s">
        <v>1166</v>
      </c>
      <c r="U421">
        <v>2.0429683462200001E-4</v>
      </c>
      <c r="V421" t="s">
        <v>251</v>
      </c>
      <c r="X421">
        <v>1.1415525114155251E-4</v>
      </c>
      <c r="Y421">
        <v>1.6574265138519424E-5</v>
      </c>
      <c r="Z421" t="s">
        <v>1166</v>
      </c>
      <c r="AA421" t="s">
        <v>25</v>
      </c>
      <c r="AC421" t="s">
        <v>22</v>
      </c>
      <c r="AD421" t="s">
        <v>1166</v>
      </c>
      <c r="AE421">
        <v>1.4530124605761493E-4</v>
      </c>
      <c r="AG421" t="s">
        <v>97</v>
      </c>
      <c r="AH421" t="s">
        <v>1166</v>
      </c>
      <c r="AI421">
        <v>0</v>
      </c>
    </row>
    <row r="422" spans="9:35" x14ac:dyDescent="0.45">
      <c r="I422" t="s">
        <v>249</v>
      </c>
      <c r="J422" t="s">
        <v>1167</v>
      </c>
      <c r="K422">
        <v>0</v>
      </c>
      <c r="L422" t="s">
        <v>251</v>
      </c>
      <c r="N422" t="s">
        <v>419</v>
      </c>
      <c r="O422" t="s">
        <v>1167</v>
      </c>
      <c r="P422">
        <v>6.5183225539330921E-5</v>
      </c>
      <c r="Q422" t="s">
        <v>251</v>
      </c>
      <c r="S422" t="s">
        <v>420</v>
      </c>
      <c r="T422" t="s">
        <v>1167</v>
      </c>
      <c r="U422">
        <v>2.0742968083969999E-4</v>
      </c>
      <c r="V422" t="s">
        <v>251</v>
      </c>
      <c r="X422">
        <v>1.1415525114155251E-4</v>
      </c>
      <c r="Y422">
        <v>1.4585353321897093E-5</v>
      </c>
      <c r="Z422" t="s">
        <v>1167</v>
      </c>
      <c r="AA422" t="s">
        <v>25</v>
      </c>
      <c r="AC422" t="s">
        <v>22</v>
      </c>
      <c r="AD422" t="s">
        <v>1167</v>
      </c>
      <c r="AE422">
        <v>1.3795423778816332E-4</v>
      </c>
      <c r="AG422" t="s">
        <v>97</v>
      </c>
      <c r="AH422" t="s">
        <v>1167</v>
      </c>
      <c r="AI422">
        <v>0</v>
      </c>
    </row>
    <row r="423" spans="9:35" x14ac:dyDescent="0.45">
      <c r="I423" t="s">
        <v>249</v>
      </c>
      <c r="J423" t="s">
        <v>1168</v>
      </c>
      <c r="K423">
        <v>0</v>
      </c>
      <c r="L423" t="s">
        <v>251</v>
      </c>
      <c r="N423" t="s">
        <v>419</v>
      </c>
      <c r="O423" t="s">
        <v>1168</v>
      </c>
      <c r="P423">
        <v>5.9109460750522553E-5</v>
      </c>
      <c r="Q423" t="s">
        <v>251</v>
      </c>
      <c r="S423" t="s">
        <v>420</v>
      </c>
      <c r="T423" t="s">
        <v>1168</v>
      </c>
      <c r="U423">
        <v>2.191420577289E-4</v>
      </c>
      <c r="V423" t="s">
        <v>251</v>
      </c>
      <c r="X423">
        <v>1.1415525114155251E-4</v>
      </c>
      <c r="Y423">
        <v>2.1215059377304864E-5</v>
      </c>
      <c r="Z423" t="s">
        <v>1168</v>
      </c>
      <c r="AA423" t="s">
        <v>25</v>
      </c>
      <c r="AC423" t="s">
        <v>22</v>
      </c>
      <c r="AD423" t="s">
        <v>1168</v>
      </c>
      <c r="AE423">
        <v>1.2661051464581669E-4</v>
      </c>
      <c r="AG423" t="s">
        <v>97</v>
      </c>
      <c r="AH423" t="s">
        <v>1168</v>
      </c>
      <c r="AI423">
        <v>0</v>
      </c>
    </row>
    <row r="424" spans="9:35" x14ac:dyDescent="0.45">
      <c r="I424" t="s">
        <v>249</v>
      </c>
      <c r="J424" t="s">
        <v>1169</v>
      </c>
      <c r="K424">
        <v>0</v>
      </c>
      <c r="L424" t="s">
        <v>251</v>
      </c>
      <c r="N424" t="s">
        <v>419</v>
      </c>
      <c r="O424" t="s">
        <v>1169</v>
      </c>
      <c r="P424">
        <v>5.4346735533807822E-5</v>
      </c>
      <c r="Q424" t="s">
        <v>251</v>
      </c>
      <c r="S424" t="s">
        <v>420</v>
      </c>
      <c r="T424" t="s">
        <v>1169</v>
      </c>
      <c r="U424">
        <v>2.2322293704759999E-4</v>
      </c>
      <c r="V424" t="s">
        <v>251</v>
      </c>
      <c r="X424">
        <v>1.1415525114155251E-4</v>
      </c>
      <c r="Y424">
        <v>5.7678442682047593E-5</v>
      </c>
      <c r="Z424" t="s">
        <v>1169</v>
      </c>
      <c r="AA424" t="s">
        <v>25</v>
      </c>
      <c r="AC424" t="s">
        <v>22</v>
      </c>
      <c r="AD424" t="s">
        <v>1169</v>
      </c>
      <c r="AE424">
        <v>1.1863682703343534E-4</v>
      </c>
      <c r="AG424" t="s">
        <v>97</v>
      </c>
      <c r="AH424" t="s">
        <v>1169</v>
      </c>
      <c r="AI424">
        <v>0</v>
      </c>
    </row>
    <row r="425" spans="9:35" x14ac:dyDescent="0.45">
      <c r="I425" t="s">
        <v>249</v>
      </c>
      <c r="J425" t="s">
        <v>1170</v>
      </c>
      <c r="K425">
        <v>0</v>
      </c>
      <c r="L425" t="s">
        <v>251</v>
      </c>
      <c r="N425" t="s">
        <v>419</v>
      </c>
      <c r="O425" t="s">
        <v>1170</v>
      </c>
      <c r="P425">
        <v>5.0752199145702165E-5</v>
      </c>
      <c r="Q425" t="s">
        <v>251</v>
      </c>
      <c r="S425" t="s">
        <v>420</v>
      </c>
      <c r="T425" t="s">
        <v>1170</v>
      </c>
      <c r="U425">
        <v>2.178358579682E-4</v>
      </c>
      <c r="V425" t="s">
        <v>251</v>
      </c>
      <c r="X425">
        <v>1.1415525114155251E-4</v>
      </c>
      <c r="Y425">
        <v>1.6905750441289813E-4</v>
      </c>
      <c r="Z425" t="s">
        <v>1170</v>
      </c>
      <c r="AA425" t="s">
        <v>25</v>
      </c>
      <c r="AC425" t="s">
        <v>22</v>
      </c>
      <c r="AD425" t="s">
        <v>1170</v>
      </c>
      <c r="AE425">
        <v>1.0217722348239545E-4</v>
      </c>
      <c r="AG425" t="s">
        <v>97</v>
      </c>
      <c r="AH425" t="s">
        <v>1170</v>
      </c>
      <c r="AI425">
        <v>0</v>
      </c>
    </row>
    <row r="426" spans="9:35" x14ac:dyDescent="0.45">
      <c r="I426" t="s">
        <v>249</v>
      </c>
      <c r="J426" t="s">
        <v>1171</v>
      </c>
      <c r="K426">
        <v>2.8618487498600738E-5</v>
      </c>
      <c r="L426" t="s">
        <v>251</v>
      </c>
      <c r="N426" t="s">
        <v>419</v>
      </c>
      <c r="O426" t="s">
        <v>1171</v>
      </c>
      <c r="P426">
        <v>4.8776456944206907E-5</v>
      </c>
      <c r="Q426" t="s">
        <v>251</v>
      </c>
      <c r="S426" t="s">
        <v>420</v>
      </c>
      <c r="T426" t="s">
        <v>1171</v>
      </c>
      <c r="U426">
        <v>2.0916917775569999E-4</v>
      </c>
      <c r="V426" t="s">
        <v>251</v>
      </c>
      <c r="X426">
        <v>1.1415525114155251E-4</v>
      </c>
      <c r="Y426">
        <v>1.9060404909297337E-4</v>
      </c>
      <c r="Z426" t="s">
        <v>1171</v>
      </c>
      <c r="AA426" t="s">
        <v>25</v>
      </c>
      <c r="AC426" t="s">
        <v>22</v>
      </c>
      <c r="AD426" t="s">
        <v>1171</v>
      </c>
      <c r="AE426">
        <v>9.8198916814976067E-5</v>
      </c>
      <c r="AG426" t="s">
        <v>97</v>
      </c>
      <c r="AH426" t="s">
        <v>1171</v>
      </c>
      <c r="AI426">
        <v>0</v>
      </c>
    </row>
    <row r="427" spans="9:35" x14ac:dyDescent="0.45">
      <c r="I427" t="s">
        <v>249</v>
      </c>
      <c r="J427" t="s">
        <v>1172</v>
      </c>
      <c r="K427">
        <v>1.1695022695989999E-4</v>
      </c>
      <c r="L427" t="s">
        <v>251</v>
      </c>
      <c r="N427" t="s">
        <v>419</v>
      </c>
      <c r="O427" t="s">
        <v>1172</v>
      </c>
      <c r="P427">
        <v>4.6427843844113896E-5</v>
      </c>
      <c r="Q427" t="s">
        <v>251</v>
      </c>
      <c r="S427" t="s">
        <v>420</v>
      </c>
      <c r="T427" t="s">
        <v>1172</v>
      </c>
      <c r="U427">
        <v>2.0124011229459999E-4</v>
      </c>
      <c r="V427" t="s">
        <v>251</v>
      </c>
      <c r="X427">
        <v>1.1415525114155251E-4</v>
      </c>
      <c r="Y427">
        <v>1.4585353321897094E-4</v>
      </c>
      <c r="Z427" t="s">
        <v>1172</v>
      </c>
      <c r="AA427" t="s">
        <v>25</v>
      </c>
      <c r="AC427" t="s">
        <v>22</v>
      </c>
      <c r="AD427" t="s">
        <v>1172</v>
      </c>
      <c r="AE427">
        <v>9.7597315317186973E-5</v>
      </c>
      <c r="AG427" t="s">
        <v>97</v>
      </c>
      <c r="AH427" t="s">
        <v>1172</v>
      </c>
      <c r="AI427">
        <v>0</v>
      </c>
    </row>
    <row r="428" spans="9:35" x14ac:dyDescent="0.45">
      <c r="I428" t="s">
        <v>249</v>
      </c>
      <c r="J428" t="s">
        <v>1173</v>
      </c>
      <c r="K428">
        <v>1.629851311331E-4</v>
      </c>
      <c r="L428" t="s">
        <v>251</v>
      </c>
      <c r="N428" t="s">
        <v>419</v>
      </c>
      <c r="O428" t="s">
        <v>1173</v>
      </c>
      <c r="P428">
        <v>4.360547170187387E-5</v>
      </c>
      <c r="Q428" t="s">
        <v>251</v>
      </c>
      <c r="S428" t="s">
        <v>420</v>
      </c>
      <c r="T428" t="s">
        <v>1173</v>
      </c>
      <c r="U428">
        <v>1.930772311097E-4</v>
      </c>
      <c r="V428" t="s">
        <v>251</v>
      </c>
      <c r="X428">
        <v>1.1415525114155251E-4</v>
      </c>
      <c r="Y428">
        <v>1.4452759200788939E-4</v>
      </c>
      <c r="Z428" t="s">
        <v>1173</v>
      </c>
      <c r="AA428" t="s">
        <v>25</v>
      </c>
      <c r="AC428" t="s">
        <v>22</v>
      </c>
      <c r="AD428" t="s">
        <v>1173</v>
      </c>
      <c r="AE428">
        <v>9.773284239518115E-5</v>
      </c>
      <c r="AG428" t="s">
        <v>97</v>
      </c>
      <c r="AH428" t="s">
        <v>1173</v>
      </c>
      <c r="AI428">
        <v>0</v>
      </c>
    </row>
    <row r="429" spans="9:35" x14ac:dyDescent="0.45">
      <c r="I429" t="s">
        <v>249</v>
      </c>
      <c r="J429" t="s">
        <v>1174</v>
      </c>
      <c r="K429">
        <v>1.834162378525E-4</v>
      </c>
      <c r="L429" t="s">
        <v>251</v>
      </c>
      <c r="N429" t="s">
        <v>419</v>
      </c>
      <c r="O429" t="s">
        <v>1174</v>
      </c>
      <c r="P429">
        <v>4.2714958175669069E-5</v>
      </c>
      <c r="Q429" t="s">
        <v>251</v>
      </c>
      <c r="S429" t="s">
        <v>420</v>
      </c>
      <c r="T429" t="s">
        <v>1174</v>
      </c>
      <c r="U429">
        <v>1.8621797510819999E-4</v>
      </c>
      <c r="V429" t="s">
        <v>251</v>
      </c>
      <c r="X429">
        <v>1.1415525114155251E-4</v>
      </c>
      <c r="Y429">
        <v>1.408812536774151E-4</v>
      </c>
      <c r="Z429" t="s">
        <v>1174</v>
      </c>
      <c r="AA429" t="s">
        <v>25</v>
      </c>
      <c r="AC429" t="s">
        <v>22</v>
      </c>
      <c r="AD429" t="s">
        <v>1174</v>
      </c>
      <c r="AE429">
        <v>9.9493894052345548E-5</v>
      </c>
      <c r="AG429" t="s">
        <v>97</v>
      </c>
      <c r="AH429" t="s">
        <v>1174</v>
      </c>
      <c r="AI429">
        <v>0</v>
      </c>
    </row>
    <row r="430" spans="9:35" x14ac:dyDescent="0.45">
      <c r="I430" t="s">
        <v>249</v>
      </c>
      <c r="J430" t="s">
        <v>1175</v>
      </c>
      <c r="K430">
        <v>1.8382615392080001E-4</v>
      </c>
      <c r="L430" t="s">
        <v>251</v>
      </c>
      <c r="N430" t="s">
        <v>419</v>
      </c>
      <c r="O430" t="s">
        <v>1175</v>
      </c>
      <c r="P430">
        <v>4.3852246909437882E-5</v>
      </c>
      <c r="Q430" t="s">
        <v>251</v>
      </c>
      <c r="S430" t="s">
        <v>420</v>
      </c>
      <c r="T430" t="s">
        <v>1175</v>
      </c>
      <c r="U430">
        <v>1.836812286281E-4</v>
      </c>
      <c r="V430" t="s">
        <v>251</v>
      </c>
      <c r="X430">
        <v>1.1415525114155251E-4</v>
      </c>
      <c r="Y430">
        <v>1.4054976837464471E-4</v>
      </c>
      <c r="Z430" t="s">
        <v>1175</v>
      </c>
      <c r="AA430" t="s">
        <v>25</v>
      </c>
      <c r="AC430" t="s">
        <v>22</v>
      </c>
      <c r="AD430" t="s">
        <v>1175</v>
      </c>
      <c r="AE430">
        <v>1.0239225266519723E-4</v>
      </c>
      <c r="AG430" t="s">
        <v>97</v>
      </c>
      <c r="AH430" t="s">
        <v>1175</v>
      </c>
      <c r="AI430">
        <v>0</v>
      </c>
    </row>
    <row r="431" spans="9:35" x14ac:dyDescent="0.45">
      <c r="I431" t="s">
        <v>249</v>
      </c>
      <c r="J431" t="s">
        <v>1176</v>
      </c>
      <c r="K431">
        <v>1.586603870078E-4</v>
      </c>
      <c r="L431" t="s">
        <v>251</v>
      </c>
      <c r="N431" t="s">
        <v>419</v>
      </c>
      <c r="O431" t="s">
        <v>1176</v>
      </c>
      <c r="P431">
        <v>4.5122456893406117E-5</v>
      </c>
      <c r="Q431" t="s">
        <v>251</v>
      </c>
      <c r="S431" t="s">
        <v>420</v>
      </c>
      <c r="T431" t="s">
        <v>1176</v>
      </c>
      <c r="U431">
        <v>1.864927597195E-4</v>
      </c>
      <c r="V431" t="s">
        <v>251</v>
      </c>
      <c r="X431">
        <v>1.1415525114155251E-4</v>
      </c>
      <c r="Y431">
        <v>1.4253868019126702E-4</v>
      </c>
      <c r="Z431" t="s">
        <v>1176</v>
      </c>
      <c r="AA431" t="s">
        <v>25</v>
      </c>
      <c r="AC431" t="s">
        <v>22</v>
      </c>
      <c r="AD431" t="s">
        <v>1176</v>
      </c>
      <c r="AE431">
        <v>1.0615179515160242E-4</v>
      </c>
      <c r="AG431" t="s">
        <v>97</v>
      </c>
      <c r="AH431" t="s">
        <v>1176</v>
      </c>
      <c r="AI431">
        <v>0</v>
      </c>
    </row>
    <row r="432" spans="9:35" x14ac:dyDescent="0.45">
      <c r="I432" t="s">
        <v>249</v>
      </c>
      <c r="J432" t="s">
        <v>1177</v>
      </c>
      <c r="K432">
        <v>1.7531714471310001E-4</v>
      </c>
      <c r="L432" t="s">
        <v>251</v>
      </c>
      <c r="N432" t="s">
        <v>419</v>
      </c>
      <c r="O432" t="s">
        <v>1177</v>
      </c>
      <c r="P432">
        <v>4.5709415215567921E-5</v>
      </c>
      <c r="Q432" t="s">
        <v>251</v>
      </c>
      <c r="S432" t="s">
        <v>420</v>
      </c>
      <c r="T432" t="s">
        <v>1177</v>
      </c>
      <c r="U432">
        <v>1.8866416102519999E-4</v>
      </c>
      <c r="V432" t="s">
        <v>251</v>
      </c>
      <c r="X432">
        <v>1.1415525114155251E-4</v>
      </c>
      <c r="Y432">
        <v>1.4883690094390442E-4</v>
      </c>
      <c r="Z432" t="s">
        <v>1177</v>
      </c>
      <c r="AA432" t="s">
        <v>25</v>
      </c>
      <c r="AC432" t="s">
        <v>22</v>
      </c>
      <c r="AD432" t="s">
        <v>1177</v>
      </c>
      <c r="AE432">
        <v>1.0924437367150085E-4</v>
      </c>
      <c r="AG432" t="s">
        <v>97</v>
      </c>
      <c r="AH432" t="s">
        <v>1177</v>
      </c>
      <c r="AI432">
        <v>0</v>
      </c>
    </row>
    <row r="433" spans="9:35" x14ac:dyDescent="0.45">
      <c r="I433" t="s">
        <v>249</v>
      </c>
      <c r="J433" t="s">
        <v>1178</v>
      </c>
      <c r="K433">
        <v>1.8656435659699999E-4</v>
      </c>
      <c r="L433" t="s">
        <v>251</v>
      </c>
      <c r="N433" t="s">
        <v>419</v>
      </c>
      <c r="O433" t="s">
        <v>1178</v>
      </c>
      <c r="P433">
        <v>4.733759489775005E-5</v>
      </c>
      <c r="Q433" t="s">
        <v>251</v>
      </c>
      <c r="S433" t="s">
        <v>420</v>
      </c>
      <c r="T433" t="s">
        <v>1178</v>
      </c>
      <c r="U433">
        <v>1.8968057901789999E-4</v>
      </c>
      <c r="V433" t="s">
        <v>251</v>
      </c>
      <c r="X433">
        <v>1.1415525114155251E-4</v>
      </c>
      <c r="Y433">
        <v>1.5049432745775637E-4</v>
      </c>
      <c r="Z433" t="s">
        <v>1178</v>
      </c>
      <c r="AA433" t="s">
        <v>25</v>
      </c>
      <c r="AC433" t="s">
        <v>22</v>
      </c>
      <c r="AD433" t="s">
        <v>1178</v>
      </c>
      <c r="AE433">
        <v>1.0919555190915256E-4</v>
      </c>
      <c r="AG433" t="s">
        <v>97</v>
      </c>
      <c r="AH433" t="s">
        <v>1178</v>
      </c>
      <c r="AI433">
        <v>0</v>
      </c>
    </row>
    <row r="434" spans="9:35" x14ac:dyDescent="0.45">
      <c r="I434" t="s">
        <v>249</v>
      </c>
      <c r="J434" t="s">
        <v>1179</v>
      </c>
      <c r="K434">
        <v>1.7430995780039999E-4</v>
      </c>
      <c r="L434" t="s">
        <v>251</v>
      </c>
      <c r="N434" t="s">
        <v>419</v>
      </c>
      <c r="O434" t="s">
        <v>1179</v>
      </c>
      <c r="P434">
        <v>4.9162056968353545E-5</v>
      </c>
      <c r="Q434" t="s">
        <v>251</v>
      </c>
      <c r="S434" t="s">
        <v>420</v>
      </c>
      <c r="T434" t="s">
        <v>1179</v>
      </c>
      <c r="U434">
        <v>1.9080279120529999E-4</v>
      </c>
      <c r="V434" t="s">
        <v>251</v>
      </c>
      <c r="X434">
        <v>1.1415525114155251E-4</v>
      </c>
      <c r="Y434">
        <v>1.7237235744060203E-4</v>
      </c>
      <c r="Z434" t="s">
        <v>1179</v>
      </c>
      <c r="AA434" t="s">
        <v>25</v>
      </c>
      <c r="AC434" t="s">
        <v>22</v>
      </c>
      <c r="AD434" t="s">
        <v>1179</v>
      </c>
      <c r="AE434">
        <v>1.1283477409599993E-4</v>
      </c>
      <c r="AG434" t="s">
        <v>97</v>
      </c>
      <c r="AH434" t="s">
        <v>1179</v>
      </c>
      <c r="AI434">
        <v>0</v>
      </c>
    </row>
    <row r="435" spans="9:35" x14ac:dyDescent="0.45">
      <c r="I435" t="s">
        <v>249</v>
      </c>
      <c r="J435" t="s">
        <v>1180</v>
      </c>
      <c r="K435">
        <v>1.342414917556E-4</v>
      </c>
      <c r="L435" t="s">
        <v>251</v>
      </c>
      <c r="N435" t="s">
        <v>419</v>
      </c>
      <c r="O435" t="s">
        <v>1180</v>
      </c>
      <c r="P435">
        <v>5.3935087242375722E-5</v>
      </c>
      <c r="Q435" t="s">
        <v>251</v>
      </c>
      <c r="S435" t="s">
        <v>420</v>
      </c>
      <c r="T435" t="s">
        <v>1180</v>
      </c>
      <c r="U435">
        <v>1.9044076428700001E-4</v>
      </c>
      <c r="V435" t="s">
        <v>251</v>
      </c>
      <c r="X435">
        <v>1.1415525114155251E-4</v>
      </c>
      <c r="Y435">
        <v>2.2209515285616027E-4</v>
      </c>
      <c r="Z435" t="s">
        <v>1180</v>
      </c>
      <c r="AA435" t="s">
        <v>25</v>
      </c>
      <c r="AC435" t="s">
        <v>22</v>
      </c>
      <c r="AD435" t="s">
        <v>1180</v>
      </c>
      <c r="AE435">
        <v>1.1696541533336947E-4</v>
      </c>
      <c r="AG435" t="s">
        <v>97</v>
      </c>
      <c r="AH435" t="s">
        <v>1180</v>
      </c>
      <c r="AI435">
        <v>0</v>
      </c>
    </row>
    <row r="436" spans="9:35" x14ac:dyDescent="0.45">
      <c r="I436" t="s">
        <v>249</v>
      </c>
      <c r="J436" t="s">
        <v>1181</v>
      </c>
      <c r="K436">
        <v>4.1783023271117817E-5</v>
      </c>
      <c r="L436" t="s">
        <v>251</v>
      </c>
      <c r="N436" t="s">
        <v>419</v>
      </c>
      <c r="O436" t="s">
        <v>1181</v>
      </c>
      <c r="P436">
        <v>5.895771429700092E-5</v>
      </c>
      <c r="Q436" t="s">
        <v>251</v>
      </c>
      <c r="S436" t="s">
        <v>420</v>
      </c>
      <c r="T436" t="s">
        <v>1181</v>
      </c>
      <c r="U436">
        <v>1.9539593771090001E-4</v>
      </c>
      <c r="V436" t="s">
        <v>251</v>
      </c>
      <c r="X436">
        <v>1.1415525114155251E-4</v>
      </c>
      <c r="Y436">
        <v>2.2209515285616027E-4</v>
      </c>
      <c r="Z436" t="s">
        <v>1181</v>
      </c>
      <c r="AA436" t="s">
        <v>25</v>
      </c>
      <c r="AC436" t="s">
        <v>22</v>
      </c>
      <c r="AD436" t="s">
        <v>1181</v>
      </c>
      <c r="AE436">
        <v>1.1809285122235246E-4</v>
      </c>
      <c r="AG436" t="s">
        <v>97</v>
      </c>
      <c r="AH436" t="s">
        <v>1181</v>
      </c>
      <c r="AI436">
        <v>0</v>
      </c>
    </row>
    <row r="437" spans="9:35" x14ac:dyDescent="0.45">
      <c r="I437" t="s">
        <v>249</v>
      </c>
      <c r="J437" t="s">
        <v>1182</v>
      </c>
      <c r="K437">
        <v>0</v>
      </c>
      <c r="L437" t="s">
        <v>251</v>
      </c>
      <c r="N437" t="s">
        <v>419</v>
      </c>
      <c r="O437" t="s">
        <v>1182</v>
      </c>
      <c r="P437">
        <v>6.5670015926998544E-5</v>
      </c>
      <c r="Q437" t="s">
        <v>251</v>
      </c>
      <c r="S437" t="s">
        <v>420</v>
      </c>
      <c r="T437" t="s">
        <v>1182</v>
      </c>
      <c r="U437">
        <v>1.9911647346920001E-4</v>
      </c>
      <c r="V437" t="s">
        <v>251</v>
      </c>
      <c r="X437">
        <v>1.1415525114155251E-4</v>
      </c>
      <c r="Y437">
        <v>1.7237235744060203E-4</v>
      </c>
      <c r="Z437" t="s">
        <v>1182</v>
      </c>
      <c r="AA437" t="s">
        <v>25</v>
      </c>
      <c r="AC437" t="s">
        <v>22</v>
      </c>
      <c r="AD437" t="s">
        <v>1182</v>
      </c>
      <c r="AE437">
        <v>1.1937635667949802E-4</v>
      </c>
      <c r="AG437" t="s">
        <v>97</v>
      </c>
      <c r="AH437" t="s">
        <v>1182</v>
      </c>
      <c r="AI437">
        <v>0</v>
      </c>
    </row>
    <row r="438" spans="9:35" x14ac:dyDescent="0.45">
      <c r="I438" t="s">
        <v>249</v>
      </c>
      <c r="J438" t="s">
        <v>1183</v>
      </c>
      <c r="K438">
        <v>0</v>
      </c>
      <c r="L438" t="s">
        <v>251</v>
      </c>
      <c r="N438" t="s">
        <v>419</v>
      </c>
      <c r="O438" t="s">
        <v>1183</v>
      </c>
      <c r="P438">
        <v>7.0935983242141471E-5</v>
      </c>
      <c r="Q438" t="s">
        <v>251</v>
      </c>
      <c r="S438" t="s">
        <v>420</v>
      </c>
      <c r="T438" t="s">
        <v>1183</v>
      </c>
      <c r="U438">
        <v>1.965100674441E-4</v>
      </c>
      <c r="V438" t="s">
        <v>251</v>
      </c>
      <c r="X438">
        <v>1.1415525114155251E-4</v>
      </c>
      <c r="Y438">
        <v>1.5579809230208258E-4</v>
      </c>
      <c r="Z438" t="s">
        <v>1183</v>
      </c>
      <c r="AA438" t="s">
        <v>25</v>
      </c>
      <c r="AC438" t="s">
        <v>22</v>
      </c>
      <c r="AD438" t="s">
        <v>1183</v>
      </c>
      <c r="AE438">
        <v>1.1998649531605838E-4</v>
      </c>
      <c r="AG438" t="s">
        <v>97</v>
      </c>
      <c r="AH438" t="s">
        <v>1183</v>
      </c>
      <c r="AI438">
        <v>0</v>
      </c>
    </row>
    <row r="439" spans="9:35" x14ac:dyDescent="0.45">
      <c r="I439" t="s">
        <v>249</v>
      </c>
      <c r="J439" t="s">
        <v>1184</v>
      </c>
      <c r="K439">
        <v>0</v>
      </c>
      <c r="L439" t="s">
        <v>251</v>
      </c>
      <c r="N439" t="s">
        <v>419</v>
      </c>
      <c r="O439" t="s">
        <v>1184</v>
      </c>
      <c r="P439">
        <v>7.623104016109527E-5</v>
      </c>
      <c r="Q439" t="s">
        <v>251</v>
      </c>
      <c r="S439" t="s">
        <v>420</v>
      </c>
      <c r="T439" t="s">
        <v>1184</v>
      </c>
      <c r="U439">
        <v>1.9344331784259999E-4</v>
      </c>
      <c r="V439" t="s">
        <v>251</v>
      </c>
      <c r="X439">
        <v>1.1415525114155251E-4</v>
      </c>
      <c r="Y439">
        <v>1.093901499142282E-4</v>
      </c>
      <c r="Z439" t="s">
        <v>1184</v>
      </c>
      <c r="AA439" t="s">
        <v>25</v>
      </c>
      <c r="AC439" t="s">
        <v>22</v>
      </c>
      <c r="AD439" t="s">
        <v>1184</v>
      </c>
      <c r="AE439">
        <v>1.2053740755239294E-4</v>
      </c>
      <c r="AG439" t="s">
        <v>97</v>
      </c>
      <c r="AH439" t="s">
        <v>1184</v>
      </c>
      <c r="AI439">
        <v>0</v>
      </c>
    </row>
    <row r="440" spans="9:35" x14ac:dyDescent="0.45">
      <c r="I440" t="s">
        <v>249</v>
      </c>
      <c r="J440" t="s">
        <v>1185</v>
      </c>
      <c r="K440">
        <v>0</v>
      </c>
      <c r="L440" t="s">
        <v>251</v>
      </c>
      <c r="N440" t="s">
        <v>419</v>
      </c>
      <c r="O440" t="s">
        <v>1185</v>
      </c>
      <c r="P440">
        <v>8.0882391816111242E-5</v>
      </c>
      <c r="Q440" t="s">
        <v>251</v>
      </c>
      <c r="S440" t="s">
        <v>420</v>
      </c>
      <c r="T440" t="s">
        <v>1185</v>
      </c>
      <c r="U440">
        <v>1.8850530018689999E-4</v>
      </c>
      <c r="V440" t="s">
        <v>251</v>
      </c>
      <c r="X440">
        <v>1.1415525114155251E-4</v>
      </c>
      <c r="Y440">
        <v>7.9556472664893237E-5</v>
      </c>
      <c r="Z440" t="s">
        <v>1185</v>
      </c>
      <c r="AA440" t="s">
        <v>25</v>
      </c>
      <c r="AC440" t="s">
        <v>22</v>
      </c>
      <c r="AD440" t="s">
        <v>1185</v>
      </c>
      <c r="AE440">
        <v>1.2137137929611296E-4</v>
      </c>
      <c r="AG440" t="s">
        <v>97</v>
      </c>
      <c r="AH440" t="s">
        <v>1185</v>
      </c>
      <c r="AI440">
        <v>0</v>
      </c>
    </row>
    <row r="441" spans="9:35" x14ac:dyDescent="0.45">
      <c r="I441" t="s">
        <v>249</v>
      </c>
      <c r="J441" t="s">
        <v>1186</v>
      </c>
      <c r="K441">
        <v>0</v>
      </c>
      <c r="L441" t="s">
        <v>251</v>
      </c>
      <c r="N441" t="s">
        <v>419</v>
      </c>
      <c r="O441" t="s">
        <v>1186</v>
      </c>
      <c r="P441">
        <v>8.2125418828549361E-5</v>
      </c>
      <c r="Q441" t="s">
        <v>251</v>
      </c>
      <c r="S441" t="s">
        <v>420</v>
      </c>
      <c r="T441" t="s">
        <v>1186</v>
      </c>
      <c r="U441">
        <v>1.786009743952E-4</v>
      </c>
      <c r="V441" t="s">
        <v>251</v>
      </c>
      <c r="X441">
        <v>1.1415525114155251E-4</v>
      </c>
      <c r="Y441">
        <v>5.6352501470966035E-5</v>
      </c>
      <c r="Z441" t="s">
        <v>1186</v>
      </c>
      <c r="AA441" t="s">
        <v>25</v>
      </c>
      <c r="AC441" t="s">
        <v>22</v>
      </c>
      <c r="AD441" t="s">
        <v>1186</v>
      </c>
      <c r="AE441">
        <v>1.2771287268965902E-4</v>
      </c>
      <c r="AG441" t="s">
        <v>97</v>
      </c>
      <c r="AH441" t="s">
        <v>1186</v>
      </c>
      <c r="AI441">
        <v>0</v>
      </c>
    </row>
    <row r="442" spans="9:35" x14ac:dyDescent="0.45">
      <c r="I442" t="s">
        <v>249</v>
      </c>
      <c r="J442" t="s">
        <v>1187</v>
      </c>
      <c r="K442">
        <v>0</v>
      </c>
      <c r="L442" t="s">
        <v>251</v>
      </c>
      <c r="N442" t="s">
        <v>419</v>
      </c>
      <c r="O442" t="s">
        <v>1187</v>
      </c>
      <c r="P442">
        <v>7.8523887067281074E-5</v>
      </c>
      <c r="Q442" t="s">
        <v>251</v>
      </c>
      <c r="S442" t="s">
        <v>420</v>
      </c>
      <c r="T442" t="s">
        <v>1187</v>
      </c>
      <c r="U442">
        <v>1.6451583683549999E-4</v>
      </c>
      <c r="V442" t="s">
        <v>251</v>
      </c>
      <c r="X442">
        <v>1.1415525114155251E-4</v>
      </c>
      <c r="Y442">
        <v>2.9833677249334962E-5</v>
      </c>
      <c r="Z442" t="s">
        <v>1187</v>
      </c>
      <c r="AA442" t="s">
        <v>25</v>
      </c>
      <c r="AC442" t="s">
        <v>22</v>
      </c>
      <c r="AD442" t="s">
        <v>1187</v>
      </c>
      <c r="AE442">
        <v>1.3437344164478194E-4</v>
      </c>
      <c r="AG442" t="s">
        <v>97</v>
      </c>
      <c r="AH442" t="s">
        <v>1187</v>
      </c>
      <c r="AI442">
        <v>0</v>
      </c>
    </row>
    <row r="443" spans="9:35" x14ac:dyDescent="0.45">
      <c r="I443" t="s">
        <v>249</v>
      </c>
      <c r="J443" t="s">
        <v>1188</v>
      </c>
      <c r="K443">
        <v>0</v>
      </c>
      <c r="L443" t="s">
        <v>251</v>
      </c>
      <c r="N443" t="s">
        <v>419</v>
      </c>
      <c r="O443" t="s">
        <v>1188</v>
      </c>
      <c r="P443">
        <v>3.9958960553465191E-5</v>
      </c>
      <c r="Q443" t="s">
        <v>251</v>
      </c>
      <c r="S443" t="s">
        <v>420</v>
      </c>
      <c r="T443" t="s">
        <v>1188</v>
      </c>
      <c r="U443">
        <v>7.5003867212616523E-5</v>
      </c>
      <c r="V443" t="s">
        <v>251</v>
      </c>
      <c r="X443">
        <v>1.1415525114155251E-4</v>
      </c>
      <c r="Y443">
        <v>2.1546544680075254E-5</v>
      </c>
      <c r="Z443" t="s">
        <v>1188</v>
      </c>
      <c r="AA443" t="s">
        <v>25</v>
      </c>
      <c r="AC443" t="s">
        <v>22</v>
      </c>
      <c r="AD443" t="s">
        <v>1188</v>
      </c>
      <c r="AE443">
        <v>1.5017008301311413E-4</v>
      </c>
      <c r="AG443" t="s">
        <v>97</v>
      </c>
      <c r="AH443" t="s">
        <v>1188</v>
      </c>
      <c r="AI443">
        <v>0</v>
      </c>
    </row>
    <row r="444" spans="9:35" x14ac:dyDescent="0.45">
      <c r="I444" t="s">
        <v>249</v>
      </c>
      <c r="J444" t="s">
        <v>1189</v>
      </c>
      <c r="K444">
        <v>0</v>
      </c>
      <c r="L444" t="s">
        <v>251</v>
      </c>
      <c r="N444" t="s">
        <v>419</v>
      </c>
      <c r="O444" t="s">
        <v>1189</v>
      </c>
      <c r="P444">
        <v>3.4935150878549675E-5</v>
      </c>
      <c r="Q444" t="s">
        <v>251</v>
      </c>
      <c r="S444" t="s">
        <v>420</v>
      </c>
      <c r="T444" t="s">
        <v>1189</v>
      </c>
      <c r="U444">
        <v>7.0637622146137012E-5</v>
      </c>
      <c r="V444" t="s">
        <v>251</v>
      </c>
      <c r="X444">
        <v>1.1415525114155251E-4</v>
      </c>
      <c r="Y444">
        <v>1.4916838624667481E-5</v>
      </c>
      <c r="Z444" t="s">
        <v>1189</v>
      </c>
      <c r="AA444" t="s">
        <v>25</v>
      </c>
      <c r="AC444" t="s">
        <v>22</v>
      </c>
      <c r="AD444" t="s">
        <v>1189</v>
      </c>
      <c r="AE444">
        <v>1.5232864519431653E-4</v>
      </c>
      <c r="AG444" t="s">
        <v>97</v>
      </c>
      <c r="AH444" t="s">
        <v>1189</v>
      </c>
      <c r="AI444">
        <v>0</v>
      </c>
    </row>
    <row r="445" spans="9:35" x14ac:dyDescent="0.45">
      <c r="I445" t="s">
        <v>249</v>
      </c>
      <c r="J445" t="s">
        <v>1190</v>
      </c>
      <c r="K445">
        <v>0</v>
      </c>
      <c r="L445" t="s">
        <v>251</v>
      </c>
      <c r="N445" t="s">
        <v>419</v>
      </c>
      <c r="O445" t="s">
        <v>1190</v>
      </c>
      <c r="P445">
        <v>3.2484253868221491E-5</v>
      </c>
      <c r="Q445" t="s">
        <v>251</v>
      </c>
      <c r="S445" t="s">
        <v>420</v>
      </c>
      <c r="T445" t="s">
        <v>1190</v>
      </c>
      <c r="U445">
        <v>7.0153478906621463E-5</v>
      </c>
      <c r="V445" t="s">
        <v>251</v>
      </c>
      <c r="X445">
        <v>1.1415525114155251E-4</v>
      </c>
      <c r="Y445">
        <v>1.6574265138519424E-5</v>
      </c>
      <c r="Z445" t="s">
        <v>1190</v>
      </c>
      <c r="AA445" t="s">
        <v>25</v>
      </c>
      <c r="AC445" t="s">
        <v>22</v>
      </c>
      <c r="AD445" t="s">
        <v>1190</v>
      </c>
      <c r="AE445">
        <v>1.4562565733092383E-4</v>
      </c>
      <c r="AG445" t="s">
        <v>97</v>
      </c>
      <c r="AH445" t="s">
        <v>1190</v>
      </c>
      <c r="AI445">
        <v>0</v>
      </c>
    </row>
    <row r="446" spans="9:35" x14ac:dyDescent="0.45">
      <c r="I446" t="s">
        <v>249</v>
      </c>
      <c r="J446" t="s">
        <v>1191</v>
      </c>
      <c r="K446">
        <v>0</v>
      </c>
      <c r="L446" t="s">
        <v>251</v>
      </c>
      <c r="N446" t="s">
        <v>419</v>
      </c>
      <c r="O446" t="s">
        <v>1191</v>
      </c>
      <c r="P446">
        <v>3.4843070012388361E-5</v>
      </c>
      <c r="Q446" t="s">
        <v>251</v>
      </c>
      <c r="S446" t="s">
        <v>420</v>
      </c>
      <c r="T446" t="s">
        <v>1191</v>
      </c>
      <c r="U446">
        <v>7.1392823701655912E-5</v>
      </c>
      <c r="V446" t="s">
        <v>251</v>
      </c>
      <c r="X446">
        <v>1.1415525114155251E-4</v>
      </c>
      <c r="Y446">
        <v>1.4585353321897093E-5</v>
      </c>
      <c r="Z446" t="s">
        <v>1191</v>
      </c>
      <c r="AA446" t="s">
        <v>25</v>
      </c>
      <c r="AC446" t="s">
        <v>22</v>
      </c>
      <c r="AD446" t="s">
        <v>1191</v>
      </c>
      <c r="AE446">
        <v>1.3496303779117388E-4</v>
      </c>
      <c r="AG446" t="s">
        <v>97</v>
      </c>
      <c r="AH446" t="s">
        <v>1191</v>
      </c>
      <c r="AI446">
        <v>0</v>
      </c>
    </row>
    <row r="447" spans="9:35" x14ac:dyDescent="0.45">
      <c r="I447" t="s">
        <v>249</v>
      </c>
      <c r="J447" t="s">
        <v>1192</v>
      </c>
      <c r="K447">
        <v>0</v>
      </c>
      <c r="L447" t="s">
        <v>251</v>
      </c>
      <c r="N447" t="s">
        <v>419</v>
      </c>
      <c r="O447" t="s">
        <v>1192</v>
      </c>
      <c r="P447">
        <v>3.692301774816127E-5</v>
      </c>
      <c r="Q447" t="s">
        <v>251</v>
      </c>
      <c r="S447" t="s">
        <v>420</v>
      </c>
      <c r="T447" t="s">
        <v>1192</v>
      </c>
      <c r="U447">
        <v>7.2838914664018377E-5</v>
      </c>
      <c r="V447" t="s">
        <v>251</v>
      </c>
      <c r="X447">
        <v>1.1415525114155251E-4</v>
      </c>
      <c r="Y447">
        <v>2.1215059377304864E-5</v>
      </c>
      <c r="Z447" t="s">
        <v>1192</v>
      </c>
      <c r="AA447" t="s">
        <v>25</v>
      </c>
      <c r="AC447" t="s">
        <v>22</v>
      </c>
      <c r="AD447" t="s">
        <v>1192</v>
      </c>
      <c r="AE447">
        <v>1.2220188282720718E-4</v>
      </c>
      <c r="AG447" t="s">
        <v>97</v>
      </c>
      <c r="AH447" t="s">
        <v>1192</v>
      </c>
      <c r="AI447">
        <v>0</v>
      </c>
    </row>
    <row r="448" spans="9:35" x14ac:dyDescent="0.45">
      <c r="I448" t="s">
        <v>249</v>
      </c>
      <c r="J448" t="s">
        <v>1193</v>
      </c>
      <c r="K448">
        <v>0</v>
      </c>
      <c r="L448" t="s">
        <v>251</v>
      </c>
      <c r="N448" t="s">
        <v>419</v>
      </c>
      <c r="O448" t="s">
        <v>1193</v>
      </c>
      <c r="P448">
        <v>3.8621628682041479E-5</v>
      </c>
      <c r="Q448" t="s">
        <v>251</v>
      </c>
      <c r="S448" t="s">
        <v>420</v>
      </c>
      <c r="T448" t="s">
        <v>1193</v>
      </c>
      <c r="U448">
        <v>7.182042082354825E-5</v>
      </c>
      <c r="V448" t="s">
        <v>251</v>
      </c>
      <c r="X448">
        <v>1.1415525114155251E-4</v>
      </c>
      <c r="Y448">
        <v>5.7678442682047593E-5</v>
      </c>
      <c r="Z448" t="s">
        <v>1193</v>
      </c>
      <c r="AA448" t="s">
        <v>25</v>
      </c>
      <c r="AC448" t="s">
        <v>22</v>
      </c>
      <c r="AD448" t="s">
        <v>1193</v>
      </c>
      <c r="AE448">
        <v>1.1146136189616925E-4</v>
      </c>
      <c r="AG448" t="s">
        <v>97</v>
      </c>
      <c r="AH448" t="s">
        <v>1193</v>
      </c>
      <c r="AI448">
        <v>0</v>
      </c>
    </row>
    <row r="449" spans="9:35" x14ac:dyDescent="0.45">
      <c r="I449" t="s">
        <v>249</v>
      </c>
      <c r="J449" t="s">
        <v>1194</v>
      </c>
      <c r="K449">
        <v>0</v>
      </c>
      <c r="L449" t="s">
        <v>251</v>
      </c>
      <c r="N449" t="s">
        <v>419</v>
      </c>
      <c r="O449" t="s">
        <v>1194</v>
      </c>
      <c r="P449">
        <v>3.7907280692541579E-5</v>
      </c>
      <c r="Q449" t="s">
        <v>251</v>
      </c>
      <c r="S449" t="s">
        <v>420</v>
      </c>
      <c r="T449" t="s">
        <v>1194</v>
      </c>
      <c r="U449">
        <v>7.5532481591252928E-5</v>
      </c>
      <c r="V449" t="s">
        <v>251</v>
      </c>
      <c r="X449">
        <v>1.1415525114155251E-4</v>
      </c>
      <c r="Y449">
        <v>1.6905750441289813E-4</v>
      </c>
      <c r="Z449" t="s">
        <v>1194</v>
      </c>
      <c r="AA449" t="s">
        <v>25</v>
      </c>
      <c r="AC449" t="s">
        <v>22</v>
      </c>
      <c r="AD449" t="s">
        <v>1194</v>
      </c>
      <c r="AE449">
        <v>9.8644715530189176E-5</v>
      </c>
      <c r="AG449" t="s">
        <v>97</v>
      </c>
      <c r="AH449" t="s">
        <v>1194</v>
      </c>
      <c r="AI449">
        <v>0</v>
      </c>
    </row>
    <row r="450" spans="9:35" x14ac:dyDescent="0.45">
      <c r="I450" t="s">
        <v>249</v>
      </c>
      <c r="J450" t="s">
        <v>1195</v>
      </c>
      <c r="K450">
        <v>1.3345880810175626E-6</v>
      </c>
      <c r="L450" t="s">
        <v>251</v>
      </c>
      <c r="N450" t="s">
        <v>419</v>
      </c>
      <c r="O450" t="s">
        <v>1195</v>
      </c>
      <c r="P450">
        <v>3.5906521866522217E-5</v>
      </c>
      <c r="Q450" t="s">
        <v>251</v>
      </c>
      <c r="S450" t="s">
        <v>420</v>
      </c>
      <c r="T450" t="s">
        <v>1195</v>
      </c>
      <c r="U450">
        <v>7.7665306886981657E-5</v>
      </c>
      <c r="V450" t="s">
        <v>251</v>
      </c>
      <c r="X450">
        <v>1.1415525114155251E-4</v>
      </c>
      <c r="Y450">
        <v>1.9060404909297337E-4</v>
      </c>
      <c r="Z450" t="s">
        <v>1195</v>
      </c>
      <c r="AA450" t="s">
        <v>25</v>
      </c>
      <c r="AC450" t="s">
        <v>22</v>
      </c>
      <c r="AD450" t="s">
        <v>1195</v>
      </c>
      <c r="AE450">
        <v>9.4348934014712576E-5</v>
      </c>
      <c r="AG450" t="s">
        <v>97</v>
      </c>
      <c r="AH450" t="s">
        <v>1195</v>
      </c>
      <c r="AI450">
        <v>0</v>
      </c>
    </row>
    <row r="451" spans="9:35" x14ac:dyDescent="0.45">
      <c r="I451" t="s">
        <v>249</v>
      </c>
      <c r="J451" t="s">
        <v>1196</v>
      </c>
      <c r="K451">
        <v>1.08096632876E-4</v>
      </c>
      <c r="L451" t="s">
        <v>251</v>
      </c>
      <c r="N451" t="s">
        <v>419</v>
      </c>
      <c r="O451" t="s">
        <v>1196</v>
      </c>
      <c r="P451">
        <v>3.5352511637285615E-5</v>
      </c>
      <c r="Q451" t="s">
        <v>251</v>
      </c>
      <c r="S451" t="s">
        <v>420</v>
      </c>
      <c r="T451" t="s">
        <v>1196</v>
      </c>
      <c r="U451">
        <v>8.0198224141276442E-5</v>
      </c>
      <c r="V451" t="s">
        <v>251</v>
      </c>
      <c r="X451">
        <v>1.1415525114155251E-4</v>
      </c>
      <c r="Y451">
        <v>1.4585353321897094E-4</v>
      </c>
      <c r="Z451" t="s">
        <v>1196</v>
      </c>
      <c r="AA451" t="s">
        <v>25</v>
      </c>
      <c r="AC451" t="s">
        <v>22</v>
      </c>
      <c r="AD451" t="s">
        <v>1196</v>
      </c>
      <c r="AE451">
        <v>9.2137281501776224E-5</v>
      </c>
      <c r="AG451" t="s">
        <v>97</v>
      </c>
      <c r="AH451" t="s">
        <v>1196</v>
      </c>
      <c r="AI451">
        <v>0</v>
      </c>
    </row>
    <row r="452" spans="9:35" x14ac:dyDescent="0.45">
      <c r="I452" t="s">
        <v>249</v>
      </c>
      <c r="J452" t="s">
        <v>1197</v>
      </c>
      <c r="K452">
        <v>1.6979578924059999E-4</v>
      </c>
      <c r="L452" t="s">
        <v>251</v>
      </c>
      <c r="N452" t="s">
        <v>419</v>
      </c>
      <c r="O452" t="s">
        <v>1197</v>
      </c>
      <c r="P452">
        <v>3.4742082562474232E-5</v>
      </c>
      <c r="Q452" t="s">
        <v>251</v>
      </c>
      <c r="S452" t="s">
        <v>420</v>
      </c>
      <c r="T452" t="s">
        <v>1197</v>
      </c>
      <c r="U452">
        <v>9.0728845287947198E-5</v>
      </c>
      <c r="V452" t="s">
        <v>251</v>
      </c>
      <c r="X452">
        <v>1.1415525114155251E-4</v>
      </c>
      <c r="Y452">
        <v>1.4452759200788939E-4</v>
      </c>
      <c r="Z452" t="s">
        <v>1197</v>
      </c>
      <c r="AA452" t="s">
        <v>25</v>
      </c>
      <c r="AC452" t="s">
        <v>22</v>
      </c>
      <c r="AD452" t="s">
        <v>1197</v>
      </c>
      <c r="AE452">
        <v>9.1178720889112741E-5</v>
      </c>
      <c r="AG452" t="s">
        <v>97</v>
      </c>
      <c r="AH452" t="s">
        <v>1197</v>
      </c>
      <c r="AI452">
        <v>0</v>
      </c>
    </row>
    <row r="453" spans="9:35" x14ac:dyDescent="0.45">
      <c r="I453" t="s">
        <v>249</v>
      </c>
      <c r="J453" t="s">
        <v>1198</v>
      </c>
      <c r="K453">
        <v>2.0563873640930001E-4</v>
      </c>
      <c r="L453" t="s">
        <v>251</v>
      </c>
      <c r="N453" t="s">
        <v>419</v>
      </c>
      <c r="O453" t="s">
        <v>1198</v>
      </c>
      <c r="P453">
        <v>3.150710320569339E-5</v>
      </c>
      <c r="Q453" t="s">
        <v>251</v>
      </c>
      <c r="S453" t="s">
        <v>420</v>
      </c>
      <c r="T453" t="s">
        <v>1198</v>
      </c>
      <c r="U453">
        <v>8.4194109401491664E-5</v>
      </c>
      <c r="V453" t="s">
        <v>251</v>
      </c>
      <c r="X453">
        <v>1.1415525114155251E-4</v>
      </c>
      <c r="Y453">
        <v>1.408812536774151E-4</v>
      </c>
      <c r="Z453" t="s">
        <v>1198</v>
      </c>
      <c r="AA453" t="s">
        <v>25</v>
      </c>
      <c r="AC453" t="s">
        <v>22</v>
      </c>
      <c r="AD453" t="s">
        <v>1198</v>
      </c>
      <c r="AE453">
        <v>9.303448142952109E-5</v>
      </c>
      <c r="AG453" t="s">
        <v>97</v>
      </c>
      <c r="AH453" t="s">
        <v>1198</v>
      </c>
      <c r="AI453">
        <v>0</v>
      </c>
    </row>
    <row r="454" spans="9:35" x14ac:dyDescent="0.45">
      <c r="I454" t="s">
        <v>249</v>
      </c>
      <c r="J454" t="s">
        <v>1199</v>
      </c>
      <c r="K454">
        <v>2.056216752621E-4</v>
      </c>
      <c r="L454" t="s">
        <v>251</v>
      </c>
      <c r="N454" t="s">
        <v>419</v>
      </c>
      <c r="O454" t="s">
        <v>1199</v>
      </c>
      <c r="P454">
        <v>2.9273645551638647E-5</v>
      </c>
      <c r="Q454" t="s">
        <v>251</v>
      </c>
      <c r="S454" t="s">
        <v>420</v>
      </c>
      <c r="T454" t="s">
        <v>1199</v>
      </c>
      <c r="U454">
        <v>9.1377680401584876E-5</v>
      </c>
      <c r="V454" t="s">
        <v>251</v>
      </c>
      <c r="X454">
        <v>1.1415525114155251E-4</v>
      </c>
      <c r="Y454">
        <v>1.4054976837464471E-4</v>
      </c>
      <c r="Z454" t="s">
        <v>1199</v>
      </c>
      <c r="AA454" t="s">
        <v>25</v>
      </c>
      <c r="AC454" t="s">
        <v>22</v>
      </c>
      <c r="AD454" t="s">
        <v>1199</v>
      </c>
      <c r="AE454">
        <v>9.7060275931355763E-5</v>
      </c>
      <c r="AG454" t="s">
        <v>97</v>
      </c>
      <c r="AH454" t="s">
        <v>1199</v>
      </c>
      <c r="AI454">
        <v>0</v>
      </c>
    </row>
    <row r="455" spans="9:35" x14ac:dyDescent="0.45">
      <c r="I455" t="s">
        <v>249</v>
      </c>
      <c r="J455" t="s">
        <v>1200</v>
      </c>
      <c r="K455">
        <v>1.811879628025E-4</v>
      </c>
      <c r="L455" t="s">
        <v>251</v>
      </c>
      <c r="N455" t="s">
        <v>419</v>
      </c>
      <c r="O455" t="s">
        <v>1200</v>
      </c>
      <c r="P455">
        <v>3.0032887727491621E-5</v>
      </c>
      <c r="Q455" t="s">
        <v>251</v>
      </c>
      <c r="S455" t="s">
        <v>420</v>
      </c>
      <c r="T455" t="s">
        <v>1200</v>
      </c>
      <c r="U455">
        <v>9.5555566359300064E-5</v>
      </c>
      <c r="V455" t="s">
        <v>251</v>
      </c>
      <c r="X455">
        <v>1.1415525114155251E-4</v>
      </c>
      <c r="Y455">
        <v>1.4253868019126702E-4</v>
      </c>
      <c r="Z455" t="s">
        <v>1200</v>
      </c>
      <c r="AA455" t="s">
        <v>25</v>
      </c>
      <c r="AC455" t="s">
        <v>22</v>
      </c>
      <c r="AD455" t="s">
        <v>1200</v>
      </c>
      <c r="AE455">
        <v>9.9221772754010796E-5</v>
      </c>
      <c r="AG455" t="s">
        <v>97</v>
      </c>
      <c r="AH455" t="s">
        <v>1200</v>
      </c>
      <c r="AI455">
        <v>0</v>
      </c>
    </row>
    <row r="456" spans="9:35" x14ac:dyDescent="0.45">
      <c r="I456" t="s">
        <v>249</v>
      </c>
      <c r="J456" t="s">
        <v>1201</v>
      </c>
      <c r="K456">
        <v>1.958490159019E-4</v>
      </c>
      <c r="L456" t="s">
        <v>251</v>
      </c>
      <c r="N456" t="s">
        <v>419</v>
      </c>
      <c r="O456" t="s">
        <v>1201</v>
      </c>
      <c r="P456">
        <v>3.3760431873443903E-5</v>
      </c>
      <c r="Q456" t="s">
        <v>251</v>
      </c>
      <c r="S456" t="s">
        <v>420</v>
      </c>
      <c r="T456" t="s">
        <v>1201</v>
      </c>
      <c r="U456">
        <v>9.6258339283966074E-5</v>
      </c>
      <c r="V456" t="s">
        <v>251</v>
      </c>
      <c r="X456">
        <v>1.1415525114155251E-4</v>
      </c>
      <c r="Y456">
        <v>1.4883690094390442E-4</v>
      </c>
      <c r="Z456" t="s">
        <v>1201</v>
      </c>
      <c r="AA456" t="s">
        <v>25</v>
      </c>
      <c r="AC456" t="s">
        <v>22</v>
      </c>
      <c r="AD456" t="s">
        <v>1201</v>
      </c>
      <c r="AE456">
        <v>1.0232315519826714E-4</v>
      </c>
      <c r="AG456" t="s">
        <v>97</v>
      </c>
      <c r="AH456" t="s">
        <v>1201</v>
      </c>
      <c r="AI456">
        <v>0</v>
      </c>
    </row>
    <row r="457" spans="9:35" x14ac:dyDescent="0.45">
      <c r="I457" t="s">
        <v>249</v>
      </c>
      <c r="J457" t="s">
        <v>1202</v>
      </c>
      <c r="K457">
        <v>2.115366504202E-4</v>
      </c>
      <c r="L457" t="s">
        <v>251</v>
      </c>
      <c r="N457" t="s">
        <v>419</v>
      </c>
      <c r="O457" t="s">
        <v>1202</v>
      </c>
      <c r="P457">
        <v>3.8526588487462425E-5</v>
      </c>
      <c r="Q457" t="s">
        <v>251</v>
      </c>
      <c r="S457" t="s">
        <v>420</v>
      </c>
      <c r="T457" t="s">
        <v>1202</v>
      </c>
      <c r="U457">
        <v>1.107110078231E-4</v>
      </c>
      <c r="V457" t="s">
        <v>251</v>
      </c>
      <c r="X457">
        <v>1.1415525114155251E-4</v>
      </c>
      <c r="Y457">
        <v>1.5049432745775637E-4</v>
      </c>
      <c r="Z457" t="s">
        <v>1202</v>
      </c>
      <c r="AA457" t="s">
        <v>25</v>
      </c>
      <c r="AC457" t="s">
        <v>22</v>
      </c>
      <c r="AD457" t="s">
        <v>1202</v>
      </c>
      <c r="AE457">
        <v>1.0422613678750416E-4</v>
      </c>
      <c r="AG457" t="s">
        <v>97</v>
      </c>
      <c r="AH457" t="s">
        <v>1202</v>
      </c>
      <c r="AI457">
        <v>0</v>
      </c>
    </row>
    <row r="458" spans="9:35" x14ac:dyDescent="0.45">
      <c r="I458" t="s">
        <v>249</v>
      </c>
      <c r="J458" t="s">
        <v>1203</v>
      </c>
      <c r="K458">
        <v>1.9740269197319999E-4</v>
      </c>
      <c r="L458" t="s">
        <v>251</v>
      </c>
      <c r="N458" t="s">
        <v>419</v>
      </c>
      <c r="O458" t="s">
        <v>1203</v>
      </c>
      <c r="P458">
        <v>4.5407221885476383E-5</v>
      </c>
      <c r="Q458" t="s">
        <v>251</v>
      </c>
      <c r="S458" t="s">
        <v>420</v>
      </c>
      <c r="T458" t="s">
        <v>1203</v>
      </c>
      <c r="U458">
        <v>1.254988172657E-4</v>
      </c>
      <c r="V458" t="s">
        <v>251</v>
      </c>
      <c r="X458">
        <v>1.1415525114155251E-4</v>
      </c>
      <c r="Y458">
        <v>1.7237235744060203E-4</v>
      </c>
      <c r="Z458" t="s">
        <v>1203</v>
      </c>
      <c r="AA458" t="s">
        <v>25</v>
      </c>
      <c r="AC458" t="s">
        <v>22</v>
      </c>
      <c r="AD458" t="s">
        <v>1203</v>
      </c>
      <c r="AE458">
        <v>1.0819030381883361E-4</v>
      </c>
      <c r="AG458" t="s">
        <v>97</v>
      </c>
      <c r="AH458" t="s">
        <v>1203</v>
      </c>
      <c r="AI458">
        <v>0</v>
      </c>
    </row>
    <row r="459" spans="9:35" x14ac:dyDescent="0.45">
      <c r="I459" t="s">
        <v>249</v>
      </c>
      <c r="J459" t="s">
        <v>1204</v>
      </c>
      <c r="K459">
        <v>1.50711112727E-4</v>
      </c>
      <c r="L459" t="s">
        <v>251</v>
      </c>
      <c r="N459" t="s">
        <v>419</v>
      </c>
      <c r="O459" t="s">
        <v>1204</v>
      </c>
      <c r="P459">
        <v>5.5477082835148088E-5</v>
      </c>
      <c r="Q459" t="s">
        <v>251</v>
      </c>
      <c r="S459" t="s">
        <v>420</v>
      </c>
      <c r="T459" t="s">
        <v>1204</v>
      </c>
      <c r="U459">
        <v>1.4673166459949999E-4</v>
      </c>
      <c r="V459" t="s">
        <v>251</v>
      </c>
      <c r="X459">
        <v>1.1415525114155251E-4</v>
      </c>
      <c r="Y459">
        <v>2.2209515285616027E-4</v>
      </c>
      <c r="Z459" t="s">
        <v>1204</v>
      </c>
      <c r="AA459" t="s">
        <v>25</v>
      </c>
      <c r="AC459" t="s">
        <v>22</v>
      </c>
      <c r="AD459" t="s">
        <v>1204</v>
      </c>
      <c r="AE459">
        <v>1.1523984615922324E-4</v>
      </c>
      <c r="AG459" t="s">
        <v>97</v>
      </c>
      <c r="AH459" t="s">
        <v>1204</v>
      </c>
      <c r="AI459">
        <v>0</v>
      </c>
    </row>
    <row r="460" spans="9:35" x14ac:dyDescent="0.45">
      <c r="I460" t="s">
        <v>249</v>
      </c>
      <c r="J460" t="s">
        <v>1205</v>
      </c>
      <c r="K460">
        <v>4.381673705554688E-5</v>
      </c>
      <c r="L460" t="s">
        <v>251</v>
      </c>
      <c r="N460" t="s">
        <v>419</v>
      </c>
      <c r="O460" t="s">
        <v>1205</v>
      </c>
      <c r="P460">
        <v>6.637163665047174E-5</v>
      </c>
      <c r="Q460" t="s">
        <v>251</v>
      </c>
      <c r="S460" t="s">
        <v>420</v>
      </c>
      <c r="T460" t="s">
        <v>1205</v>
      </c>
      <c r="U460">
        <v>1.4967847296940001E-4</v>
      </c>
      <c r="V460" t="s">
        <v>251</v>
      </c>
      <c r="X460">
        <v>1.1415525114155251E-4</v>
      </c>
      <c r="Y460">
        <v>2.2209515285616027E-4</v>
      </c>
      <c r="Z460" t="s">
        <v>1205</v>
      </c>
      <c r="AA460" t="s">
        <v>25</v>
      </c>
      <c r="AC460" t="s">
        <v>22</v>
      </c>
      <c r="AD460" t="s">
        <v>1205</v>
      </c>
      <c r="AE460">
        <v>1.138696353864318E-4</v>
      </c>
      <c r="AG460" t="s">
        <v>97</v>
      </c>
      <c r="AH460" t="s">
        <v>1205</v>
      </c>
      <c r="AI460">
        <v>0</v>
      </c>
    </row>
    <row r="461" spans="9:35" x14ac:dyDescent="0.45">
      <c r="I461" t="s">
        <v>249</v>
      </c>
      <c r="J461" t="s">
        <v>1206</v>
      </c>
      <c r="K461">
        <v>0</v>
      </c>
      <c r="L461" t="s">
        <v>251</v>
      </c>
      <c r="N461" t="s">
        <v>419</v>
      </c>
      <c r="O461" t="s">
        <v>1206</v>
      </c>
      <c r="P461">
        <v>7.5573537825915303E-5</v>
      </c>
      <c r="Q461" t="s">
        <v>251</v>
      </c>
      <c r="S461" t="s">
        <v>420</v>
      </c>
      <c r="T461" t="s">
        <v>1206</v>
      </c>
      <c r="U461">
        <v>1.7222466319009999E-4</v>
      </c>
      <c r="V461" t="s">
        <v>251</v>
      </c>
      <c r="X461">
        <v>1.1415525114155251E-4</v>
      </c>
      <c r="Y461">
        <v>1.7237235744060203E-4</v>
      </c>
      <c r="Z461" t="s">
        <v>1206</v>
      </c>
      <c r="AA461" t="s">
        <v>25</v>
      </c>
      <c r="AC461" t="s">
        <v>22</v>
      </c>
      <c r="AD461" t="s">
        <v>1206</v>
      </c>
      <c r="AE461">
        <v>1.1337821633590962E-4</v>
      </c>
      <c r="AG461" t="s">
        <v>97</v>
      </c>
      <c r="AH461" t="s">
        <v>1206</v>
      </c>
      <c r="AI461">
        <v>0</v>
      </c>
    </row>
    <row r="462" spans="9:35" x14ac:dyDescent="0.45">
      <c r="I462" t="s">
        <v>249</v>
      </c>
      <c r="J462" t="s">
        <v>1207</v>
      </c>
      <c r="K462">
        <v>0</v>
      </c>
      <c r="L462" t="s">
        <v>251</v>
      </c>
      <c r="N462" t="s">
        <v>419</v>
      </c>
      <c r="O462" t="s">
        <v>1207</v>
      </c>
      <c r="P462">
        <v>8.0773708085098131E-5</v>
      </c>
      <c r="Q462" t="s">
        <v>251</v>
      </c>
      <c r="S462" t="s">
        <v>420</v>
      </c>
      <c r="T462" t="s">
        <v>1207</v>
      </c>
      <c r="U462">
        <v>1.9568604114979999E-4</v>
      </c>
      <c r="V462" t="s">
        <v>251</v>
      </c>
      <c r="X462">
        <v>1.1415525114155251E-4</v>
      </c>
      <c r="Y462">
        <v>1.5579809230208258E-4</v>
      </c>
      <c r="Z462" t="s">
        <v>1207</v>
      </c>
      <c r="AA462" t="s">
        <v>25</v>
      </c>
      <c r="AC462" t="s">
        <v>22</v>
      </c>
      <c r="AD462" t="s">
        <v>1207</v>
      </c>
      <c r="AE462">
        <v>1.1366981298206638E-4</v>
      </c>
      <c r="AG462" t="s">
        <v>97</v>
      </c>
      <c r="AH462" t="s">
        <v>1207</v>
      </c>
      <c r="AI462">
        <v>0</v>
      </c>
    </row>
    <row r="463" spans="9:35" x14ac:dyDescent="0.45">
      <c r="I463" t="s">
        <v>249</v>
      </c>
      <c r="J463" t="s">
        <v>1208</v>
      </c>
      <c r="K463">
        <v>0</v>
      </c>
      <c r="L463" t="s">
        <v>251</v>
      </c>
      <c r="N463" t="s">
        <v>419</v>
      </c>
      <c r="O463" t="s">
        <v>1208</v>
      </c>
      <c r="P463">
        <v>8.0949829861657759E-5</v>
      </c>
      <c r="Q463" t="s">
        <v>251</v>
      </c>
      <c r="S463" t="s">
        <v>420</v>
      </c>
      <c r="T463" t="s">
        <v>1208</v>
      </c>
      <c r="U463">
        <v>2.0403112695750001E-4</v>
      </c>
      <c r="V463" t="s">
        <v>251</v>
      </c>
      <c r="X463">
        <v>1.1415525114155251E-4</v>
      </c>
      <c r="Y463">
        <v>1.093901499142282E-4</v>
      </c>
      <c r="Z463" t="s">
        <v>1208</v>
      </c>
      <c r="AA463" t="s">
        <v>25</v>
      </c>
      <c r="AC463" t="s">
        <v>22</v>
      </c>
      <c r="AD463" t="s">
        <v>1208</v>
      </c>
      <c r="AE463">
        <v>1.1422072521840094E-4</v>
      </c>
      <c r="AG463" t="s">
        <v>97</v>
      </c>
      <c r="AH463" t="s">
        <v>1208</v>
      </c>
      <c r="AI463">
        <v>0</v>
      </c>
    </row>
    <row r="464" spans="9:35" x14ac:dyDescent="0.45">
      <c r="I464" t="s">
        <v>249</v>
      </c>
      <c r="J464" t="s">
        <v>1209</v>
      </c>
      <c r="K464">
        <v>0</v>
      </c>
      <c r="L464" t="s">
        <v>251</v>
      </c>
      <c r="N464" t="s">
        <v>419</v>
      </c>
      <c r="O464" t="s">
        <v>1209</v>
      </c>
      <c r="P464">
        <v>8.0874245421703439E-5</v>
      </c>
      <c r="Q464" t="s">
        <v>251</v>
      </c>
      <c r="S464" t="s">
        <v>420</v>
      </c>
      <c r="T464" t="s">
        <v>1209</v>
      </c>
      <c r="U464">
        <v>2.3124660544299999E-4</v>
      </c>
      <c r="V464" t="s">
        <v>251</v>
      </c>
      <c r="X464">
        <v>1.1415525114155251E-4</v>
      </c>
      <c r="Y464">
        <v>7.9556472664893237E-5</v>
      </c>
      <c r="Z464" t="s">
        <v>1209</v>
      </c>
      <c r="AA464" t="s">
        <v>25</v>
      </c>
      <c r="AC464" t="s">
        <v>22</v>
      </c>
      <c r="AD464" t="s">
        <v>1209</v>
      </c>
      <c r="AE464">
        <v>1.1555758779286706E-4</v>
      </c>
      <c r="AG464" t="s">
        <v>97</v>
      </c>
      <c r="AH464" t="s">
        <v>1209</v>
      </c>
      <c r="AI464">
        <v>0</v>
      </c>
    </row>
    <row r="465" spans="9:35" x14ac:dyDescent="0.45">
      <c r="I465" t="s">
        <v>249</v>
      </c>
      <c r="J465" t="s">
        <v>1210</v>
      </c>
      <c r="K465">
        <v>0</v>
      </c>
      <c r="L465" t="s">
        <v>251</v>
      </c>
      <c r="N465" t="s">
        <v>419</v>
      </c>
      <c r="O465" t="s">
        <v>1210</v>
      </c>
      <c r="P465">
        <v>8.1890756220310957E-5</v>
      </c>
      <c r="Q465" t="s">
        <v>251</v>
      </c>
      <c r="S465" t="s">
        <v>420</v>
      </c>
      <c r="T465" t="s">
        <v>1210</v>
      </c>
      <c r="U465">
        <v>2.451285700473E-4</v>
      </c>
      <c r="V465" t="s">
        <v>251</v>
      </c>
      <c r="X465">
        <v>1.1415525114155251E-4</v>
      </c>
      <c r="Y465">
        <v>5.6352501470966035E-5</v>
      </c>
      <c r="Z465" t="s">
        <v>1210</v>
      </c>
      <c r="AA465" t="s">
        <v>25</v>
      </c>
      <c r="AC465" t="s">
        <v>22</v>
      </c>
      <c r="AD465" t="s">
        <v>1210</v>
      </c>
      <c r="AE465">
        <v>1.1994941211952062E-4</v>
      </c>
      <c r="AG465" t="s">
        <v>97</v>
      </c>
      <c r="AH465" t="s">
        <v>1210</v>
      </c>
      <c r="AI465">
        <v>0</v>
      </c>
    </row>
    <row r="466" spans="9:35" x14ac:dyDescent="0.45">
      <c r="I466" t="s">
        <v>249</v>
      </c>
      <c r="J466" t="s">
        <v>1211</v>
      </c>
      <c r="K466">
        <v>0</v>
      </c>
      <c r="L466" t="s">
        <v>251</v>
      </c>
      <c r="N466" t="s">
        <v>419</v>
      </c>
      <c r="O466" t="s">
        <v>1211</v>
      </c>
      <c r="P466">
        <v>8.5770437534772384E-5</v>
      </c>
      <c r="Q466" t="s">
        <v>251</v>
      </c>
      <c r="S466" t="s">
        <v>420</v>
      </c>
      <c r="T466" t="s">
        <v>1211</v>
      </c>
      <c r="U466">
        <v>2.4824465379909999E-4</v>
      </c>
      <c r="V466" t="s">
        <v>251</v>
      </c>
      <c r="X466">
        <v>1.1415525114155251E-4</v>
      </c>
      <c r="Y466">
        <v>2.9833677249334962E-5</v>
      </c>
      <c r="Z466" t="s">
        <v>1211</v>
      </c>
      <c r="AA466" t="s">
        <v>25</v>
      </c>
      <c r="AC466" t="s">
        <v>22</v>
      </c>
      <c r="AD466" t="s">
        <v>1211</v>
      </c>
      <c r="AE466">
        <v>1.2629277301217292E-4</v>
      </c>
      <c r="AG466" t="s">
        <v>97</v>
      </c>
      <c r="AH466" t="s">
        <v>1211</v>
      </c>
      <c r="AI466">
        <v>0</v>
      </c>
    </row>
    <row r="467" spans="9:35" x14ac:dyDescent="0.45">
      <c r="AC467" t="s">
        <v>19</v>
      </c>
      <c r="AD467" t="s">
        <v>250</v>
      </c>
      <c r="AE467">
        <v>2.1374482737781916E-2</v>
      </c>
    </row>
    <row r="468" spans="9:35" x14ac:dyDescent="0.45">
      <c r="AC468" t="s">
        <v>19</v>
      </c>
      <c r="AD468" t="s">
        <v>252</v>
      </c>
      <c r="AE468">
        <v>3.485168226884158E-3</v>
      </c>
    </row>
    <row r="469" spans="9:35" x14ac:dyDescent="0.45">
      <c r="AC469" t="s">
        <v>19</v>
      </c>
      <c r="AD469" t="s">
        <v>253</v>
      </c>
      <c r="AE469">
        <v>3.4724734662795196E-3</v>
      </c>
    </row>
    <row r="470" spans="9:35" x14ac:dyDescent="0.45">
      <c r="AC470" t="s">
        <v>19</v>
      </c>
      <c r="AD470" t="s">
        <v>254</v>
      </c>
      <c r="AE470">
        <v>2.4571821931557183E-2</v>
      </c>
    </row>
    <row r="471" spans="9:35" x14ac:dyDescent="0.45">
      <c r="AC471" t="s">
        <v>19</v>
      </c>
      <c r="AD471" t="s">
        <v>255</v>
      </c>
      <c r="AE471">
        <v>3.5616006831969537E-3</v>
      </c>
    </row>
    <row r="472" spans="9:35" x14ac:dyDescent="0.45">
      <c r="AC472" t="s">
        <v>19</v>
      </c>
      <c r="AD472" t="s">
        <v>256</v>
      </c>
      <c r="AE472">
        <v>3.5590811445633131E-3</v>
      </c>
    </row>
    <row r="473" spans="9:35" x14ac:dyDescent="0.45">
      <c r="AC473" t="s">
        <v>19</v>
      </c>
      <c r="AD473" t="s">
        <v>257</v>
      </c>
      <c r="AE473">
        <v>3.5638648660911904E-3</v>
      </c>
    </row>
    <row r="474" spans="9:35" x14ac:dyDescent="0.45">
      <c r="AC474" t="s">
        <v>19</v>
      </c>
      <c r="AD474" t="s">
        <v>258</v>
      </c>
      <c r="AE474">
        <v>2.1434813181539874E-2</v>
      </c>
    </row>
    <row r="475" spans="9:35" x14ac:dyDescent="0.45">
      <c r="AC475" t="s">
        <v>19</v>
      </c>
      <c r="AD475" t="s">
        <v>259</v>
      </c>
      <c r="AE475">
        <v>1.8617776195592087E-2</v>
      </c>
    </row>
    <row r="476" spans="9:35" x14ac:dyDescent="0.45">
      <c r="AC476" t="s">
        <v>19</v>
      </c>
      <c r="AD476" t="s">
        <v>260</v>
      </c>
      <c r="AE476">
        <v>3.0370557986622517E-3</v>
      </c>
    </row>
    <row r="477" spans="9:35" x14ac:dyDescent="0.45">
      <c r="AC477" t="s">
        <v>19</v>
      </c>
      <c r="AD477" t="s">
        <v>261</v>
      </c>
      <c r="AE477">
        <v>3.0284951345844469E-3</v>
      </c>
    </row>
    <row r="478" spans="9:35" x14ac:dyDescent="0.45">
      <c r="AC478" t="s">
        <v>19</v>
      </c>
      <c r="AD478" t="s">
        <v>262</v>
      </c>
      <c r="AE478">
        <v>2.140143297868256E-2</v>
      </c>
    </row>
    <row r="479" spans="9:35" x14ac:dyDescent="0.45">
      <c r="AC479" t="s">
        <v>19</v>
      </c>
      <c r="AD479" t="s">
        <v>263</v>
      </c>
      <c r="AE479">
        <v>3.0958829013593755E-3</v>
      </c>
    </row>
    <row r="480" spans="9:35" x14ac:dyDescent="0.45">
      <c r="AC480" t="s">
        <v>19</v>
      </c>
      <c r="AD480" t="s">
        <v>264</v>
      </c>
      <c r="AE480">
        <v>3.0978856859910269E-3</v>
      </c>
    </row>
    <row r="481" spans="29:31" x14ac:dyDescent="0.45">
      <c r="AC481" t="s">
        <v>19</v>
      </c>
      <c r="AD481" t="s">
        <v>265</v>
      </c>
      <c r="AE481">
        <v>3.1022704934707624E-3</v>
      </c>
    </row>
    <row r="482" spans="29:31" x14ac:dyDescent="0.45">
      <c r="AC482" t="s">
        <v>19</v>
      </c>
      <c r="AD482" t="s">
        <v>266</v>
      </c>
      <c r="AE482">
        <v>1.8660306656277759E-2</v>
      </c>
    </row>
    <row r="483" spans="29:31" x14ac:dyDescent="0.45">
      <c r="AC483" t="s">
        <v>19</v>
      </c>
      <c r="AD483" t="s">
        <v>580</v>
      </c>
      <c r="AE483">
        <v>1.1597857552293395E-4</v>
      </c>
    </row>
    <row r="484" spans="29:31" x14ac:dyDescent="0.45">
      <c r="AC484" t="s">
        <v>19</v>
      </c>
      <c r="AD484" t="s">
        <v>581</v>
      </c>
      <c r="AE484">
        <v>1.1592068772078866E-4</v>
      </c>
    </row>
    <row r="485" spans="29:31" x14ac:dyDescent="0.45">
      <c r="AC485" t="s">
        <v>19</v>
      </c>
      <c r="AD485" t="s">
        <v>582</v>
      </c>
      <c r="AE485">
        <v>1.1561826051076954E-4</v>
      </c>
    </row>
    <row r="486" spans="29:31" x14ac:dyDescent="0.45">
      <c r="AC486" t="s">
        <v>19</v>
      </c>
      <c r="AD486" t="s">
        <v>583</v>
      </c>
      <c r="AE486">
        <v>1.1490319992951483E-4</v>
      </c>
    </row>
    <row r="487" spans="29:31" x14ac:dyDescent="0.45">
      <c r="AC487" t="s">
        <v>19</v>
      </c>
      <c r="AD487" t="s">
        <v>584</v>
      </c>
      <c r="AE487">
        <v>1.1388657228388951E-4</v>
      </c>
    </row>
    <row r="488" spans="29:31" x14ac:dyDescent="0.45">
      <c r="AC488" t="s">
        <v>19</v>
      </c>
      <c r="AD488" t="s">
        <v>585</v>
      </c>
      <c r="AE488">
        <v>1.1314379350911129E-4</v>
      </c>
    </row>
    <row r="489" spans="29:31" x14ac:dyDescent="0.45">
      <c r="AC489" t="s">
        <v>19</v>
      </c>
      <c r="AD489" t="s">
        <v>586</v>
      </c>
      <c r="AE489">
        <v>1.1219789133943542E-4</v>
      </c>
    </row>
    <row r="490" spans="29:31" x14ac:dyDescent="0.45">
      <c r="AC490" t="s">
        <v>19</v>
      </c>
      <c r="AD490" t="s">
        <v>587</v>
      </c>
      <c r="AE490">
        <v>1.1185652103517961E-4</v>
      </c>
    </row>
    <row r="491" spans="29:31" x14ac:dyDescent="0.45">
      <c r="AC491" t="s">
        <v>19</v>
      </c>
      <c r="AD491" t="s">
        <v>588</v>
      </c>
      <c r="AE491">
        <v>1.1149917352550257E-4</v>
      </c>
    </row>
    <row r="492" spans="29:31" x14ac:dyDescent="0.45">
      <c r="AC492" t="s">
        <v>19</v>
      </c>
      <c r="AD492" t="s">
        <v>589</v>
      </c>
      <c r="AE492">
        <v>1.1152267700534834E-4</v>
      </c>
    </row>
    <row r="493" spans="29:31" x14ac:dyDescent="0.45">
      <c r="AC493" t="s">
        <v>19</v>
      </c>
      <c r="AD493" t="s">
        <v>590</v>
      </c>
      <c r="AE493">
        <v>1.1177777470105774E-4</v>
      </c>
    </row>
    <row r="494" spans="29:31" x14ac:dyDescent="0.45">
      <c r="AC494" t="s">
        <v>19</v>
      </c>
      <c r="AD494" t="s">
        <v>591</v>
      </c>
      <c r="AE494">
        <v>1.1274851357633459E-4</v>
      </c>
    </row>
    <row r="495" spans="29:31" x14ac:dyDescent="0.45">
      <c r="AC495" t="s">
        <v>19</v>
      </c>
      <c r="AD495" t="s">
        <v>592</v>
      </c>
      <c r="AE495">
        <v>1.1427544413158475E-4</v>
      </c>
    </row>
    <row r="496" spans="29:31" x14ac:dyDescent="0.45">
      <c r="AC496" t="s">
        <v>19</v>
      </c>
      <c r="AD496" t="s">
        <v>593</v>
      </c>
      <c r="AE496">
        <v>1.1538971981195814E-4</v>
      </c>
    </row>
    <row r="497" spans="29:31" x14ac:dyDescent="0.45">
      <c r="AC497" t="s">
        <v>19</v>
      </c>
      <c r="AD497" t="s">
        <v>594</v>
      </c>
      <c r="AE497">
        <v>1.1595373881733299E-4</v>
      </c>
    </row>
    <row r="498" spans="29:31" x14ac:dyDescent="0.45">
      <c r="AC498" t="s">
        <v>19</v>
      </c>
      <c r="AD498" t="s">
        <v>595</v>
      </c>
      <c r="AE498">
        <v>1.1530837153724949E-4</v>
      </c>
    </row>
    <row r="499" spans="29:31" x14ac:dyDescent="0.45">
      <c r="AC499" t="s">
        <v>19</v>
      </c>
      <c r="AD499" t="s">
        <v>596</v>
      </c>
      <c r="AE499">
        <v>1.152504837351042E-4</v>
      </c>
    </row>
    <row r="500" spans="29:31" x14ac:dyDescent="0.45">
      <c r="AC500" t="s">
        <v>19</v>
      </c>
      <c r="AD500" t="s">
        <v>597</v>
      </c>
      <c r="AE500">
        <v>1.1534174518841201E-4</v>
      </c>
    </row>
    <row r="501" spans="29:31" x14ac:dyDescent="0.45">
      <c r="AC501" t="s">
        <v>19</v>
      </c>
      <c r="AD501" t="s">
        <v>598</v>
      </c>
      <c r="AE501">
        <v>1.15265407262106E-4</v>
      </c>
    </row>
    <row r="502" spans="29:31" x14ac:dyDescent="0.45">
      <c r="AC502" t="s">
        <v>19</v>
      </c>
      <c r="AD502" t="s">
        <v>599</v>
      </c>
      <c r="AE502">
        <v>1.1527736328662041E-4</v>
      </c>
    </row>
    <row r="503" spans="29:31" x14ac:dyDescent="0.45">
      <c r="AC503" t="s">
        <v>19</v>
      </c>
      <c r="AD503" t="s">
        <v>600</v>
      </c>
      <c r="AE503">
        <v>1.1529740468023089E-4</v>
      </c>
    </row>
    <row r="504" spans="29:31" x14ac:dyDescent="0.45">
      <c r="AC504" t="s">
        <v>19</v>
      </c>
      <c r="AD504" t="s">
        <v>601</v>
      </c>
      <c r="AE504">
        <v>1.1539862231942032E-4</v>
      </c>
    </row>
    <row r="505" spans="29:31" x14ac:dyDescent="0.45">
      <c r="AC505" t="s">
        <v>19</v>
      </c>
      <c r="AD505" t="s">
        <v>602</v>
      </c>
      <c r="AE505">
        <v>1.1568481428032364E-4</v>
      </c>
    </row>
    <row r="506" spans="29:31" x14ac:dyDescent="0.45">
      <c r="AC506" t="s">
        <v>19</v>
      </c>
      <c r="AD506" t="s">
        <v>603</v>
      </c>
      <c r="AE506">
        <v>1.1592090275720078E-4</v>
      </c>
    </row>
    <row r="507" spans="29:31" x14ac:dyDescent="0.45">
      <c r="AC507" t="s">
        <v>19</v>
      </c>
      <c r="AD507" t="s">
        <v>267</v>
      </c>
      <c r="AE507">
        <v>2.0595676398313327E-2</v>
      </c>
    </row>
    <row r="508" spans="29:31" x14ac:dyDescent="0.45">
      <c r="AC508" t="s">
        <v>19</v>
      </c>
      <c r="AD508" t="s">
        <v>268</v>
      </c>
      <c r="AE508">
        <v>3.3652709088067439E-3</v>
      </c>
    </row>
    <row r="509" spans="29:31" x14ac:dyDescent="0.45">
      <c r="AC509" t="s">
        <v>19</v>
      </c>
      <c r="AD509" t="s">
        <v>269</v>
      </c>
      <c r="AE509">
        <v>3.3594143061078286E-3</v>
      </c>
    </row>
    <row r="510" spans="29:31" x14ac:dyDescent="0.45">
      <c r="AC510" t="s">
        <v>19</v>
      </c>
      <c r="AD510" t="s">
        <v>270</v>
      </c>
      <c r="AE510">
        <v>2.3838217919844945E-2</v>
      </c>
    </row>
    <row r="511" spans="29:31" x14ac:dyDescent="0.45">
      <c r="AC511" t="s">
        <v>19</v>
      </c>
      <c r="AD511" t="s">
        <v>271</v>
      </c>
      <c r="AE511">
        <v>3.4407220679564276E-3</v>
      </c>
    </row>
    <row r="512" spans="29:31" x14ac:dyDescent="0.45">
      <c r="AC512" t="s">
        <v>19</v>
      </c>
      <c r="AD512" t="s">
        <v>272</v>
      </c>
      <c r="AE512">
        <v>3.4459749129210067E-3</v>
      </c>
    </row>
    <row r="513" spans="29:31" x14ac:dyDescent="0.45">
      <c r="AC513" t="s">
        <v>19</v>
      </c>
      <c r="AD513" t="s">
        <v>273</v>
      </c>
      <c r="AE513">
        <v>3.4474971986897546E-3</v>
      </c>
    </row>
    <row r="514" spans="29:31" x14ac:dyDescent="0.45">
      <c r="AC514" t="s">
        <v>19</v>
      </c>
      <c r="AD514" t="s">
        <v>274</v>
      </c>
      <c r="AE514">
        <v>2.0706041363920125E-2</v>
      </c>
    </row>
    <row r="515" spans="29:31" x14ac:dyDescent="0.45">
      <c r="AC515" t="s">
        <v>19</v>
      </c>
      <c r="AD515" t="s">
        <v>604</v>
      </c>
      <c r="AE515">
        <v>1.1669093620931368E-4</v>
      </c>
    </row>
    <row r="516" spans="29:31" x14ac:dyDescent="0.45">
      <c r="AC516" t="s">
        <v>19</v>
      </c>
      <c r="AD516" t="s">
        <v>605</v>
      </c>
      <c r="AE516">
        <v>1.1674592101989523E-4</v>
      </c>
    </row>
    <row r="517" spans="29:31" x14ac:dyDescent="0.45">
      <c r="AC517" t="s">
        <v>19</v>
      </c>
      <c r="AD517" t="s">
        <v>606</v>
      </c>
      <c r="AE517">
        <v>1.1649587667987087E-4</v>
      </c>
    </row>
    <row r="518" spans="29:31" x14ac:dyDescent="0.45">
      <c r="AC518" t="s">
        <v>19</v>
      </c>
      <c r="AD518" t="s">
        <v>607</v>
      </c>
      <c r="AE518">
        <v>1.1574892619869734E-4</v>
      </c>
    </row>
    <row r="519" spans="29:31" x14ac:dyDescent="0.45">
      <c r="AC519" t="s">
        <v>19</v>
      </c>
      <c r="AD519" t="s">
        <v>608</v>
      </c>
      <c r="AE519">
        <v>1.1467380864897277E-4</v>
      </c>
    </row>
    <row r="520" spans="29:31" x14ac:dyDescent="0.45">
      <c r="AC520" t="s">
        <v>19</v>
      </c>
      <c r="AD520" t="s">
        <v>609</v>
      </c>
      <c r="AE520">
        <v>1.1402635551569162E-4</v>
      </c>
    </row>
    <row r="521" spans="29:31" x14ac:dyDescent="0.45">
      <c r="AC521" t="s">
        <v>19</v>
      </c>
      <c r="AD521" t="s">
        <v>610</v>
      </c>
      <c r="AE521">
        <v>1.125295300581396E-4</v>
      </c>
    </row>
    <row r="522" spans="29:31" x14ac:dyDescent="0.45">
      <c r="AC522" t="s">
        <v>19</v>
      </c>
      <c r="AD522" t="s">
        <v>611</v>
      </c>
      <c r="AE522">
        <v>1.1218274083629813E-4</v>
      </c>
    </row>
    <row r="523" spans="29:31" x14ac:dyDescent="0.45">
      <c r="AC523" t="s">
        <v>19</v>
      </c>
      <c r="AD523" t="s">
        <v>612</v>
      </c>
      <c r="AE523">
        <v>1.1204023620597982E-4</v>
      </c>
    </row>
    <row r="524" spans="29:31" x14ac:dyDescent="0.45">
      <c r="AC524" t="s">
        <v>19</v>
      </c>
      <c r="AD524" t="s">
        <v>613</v>
      </c>
      <c r="AE524">
        <v>1.1204199950455928E-4</v>
      </c>
    </row>
    <row r="525" spans="29:31" x14ac:dyDescent="0.45">
      <c r="AC525" t="s">
        <v>19</v>
      </c>
      <c r="AD525" t="s">
        <v>614</v>
      </c>
      <c r="AE525">
        <v>1.1219071868718814E-4</v>
      </c>
    </row>
    <row r="526" spans="29:31" x14ac:dyDescent="0.45">
      <c r="AC526" t="s">
        <v>19</v>
      </c>
      <c r="AD526" t="s">
        <v>615</v>
      </c>
      <c r="AE526">
        <v>1.1319160566744557E-4</v>
      </c>
    </row>
    <row r="527" spans="29:31" x14ac:dyDescent="0.45">
      <c r="AC527" t="s">
        <v>19</v>
      </c>
      <c r="AD527" t="s">
        <v>616</v>
      </c>
      <c r="AE527">
        <v>1.1489800561225913E-4</v>
      </c>
    </row>
    <row r="528" spans="29:31" x14ac:dyDescent="0.45">
      <c r="AC528" t="s">
        <v>19</v>
      </c>
      <c r="AD528" t="s">
        <v>617</v>
      </c>
      <c r="AE528">
        <v>1.1588018442466127E-4</v>
      </c>
    </row>
    <row r="529" spans="29:31" x14ac:dyDescent="0.45">
      <c r="AC529" t="s">
        <v>19</v>
      </c>
      <c r="AD529" t="s">
        <v>618</v>
      </c>
      <c r="AE529">
        <v>1.1616355940856573E-4</v>
      </c>
    </row>
    <row r="530" spans="29:31" x14ac:dyDescent="0.45">
      <c r="AC530" t="s">
        <v>19</v>
      </c>
      <c r="AD530" t="s">
        <v>619</v>
      </c>
      <c r="AE530">
        <v>1.1558640167840976E-4</v>
      </c>
    </row>
    <row r="531" spans="29:31" x14ac:dyDescent="0.45">
      <c r="AC531" t="s">
        <v>19</v>
      </c>
      <c r="AD531" t="s">
        <v>620</v>
      </c>
      <c r="AE531">
        <v>1.152786415653698E-4</v>
      </c>
    </row>
    <row r="532" spans="29:31" x14ac:dyDescent="0.45">
      <c r="AC532" t="s">
        <v>19</v>
      </c>
      <c r="AD532" t="s">
        <v>621</v>
      </c>
      <c r="AE532">
        <v>1.1559308931082699E-4</v>
      </c>
    </row>
    <row r="533" spans="29:31" x14ac:dyDescent="0.45">
      <c r="AC533" t="s">
        <v>19</v>
      </c>
      <c r="AD533" t="s">
        <v>622</v>
      </c>
      <c r="AE533">
        <v>1.1549649495449836E-4</v>
      </c>
    </row>
    <row r="534" spans="29:31" x14ac:dyDescent="0.45">
      <c r="AC534" t="s">
        <v>19</v>
      </c>
      <c r="AD534" t="s">
        <v>623</v>
      </c>
      <c r="AE534">
        <v>1.1551991241977927E-4</v>
      </c>
    </row>
    <row r="535" spans="29:31" x14ac:dyDescent="0.45">
      <c r="AC535" t="s">
        <v>19</v>
      </c>
      <c r="AD535" t="s">
        <v>624</v>
      </c>
      <c r="AE535">
        <v>1.1549189317527878E-4</v>
      </c>
    </row>
    <row r="536" spans="29:31" x14ac:dyDescent="0.45">
      <c r="AC536" t="s">
        <v>19</v>
      </c>
      <c r="AD536" t="s">
        <v>625</v>
      </c>
      <c r="AE536">
        <v>1.1549189317527878E-4</v>
      </c>
    </row>
    <row r="537" spans="29:31" x14ac:dyDescent="0.45">
      <c r="AC537" t="s">
        <v>19</v>
      </c>
      <c r="AD537" t="s">
        <v>626</v>
      </c>
      <c r="AE537">
        <v>1.1559149804137723E-4</v>
      </c>
    </row>
    <row r="538" spans="29:31" x14ac:dyDescent="0.45">
      <c r="AC538" t="s">
        <v>19</v>
      </c>
      <c r="AD538" t="s">
        <v>627</v>
      </c>
      <c r="AE538">
        <v>1.158941617914497E-4</v>
      </c>
    </row>
    <row r="539" spans="29:31" x14ac:dyDescent="0.45">
      <c r="AC539" t="s">
        <v>19</v>
      </c>
      <c r="AD539" t="s">
        <v>299</v>
      </c>
      <c r="AE539">
        <v>1.8492736978353307E-2</v>
      </c>
    </row>
    <row r="540" spans="29:31" x14ac:dyDescent="0.45">
      <c r="AC540" t="s">
        <v>19</v>
      </c>
      <c r="AD540" t="s">
        <v>300</v>
      </c>
      <c r="AE540">
        <v>3.0338489507564874E-3</v>
      </c>
    </row>
    <row r="541" spans="29:31" x14ac:dyDescent="0.45">
      <c r="AC541" t="s">
        <v>19</v>
      </c>
      <c r="AD541" t="s">
        <v>301</v>
      </c>
      <c r="AE541">
        <v>3.0289723550022112E-3</v>
      </c>
    </row>
    <row r="542" spans="29:31" x14ac:dyDescent="0.45">
      <c r="AC542" t="s">
        <v>19</v>
      </c>
      <c r="AD542" t="s">
        <v>302</v>
      </c>
      <c r="AE542">
        <v>2.1508857467148177E-2</v>
      </c>
    </row>
    <row r="543" spans="29:31" x14ac:dyDescent="0.45">
      <c r="AC543" t="s">
        <v>19</v>
      </c>
      <c r="AD543" t="s">
        <v>303</v>
      </c>
      <c r="AE543">
        <v>3.0961065723435974E-3</v>
      </c>
    </row>
    <row r="544" spans="29:31" x14ac:dyDescent="0.45">
      <c r="AC544" t="s">
        <v>19</v>
      </c>
      <c r="AD544" t="s">
        <v>304</v>
      </c>
      <c r="AE544">
        <v>3.1009335591975951E-3</v>
      </c>
    </row>
    <row r="545" spans="29:31" x14ac:dyDescent="0.45">
      <c r="AC545" t="s">
        <v>19</v>
      </c>
      <c r="AD545" t="s">
        <v>305</v>
      </c>
      <c r="AE545">
        <v>3.0972800475482301E-3</v>
      </c>
    </row>
    <row r="546" spans="29:31" x14ac:dyDescent="0.45">
      <c r="AC546" t="s">
        <v>19</v>
      </c>
      <c r="AD546" t="s">
        <v>306</v>
      </c>
      <c r="AE546">
        <v>1.8599522920923903E-2</v>
      </c>
    </row>
    <row r="547" spans="29:31" x14ac:dyDescent="0.45">
      <c r="AC547" t="s">
        <v>19</v>
      </c>
      <c r="AD547" t="s">
        <v>628</v>
      </c>
      <c r="AE547">
        <v>1.1466096184132362E-4</v>
      </c>
    </row>
    <row r="548" spans="29:31" x14ac:dyDescent="0.45">
      <c r="AC548" t="s">
        <v>19</v>
      </c>
      <c r="AD548" t="s">
        <v>629</v>
      </c>
      <c r="AE548">
        <v>1.1452209132637029E-4</v>
      </c>
    </row>
    <row r="549" spans="29:31" x14ac:dyDescent="0.45">
      <c r="AC549" t="s">
        <v>19</v>
      </c>
      <c r="AD549" t="s">
        <v>630</v>
      </c>
      <c r="AE549">
        <v>1.141956660527575E-4</v>
      </c>
    </row>
    <row r="550" spans="29:31" x14ac:dyDescent="0.45">
      <c r="AC550" t="s">
        <v>19</v>
      </c>
      <c r="AD550" t="s">
        <v>631</v>
      </c>
      <c r="AE550">
        <v>1.1367205238922182E-4</v>
      </c>
    </row>
    <row r="551" spans="29:31" x14ac:dyDescent="0.45">
      <c r="AC551" t="s">
        <v>19</v>
      </c>
      <c r="AD551" t="s">
        <v>632</v>
      </c>
      <c r="AE551">
        <v>1.1316060978661268E-4</v>
      </c>
    </row>
    <row r="552" spans="29:31" x14ac:dyDescent="0.45">
      <c r="AC552" t="s">
        <v>19</v>
      </c>
      <c r="AD552" t="s">
        <v>633</v>
      </c>
      <c r="AE552">
        <v>1.125890860104545E-4</v>
      </c>
    </row>
    <row r="553" spans="29:31" x14ac:dyDescent="0.45">
      <c r="AC553" t="s">
        <v>19</v>
      </c>
      <c r="AD553" t="s">
        <v>634</v>
      </c>
      <c r="AE553">
        <v>1.1229885136500313E-4</v>
      </c>
    </row>
    <row r="554" spans="29:31" x14ac:dyDescent="0.45">
      <c r="AC554" t="s">
        <v>19</v>
      </c>
      <c r="AD554" t="s">
        <v>635</v>
      </c>
      <c r="AE554">
        <v>1.1204411923119435E-4</v>
      </c>
    </row>
    <row r="555" spans="29:31" x14ac:dyDescent="0.45">
      <c r="AC555" t="s">
        <v>19</v>
      </c>
      <c r="AD555" t="s">
        <v>636</v>
      </c>
      <c r="AE555">
        <v>1.1201885245276911E-4</v>
      </c>
    </row>
    <row r="556" spans="29:31" x14ac:dyDescent="0.45">
      <c r="AC556" t="s">
        <v>19</v>
      </c>
      <c r="AD556" t="s">
        <v>637</v>
      </c>
      <c r="AE556">
        <v>1.1204302254549248E-4</v>
      </c>
    </row>
    <row r="557" spans="29:31" x14ac:dyDescent="0.45">
      <c r="AC557" t="s">
        <v>19</v>
      </c>
      <c r="AD557" t="s">
        <v>638</v>
      </c>
      <c r="AE557">
        <v>1.1235340610276043E-4</v>
      </c>
    </row>
    <row r="558" spans="29:31" x14ac:dyDescent="0.45">
      <c r="AC558" t="s">
        <v>19</v>
      </c>
      <c r="AD558" t="s">
        <v>639</v>
      </c>
      <c r="AE558">
        <v>1.1265237122654426E-4</v>
      </c>
    </row>
    <row r="559" spans="29:31" x14ac:dyDescent="0.45">
      <c r="AC559" t="s">
        <v>19</v>
      </c>
      <c r="AD559" t="s">
        <v>640</v>
      </c>
      <c r="AE559">
        <v>1.1298109738976685E-4</v>
      </c>
    </row>
    <row r="560" spans="29:31" x14ac:dyDescent="0.45">
      <c r="AC560" t="s">
        <v>19</v>
      </c>
      <c r="AD560" t="s">
        <v>641</v>
      </c>
      <c r="AE560">
        <v>1.1341482583303234E-4</v>
      </c>
    </row>
    <row r="561" spans="29:31" x14ac:dyDescent="0.45">
      <c r="AC561" t="s">
        <v>19</v>
      </c>
      <c r="AD561" t="s">
        <v>642</v>
      </c>
      <c r="AE561">
        <v>1.1376318482068235E-4</v>
      </c>
    </row>
    <row r="562" spans="29:31" x14ac:dyDescent="0.45">
      <c r="AC562" t="s">
        <v>19</v>
      </c>
      <c r="AD562" t="s">
        <v>643</v>
      </c>
      <c r="AE562">
        <v>1.13544643315035E-4</v>
      </c>
    </row>
    <row r="563" spans="29:31" x14ac:dyDescent="0.45">
      <c r="AC563" t="s">
        <v>19</v>
      </c>
      <c r="AD563" t="s">
        <v>644</v>
      </c>
      <c r="AE563">
        <v>1.13700544713829E-4</v>
      </c>
    </row>
    <row r="564" spans="29:31" x14ac:dyDescent="0.45">
      <c r="AC564" t="s">
        <v>19</v>
      </c>
      <c r="AD564" t="s">
        <v>645</v>
      </c>
      <c r="AE564">
        <v>1.1358070492134914E-4</v>
      </c>
    </row>
    <row r="565" spans="29:31" x14ac:dyDescent="0.45">
      <c r="AC565" t="s">
        <v>19</v>
      </c>
      <c r="AD565" t="s">
        <v>646</v>
      </c>
      <c r="AE565">
        <v>1.1344460837611228E-4</v>
      </c>
    </row>
    <row r="566" spans="29:31" x14ac:dyDescent="0.45">
      <c r="AC566" t="s">
        <v>19</v>
      </c>
      <c r="AD566" t="s">
        <v>647</v>
      </c>
      <c r="AE566">
        <v>1.1350522714069164E-4</v>
      </c>
    </row>
    <row r="567" spans="29:31" x14ac:dyDescent="0.45">
      <c r="AC567" t="s">
        <v>19</v>
      </c>
      <c r="AD567" t="s">
        <v>648</v>
      </c>
      <c r="AE567">
        <v>1.1360881018041448E-4</v>
      </c>
    </row>
    <row r="568" spans="29:31" x14ac:dyDescent="0.45">
      <c r="AC568" t="s">
        <v>19</v>
      </c>
      <c r="AD568" t="s">
        <v>649</v>
      </c>
      <c r="AE568">
        <v>1.138627896867808E-4</v>
      </c>
    </row>
    <row r="569" spans="29:31" x14ac:dyDescent="0.45">
      <c r="AC569" t="s">
        <v>19</v>
      </c>
      <c r="AD569" t="s">
        <v>650</v>
      </c>
      <c r="AE569">
        <v>1.1410980201339412E-4</v>
      </c>
    </row>
    <row r="570" spans="29:31" x14ac:dyDescent="0.45">
      <c r="AC570" t="s">
        <v>19</v>
      </c>
      <c r="AD570" t="s">
        <v>651</v>
      </c>
      <c r="AE570">
        <v>1.140993082364822E-4</v>
      </c>
    </row>
    <row r="571" spans="29:31" x14ac:dyDescent="0.45">
      <c r="AC571" t="s">
        <v>19</v>
      </c>
      <c r="AD571" t="s">
        <v>652</v>
      </c>
      <c r="AE571">
        <v>1.1520487494216434E-4</v>
      </c>
    </row>
    <row r="572" spans="29:31" x14ac:dyDescent="0.45">
      <c r="AC572" t="s">
        <v>19</v>
      </c>
      <c r="AD572" t="s">
        <v>653</v>
      </c>
      <c r="AE572">
        <v>1.1493979955693212E-4</v>
      </c>
    </row>
    <row r="573" spans="29:31" x14ac:dyDescent="0.45">
      <c r="AC573" t="s">
        <v>19</v>
      </c>
      <c r="AD573" t="s">
        <v>654</v>
      </c>
      <c r="AE573">
        <v>1.1467076750171672E-4</v>
      </c>
    </row>
    <row r="574" spans="29:31" x14ac:dyDescent="0.45">
      <c r="AC574" t="s">
        <v>19</v>
      </c>
      <c r="AD574" t="s">
        <v>655</v>
      </c>
      <c r="AE574">
        <v>1.1396639423014487E-4</v>
      </c>
    </row>
    <row r="575" spans="29:31" x14ac:dyDescent="0.45">
      <c r="AC575" t="s">
        <v>19</v>
      </c>
      <c r="AD575" t="s">
        <v>656</v>
      </c>
      <c r="AE575">
        <v>1.1341813739377912E-4</v>
      </c>
    </row>
    <row r="576" spans="29:31" x14ac:dyDescent="0.45">
      <c r="AC576" t="s">
        <v>19</v>
      </c>
      <c r="AD576" t="s">
        <v>657</v>
      </c>
      <c r="AE576">
        <v>1.1257777509517648E-4</v>
      </c>
    </row>
    <row r="577" spans="29:31" x14ac:dyDescent="0.45">
      <c r="AC577" t="s">
        <v>19</v>
      </c>
      <c r="AD577" t="s">
        <v>658</v>
      </c>
      <c r="AE577">
        <v>1.1227859493498051E-4</v>
      </c>
    </row>
    <row r="578" spans="29:31" x14ac:dyDescent="0.45">
      <c r="AC578" t="s">
        <v>19</v>
      </c>
      <c r="AD578" t="s">
        <v>659</v>
      </c>
      <c r="AE578">
        <v>1.1211525327632683E-4</v>
      </c>
    </row>
    <row r="579" spans="29:31" x14ac:dyDescent="0.45">
      <c r="AC579" t="s">
        <v>19</v>
      </c>
      <c r="AD579" t="s">
        <v>660</v>
      </c>
      <c r="AE579">
        <v>1.1218292523522403E-4</v>
      </c>
    </row>
    <row r="580" spans="29:31" x14ac:dyDescent="0.45">
      <c r="AC580" t="s">
        <v>19</v>
      </c>
      <c r="AD580" t="s">
        <v>661</v>
      </c>
      <c r="AE580">
        <v>1.1229818475212551E-4</v>
      </c>
    </row>
    <row r="581" spans="29:31" x14ac:dyDescent="0.45">
      <c r="AC581" t="s">
        <v>19</v>
      </c>
      <c r="AD581" t="s">
        <v>662</v>
      </c>
      <c r="AE581">
        <v>1.1315007300241831E-4</v>
      </c>
    </row>
    <row r="582" spans="29:31" x14ac:dyDescent="0.45">
      <c r="AC582" t="s">
        <v>19</v>
      </c>
      <c r="AD582" t="s">
        <v>663</v>
      </c>
      <c r="AE582">
        <v>1.1403939909206287E-4</v>
      </c>
    </row>
    <row r="583" spans="29:31" x14ac:dyDescent="0.45">
      <c r="AC583" t="s">
        <v>19</v>
      </c>
      <c r="AD583" t="s">
        <v>664</v>
      </c>
      <c r="AE583">
        <v>1.1490513568729682E-4</v>
      </c>
    </row>
    <row r="584" spans="29:31" x14ac:dyDescent="0.45">
      <c r="AC584" t="s">
        <v>19</v>
      </c>
      <c r="AD584" t="s">
        <v>665</v>
      </c>
      <c r="AE584">
        <v>1.1555714759251512E-4</v>
      </c>
    </row>
    <row r="585" spans="29:31" x14ac:dyDescent="0.45">
      <c r="AC585" t="s">
        <v>19</v>
      </c>
      <c r="AD585" t="s">
        <v>666</v>
      </c>
      <c r="AE585">
        <v>1.1519031697706314E-4</v>
      </c>
    </row>
    <row r="586" spans="29:31" x14ac:dyDescent="0.45">
      <c r="AC586" t="s">
        <v>19</v>
      </c>
      <c r="AD586" t="s">
        <v>667</v>
      </c>
      <c r="AE586">
        <v>1.1503753360624505E-4</v>
      </c>
    </row>
    <row r="587" spans="29:31" x14ac:dyDescent="0.45">
      <c r="AC587" t="s">
        <v>19</v>
      </c>
      <c r="AD587" t="s">
        <v>668</v>
      </c>
      <c r="AE587">
        <v>1.1503127604665207E-4</v>
      </c>
    </row>
    <row r="588" spans="29:31" x14ac:dyDescent="0.45">
      <c r="AC588" t="s">
        <v>19</v>
      </c>
      <c r="AD588" t="s">
        <v>669</v>
      </c>
      <c r="AE588">
        <v>1.1498631193287576E-4</v>
      </c>
    </row>
    <row r="589" spans="29:31" x14ac:dyDescent="0.45">
      <c r="AC589" t="s">
        <v>19</v>
      </c>
      <c r="AD589" t="s">
        <v>670</v>
      </c>
      <c r="AE589">
        <v>1.1501635251965027E-4</v>
      </c>
    </row>
    <row r="590" spans="29:31" x14ac:dyDescent="0.45">
      <c r="AC590" t="s">
        <v>19</v>
      </c>
      <c r="AD590" t="s">
        <v>671</v>
      </c>
      <c r="AE590">
        <v>1.1500293424753337E-4</v>
      </c>
    </row>
    <row r="591" spans="29:31" x14ac:dyDescent="0.45">
      <c r="AC591" t="s">
        <v>19</v>
      </c>
      <c r="AD591" t="s">
        <v>672</v>
      </c>
      <c r="AE591">
        <v>1.1501615898687935E-4</v>
      </c>
    </row>
    <row r="592" spans="29:31" x14ac:dyDescent="0.45">
      <c r="AC592" t="s">
        <v>19</v>
      </c>
      <c r="AD592" t="s">
        <v>673</v>
      </c>
      <c r="AE592">
        <v>1.1504585551539446E-4</v>
      </c>
    </row>
    <row r="593" spans="29:31" x14ac:dyDescent="0.45">
      <c r="AC593" t="s">
        <v>19</v>
      </c>
      <c r="AD593" t="s">
        <v>674</v>
      </c>
      <c r="AE593">
        <v>1.150412752398161E-4</v>
      </c>
    </row>
    <row r="594" spans="29:31" x14ac:dyDescent="0.45">
      <c r="AC594" t="s">
        <v>19</v>
      </c>
      <c r="AD594" t="s">
        <v>675</v>
      </c>
      <c r="AE594">
        <v>1.1509894800554925E-4</v>
      </c>
    </row>
    <row r="595" spans="29:31" x14ac:dyDescent="0.45">
      <c r="AC595" t="s">
        <v>19</v>
      </c>
      <c r="AD595" t="s">
        <v>948</v>
      </c>
      <c r="AE595">
        <v>1.1502764193128708E-4</v>
      </c>
    </row>
    <row r="596" spans="29:31" x14ac:dyDescent="0.45">
      <c r="AC596" t="s">
        <v>19</v>
      </c>
      <c r="AD596" t="s">
        <v>949</v>
      </c>
      <c r="AE596">
        <v>1.1483432419678253E-4</v>
      </c>
    </row>
    <row r="597" spans="29:31" x14ac:dyDescent="0.45">
      <c r="AC597" t="s">
        <v>19</v>
      </c>
      <c r="AD597" t="s">
        <v>950</v>
      </c>
      <c r="AE597">
        <v>1.1459055891999237E-4</v>
      </c>
    </row>
    <row r="598" spans="29:31" x14ac:dyDescent="0.45">
      <c r="AC598" t="s">
        <v>19</v>
      </c>
      <c r="AD598" t="s">
        <v>951</v>
      </c>
      <c r="AE598">
        <v>1.1398781185679298E-4</v>
      </c>
    </row>
    <row r="599" spans="29:31" x14ac:dyDescent="0.45">
      <c r="AC599" t="s">
        <v>19</v>
      </c>
      <c r="AD599" t="s">
        <v>952</v>
      </c>
      <c r="AE599">
        <v>1.1347230506599459E-4</v>
      </c>
    </row>
    <row r="600" spans="29:31" x14ac:dyDescent="0.45">
      <c r="AC600" t="s">
        <v>19</v>
      </c>
      <c r="AD600" t="s">
        <v>953</v>
      </c>
      <c r="AE600">
        <v>1.1257777509517648E-4</v>
      </c>
    </row>
    <row r="601" spans="29:31" x14ac:dyDescent="0.45">
      <c r="AC601" t="s">
        <v>19</v>
      </c>
      <c r="AD601" t="s">
        <v>954</v>
      </c>
      <c r="AE601">
        <v>1.1226311231330718E-4</v>
      </c>
    </row>
    <row r="602" spans="29:31" x14ac:dyDescent="0.45">
      <c r="AC602" t="s">
        <v>19</v>
      </c>
      <c r="AD602" t="s">
        <v>955</v>
      </c>
      <c r="AE602">
        <v>1.1209977065465351E-4</v>
      </c>
    </row>
    <row r="603" spans="29:31" x14ac:dyDescent="0.45">
      <c r="AC603" t="s">
        <v>19</v>
      </c>
      <c r="AD603" t="s">
        <v>956</v>
      </c>
      <c r="AE603">
        <v>1.1215221803557192E-4</v>
      </c>
    </row>
    <row r="604" spans="29:31" x14ac:dyDescent="0.45">
      <c r="AC604" t="s">
        <v>19</v>
      </c>
      <c r="AD604" t="s">
        <v>957</v>
      </c>
      <c r="AE604">
        <v>1.1229818475212552E-4</v>
      </c>
    </row>
    <row r="605" spans="29:31" x14ac:dyDescent="0.45">
      <c r="AC605" t="s">
        <v>19</v>
      </c>
      <c r="AD605" t="s">
        <v>958</v>
      </c>
      <c r="AE605">
        <v>1.1301472908462392E-4</v>
      </c>
    </row>
    <row r="606" spans="29:31" x14ac:dyDescent="0.45">
      <c r="AC606" t="s">
        <v>19</v>
      </c>
      <c r="AD606" t="s">
        <v>959</v>
      </c>
      <c r="AE606">
        <v>1.1375155135078614E-4</v>
      </c>
    </row>
    <row r="607" spans="29:31" x14ac:dyDescent="0.45">
      <c r="AC607" t="s">
        <v>19</v>
      </c>
      <c r="AD607" t="s">
        <v>960</v>
      </c>
      <c r="AE607">
        <v>1.1472106451851385E-4</v>
      </c>
    </row>
    <row r="608" spans="29:31" x14ac:dyDescent="0.45">
      <c r="AC608" t="s">
        <v>19</v>
      </c>
      <c r="AD608" t="s">
        <v>961</v>
      </c>
      <c r="AE608">
        <v>1.152449577293853E-4</v>
      </c>
    </row>
    <row r="609" spans="29:31" x14ac:dyDescent="0.45">
      <c r="AC609" t="s">
        <v>19</v>
      </c>
      <c r="AD609" t="s">
        <v>962</v>
      </c>
      <c r="AE609">
        <v>1.1514722368007239E-4</v>
      </c>
    </row>
    <row r="610" spans="29:31" x14ac:dyDescent="0.45">
      <c r="AC610" t="s">
        <v>19</v>
      </c>
      <c r="AD610" t="s">
        <v>963</v>
      </c>
      <c r="AE610">
        <v>1.1505224209683472E-4</v>
      </c>
    </row>
    <row r="611" spans="29:31" x14ac:dyDescent="0.45">
      <c r="AC611" t="s">
        <v>19</v>
      </c>
      <c r="AD611" t="s">
        <v>964</v>
      </c>
      <c r="AE611">
        <v>1.1498631193287577E-4</v>
      </c>
    </row>
    <row r="612" spans="29:31" x14ac:dyDescent="0.45">
      <c r="AC612" t="s">
        <v>19</v>
      </c>
      <c r="AD612" t="s">
        <v>965</v>
      </c>
      <c r="AE612">
        <v>1.1497289366075887E-4</v>
      </c>
    </row>
    <row r="613" spans="29:31" x14ac:dyDescent="0.45">
      <c r="AC613" t="s">
        <v>19</v>
      </c>
      <c r="AD613" t="s">
        <v>966</v>
      </c>
      <c r="AE613">
        <v>1.1496607700649437E-4</v>
      </c>
    </row>
    <row r="614" spans="29:31" x14ac:dyDescent="0.45">
      <c r="AC614" t="s">
        <v>19</v>
      </c>
      <c r="AD614" t="s">
        <v>967</v>
      </c>
      <c r="AE614">
        <v>1.1496607700649437E-4</v>
      </c>
    </row>
    <row r="615" spans="29:31" x14ac:dyDescent="0.45">
      <c r="AC615" t="s">
        <v>19</v>
      </c>
      <c r="AD615" t="s">
        <v>968</v>
      </c>
      <c r="AE615">
        <v>1.1498710756760065E-4</v>
      </c>
    </row>
    <row r="616" spans="29:31" x14ac:dyDescent="0.45">
      <c r="AC616" t="s">
        <v>19</v>
      </c>
      <c r="AD616" t="s">
        <v>969</v>
      </c>
      <c r="AE616">
        <v>1.1501680409611575E-4</v>
      </c>
    </row>
    <row r="617" spans="29:31" x14ac:dyDescent="0.45">
      <c r="AC617" t="s">
        <v>19</v>
      </c>
      <c r="AD617" t="s">
        <v>970</v>
      </c>
      <c r="AE617">
        <v>1.1499102123030141E-4</v>
      </c>
    </row>
    <row r="618" spans="29:31" x14ac:dyDescent="0.45">
      <c r="AC618" t="s">
        <v>19</v>
      </c>
      <c r="AD618" t="s">
        <v>971</v>
      </c>
      <c r="AE618">
        <v>1.1504867249239337E-4</v>
      </c>
    </row>
    <row r="619" spans="29:31" x14ac:dyDescent="0.45">
      <c r="AC619" t="s">
        <v>19</v>
      </c>
      <c r="AD619" t="s">
        <v>331</v>
      </c>
      <c r="AE619">
        <v>1.9849064652353317E-2</v>
      </c>
    </row>
    <row r="620" spans="29:31" x14ac:dyDescent="0.45">
      <c r="AC620" t="s">
        <v>19</v>
      </c>
      <c r="AD620" t="s">
        <v>332</v>
      </c>
      <c r="AE620">
        <v>3.2604539523706086E-3</v>
      </c>
    </row>
    <row r="621" spans="29:31" x14ac:dyDescent="0.45">
      <c r="AC621" t="s">
        <v>19</v>
      </c>
      <c r="AD621" t="s">
        <v>333</v>
      </c>
      <c r="AE621">
        <v>3.2548289653911975E-3</v>
      </c>
    </row>
    <row r="622" spans="29:31" x14ac:dyDescent="0.45">
      <c r="AC622" t="s">
        <v>19</v>
      </c>
      <c r="AD622" t="s">
        <v>334</v>
      </c>
      <c r="AE622">
        <v>2.3056041177887763E-2</v>
      </c>
    </row>
    <row r="623" spans="29:31" x14ac:dyDescent="0.45">
      <c r="AC623" t="s">
        <v>19</v>
      </c>
      <c r="AD623" t="s">
        <v>335</v>
      </c>
      <c r="AE623">
        <v>3.326584551769303E-3</v>
      </c>
    </row>
    <row r="624" spans="29:31" x14ac:dyDescent="0.45">
      <c r="AC624" t="s">
        <v>19</v>
      </c>
      <c r="AD624" t="s">
        <v>336</v>
      </c>
      <c r="AE624">
        <v>3.3270499120687932E-3</v>
      </c>
    </row>
    <row r="625" spans="29:31" x14ac:dyDescent="0.45">
      <c r="AC625" t="s">
        <v>19</v>
      </c>
      <c r="AD625" t="s">
        <v>337</v>
      </c>
      <c r="AE625">
        <v>3.3273548767084752E-3</v>
      </c>
    </row>
    <row r="626" spans="29:31" x14ac:dyDescent="0.45">
      <c r="AC626" t="s">
        <v>19</v>
      </c>
      <c r="AD626" t="s">
        <v>338</v>
      </c>
      <c r="AE626">
        <v>1.9984164073747125E-2</v>
      </c>
    </row>
    <row r="627" spans="29:31" x14ac:dyDescent="0.45">
      <c r="AC627" t="s">
        <v>19</v>
      </c>
      <c r="AD627" t="s">
        <v>972</v>
      </c>
      <c r="AE627">
        <v>1.1558578668294191E-4</v>
      </c>
    </row>
    <row r="628" spans="29:31" x14ac:dyDescent="0.45">
      <c r="AC628" t="s">
        <v>19</v>
      </c>
      <c r="AD628" t="s">
        <v>973</v>
      </c>
      <c r="AE628">
        <v>1.1535460103626132E-4</v>
      </c>
    </row>
    <row r="629" spans="29:31" x14ac:dyDescent="0.45">
      <c r="AC629" t="s">
        <v>19</v>
      </c>
      <c r="AD629" t="s">
        <v>974</v>
      </c>
      <c r="AE629">
        <v>1.1508771934516722E-4</v>
      </c>
    </row>
    <row r="630" spans="29:31" x14ac:dyDescent="0.45">
      <c r="AC630" t="s">
        <v>19</v>
      </c>
      <c r="AD630" t="s">
        <v>975</v>
      </c>
      <c r="AE630">
        <v>1.1433550047189652E-4</v>
      </c>
    </row>
    <row r="631" spans="29:31" x14ac:dyDescent="0.45">
      <c r="AC631" t="s">
        <v>19</v>
      </c>
      <c r="AD631" t="s">
        <v>976</v>
      </c>
      <c r="AE631">
        <v>1.1378829731395021E-4</v>
      </c>
    </row>
    <row r="632" spans="29:31" x14ac:dyDescent="0.45">
      <c r="AC632" t="s">
        <v>19</v>
      </c>
      <c r="AD632" t="s">
        <v>977</v>
      </c>
      <c r="AE632">
        <v>1.1321109657651183E-4</v>
      </c>
    </row>
    <row r="633" spans="29:31" x14ac:dyDescent="0.45">
      <c r="AC633" t="s">
        <v>19</v>
      </c>
      <c r="AD633" t="s">
        <v>978</v>
      </c>
      <c r="AE633">
        <v>1.1279371090056818E-4</v>
      </c>
    </row>
    <row r="634" spans="29:31" x14ac:dyDescent="0.45">
      <c r="AC634" t="s">
        <v>19</v>
      </c>
      <c r="AD634" t="s">
        <v>979</v>
      </c>
      <c r="AE634">
        <v>1.1250151942376644E-4</v>
      </c>
    </row>
    <row r="635" spans="29:31" x14ac:dyDescent="0.45">
      <c r="AC635" t="s">
        <v>19</v>
      </c>
      <c r="AD635" t="s">
        <v>980</v>
      </c>
      <c r="AE635">
        <v>1.1249016550120598E-4</v>
      </c>
    </row>
    <row r="636" spans="29:31" x14ac:dyDescent="0.45">
      <c r="AC636" t="s">
        <v>19</v>
      </c>
      <c r="AD636" t="s">
        <v>981</v>
      </c>
      <c r="AE636">
        <v>1.1250050875262942E-4</v>
      </c>
    </row>
    <row r="637" spans="29:31" x14ac:dyDescent="0.45">
      <c r="AC637" t="s">
        <v>19</v>
      </c>
      <c r="AD637" t="s">
        <v>982</v>
      </c>
      <c r="AE637">
        <v>1.1308444012976746E-4</v>
      </c>
    </row>
    <row r="638" spans="29:31" x14ac:dyDescent="0.45">
      <c r="AC638" t="s">
        <v>19</v>
      </c>
      <c r="AD638" t="s">
        <v>983</v>
      </c>
      <c r="AE638">
        <v>1.1366594159544844E-4</v>
      </c>
    </row>
    <row r="639" spans="29:31" x14ac:dyDescent="0.45">
      <c r="AC639" t="s">
        <v>19</v>
      </c>
      <c r="AD639" t="s">
        <v>984</v>
      </c>
      <c r="AE639">
        <v>1.1441519296623176E-4</v>
      </c>
    </row>
    <row r="640" spans="29:31" x14ac:dyDescent="0.45">
      <c r="AC640" t="s">
        <v>19</v>
      </c>
      <c r="AD640" t="s">
        <v>985</v>
      </c>
      <c r="AE640">
        <v>1.1504647536132075E-4</v>
      </c>
    </row>
    <row r="641" spans="29:31" x14ac:dyDescent="0.45">
      <c r="AC641" t="s">
        <v>19</v>
      </c>
      <c r="AD641" t="s">
        <v>986</v>
      </c>
      <c r="AE641">
        <v>1.1520575283178518E-4</v>
      </c>
    </row>
    <row r="642" spans="29:31" x14ac:dyDescent="0.45">
      <c r="AC642" t="s">
        <v>19</v>
      </c>
      <c r="AD642" t="s">
        <v>987</v>
      </c>
      <c r="AE642">
        <v>1.1529578857754385E-4</v>
      </c>
    </row>
    <row r="643" spans="29:31" x14ac:dyDescent="0.45">
      <c r="AC643" t="s">
        <v>19</v>
      </c>
      <c r="AD643" t="s">
        <v>988</v>
      </c>
      <c r="AE643">
        <v>1.1536619149887511E-4</v>
      </c>
    </row>
    <row r="644" spans="29:31" x14ac:dyDescent="0.45">
      <c r="AC644" t="s">
        <v>19</v>
      </c>
      <c r="AD644" t="s">
        <v>989</v>
      </c>
      <c r="AE644">
        <v>1.1543225068468134E-4</v>
      </c>
    </row>
    <row r="645" spans="29:31" x14ac:dyDescent="0.45">
      <c r="AC645" t="s">
        <v>19</v>
      </c>
      <c r="AD645" t="s">
        <v>990</v>
      </c>
      <c r="AE645">
        <v>1.1547474187971815E-4</v>
      </c>
    </row>
    <row r="646" spans="29:31" x14ac:dyDescent="0.45">
      <c r="AC646" t="s">
        <v>19</v>
      </c>
      <c r="AD646" t="s">
        <v>991</v>
      </c>
      <c r="AE646">
        <v>1.1552071666463147E-4</v>
      </c>
    </row>
    <row r="647" spans="29:31" x14ac:dyDescent="0.45">
      <c r="AC647" t="s">
        <v>19</v>
      </c>
      <c r="AD647" t="s">
        <v>992</v>
      </c>
      <c r="AE647">
        <v>1.1557105668871101E-4</v>
      </c>
    </row>
    <row r="648" spans="29:31" x14ac:dyDescent="0.45">
      <c r="AC648" t="s">
        <v>19</v>
      </c>
      <c r="AD648" t="s">
        <v>993</v>
      </c>
      <c r="AE648">
        <v>1.1557161578338256E-4</v>
      </c>
    </row>
    <row r="649" spans="29:31" x14ac:dyDescent="0.45">
      <c r="AC649" t="s">
        <v>19</v>
      </c>
      <c r="AD649" t="s">
        <v>994</v>
      </c>
      <c r="AE649">
        <v>1.1557054060132191E-4</v>
      </c>
    </row>
    <row r="650" spans="29:31" x14ac:dyDescent="0.45">
      <c r="AC650" t="s">
        <v>19</v>
      </c>
      <c r="AD650" t="s">
        <v>995</v>
      </c>
      <c r="AE650">
        <v>1.158218106488954E-4</v>
      </c>
    </row>
    <row r="651" spans="29:31" x14ac:dyDescent="0.45">
      <c r="AC651" t="s">
        <v>19</v>
      </c>
      <c r="AD651" t="s">
        <v>996</v>
      </c>
      <c r="AE651">
        <v>1.1568625169468887E-4</v>
      </c>
    </row>
    <row r="652" spans="29:31" x14ac:dyDescent="0.45">
      <c r="AC652" t="s">
        <v>19</v>
      </c>
      <c r="AD652" t="s">
        <v>997</v>
      </c>
      <c r="AE652">
        <v>1.1535460103626132E-4</v>
      </c>
    </row>
    <row r="653" spans="29:31" x14ac:dyDescent="0.45">
      <c r="AC653" t="s">
        <v>19</v>
      </c>
      <c r="AD653" t="s">
        <v>998</v>
      </c>
      <c r="AE653">
        <v>1.1503331513289842E-4</v>
      </c>
    </row>
    <row r="654" spans="29:31" x14ac:dyDescent="0.45">
      <c r="AC654" t="s">
        <v>19</v>
      </c>
      <c r="AD654" t="s">
        <v>999</v>
      </c>
      <c r="AE654">
        <v>1.1413207602602189E-4</v>
      </c>
    </row>
    <row r="655" spans="29:31" x14ac:dyDescent="0.45">
      <c r="AC655" t="s">
        <v>19</v>
      </c>
      <c r="AD655" t="s">
        <v>1000</v>
      </c>
      <c r="AE655">
        <v>1.1375943942744242E-4</v>
      </c>
    </row>
    <row r="656" spans="29:31" x14ac:dyDescent="0.45">
      <c r="AC656" t="s">
        <v>19</v>
      </c>
      <c r="AD656" t="s">
        <v>1001</v>
      </c>
      <c r="AE656">
        <v>1.1304775491785814E-4</v>
      </c>
    </row>
    <row r="657" spans="29:31" x14ac:dyDescent="0.45">
      <c r="AC657" t="s">
        <v>19</v>
      </c>
      <c r="AD657" t="s">
        <v>1002</v>
      </c>
      <c r="AE657">
        <v>1.1271849116360524E-4</v>
      </c>
    </row>
    <row r="658" spans="29:31" x14ac:dyDescent="0.45">
      <c r="AC658" t="s">
        <v>19</v>
      </c>
      <c r="AD658" t="s">
        <v>1003</v>
      </c>
      <c r="AE658">
        <v>1.1238615238865888E-4</v>
      </c>
    </row>
    <row r="659" spans="29:31" x14ac:dyDescent="0.45">
      <c r="AC659" t="s">
        <v>19</v>
      </c>
      <c r="AD659" t="s">
        <v>1004</v>
      </c>
      <c r="AE659">
        <v>1.1244115870288164E-4</v>
      </c>
    </row>
    <row r="660" spans="29:31" x14ac:dyDescent="0.45">
      <c r="AC660" t="s">
        <v>19</v>
      </c>
      <c r="AD660" t="s">
        <v>1005</v>
      </c>
      <c r="AE660">
        <v>1.1252515192545949E-4</v>
      </c>
    </row>
    <row r="661" spans="29:31" x14ac:dyDescent="0.45">
      <c r="AC661" t="s">
        <v>19</v>
      </c>
      <c r="AD661" t="s">
        <v>1006</v>
      </c>
      <c r="AE661">
        <v>1.1310908330259752E-4</v>
      </c>
    </row>
    <row r="662" spans="29:31" x14ac:dyDescent="0.45">
      <c r="AC662" t="s">
        <v>19</v>
      </c>
      <c r="AD662" t="s">
        <v>1007</v>
      </c>
      <c r="AE662">
        <v>1.1368252090282366E-4</v>
      </c>
    </row>
    <row r="663" spans="29:31" x14ac:dyDescent="0.45">
      <c r="AC663" t="s">
        <v>19</v>
      </c>
      <c r="AD663" t="s">
        <v>1008</v>
      </c>
      <c r="AE663">
        <v>1.1444723339163909E-4</v>
      </c>
    </row>
    <row r="664" spans="29:31" x14ac:dyDescent="0.45">
      <c r="AC664" t="s">
        <v>19</v>
      </c>
      <c r="AD664" t="s">
        <v>1009</v>
      </c>
      <c r="AE664">
        <v>1.1495884802337794E-4</v>
      </c>
    </row>
    <row r="665" spans="29:31" x14ac:dyDescent="0.45">
      <c r="AC665" t="s">
        <v>19</v>
      </c>
      <c r="AD665" t="s">
        <v>1010</v>
      </c>
      <c r="AE665">
        <v>1.1513302751720294E-4</v>
      </c>
    </row>
    <row r="666" spans="29:31" x14ac:dyDescent="0.45">
      <c r="AC666" t="s">
        <v>19</v>
      </c>
      <c r="AD666" t="s">
        <v>1011</v>
      </c>
      <c r="AE666">
        <v>1.151805720679248E-4</v>
      </c>
    </row>
    <row r="667" spans="29:31" x14ac:dyDescent="0.45">
      <c r="AC667" t="s">
        <v>19</v>
      </c>
      <c r="AD667" t="s">
        <v>1012</v>
      </c>
      <c r="AE667">
        <v>1.1526260845915225E-4</v>
      </c>
    </row>
    <row r="668" spans="29:31" x14ac:dyDescent="0.45">
      <c r="AC668" t="s">
        <v>19</v>
      </c>
      <c r="AD668" t="s">
        <v>1013</v>
      </c>
      <c r="AE668">
        <v>1.153326673222241E-4</v>
      </c>
    </row>
    <row r="669" spans="29:31" x14ac:dyDescent="0.45">
      <c r="AC669" t="s">
        <v>19</v>
      </c>
      <c r="AD669" t="s">
        <v>1014</v>
      </c>
      <c r="AE669">
        <v>1.1538380298102853E-4</v>
      </c>
    </row>
    <row r="670" spans="29:31" x14ac:dyDescent="0.45">
      <c r="AC670" t="s">
        <v>19</v>
      </c>
      <c r="AD670" t="s">
        <v>1015</v>
      </c>
      <c r="AE670">
        <v>1.1547474187971815E-4</v>
      </c>
    </row>
    <row r="671" spans="29:31" x14ac:dyDescent="0.45">
      <c r="AC671" t="s">
        <v>19</v>
      </c>
      <c r="AD671" t="s">
        <v>1016</v>
      </c>
      <c r="AE671">
        <v>1.1553394140397746E-4</v>
      </c>
    </row>
    <row r="672" spans="29:31" x14ac:dyDescent="0.45">
      <c r="AC672" t="s">
        <v>19</v>
      </c>
      <c r="AD672" t="s">
        <v>1017</v>
      </c>
      <c r="AE672">
        <v>1.1553450049864899E-4</v>
      </c>
    </row>
    <row r="673" spans="29:31" x14ac:dyDescent="0.45">
      <c r="AC673" t="s">
        <v>19</v>
      </c>
      <c r="AD673" t="s">
        <v>1018</v>
      </c>
      <c r="AE673">
        <v>1.1557054060132191E-4</v>
      </c>
    </row>
    <row r="674" spans="29:31" x14ac:dyDescent="0.45">
      <c r="AC674" t="s">
        <v>19</v>
      </c>
      <c r="AD674" t="s">
        <v>1019</v>
      </c>
      <c r="AE674">
        <v>1.1560655920035363E-4</v>
      </c>
    </row>
    <row r="675" spans="29:31" x14ac:dyDescent="0.45">
      <c r="AC675" t="s">
        <v>19</v>
      </c>
      <c r="AD675" t="s">
        <v>339</v>
      </c>
      <c r="AE675">
        <v>2.0548453822010204E-2</v>
      </c>
    </row>
    <row r="676" spans="29:31" x14ac:dyDescent="0.45">
      <c r="AC676" t="s">
        <v>19</v>
      </c>
      <c r="AD676" t="s">
        <v>340</v>
      </c>
      <c r="AE676">
        <v>3.379574715271021E-3</v>
      </c>
    </row>
    <row r="677" spans="29:31" x14ac:dyDescent="0.45">
      <c r="AC677" t="s">
        <v>19</v>
      </c>
      <c r="AD677" t="s">
        <v>341</v>
      </c>
      <c r="AE677">
        <v>3.3722211580927064E-3</v>
      </c>
    </row>
    <row r="678" spans="29:31" x14ac:dyDescent="0.45">
      <c r="AC678" t="s">
        <v>19</v>
      </c>
      <c r="AD678" t="s">
        <v>342</v>
      </c>
      <c r="AE678">
        <v>2.3827821977797994E-2</v>
      </c>
    </row>
    <row r="679" spans="29:31" x14ac:dyDescent="0.45">
      <c r="AC679" t="s">
        <v>19</v>
      </c>
      <c r="AD679" t="s">
        <v>343</v>
      </c>
      <c r="AE679">
        <v>3.4402832575524313E-3</v>
      </c>
    </row>
    <row r="680" spans="29:31" x14ac:dyDescent="0.45">
      <c r="AC680" t="s">
        <v>19</v>
      </c>
      <c r="AD680" t="s">
        <v>344</v>
      </c>
      <c r="AE680">
        <v>3.44164882478402E-3</v>
      </c>
    </row>
    <row r="681" spans="29:31" x14ac:dyDescent="0.45">
      <c r="AC681" t="s">
        <v>19</v>
      </c>
      <c r="AD681" t="s">
        <v>345</v>
      </c>
      <c r="AE681">
        <v>3.443684079913903E-3</v>
      </c>
    </row>
    <row r="682" spans="29:31" x14ac:dyDescent="0.45">
      <c r="AC682" t="s">
        <v>19</v>
      </c>
      <c r="AD682" t="s">
        <v>346</v>
      </c>
      <c r="AE682">
        <v>2.0692724073301229E-2</v>
      </c>
    </row>
    <row r="683" spans="29:31" x14ac:dyDescent="0.45">
      <c r="AC683" t="s">
        <v>19</v>
      </c>
      <c r="AD683" t="s">
        <v>347</v>
      </c>
      <c r="AE683">
        <v>2.1239478364632636E-2</v>
      </c>
    </row>
    <row r="684" spans="29:31" x14ac:dyDescent="0.45">
      <c r="AC684" t="s">
        <v>19</v>
      </c>
      <c r="AD684" t="s">
        <v>348</v>
      </c>
      <c r="AE684">
        <v>3.4901148460204979E-3</v>
      </c>
    </row>
    <row r="685" spans="29:31" x14ac:dyDescent="0.45">
      <c r="AC685" t="s">
        <v>19</v>
      </c>
      <c r="AD685" t="s">
        <v>349</v>
      </c>
      <c r="AE685">
        <v>3.4806753711336021E-3</v>
      </c>
    </row>
    <row r="686" spans="29:31" x14ac:dyDescent="0.45">
      <c r="AC686" t="s">
        <v>19</v>
      </c>
      <c r="AD686" t="s">
        <v>350</v>
      </c>
      <c r="AE686">
        <v>2.4573462626051094E-2</v>
      </c>
    </row>
    <row r="687" spans="29:31" x14ac:dyDescent="0.45">
      <c r="AC687" t="s">
        <v>19</v>
      </c>
      <c r="AD687" t="s">
        <v>351</v>
      </c>
      <c r="AE687">
        <v>3.557426769452868E-3</v>
      </c>
    </row>
    <row r="688" spans="29:31" x14ac:dyDescent="0.45">
      <c r="AC688" t="s">
        <v>19</v>
      </c>
      <c r="AD688" t="s">
        <v>352</v>
      </c>
      <c r="AE688">
        <v>3.5620926725305397E-3</v>
      </c>
    </row>
    <row r="689" spans="29:31" x14ac:dyDescent="0.45">
      <c r="AC689" t="s">
        <v>19</v>
      </c>
      <c r="AD689" t="s">
        <v>353</v>
      </c>
      <c r="AE689">
        <v>3.5667831327664762E-3</v>
      </c>
    </row>
    <row r="690" spans="29:31" x14ac:dyDescent="0.45">
      <c r="AC690" t="s">
        <v>19</v>
      </c>
      <c r="AD690" t="s">
        <v>354</v>
      </c>
      <c r="AE690">
        <v>2.145256291275302E-2</v>
      </c>
    </row>
    <row r="691" spans="29:31" x14ac:dyDescent="0.45">
      <c r="AC691" t="s">
        <v>19</v>
      </c>
      <c r="AD691" t="s">
        <v>355</v>
      </c>
      <c r="AE691">
        <v>2.1237807807494583E-2</v>
      </c>
    </row>
    <row r="692" spans="29:31" x14ac:dyDescent="0.45">
      <c r="AC692" t="s">
        <v>19</v>
      </c>
      <c r="AD692" t="s">
        <v>356</v>
      </c>
      <c r="AE692">
        <v>3.4888832171749555E-3</v>
      </c>
    </row>
    <row r="693" spans="29:31" x14ac:dyDescent="0.45">
      <c r="AC693" t="s">
        <v>19</v>
      </c>
      <c r="AD693" t="s">
        <v>357</v>
      </c>
      <c r="AE693">
        <v>3.4800252222500988E-3</v>
      </c>
    </row>
    <row r="694" spans="29:31" x14ac:dyDescent="0.45">
      <c r="AC694" t="s">
        <v>19</v>
      </c>
      <c r="AD694" t="s">
        <v>358</v>
      </c>
      <c r="AE694">
        <v>2.458106701164595E-2</v>
      </c>
    </row>
    <row r="695" spans="29:31" x14ac:dyDescent="0.45">
      <c r="AC695" t="s">
        <v>19</v>
      </c>
      <c r="AD695" t="s">
        <v>359</v>
      </c>
      <c r="AE695">
        <v>3.5565696910299731E-3</v>
      </c>
    </row>
    <row r="696" spans="29:31" x14ac:dyDescent="0.45">
      <c r="AC696" t="s">
        <v>19</v>
      </c>
      <c r="AD696" t="s">
        <v>360</v>
      </c>
      <c r="AE696">
        <v>3.5593149318817849E-3</v>
      </c>
    </row>
    <row r="697" spans="29:31" x14ac:dyDescent="0.45">
      <c r="AC697" t="s">
        <v>19</v>
      </c>
      <c r="AD697" t="s">
        <v>361</v>
      </c>
      <c r="AE697">
        <v>3.562844862105099E-3</v>
      </c>
    </row>
    <row r="698" spans="29:31" x14ac:dyDescent="0.45">
      <c r="AC698" t="s">
        <v>19</v>
      </c>
      <c r="AD698" t="s">
        <v>362</v>
      </c>
      <c r="AE698">
        <v>2.1438247074888759E-2</v>
      </c>
    </row>
    <row r="699" spans="29:31" x14ac:dyDescent="0.45">
      <c r="AC699" t="s">
        <v>19</v>
      </c>
      <c r="AD699" t="s">
        <v>363</v>
      </c>
      <c r="AE699">
        <v>1.9848248473521318E-2</v>
      </c>
    </row>
    <row r="700" spans="29:31" x14ac:dyDescent="0.45">
      <c r="AC700" t="s">
        <v>19</v>
      </c>
      <c r="AD700" t="s">
        <v>364</v>
      </c>
      <c r="AE700">
        <v>3.2616976427767216E-3</v>
      </c>
    </row>
    <row r="701" spans="29:31" x14ac:dyDescent="0.45">
      <c r="AC701" t="s">
        <v>19</v>
      </c>
      <c r="AD701" t="s">
        <v>365</v>
      </c>
      <c r="AE701">
        <v>3.2547978554352828E-3</v>
      </c>
    </row>
    <row r="702" spans="29:31" x14ac:dyDescent="0.45">
      <c r="AC702" t="s">
        <v>19</v>
      </c>
      <c r="AD702" t="s">
        <v>366</v>
      </c>
      <c r="AE702">
        <v>2.3014948620365877E-2</v>
      </c>
    </row>
    <row r="703" spans="29:31" x14ac:dyDescent="0.45">
      <c r="AC703" t="s">
        <v>19</v>
      </c>
      <c r="AD703" t="s">
        <v>367</v>
      </c>
      <c r="AE703">
        <v>3.3276084964658607E-3</v>
      </c>
    </row>
    <row r="704" spans="29:31" x14ac:dyDescent="0.45">
      <c r="AC704" t="s">
        <v>19</v>
      </c>
      <c r="AD704" t="s">
        <v>368</v>
      </c>
      <c r="AE704">
        <v>3.3295884657341857E-3</v>
      </c>
    </row>
    <row r="705" spans="29:31" x14ac:dyDescent="0.45">
      <c r="AC705" t="s">
        <v>19</v>
      </c>
      <c r="AD705" t="s">
        <v>369</v>
      </c>
      <c r="AE705">
        <v>3.3317073700283879E-3</v>
      </c>
    </row>
    <row r="706" spans="29:31" x14ac:dyDescent="0.45">
      <c r="AC706" t="s">
        <v>19</v>
      </c>
      <c r="AD706" t="s">
        <v>370</v>
      </c>
      <c r="AE706">
        <v>2.0031763730171657E-2</v>
      </c>
    </row>
    <row r="707" spans="29:31" x14ac:dyDescent="0.45">
      <c r="AC707" t="s">
        <v>19</v>
      </c>
      <c r="AD707" t="s">
        <v>1020</v>
      </c>
      <c r="AE707">
        <v>1.1600209663576553E-4</v>
      </c>
    </row>
    <row r="708" spans="29:31" x14ac:dyDescent="0.45">
      <c r="AC708" t="s">
        <v>19</v>
      </c>
      <c r="AD708" t="s">
        <v>1021</v>
      </c>
      <c r="AE708">
        <v>1.1568119779794447E-4</v>
      </c>
    </row>
    <row r="709" spans="29:31" x14ac:dyDescent="0.45">
      <c r="AC709" t="s">
        <v>19</v>
      </c>
      <c r="AD709" t="s">
        <v>1022</v>
      </c>
      <c r="AE709">
        <v>1.1546306486148016E-4</v>
      </c>
    </row>
    <row r="710" spans="29:31" x14ac:dyDescent="0.45">
      <c r="AC710" t="s">
        <v>19</v>
      </c>
      <c r="AD710" t="s">
        <v>1023</v>
      </c>
      <c r="AE710">
        <v>1.1447310173095893E-4</v>
      </c>
    </row>
    <row r="711" spans="29:31" x14ac:dyDescent="0.45">
      <c r="AC711" t="s">
        <v>19</v>
      </c>
      <c r="AD711" t="s">
        <v>1024</v>
      </c>
      <c r="AE711">
        <v>1.1388173009396119E-4</v>
      </c>
    </row>
    <row r="712" spans="29:31" x14ac:dyDescent="0.45">
      <c r="AC712" t="s">
        <v>19</v>
      </c>
      <c r="AD712" t="s">
        <v>1025</v>
      </c>
      <c r="AE712">
        <v>1.1334435410004921E-4</v>
      </c>
    </row>
    <row r="713" spans="29:31" x14ac:dyDescent="0.45">
      <c r="AC713" t="s">
        <v>19</v>
      </c>
      <c r="AD713" t="s">
        <v>1026</v>
      </c>
      <c r="AE713">
        <v>1.1307192446952216E-4</v>
      </c>
    </row>
    <row r="714" spans="29:31" x14ac:dyDescent="0.45">
      <c r="AC714" t="s">
        <v>19</v>
      </c>
      <c r="AD714" t="s">
        <v>1027</v>
      </c>
      <c r="AE714">
        <v>1.1279904326252966E-4</v>
      </c>
    </row>
    <row r="715" spans="29:31" x14ac:dyDescent="0.45">
      <c r="AC715" t="s">
        <v>19</v>
      </c>
      <c r="AD715" t="s">
        <v>1028</v>
      </c>
      <c r="AE715">
        <v>1.127570036439583E-4</v>
      </c>
    </row>
    <row r="716" spans="29:31" x14ac:dyDescent="0.45">
      <c r="AC716" t="s">
        <v>19</v>
      </c>
      <c r="AD716" t="s">
        <v>1029</v>
      </c>
      <c r="AE716">
        <v>1.1280446218011532E-4</v>
      </c>
    </row>
    <row r="717" spans="29:31" x14ac:dyDescent="0.45">
      <c r="AC717" t="s">
        <v>19</v>
      </c>
      <c r="AD717" t="s">
        <v>1030</v>
      </c>
      <c r="AE717">
        <v>1.1330837850829992E-4</v>
      </c>
    </row>
    <row r="718" spans="29:31" x14ac:dyDescent="0.45">
      <c r="AC718" t="s">
        <v>19</v>
      </c>
      <c r="AD718" t="s">
        <v>1031</v>
      </c>
      <c r="AE718">
        <v>1.1372843063575396E-4</v>
      </c>
    </row>
    <row r="719" spans="29:31" x14ac:dyDescent="0.45">
      <c r="AC719" t="s">
        <v>19</v>
      </c>
      <c r="AD719" t="s">
        <v>1032</v>
      </c>
      <c r="AE719">
        <v>1.1439125887250238E-4</v>
      </c>
    </row>
    <row r="720" spans="29:31" x14ac:dyDescent="0.45">
      <c r="AC720" t="s">
        <v>19</v>
      </c>
      <c r="AD720" t="s">
        <v>1033</v>
      </c>
      <c r="AE720">
        <v>1.1497493220594586E-4</v>
      </c>
    </row>
    <row r="721" spans="29:31" x14ac:dyDescent="0.45">
      <c r="AC721" t="s">
        <v>19</v>
      </c>
      <c r="AD721" t="s">
        <v>1034</v>
      </c>
      <c r="AE721">
        <v>1.1530903427947169E-4</v>
      </c>
    </row>
    <row r="722" spans="29:31" x14ac:dyDescent="0.45">
      <c r="AC722" t="s">
        <v>19</v>
      </c>
      <c r="AD722" t="s">
        <v>1035</v>
      </c>
      <c r="AE722">
        <v>1.1548033228537417E-4</v>
      </c>
    </row>
    <row r="723" spans="29:31" x14ac:dyDescent="0.45">
      <c r="AC723" t="s">
        <v>19</v>
      </c>
      <c r="AD723" t="s">
        <v>1036</v>
      </c>
      <c r="AE723">
        <v>1.1573641914857936E-4</v>
      </c>
    </row>
    <row r="724" spans="29:31" x14ac:dyDescent="0.45">
      <c r="AC724" t="s">
        <v>19</v>
      </c>
      <c r="AD724" t="s">
        <v>1037</v>
      </c>
      <c r="AE724">
        <v>1.1595433704863154E-4</v>
      </c>
    </row>
    <row r="725" spans="29:31" x14ac:dyDescent="0.45">
      <c r="AC725" t="s">
        <v>19</v>
      </c>
      <c r="AD725" t="s">
        <v>1038</v>
      </c>
      <c r="AE725">
        <v>1.1636120744402204E-4</v>
      </c>
    </row>
    <row r="726" spans="29:31" x14ac:dyDescent="0.45">
      <c r="AC726" t="s">
        <v>19</v>
      </c>
      <c r="AD726" t="s">
        <v>1039</v>
      </c>
      <c r="AE726">
        <v>1.1649954036794505E-4</v>
      </c>
    </row>
    <row r="727" spans="29:31" x14ac:dyDescent="0.45">
      <c r="AC727" t="s">
        <v>19</v>
      </c>
      <c r="AD727" t="s">
        <v>1040</v>
      </c>
      <c r="AE727">
        <v>1.1654274118314189E-4</v>
      </c>
    </row>
    <row r="728" spans="29:31" x14ac:dyDescent="0.45">
      <c r="AC728" t="s">
        <v>19</v>
      </c>
      <c r="AD728" t="s">
        <v>1041</v>
      </c>
      <c r="AE728">
        <v>1.164951536251376E-4</v>
      </c>
    </row>
    <row r="729" spans="29:31" x14ac:dyDescent="0.45">
      <c r="AC729" t="s">
        <v>19</v>
      </c>
      <c r="AD729" t="s">
        <v>1042</v>
      </c>
      <c r="AE729">
        <v>1.1598682905050432E-4</v>
      </c>
    </row>
    <row r="730" spans="29:31" x14ac:dyDescent="0.45">
      <c r="AC730" t="s">
        <v>19</v>
      </c>
      <c r="AD730" t="s">
        <v>1043</v>
      </c>
      <c r="AE730">
        <v>1.1592993041585481E-4</v>
      </c>
    </row>
    <row r="731" spans="29:31" x14ac:dyDescent="0.45">
      <c r="AC731" t="s">
        <v>19</v>
      </c>
      <c r="AD731" t="s">
        <v>395</v>
      </c>
      <c r="AE731">
        <v>1.9168828003961445E-2</v>
      </c>
    </row>
    <row r="732" spans="29:31" x14ac:dyDescent="0.45">
      <c r="AC732" t="s">
        <v>19</v>
      </c>
      <c r="AD732" t="s">
        <v>396</v>
      </c>
      <c r="AE732">
        <v>3.1482792673445713E-3</v>
      </c>
    </row>
    <row r="733" spans="29:31" x14ac:dyDescent="0.45">
      <c r="AC733" t="s">
        <v>19</v>
      </c>
      <c r="AD733" t="s">
        <v>397</v>
      </c>
      <c r="AE733">
        <v>3.1428599841970034E-3</v>
      </c>
    </row>
    <row r="734" spans="29:31" x14ac:dyDescent="0.45">
      <c r="AC734" t="s">
        <v>19</v>
      </c>
      <c r="AD734" t="s">
        <v>398</v>
      </c>
      <c r="AE734">
        <v>2.2275990739541018E-2</v>
      </c>
    </row>
    <row r="735" spans="29:31" x14ac:dyDescent="0.45">
      <c r="AC735" t="s">
        <v>19</v>
      </c>
      <c r="AD735" t="s">
        <v>399</v>
      </c>
      <c r="AE735">
        <v>3.2100837642040415E-3</v>
      </c>
    </row>
    <row r="736" spans="29:31" x14ac:dyDescent="0.45">
      <c r="AC736" t="s">
        <v>19</v>
      </c>
      <c r="AD736" t="s">
        <v>400</v>
      </c>
      <c r="AE736">
        <v>3.2112254140196791E-3</v>
      </c>
    </row>
    <row r="737" spans="29:31" x14ac:dyDescent="0.45">
      <c r="AC737" t="s">
        <v>19</v>
      </c>
      <c r="AD737" t="s">
        <v>401</v>
      </c>
      <c r="AE737">
        <v>3.2108772055575172E-3</v>
      </c>
    </row>
    <row r="738" spans="29:31" x14ac:dyDescent="0.45">
      <c r="AC738" t="s">
        <v>19</v>
      </c>
      <c r="AD738" t="s">
        <v>402</v>
      </c>
      <c r="AE738">
        <v>1.9281154639237897E-2</v>
      </c>
    </row>
    <row r="739" spans="29:31" x14ac:dyDescent="0.45">
      <c r="AC739" t="s">
        <v>19</v>
      </c>
      <c r="AD739" t="s">
        <v>1044</v>
      </c>
      <c r="AE739">
        <v>1.1518286452949457E-4</v>
      </c>
    </row>
    <row r="740" spans="29:31" x14ac:dyDescent="0.45">
      <c r="AC740" t="s">
        <v>19</v>
      </c>
      <c r="AD740" t="s">
        <v>1045</v>
      </c>
      <c r="AE740">
        <v>1.1497612852287314E-4</v>
      </c>
    </row>
    <row r="741" spans="29:31" x14ac:dyDescent="0.45">
      <c r="AC741" t="s">
        <v>19</v>
      </c>
      <c r="AD741" t="s">
        <v>1046</v>
      </c>
      <c r="AE741">
        <v>1.1476556486811577E-4</v>
      </c>
    </row>
    <row r="742" spans="29:31" x14ac:dyDescent="0.45">
      <c r="AC742" t="s">
        <v>19</v>
      </c>
      <c r="AD742" t="s">
        <v>1047</v>
      </c>
      <c r="AE742">
        <v>1.1412486387817552E-4</v>
      </c>
    </row>
    <row r="743" spans="29:31" x14ac:dyDescent="0.45">
      <c r="AC743" t="s">
        <v>19</v>
      </c>
      <c r="AD743" t="s">
        <v>1048</v>
      </c>
      <c r="AE743">
        <v>1.1364417148250091E-4</v>
      </c>
    </row>
    <row r="744" spans="29:31" x14ac:dyDescent="0.45">
      <c r="AC744" t="s">
        <v>19</v>
      </c>
      <c r="AD744" t="s">
        <v>1049</v>
      </c>
      <c r="AE744">
        <v>1.1273125589844572E-4</v>
      </c>
    </row>
    <row r="745" spans="29:31" x14ac:dyDescent="0.45">
      <c r="AC745" t="s">
        <v>19</v>
      </c>
      <c r="AD745" t="s">
        <v>1050</v>
      </c>
      <c r="AE745">
        <v>1.1241996918824685E-4</v>
      </c>
    </row>
    <row r="746" spans="29:31" x14ac:dyDescent="0.45">
      <c r="AC746" t="s">
        <v>19</v>
      </c>
      <c r="AD746" t="s">
        <v>1051</v>
      </c>
      <c r="AE746">
        <v>1.1225662752959317E-4</v>
      </c>
    </row>
    <row r="747" spans="29:31" x14ac:dyDescent="0.45">
      <c r="AC747" t="s">
        <v>19</v>
      </c>
      <c r="AD747" t="s">
        <v>1052</v>
      </c>
      <c r="AE747">
        <v>1.1230907491051159E-4</v>
      </c>
    </row>
    <row r="748" spans="29:31" x14ac:dyDescent="0.45">
      <c r="AC748" t="s">
        <v>19</v>
      </c>
      <c r="AD748" t="s">
        <v>1053</v>
      </c>
      <c r="AE748">
        <v>1.1240721752900757E-4</v>
      </c>
    </row>
    <row r="749" spans="29:31" x14ac:dyDescent="0.45">
      <c r="AC749" t="s">
        <v>19</v>
      </c>
      <c r="AD749" t="s">
        <v>1054</v>
      </c>
      <c r="AE749">
        <v>1.1307092741504571E-4</v>
      </c>
    </row>
    <row r="750" spans="29:31" x14ac:dyDescent="0.45">
      <c r="AC750" t="s">
        <v>19</v>
      </c>
      <c r="AD750" t="s">
        <v>1055</v>
      </c>
      <c r="AE750">
        <v>1.1388845284668018E-4</v>
      </c>
    </row>
    <row r="751" spans="29:31" x14ac:dyDescent="0.45">
      <c r="AC751" t="s">
        <v>19</v>
      </c>
      <c r="AD751" t="s">
        <v>1056</v>
      </c>
      <c r="AE751">
        <v>1.1478728354574087E-4</v>
      </c>
    </row>
    <row r="752" spans="29:31" x14ac:dyDescent="0.45">
      <c r="AC752" t="s">
        <v>19</v>
      </c>
      <c r="AD752" t="s">
        <v>1057</v>
      </c>
      <c r="AE752">
        <v>1.1543908041454704E-4</v>
      </c>
    </row>
    <row r="753" spans="29:31" x14ac:dyDescent="0.45">
      <c r="AC753" t="s">
        <v>19</v>
      </c>
      <c r="AD753" t="s">
        <v>1058</v>
      </c>
      <c r="AE753">
        <v>1.153272184729572E-4</v>
      </c>
    </row>
    <row r="754" spans="29:31" x14ac:dyDescent="0.45">
      <c r="AC754" t="s">
        <v>19</v>
      </c>
      <c r="AD754" t="s">
        <v>1059</v>
      </c>
      <c r="AE754">
        <v>1.1512147163383156E-4</v>
      </c>
    </row>
    <row r="755" spans="29:31" x14ac:dyDescent="0.45">
      <c r="AC755" t="s">
        <v>19</v>
      </c>
      <c r="AD755" t="s">
        <v>1060</v>
      </c>
      <c r="AE755">
        <v>1.1518649864485957E-4</v>
      </c>
    </row>
    <row r="756" spans="29:31" x14ac:dyDescent="0.45">
      <c r="AC756" t="s">
        <v>19</v>
      </c>
      <c r="AD756" t="s">
        <v>1061</v>
      </c>
      <c r="AE756">
        <v>1.1512811625896636E-4</v>
      </c>
    </row>
    <row r="757" spans="29:31" x14ac:dyDescent="0.45">
      <c r="AC757" t="s">
        <v>19</v>
      </c>
      <c r="AD757" t="s">
        <v>1062</v>
      </c>
      <c r="AE757">
        <v>1.1515815684574087E-4</v>
      </c>
    </row>
    <row r="758" spans="29:31" x14ac:dyDescent="0.45">
      <c r="AC758" t="s">
        <v>19</v>
      </c>
      <c r="AD758" t="s">
        <v>1063</v>
      </c>
      <c r="AE758">
        <v>1.1516596266750117E-4</v>
      </c>
    </row>
    <row r="759" spans="29:31" x14ac:dyDescent="0.45">
      <c r="AC759" t="s">
        <v>19</v>
      </c>
      <c r="AD759" t="s">
        <v>1064</v>
      </c>
      <c r="AE759">
        <v>1.1517918740684715E-4</v>
      </c>
    </row>
    <row r="760" spans="29:31" x14ac:dyDescent="0.45">
      <c r="AC760" t="s">
        <v>19</v>
      </c>
      <c r="AD760" t="s">
        <v>1065</v>
      </c>
      <c r="AE760">
        <v>1.1521133535046053E-4</v>
      </c>
    </row>
    <row r="761" spans="29:31" x14ac:dyDescent="0.45">
      <c r="AC761" t="s">
        <v>19</v>
      </c>
      <c r="AD761" t="s">
        <v>1066</v>
      </c>
      <c r="AE761">
        <v>1.1519090689130821E-4</v>
      </c>
    </row>
    <row r="762" spans="29:31" x14ac:dyDescent="0.45">
      <c r="AC762" t="s">
        <v>19</v>
      </c>
      <c r="AD762" t="s">
        <v>1067</v>
      </c>
      <c r="AE762">
        <v>1.1524075233163987E-4</v>
      </c>
    </row>
    <row r="763" spans="29:31" x14ac:dyDescent="0.45">
      <c r="AC763" t="s">
        <v>19</v>
      </c>
      <c r="AD763" t="s">
        <v>1068</v>
      </c>
      <c r="AE763">
        <v>1.1518286452949457E-4</v>
      </c>
    </row>
    <row r="764" spans="29:31" x14ac:dyDescent="0.45">
      <c r="AC764" t="s">
        <v>19</v>
      </c>
      <c r="AD764" t="s">
        <v>1069</v>
      </c>
      <c r="AE764">
        <v>1.1497612852287314E-4</v>
      </c>
    </row>
    <row r="765" spans="29:31" x14ac:dyDescent="0.45">
      <c r="AC765" t="s">
        <v>19</v>
      </c>
      <c r="AD765" t="s">
        <v>1070</v>
      </c>
      <c r="AE765">
        <v>1.1476556486811577E-4</v>
      </c>
    </row>
    <row r="766" spans="29:31" x14ac:dyDescent="0.45">
      <c r="AC766" t="s">
        <v>19</v>
      </c>
      <c r="AD766" t="s">
        <v>1071</v>
      </c>
      <c r="AE766">
        <v>1.1412486387817552E-4</v>
      </c>
    </row>
    <row r="767" spans="29:31" x14ac:dyDescent="0.45">
      <c r="AC767" t="s">
        <v>19</v>
      </c>
      <c r="AD767" t="s">
        <v>1072</v>
      </c>
      <c r="AE767">
        <v>1.1364417148250091E-4</v>
      </c>
    </row>
    <row r="768" spans="29:31" x14ac:dyDescent="0.45">
      <c r="AC768" t="s">
        <v>19</v>
      </c>
      <c r="AD768" t="s">
        <v>1073</v>
      </c>
      <c r="AE768">
        <v>1.1273125589844572E-4</v>
      </c>
    </row>
    <row r="769" spans="29:31" x14ac:dyDescent="0.45">
      <c r="AC769" t="s">
        <v>19</v>
      </c>
      <c r="AD769" t="s">
        <v>1074</v>
      </c>
      <c r="AE769">
        <v>1.1241996918824685E-4</v>
      </c>
    </row>
    <row r="770" spans="29:31" x14ac:dyDescent="0.45">
      <c r="AC770" t="s">
        <v>19</v>
      </c>
      <c r="AD770" t="s">
        <v>1075</v>
      </c>
      <c r="AE770">
        <v>1.1225662752959317E-4</v>
      </c>
    </row>
    <row r="771" spans="29:31" x14ac:dyDescent="0.45">
      <c r="AC771" t="s">
        <v>19</v>
      </c>
      <c r="AD771" t="s">
        <v>1076</v>
      </c>
      <c r="AE771">
        <v>1.1230907491051159E-4</v>
      </c>
    </row>
    <row r="772" spans="29:31" x14ac:dyDescent="0.45">
      <c r="AC772" t="s">
        <v>19</v>
      </c>
      <c r="AD772" t="s">
        <v>1077</v>
      </c>
      <c r="AE772">
        <v>1.1245504162706519E-4</v>
      </c>
    </row>
    <row r="773" spans="29:31" x14ac:dyDescent="0.45">
      <c r="AC773" t="s">
        <v>19</v>
      </c>
      <c r="AD773" t="s">
        <v>1078</v>
      </c>
      <c r="AE773">
        <v>1.1325175153400552E-4</v>
      </c>
    </row>
    <row r="774" spans="29:31" x14ac:dyDescent="0.45">
      <c r="AC774" t="s">
        <v>19</v>
      </c>
      <c r="AD774" t="s">
        <v>1079</v>
      </c>
      <c r="AE774">
        <v>1.1410213452941341E-4</v>
      </c>
    </row>
    <row r="775" spans="29:31" x14ac:dyDescent="0.45">
      <c r="AC775" t="s">
        <v>19</v>
      </c>
      <c r="AD775" t="s">
        <v>1080</v>
      </c>
      <c r="AE775">
        <v>1.1497135471452386E-4</v>
      </c>
    </row>
    <row r="776" spans="29:31" x14ac:dyDescent="0.45">
      <c r="AC776" t="s">
        <v>19</v>
      </c>
      <c r="AD776" t="s">
        <v>1081</v>
      </c>
      <c r="AE776">
        <v>1.1565226751353237E-4</v>
      </c>
    </row>
    <row r="777" spans="29:31" x14ac:dyDescent="0.45">
      <c r="AC777" t="s">
        <v>19</v>
      </c>
      <c r="AD777" t="s">
        <v>1082</v>
      </c>
      <c r="AE777">
        <v>1.1529848960829667E-4</v>
      </c>
    </row>
    <row r="778" spans="29:31" x14ac:dyDescent="0.45">
      <c r="AC778" t="s">
        <v>19</v>
      </c>
      <c r="AD778" t="s">
        <v>1083</v>
      </c>
      <c r="AE778">
        <v>1.1487626561308013E-4</v>
      </c>
    </row>
    <row r="779" spans="29:31" x14ac:dyDescent="0.45">
      <c r="AC779" t="s">
        <v>19</v>
      </c>
      <c r="AD779" t="s">
        <v>1084</v>
      </c>
      <c r="AE779">
        <v>1.1525447165473375E-4</v>
      </c>
    </row>
    <row r="780" spans="29:31" x14ac:dyDescent="0.45">
      <c r="AC780" t="s">
        <v>19</v>
      </c>
      <c r="AD780" t="s">
        <v>1085</v>
      </c>
      <c r="AE780">
        <v>1.1514153453108326E-4</v>
      </c>
    </row>
    <row r="781" spans="29:31" x14ac:dyDescent="0.45">
      <c r="AC781" t="s">
        <v>19</v>
      </c>
      <c r="AD781" t="s">
        <v>1086</v>
      </c>
      <c r="AE781">
        <v>1.1515815684574087E-4</v>
      </c>
    </row>
    <row r="782" spans="29:31" x14ac:dyDescent="0.45">
      <c r="AC782" t="s">
        <v>19</v>
      </c>
      <c r="AD782" t="s">
        <v>1087</v>
      </c>
      <c r="AE782">
        <v>1.1515815684574087E-4</v>
      </c>
    </row>
    <row r="783" spans="29:31" x14ac:dyDescent="0.45">
      <c r="AC783" t="s">
        <v>19</v>
      </c>
      <c r="AD783" t="s">
        <v>1088</v>
      </c>
      <c r="AE783">
        <v>1.1517138158508685E-4</v>
      </c>
    </row>
    <row r="784" spans="29:31" x14ac:dyDescent="0.45">
      <c r="AC784" t="s">
        <v>19</v>
      </c>
      <c r="AD784" t="s">
        <v>1089</v>
      </c>
      <c r="AE784">
        <v>1.1520109961724316E-4</v>
      </c>
    </row>
    <row r="785" spans="29:31" x14ac:dyDescent="0.45">
      <c r="AC785" t="s">
        <v>19</v>
      </c>
      <c r="AD785" t="s">
        <v>1090</v>
      </c>
      <c r="AE785">
        <v>1.1518310106954791E-4</v>
      </c>
    </row>
    <row r="786" spans="29:31" x14ac:dyDescent="0.45">
      <c r="AC786" t="s">
        <v>19</v>
      </c>
      <c r="AD786" t="s">
        <v>1091</v>
      </c>
      <c r="AE786">
        <v>1.1524075233163987E-4</v>
      </c>
    </row>
    <row r="787" spans="29:31" x14ac:dyDescent="0.45">
      <c r="AC787" t="s">
        <v>19</v>
      </c>
      <c r="AD787" t="s">
        <v>1092</v>
      </c>
      <c r="AE787">
        <v>1.1536009754037182E-4</v>
      </c>
    </row>
    <row r="788" spans="29:31" x14ac:dyDescent="0.45">
      <c r="AC788" t="s">
        <v>19</v>
      </c>
      <c r="AD788" t="s">
        <v>1093</v>
      </c>
      <c r="AE788">
        <v>1.1510581698302851E-4</v>
      </c>
    </row>
    <row r="789" spans="29:31" x14ac:dyDescent="0.45">
      <c r="AC789" t="s">
        <v>19</v>
      </c>
      <c r="AD789" t="s">
        <v>1094</v>
      </c>
      <c r="AE789">
        <v>1.1486033141494132E-4</v>
      </c>
    </row>
    <row r="790" spans="29:31" x14ac:dyDescent="0.45">
      <c r="AC790" t="s">
        <v>19</v>
      </c>
      <c r="AD790" t="s">
        <v>1095</v>
      </c>
      <c r="AE790">
        <v>1.1418447197161785E-4</v>
      </c>
    </row>
    <row r="791" spans="29:31" x14ac:dyDescent="0.45">
      <c r="AC791" t="s">
        <v>19</v>
      </c>
      <c r="AD791" t="s">
        <v>1096</v>
      </c>
      <c r="AE791">
        <v>1.135760049398558E-4</v>
      </c>
    </row>
    <row r="792" spans="29:31" x14ac:dyDescent="0.45">
      <c r="AC792" t="s">
        <v>19</v>
      </c>
      <c r="AD792" t="s">
        <v>1097</v>
      </c>
      <c r="AE792">
        <v>1.1273125589844572E-4</v>
      </c>
    </row>
    <row r="793" spans="29:31" x14ac:dyDescent="0.45">
      <c r="AC793" t="s">
        <v>19</v>
      </c>
      <c r="AD793" t="s">
        <v>1098</v>
      </c>
      <c r="AE793">
        <v>1.1251877841962042E-4</v>
      </c>
    </row>
    <row r="794" spans="29:31" x14ac:dyDescent="0.45">
      <c r="AC794" t="s">
        <v>19</v>
      </c>
      <c r="AD794" t="s">
        <v>1099</v>
      </c>
      <c r="AE794">
        <v>1.1231393473342572E-4</v>
      </c>
    </row>
    <row r="795" spans="29:31" x14ac:dyDescent="0.45">
      <c r="AC795" t="s">
        <v>19</v>
      </c>
      <c r="AD795" t="s">
        <v>1100</v>
      </c>
      <c r="AE795">
        <v>1.1242454946382521E-4</v>
      </c>
    </row>
    <row r="796" spans="29:31" x14ac:dyDescent="0.45">
      <c r="AC796" t="s">
        <v>19</v>
      </c>
      <c r="AD796" t="s">
        <v>1101</v>
      </c>
      <c r="AE796">
        <v>1.125245628991067E-4</v>
      </c>
    </row>
    <row r="797" spans="29:31" x14ac:dyDescent="0.45">
      <c r="AC797" t="s">
        <v>19</v>
      </c>
      <c r="AD797" t="s">
        <v>1102</v>
      </c>
      <c r="AE797">
        <v>1.1331103707282967E-4</v>
      </c>
    </row>
    <row r="798" spans="29:31" x14ac:dyDescent="0.45">
      <c r="AC798" t="s">
        <v>19</v>
      </c>
      <c r="AD798" t="s">
        <v>1103</v>
      </c>
      <c r="AE798">
        <v>1.1431284870965925E-4</v>
      </c>
    </row>
    <row r="799" spans="29:31" x14ac:dyDescent="0.45">
      <c r="AC799" t="s">
        <v>19</v>
      </c>
      <c r="AD799" t="s">
        <v>1104</v>
      </c>
      <c r="AE799">
        <v>1.1521894763944992E-4</v>
      </c>
    </row>
    <row r="800" spans="29:31" x14ac:dyDescent="0.45">
      <c r="AC800" t="s">
        <v>19</v>
      </c>
      <c r="AD800" t="s">
        <v>1105</v>
      </c>
      <c r="AE800">
        <v>1.1592824524485955E-4</v>
      </c>
    </row>
    <row r="801" spans="29:31" x14ac:dyDescent="0.45">
      <c r="AC801" t="s">
        <v>19</v>
      </c>
      <c r="AD801" t="s">
        <v>1106</v>
      </c>
      <c r="AE801">
        <v>1.1566071844452906E-4</v>
      </c>
    </row>
    <row r="802" spans="29:31" x14ac:dyDescent="0.45">
      <c r="AC802" t="s">
        <v>19</v>
      </c>
      <c r="AD802" t="s">
        <v>1107</v>
      </c>
      <c r="AE802">
        <v>1.1493008922703617E-4</v>
      </c>
    </row>
    <row r="803" spans="29:31" x14ac:dyDescent="0.45">
      <c r="AC803" t="s">
        <v>19</v>
      </c>
      <c r="AD803" t="s">
        <v>1108</v>
      </c>
      <c r="AE803">
        <v>1.1498872965662393E-4</v>
      </c>
    </row>
    <row r="804" spans="29:31" x14ac:dyDescent="0.45">
      <c r="AC804" t="s">
        <v>19</v>
      </c>
      <c r="AD804" t="s">
        <v>1109</v>
      </c>
      <c r="AE804">
        <v>1.1506590622493727E-4</v>
      </c>
    </row>
    <row r="805" spans="29:31" x14ac:dyDescent="0.45">
      <c r="AC805" t="s">
        <v>19</v>
      </c>
      <c r="AD805" t="s">
        <v>1110</v>
      </c>
      <c r="AE805">
        <v>1.1521320616724607E-4</v>
      </c>
    </row>
    <row r="806" spans="29:31" x14ac:dyDescent="0.45">
      <c r="AC806" t="s">
        <v>19</v>
      </c>
      <c r="AD806" t="s">
        <v>1111</v>
      </c>
      <c r="AE806">
        <v>1.1526262153475346E-4</v>
      </c>
    </row>
    <row r="807" spans="29:31" x14ac:dyDescent="0.45">
      <c r="AC807" t="s">
        <v>19</v>
      </c>
      <c r="AD807" t="s">
        <v>1112</v>
      </c>
      <c r="AE807">
        <v>1.1529773698085422E-4</v>
      </c>
    </row>
    <row r="808" spans="29:31" x14ac:dyDescent="0.45">
      <c r="AC808" t="s">
        <v>19</v>
      </c>
      <c r="AD808" t="s">
        <v>1113</v>
      </c>
      <c r="AE808">
        <v>1.1532745501301055E-4</v>
      </c>
    </row>
    <row r="809" spans="29:31" x14ac:dyDescent="0.45">
      <c r="AC809" t="s">
        <v>19</v>
      </c>
      <c r="AD809" t="s">
        <v>1114</v>
      </c>
      <c r="AE809">
        <v>1.1517247827078871E-4</v>
      </c>
    </row>
    <row r="810" spans="29:31" x14ac:dyDescent="0.45">
      <c r="AC810" t="s">
        <v>19</v>
      </c>
      <c r="AD810" t="s">
        <v>1115</v>
      </c>
      <c r="AE810">
        <v>1.1518335911324246E-4</v>
      </c>
    </row>
    <row r="811" spans="29:31" x14ac:dyDescent="0.45">
      <c r="AC811" t="s">
        <v>19</v>
      </c>
      <c r="AD811" t="s">
        <v>403</v>
      </c>
      <c r="AE811">
        <v>1.9949945615847533E-2</v>
      </c>
    </row>
    <row r="812" spans="29:31" x14ac:dyDescent="0.45">
      <c r="AC812" t="s">
        <v>19</v>
      </c>
      <c r="AD812" t="s">
        <v>404</v>
      </c>
      <c r="AE812">
        <v>3.2649829966596576E-3</v>
      </c>
    </row>
    <row r="813" spans="29:31" x14ac:dyDescent="0.45">
      <c r="AC813" t="s">
        <v>19</v>
      </c>
      <c r="AD813" t="s">
        <v>405</v>
      </c>
      <c r="AE813">
        <v>3.2570807310685116E-3</v>
      </c>
    </row>
    <row r="814" spans="29:31" x14ac:dyDescent="0.45">
      <c r="AC814" t="s">
        <v>19</v>
      </c>
      <c r="AD814" t="s">
        <v>406</v>
      </c>
      <c r="AE814">
        <v>2.3024891796060713E-2</v>
      </c>
    </row>
    <row r="815" spans="29:31" x14ac:dyDescent="0.45">
      <c r="AC815" t="s">
        <v>19</v>
      </c>
      <c r="AD815" t="s">
        <v>407</v>
      </c>
      <c r="AE815">
        <v>3.3379979437854006E-3</v>
      </c>
    </row>
    <row r="816" spans="29:31" x14ac:dyDescent="0.45">
      <c r="AC816" t="s">
        <v>19</v>
      </c>
      <c r="AD816" t="s">
        <v>408</v>
      </c>
      <c r="AE816">
        <v>3.3243237138271529E-3</v>
      </c>
    </row>
    <row r="817" spans="29:31" x14ac:dyDescent="0.45">
      <c r="AC817" t="s">
        <v>19</v>
      </c>
      <c r="AD817" t="s">
        <v>409</v>
      </c>
      <c r="AE817">
        <v>3.3270577727855339E-3</v>
      </c>
    </row>
    <row r="818" spans="29:31" x14ac:dyDescent="0.45">
      <c r="AC818" t="s">
        <v>19</v>
      </c>
      <c r="AD818" t="s">
        <v>410</v>
      </c>
      <c r="AE818">
        <v>1.9964592068432305E-2</v>
      </c>
    </row>
    <row r="819" spans="29:31" x14ac:dyDescent="0.45">
      <c r="AC819" t="s">
        <v>19</v>
      </c>
      <c r="AD819" t="s">
        <v>1116</v>
      </c>
      <c r="AE819">
        <v>1.159458321972545E-4</v>
      </c>
    </row>
    <row r="820" spans="29:31" x14ac:dyDescent="0.45">
      <c r="AC820" t="s">
        <v>19</v>
      </c>
      <c r="AD820" t="s">
        <v>1117</v>
      </c>
      <c r="AE820">
        <v>1.1617503950894349E-4</v>
      </c>
    </row>
    <row r="821" spans="29:31" x14ac:dyDescent="0.45">
      <c r="AC821" t="s">
        <v>19</v>
      </c>
      <c r="AD821" t="s">
        <v>1118</v>
      </c>
      <c r="AE821">
        <v>1.1591194245870286E-4</v>
      </c>
    </row>
    <row r="822" spans="29:31" x14ac:dyDescent="0.45">
      <c r="AC822" t="s">
        <v>19</v>
      </c>
      <c r="AD822" t="s">
        <v>1119</v>
      </c>
      <c r="AE822">
        <v>1.1538080252074266E-4</v>
      </c>
    </row>
    <row r="823" spans="29:31" x14ac:dyDescent="0.45">
      <c r="AC823" t="s">
        <v>19</v>
      </c>
      <c r="AD823" t="s">
        <v>1120</v>
      </c>
      <c r="AE823">
        <v>1.1413176352088762E-4</v>
      </c>
    </row>
    <row r="824" spans="29:31" x14ac:dyDescent="0.45">
      <c r="AC824" t="s">
        <v>19</v>
      </c>
      <c r="AD824" t="s">
        <v>1121</v>
      </c>
      <c r="AE824">
        <v>1.1360864444109982E-4</v>
      </c>
    </row>
    <row r="825" spans="29:31" x14ac:dyDescent="0.45">
      <c r="AC825" t="s">
        <v>19</v>
      </c>
      <c r="AD825" t="s">
        <v>1122</v>
      </c>
      <c r="AE825">
        <v>1.1241347206248327E-4</v>
      </c>
    </row>
    <row r="826" spans="29:31" x14ac:dyDescent="0.45">
      <c r="AC826" t="s">
        <v>19</v>
      </c>
      <c r="AD826" t="s">
        <v>1123</v>
      </c>
      <c r="AE826">
        <v>1.1220546734103027E-4</v>
      </c>
    </row>
    <row r="827" spans="29:31" x14ac:dyDescent="0.45">
      <c r="AC827" t="s">
        <v>19</v>
      </c>
      <c r="AD827" t="s">
        <v>1124</v>
      </c>
      <c r="AE827">
        <v>1.1205307103575399E-4</v>
      </c>
    </row>
    <row r="828" spans="29:31" x14ac:dyDescent="0.45">
      <c r="AC828" t="s">
        <v>19</v>
      </c>
      <c r="AD828" t="s">
        <v>1125</v>
      </c>
      <c r="AE828">
        <v>1.1203842705608796E-4</v>
      </c>
    </row>
    <row r="829" spans="29:31" x14ac:dyDescent="0.45">
      <c r="AC829" t="s">
        <v>19</v>
      </c>
      <c r="AD829" t="s">
        <v>1126</v>
      </c>
      <c r="AE829">
        <v>1.1223531439503386E-4</v>
      </c>
    </row>
    <row r="830" spans="29:31" x14ac:dyDescent="0.45">
      <c r="AC830" t="s">
        <v>19</v>
      </c>
      <c r="AD830" t="s">
        <v>1127</v>
      </c>
      <c r="AE830">
        <v>1.1253984896189188E-4</v>
      </c>
    </row>
    <row r="831" spans="29:31" x14ac:dyDescent="0.45">
      <c r="AC831" t="s">
        <v>19</v>
      </c>
      <c r="AD831" t="s">
        <v>1128</v>
      </c>
      <c r="AE831">
        <v>1.1281255813975469E-4</v>
      </c>
    </row>
    <row r="832" spans="29:31" x14ac:dyDescent="0.45">
      <c r="AC832" t="s">
        <v>19</v>
      </c>
      <c r="AD832" t="s">
        <v>1129</v>
      </c>
      <c r="AE832">
        <v>1.1305135607542465E-4</v>
      </c>
    </row>
    <row r="833" spans="29:31" x14ac:dyDescent="0.45">
      <c r="AC833" t="s">
        <v>19</v>
      </c>
      <c r="AD833" t="s">
        <v>1130</v>
      </c>
      <c r="AE833">
        <v>1.1329778780372522E-4</v>
      </c>
    </row>
    <row r="834" spans="29:31" x14ac:dyDescent="0.45">
      <c r="AC834" t="s">
        <v>19</v>
      </c>
      <c r="AD834" t="s">
        <v>1131</v>
      </c>
      <c r="AE834">
        <v>1.1371411980124942E-4</v>
      </c>
    </row>
    <row r="835" spans="29:31" x14ac:dyDescent="0.45">
      <c r="AC835" t="s">
        <v>19</v>
      </c>
      <c r="AD835" t="s">
        <v>1132</v>
      </c>
      <c r="AE835">
        <v>1.1367392949582239E-4</v>
      </c>
    </row>
    <row r="836" spans="29:31" x14ac:dyDescent="0.45">
      <c r="AC836" t="s">
        <v>19</v>
      </c>
      <c r="AD836" t="s">
        <v>1133</v>
      </c>
      <c r="AE836">
        <v>1.1369014324129696E-4</v>
      </c>
    </row>
    <row r="837" spans="29:31" x14ac:dyDescent="0.45">
      <c r="AC837" t="s">
        <v>19</v>
      </c>
      <c r="AD837" t="s">
        <v>1134</v>
      </c>
      <c r="AE837">
        <v>1.1376310509593255E-4</v>
      </c>
    </row>
    <row r="838" spans="29:31" x14ac:dyDescent="0.45">
      <c r="AC838" t="s">
        <v>19</v>
      </c>
      <c r="AD838" t="s">
        <v>1135</v>
      </c>
      <c r="AE838">
        <v>1.1373654809903454E-4</v>
      </c>
    </row>
    <row r="839" spans="29:31" x14ac:dyDescent="0.45">
      <c r="AC839" t="s">
        <v>19</v>
      </c>
      <c r="AD839" t="s">
        <v>1136</v>
      </c>
      <c r="AE839">
        <v>1.1378093161449811E-4</v>
      </c>
    </row>
    <row r="840" spans="29:31" x14ac:dyDescent="0.45">
      <c r="AC840" t="s">
        <v>19</v>
      </c>
      <c r="AD840" t="s">
        <v>1137</v>
      </c>
      <c r="AE840">
        <v>1.1378093161449811E-4</v>
      </c>
    </row>
    <row r="841" spans="29:31" x14ac:dyDescent="0.45">
      <c r="AC841" t="s">
        <v>19</v>
      </c>
      <c r="AD841" t="s">
        <v>1138</v>
      </c>
      <c r="AE841">
        <v>1.1403781411242818E-4</v>
      </c>
    </row>
    <row r="842" spans="29:31" x14ac:dyDescent="0.45">
      <c r="AC842" t="s">
        <v>19</v>
      </c>
      <c r="AD842" t="s">
        <v>1139</v>
      </c>
      <c r="AE842">
        <v>1.1478495812637261E-4</v>
      </c>
    </row>
    <row r="843" spans="29:31" x14ac:dyDescent="0.45">
      <c r="AC843" t="s">
        <v>19</v>
      </c>
      <c r="AD843" t="s">
        <v>411</v>
      </c>
      <c r="AE843">
        <v>1.9289259443047432E-2</v>
      </c>
    </row>
    <row r="844" spans="29:31" x14ac:dyDescent="0.45">
      <c r="AC844" t="s">
        <v>19</v>
      </c>
      <c r="AD844" t="s">
        <v>412</v>
      </c>
      <c r="AE844">
        <v>3.1523658615649325E-3</v>
      </c>
    </row>
    <row r="845" spans="29:31" x14ac:dyDescent="0.45">
      <c r="AC845" t="s">
        <v>19</v>
      </c>
      <c r="AD845" t="s">
        <v>413</v>
      </c>
      <c r="AE845">
        <v>3.1436378131439258E-3</v>
      </c>
    </row>
    <row r="846" spans="29:31" x14ac:dyDescent="0.45">
      <c r="AC846" t="s">
        <v>19</v>
      </c>
      <c r="AD846" t="s">
        <v>414</v>
      </c>
      <c r="AE846">
        <v>2.2222680240130365E-2</v>
      </c>
    </row>
    <row r="847" spans="29:31" x14ac:dyDescent="0.45">
      <c r="AC847" t="s">
        <v>19</v>
      </c>
      <c r="AD847" t="s">
        <v>415</v>
      </c>
      <c r="AE847">
        <v>3.2175506018012334E-3</v>
      </c>
    </row>
    <row r="848" spans="29:31" x14ac:dyDescent="0.45">
      <c r="AC848" t="s">
        <v>19</v>
      </c>
      <c r="AD848" t="s">
        <v>416</v>
      </c>
      <c r="AE848">
        <v>3.2166493411907161E-3</v>
      </c>
    </row>
    <row r="849" spans="29:31" x14ac:dyDescent="0.45">
      <c r="AC849" t="s">
        <v>19</v>
      </c>
      <c r="AD849" t="s">
        <v>417</v>
      </c>
      <c r="AE849">
        <v>3.2228727745050837E-3</v>
      </c>
    </row>
    <row r="850" spans="29:31" x14ac:dyDescent="0.45">
      <c r="AC850" t="s">
        <v>19</v>
      </c>
      <c r="AD850" t="s">
        <v>418</v>
      </c>
      <c r="AE850">
        <v>1.9380877469733847E-2</v>
      </c>
    </row>
    <row r="851" spans="29:31" x14ac:dyDescent="0.45">
      <c r="AC851" t="s">
        <v>19</v>
      </c>
      <c r="AD851" t="s">
        <v>1140</v>
      </c>
      <c r="AE851">
        <v>1.1334477241870572E-4</v>
      </c>
    </row>
    <row r="852" spans="29:31" x14ac:dyDescent="0.45">
      <c r="AC852" t="s">
        <v>19</v>
      </c>
      <c r="AD852" t="s">
        <v>1141</v>
      </c>
      <c r="AE852">
        <v>1.1364109259462036E-4</v>
      </c>
    </row>
    <row r="853" spans="29:31" x14ac:dyDescent="0.45">
      <c r="AC853" t="s">
        <v>19</v>
      </c>
      <c r="AD853" t="s">
        <v>1142</v>
      </c>
      <c r="AE853">
        <v>1.134779229650964E-4</v>
      </c>
    </row>
    <row r="854" spans="29:31" x14ac:dyDescent="0.45">
      <c r="AC854" t="s">
        <v>19</v>
      </c>
      <c r="AD854" t="s">
        <v>1143</v>
      </c>
      <c r="AE854">
        <v>1.1329800199906752E-4</v>
      </c>
    </row>
    <row r="855" spans="29:31" x14ac:dyDescent="0.45">
      <c r="AC855" t="s">
        <v>19</v>
      </c>
      <c r="AD855" t="s">
        <v>1144</v>
      </c>
      <c r="AE855">
        <v>1.128325341813717E-4</v>
      </c>
    </row>
    <row r="856" spans="29:31" x14ac:dyDescent="0.45">
      <c r="AC856" t="s">
        <v>19</v>
      </c>
      <c r="AD856" t="s">
        <v>1145</v>
      </c>
      <c r="AE856">
        <v>1.1222226084374776E-4</v>
      </c>
    </row>
    <row r="857" spans="29:31" x14ac:dyDescent="0.45">
      <c r="AC857" t="s">
        <v>19</v>
      </c>
      <c r="AD857" t="s">
        <v>1146</v>
      </c>
      <c r="AE857">
        <v>1.1203077091874632E-4</v>
      </c>
    </row>
    <row r="858" spans="29:31" x14ac:dyDescent="0.45">
      <c r="AC858" t="s">
        <v>19</v>
      </c>
      <c r="AD858" t="s">
        <v>1147</v>
      </c>
      <c r="AE858">
        <v>1.1171980676316565E-4</v>
      </c>
    </row>
    <row r="859" spans="29:31" x14ac:dyDescent="0.45">
      <c r="AC859" t="s">
        <v>19</v>
      </c>
      <c r="AD859" t="s">
        <v>1148</v>
      </c>
      <c r="AE859">
        <v>1.1154154157751015E-4</v>
      </c>
    </row>
    <row r="860" spans="29:31" x14ac:dyDescent="0.45">
      <c r="AC860" t="s">
        <v>19</v>
      </c>
      <c r="AD860" t="s">
        <v>1149</v>
      </c>
      <c r="AE860">
        <v>1.1146427899463198E-4</v>
      </c>
    </row>
    <row r="861" spans="29:31" x14ac:dyDescent="0.45">
      <c r="AC861" t="s">
        <v>19</v>
      </c>
      <c r="AD861" t="s">
        <v>1150</v>
      </c>
      <c r="AE861">
        <v>1.1164301726039414E-4</v>
      </c>
    </row>
    <row r="862" spans="29:31" x14ac:dyDescent="0.45">
      <c r="AC862" t="s">
        <v>19</v>
      </c>
      <c r="AD862" t="s">
        <v>1151</v>
      </c>
      <c r="AE862">
        <v>1.11938348268813E-4</v>
      </c>
    </row>
    <row r="863" spans="29:31" x14ac:dyDescent="0.45">
      <c r="AC863" t="s">
        <v>19</v>
      </c>
      <c r="AD863" t="s">
        <v>1152</v>
      </c>
      <c r="AE863">
        <v>1.1211257076992044E-4</v>
      </c>
    </row>
    <row r="864" spans="29:31" x14ac:dyDescent="0.45">
      <c r="AC864" t="s">
        <v>19</v>
      </c>
      <c r="AD864" t="s">
        <v>1153</v>
      </c>
      <c r="AE864">
        <v>1.1236255059902115E-4</v>
      </c>
    </row>
    <row r="865" spans="29:31" x14ac:dyDescent="0.45">
      <c r="AC865" t="s">
        <v>19</v>
      </c>
      <c r="AD865" t="s">
        <v>1154</v>
      </c>
      <c r="AE865">
        <v>1.1251593607179321E-4</v>
      </c>
    </row>
    <row r="866" spans="29:31" x14ac:dyDescent="0.45">
      <c r="AC866" t="s">
        <v>19</v>
      </c>
      <c r="AD866" t="s">
        <v>1155</v>
      </c>
      <c r="AE866">
        <v>1.1283545867657666E-4</v>
      </c>
    </row>
    <row r="867" spans="29:31" x14ac:dyDescent="0.45">
      <c r="AC867" t="s">
        <v>19</v>
      </c>
      <c r="AD867" t="s">
        <v>1156</v>
      </c>
      <c r="AE867">
        <v>1.1340367089198803E-4</v>
      </c>
    </row>
    <row r="868" spans="29:31" x14ac:dyDescent="0.45">
      <c r="AC868" t="s">
        <v>19</v>
      </c>
      <c r="AD868" t="s">
        <v>1157</v>
      </c>
      <c r="AE868">
        <v>1.1324037224061677E-4</v>
      </c>
    </row>
    <row r="869" spans="29:31" x14ac:dyDescent="0.45">
      <c r="AC869" t="s">
        <v>19</v>
      </c>
      <c r="AD869" t="s">
        <v>1158</v>
      </c>
      <c r="AE869">
        <v>1.1325361848360395E-4</v>
      </c>
    </row>
    <row r="870" spans="29:31" x14ac:dyDescent="0.45">
      <c r="AC870" t="s">
        <v>19</v>
      </c>
      <c r="AD870" t="s">
        <v>1159</v>
      </c>
      <c r="AE870">
        <v>1.132744125046569E-4</v>
      </c>
    </row>
    <row r="871" spans="29:31" x14ac:dyDescent="0.45">
      <c r="AC871" t="s">
        <v>19</v>
      </c>
      <c r="AD871" t="s">
        <v>1160</v>
      </c>
      <c r="AE871">
        <v>1.1322809366148417E-4</v>
      </c>
    </row>
    <row r="872" spans="29:31" x14ac:dyDescent="0.45">
      <c r="AC872" t="s">
        <v>19</v>
      </c>
      <c r="AD872" t="s">
        <v>1161</v>
      </c>
      <c r="AE872">
        <v>1.1326856351424697E-4</v>
      </c>
    </row>
    <row r="873" spans="29:31" x14ac:dyDescent="0.45">
      <c r="AC873" t="s">
        <v>19</v>
      </c>
      <c r="AD873" t="s">
        <v>1162</v>
      </c>
      <c r="AE873">
        <v>1.1364406009710775E-4</v>
      </c>
    </row>
    <row r="874" spans="29:31" x14ac:dyDescent="0.45">
      <c r="AC874" t="s">
        <v>19</v>
      </c>
      <c r="AD874" t="s">
        <v>1163</v>
      </c>
      <c r="AE874">
        <v>1.1413574085344217E-4</v>
      </c>
    </row>
    <row r="875" spans="29:31" x14ac:dyDescent="0.45">
      <c r="AC875" t="s">
        <v>19</v>
      </c>
      <c r="AD875" t="s">
        <v>1164</v>
      </c>
      <c r="AE875">
        <v>1.1652748334735414E-4</v>
      </c>
    </row>
    <row r="876" spans="29:31" x14ac:dyDescent="0.45">
      <c r="AC876" t="s">
        <v>19</v>
      </c>
      <c r="AD876" t="s">
        <v>1165</v>
      </c>
      <c r="AE876">
        <v>1.1638373150584547E-4</v>
      </c>
    </row>
    <row r="877" spans="29:31" x14ac:dyDescent="0.45">
      <c r="AC877" t="s">
        <v>19</v>
      </c>
      <c r="AD877" t="s">
        <v>1166</v>
      </c>
      <c r="AE877">
        <v>1.1582670118386485E-4</v>
      </c>
    </row>
    <row r="878" spans="29:31" x14ac:dyDescent="0.45">
      <c r="AC878" t="s">
        <v>19</v>
      </c>
      <c r="AD878" t="s">
        <v>1167</v>
      </c>
      <c r="AE878">
        <v>1.1523451240850102E-4</v>
      </c>
    </row>
    <row r="879" spans="29:31" x14ac:dyDescent="0.45">
      <c r="AC879" t="s">
        <v>19</v>
      </c>
      <c r="AD879" t="s">
        <v>1168</v>
      </c>
      <c r="AE879">
        <v>1.1432017758412578E-4</v>
      </c>
    </row>
    <row r="880" spans="29:31" x14ac:dyDescent="0.45">
      <c r="AC880" t="s">
        <v>19</v>
      </c>
      <c r="AD880" t="s">
        <v>1169</v>
      </c>
      <c r="AE880">
        <v>1.1367747675555271E-4</v>
      </c>
    </row>
    <row r="881" spans="29:31" x14ac:dyDescent="0.45">
      <c r="AC881" t="s">
        <v>19</v>
      </c>
      <c r="AD881" t="s">
        <v>1170</v>
      </c>
      <c r="AE881">
        <v>1.1235078810727766E-4</v>
      </c>
    </row>
    <row r="882" spans="29:31" x14ac:dyDescent="0.45">
      <c r="AC882" t="s">
        <v>19</v>
      </c>
      <c r="AD882" t="s">
        <v>1171</v>
      </c>
      <c r="AE882">
        <v>1.1203012580950993E-4</v>
      </c>
    </row>
    <row r="883" spans="29:31" x14ac:dyDescent="0.45">
      <c r="AC883" t="s">
        <v>19</v>
      </c>
      <c r="AD883" t="s">
        <v>1172</v>
      </c>
      <c r="AE883">
        <v>1.1198163509857469E-4</v>
      </c>
    </row>
    <row r="884" spans="29:31" x14ac:dyDescent="0.45">
      <c r="AC884" t="s">
        <v>19</v>
      </c>
      <c r="AD884" t="s">
        <v>1173</v>
      </c>
      <c r="AE884">
        <v>1.1199255894831088E-4</v>
      </c>
    </row>
    <row r="885" spans="29:31" x14ac:dyDescent="0.45">
      <c r="AC885" t="s">
        <v>19</v>
      </c>
      <c r="AD885" t="s">
        <v>1174</v>
      </c>
      <c r="AE885">
        <v>1.1213450448395767E-4</v>
      </c>
    </row>
    <row r="886" spans="29:31" x14ac:dyDescent="0.45">
      <c r="AC886" t="s">
        <v>19</v>
      </c>
      <c r="AD886" t="s">
        <v>1175</v>
      </c>
      <c r="AE886">
        <v>1.123681200420953E-4</v>
      </c>
    </row>
    <row r="887" spans="29:31" x14ac:dyDescent="0.45">
      <c r="AC887" t="s">
        <v>19</v>
      </c>
      <c r="AD887" t="s">
        <v>1176</v>
      </c>
      <c r="AE887">
        <v>1.126711493540684E-4</v>
      </c>
    </row>
    <row r="888" spans="29:31" x14ac:dyDescent="0.45">
      <c r="AC888" t="s">
        <v>19</v>
      </c>
      <c r="AD888" t="s">
        <v>1177</v>
      </c>
      <c r="AE888">
        <v>1.1292041956300907E-4</v>
      </c>
    </row>
    <row r="889" spans="29:31" x14ac:dyDescent="0.45">
      <c r="AC889" t="s">
        <v>19</v>
      </c>
      <c r="AD889" t="s">
        <v>1178</v>
      </c>
      <c r="AE889">
        <v>1.1291648439666711E-4</v>
      </c>
    </row>
    <row r="890" spans="29:31" x14ac:dyDescent="0.45">
      <c r="AC890" t="s">
        <v>19</v>
      </c>
      <c r="AD890" t="s">
        <v>1179</v>
      </c>
      <c r="AE890">
        <v>1.1320981556645315E-4</v>
      </c>
    </row>
    <row r="891" spans="29:31" x14ac:dyDescent="0.45">
      <c r="AC891" t="s">
        <v>19</v>
      </c>
      <c r="AD891" t="s">
        <v>1180</v>
      </c>
      <c r="AE891">
        <v>1.1354275644335348E-4</v>
      </c>
    </row>
    <row r="892" spans="29:31" x14ac:dyDescent="0.45">
      <c r="AC892" t="s">
        <v>19</v>
      </c>
      <c r="AD892" t="s">
        <v>1181</v>
      </c>
      <c r="AE892">
        <v>1.1363363083111948E-4</v>
      </c>
    </row>
    <row r="893" spans="29:31" x14ac:dyDescent="0.45">
      <c r="AC893" t="s">
        <v>19</v>
      </c>
      <c r="AD893" t="s">
        <v>1182</v>
      </c>
      <c r="AE893">
        <v>1.1373708484899503E-4</v>
      </c>
    </row>
    <row r="894" spans="29:31" x14ac:dyDescent="0.45">
      <c r="AC894" t="s">
        <v>19</v>
      </c>
      <c r="AD894" t="s">
        <v>1183</v>
      </c>
      <c r="AE894">
        <v>1.1378626367644908E-4</v>
      </c>
    </row>
    <row r="895" spans="29:31" x14ac:dyDescent="0.45">
      <c r="AC895" t="s">
        <v>19</v>
      </c>
      <c r="AD895" t="s">
        <v>1184</v>
      </c>
      <c r="AE895">
        <v>1.1383066869555386E-4</v>
      </c>
    </row>
    <row r="896" spans="29:31" x14ac:dyDescent="0.45">
      <c r="AC896" t="s">
        <v>19</v>
      </c>
      <c r="AD896" t="s">
        <v>1185</v>
      </c>
      <c r="AE896">
        <v>1.1389788907798559E-4</v>
      </c>
    </row>
    <row r="897" spans="29:31" x14ac:dyDescent="0.45">
      <c r="AC897" t="s">
        <v>19</v>
      </c>
      <c r="AD897" t="s">
        <v>1186</v>
      </c>
      <c r="AE897">
        <v>1.1440903062961775E-4</v>
      </c>
    </row>
    <row r="898" spans="29:31" x14ac:dyDescent="0.45">
      <c r="AC898" t="s">
        <v>19</v>
      </c>
      <c r="AD898" t="s">
        <v>1187</v>
      </c>
      <c r="AE898">
        <v>1.149458905361406E-4</v>
      </c>
    </row>
    <row r="899" spans="29:31" x14ac:dyDescent="0.45">
      <c r="AC899" t="s">
        <v>19</v>
      </c>
      <c r="AD899" t="s">
        <v>1188</v>
      </c>
      <c r="AE899">
        <v>1.1621914263600145E-4</v>
      </c>
    </row>
    <row r="900" spans="29:31" x14ac:dyDescent="0.45">
      <c r="AC900" t="s">
        <v>19</v>
      </c>
      <c r="AD900" t="s">
        <v>1189</v>
      </c>
      <c r="AE900">
        <v>1.1639312859705555E-4</v>
      </c>
    </row>
    <row r="901" spans="29:31" x14ac:dyDescent="0.45">
      <c r="AC901" t="s">
        <v>19</v>
      </c>
      <c r="AD901" t="s">
        <v>1190</v>
      </c>
      <c r="AE901">
        <v>1.1585284961157982E-4</v>
      </c>
    </row>
    <row r="902" spans="29:31" x14ac:dyDescent="0.45">
      <c r="AC902" t="s">
        <v>19</v>
      </c>
      <c r="AD902" t="s">
        <v>1191</v>
      </c>
      <c r="AE902">
        <v>1.1499341358322126E-4</v>
      </c>
    </row>
    <row r="903" spans="29:31" x14ac:dyDescent="0.45">
      <c r="AC903" t="s">
        <v>19</v>
      </c>
      <c r="AD903" t="s">
        <v>1192</v>
      </c>
      <c r="AE903">
        <v>1.1396482991308154E-4</v>
      </c>
    </row>
    <row r="904" spans="29:31" x14ac:dyDescent="0.45">
      <c r="AC904" t="s">
        <v>19</v>
      </c>
      <c r="AD904" t="s">
        <v>1193</v>
      </c>
      <c r="AE904">
        <v>1.1309911482148881E-4</v>
      </c>
    </row>
    <row r="905" spans="29:31" x14ac:dyDescent="0.45">
      <c r="AC905" t="s">
        <v>19</v>
      </c>
      <c r="AD905" t="s">
        <v>1194</v>
      </c>
      <c r="AE905">
        <v>1.120660583939768E-4</v>
      </c>
    </row>
    <row r="906" spans="29:31" x14ac:dyDescent="0.45">
      <c r="AC906" t="s">
        <v>19</v>
      </c>
      <c r="AD906" t="s">
        <v>1195</v>
      </c>
      <c r="AE906">
        <v>1.1171980676316565E-4</v>
      </c>
    </row>
    <row r="907" spans="29:31" x14ac:dyDescent="0.45">
      <c r="AC907" t="s">
        <v>19</v>
      </c>
      <c r="AD907" t="s">
        <v>1196</v>
      </c>
      <c r="AE907">
        <v>1.1154154157751017E-4</v>
      </c>
    </row>
    <row r="908" spans="29:31" x14ac:dyDescent="0.45">
      <c r="AC908" t="s">
        <v>19</v>
      </c>
      <c r="AD908" t="s">
        <v>1197</v>
      </c>
      <c r="AE908">
        <v>1.1146427899463199E-4</v>
      </c>
    </row>
    <row r="909" spans="29:31" x14ac:dyDescent="0.45">
      <c r="AC909" t="s">
        <v>19</v>
      </c>
      <c r="AD909" t="s">
        <v>1198</v>
      </c>
      <c r="AE909">
        <v>1.1161385832290936E-4</v>
      </c>
    </row>
    <row r="910" spans="29:31" x14ac:dyDescent="0.45">
      <c r="AC910" t="s">
        <v>19</v>
      </c>
      <c r="AD910" t="s">
        <v>1199</v>
      </c>
      <c r="AE910">
        <v>1.11938348268813E-4</v>
      </c>
    </row>
    <row r="911" spans="29:31" x14ac:dyDescent="0.45">
      <c r="AC911" t="s">
        <v>19</v>
      </c>
      <c r="AD911" t="s">
        <v>1200</v>
      </c>
      <c r="AE911">
        <v>1.1211257076992044E-4</v>
      </c>
    </row>
    <row r="912" spans="29:31" x14ac:dyDescent="0.45">
      <c r="AC912" t="s">
        <v>19</v>
      </c>
      <c r="AD912" t="s">
        <v>1201</v>
      </c>
      <c r="AE912">
        <v>1.1236255059902115E-4</v>
      </c>
    </row>
    <row r="913" spans="29:31" x14ac:dyDescent="0.45">
      <c r="AC913" t="s">
        <v>19</v>
      </c>
      <c r="AD913" t="s">
        <v>1202</v>
      </c>
      <c r="AE913">
        <v>1.1251593607179323E-4</v>
      </c>
    </row>
    <row r="914" spans="29:31" x14ac:dyDescent="0.45">
      <c r="AC914" t="s">
        <v>19</v>
      </c>
      <c r="AD914" t="s">
        <v>1203</v>
      </c>
      <c r="AE914">
        <v>1.1283545867657666E-4</v>
      </c>
    </row>
    <row r="915" spans="29:31" x14ac:dyDescent="0.45">
      <c r="AC915" t="s">
        <v>19</v>
      </c>
      <c r="AD915" t="s">
        <v>1204</v>
      </c>
      <c r="AE915">
        <v>1.1340367089198803E-4</v>
      </c>
    </row>
    <row r="916" spans="29:31" x14ac:dyDescent="0.45">
      <c r="AC916" t="s">
        <v>19</v>
      </c>
      <c r="AD916" t="s">
        <v>1205</v>
      </c>
      <c r="AE916">
        <v>1.1329322819071825E-4</v>
      </c>
    </row>
    <row r="917" spans="29:31" x14ac:dyDescent="0.45">
      <c r="AC917" t="s">
        <v>19</v>
      </c>
      <c r="AD917" t="s">
        <v>1206</v>
      </c>
      <c r="AE917">
        <v>1.1325361848360397E-4</v>
      </c>
    </row>
    <row r="918" spans="29:31" x14ac:dyDescent="0.45">
      <c r="AC918" t="s">
        <v>19</v>
      </c>
      <c r="AD918" t="s">
        <v>1207</v>
      </c>
      <c r="AE918">
        <v>1.1327712196344974E-4</v>
      </c>
    </row>
    <row r="919" spans="29:31" x14ac:dyDescent="0.45">
      <c r="AC919" t="s">
        <v>19</v>
      </c>
      <c r="AD919" t="s">
        <v>1208</v>
      </c>
      <c r="AE919">
        <v>1.133215269825545E-4</v>
      </c>
    </row>
    <row r="920" spans="29:31" x14ac:dyDescent="0.45">
      <c r="AC920" t="s">
        <v>19</v>
      </c>
      <c r="AD920" t="s">
        <v>1209</v>
      </c>
      <c r="AE920">
        <v>1.1342928172867266E-4</v>
      </c>
    </row>
    <row r="921" spans="29:31" x14ac:dyDescent="0.45">
      <c r="AC921" t="s">
        <v>19</v>
      </c>
      <c r="AD921" t="s">
        <v>1210</v>
      </c>
      <c r="AE921">
        <v>1.1378327467032048E-4</v>
      </c>
    </row>
    <row r="922" spans="29:31" x14ac:dyDescent="0.45">
      <c r="AC922" t="s">
        <v>19</v>
      </c>
      <c r="AD922" t="s">
        <v>1211</v>
      </c>
      <c r="AE922">
        <v>1.1429456674744113E-4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A250EF-F94A-428C-A298-3D76BD2829D0}">
  <dimension ref="A9:AN87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104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248</v>
      </c>
      <c r="L10" t="s">
        <v>30</v>
      </c>
      <c r="N10" t="s">
        <v>13</v>
      </c>
      <c r="O10" t="s">
        <v>122</v>
      </c>
      <c r="P10" t="s">
        <v>248</v>
      </c>
      <c r="Q10" t="s">
        <v>30</v>
      </c>
      <c r="S10" t="s">
        <v>13</v>
      </c>
      <c r="T10" t="s">
        <v>122</v>
      </c>
      <c r="U10" t="s">
        <v>248</v>
      </c>
      <c r="V10" t="s">
        <v>30</v>
      </c>
      <c r="X10" t="s">
        <v>421</v>
      </c>
      <c r="Y10" t="s">
        <v>248</v>
      </c>
      <c r="Z10" t="s">
        <v>122</v>
      </c>
      <c r="AA10" t="s">
        <v>13</v>
      </c>
      <c r="AC10" t="s">
        <v>13</v>
      </c>
      <c r="AD10" t="s">
        <v>122</v>
      </c>
      <c r="AE10" t="s">
        <v>248</v>
      </c>
      <c r="AG10" t="s">
        <v>13</v>
      </c>
      <c r="AH10" t="s">
        <v>122</v>
      </c>
      <c r="AI10" t="s">
        <v>427</v>
      </c>
      <c r="AK10" t="s">
        <v>47</v>
      </c>
      <c r="AL10" t="s">
        <v>122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1214</v>
      </c>
      <c r="F11" t="s">
        <v>154</v>
      </c>
      <c r="G11" t="s">
        <v>155</v>
      </c>
      <c r="I11" t="s">
        <v>249</v>
      </c>
      <c r="J11" t="s">
        <v>250</v>
      </c>
      <c r="K11">
        <v>0</v>
      </c>
      <c r="L11" t="s">
        <v>251</v>
      </c>
      <c r="N11" t="s">
        <v>419</v>
      </c>
      <c r="O11" t="s">
        <v>250</v>
      </c>
      <c r="P11">
        <v>2.1065016099604327E-2</v>
      </c>
      <c r="Q11" t="s">
        <v>251</v>
      </c>
      <c r="S11" t="s">
        <v>420</v>
      </c>
      <c r="T11" t="s">
        <v>250</v>
      </c>
      <c r="U11">
        <v>2.2141770498667824E-2</v>
      </c>
      <c r="V11" t="s">
        <v>251</v>
      </c>
      <c r="X11">
        <v>1.643835616438356E-2</v>
      </c>
      <c r="Y11">
        <v>3.5163960917882816E-3</v>
      </c>
      <c r="Z11" t="s">
        <v>250</v>
      </c>
      <c r="AA11" t="s">
        <v>25</v>
      </c>
      <c r="AC11" t="s">
        <v>22</v>
      </c>
      <c r="AD11" t="s">
        <v>250</v>
      </c>
      <c r="AE11">
        <v>1.9724969786847769E-2</v>
      </c>
      <c r="AG11" t="s">
        <v>97</v>
      </c>
      <c r="AH11" t="s">
        <v>250</v>
      </c>
      <c r="AI11">
        <v>0.12215700048798284</v>
      </c>
    </row>
    <row r="12" spans="1:40" x14ac:dyDescent="0.45">
      <c r="C12" t="s">
        <v>156</v>
      </c>
      <c r="D12" t="s">
        <v>155</v>
      </c>
      <c r="E12" t="s">
        <v>1215</v>
      </c>
      <c r="F12" t="s">
        <v>151</v>
      </c>
      <c r="G12" t="s">
        <v>155</v>
      </c>
      <c r="I12" t="s">
        <v>249</v>
      </c>
      <c r="J12" t="s">
        <v>252</v>
      </c>
      <c r="K12">
        <v>0</v>
      </c>
      <c r="L12" t="s">
        <v>251</v>
      </c>
      <c r="N12" t="s">
        <v>419</v>
      </c>
      <c r="O12" t="s">
        <v>252</v>
      </c>
      <c r="P12">
        <v>3.363593845333706E-3</v>
      </c>
      <c r="Q12" t="s">
        <v>251</v>
      </c>
      <c r="S12" t="s">
        <v>420</v>
      </c>
      <c r="T12" t="s">
        <v>252</v>
      </c>
      <c r="U12">
        <v>3.6528865788252006E-3</v>
      </c>
      <c r="V12" t="s">
        <v>251</v>
      </c>
      <c r="X12">
        <v>2.7397260273972603E-3</v>
      </c>
      <c r="Y12">
        <v>4.0573801059095556E-3</v>
      </c>
      <c r="Z12" t="s">
        <v>252</v>
      </c>
      <c r="AA12" t="s">
        <v>25</v>
      </c>
      <c r="AC12" t="s">
        <v>22</v>
      </c>
      <c r="AD12" t="s">
        <v>252</v>
      </c>
      <c r="AE12">
        <v>2.5456624696926665E-3</v>
      </c>
      <c r="AG12" t="s">
        <v>97</v>
      </c>
      <c r="AH12" t="s">
        <v>252</v>
      </c>
      <c r="AI12">
        <v>3.4534816630665377E-2</v>
      </c>
    </row>
    <row r="13" spans="1:40" x14ac:dyDescent="0.45">
      <c r="C13" t="s">
        <v>158</v>
      </c>
      <c r="D13" t="s">
        <v>159</v>
      </c>
      <c r="E13" t="s">
        <v>1216</v>
      </c>
      <c r="F13" t="s">
        <v>171</v>
      </c>
      <c r="G13" t="s">
        <v>155</v>
      </c>
      <c r="I13" t="s">
        <v>249</v>
      </c>
      <c r="J13" t="s">
        <v>253</v>
      </c>
      <c r="K13">
        <v>1.665991393340614E-4</v>
      </c>
      <c r="L13" t="s">
        <v>251</v>
      </c>
      <c r="N13" t="s">
        <v>419</v>
      </c>
      <c r="O13" t="s">
        <v>253</v>
      </c>
      <c r="P13">
        <v>3.3241896405385024E-3</v>
      </c>
      <c r="Q13" t="s">
        <v>251</v>
      </c>
      <c r="S13" t="s">
        <v>420</v>
      </c>
      <c r="T13" t="s">
        <v>253</v>
      </c>
      <c r="U13">
        <v>3.6831973917556093E-3</v>
      </c>
      <c r="V13" t="s">
        <v>251</v>
      </c>
      <c r="X13">
        <v>2.7397260273972603E-3</v>
      </c>
      <c r="Y13">
        <v>4.5744971782313605E-3</v>
      </c>
      <c r="Z13" t="s">
        <v>253</v>
      </c>
      <c r="AA13" t="s">
        <v>25</v>
      </c>
      <c r="AC13" t="s">
        <v>22</v>
      </c>
      <c r="AD13" t="s">
        <v>253</v>
      </c>
      <c r="AE13">
        <v>2.4218149978943769E-3</v>
      </c>
      <c r="AG13" t="s">
        <v>97</v>
      </c>
      <c r="AH13" t="s">
        <v>253</v>
      </c>
      <c r="AI13">
        <v>3.7864397603729838E-2</v>
      </c>
    </row>
    <row r="14" spans="1:40" x14ac:dyDescent="0.45">
      <c r="C14" t="s">
        <v>161</v>
      </c>
      <c r="E14" t="s">
        <v>1217</v>
      </c>
      <c r="G14" t="s">
        <v>155</v>
      </c>
      <c r="I14" t="s">
        <v>249</v>
      </c>
      <c r="J14" t="s">
        <v>254</v>
      </c>
      <c r="K14">
        <v>4.1113849383527003E-2</v>
      </c>
      <c r="L14" t="s">
        <v>251</v>
      </c>
      <c r="N14" t="s">
        <v>419</v>
      </c>
      <c r="O14" t="s">
        <v>254</v>
      </c>
      <c r="P14">
        <v>1.9728585042441356E-2</v>
      </c>
      <c r="Q14" t="s">
        <v>251</v>
      </c>
      <c r="S14" t="s">
        <v>420</v>
      </c>
      <c r="T14" t="s">
        <v>254</v>
      </c>
      <c r="U14">
        <v>2.5241051390180368E-2</v>
      </c>
      <c r="V14" t="s">
        <v>251</v>
      </c>
      <c r="X14">
        <v>1.9178082191780823E-2</v>
      </c>
      <c r="Y14">
        <v>2.432836934092435E-2</v>
      </c>
      <c r="Z14" t="s">
        <v>254</v>
      </c>
      <c r="AA14" t="s">
        <v>25</v>
      </c>
      <c r="AC14" t="s">
        <v>22</v>
      </c>
      <c r="AD14" t="s">
        <v>254</v>
      </c>
      <c r="AE14">
        <v>1.9552322700731942E-2</v>
      </c>
      <c r="AG14" t="s">
        <v>97</v>
      </c>
      <c r="AH14" t="s">
        <v>254</v>
      </c>
      <c r="AI14">
        <v>0.28777909376515121</v>
      </c>
    </row>
    <row r="15" spans="1:40" x14ac:dyDescent="0.45">
      <c r="C15" t="s">
        <v>165</v>
      </c>
      <c r="E15" t="s">
        <v>1218</v>
      </c>
      <c r="G15" t="s">
        <v>155</v>
      </c>
      <c r="I15" t="s">
        <v>249</v>
      </c>
      <c r="J15" t="s">
        <v>255</v>
      </c>
      <c r="K15">
        <v>6.3534859929338001E-3</v>
      </c>
      <c r="L15" t="s">
        <v>251</v>
      </c>
      <c r="N15" t="s">
        <v>419</v>
      </c>
      <c r="O15" t="s">
        <v>255</v>
      </c>
      <c r="P15">
        <v>2.6147350535697593E-3</v>
      </c>
      <c r="Q15" t="s">
        <v>251</v>
      </c>
      <c r="S15" t="s">
        <v>420</v>
      </c>
      <c r="T15" t="s">
        <v>255</v>
      </c>
      <c r="U15">
        <v>3.6259382523385667E-3</v>
      </c>
      <c r="V15" t="s">
        <v>251</v>
      </c>
      <c r="X15">
        <v>2.7397260273972603E-3</v>
      </c>
      <c r="Y15">
        <v>4.1369365785744487E-3</v>
      </c>
      <c r="Z15" t="s">
        <v>255</v>
      </c>
      <c r="AA15" t="s">
        <v>25</v>
      </c>
      <c r="AC15" t="s">
        <v>22</v>
      </c>
      <c r="AD15" t="s">
        <v>255</v>
      </c>
      <c r="AE15">
        <v>3.2990654998298519E-3</v>
      </c>
      <c r="AG15" t="s">
        <v>97</v>
      </c>
      <c r="AH15" t="s">
        <v>255</v>
      </c>
      <c r="AI15">
        <v>5.6747484745753418E-2</v>
      </c>
    </row>
    <row r="16" spans="1:40" x14ac:dyDescent="0.45">
      <c r="C16" t="s">
        <v>167</v>
      </c>
      <c r="E16" t="s">
        <v>1219</v>
      </c>
      <c r="G16" t="s">
        <v>155</v>
      </c>
      <c r="I16" t="s">
        <v>249</v>
      </c>
      <c r="J16" t="s">
        <v>256</v>
      </c>
      <c r="K16">
        <v>5.3716036532800004E-3</v>
      </c>
      <c r="L16" t="s">
        <v>251</v>
      </c>
      <c r="N16" t="s">
        <v>419</v>
      </c>
      <c r="O16" t="s">
        <v>256</v>
      </c>
      <c r="P16">
        <v>2.6613404618448192E-3</v>
      </c>
      <c r="Q16" t="s">
        <v>251</v>
      </c>
      <c r="S16" t="s">
        <v>420</v>
      </c>
      <c r="T16" t="s">
        <v>256</v>
      </c>
      <c r="U16">
        <v>3.5766498009789215E-3</v>
      </c>
      <c r="V16" t="s">
        <v>251</v>
      </c>
      <c r="X16">
        <v>2.7397260273972603E-3</v>
      </c>
      <c r="Y16">
        <v>5.3302836685478472E-3</v>
      </c>
      <c r="Z16" t="s">
        <v>256</v>
      </c>
      <c r="AA16" t="s">
        <v>25</v>
      </c>
      <c r="AC16" t="s">
        <v>22</v>
      </c>
      <c r="AD16" t="s">
        <v>256</v>
      </c>
      <c r="AE16">
        <v>3.2743013945390428E-3</v>
      </c>
      <c r="AG16" t="s">
        <v>97</v>
      </c>
      <c r="AH16" t="s">
        <v>256</v>
      </c>
      <c r="AI16">
        <v>3.7818816201273586E-2</v>
      </c>
    </row>
    <row r="17" spans="3:35" x14ac:dyDescent="0.45">
      <c r="C17" t="s">
        <v>169</v>
      </c>
      <c r="E17" t="s">
        <v>1220</v>
      </c>
      <c r="G17" t="s">
        <v>155</v>
      </c>
      <c r="I17" t="s">
        <v>249</v>
      </c>
      <c r="J17" t="s">
        <v>257</v>
      </c>
      <c r="K17">
        <v>3.0829494112457017E-3</v>
      </c>
      <c r="L17" t="s">
        <v>251</v>
      </c>
      <c r="N17" t="s">
        <v>419</v>
      </c>
      <c r="O17" t="s">
        <v>257</v>
      </c>
      <c r="P17">
        <v>2.8459521197923237E-3</v>
      </c>
      <c r="Q17" t="s">
        <v>251</v>
      </c>
      <c r="S17" t="s">
        <v>420</v>
      </c>
      <c r="T17" t="s">
        <v>257</v>
      </c>
      <c r="U17">
        <v>3.6623606279264443E-3</v>
      </c>
      <c r="V17" t="s">
        <v>251</v>
      </c>
      <c r="X17">
        <v>2.7397260273972603E-3</v>
      </c>
      <c r="Y17">
        <v>5.3302836685478472E-3</v>
      </c>
      <c r="Z17" t="s">
        <v>257</v>
      </c>
      <c r="AA17" t="s">
        <v>25</v>
      </c>
      <c r="AC17" t="s">
        <v>22</v>
      </c>
      <c r="AD17" t="s">
        <v>257</v>
      </c>
      <c r="AE17">
        <v>3.3162320851853884E-3</v>
      </c>
      <c r="AG17" t="s">
        <v>97</v>
      </c>
      <c r="AH17" t="s">
        <v>257</v>
      </c>
      <c r="AI17">
        <v>4.5027030631847875E-2</v>
      </c>
    </row>
    <row r="18" spans="3:35" x14ac:dyDescent="0.45">
      <c r="C18" t="s">
        <v>171</v>
      </c>
      <c r="E18" t="s">
        <v>1221</v>
      </c>
      <c r="G18" t="s">
        <v>155</v>
      </c>
      <c r="I18" t="s">
        <v>249</v>
      </c>
      <c r="J18" t="s">
        <v>258</v>
      </c>
      <c r="K18">
        <v>1.7875468304144084E-5</v>
      </c>
      <c r="L18" t="s">
        <v>251</v>
      </c>
      <c r="N18" t="s">
        <v>419</v>
      </c>
      <c r="O18" t="s">
        <v>258</v>
      </c>
      <c r="P18">
        <v>1.9783859448187637E-2</v>
      </c>
      <c r="Q18" t="s">
        <v>251</v>
      </c>
      <c r="S18" t="s">
        <v>420</v>
      </c>
      <c r="T18" t="s">
        <v>258</v>
      </c>
      <c r="U18">
        <v>2.4001103131540833E-2</v>
      </c>
      <c r="V18" t="s">
        <v>251</v>
      </c>
      <c r="X18">
        <v>1.643835616438356E-2</v>
      </c>
      <c r="Y18">
        <v>1.4479278025010568E-2</v>
      </c>
      <c r="Z18" t="s">
        <v>258</v>
      </c>
      <c r="AA18" t="s">
        <v>25</v>
      </c>
      <c r="AC18" t="s">
        <v>22</v>
      </c>
      <c r="AD18" t="s">
        <v>258</v>
      </c>
      <c r="AE18">
        <v>2.0331805884631578E-2</v>
      </c>
      <c r="AG18" t="s">
        <v>97</v>
      </c>
      <c r="AH18" t="s">
        <v>258</v>
      </c>
      <c r="AI18">
        <v>9.3357107283618568E-2</v>
      </c>
    </row>
    <row r="19" spans="3:35" x14ac:dyDescent="0.45">
      <c r="C19" t="s">
        <v>164</v>
      </c>
      <c r="E19" t="s">
        <v>1222</v>
      </c>
      <c r="G19" t="s">
        <v>155</v>
      </c>
      <c r="I19" t="s">
        <v>249</v>
      </c>
      <c r="J19" t="s">
        <v>1550</v>
      </c>
      <c r="K19">
        <v>0</v>
      </c>
      <c r="L19" t="s">
        <v>251</v>
      </c>
      <c r="N19" t="s">
        <v>419</v>
      </c>
      <c r="O19" t="s">
        <v>1550</v>
      </c>
      <c r="P19">
        <v>5.3938714192709032E-5</v>
      </c>
      <c r="Q19" t="s">
        <v>251</v>
      </c>
      <c r="S19" t="s">
        <v>420</v>
      </c>
      <c r="T19" t="s">
        <v>1550</v>
      </c>
      <c r="U19">
        <v>1.5189409187240001E-4</v>
      </c>
      <c r="V19" t="s">
        <v>251</v>
      </c>
      <c r="X19">
        <v>1.1415525114155251E-4</v>
      </c>
      <c r="Y19">
        <v>2.1546544680075254E-5</v>
      </c>
      <c r="Z19" t="s">
        <v>1550</v>
      </c>
      <c r="AA19" t="s">
        <v>25</v>
      </c>
      <c r="AC19" t="s">
        <v>22</v>
      </c>
      <c r="AD19" t="s">
        <v>1550</v>
      </c>
      <c r="AE19">
        <v>1.5644750349532561E-4</v>
      </c>
      <c r="AG19" t="s">
        <v>97</v>
      </c>
      <c r="AH19" t="s">
        <v>1550</v>
      </c>
      <c r="AI19">
        <v>0</v>
      </c>
    </row>
    <row r="20" spans="3:35" x14ac:dyDescent="0.45">
      <c r="C20" t="s">
        <v>174</v>
      </c>
      <c r="E20" t="s">
        <v>1223</v>
      </c>
      <c r="G20" t="s">
        <v>155</v>
      </c>
      <c r="I20" t="s">
        <v>249</v>
      </c>
      <c r="J20" t="s">
        <v>1551</v>
      </c>
      <c r="K20">
        <v>0</v>
      </c>
      <c r="L20" t="s">
        <v>251</v>
      </c>
      <c r="N20" t="s">
        <v>419</v>
      </c>
      <c r="O20" t="s">
        <v>1551</v>
      </c>
      <c r="P20">
        <v>5.3787806857719457E-5</v>
      </c>
      <c r="Q20" t="s">
        <v>251</v>
      </c>
      <c r="S20" t="s">
        <v>420</v>
      </c>
      <c r="T20" t="s">
        <v>1551</v>
      </c>
      <c r="U20">
        <v>1.44933320479E-4</v>
      </c>
      <c r="V20" t="s">
        <v>251</v>
      </c>
      <c r="X20">
        <v>1.1415525114155251E-4</v>
      </c>
      <c r="Y20">
        <v>1.4916838624667481E-5</v>
      </c>
      <c r="Z20" t="s">
        <v>1551</v>
      </c>
      <c r="AA20" t="s">
        <v>25</v>
      </c>
      <c r="AC20" t="s">
        <v>22</v>
      </c>
      <c r="AD20" t="s">
        <v>1551</v>
      </c>
      <c r="AE20">
        <v>1.5660357306348819E-4</v>
      </c>
      <c r="AG20" t="s">
        <v>97</v>
      </c>
      <c r="AH20" t="s">
        <v>1551</v>
      </c>
      <c r="AI20">
        <v>0</v>
      </c>
    </row>
    <row r="21" spans="3:35" x14ac:dyDescent="0.45">
      <c r="C21" t="s">
        <v>176</v>
      </c>
      <c r="E21" t="s">
        <v>1224</v>
      </c>
      <c r="G21" t="s">
        <v>155</v>
      </c>
      <c r="I21" t="s">
        <v>249</v>
      </c>
      <c r="J21" t="s">
        <v>1552</v>
      </c>
      <c r="K21">
        <v>0</v>
      </c>
      <c r="L21" t="s">
        <v>251</v>
      </c>
      <c r="N21" t="s">
        <v>419</v>
      </c>
      <c r="O21" t="s">
        <v>1552</v>
      </c>
      <c r="P21">
        <v>5.3579084975005598E-5</v>
      </c>
      <c r="Q21" t="s">
        <v>251</v>
      </c>
      <c r="S21" t="s">
        <v>420</v>
      </c>
      <c r="T21" t="s">
        <v>1552</v>
      </c>
      <c r="U21">
        <v>1.3802582483750001E-4</v>
      </c>
      <c r="V21" t="s">
        <v>251</v>
      </c>
      <c r="X21">
        <v>1.1415525114155251E-4</v>
      </c>
      <c r="Y21">
        <v>1.6574265138519424E-5</v>
      </c>
      <c r="Z21" t="s">
        <v>1552</v>
      </c>
      <c r="AA21" t="s">
        <v>25</v>
      </c>
      <c r="AC21" t="s">
        <v>22</v>
      </c>
      <c r="AD21" t="s">
        <v>1552</v>
      </c>
      <c r="AE21">
        <v>1.4947586254622397E-4</v>
      </c>
      <c r="AG21" t="s">
        <v>97</v>
      </c>
      <c r="AH21" t="s">
        <v>1552</v>
      </c>
      <c r="AI21">
        <v>0</v>
      </c>
    </row>
    <row r="22" spans="3:35" x14ac:dyDescent="0.45">
      <c r="C22" t="s">
        <v>178</v>
      </c>
      <c r="E22" t="s">
        <v>1225</v>
      </c>
      <c r="G22" t="s">
        <v>155</v>
      </c>
      <c r="I22" t="s">
        <v>249</v>
      </c>
      <c r="J22" t="s">
        <v>1553</v>
      </c>
      <c r="K22">
        <v>0</v>
      </c>
      <c r="L22" t="s">
        <v>251</v>
      </c>
      <c r="N22" t="s">
        <v>419</v>
      </c>
      <c r="O22" t="s">
        <v>1553</v>
      </c>
      <c r="P22">
        <v>5.2108837660575448E-5</v>
      </c>
      <c r="Q22" t="s">
        <v>251</v>
      </c>
      <c r="S22" t="s">
        <v>420</v>
      </c>
      <c r="T22" t="s">
        <v>1553</v>
      </c>
      <c r="U22">
        <v>1.3667770832670001E-4</v>
      </c>
      <c r="V22" t="s">
        <v>251</v>
      </c>
      <c r="X22">
        <v>1.1415525114155251E-4</v>
      </c>
      <c r="Y22">
        <v>1.4585353321897093E-5</v>
      </c>
      <c r="Z22" t="s">
        <v>1553</v>
      </c>
      <c r="AA22" t="s">
        <v>25</v>
      </c>
      <c r="AC22" t="s">
        <v>22</v>
      </c>
      <c r="AD22" t="s">
        <v>1553</v>
      </c>
      <c r="AE22">
        <v>1.4300391100082916E-4</v>
      </c>
      <c r="AG22" t="s">
        <v>97</v>
      </c>
      <c r="AH22" t="s">
        <v>1553</v>
      </c>
      <c r="AI22">
        <v>0</v>
      </c>
    </row>
    <row r="23" spans="3:35" x14ac:dyDescent="0.45">
      <c r="E23" t="s">
        <v>1226</v>
      </c>
      <c r="G23" t="s">
        <v>155</v>
      </c>
      <c r="I23" t="s">
        <v>249</v>
      </c>
      <c r="J23" t="s">
        <v>1554</v>
      </c>
      <c r="K23">
        <v>0</v>
      </c>
      <c r="L23" t="s">
        <v>251</v>
      </c>
      <c r="N23" t="s">
        <v>419</v>
      </c>
      <c r="O23" t="s">
        <v>1554</v>
      </c>
      <c r="P23">
        <v>5.0510820020050793E-5</v>
      </c>
      <c r="Q23" t="s">
        <v>251</v>
      </c>
      <c r="S23" t="s">
        <v>420</v>
      </c>
      <c r="T23" t="s">
        <v>1554</v>
      </c>
      <c r="U23">
        <v>1.3622100050970001E-4</v>
      </c>
      <c r="V23" t="s">
        <v>251</v>
      </c>
      <c r="X23">
        <v>1.1415525114155251E-4</v>
      </c>
      <c r="Y23">
        <v>2.1215059377304864E-5</v>
      </c>
      <c r="Z23" t="s">
        <v>1554</v>
      </c>
      <c r="AA23" t="s">
        <v>25</v>
      </c>
      <c r="AC23" t="s">
        <v>22</v>
      </c>
      <c r="AD23" t="s">
        <v>1554</v>
      </c>
      <c r="AE23">
        <v>1.3176343388049782E-4</v>
      </c>
      <c r="AG23" t="s">
        <v>97</v>
      </c>
      <c r="AH23" t="s">
        <v>1554</v>
      </c>
      <c r="AI23">
        <v>0</v>
      </c>
    </row>
    <row r="24" spans="3:35" x14ac:dyDescent="0.45">
      <c r="E24" t="s">
        <v>1227</v>
      </c>
      <c r="G24" t="s">
        <v>155</v>
      </c>
      <c r="I24" t="s">
        <v>249</v>
      </c>
      <c r="J24" t="s">
        <v>1555</v>
      </c>
      <c r="K24">
        <v>0</v>
      </c>
      <c r="L24" t="s">
        <v>251</v>
      </c>
      <c r="N24" t="s">
        <v>419</v>
      </c>
      <c r="O24" t="s">
        <v>1555</v>
      </c>
      <c r="P24">
        <v>5.0203288317081012E-5</v>
      </c>
      <c r="Q24" t="s">
        <v>251</v>
      </c>
      <c r="S24" t="s">
        <v>420</v>
      </c>
      <c r="T24" t="s">
        <v>1555</v>
      </c>
      <c r="U24">
        <v>1.3616220564419999E-4</v>
      </c>
      <c r="V24" t="s">
        <v>251</v>
      </c>
      <c r="X24">
        <v>1.1415525114155251E-4</v>
      </c>
      <c r="Y24">
        <v>5.7678442682047593E-5</v>
      </c>
      <c r="Z24" t="s">
        <v>1555</v>
      </c>
      <c r="AA24" t="s">
        <v>25</v>
      </c>
      <c r="AC24" t="s">
        <v>22</v>
      </c>
      <c r="AD24" t="s">
        <v>1555</v>
      </c>
      <c r="AE24">
        <v>1.2618468047904884E-4</v>
      </c>
      <c r="AG24" t="s">
        <v>97</v>
      </c>
      <c r="AH24" t="s">
        <v>1555</v>
      </c>
      <c r="AI24">
        <v>0</v>
      </c>
    </row>
    <row r="25" spans="3:35" x14ac:dyDescent="0.45">
      <c r="E25" t="s">
        <v>1228</v>
      </c>
      <c r="G25" t="s">
        <v>155</v>
      </c>
      <c r="I25" t="s">
        <v>249</v>
      </c>
      <c r="J25" t="s">
        <v>1556</v>
      </c>
      <c r="K25">
        <v>0</v>
      </c>
      <c r="L25" t="s">
        <v>251</v>
      </c>
      <c r="N25" t="s">
        <v>419</v>
      </c>
      <c r="O25" t="s">
        <v>1556</v>
      </c>
      <c r="P25">
        <v>5.1089398858672373E-5</v>
      </c>
      <c r="Q25" t="s">
        <v>251</v>
      </c>
      <c r="S25" t="s">
        <v>420</v>
      </c>
      <c r="T25" t="s">
        <v>1556</v>
      </c>
      <c r="U25">
        <v>1.4119821353200001E-4</v>
      </c>
      <c r="V25" t="s">
        <v>251</v>
      </c>
      <c r="X25">
        <v>1.1415525114155251E-4</v>
      </c>
      <c r="Y25">
        <v>1.6905750441289813E-4</v>
      </c>
      <c r="Z25" t="s">
        <v>1556</v>
      </c>
      <c r="AA25" t="s">
        <v>25</v>
      </c>
      <c r="AC25" t="s">
        <v>22</v>
      </c>
      <c r="AD25" t="s">
        <v>1556</v>
      </c>
      <c r="AE25">
        <v>1.0990275612868635E-4</v>
      </c>
      <c r="AG25" t="s">
        <v>97</v>
      </c>
      <c r="AH25" t="s">
        <v>1556</v>
      </c>
      <c r="AI25">
        <v>0</v>
      </c>
    </row>
    <row r="26" spans="3:35" x14ac:dyDescent="0.45">
      <c r="E26" t="s">
        <v>1229</v>
      </c>
      <c r="G26" t="s">
        <v>155</v>
      </c>
      <c r="I26" t="s">
        <v>249</v>
      </c>
      <c r="J26" t="s">
        <v>1557</v>
      </c>
      <c r="K26">
        <v>8.9715137368475652E-6</v>
      </c>
      <c r="L26" t="s">
        <v>251</v>
      </c>
      <c r="N26" t="s">
        <v>419</v>
      </c>
      <c r="O26" t="s">
        <v>1557</v>
      </c>
      <c r="P26">
        <v>5.3530502195391403E-5</v>
      </c>
      <c r="Q26" t="s">
        <v>251</v>
      </c>
      <c r="S26" t="s">
        <v>420</v>
      </c>
      <c r="T26" t="s">
        <v>1557</v>
      </c>
      <c r="U26">
        <v>1.4428098549419999E-4</v>
      </c>
      <c r="V26" t="s">
        <v>251</v>
      </c>
      <c r="X26">
        <v>1.1415525114155251E-4</v>
      </c>
      <c r="Y26">
        <v>1.9060404909297337E-4</v>
      </c>
      <c r="Z26" t="s">
        <v>1557</v>
      </c>
      <c r="AA26" t="s">
        <v>25</v>
      </c>
      <c r="AC26" t="s">
        <v>22</v>
      </c>
      <c r="AD26" t="s">
        <v>1557</v>
      </c>
      <c r="AE26">
        <v>1.0549092288303756E-4</v>
      </c>
      <c r="AG26" t="s">
        <v>97</v>
      </c>
      <c r="AH26" t="s">
        <v>1557</v>
      </c>
      <c r="AI26">
        <v>0</v>
      </c>
    </row>
    <row r="27" spans="3:35" x14ac:dyDescent="0.45">
      <c r="E27" t="s">
        <v>1230</v>
      </c>
      <c r="G27" t="s">
        <v>155</v>
      </c>
      <c r="I27" t="s">
        <v>249</v>
      </c>
      <c r="J27" t="s">
        <v>1558</v>
      </c>
      <c r="K27">
        <v>2.0103642588990001E-4</v>
      </c>
      <c r="L27" t="s">
        <v>251</v>
      </c>
      <c r="N27" t="s">
        <v>419</v>
      </c>
      <c r="O27" t="s">
        <v>1558</v>
      </c>
      <c r="P27">
        <v>4.9913285274511697E-5</v>
      </c>
      <c r="Q27" t="s">
        <v>251</v>
      </c>
      <c r="S27" t="s">
        <v>420</v>
      </c>
      <c r="T27" t="s">
        <v>1558</v>
      </c>
      <c r="U27">
        <v>1.382404473524E-4</v>
      </c>
      <c r="V27" t="s">
        <v>251</v>
      </c>
      <c r="X27">
        <v>1.1415525114155251E-4</v>
      </c>
      <c r="Y27">
        <v>1.4585353321897094E-4</v>
      </c>
      <c r="Z27" t="s">
        <v>1558</v>
      </c>
      <c r="AA27" t="s">
        <v>25</v>
      </c>
      <c r="AC27" t="s">
        <v>22</v>
      </c>
      <c r="AD27" t="s">
        <v>1558</v>
      </c>
      <c r="AE27">
        <v>1.0290550376327084E-4</v>
      </c>
      <c r="AG27" t="s">
        <v>97</v>
      </c>
      <c r="AH27" t="s">
        <v>1558</v>
      </c>
      <c r="AI27">
        <v>0</v>
      </c>
    </row>
    <row r="28" spans="3:35" x14ac:dyDescent="0.45">
      <c r="E28" t="s">
        <v>1231</v>
      </c>
      <c r="G28" t="s">
        <v>155</v>
      </c>
      <c r="I28" t="s">
        <v>249</v>
      </c>
      <c r="J28" t="s">
        <v>1559</v>
      </c>
      <c r="K28">
        <v>2.6934319366380002E-4</v>
      </c>
      <c r="L28" t="s">
        <v>251</v>
      </c>
      <c r="N28" t="s">
        <v>419</v>
      </c>
      <c r="O28" t="s">
        <v>1559</v>
      </c>
      <c r="P28">
        <v>3.8243569299931212E-5</v>
      </c>
      <c r="Q28" t="s">
        <v>251</v>
      </c>
      <c r="S28" t="s">
        <v>420</v>
      </c>
      <c r="T28" t="s">
        <v>1559</v>
      </c>
      <c r="U28">
        <v>1.268517223202E-4</v>
      </c>
      <c r="V28" t="s">
        <v>251</v>
      </c>
      <c r="X28">
        <v>1.1415525114155251E-4</v>
      </c>
      <c r="Y28">
        <v>1.4452759200788939E-4</v>
      </c>
      <c r="Z28" t="s">
        <v>1559</v>
      </c>
      <c r="AA28" t="s">
        <v>25</v>
      </c>
      <c r="AC28" t="s">
        <v>22</v>
      </c>
      <c r="AD28" t="s">
        <v>1559</v>
      </c>
      <c r="AE28">
        <v>1.0222920230123303E-4</v>
      </c>
      <c r="AG28" t="s">
        <v>97</v>
      </c>
      <c r="AH28" t="s">
        <v>1559</v>
      </c>
      <c r="AI28">
        <v>0</v>
      </c>
    </row>
    <row r="29" spans="3:35" x14ac:dyDescent="0.45">
      <c r="E29" t="s">
        <v>1232</v>
      </c>
      <c r="G29" t="s">
        <v>155</v>
      </c>
      <c r="I29" t="s">
        <v>249</v>
      </c>
      <c r="J29" t="s">
        <v>1560</v>
      </c>
      <c r="K29">
        <v>2.9458531699029999E-4</v>
      </c>
      <c r="L29" t="s">
        <v>251</v>
      </c>
      <c r="N29" t="s">
        <v>419</v>
      </c>
      <c r="O29" t="s">
        <v>1560</v>
      </c>
      <c r="P29">
        <v>3.061299149011873E-5</v>
      </c>
      <c r="Q29" t="s">
        <v>251</v>
      </c>
      <c r="S29" t="s">
        <v>420</v>
      </c>
      <c r="T29" t="s">
        <v>1560</v>
      </c>
      <c r="U29">
        <v>1.117587781055E-4</v>
      </c>
      <c r="V29" t="s">
        <v>251</v>
      </c>
      <c r="X29">
        <v>1.1415525114155251E-4</v>
      </c>
      <c r="Y29">
        <v>1.408812536774151E-4</v>
      </c>
      <c r="Z29" t="s">
        <v>1560</v>
      </c>
      <c r="AA29" t="s">
        <v>25</v>
      </c>
      <c r="AC29" t="s">
        <v>22</v>
      </c>
      <c r="AD29" t="s">
        <v>1560</v>
      </c>
      <c r="AE29">
        <v>1.0398358431873234E-4</v>
      </c>
      <c r="AG29" t="s">
        <v>97</v>
      </c>
      <c r="AH29" t="s">
        <v>1560</v>
      </c>
      <c r="AI29">
        <v>0</v>
      </c>
    </row>
    <row r="30" spans="3:35" x14ac:dyDescent="0.45">
      <c r="E30" t="s">
        <v>1233</v>
      </c>
      <c r="G30" t="s">
        <v>155</v>
      </c>
      <c r="I30" t="s">
        <v>249</v>
      </c>
      <c r="J30" t="s">
        <v>1561</v>
      </c>
      <c r="K30">
        <v>2.8612095217830002E-4</v>
      </c>
      <c r="L30" t="s">
        <v>251</v>
      </c>
      <c r="N30" t="s">
        <v>419</v>
      </c>
      <c r="O30" t="s">
        <v>1561</v>
      </c>
      <c r="P30">
        <v>2.6733272861149331E-5</v>
      </c>
      <c r="Q30" t="s">
        <v>251</v>
      </c>
      <c r="S30" t="s">
        <v>420</v>
      </c>
      <c r="T30" t="s">
        <v>1561</v>
      </c>
      <c r="U30">
        <v>9.5698717526542838E-5</v>
      </c>
      <c r="V30" t="s">
        <v>251</v>
      </c>
      <c r="X30">
        <v>1.1415525114155251E-4</v>
      </c>
      <c r="Y30">
        <v>1.4054976837464471E-4</v>
      </c>
      <c r="Z30" t="s">
        <v>1561</v>
      </c>
      <c r="AA30" t="s">
        <v>25</v>
      </c>
      <c r="AC30" t="s">
        <v>22</v>
      </c>
      <c r="AD30" t="s">
        <v>1561</v>
      </c>
      <c r="AE30">
        <v>1.158360675747303E-4</v>
      </c>
      <c r="AG30" t="s">
        <v>97</v>
      </c>
      <c r="AH30" t="s">
        <v>1561</v>
      </c>
      <c r="AI30">
        <v>0</v>
      </c>
    </row>
    <row r="31" spans="3:35" x14ac:dyDescent="0.45">
      <c r="E31" t="s">
        <v>1234</v>
      </c>
      <c r="G31" t="s">
        <v>155</v>
      </c>
      <c r="I31" t="s">
        <v>249</v>
      </c>
      <c r="J31" t="s">
        <v>1562</v>
      </c>
      <c r="K31">
        <v>2.4815211869710002E-4</v>
      </c>
      <c r="L31" t="s">
        <v>251</v>
      </c>
      <c r="N31" t="s">
        <v>419</v>
      </c>
      <c r="O31" t="s">
        <v>1562</v>
      </c>
      <c r="P31">
        <v>2.595053845824917E-5</v>
      </c>
      <c r="Q31" t="s">
        <v>251</v>
      </c>
      <c r="S31" t="s">
        <v>420</v>
      </c>
      <c r="T31" t="s">
        <v>1562</v>
      </c>
      <c r="U31">
        <v>8.4827052730599055E-5</v>
      </c>
      <c r="V31" t="s">
        <v>251</v>
      </c>
      <c r="X31">
        <v>1.1415525114155251E-4</v>
      </c>
      <c r="Y31">
        <v>1.4253868019126702E-4</v>
      </c>
      <c r="Z31" t="s">
        <v>1562</v>
      </c>
      <c r="AA31" t="s">
        <v>25</v>
      </c>
      <c r="AC31" t="s">
        <v>22</v>
      </c>
      <c r="AD31" t="s">
        <v>1562</v>
      </c>
      <c r="AE31">
        <v>1.3680328039700931E-4</v>
      </c>
      <c r="AG31" t="s">
        <v>97</v>
      </c>
      <c r="AH31" t="s">
        <v>1562</v>
      </c>
      <c r="AI31">
        <v>0</v>
      </c>
    </row>
    <row r="32" spans="3:35" x14ac:dyDescent="0.45">
      <c r="E32" t="s">
        <v>1235</v>
      </c>
      <c r="G32" t="s">
        <v>155</v>
      </c>
      <c r="I32" t="s">
        <v>249</v>
      </c>
      <c r="J32" t="s">
        <v>1563</v>
      </c>
      <c r="K32">
        <v>2.505408584135E-4</v>
      </c>
      <c r="L32" t="s">
        <v>251</v>
      </c>
      <c r="N32" t="s">
        <v>419</v>
      </c>
      <c r="O32" t="s">
        <v>1563</v>
      </c>
      <c r="P32">
        <v>2.6652996676477225E-5</v>
      </c>
      <c r="Q32" t="s">
        <v>251</v>
      </c>
      <c r="S32" t="s">
        <v>420</v>
      </c>
      <c r="T32" t="s">
        <v>1563</v>
      </c>
      <c r="U32">
        <v>7.9634766178388844E-5</v>
      </c>
      <c r="V32" t="s">
        <v>251</v>
      </c>
      <c r="X32">
        <v>1.1415525114155251E-4</v>
      </c>
      <c r="Y32">
        <v>1.4883690094390442E-4</v>
      </c>
      <c r="Z32" t="s">
        <v>1563</v>
      </c>
      <c r="AA32" t="s">
        <v>25</v>
      </c>
      <c r="AC32" t="s">
        <v>22</v>
      </c>
      <c r="AD32" t="s">
        <v>1563</v>
      </c>
      <c r="AE32">
        <v>1.5068146661208152E-4</v>
      </c>
      <c r="AG32" t="s">
        <v>97</v>
      </c>
      <c r="AH32" t="s">
        <v>1563</v>
      </c>
      <c r="AI32">
        <v>0</v>
      </c>
    </row>
    <row r="33" spans="5:35" x14ac:dyDescent="0.45">
      <c r="E33" t="s">
        <v>1236</v>
      </c>
      <c r="G33" t="s">
        <v>155</v>
      </c>
      <c r="I33" t="s">
        <v>249</v>
      </c>
      <c r="J33" t="s">
        <v>1564</v>
      </c>
      <c r="K33">
        <v>2.8156617607890002E-4</v>
      </c>
      <c r="L33" t="s">
        <v>251</v>
      </c>
      <c r="N33" t="s">
        <v>419</v>
      </c>
      <c r="O33" t="s">
        <v>1564</v>
      </c>
      <c r="P33">
        <v>2.7122296328874344E-5</v>
      </c>
      <c r="Q33" t="s">
        <v>251</v>
      </c>
      <c r="S33" t="s">
        <v>420</v>
      </c>
      <c r="T33" t="s">
        <v>1564</v>
      </c>
      <c r="U33">
        <v>7.5772310175330643E-5</v>
      </c>
      <c r="V33" t="s">
        <v>251</v>
      </c>
      <c r="X33">
        <v>1.1415525114155251E-4</v>
      </c>
      <c r="Y33">
        <v>1.5049432745775637E-4</v>
      </c>
      <c r="Z33" t="s">
        <v>1564</v>
      </c>
      <c r="AA33" t="s">
        <v>25</v>
      </c>
      <c r="AC33" t="s">
        <v>22</v>
      </c>
      <c r="AD33" t="s">
        <v>1564</v>
      </c>
      <c r="AE33">
        <v>1.5624474644950753E-4</v>
      </c>
      <c r="AG33" t="s">
        <v>97</v>
      </c>
      <c r="AH33" t="s">
        <v>1564</v>
      </c>
      <c r="AI33">
        <v>0</v>
      </c>
    </row>
    <row r="34" spans="5:35" x14ac:dyDescent="0.45">
      <c r="E34" t="s">
        <v>1237</v>
      </c>
      <c r="G34" t="s">
        <v>155</v>
      </c>
      <c r="I34" t="s">
        <v>249</v>
      </c>
      <c r="J34" t="s">
        <v>1565</v>
      </c>
      <c r="K34">
        <v>2.8388578977070001E-4</v>
      </c>
      <c r="L34" t="s">
        <v>251</v>
      </c>
      <c r="N34" t="s">
        <v>419</v>
      </c>
      <c r="O34" t="s">
        <v>1565</v>
      </c>
      <c r="P34">
        <v>2.0387112083404691E-5</v>
      </c>
      <c r="Q34" t="s">
        <v>251</v>
      </c>
      <c r="S34" t="s">
        <v>420</v>
      </c>
      <c r="T34" t="s">
        <v>1565</v>
      </c>
      <c r="U34">
        <v>7.7919375595031853E-5</v>
      </c>
      <c r="V34" t="s">
        <v>251</v>
      </c>
      <c r="X34">
        <v>1.1415525114155251E-4</v>
      </c>
      <c r="Y34">
        <v>1.7237235744060203E-4</v>
      </c>
      <c r="Z34" t="s">
        <v>1565</v>
      </c>
      <c r="AA34" t="s">
        <v>25</v>
      </c>
      <c r="AC34" t="s">
        <v>22</v>
      </c>
      <c r="AD34" t="s">
        <v>1565</v>
      </c>
      <c r="AE34">
        <v>1.4462996915117258E-4</v>
      </c>
      <c r="AG34" t="s">
        <v>97</v>
      </c>
      <c r="AH34" t="s">
        <v>1565</v>
      </c>
      <c r="AI34">
        <v>0</v>
      </c>
    </row>
    <row r="35" spans="5:35" x14ac:dyDescent="0.45">
      <c r="E35" t="s">
        <v>1238</v>
      </c>
      <c r="G35" t="s">
        <v>155</v>
      </c>
      <c r="I35" t="s">
        <v>249</v>
      </c>
      <c r="J35" t="s">
        <v>1566</v>
      </c>
      <c r="K35">
        <v>2.5164454223520002E-4</v>
      </c>
      <c r="L35" t="s">
        <v>251</v>
      </c>
      <c r="N35" t="s">
        <v>419</v>
      </c>
      <c r="O35" t="s">
        <v>1566</v>
      </c>
      <c r="P35">
        <v>2.289046765764316E-5</v>
      </c>
      <c r="Q35" t="s">
        <v>251</v>
      </c>
      <c r="S35" t="s">
        <v>420</v>
      </c>
      <c r="T35" t="s">
        <v>1566</v>
      </c>
      <c r="U35">
        <v>7.8520867173015145E-5</v>
      </c>
      <c r="V35" t="s">
        <v>251</v>
      </c>
      <c r="X35">
        <v>1.1415525114155251E-4</v>
      </c>
      <c r="Y35">
        <v>2.2209515285616027E-4</v>
      </c>
      <c r="Z35" t="s">
        <v>1566</v>
      </c>
      <c r="AA35" t="s">
        <v>25</v>
      </c>
      <c r="AC35" t="s">
        <v>22</v>
      </c>
      <c r="AD35" t="s">
        <v>1566</v>
      </c>
      <c r="AE35">
        <v>1.4190395402726626E-4</v>
      </c>
      <c r="AG35" t="s">
        <v>97</v>
      </c>
      <c r="AH35" t="s">
        <v>1566</v>
      </c>
      <c r="AI35">
        <v>0</v>
      </c>
    </row>
    <row r="36" spans="5:35" x14ac:dyDescent="0.45">
      <c r="E36" t="s">
        <v>1239</v>
      </c>
      <c r="G36" t="s">
        <v>155</v>
      </c>
      <c r="I36" t="s">
        <v>249</v>
      </c>
      <c r="J36" t="s">
        <v>1567</v>
      </c>
      <c r="K36">
        <v>1.7264717765719999E-4</v>
      </c>
      <c r="L36" t="s">
        <v>251</v>
      </c>
      <c r="N36" t="s">
        <v>419</v>
      </c>
      <c r="O36" t="s">
        <v>1567</v>
      </c>
      <c r="P36">
        <v>3.2788920908558834E-5</v>
      </c>
      <c r="Q36" t="s">
        <v>251</v>
      </c>
      <c r="S36" t="s">
        <v>420</v>
      </c>
      <c r="T36" t="s">
        <v>1567</v>
      </c>
      <c r="U36">
        <v>8.0782023659267999E-5</v>
      </c>
      <c r="V36" t="s">
        <v>251</v>
      </c>
      <c r="X36">
        <v>1.1415525114155251E-4</v>
      </c>
      <c r="Y36">
        <v>2.2209515285616027E-4</v>
      </c>
      <c r="Z36" t="s">
        <v>1567</v>
      </c>
      <c r="AA36" t="s">
        <v>25</v>
      </c>
      <c r="AC36" t="s">
        <v>22</v>
      </c>
      <c r="AD36" t="s">
        <v>1567</v>
      </c>
      <c r="AE36">
        <v>1.4506883144113405E-4</v>
      </c>
      <c r="AG36" t="s">
        <v>97</v>
      </c>
      <c r="AH36" t="s">
        <v>1567</v>
      </c>
      <c r="AI36">
        <v>0</v>
      </c>
    </row>
    <row r="37" spans="5:35" x14ac:dyDescent="0.45">
      <c r="E37" t="s">
        <v>1240</v>
      </c>
      <c r="G37" t="s">
        <v>155</v>
      </c>
      <c r="I37" t="s">
        <v>249</v>
      </c>
      <c r="J37" t="s">
        <v>1568</v>
      </c>
      <c r="K37">
        <v>2.6302112634128492E-7</v>
      </c>
      <c r="L37" t="s">
        <v>251</v>
      </c>
      <c r="N37" t="s">
        <v>419</v>
      </c>
      <c r="O37" t="s">
        <v>1568</v>
      </c>
      <c r="P37">
        <v>4.5773579241309997E-5</v>
      </c>
      <c r="Q37" t="s">
        <v>251</v>
      </c>
      <c r="S37" t="s">
        <v>420</v>
      </c>
      <c r="T37" t="s">
        <v>1568</v>
      </c>
      <c r="U37">
        <v>9.581996101089544E-5</v>
      </c>
      <c r="V37" t="s">
        <v>251</v>
      </c>
      <c r="X37">
        <v>1.1415525114155251E-4</v>
      </c>
      <c r="Y37">
        <v>1.7237235744060203E-4</v>
      </c>
      <c r="Z37" t="s">
        <v>1568</v>
      </c>
      <c r="AA37" t="s">
        <v>25</v>
      </c>
      <c r="AC37" t="s">
        <v>22</v>
      </c>
      <c r="AD37" t="s">
        <v>1568</v>
      </c>
      <c r="AE37">
        <v>1.463523368982796E-4</v>
      </c>
      <c r="AG37" t="s">
        <v>97</v>
      </c>
      <c r="AH37" t="s">
        <v>1568</v>
      </c>
      <c r="AI37">
        <v>0</v>
      </c>
    </row>
    <row r="38" spans="5:35" x14ac:dyDescent="0.45">
      <c r="E38" t="s">
        <v>1241</v>
      </c>
      <c r="G38" t="s">
        <v>155</v>
      </c>
      <c r="I38" t="s">
        <v>249</v>
      </c>
      <c r="J38" t="s">
        <v>1569</v>
      </c>
      <c r="K38">
        <v>0</v>
      </c>
      <c r="L38" t="s">
        <v>251</v>
      </c>
      <c r="N38" t="s">
        <v>419</v>
      </c>
      <c r="O38" t="s">
        <v>1569</v>
      </c>
      <c r="P38">
        <v>5.7084744565308047E-5</v>
      </c>
      <c r="Q38" t="s">
        <v>251</v>
      </c>
      <c r="S38" t="s">
        <v>420</v>
      </c>
      <c r="T38" t="s">
        <v>1569</v>
      </c>
      <c r="U38">
        <v>1.079822953097E-4</v>
      </c>
      <c r="V38" t="s">
        <v>251</v>
      </c>
      <c r="X38">
        <v>1.1415525114155251E-4</v>
      </c>
      <c r="Y38">
        <v>1.5579809230208258E-4</v>
      </c>
      <c r="Z38" t="s">
        <v>1569</v>
      </c>
      <c r="AA38" t="s">
        <v>25</v>
      </c>
      <c r="AC38" t="s">
        <v>22</v>
      </c>
      <c r="AD38" t="s">
        <v>1569</v>
      </c>
      <c r="AE38">
        <v>1.4736372105709038E-4</v>
      </c>
      <c r="AG38" t="s">
        <v>97</v>
      </c>
      <c r="AH38" t="s">
        <v>1569</v>
      </c>
      <c r="AI38">
        <v>0</v>
      </c>
    </row>
    <row r="39" spans="5:35" x14ac:dyDescent="0.45">
      <c r="E39" t="s">
        <v>1242</v>
      </c>
      <c r="G39" t="s">
        <v>155</v>
      </c>
      <c r="I39" t="s">
        <v>249</v>
      </c>
      <c r="J39" t="s">
        <v>1570</v>
      </c>
      <c r="K39">
        <v>0</v>
      </c>
      <c r="L39" t="s">
        <v>251</v>
      </c>
      <c r="N39" t="s">
        <v>419</v>
      </c>
      <c r="O39" t="s">
        <v>1570</v>
      </c>
      <c r="P39">
        <v>6.4234312716864497E-5</v>
      </c>
      <c r="Q39" t="s">
        <v>251</v>
      </c>
      <c r="S39" t="s">
        <v>420</v>
      </c>
      <c r="T39" t="s">
        <v>1570</v>
      </c>
      <c r="U39">
        <v>1.046376254567E-4</v>
      </c>
      <c r="V39" t="s">
        <v>251</v>
      </c>
      <c r="X39">
        <v>1.1415525114155251E-4</v>
      </c>
      <c r="Y39">
        <v>1.093901499142282E-4</v>
      </c>
      <c r="Z39" t="s">
        <v>1570</v>
      </c>
      <c r="AA39" t="s">
        <v>25</v>
      </c>
      <c r="AC39" t="s">
        <v>22</v>
      </c>
      <c r="AD39" t="s">
        <v>1570</v>
      </c>
      <c r="AE39">
        <v>1.4742881674022147E-4</v>
      </c>
      <c r="AG39" t="s">
        <v>97</v>
      </c>
      <c r="AH39" t="s">
        <v>1570</v>
      </c>
      <c r="AI39">
        <v>0</v>
      </c>
    </row>
    <row r="40" spans="5:35" x14ac:dyDescent="0.45">
      <c r="E40" t="s">
        <v>1243</v>
      </c>
      <c r="G40" t="s">
        <v>155</v>
      </c>
      <c r="I40" t="s">
        <v>249</v>
      </c>
      <c r="J40" t="s">
        <v>1571</v>
      </c>
      <c r="K40">
        <v>0</v>
      </c>
      <c r="L40" t="s">
        <v>251</v>
      </c>
      <c r="N40" t="s">
        <v>419</v>
      </c>
      <c r="O40" t="s">
        <v>1571</v>
      </c>
      <c r="P40">
        <v>6.7398647188366762E-5</v>
      </c>
      <c r="Q40" t="s">
        <v>251</v>
      </c>
      <c r="S40" t="s">
        <v>420</v>
      </c>
      <c r="T40" t="s">
        <v>1571</v>
      </c>
      <c r="U40">
        <v>9.8395455279471698E-5</v>
      </c>
      <c r="V40" t="s">
        <v>251</v>
      </c>
      <c r="X40">
        <v>1.1415525114155251E-4</v>
      </c>
      <c r="Y40">
        <v>7.9556472664893237E-5</v>
      </c>
      <c r="Z40" t="s">
        <v>1571</v>
      </c>
      <c r="AA40" t="s">
        <v>25</v>
      </c>
      <c r="AC40" t="s">
        <v>22</v>
      </c>
      <c r="AD40" t="s">
        <v>1571</v>
      </c>
      <c r="AE40">
        <v>1.4883370963927127E-4</v>
      </c>
      <c r="AG40" t="s">
        <v>97</v>
      </c>
      <c r="AH40" t="s">
        <v>1571</v>
      </c>
      <c r="AI40">
        <v>0</v>
      </c>
    </row>
    <row r="41" spans="5:35" x14ac:dyDescent="0.45">
      <c r="E41" t="s">
        <v>1244</v>
      </c>
      <c r="G41" t="s">
        <v>155</v>
      </c>
      <c r="I41" t="s">
        <v>249</v>
      </c>
      <c r="J41" t="s">
        <v>1572</v>
      </c>
      <c r="K41">
        <v>0</v>
      </c>
      <c r="L41" t="s">
        <v>251</v>
      </c>
      <c r="N41" t="s">
        <v>419</v>
      </c>
      <c r="O41" t="s">
        <v>1572</v>
      </c>
      <c r="P41">
        <v>7.0460510081615387E-5</v>
      </c>
      <c r="Q41" t="s">
        <v>251</v>
      </c>
      <c r="S41" t="s">
        <v>420</v>
      </c>
      <c r="T41" t="s">
        <v>1572</v>
      </c>
      <c r="U41">
        <v>9.3352426326252997E-5</v>
      </c>
      <c r="V41" t="s">
        <v>251</v>
      </c>
      <c r="X41">
        <v>1.1415525114155251E-4</v>
      </c>
      <c r="Y41">
        <v>5.6352501470966035E-5</v>
      </c>
      <c r="Z41" t="s">
        <v>1572</v>
      </c>
      <c r="AA41" t="s">
        <v>25</v>
      </c>
      <c r="AC41" t="s">
        <v>22</v>
      </c>
      <c r="AD41" t="s">
        <v>1572</v>
      </c>
      <c r="AE41">
        <v>1.5332717927442045E-4</v>
      </c>
      <c r="AG41" t="s">
        <v>97</v>
      </c>
      <c r="AH41" t="s">
        <v>1572</v>
      </c>
      <c r="AI41">
        <v>0</v>
      </c>
    </row>
    <row r="42" spans="5:35" x14ac:dyDescent="0.45">
      <c r="E42" t="s">
        <v>1245</v>
      </c>
      <c r="G42" t="s">
        <v>155</v>
      </c>
      <c r="I42" t="s">
        <v>249</v>
      </c>
      <c r="J42" t="s">
        <v>1573</v>
      </c>
      <c r="K42">
        <v>0</v>
      </c>
      <c r="L42" t="s">
        <v>251</v>
      </c>
      <c r="N42" t="s">
        <v>419</v>
      </c>
      <c r="O42" t="s">
        <v>1573</v>
      </c>
      <c r="P42">
        <v>7.0822288142789719E-5</v>
      </c>
      <c r="Q42" t="s">
        <v>251</v>
      </c>
      <c r="S42" t="s">
        <v>420</v>
      </c>
      <c r="T42" t="s">
        <v>1573</v>
      </c>
      <c r="U42">
        <v>8.750740427335969E-5</v>
      </c>
      <c r="V42" t="s">
        <v>251</v>
      </c>
      <c r="X42">
        <v>1.1415525114155251E-4</v>
      </c>
      <c r="Y42">
        <v>2.9833677249334962E-5</v>
      </c>
      <c r="Z42" t="s">
        <v>1573</v>
      </c>
      <c r="AA42" t="s">
        <v>25</v>
      </c>
      <c r="AC42" t="s">
        <v>22</v>
      </c>
      <c r="AD42" t="s">
        <v>1573</v>
      </c>
      <c r="AE42">
        <v>1.5782304997984909E-4</v>
      </c>
      <c r="AG42" t="s">
        <v>97</v>
      </c>
      <c r="AH42" t="s">
        <v>1573</v>
      </c>
      <c r="AI42">
        <v>0</v>
      </c>
    </row>
    <row r="43" spans="5:35" x14ac:dyDescent="0.45">
      <c r="E43" t="s">
        <v>1246</v>
      </c>
      <c r="G43" t="s">
        <v>155</v>
      </c>
      <c r="I43" t="s">
        <v>249</v>
      </c>
      <c r="J43" t="s">
        <v>1574</v>
      </c>
      <c r="K43">
        <v>0</v>
      </c>
      <c r="L43" t="s">
        <v>251</v>
      </c>
      <c r="N43" t="s">
        <v>419</v>
      </c>
      <c r="O43" t="s">
        <v>1574</v>
      </c>
      <c r="P43">
        <v>7.1620319512782506E-5</v>
      </c>
      <c r="Q43" t="s">
        <v>251</v>
      </c>
      <c r="S43" t="s">
        <v>420</v>
      </c>
      <c r="T43" t="s">
        <v>1574</v>
      </c>
      <c r="U43">
        <v>7.7895298210917493E-5</v>
      </c>
      <c r="V43" t="s">
        <v>251</v>
      </c>
      <c r="X43">
        <v>1.1415525114155251E-4</v>
      </c>
      <c r="Y43">
        <v>2.1546544680075254E-5</v>
      </c>
      <c r="Z43" t="s">
        <v>1574</v>
      </c>
      <c r="AA43" t="s">
        <v>25</v>
      </c>
      <c r="AC43" t="s">
        <v>22</v>
      </c>
      <c r="AD43" t="s">
        <v>1574</v>
      </c>
      <c r="AE43">
        <v>1.5822589621561917E-4</v>
      </c>
      <c r="AG43" t="s">
        <v>97</v>
      </c>
      <c r="AH43" t="s">
        <v>1574</v>
      </c>
      <c r="AI43">
        <v>0</v>
      </c>
    </row>
    <row r="44" spans="5:35" x14ac:dyDescent="0.45">
      <c r="E44" t="s">
        <v>1247</v>
      </c>
      <c r="G44" t="s">
        <v>155</v>
      </c>
      <c r="I44" t="s">
        <v>249</v>
      </c>
      <c r="J44" t="s">
        <v>1575</v>
      </c>
      <c r="K44">
        <v>0</v>
      </c>
      <c r="L44" t="s">
        <v>251</v>
      </c>
      <c r="N44" t="s">
        <v>419</v>
      </c>
      <c r="O44" t="s">
        <v>1575</v>
      </c>
      <c r="P44">
        <v>7.2628470676626062E-5</v>
      </c>
      <c r="Q44" t="s">
        <v>251</v>
      </c>
      <c r="S44" t="s">
        <v>420</v>
      </c>
      <c r="T44" t="s">
        <v>1575</v>
      </c>
      <c r="U44">
        <v>6.9176896778600031E-5</v>
      </c>
      <c r="V44" t="s">
        <v>251</v>
      </c>
      <c r="X44">
        <v>1.1415525114155251E-4</v>
      </c>
      <c r="Y44">
        <v>1.4916838624667481E-5</v>
      </c>
      <c r="Z44" t="s">
        <v>1575</v>
      </c>
      <c r="AA44" t="s">
        <v>25</v>
      </c>
      <c r="AC44" t="s">
        <v>22</v>
      </c>
      <c r="AD44" t="s">
        <v>1575</v>
      </c>
      <c r="AE44">
        <v>1.5718676635580165E-4</v>
      </c>
      <c r="AG44" t="s">
        <v>97</v>
      </c>
      <c r="AH44" t="s">
        <v>1575</v>
      </c>
      <c r="AI44">
        <v>0</v>
      </c>
    </row>
    <row r="45" spans="5:35" x14ac:dyDescent="0.45">
      <c r="E45" t="s">
        <v>1248</v>
      </c>
      <c r="G45" t="s">
        <v>155</v>
      </c>
      <c r="I45" t="s">
        <v>249</v>
      </c>
      <c r="J45" t="s">
        <v>1576</v>
      </c>
      <c r="K45">
        <v>0</v>
      </c>
      <c r="L45" t="s">
        <v>251</v>
      </c>
      <c r="N45" t="s">
        <v>419</v>
      </c>
      <c r="O45" t="s">
        <v>1576</v>
      </c>
      <c r="P45">
        <v>7.4658600057263226E-5</v>
      </c>
      <c r="Q45" t="s">
        <v>251</v>
      </c>
      <c r="S45" t="s">
        <v>420</v>
      </c>
      <c r="T45" t="s">
        <v>1576</v>
      </c>
      <c r="U45">
        <v>6.4693519857353317E-5</v>
      </c>
      <c r="V45" t="s">
        <v>251</v>
      </c>
      <c r="X45">
        <v>1.1415525114155251E-4</v>
      </c>
      <c r="Y45">
        <v>1.6574265138519424E-5</v>
      </c>
      <c r="Z45" t="s">
        <v>1576</v>
      </c>
      <c r="AA45" t="s">
        <v>25</v>
      </c>
      <c r="AC45" t="s">
        <v>22</v>
      </c>
      <c r="AD45" t="s">
        <v>1576</v>
      </c>
      <c r="AE45">
        <v>1.5070707802839538E-4</v>
      </c>
      <c r="AG45" t="s">
        <v>97</v>
      </c>
      <c r="AH45" t="s">
        <v>1576</v>
      </c>
      <c r="AI45">
        <v>0</v>
      </c>
    </row>
    <row r="46" spans="5:35" x14ac:dyDescent="0.45">
      <c r="E46" t="s">
        <v>1249</v>
      </c>
      <c r="G46" t="s">
        <v>155</v>
      </c>
      <c r="I46" t="s">
        <v>249</v>
      </c>
      <c r="J46" t="s">
        <v>1577</v>
      </c>
      <c r="K46">
        <v>0</v>
      </c>
      <c r="L46" t="s">
        <v>251</v>
      </c>
      <c r="N46" t="s">
        <v>419</v>
      </c>
      <c r="O46" t="s">
        <v>1577</v>
      </c>
      <c r="P46">
        <v>7.8603032588471451E-5</v>
      </c>
      <c r="Q46" t="s">
        <v>251</v>
      </c>
      <c r="S46" t="s">
        <v>420</v>
      </c>
      <c r="T46" t="s">
        <v>1577</v>
      </c>
      <c r="U46">
        <v>6.4323128308624861E-5</v>
      </c>
      <c r="V46" t="s">
        <v>251</v>
      </c>
      <c r="X46">
        <v>1.1415525114155251E-4</v>
      </c>
      <c r="Y46">
        <v>1.4585353321897093E-5</v>
      </c>
      <c r="Z46" t="s">
        <v>1577</v>
      </c>
      <c r="AA46" t="s">
        <v>25</v>
      </c>
      <c r="AC46" t="s">
        <v>22</v>
      </c>
      <c r="AD46" t="s">
        <v>1577</v>
      </c>
      <c r="AE46">
        <v>1.4352574360822405E-4</v>
      </c>
      <c r="AG46" t="s">
        <v>97</v>
      </c>
      <c r="AH46" t="s">
        <v>1577</v>
      </c>
      <c r="AI46">
        <v>0</v>
      </c>
    </row>
    <row r="47" spans="5:35" x14ac:dyDescent="0.45">
      <c r="E47" t="s">
        <v>1250</v>
      </c>
      <c r="G47" t="s">
        <v>155</v>
      </c>
      <c r="I47" t="s">
        <v>249</v>
      </c>
      <c r="J47" t="s">
        <v>1578</v>
      </c>
      <c r="K47">
        <v>0</v>
      </c>
      <c r="L47" t="s">
        <v>251</v>
      </c>
      <c r="N47" t="s">
        <v>419</v>
      </c>
      <c r="O47" t="s">
        <v>1578</v>
      </c>
      <c r="P47">
        <v>7.4539253491441744E-5</v>
      </c>
      <c r="Q47" t="s">
        <v>251</v>
      </c>
      <c r="S47" t="s">
        <v>420</v>
      </c>
      <c r="T47" t="s">
        <v>1578</v>
      </c>
      <c r="U47">
        <v>7.7833203155210006E-5</v>
      </c>
      <c r="V47" t="s">
        <v>251</v>
      </c>
      <c r="X47">
        <v>1.1415525114155251E-4</v>
      </c>
      <c r="Y47">
        <v>2.1215059377304864E-5</v>
      </c>
      <c r="Z47" t="s">
        <v>1578</v>
      </c>
      <c r="AA47" t="s">
        <v>25</v>
      </c>
      <c r="AC47" t="s">
        <v>22</v>
      </c>
      <c r="AD47" t="s">
        <v>1578</v>
      </c>
      <c r="AE47">
        <v>1.3225218507515395E-4</v>
      </c>
      <c r="AG47" t="s">
        <v>97</v>
      </c>
      <c r="AH47" t="s">
        <v>1578</v>
      </c>
      <c r="AI47">
        <v>0</v>
      </c>
    </row>
    <row r="48" spans="5:35" x14ac:dyDescent="0.45">
      <c r="E48" t="s">
        <v>1251</v>
      </c>
      <c r="G48" t="s">
        <v>155</v>
      </c>
      <c r="I48" t="s">
        <v>249</v>
      </c>
      <c r="J48" t="s">
        <v>1579</v>
      </c>
      <c r="K48">
        <v>0</v>
      </c>
      <c r="L48" t="s">
        <v>251</v>
      </c>
      <c r="N48" t="s">
        <v>419</v>
      </c>
      <c r="O48" t="s">
        <v>1579</v>
      </c>
      <c r="P48">
        <v>7.4780356144398829E-5</v>
      </c>
      <c r="Q48" t="s">
        <v>251</v>
      </c>
      <c r="S48" t="s">
        <v>420</v>
      </c>
      <c r="T48" t="s">
        <v>1579</v>
      </c>
      <c r="U48">
        <v>7.7200711924237667E-5</v>
      </c>
      <c r="V48" t="s">
        <v>251</v>
      </c>
      <c r="X48">
        <v>1.1415525114155251E-4</v>
      </c>
      <c r="Y48">
        <v>5.7678442682047593E-5</v>
      </c>
      <c r="Z48" t="s">
        <v>1579</v>
      </c>
      <c r="AA48" t="s">
        <v>25</v>
      </c>
      <c r="AC48" t="s">
        <v>22</v>
      </c>
      <c r="AD48" t="s">
        <v>1579</v>
      </c>
      <c r="AE48">
        <v>1.2618468047904884E-4</v>
      </c>
      <c r="AG48" t="s">
        <v>97</v>
      </c>
      <c r="AH48" t="s">
        <v>1579</v>
      </c>
      <c r="AI48">
        <v>0</v>
      </c>
    </row>
    <row r="49" spans="5:35" x14ac:dyDescent="0.45">
      <c r="E49" t="s">
        <v>1252</v>
      </c>
      <c r="G49" t="s">
        <v>155</v>
      </c>
      <c r="I49" t="s">
        <v>249</v>
      </c>
      <c r="J49" t="s">
        <v>1580</v>
      </c>
      <c r="K49">
        <v>0</v>
      </c>
      <c r="L49" t="s">
        <v>251</v>
      </c>
      <c r="N49" t="s">
        <v>419</v>
      </c>
      <c r="O49" t="s">
        <v>1580</v>
      </c>
      <c r="P49">
        <v>7.1852942558116913E-5</v>
      </c>
      <c r="Q49" t="s">
        <v>251</v>
      </c>
      <c r="S49" t="s">
        <v>420</v>
      </c>
      <c r="T49" t="s">
        <v>1580</v>
      </c>
      <c r="U49">
        <v>7.8134148624784362E-5</v>
      </c>
      <c r="V49" t="s">
        <v>251</v>
      </c>
      <c r="X49">
        <v>1.1415525114155251E-4</v>
      </c>
      <c r="Y49">
        <v>1.6905750441289813E-4</v>
      </c>
      <c r="Z49" t="s">
        <v>1580</v>
      </c>
      <c r="AA49" t="s">
        <v>25</v>
      </c>
      <c r="AC49" t="s">
        <v>22</v>
      </c>
      <c r="AD49" t="s">
        <v>1580</v>
      </c>
      <c r="AE49">
        <v>1.1094028527498425E-4</v>
      </c>
      <c r="AG49" t="s">
        <v>97</v>
      </c>
      <c r="AH49" t="s">
        <v>1580</v>
      </c>
      <c r="AI49">
        <v>0</v>
      </c>
    </row>
    <row r="50" spans="5:35" x14ac:dyDescent="0.45">
      <c r="E50" t="s">
        <v>1253</v>
      </c>
      <c r="G50" t="s">
        <v>155</v>
      </c>
      <c r="I50" t="s">
        <v>249</v>
      </c>
      <c r="J50" t="s">
        <v>1581</v>
      </c>
      <c r="K50">
        <v>1.0689792938195921E-5</v>
      </c>
      <c r="L50" t="s">
        <v>251</v>
      </c>
      <c r="N50" t="s">
        <v>419</v>
      </c>
      <c r="O50" t="s">
        <v>1581</v>
      </c>
      <c r="P50">
        <v>6.7052713010369355E-5</v>
      </c>
      <c r="Q50" t="s">
        <v>251</v>
      </c>
      <c r="S50" t="s">
        <v>420</v>
      </c>
      <c r="T50" t="s">
        <v>1581</v>
      </c>
      <c r="U50">
        <v>7.5884167593955716E-5</v>
      </c>
      <c r="V50" t="s">
        <v>251</v>
      </c>
      <c r="X50">
        <v>1.1415525114155251E-4</v>
      </c>
      <c r="Y50">
        <v>1.9060404909297337E-4</v>
      </c>
      <c r="Z50" t="s">
        <v>1581</v>
      </c>
      <c r="AA50" t="s">
        <v>25</v>
      </c>
      <c r="AC50" t="s">
        <v>22</v>
      </c>
      <c r="AD50" t="s">
        <v>1581</v>
      </c>
      <c r="AE50">
        <v>1.0652871881492205E-4</v>
      </c>
      <c r="AG50" t="s">
        <v>97</v>
      </c>
      <c r="AH50" t="s">
        <v>1581</v>
      </c>
      <c r="AI50">
        <v>0</v>
      </c>
    </row>
    <row r="51" spans="5:35" x14ac:dyDescent="0.45">
      <c r="E51" t="s">
        <v>1254</v>
      </c>
      <c r="G51" t="s">
        <v>155</v>
      </c>
      <c r="I51" t="s">
        <v>249</v>
      </c>
      <c r="J51" t="s">
        <v>1582</v>
      </c>
      <c r="K51">
        <v>1.3391958926789999E-4</v>
      </c>
      <c r="L51" t="s">
        <v>251</v>
      </c>
      <c r="N51" t="s">
        <v>419</v>
      </c>
      <c r="O51" t="s">
        <v>1582</v>
      </c>
      <c r="P51">
        <v>6.3090953104444523E-5</v>
      </c>
      <c r="Q51" t="s">
        <v>251</v>
      </c>
      <c r="S51" t="s">
        <v>420</v>
      </c>
      <c r="T51" t="s">
        <v>1582</v>
      </c>
      <c r="U51">
        <v>6.9970728950926757E-5</v>
      </c>
      <c r="V51" t="s">
        <v>251</v>
      </c>
      <c r="X51">
        <v>1.1415525114155251E-4</v>
      </c>
      <c r="Y51">
        <v>1.4585353321897094E-4</v>
      </c>
      <c r="Z51" t="s">
        <v>1582</v>
      </c>
      <c r="AA51" t="s">
        <v>25</v>
      </c>
      <c r="AC51" t="s">
        <v>22</v>
      </c>
      <c r="AD51" t="s">
        <v>1582</v>
      </c>
      <c r="AE51">
        <v>1.0290550376327085E-4</v>
      </c>
      <c r="AG51" t="s">
        <v>97</v>
      </c>
      <c r="AH51" t="s">
        <v>1582</v>
      </c>
      <c r="AI51">
        <v>0</v>
      </c>
    </row>
    <row r="52" spans="5:35" x14ac:dyDescent="0.45">
      <c r="E52" t="s">
        <v>1255</v>
      </c>
      <c r="G52" t="s">
        <v>155</v>
      </c>
      <c r="I52" t="s">
        <v>249</v>
      </c>
      <c r="J52" t="s">
        <v>1583</v>
      </c>
      <c r="K52">
        <v>2.0157887220390001E-4</v>
      </c>
      <c r="L52" t="s">
        <v>251</v>
      </c>
      <c r="N52" t="s">
        <v>419</v>
      </c>
      <c r="O52" t="s">
        <v>1583</v>
      </c>
      <c r="P52">
        <v>5.0827488137388176E-5</v>
      </c>
      <c r="Q52" t="s">
        <v>251</v>
      </c>
      <c r="S52" t="s">
        <v>420</v>
      </c>
      <c r="T52" t="s">
        <v>1583</v>
      </c>
      <c r="U52">
        <v>6.4430930353256069E-5</v>
      </c>
      <c r="V52" t="s">
        <v>251</v>
      </c>
      <c r="X52">
        <v>1.1415525114155251E-4</v>
      </c>
      <c r="Y52">
        <v>1.4452759200788939E-4</v>
      </c>
      <c r="Z52" t="s">
        <v>1583</v>
      </c>
      <c r="AA52" t="s">
        <v>25</v>
      </c>
      <c r="AC52" t="s">
        <v>22</v>
      </c>
      <c r="AD52" t="s">
        <v>1583</v>
      </c>
      <c r="AE52">
        <v>1.0222920230123303E-4</v>
      </c>
      <c r="AG52" t="s">
        <v>97</v>
      </c>
      <c r="AH52" t="s">
        <v>1583</v>
      </c>
      <c r="AI52">
        <v>0</v>
      </c>
    </row>
    <row r="53" spans="5:35" x14ac:dyDescent="0.45">
      <c r="E53" t="s">
        <v>1256</v>
      </c>
      <c r="G53" t="s">
        <v>155</v>
      </c>
      <c r="I53" t="s">
        <v>249</v>
      </c>
      <c r="J53" t="s">
        <v>1584</v>
      </c>
      <c r="K53">
        <v>2.374143005383E-4</v>
      </c>
      <c r="L53" t="s">
        <v>251</v>
      </c>
      <c r="N53" t="s">
        <v>419</v>
      </c>
      <c r="O53" t="s">
        <v>1584</v>
      </c>
      <c r="P53">
        <v>4.2186928936732907E-5</v>
      </c>
      <c r="Q53" t="s">
        <v>251</v>
      </c>
      <c r="S53" t="s">
        <v>420</v>
      </c>
      <c r="T53" t="s">
        <v>1584</v>
      </c>
      <c r="U53">
        <v>5.9917157654113752E-5</v>
      </c>
      <c r="V53" t="s">
        <v>251</v>
      </c>
      <c r="X53">
        <v>1.1415525114155251E-4</v>
      </c>
      <c r="Y53">
        <v>1.408812536774151E-4</v>
      </c>
      <c r="Z53" t="s">
        <v>1584</v>
      </c>
      <c r="AA53" t="s">
        <v>25</v>
      </c>
      <c r="AC53" t="s">
        <v>22</v>
      </c>
      <c r="AD53" t="s">
        <v>1584</v>
      </c>
      <c r="AE53">
        <v>1.0398358431873234E-4</v>
      </c>
      <c r="AG53" t="s">
        <v>97</v>
      </c>
      <c r="AH53" t="s">
        <v>1584</v>
      </c>
      <c r="AI53">
        <v>0</v>
      </c>
    </row>
    <row r="54" spans="5:35" x14ac:dyDescent="0.45">
      <c r="E54" t="s">
        <v>1257</v>
      </c>
      <c r="G54" t="s">
        <v>155</v>
      </c>
      <c r="I54" t="s">
        <v>249</v>
      </c>
      <c r="J54" t="s">
        <v>1585</v>
      </c>
      <c r="K54">
        <v>2.4063345339100001E-4</v>
      </c>
      <c r="L54" t="s">
        <v>251</v>
      </c>
      <c r="N54" t="s">
        <v>419</v>
      </c>
      <c r="O54" t="s">
        <v>1585</v>
      </c>
      <c r="P54">
        <v>3.623938533588444E-5</v>
      </c>
      <c r="Q54" t="s">
        <v>251</v>
      </c>
      <c r="S54" t="s">
        <v>420</v>
      </c>
      <c r="T54" t="s">
        <v>1585</v>
      </c>
      <c r="U54">
        <v>5.7105279017819486E-5</v>
      </c>
      <c r="V54" t="s">
        <v>251</v>
      </c>
      <c r="X54">
        <v>1.1415525114155251E-4</v>
      </c>
      <c r="Y54">
        <v>1.4054976837464471E-4</v>
      </c>
      <c r="Z54" t="s">
        <v>1585</v>
      </c>
      <c r="AA54" t="s">
        <v>25</v>
      </c>
      <c r="AC54" t="s">
        <v>22</v>
      </c>
      <c r="AD54" t="s">
        <v>1585</v>
      </c>
      <c r="AE54">
        <v>1.1570534263729497E-4</v>
      </c>
      <c r="AG54" t="s">
        <v>97</v>
      </c>
      <c r="AH54" t="s">
        <v>1585</v>
      </c>
      <c r="AI54">
        <v>0</v>
      </c>
    </row>
    <row r="55" spans="5:35" x14ac:dyDescent="0.45">
      <c r="E55" t="s">
        <v>1258</v>
      </c>
      <c r="G55" t="s">
        <v>155</v>
      </c>
      <c r="I55" t="s">
        <v>249</v>
      </c>
      <c r="J55" t="s">
        <v>1586</v>
      </c>
      <c r="K55">
        <v>2.1760736016869999E-4</v>
      </c>
      <c r="L55" t="s">
        <v>251</v>
      </c>
      <c r="N55" t="s">
        <v>419</v>
      </c>
      <c r="O55" t="s">
        <v>1586</v>
      </c>
      <c r="P55">
        <v>3.418471269393941E-5</v>
      </c>
      <c r="Q55" t="s">
        <v>251</v>
      </c>
      <c r="S55" t="s">
        <v>420</v>
      </c>
      <c r="T55" t="s">
        <v>1586</v>
      </c>
      <c r="U55">
        <v>5.4440730744978505E-5</v>
      </c>
      <c r="V55" t="s">
        <v>251</v>
      </c>
      <c r="X55">
        <v>1.1415525114155251E-4</v>
      </c>
      <c r="Y55">
        <v>1.4253868019126702E-4</v>
      </c>
      <c r="Z55" t="s">
        <v>1586</v>
      </c>
      <c r="AA55" t="s">
        <v>25</v>
      </c>
      <c r="AC55" t="s">
        <v>22</v>
      </c>
      <c r="AD55" t="s">
        <v>1586</v>
      </c>
      <c r="AE55">
        <v>1.3642764629107272E-4</v>
      </c>
      <c r="AG55" t="s">
        <v>97</v>
      </c>
      <c r="AH55" t="s">
        <v>1586</v>
      </c>
      <c r="AI55">
        <v>0</v>
      </c>
    </row>
    <row r="56" spans="5:35" x14ac:dyDescent="0.45">
      <c r="E56" t="s">
        <v>1259</v>
      </c>
      <c r="G56" t="s">
        <v>155</v>
      </c>
      <c r="I56" t="s">
        <v>249</v>
      </c>
      <c r="J56" t="s">
        <v>1587</v>
      </c>
      <c r="K56">
        <v>2.1342674356629999E-4</v>
      </c>
      <c r="L56" t="s">
        <v>251</v>
      </c>
      <c r="N56" t="s">
        <v>419</v>
      </c>
      <c r="O56" t="s">
        <v>1587</v>
      </c>
      <c r="P56">
        <v>3.5872485228089809E-5</v>
      </c>
      <c r="Q56" t="s">
        <v>251</v>
      </c>
      <c r="S56" t="s">
        <v>420</v>
      </c>
      <c r="T56" t="s">
        <v>1587</v>
      </c>
      <c r="U56">
        <v>6.0302242642553517E-5</v>
      </c>
      <c r="V56" t="s">
        <v>251</v>
      </c>
      <c r="X56">
        <v>1.1415525114155251E-4</v>
      </c>
      <c r="Y56">
        <v>1.4883690094390442E-4</v>
      </c>
      <c r="Z56" t="s">
        <v>1587</v>
      </c>
      <c r="AA56" t="s">
        <v>25</v>
      </c>
      <c r="AC56" t="s">
        <v>22</v>
      </c>
      <c r="AD56" t="s">
        <v>1587</v>
      </c>
      <c r="AE56">
        <v>1.5030556572055836E-4</v>
      </c>
      <c r="AG56" t="s">
        <v>97</v>
      </c>
      <c r="AH56" t="s">
        <v>1587</v>
      </c>
      <c r="AI56">
        <v>0</v>
      </c>
    </row>
    <row r="57" spans="5:35" x14ac:dyDescent="0.45">
      <c r="E57" t="s">
        <v>1260</v>
      </c>
      <c r="G57" t="s">
        <v>155</v>
      </c>
      <c r="I57" t="s">
        <v>249</v>
      </c>
      <c r="J57" t="s">
        <v>1588</v>
      </c>
      <c r="K57">
        <v>2.2969496555089999E-4</v>
      </c>
      <c r="L57" t="s">
        <v>251</v>
      </c>
      <c r="N57" t="s">
        <v>419</v>
      </c>
      <c r="O57" t="s">
        <v>1588</v>
      </c>
      <c r="P57">
        <v>3.9776932346700576E-5</v>
      </c>
      <c r="Q57" t="s">
        <v>251</v>
      </c>
      <c r="S57" t="s">
        <v>420</v>
      </c>
      <c r="T57" t="s">
        <v>1588</v>
      </c>
      <c r="U57">
        <v>7.6832076240955171E-5</v>
      </c>
      <c r="V57" t="s">
        <v>251</v>
      </c>
      <c r="X57">
        <v>1.1415525114155251E-4</v>
      </c>
      <c r="Y57">
        <v>1.5049432745775637E-4</v>
      </c>
      <c r="Z57" t="s">
        <v>1588</v>
      </c>
      <c r="AA57" t="s">
        <v>25</v>
      </c>
      <c r="AC57" t="s">
        <v>22</v>
      </c>
      <c r="AD57" t="s">
        <v>1588</v>
      </c>
      <c r="AE57">
        <v>1.5586884555798434E-4</v>
      </c>
      <c r="AG57" t="s">
        <v>97</v>
      </c>
      <c r="AH57" t="s">
        <v>1588</v>
      </c>
      <c r="AI57">
        <v>0</v>
      </c>
    </row>
    <row r="58" spans="5:35" x14ac:dyDescent="0.45">
      <c r="E58" t="s">
        <v>1261</v>
      </c>
      <c r="G58" t="s">
        <v>155</v>
      </c>
      <c r="I58" t="s">
        <v>249</v>
      </c>
      <c r="J58" t="s">
        <v>1589</v>
      </c>
      <c r="K58">
        <v>2.2247172127969999E-4</v>
      </c>
      <c r="L58" t="s">
        <v>251</v>
      </c>
      <c r="N58" t="s">
        <v>419</v>
      </c>
      <c r="O58" t="s">
        <v>1589</v>
      </c>
      <c r="P58">
        <v>4.4794624624759662E-5</v>
      </c>
      <c r="Q58" t="s">
        <v>251</v>
      </c>
      <c r="S58" t="s">
        <v>420</v>
      </c>
      <c r="T58" t="s">
        <v>1589</v>
      </c>
      <c r="U58">
        <v>1.1121664578400001E-4</v>
      </c>
      <c r="V58" t="s">
        <v>251</v>
      </c>
      <c r="X58">
        <v>1.1415525114155251E-4</v>
      </c>
      <c r="Y58">
        <v>1.7237235744060203E-4</v>
      </c>
      <c r="Z58" t="s">
        <v>1589</v>
      </c>
      <c r="AA58" t="s">
        <v>25</v>
      </c>
      <c r="AC58" t="s">
        <v>22</v>
      </c>
      <c r="AD58" t="s">
        <v>1589</v>
      </c>
      <c r="AE58">
        <v>1.4425433504523599E-4</v>
      </c>
      <c r="AG58" t="s">
        <v>97</v>
      </c>
      <c r="AH58" t="s">
        <v>1589</v>
      </c>
      <c r="AI58">
        <v>0</v>
      </c>
    </row>
    <row r="59" spans="5:35" x14ac:dyDescent="0.45">
      <c r="E59" t="s">
        <v>1262</v>
      </c>
      <c r="G59" t="s">
        <v>155</v>
      </c>
      <c r="I59" t="s">
        <v>249</v>
      </c>
      <c r="J59" t="s">
        <v>1590</v>
      </c>
      <c r="K59">
        <v>1.8531013270029999E-4</v>
      </c>
      <c r="L59" t="s">
        <v>251</v>
      </c>
      <c r="N59" t="s">
        <v>419</v>
      </c>
      <c r="O59" t="s">
        <v>1590</v>
      </c>
      <c r="P59">
        <v>5.5407387898197998E-5</v>
      </c>
      <c r="Q59" t="s">
        <v>251</v>
      </c>
      <c r="S59" t="s">
        <v>420</v>
      </c>
      <c r="T59" t="s">
        <v>1590</v>
      </c>
      <c r="U59">
        <v>1.468625058274E-4</v>
      </c>
      <c r="V59" t="s">
        <v>251</v>
      </c>
      <c r="X59">
        <v>1.1415525114155251E-4</v>
      </c>
      <c r="Y59">
        <v>2.2209515285616027E-4</v>
      </c>
      <c r="Z59" t="s">
        <v>1590</v>
      </c>
      <c r="AA59" t="s">
        <v>25</v>
      </c>
      <c r="AC59" t="s">
        <v>22</v>
      </c>
      <c r="AD59" t="s">
        <v>1590</v>
      </c>
      <c r="AE59">
        <v>1.4190395402726626E-4</v>
      </c>
      <c r="AG59" t="s">
        <v>97</v>
      </c>
      <c r="AH59" t="s">
        <v>1590</v>
      </c>
      <c r="AI59">
        <v>0</v>
      </c>
    </row>
    <row r="60" spans="5:35" x14ac:dyDescent="0.45">
      <c r="E60" t="s">
        <v>1263</v>
      </c>
      <c r="G60" t="s">
        <v>155</v>
      </c>
      <c r="I60" t="s">
        <v>249</v>
      </c>
      <c r="J60" t="s">
        <v>1591</v>
      </c>
      <c r="K60">
        <v>1.2186836108E-4</v>
      </c>
      <c r="L60" t="s">
        <v>251</v>
      </c>
      <c r="N60" t="s">
        <v>419</v>
      </c>
      <c r="O60" t="s">
        <v>1591</v>
      </c>
      <c r="P60">
        <v>7.7338795568422823E-5</v>
      </c>
      <c r="Q60" t="s">
        <v>251</v>
      </c>
      <c r="S60" t="s">
        <v>420</v>
      </c>
      <c r="T60" t="s">
        <v>1591</v>
      </c>
      <c r="U60">
        <v>1.587328694027E-4</v>
      </c>
      <c r="V60" t="s">
        <v>251</v>
      </c>
      <c r="X60">
        <v>1.1415525114155251E-4</v>
      </c>
      <c r="Y60">
        <v>2.2209515285616027E-4</v>
      </c>
      <c r="Z60" t="s">
        <v>1591</v>
      </c>
      <c r="AA60" t="s">
        <v>25</v>
      </c>
      <c r="AC60" t="s">
        <v>22</v>
      </c>
      <c r="AD60" t="s">
        <v>1591</v>
      </c>
      <c r="AE60">
        <v>1.4557305619981311E-4</v>
      </c>
      <c r="AG60" t="s">
        <v>97</v>
      </c>
      <c r="AH60" t="s">
        <v>1591</v>
      </c>
      <c r="AI60">
        <v>0</v>
      </c>
    </row>
    <row r="61" spans="5:35" x14ac:dyDescent="0.45">
      <c r="E61" t="s">
        <v>1264</v>
      </c>
      <c r="G61" t="s">
        <v>155</v>
      </c>
      <c r="I61" t="s">
        <v>249</v>
      </c>
      <c r="J61" t="s">
        <v>1592</v>
      </c>
      <c r="K61">
        <v>3.3791241085680262E-7</v>
      </c>
      <c r="L61" t="s">
        <v>251</v>
      </c>
      <c r="N61" t="s">
        <v>419</v>
      </c>
      <c r="O61" t="s">
        <v>1592</v>
      </c>
      <c r="P61">
        <v>9.3849923403821806E-5</v>
      </c>
      <c r="Q61" t="s">
        <v>251</v>
      </c>
      <c r="S61" t="s">
        <v>420</v>
      </c>
      <c r="T61" t="s">
        <v>1592</v>
      </c>
      <c r="U61">
        <v>1.7411119585390001E-4</v>
      </c>
      <c r="V61" t="s">
        <v>251</v>
      </c>
      <c r="X61">
        <v>1.1415525114155251E-4</v>
      </c>
      <c r="Y61">
        <v>1.7237235744060203E-4</v>
      </c>
      <c r="Z61" t="s">
        <v>1592</v>
      </c>
      <c r="AA61" t="s">
        <v>25</v>
      </c>
      <c r="AC61" t="s">
        <v>22</v>
      </c>
      <c r="AD61" t="s">
        <v>1592</v>
      </c>
      <c r="AE61">
        <v>1.4690538341930698E-4</v>
      </c>
      <c r="AG61" t="s">
        <v>97</v>
      </c>
      <c r="AH61" t="s">
        <v>1592</v>
      </c>
      <c r="AI61">
        <v>0</v>
      </c>
    </row>
    <row r="62" spans="5:35" x14ac:dyDescent="0.45">
      <c r="E62" t="s">
        <v>1265</v>
      </c>
      <c r="G62" t="s">
        <v>155</v>
      </c>
      <c r="I62" t="s">
        <v>249</v>
      </c>
      <c r="J62" t="s">
        <v>1593</v>
      </c>
      <c r="K62">
        <v>0</v>
      </c>
      <c r="L62" t="s">
        <v>251</v>
      </c>
      <c r="N62" t="s">
        <v>419</v>
      </c>
      <c r="O62" t="s">
        <v>1593</v>
      </c>
      <c r="P62">
        <v>1.069854383487E-4</v>
      </c>
      <c r="Q62" t="s">
        <v>251</v>
      </c>
      <c r="S62" t="s">
        <v>420</v>
      </c>
      <c r="T62" t="s">
        <v>1593</v>
      </c>
      <c r="U62">
        <v>1.8499503425949999E-4</v>
      </c>
      <c r="V62" t="s">
        <v>251</v>
      </c>
      <c r="X62">
        <v>1.1415525114155251E-4</v>
      </c>
      <c r="Y62">
        <v>1.5579809230208258E-4</v>
      </c>
      <c r="Z62" t="s">
        <v>1593</v>
      </c>
      <c r="AA62" t="s">
        <v>25</v>
      </c>
      <c r="AC62" t="s">
        <v>22</v>
      </c>
      <c r="AD62" t="s">
        <v>1593</v>
      </c>
      <c r="AE62">
        <v>1.4721111970155367E-4</v>
      </c>
      <c r="AG62" t="s">
        <v>97</v>
      </c>
      <c r="AH62" t="s">
        <v>1593</v>
      </c>
      <c r="AI62">
        <v>0</v>
      </c>
    </row>
    <row r="63" spans="5:35" x14ac:dyDescent="0.45">
      <c r="E63" t="s">
        <v>1266</v>
      </c>
      <c r="G63" t="s">
        <v>155</v>
      </c>
      <c r="I63" t="s">
        <v>249</v>
      </c>
      <c r="J63" t="s">
        <v>1594</v>
      </c>
      <c r="K63">
        <v>0</v>
      </c>
      <c r="L63" t="s">
        <v>251</v>
      </c>
      <c r="N63" t="s">
        <v>419</v>
      </c>
      <c r="O63" t="s">
        <v>1594</v>
      </c>
      <c r="P63">
        <v>1.158028257822E-4</v>
      </c>
      <c r="Q63" t="s">
        <v>251</v>
      </c>
      <c r="S63" t="s">
        <v>420</v>
      </c>
      <c r="T63" t="s">
        <v>1594</v>
      </c>
      <c r="U63">
        <v>1.8864063323990001E-4</v>
      </c>
      <c r="V63" t="s">
        <v>251</v>
      </c>
      <c r="X63">
        <v>1.1415525114155251E-4</v>
      </c>
      <c r="Y63">
        <v>1.093901499142282E-4</v>
      </c>
      <c r="Z63" t="s">
        <v>1594</v>
      </c>
      <c r="AA63" t="s">
        <v>25</v>
      </c>
      <c r="AC63" t="s">
        <v>22</v>
      </c>
      <c r="AD63" t="s">
        <v>1594</v>
      </c>
      <c r="AE63">
        <v>1.4757794988313238E-4</v>
      </c>
      <c r="AG63" t="s">
        <v>97</v>
      </c>
      <c r="AH63" t="s">
        <v>1594</v>
      </c>
      <c r="AI63">
        <v>0</v>
      </c>
    </row>
    <row r="64" spans="5:35" x14ac:dyDescent="0.45">
      <c r="E64" t="s">
        <v>1267</v>
      </c>
      <c r="G64" t="s">
        <v>155</v>
      </c>
      <c r="I64" t="s">
        <v>249</v>
      </c>
      <c r="J64" t="s">
        <v>1595</v>
      </c>
      <c r="K64">
        <v>0</v>
      </c>
      <c r="L64" t="s">
        <v>251</v>
      </c>
      <c r="N64" t="s">
        <v>419</v>
      </c>
      <c r="O64" t="s">
        <v>1595</v>
      </c>
      <c r="P64">
        <v>1.2390730059330001E-4</v>
      </c>
      <c r="Q64" t="s">
        <v>251</v>
      </c>
      <c r="S64" t="s">
        <v>420</v>
      </c>
      <c r="T64" t="s">
        <v>1595</v>
      </c>
      <c r="U64">
        <v>1.878521647292E-4</v>
      </c>
      <c r="V64" t="s">
        <v>251</v>
      </c>
      <c r="X64">
        <v>1.1415525114155251E-4</v>
      </c>
      <c r="Y64">
        <v>7.9556472664893237E-5</v>
      </c>
      <c r="Z64" t="s">
        <v>1595</v>
      </c>
      <c r="AA64" t="s">
        <v>25</v>
      </c>
      <c r="AC64" t="s">
        <v>22</v>
      </c>
      <c r="AD64" t="s">
        <v>1595</v>
      </c>
      <c r="AE64">
        <v>1.4830814203366395E-4</v>
      </c>
      <c r="AG64" t="s">
        <v>97</v>
      </c>
      <c r="AH64" t="s">
        <v>1595</v>
      </c>
      <c r="AI64">
        <v>0</v>
      </c>
    </row>
    <row r="65" spans="5:35" x14ac:dyDescent="0.45">
      <c r="E65" t="s">
        <v>1268</v>
      </c>
      <c r="G65" t="s">
        <v>155</v>
      </c>
      <c r="I65" t="s">
        <v>249</v>
      </c>
      <c r="J65" t="s">
        <v>1596</v>
      </c>
      <c r="K65">
        <v>0</v>
      </c>
      <c r="L65" t="s">
        <v>251</v>
      </c>
      <c r="N65" t="s">
        <v>419</v>
      </c>
      <c r="O65" t="s">
        <v>1596</v>
      </c>
      <c r="P65">
        <v>1.3393964697899999E-4</v>
      </c>
      <c r="Q65" t="s">
        <v>251</v>
      </c>
      <c r="S65" t="s">
        <v>420</v>
      </c>
      <c r="T65" t="s">
        <v>1596</v>
      </c>
      <c r="U65">
        <v>1.804933638596E-4</v>
      </c>
      <c r="V65" t="s">
        <v>251</v>
      </c>
      <c r="X65">
        <v>1.1415525114155251E-4</v>
      </c>
      <c r="Y65">
        <v>5.6352501470966035E-5</v>
      </c>
      <c r="Z65" t="s">
        <v>1596</v>
      </c>
      <c r="AA65" t="s">
        <v>25</v>
      </c>
      <c r="AC65" t="s">
        <v>22</v>
      </c>
      <c r="AD65" t="s">
        <v>1596</v>
      </c>
      <c r="AE65">
        <v>1.5338827317375249E-4</v>
      </c>
      <c r="AG65" t="s">
        <v>97</v>
      </c>
      <c r="AH65" t="s">
        <v>1596</v>
      </c>
      <c r="AI65">
        <v>0</v>
      </c>
    </row>
    <row r="66" spans="5:35" x14ac:dyDescent="0.45">
      <c r="E66" t="s">
        <v>1269</v>
      </c>
      <c r="G66" t="s">
        <v>155</v>
      </c>
      <c r="I66" t="s">
        <v>249</v>
      </c>
      <c r="J66" t="s">
        <v>1597</v>
      </c>
      <c r="K66">
        <v>0</v>
      </c>
      <c r="L66" t="s">
        <v>251</v>
      </c>
      <c r="N66" t="s">
        <v>419</v>
      </c>
      <c r="O66" t="s">
        <v>1597</v>
      </c>
      <c r="P66">
        <v>1.4247338339159999E-4</v>
      </c>
      <c r="Q66" t="s">
        <v>251</v>
      </c>
      <c r="S66" t="s">
        <v>420</v>
      </c>
      <c r="T66" t="s">
        <v>1597</v>
      </c>
      <c r="U66">
        <v>1.665805545866E-4</v>
      </c>
      <c r="V66" t="s">
        <v>251</v>
      </c>
      <c r="X66">
        <v>1.1415525114155251E-4</v>
      </c>
      <c r="Y66">
        <v>2.9833677249334962E-5</v>
      </c>
      <c r="Z66" t="s">
        <v>1597</v>
      </c>
      <c r="AA66" t="s">
        <v>25</v>
      </c>
      <c r="AC66" t="s">
        <v>22</v>
      </c>
      <c r="AD66" t="s">
        <v>1597</v>
      </c>
      <c r="AE66">
        <v>1.5797191633717337E-4</v>
      </c>
      <c r="AG66" t="s">
        <v>97</v>
      </c>
      <c r="AH66" t="s">
        <v>1597</v>
      </c>
      <c r="AI66">
        <v>0</v>
      </c>
    </row>
    <row r="67" spans="5:35" x14ac:dyDescent="0.45">
      <c r="E67" t="s">
        <v>1270</v>
      </c>
      <c r="G67" t="s">
        <v>155</v>
      </c>
      <c r="I67" t="s">
        <v>249</v>
      </c>
      <c r="J67" t="s">
        <v>1598</v>
      </c>
      <c r="K67">
        <v>0</v>
      </c>
      <c r="L67" t="s">
        <v>251</v>
      </c>
      <c r="N67" t="s">
        <v>419</v>
      </c>
      <c r="O67" t="s">
        <v>1598</v>
      </c>
      <c r="P67">
        <v>1.536637261818E-4</v>
      </c>
      <c r="Q67" t="s">
        <v>251</v>
      </c>
      <c r="S67" t="s">
        <v>420</v>
      </c>
      <c r="T67" t="s">
        <v>1598</v>
      </c>
      <c r="U67">
        <v>1.5057959772720001E-4</v>
      </c>
      <c r="V67" t="s">
        <v>251</v>
      </c>
      <c r="X67">
        <v>1.1415525114155251E-4</v>
      </c>
      <c r="Y67">
        <v>2.1546544680075254E-5</v>
      </c>
      <c r="Z67" t="s">
        <v>1598</v>
      </c>
      <c r="AA67" t="s">
        <v>25</v>
      </c>
      <c r="AC67" t="s">
        <v>22</v>
      </c>
      <c r="AD67" t="s">
        <v>1598</v>
      </c>
      <c r="AE67">
        <v>1.5837476257294348E-4</v>
      </c>
      <c r="AG67" t="s">
        <v>97</v>
      </c>
      <c r="AH67" t="s">
        <v>1598</v>
      </c>
      <c r="AI67">
        <v>0</v>
      </c>
    </row>
    <row r="68" spans="5:35" x14ac:dyDescent="0.45">
      <c r="E68" t="s">
        <v>1271</v>
      </c>
      <c r="G68" t="s">
        <v>155</v>
      </c>
      <c r="I68" t="s">
        <v>249</v>
      </c>
      <c r="J68" t="s">
        <v>1599</v>
      </c>
      <c r="K68">
        <v>0</v>
      </c>
      <c r="L68" t="s">
        <v>251</v>
      </c>
      <c r="N68" t="s">
        <v>419</v>
      </c>
      <c r="O68" t="s">
        <v>1599</v>
      </c>
      <c r="P68">
        <v>1.6080552458870001E-4</v>
      </c>
      <c r="Q68" t="s">
        <v>251</v>
      </c>
      <c r="S68" t="s">
        <v>420</v>
      </c>
      <c r="T68" t="s">
        <v>1599</v>
      </c>
      <c r="U68">
        <v>1.358920252564E-4</v>
      </c>
      <c r="V68" t="s">
        <v>251</v>
      </c>
      <c r="X68">
        <v>1.1415525114155251E-4</v>
      </c>
      <c r="Y68">
        <v>1.4916838624667481E-5</v>
      </c>
      <c r="Z68" t="s">
        <v>1599</v>
      </c>
      <c r="AA68" t="s">
        <v>25</v>
      </c>
      <c r="AC68" t="s">
        <v>22</v>
      </c>
      <c r="AD68" t="s">
        <v>1599</v>
      </c>
      <c r="AE68">
        <v>1.5692985183590326E-4</v>
      </c>
      <c r="AG68" t="s">
        <v>97</v>
      </c>
      <c r="AH68" t="s">
        <v>1599</v>
      </c>
      <c r="AI68">
        <v>0</v>
      </c>
    </row>
    <row r="69" spans="5:35" x14ac:dyDescent="0.45">
      <c r="E69" t="s">
        <v>1272</v>
      </c>
      <c r="G69" t="s">
        <v>155</v>
      </c>
      <c r="I69" t="s">
        <v>249</v>
      </c>
      <c r="J69" t="s">
        <v>1600</v>
      </c>
      <c r="K69">
        <v>0</v>
      </c>
      <c r="L69" t="s">
        <v>251</v>
      </c>
      <c r="N69" t="s">
        <v>419</v>
      </c>
      <c r="O69" t="s">
        <v>1600</v>
      </c>
      <c r="P69">
        <v>1.623480059142E-4</v>
      </c>
      <c r="Q69" t="s">
        <v>251</v>
      </c>
      <c r="S69" t="s">
        <v>420</v>
      </c>
      <c r="T69" t="s">
        <v>1600</v>
      </c>
      <c r="U69">
        <v>1.2512292192239999E-4</v>
      </c>
      <c r="V69" t="s">
        <v>251</v>
      </c>
      <c r="X69">
        <v>1.1415525114155251E-4</v>
      </c>
      <c r="Y69">
        <v>1.6574265138519424E-5</v>
      </c>
      <c r="Z69" t="s">
        <v>1600</v>
      </c>
      <c r="AA69" t="s">
        <v>25</v>
      </c>
      <c r="AC69" t="s">
        <v>22</v>
      </c>
      <c r="AD69" t="s">
        <v>1600</v>
      </c>
      <c r="AE69">
        <v>1.5086661580918383E-4</v>
      </c>
      <c r="AG69" t="s">
        <v>97</v>
      </c>
      <c r="AH69" t="s">
        <v>1600</v>
      </c>
      <c r="AI69">
        <v>0</v>
      </c>
    </row>
    <row r="70" spans="5:35" x14ac:dyDescent="0.45">
      <c r="E70" t="s">
        <v>1273</v>
      </c>
      <c r="G70" t="s">
        <v>155</v>
      </c>
      <c r="I70" t="s">
        <v>249</v>
      </c>
      <c r="J70" t="s">
        <v>1601</v>
      </c>
      <c r="K70">
        <v>0</v>
      </c>
      <c r="L70" t="s">
        <v>251</v>
      </c>
      <c r="N70" t="s">
        <v>419</v>
      </c>
      <c r="O70" t="s">
        <v>1601</v>
      </c>
      <c r="P70">
        <v>1.5651055751080001E-4</v>
      </c>
      <c r="Q70" t="s">
        <v>251</v>
      </c>
      <c r="S70" t="s">
        <v>420</v>
      </c>
      <c r="T70" t="s">
        <v>1601</v>
      </c>
      <c r="U70">
        <v>1.1690855380749999E-4</v>
      </c>
      <c r="V70" t="s">
        <v>251</v>
      </c>
      <c r="X70">
        <v>1.1415525114155251E-4</v>
      </c>
      <c r="Y70">
        <v>1.4585353321897093E-5</v>
      </c>
      <c r="Z70" t="s">
        <v>1601</v>
      </c>
      <c r="AA70" t="s">
        <v>25</v>
      </c>
      <c r="AC70" t="s">
        <v>22</v>
      </c>
      <c r="AD70" t="s">
        <v>1601</v>
      </c>
      <c r="AE70">
        <v>1.4303699241356789E-4</v>
      </c>
      <c r="AG70" t="s">
        <v>97</v>
      </c>
      <c r="AH70" t="s">
        <v>1601</v>
      </c>
      <c r="AI70">
        <v>0</v>
      </c>
    </row>
    <row r="71" spans="5:35" x14ac:dyDescent="0.45">
      <c r="E71" t="s">
        <v>1274</v>
      </c>
      <c r="G71" t="s">
        <v>155</v>
      </c>
      <c r="I71" t="s">
        <v>249</v>
      </c>
      <c r="J71" t="s">
        <v>1602</v>
      </c>
      <c r="K71">
        <v>0</v>
      </c>
      <c r="L71" t="s">
        <v>251</v>
      </c>
      <c r="N71" t="s">
        <v>419</v>
      </c>
      <c r="O71" t="s">
        <v>1602</v>
      </c>
      <c r="P71">
        <v>1.5056926786760001E-4</v>
      </c>
      <c r="Q71" t="s">
        <v>251</v>
      </c>
      <c r="S71" t="s">
        <v>420</v>
      </c>
      <c r="T71" t="s">
        <v>1602</v>
      </c>
      <c r="U71">
        <v>1.124364642099E-4</v>
      </c>
      <c r="V71" t="s">
        <v>251</v>
      </c>
      <c r="X71">
        <v>1.1415525114155251E-4</v>
      </c>
      <c r="Y71">
        <v>2.1215059377304864E-5</v>
      </c>
      <c r="Z71" t="s">
        <v>1602</v>
      </c>
      <c r="AA71" t="s">
        <v>25</v>
      </c>
      <c r="AC71" t="s">
        <v>22</v>
      </c>
      <c r="AD71" t="s">
        <v>1602</v>
      </c>
      <c r="AE71">
        <v>1.3205529731224113E-4</v>
      </c>
      <c r="AG71" t="s">
        <v>97</v>
      </c>
      <c r="AH71" t="s">
        <v>1602</v>
      </c>
      <c r="AI71">
        <v>0</v>
      </c>
    </row>
    <row r="72" spans="5:35" x14ac:dyDescent="0.45">
      <c r="E72" t="s">
        <v>1275</v>
      </c>
      <c r="G72" t="s">
        <v>155</v>
      </c>
      <c r="I72" t="s">
        <v>249</v>
      </c>
      <c r="J72" t="s">
        <v>1603</v>
      </c>
      <c r="K72">
        <v>0</v>
      </c>
      <c r="L72" t="s">
        <v>251</v>
      </c>
      <c r="N72" t="s">
        <v>419</v>
      </c>
      <c r="O72" t="s">
        <v>1603</v>
      </c>
      <c r="P72">
        <v>1.4500386822200001E-4</v>
      </c>
      <c r="Q72" t="s">
        <v>251</v>
      </c>
      <c r="S72" t="s">
        <v>420</v>
      </c>
      <c r="T72" t="s">
        <v>1603</v>
      </c>
      <c r="U72">
        <v>1.0502695234910001E-4</v>
      </c>
      <c r="V72" t="s">
        <v>251</v>
      </c>
      <c r="X72">
        <v>1.1415525114155251E-4</v>
      </c>
      <c r="Y72">
        <v>5.7678442682047593E-5</v>
      </c>
      <c r="Z72" t="s">
        <v>1603</v>
      </c>
      <c r="AA72" t="s">
        <v>25</v>
      </c>
      <c r="AC72" t="s">
        <v>22</v>
      </c>
      <c r="AD72" t="s">
        <v>1603</v>
      </c>
      <c r="AE72">
        <v>1.2618468047904884E-4</v>
      </c>
      <c r="AG72" t="s">
        <v>97</v>
      </c>
      <c r="AH72" t="s">
        <v>1603</v>
      </c>
      <c r="AI72">
        <v>0</v>
      </c>
    </row>
    <row r="73" spans="5:35" x14ac:dyDescent="0.45">
      <c r="E73" t="s">
        <v>1276</v>
      </c>
      <c r="G73" t="s">
        <v>155</v>
      </c>
      <c r="I73" t="s">
        <v>249</v>
      </c>
      <c r="J73" t="s">
        <v>1604</v>
      </c>
      <c r="K73">
        <v>0</v>
      </c>
      <c r="L73" t="s">
        <v>251</v>
      </c>
      <c r="N73" t="s">
        <v>419</v>
      </c>
      <c r="O73" t="s">
        <v>1604</v>
      </c>
      <c r="P73">
        <v>1.459925021056E-4</v>
      </c>
      <c r="Q73" t="s">
        <v>251</v>
      </c>
      <c r="S73" t="s">
        <v>420</v>
      </c>
      <c r="T73" t="s">
        <v>1604</v>
      </c>
      <c r="U73">
        <v>9.8449079038520241E-5</v>
      </c>
      <c r="V73" t="s">
        <v>251</v>
      </c>
      <c r="X73">
        <v>1.1415525114155251E-4</v>
      </c>
      <c r="Y73">
        <v>1.6905750441289813E-4</v>
      </c>
      <c r="Z73" t="s">
        <v>1604</v>
      </c>
      <c r="AA73" t="s">
        <v>25</v>
      </c>
      <c r="AC73" t="s">
        <v>22</v>
      </c>
      <c r="AD73" t="s">
        <v>1604</v>
      </c>
      <c r="AE73">
        <v>1.1094028527498424E-4</v>
      </c>
      <c r="AG73" t="s">
        <v>97</v>
      </c>
      <c r="AH73" t="s">
        <v>1604</v>
      </c>
      <c r="AI73">
        <v>0</v>
      </c>
    </row>
    <row r="74" spans="5:35" x14ac:dyDescent="0.45">
      <c r="E74" t="s">
        <v>1277</v>
      </c>
      <c r="G74" t="s">
        <v>155</v>
      </c>
      <c r="I74" t="s">
        <v>249</v>
      </c>
      <c r="J74" t="s">
        <v>1605</v>
      </c>
      <c r="K74">
        <v>9.5528747051839036E-7</v>
      </c>
      <c r="L74" t="s">
        <v>251</v>
      </c>
      <c r="N74" t="s">
        <v>419</v>
      </c>
      <c r="O74" t="s">
        <v>1605</v>
      </c>
      <c r="P74">
        <v>1.4879353782289999E-4</v>
      </c>
      <c r="Q74" t="s">
        <v>251</v>
      </c>
      <c r="S74" t="s">
        <v>420</v>
      </c>
      <c r="T74" t="s">
        <v>1605</v>
      </c>
      <c r="U74">
        <v>8.7524680541929326E-5</v>
      </c>
      <c r="V74" t="s">
        <v>251</v>
      </c>
      <c r="X74">
        <v>1.1415525114155251E-4</v>
      </c>
      <c r="Y74">
        <v>1.9060404909297337E-4</v>
      </c>
      <c r="Z74" t="s">
        <v>1605</v>
      </c>
      <c r="AA74" t="s">
        <v>25</v>
      </c>
      <c r="AC74" t="s">
        <v>22</v>
      </c>
      <c r="AD74" t="s">
        <v>1605</v>
      </c>
      <c r="AE74">
        <v>1.0652871881492205E-4</v>
      </c>
      <c r="AG74" t="s">
        <v>97</v>
      </c>
      <c r="AH74" t="s">
        <v>1605</v>
      </c>
      <c r="AI74">
        <v>0</v>
      </c>
    </row>
    <row r="75" spans="5:35" x14ac:dyDescent="0.45">
      <c r="E75" t="s">
        <v>1278</v>
      </c>
      <c r="G75" t="s">
        <v>155</v>
      </c>
      <c r="I75" t="s">
        <v>249</v>
      </c>
      <c r="J75" t="s">
        <v>1606</v>
      </c>
      <c r="K75">
        <v>7.4522595415313532E-5</v>
      </c>
      <c r="L75" t="s">
        <v>251</v>
      </c>
      <c r="N75" t="s">
        <v>419</v>
      </c>
      <c r="O75" t="s">
        <v>1606</v>
      </c>
      <c r="P75">
        <v>1.490718911825E-4</v>
      </c>
      <c r="Q75" t="s">
        <v>251</v>
      </c>
      <c r="S75" t="s">
        <v>420</v>
      </c>
      <c r="T75" t="s">
        <v>1606</v>
      </c>
      <c r="U75">
        <v>7.4511252550082998E-5</v>
      </c>
      <c r="V75" t="s">
        <v>251</v>
      </c>
      <c r="X75">
        <v>1.1415525114155251E-4</v>
      </c>
      <c r="Y75">
        <v>1.4585353321897094E-4</v>
      </c>
      <c r="Z75" t="s">
        <v>1606</v>
      </c>
      <c r="AA75" t="s">
        <v>25</v>
      </c>
      <c r="AC75" t="s">
        <v>22</v>
      </c>
      <c r="AD75" t="s">
        <v>1606</v>
      </c>
      <c r="AE75">
        <v>1.0290550376327085E-4</v>
      </c>
      <c r="AG75" t="s">
        <v>97</v>
      </c>
      <c r="AH75" t="s">
        <v>1606</v>
      </c>
      <c r="AI75">
        <v>0</v>
      </c>
    </row>
    <row r="76" spans="5:35" x14ac:dyDescent="0.45">
      <c r="E76" t="s">
        <v>1279</v>
      </c>
      <c r="G76" t="s">
        <v>155</v>
      </c>
      <c r="I76" t="s">
        <v>249</v>
      </c>
      <c r="J76" t="s">
        <v>1607</v>
      </c>
      <c r="K76">
        <v>1.158577187446E-4</v>
      </c>
      <c r="L76" t="s">
        <v>251</v>
      </c>
      <c r="N76" t="s">
        <v>419</v>
      </c>
      <c r="O76" t="s">
        <v>1607</v>
      </c>
      <c r="P76">
        <v>1.4440954792179999E-4</v>
      </c>
      <c r="Q76" t="s">
        <v>251</v>
      </c>
      <c r="S76" t="s">
        <v>420</v>
      </c>
      <c r="T76" t="s">
        <v>1607</v>
      </c>
      <c r="U76">
        <v>5.9646228819027363E-5</v>
      </c>
      <c r="V76" t="s">
        <v>251</v>
      </c>
      <c r="X76">
        <v>1.1415525114155251E-4</v>
      </c>
      <c r="Y76">
        <v>1.4452759200788939E-4</v>
      </c>
      <c r="Z76" t="s">
        <v>1607</v>
      </c>
      <c r="AA76" t="s">
        <v>25</v>
      </c>
      <c r="AC76" t="s">
        <v>22</v>
      </c>
      <c r="AD76" t="s">
        <v>1607</v>
      </c>
      <c r="AE76">
        <v>1.0222920230123303E-4</v>
      </c>
      <c r="AG76" t="s">
        <v>97</v>
      </c>
      <c r="AH76" t="s">
        <v>1607</v>
      </c>
      <c r="AI76">
        <v>0</v>
      </c>
    </row>
    <row r="77" spans="5:35" x14ac:dyDescent="0.45">
      <c r="E77" t="s">
        <v>1280</v>
      </c>
      <c r="G77" t="s">
        <v>155</v>
      </c>
      <c r="I77" t="s">
        <v>249</v>
      </c>
      <c r="J77" t="s">
        <v>1608</v>
      </c>
      <c r="K77">
        <v>1.435537784477E-4</v>
      </c>
      <c r="L77" t="s">
        <v>251</v>
      </c>
      <c r="N77" t="s">
        <v>419</v>
      </c>
      <c r="O77" t="s">
        <v>1608</v>
      </c>
      <c r="P77">
        <v>1.3962854212990001E-4</v>
      </c>
      <c r="Q77" t="s">
        <v>251</v>
      </c>
      <c r="S77" t="s">
        <v>420</v>
      </c>
      <c r="T77" t="s">
        <v>1608</v>
      </c>
      <c r="U77">
        <v>5.202722188674982E-5</v>
      </c>
      <c r="V77" t="s">
        <v>251</v>
      </c>
      <c r="X77">
        <v>1.1415525114155251E-4</v>
      </c>
      <c r="Y77">
        <v>1.408812536774151E-4</v>
      </c>
      <c r="Z77" t="s">
        <v>1608</v>
      </c>
      <c r="AA77" t="s">
        <v>25</v>
      </c>
      <c r="AC77" t="s">
        <v>22</v>
      </c>
      <c r="AD77" t="s">
        <v>1608</v>
      </c>
      <c r="AE77">
        <v>1.0398358431873234E-4</v>
      </c>
      <c r="AG77" t="s">
        <v>97</v>
      </c>
      <c r="AH77" t="s">
        <v>1608</v>
      </c>
      <c r="AI77">
        <v>0</v>
      </c>
    </row>
    <row r="78" spans="5:35" x14ac:dyDescent="0.45">
      <c r="E78" t="s">
        <v>1281</v>
      </c>
      <c r="G78" t="s">
        <v>155</v>
      </c>
      <c r="I78" t="s">
        <v>249</v>
      </c>
      <c r="J78" t="s">
        <v>1609</v>
      </c>
      <c r="K78">
        <v>1.431717386112E-4</v>
      </c>
      <c r="L78" t="s">
        <v>251</v>
      </c>
      <c r="N78" t="s">
        <v>419</v>
      </c>
      <c r="O78" t="s">
        <v>1609</v>
      </c>
      <c r="P78">
        <v>1.3330169413849999E-4</v>
      </c>
      <c r="Q78" t="s">
        <v>251</v>
      </c>
      <c r="S78" t="s">
        <v>420</v>
      </c>
      <c r="T78" t="s">
        <v>1609</v>
      </c>
      <c r="U78">
        <v>5.1450711383886318E-5</v>
      </c>
      <c r="V78" t="s">
        <v>251</v>
      </c>
      <c r="X78">
        <v>1.1415525114155251E-4</v>
      </c>
      <c r="Y78">
        <v>1.4054976837464471E-4</v>
      </c>
      <c r="Z78" t="s">
        <v>1609</v>
      </c>
      <c r="AA78" t="s">
        <v>25</v>
      </c>
      <c r="AC78" t="s">
        <v>22</v>
      </c>
      <c r="AD78" t="s">
        <v>1609</v>
      </c>
      <c r="AE78">
        <v>1.1570534263729497E-4</v>
      </c>
      <c r="AG78" t="s">
        <v>97</v>
      </c>
      <c r="AH78" t="s">
        <v>1609</v>
      </c>
      <c r="AI78">
        <v>0</v>
      </c>
    </row>
    <row r="79" spans="5:35" x14ac:dyDescent="0.45">
      <c r="E79" t="s">
        <v>1282</v>
      </c>
      <c r="G79" t="s">
        <v>155</v>
      </c>
      <c r="I79" t="s">
        <v>249</v>
      </c>
      <c r="J79" t="s">
        <v>1610</v>
      </c>
      <c r="K79">
        <v>1.5118407435780001E-4</v>
      </c>
      <c r="L79" t="s">
        <v>251</v>
      </c>
      <c r="N79" t="s">
        <v>419</v>
      </c>
      <c r="O79" t="s">
        <v>1610</v>
      </c>
      <c r="P79">
        <v>1.2647200861080001E-4</v>
      </c>
      <c r="Q79" t="s">
        <v>251</v>
      </c>
      <c r="S79" t="s">
        <v>420</v>
      </c>
      <c r="T79" t="s">
        <v>1610</v>
      </c>
      <c r="U79">
        <v>5.7770918232637872E-5</v>
      </c>
      <c r="V79" t="s">
        <v>251</v>
      </c>
      <c r="X79">
        <v>1.1415525114155251E-4</v>
      </c>
      <c r="Y79">
        <v>1.4253868019126702E-4</v>
      </c>
      <c r="Z79" t="s">
        <v>1610</v>
      </c>
      <c r="AA79" t="s">
        <v>25</v>
      </c>
      <c r="AC79" t="s">
        <v>22</v>
      </c>
      <c r="AD79" t="s">
        <v>1610</v>
      </c>
      <c r="AE79">
        <v>1.3642764629107272E-4</v>
      </c>
      <c r="AG79" t="s">
        <v>97</v>
      </c>
      <c r="AH79" t="s">
        <v>1610</v>
      </c>
      <c r="AI79">
        <v>0</v>
      </c>
    </row>
    <row r="80" spans="5:35" x14ac:dyDescent="0.45">
      <c r="E80" t="s">
        <v>1283</v>
      </c>
      <c r="G80" t="s">
        <v>155</v>
      </c>
      <c r="I80" t="s">
        <v>249</v>
      </c>
      <c r="J80" t="s">
        <v>1611</v>
      </c>
      <c r="K80">
        <v>1.3919360715390001E-4</v>
      </c>
      <c r="L80" t="s">
        <v>251</v>
      </c>
      <c r="N80" t="s">
        <v>419</v>
      </c>
      <c r="O80" t="s">
        <v>1611</v>
      </c>
      <c r="P80">
        <v>1.2187263867519999E-4</v>
      </c>
      <c r="Q80" t="s">
        <v>251</v>
      </c>
      <c r="S80" t="s">
        <v>420</v>
      </c>
      <c r="T80" t="s">
        <v>1611</v>
      </c>
      <c r="U80">
        <v>6.5531010126812359E-5</v>
      </c>
      <c r="V80" t="s">
        <v>251</v>
      </c>
      <c r="X80">
        <v>1.1415525114155251E-4</v>
      </c>
      <c r="Y80">
        <v>1.4883690094390442E-4</v>
      </c>
      <c r="Z80" t="s">
        <v>1611</v>
      </c>
      <c r="AA80" t="s">
        <v>25</v>
      </c>
      <c r="AC80" t="s">
        <v>22</v>
      </c>
      <c r="AD80" t="s">
        <v>1611</v>
      </c>
      <c r="AE80">
        <v>1.5030556572055836E-4</v>
      </c>
      <c r="AG80" t="s">
        <v>97</v>
      </c>
      <c r="AH80" t="s">
        <v>1611</v>
      </c>
      <c r="AI80">
        <v>0</v>
      </c>
    </row>
    <row r="81" spans="5:35" x14ac:dyDescent="0.45">
      <c r="E81" t="s">
        <v>1284</v>
      </c>
      <c r="G81" t="s">
        <v>155</v>
      </c>
      <c r="I81" t="s">
        <v>249</v>
      </c>
      <c r="J81" t="s">
        <v>1612</v>
      </c>
      <c r="K81">
        <v>1.4341960119129999E-4</v>
      </c>
      <c r="L81" t="s">
        <v>251</v>
      </c>
      <c r="N81" t="s">
        <v>419</v>
      </c>
      <c r="O81" t="s">
        <v>1612</v>
      </c>
      <c r="P81">
        <v>1.191210529929E-4</v>
      </c>
      <c r="Q81" t="s">
        <v>251</v>
      </c>
      <c r="S81" t="s">
        <v>420</v>
      </c>
      <c r="T81" t="s">
        <v>1612</v>
      </c>
      <c r="U81">
        <v>7.1511087814002503E-5</v>
      </c>
      <c r="V81" t="s">
        <v>251</v>
      </c>
      <c r="X81">
        <v>1.1415525114155251E-4</v>
      </c>
      <c r="Y81">
        <v>1.5049432745775637E-4</v>
      </c>
      <c r="Z81" t="s">
        <v>1612</v>
      </c>
      <c r="AA81" t="s">
        <v>25</v>
      </c>
      <c r="AC81" t="s">
        <v>22</v>
      </c>
      <c r="AD81" t="s">
        <v>1612</v>
      </c>
      <c r="AE81">
        <v>1.5586884555798434E-4</v>
      </c>
      <c r="AG81" t="s">
        <v>97</v>
      </c>
      <c r="AH81" t="s">
        <v>1612</v>
      </c>
      <c r="AI81">
        <v>0</v>
      </c>
    </row>
    <row r="82" spans="5:35" x14ac:dyDescent="0.45">
      <c r="E82" t="s">
        <v>1285</v>
      </c>
      <c r="G82" t="s">
        <v>155</v>
      </c>
      <c r="I82" t="s">
        <v>249</v>
      </c>
      <c r="J82" t="s">
        <v>1613</v>
      </c>
      <c r="K82">
        <v>1.3521154743620001E-4</v>
      </c>
      <c r="L82" t="s">
        <v>251</v>
      </c>
      <c r="N82" t="s">
        <v>419</v>
      </c>
      <c r="O82" t="s">
        <v>1613</v>
      </c>
      <c r="P82">
        <v>1.08871956081E-4</v>
      </c>
      <c r="Q82" t="s">
        <v>251</v>
      </c>
      <c r="S82" t="s">
        <v>420</v>
      </c>
      <c r="T82" t="s">
        <v>1613</v>
      </c>
      <c r="U82">
        <v>7.5205211890709862E-5</v>
      </c>
      <c r="V82" t="s">
        <v>251</v>
      </c>
      <c r="X82">
        <v>1.1415525114155251E-4</v>
      </c>
      <c r="Y82">
        <v>1.7237235744060203E-4</v>
      </c>
      <c r="Z82" t="s">
        <v>1613</v>
      </c>
      <c r="AA82" t="s">
        <v>25</v>
      </c>
      <c r="AC82" t="s">
        <v>22</v>
      </c>
      <c r="AD82" t="s">
        <v>1613</v>
      </c>
      <c r="AE82">
        <v>1.4425433504523599E-4</v>
      </c>
      <c r="AG82" t="s">
        <v>97</v>
      </c>
      <c r="AH82" t="s">
        <v>1613</v>
      </c>
      <c r="AI82">
        <v>0</v>
      </c>
    </row>
    <row r="83" spans="5:35" x14ac:dyDescent="0.45">
      <c r="E83" t="s">
        <v>1286</v>
      </c>
      <c r="G83" t="s">
        <v>155</v>
      </c>
      <c r="I83" t="s">
        <v>249</v>
      </c>
      <c r="J83" t="s">
        <v>1614</v>
      </c>
      <c r="K83">
        <v>1.075368598439E-4</v>
      </c>
      <c r="L83" t="s">
        <v>251</v>
      </c>
      <c r="N83" t="s">
        <v>419</v>
      </c>
      <c r="O83" t="s">
        <v>1614</v>
      </c>
      <c r="P83">
        <v>1.0762435884370001E-4</v>
      </c>
      <c r="Q83" t="s">
        <v>251</v>
      </c>
      <c r="S83" t="s">
        <v>420</v>
      </c>
      <c r="T83" t="s">
        <v>1614</v>
      </c>
      <c r="U83">
        <v>7.4938967583647353E-5</v>
      </c>
      <c r="V83" t="s">
        <v>251</v>
      </c>
      <c r="X83">
        <v>1.1415525114155251E-4</v>
      </c>
      <c r="Y83">
        <v>2.2209515285616027E-4</v>
      </c>
      <c r="Z83" t="s">
        <v>1614</v>
      </c>
      <c r="AA83" t="s">
        <v>25</v>
      </c>
      <c r="AC83" t="s">
        <v>22</v>
      </c>
      <c r="AD83" t="s">
        <v>1614</v>
      </c>
      <c r="AE83">
        <v>1.4240791200035874E-4</v>
      </c>
      <c r="AG83" t="s">
        <v>97</v>
      </c>
      <c r="AH83" t="s">
        <v>1614</v>
      </c>
      <c r="AI83">
        <v>0</v>
      </c>
    </row>
    <row r="84" spans="5:35" x14ac:dyDescent="0.45">
      <c r="E84" t="s">
        <v>1287</v>
      </c>
      <c r="G84" t="s">
        <v>155</v>
      </c>
      <c r="I84" t="s">
        <v>249</v>
      </c>
      <c r="J84" t="s">
        <v>1615</v>
      </c>
      <c r="K84">
        <v>6.7973264898094841E-5</v>
      </c>
      <c r="L84" t="s">
        <v>251</v>
      </c>
      <c r="N84" t="s">
        <v>419</v>
      </c>
      <c r="O84" t="s">
        <v>1615</v>
      </c>
      <c r="P84">
        <v>1.187302651892E-4</v>
      </c>
      <c r="Q84" t="s">
        <v>251</v>
      </c>
      <c r="S84" t="s">
        <v>420</v>
      </c>
      <c r="T84" t="s">
        <v>1615</v>
      </c>
      <c r="U84">
        <v>6.5692271583684883E-5</v>
      </c>
      <c r="V84" t="s">
        <v>251</v>
      </c>
      <c r="X84">
        <v>1.1415525114155251E-4</v>
      </c>
      <c r="Y84">
        <v>2.2209515285616027E-4</v>
      </c>
      <c r="Z84" t="s">
        <v>1615</v>
      </c>
      <c r="AA84" t="s">
        <v>25</v>
      </c>
      <c r="AC84" t="s">
        <v>22</v>
      </c>
      <c r="AD84" t="s">
        <v>1615</v>
      </c>
      <c r="AE84">
        <v>1.4557305619981311E-4</v>
      </c>
      <c r="AG84" t="s">
        <v>97</v>
      </c>
      <c r="AH84" t="s">
        <v>1615</v>
      </c>
      <c r="AI84">
        <v>0</v>
      </c>
    </row>
    <row r="85" spans="5:35" x14ac:dyDescent="0.45">
      <c r="E85" t="s">
        <v>1288</v>
      </c>
      <c r="G85" t="s">
        <v>155</v>
      </c>
      <c r="I85" t="s">
        <v>249</v>
      </c>
      <c r="J85" t="s">
        <v>1616</v>
      </c>
      <c r="K85">
        <v>7.2000304392057395E-7</v>
      </c>
      <c r="L85" t="s">
        <v>251</v>
      </c>
      <c r="N85" t="s">
        <v>419</v>
      </c>
      <c r="O85" t="s">
        <v>1616</v>
      </c>
      <c r="P85">
        <v>1.217836527827E-4</v>
      </c>
      <c r="Q85" t="s">
        <v>251</v>
      </c>
      <c r="S85" t="s">
        <v>420</v>
      </c>
      <c r="T85" t="s">
        <v>1616</v>
      </c>
      <c r="U85">
        <v>7.2243343726333359E-5</v>
      </c>
      <c r="V85" t="s">
        <v>251</v>
      </c>
      <c r="X85">
        <v>1.1415525114155251E-4</v>
      </c>
      <c r="Y85">
        <v>1.7237235744060203E-4</v>
      </c>
      <c r="Z85" t="s">
        <v>1616</v>
      </c>
      <c r="AA85" t="s">
        <v>25</v>
      </c>
      <c r="AC85" t="s">
        <v>22</v>
      </c>
      <c r="AD85" t="s">
        <v>1616</v>
      </c>
      <c r="AE85">
        <v>1.4685656165695869E-4</v>
      </c>
      <c r="AG85" t="s">
        <v>97</v>
      </c>
      <c r="AH85" t="s">
        <v>1616</v>
      </c>
      <c r="AI85">
        <v>0</v>
      </c>
    </row>
    <row r="86" spans="5:35" x14ac:dyDescent="0.45">
      <c r="E86" t="s">
        <v>1289</v>
      </c>
      <c r="G86" t="s">
        <v>155</v>
      </c>
      <c r="I86" t="s">
        <v>249</v>
      </c>
      <c r="J86" t="s">
        <v>1617</v>
      </c>
      <c r="K86">
        <v>0</v>
      </c>
      <c r="L86" t="s">
        <v>251</v>
      </c>
      <c r="N86" t="s">
        <v>419</v>
      </c>
      <c r="O86" t="s">
        <v>1617</v>
      </c>
      <c r="P86">
        <v>1.149054744209E-4</v>
      </c>
      <c r="Q86" t="s">
        <v>251</v>
      </c>
      <c r="S86" t="s">
        <v>420</v>
      </c>
      <c r="T86" t="s">
        <v>1617</v>
      </c>
      <c r="U86">
        <v>7.5720882924776138E-5</v>
      </c>
      <c r="V86" t="s">
        <v>251</v>
      </c>
      <c r="X86">
        <v>1.1415525114155251E-4</v>
      </c>
      <c r="Y86">
        <v>1.5579809230208258E-4</v>
      </c>
      <c r="Z86" t="s">
        <v>1617</v>
      </c>
      <c r="AA86" t="s">
        <v>25</v>
      </c>
      <c r="AC86" t="s">
        <v>22</v>
      </c>
      <c r="AD86" t="s">
        <v>1617</v>
      </c>
      <c r="AE86">
        <v>1.4736372105709038E-4</v>
      </c>
      <c r="AG86" t="s">
        <v>97</v>
      </c>
      <c r="AH86" t="s">
        <v>1617</v>
      </c>
      <c r="AI86">
        <v>0</v>
      </c>
    </row>
    <row r="87" spans="5:35" x14ac:dyDescent="0.45">
      <c r="E87" t="s">
        <v>1290</v>
      </c>
      <c r="G87" t="s">
        <v>155</v>
      </c>
      <c r="I87" t="s">
        <v>249</v>
      </c>
      <c r="J87" t="s">
        <v>1618</v>
      </c>
      <c r="K87">
        <v>0</v>
      </c>
      <c r="L87" t="s">
        <v>251</v>
      </c>
      <c r="N87" t="s">
        <v>419</v>
      </c>
      <c r="O87" t="s">
        <v>1618</v>
      </c>
      <c r="P87">
        <v>1.07277001821E-4</v>
      </c>
      <c r="Q87" t="s">
        <v>251</v>
      </c>
      <c r="S87" t="s">
        <v>420</v>
      </c>
      <c r="T87" t="s">
        <v>1618</v>
      </c>
      <c r="U87">
        <v>7.7813903017072774E-5</v>
      </c>
      <c r="V87" t="s">
        <v>251</v>
      </c>
      <c r="X87">
        <v>1.1415525114155251E-4</v>
      </c>
      <c r="Y87">
        <v>1.093901499142282E-4</v>
      </c>
      <c r="Z87" t="s">
        <v>1618</v>
      </c>
      <c r="AA87" t="s">
        <v>25</v>
      </c>
      <c r="AC87" t="s">
        <v>22</v>
      </c>
      <c r="AD87" t="s">
        <v>1618</v>
      </c>
      <c r="AE87">
        <v>1.4793090721420776E-4</v>
      </c>
      <c r="AG87" t="s">
        <v>97</v>
      </c>
      <c r="AH87" t="s">
        <v>1618</v>
      </c>
      <c r="AI87">
        <v>0</v>
      </c>
    </row>
    <row r="88" spans="5:35" x14ac:dyDescent="0.45">
      <c r="E88" t="s">
        <v>1291</v>
      </c>
      <c r="G88" t="s">
        <v>155</v>
      </c>
      <c r="I88" t="s">
        <v>249</v>
      </c>
      <c r="J88" t="s">
        <v>1619</v>
      </c>
      <c r="K88">
        <v>0</v>
      </c>
      <c r="L88" t="s">
        <v>251</v>
      </c>
      <c r="N88" t="s">
        <v>419</v>
      </c>
      <c r="O88" t="s">
        <v>1619</v>
      </c>
      <c r="P88">
        <v>1.0674755916150001E-4</v>
      </c>
      <c r="Q88" t="s">
        <v>251</v>
      </c>
      <c r="S88" t="s">
        <v>420</v>
      </c>
      <c r="T88" t="s">
        <v>1619</v>
      </c>
      <c r="U88">
        <v>7.9920188013883088E-5</v>
      </c>
      <c r="V88" t="s">
        <v>251</v>
      </c>
      <c r="X88">
        <v>1.1415525114155251E-4</v>
      </c>
      <c r="Y88">
        <v>7.9556472664893237E-5</v>
      </c>
      <c r="Z88" t="s">
        <v>1619</v>
      </c>
      <c r="AA88" t="s">
        <v>25</v>
      </c>
      <c r="AC88" t="s">
        <v>22</v>
      </c>
      <c r="AD88" t="s">
        <v>1619</v>
      </c>
      <c r="AE88">
        <v>1.490740834528003E-4</v>
      </c>
      <c r="AG88" t="s">
        <v>97</v>
      </c>
      <c r="AH88" t="s">
        <v>1619</v>
      </c>
      <c r="AI88">
        <v>0</v>
      </c>
    </row>
    <row r="89" spans="5:35" x14ac:dyDescent="0.45">
      <c r="E89" t="s">
        <v>1292</v>
      </c>
      <c r="G89" t="s">
        <v>155</v>
      </c>
      <c r="I89" t="s">
        <v>249</v>
      </c>
      <c r="J89" t="s">
        <v>1620</v>
      </c>
      <c r="K89">
        <v>0</v>
      </c>
      <c r="L89" t="s">
        <v>251</v>
      </c>
      <c r="N89" t="s">
        <v>419</v>
      </c>
      <c r="O89" t="s">
        <v>1620</v>
      </c>
      <c r="P89">
        <v>1.112962820821E-4</v>
      </c>
      <c r="Q89" t="s">
        <v>251</v>
      </c>
      <c r="S89" t="s">
        <v>420</v>
      </c>
      <c r="T89" t="s">
        <v>1620</v>
      </c>
      <c r="U89">
        <v>8.3977169393242135E-5</v>
      </c>
      <c r="V89" t="s">
        <v>251</v>
      </c>
      <c r="X89">
        <v>1.1415525114155251E-4</v>
      </c>
      <c r="Y89">
        <v>5.6352501470966035E-5</v>
      </c>
      <c r="Z89" t="s">
        <v>1620</v>
      </c>
      <c r="AA89" t="s">
        <v>25</v>
      </c>
      <c r="AC89" t="s">
        <v>22</v>
      </c>
      <c r="AD89" t="s">
        <v>1620</v>
      </c>
      <c r="AE89">
        <v>1.5332717927442045E-4</v>
      </c>
      <c r="AG89" t="s">
        <v>97</v>
      </c>
      <c r="AH89" t="s">
        <v>1620</v>
      </c>
      <c r="AI89">
        <v>0</v>
      </c>
    </row>
    <row r="90" spans="5:35" x14ac:dyDescent="0.45">
      <c r="E90" t="s">
        <v>1293</v>
      </c>
      <c r="G90" t="s">
        <v>155</v>
      </c>
      <c r="I90" t="s">
        <v>249</v>
      </c>
      <c r="J90" t="s">
        <v>1621</v>
      </c>
      <c r="K90">
        <v>0</v>
      </c>
      <c r="L90" t="s">
        <v>251</v>
      </c>
      <c r="N90" t="s">
        <v>419</v>
      </c>
      <c r="O90" t="s">
        <v>1621</v>
      </c>
      <c r="P90">
        <v>1.139074045641E-4</v>
      </c>
      <c r="Q90" t="s">
        <v>251</v>
      </c>
      <c r="S90" t="s">
        <v>420</v>
      </c>
      <c r="T90" t="s">
        <v>1621</v>
      </c>
      <c r="U90">
        <v>9.0021009835120847E-5</v>
      </c>
      <c r="V90" t="s">
        <v>251</v>
      </c>
      <c r="X90">
        <v>1.1415525114155251E-4</v>
      </c>
      <c r="Y90">
        <v>2.9833677249334962E-5</v>
      </c>
      <c r="Z90" t="s">
        <v>1621</v>
      </c>
      <c r="AA90" t="s">
        <v>25</v>
      </c>
      <c r="AC90" t="s">
        <v>22</v>
      </c>
      <c r="AD90" t="s">
        <v>1621</v>
      </c>
      <c r="AE90">
        <v>1.5782304997984909E-4</v>
      </c>
      <c r="AG90" t="s">
        <v>97</v>
      </c>
      <c r="AH90" t="s">
        <v>1621</v>
      </c>
      <c r="AI90">
        <v>0</v>
      </c>
    </row>
    <row r="91" spans="5:35" x14ac:dyDescent="0.45">
      <c r="E91" t="s">
        <v>1294</v>
      </c>
      <c r="G91" t="s">
        <v>155</v>
      </c>
      <c r="I91" t="s">
        <v>249</v>
      </c>
      <c r="J91" t="s">
        <v>1622</v>
      </c>
      <c r="K91">
        <v>0</v>
      </c>
      <c r="L91" t="s">
        <v>251</v>
      </c>
      <c r="N91" t="s">
        <v>419</v>
      </c>
      <c r="O91" t="s">
        <v>1622</v>
      </c>
      <c r="P91">
        <v>1.1867350815469999E-4</v>
      </c>
      <c r="Q91" t="s">
        <v>251</v>
      </c>
      <c r="S91" t="s">
        <v>420</v>
      </c>
      <c r="T91" t="s">
        <v>1622</v>
      </c>
      <c r="U91">
        <v>9.7163210093876315E-5</v>
      </c>
      <c r="V91" t="s">
        <v>251</v>
      </c>
      <c r="X91">
        <v>1.1415525114155251E-4</v>
      </c>
      <c r="Y91">
        <v>2.1546544680075254E-5</v>
      </c>
      <c r="Z91" t="s">
        <v>1622</v>
      </c>
      <c r="AA91" t="s">
        <v>25</v>
      </c>
      <c r="AC91" t="s">
        <v>22</v>
      </c>
      <c r="AD91" t="s">
        <v>1622</v>
      </c>
      <c r="AE91">
        <v>1.5822589621561917E-4</v>
      </c>
      <c r="AG91" t="s">
        <v>97</v>
      </c>
      <c r="AH91" t="s">
        <v>1622</v>
      </c>
      <c r="AI91">
        <v>0</v>
      </c>
    </row>
    <row r="92" spans="5:35" x14ac:dyDescent="0.45">
      <c r="E92" t="s">
        <v>1295</v>
      </c>
      <c r="G92" t="s">
        <v>155</v>
      </c>
      <c r="I92" t="s">
        <v>249</v>
      </c>
      <c r="J92" t="s">
        <v>1623</v>
      </c>
      <c r="K92">
        <v>0</v>
      </c>
      <c r="L92" t="s">
        <v>251</v>
      </c>
      <c r="N92" t="s">
        <v>419</v>
      </c>
      <c r="O92" t="s">
        <v>1623</v>
      </c>
      <c r="P92">
        <v>1.219581618206E-4</v>
      </c>
      <c r="Q92" t="s">
        <v>251</v>
      </c>
      <c r="S92" t="s">
        <v>420</v>
      </c>
      <c r="T92" t="s">
        <v>1623</v>
      </c>
      <c r="U92">
        <v>1.0282697233680001E-4</v>
      </c>
      <c r="V92" t="s">
        <v>251</v>
      </c>
      <c r="X92">
        <v>1.1415525114155251E-4</v>
      </c>
      <c r="Y92">
        <v>1.4916838624667481E-5</v>
      </c>
      <c r="Z92" t="s">
        <v>1623</v>
      </c>
      <c r="AA92" t="s">
        <v>25</v>
      </c>
      <c r="AC92" t="s">
        <v>22</v>
      </c>
      <c r="AD92" t="s">
        <v>1623</v>
      </c>
      <c r="AE92">
        <v>1.5726973667323508E-4</v>
      </c>
      <c r="AG92" t="s">
        <v>97</v>
      </c>
      <c r="AH92" t="s">
        <v>1623</v>
      </c>
      <c r="AI92">
        <v>0</v>
      </c>
    </row>
    <row r="93" spans="5:35" x14ac:dyDescent="0.45">
      <c r="E93" t="s">
        <v>1296</v>
      </c>
      <c r="G93" t="s">
        <v>155</v>
      </c>
      <c r="I93" t="s">
        <v>249</v>
      </c>
      <c r="J93" t="s">
        <v>1624</v>
      </c>
      <c r="K93">
        <v>0</v>
      </c>
      <c r="L93" t="s">
        <v>251</v>
      </c>
      <c r="N93" t="s">
        <v>419</v>
      </c>
      <c r="O93" t="s">
        <v>1624</v>
      </c>
      <c r="P93">
        <v>1.2386004761510001E-4</v>
      </c>
      <c r="Q93" t="s">
        <v>251</v>
      </c>
      <c r="S93" t="s">
        <v>420</v>
      </c>
      <c r="T93" t="s">
        <v>1624</v>
      </c>
      <c r="U93">
        <v>1.0695817702300001E-4</v>
      </c>
      <c r="V93" t="s">
        <v>251</v>
      </c>
      <c r="X93">
        <v>1.1415525114155251E-4</v>
      </c>
      <c r="Y93">
        <v>1.6574265138519424E-5</v>
      </c>
      <c r="Z93" t="s">
        <v>1624</v>
      </c>
      <c r="AA93" t="s">
        <v>25</v>
      </c>
      <c r="AC93" t="s">
        <v>22</v>
      </c>
      <c r="AD93" t="s">
        <v>1624</v>
      </c>
      <c r="AE93">
        <v>1.508159265477293E-4</v>
      </c>
      <c r="AG93" t="s">
        <v>97</v>
      </c>
      <c r="AH93" t="s">
        <v>1624</v>
      </c>
      <c r="AI93">
        <v>0</v>
      </c>
    </row>
    <row r="94" spans="5:35" x14ac:dyDescent="0.45">
      <c r="E94" t="s">
        <v>1297</v>
      </c>
      <c r="G94" t="s">
        <v>155</v>
      </c>
      <c r="I94" t="s">
        <v>249</v>
      </c>
      <c r="J94" t="s">
        <v>1625</v>
      </c>
      <c r="K94">
        <v>0</v>
      </c>
      <c r="L94" t="s">
        <v>251</v>
      </c>
      <c r="N94" t="s">
        <v>419</v>
      </c>
      <c r="O94" t="s">
        <v>1625</v>
      </c>
      <c r="P94">
        <v>1.3282717727669999E-4</v>
      </c>
      <c r="Q94" t="s">
        <v>251</v>
      </c>
      <c r="S94" t="s">
        <v>420</v>
      </c>
      <c r="T94" t="s">
        <v>1625</v>
      </c>
      <c r="U94">
        <v>1.048076243594E-4</v>
      </c>
      <c r="V94" t="s">
        <v>251</v>
      </c>
      <c r="X94">
        <v>1.1415525114155251E-4</v>
      </c>
      <c r="Y94">
        <v>1.4585353321897093E-5</v>
      </c>
      <c r="Z94" t="s">
        <v>1625</v>
      </c>
      <c r="AA94" t="s">
        <v>25</v>
      </c>
      <c r="AC94" t="s">
        <v>22</v>
      </c>
      <c r="AD94" t="s">
        <v>1625</v>
      </c>
      <c r="AE94">
        <v>1.4300391100082913E-4</v>
      </c>
      <c r="AG94" t="s">
        <v>97</v>
      </c>
      <c r="AH94" t="s">
        <v>1625</v>
      </c>
      <c r="AI94">
        <v>0</v>
      </c>
    </row>
    <row r="95" spans="5:35" x14ac:dyDescent="0.45">
      <c r="E95" t="s">
        <v>1298</v>
      </c>
      <c r="G95" t="s">
        <v>155</v>
      </c>
      <c r="I95" t="s">
        <v>249</v>
      </c>
      <c r="J95" t="s">
        <v>1626</v>
      </c>
      <c r="K95">
        <v>0</v>
      </c>
      <c r="L95" t="s">
        <v>251</v>
      </c>
      <c r="N95" t="s">
        <v>419</v>
      </c>
      <c r="O95" t="s">
        <v>1626</v>
      </c>
      <c r="P95">
        <v>1.2449225764330001E-4</v>
      </c>
      <c r="Q95" t="s">
        <v>251</v>
      </c>
      <c r="S95" t="s">
        <v>420</v>
      </c>
      <c r="T95" t="s">
        <v>1626</v>
      </c>
      <c r="U95">
        <v>1.01593990115E-4</v>
      </c>
      <c r="V95" t="s">
        <v>251</v>
      </c>
      <c r="X95">
        <v>1.1415525114155251E-4</v>
      </c>
      <c r="Y95">
        <v>2.1215059377304864E-5</v>
      </c>
      <c r="Z95" t="s">
        <v>1626</v>
      </c>
      <c r="AA95" t="s">
        <v>25</v>
      </c>
      <c r="AC95" t="s">
        <v>22</v>
      </c>
      <c r="AD95" t="s">
        <v>1626</v>
      </c>
      <c r="AE95">
        <v>1.317303524677591E-4</v>
      </c>
      <c r="AG95" t="s">
        <v>97</v>
      </c>
      <c r="AH95" t="s">
        <v>1626</v>
      </c>
      <c r="AI95">
        <v>0</v>
      </c>
    </row>
    <row r="96" spans="5:35" x14ac:dyDescent="0.45">
      <c r="E96" t="s">
        <v>1299</v>
      </c>
      <c r="G96" t="s">
        <v>155</v>
      </c>
      <c r="I96" t="s">
        <v>249</v>
      </c>
      <c r="J96" t="s">
        <v>1627</v>
      </c>
      <c r="K96">
        <v>0</v>
      </c>
      <c r="L96" t="s">
        <v>251</v>
      </c>
      <c r="N96" t="s">
        <v>419</v>
      </c>
      <c r="O96" t="s">
        <v>1627</v>
      </c>
      <c r="P96">
        <v>1.133600601699E-4</v>
      </c>
      <c r="Q96" t="s">
        <v>251</v>
      </c>
      <c r="S96" t="s">
        <v>420</v>
      </c>
      <c r="T96" t="s">
        <v>1627</v>
      </c>
      <c r="U96">
        <v>9.785766616452294E-5</v>
      </c>
      <c r="V96" t="s">
        <v>251</v>
      </c>
      <c r="X96">
        <v>1.1415525114155251E-4</v>
      </c>
      <c r="Y96">
        <v>5.7678442682047593E-5</v>
      </c>
      <c r="Z96" t="s">
        <v>1627</v>
      </c>
      <c r="AA96" t="s">
        <v>25</v>
      </c>
      <c r="AC96" t="s">
        <v>22</v>
      </c>
      <c r="AD96" t="s">
        <v>1627</v>
      </c>
      <c r="AE96">
        <v>1.2535604444706086E-4</v>
      </c>
      <c r="AG96" t="s">
        <v>97</v>
      </c>
      <c r="AH96" t="s">
        <v>1627</v>
      </c>
      <c r="AI96">
        <v>0</v>
      </c>
    </row>
    <row r="97" spans="5:35" x14ac:dyDescent="0.45">
      <c r="E97" t="s">
        <v>1300</v>
      </c>
      <c r="G97" t="s">
        <v>155</v>
      </c>
      <c r="I97" t="s">
        <v>249</v>
      </c>
      <c r="J97" t="s">
        <v>1628</v>
      </c>
      <c r="K97">
        <v>0</v>
      </c>
      <c r="L97" t="s">
        <v>251</v>
      </c>
      <c r="N97" t="s">
        <v>419</v>
      </c>
      <c r="O97" t="s">
        <v>1628</v>
      </c>
      <c r="P97">
        <v>9.9197720507093623E-5</v>
      </c>
      <c r="Q97" t="s">
        <v>251</v>
      </c>
      <c r="S97" t="s">
        <v>420</v>
      </c>
      <c r="T97" t="s">
        <v>1628</v>
      </c>
      <c r="U97">
        <v>9.6460708184292304E-5</v>
      </c>
      <c r="V97" t="s">
        <v>251</v>
      </c>
      <c r="X97">
        <v>1.1415525114155251E-4</v>
      </c>
      <c r="Y97">
        <v>1.6905750441289813E-4</v>
      </c>
      <c r="Z97" t="s">
        <v>1628</v>
      </c>
      <c r="AA97" t="s">
        <v>25</v>
      </c>
      <c r="AC97" t="s">
        <v>22</v>
      </c>
      <c r="AD97" t="s">
        <v>1628</v>
      </c>
      <c r="AE97">
        <v>1.1048915084803906E-4</v>
      </c>
      <c r="AG97" t="s">
        <v>97</v>
      </c>
      <c r="AH97" t="s">
        <v>1628</v>
      </c>
      <c r="AI97">
        <v>0</v>
      </c>
    </row>
    <row r="98" spans="5:35" x14ac:dyDescent="0.45">
      <c r="E98" t="s">
        <v>1301</v>
      </c>
      <c r="G98" t="s">
        <v>155</v>
      </c>
      <c r="I98" t="s">
        <v>249</v>
      </c>
      <c r="J98" t="s">
        <v>1629</v>
      </c>
      <c r="K98">
        <v>2.099393564358309E-6</v>
      </c>
      <c r="L98" t="s">
        <v>251</v>
      </c>
      <c r="N98" t="s">
        <v>419</v>
      </c>
      <c r="O98" t="s">
        <v>1629</v>
      </c>
      <c r="P98">
        <v>8.8018747797604597E-5</v>
      </c>
      <c r="Q98" t="s">
        <v>251</v>
      </c>
      <c r="S98" t="s">
        <v>420</v>
      </c>
      <c r="T98" t="s">
        <v>1629</v>
      </c>
      <c r="U98">
        <v>9.1659158974463094E-5</v>
      </c>
      <c r="V98" t="s">
        <v>251</v>
      </c>
      <c r="X98">
        <v>1.1415525114155251E-4</v>
      </c>
      <c r="Y98">
        <v>1.9060404909297337E-4</v>
      </c>
      <c r="Z98" t="s">
        <v>1629</v>
      </c>
      <c r="AA98" t="s">
        <v>25</v>
      </c>
      <c r="AC98" t="s">
        <v>22</v>
      </c>
      <c r="AD98" t="s">
        <v>1629</v>
      </c>
      <c r="AE98">
        <v>1.0566086530170349E-4</v>
      </c>
      <c r="AG98" t="s">
        <v>97</v>
      </c>
      <c r="AH98" t="s">
        <v>1629</v>
      </c>
      <c r="AI98">
        <v>0</v>
      </c>
    </row>
    <row r="99" spans="5:35" x14ac:dyDescent="0.45">
      <c r="E99" t="s">
        <v>1302</v>
      </c>
      <c r="G99" t="s">
        <v>155</v>
      </c>
      <c r="I99" t="s">
        <v>249</v>
      </c>
      <c r="J99" t="s">
        <v>1630</v>
      </c>
      <c r="K99">
        <v>7.3864937077296899E-5</v>
      </c>
      <c r="L99" t="s">
        <v>251</v>
      </c>
      <c r="N99" t="s">
        <v>419</v>
      </c>
      <c r="O99" t="s">
        <v>1630</v>
      </c>
      <c r="P99">
        <v>7.3008271415756586E-5</v>
      </c>
      <c r="Q99" t="s">
        <v>251</v>
      </c>
      <c r="S99" t="s">
        <v>420</v>
      </c>
      <c r="T99" t="s">
        <v>1630</v>
      </c>
      <c r="U99">
        <v>8.3658787171954848E-5</v>
      </c>
      <c r="V99" t="s">
        <v>251</v>
      </c>
      <c r="X99">
        <v>1.1415525114155251E-4</v>
      </c>
      <c r="Y99">
        <v>1.4585353321897094E-4</v>
      </c>
      <c r="Z99" t="s">
        <v>1630</v>
      </c>
      <c r="AA99" t="s">
        <v>25</v>
      </c>
      <c r="AC99" t="s">
        <v>22</v>
      </c>
      <c r="AD99" t="s">
        <v>1630</v>
      </c>
      <c r="AE99">
        <v>1.018138171428926E-4</v>
      </c>
      <c r="AG99" t="s">
        <v>97</v>
      </c>
      <c r="AH99" t="s">
        <v>1630</v>
      </c>
      <c r="AI99">
        <v>0</v>
      </c>
    </row>
    <row r="100" spans="5:35" x14ac:dyDescent="0.45">
      <c r="E100" t="s">
        <v>1303</v>
      </c>
      <c r="G100" t="s">
        <v>155</v>
      </c>
      <c r="I100" t="s">
        <v>249</v>
      </c>
      <c r="J100" t="s">
        <v>1631</v>
      </c>
      <c r="K100">
        <v>1.3070858933130001E-4</v>
      </c>
      <c r="L100" t="s">
        <v>251</v>
      </c>
      <c r="N100" t="s">
        <v>419</v>
      </c>
      <c r="O100" t="s">
        <v>1631</v>
      </c>
      <c r="P100">
        <v>5.328111293577255E-5</v>
      </c>
      <c r="Q100" t="s">
        <v>251</v>
      </c>
      <c r="S100" t="s">
        <v>420</v>
      </c>
      <c r="T100" t="s">
        <v>1631</v>
      </c>
      <c r="U100">
        <v>7.4333144950191737E-5</v>
      </c>
      <c r="V100" t="s">
        <v>251</v>
      </c>
      <c r="X100">
        <v>1.1415525114155251E-4</v>
      </c>
      <c r="Y100">
        <v>1.4452759200788939E-4</v>
      </c>
      <c r="Z100" t="s">
        <v>1631</v>
      </c>
      <c r="AA100" t="s">
        <v>25</v>
      </c>
      <c r="AC100" t="s">
        <v>22</v>
      </c>
      <c r="AD100" t="s">
        <v>1631</v>
      </c>
      <c r="AE100">
        <v>1.0113751568085479E-4</v>
      </c>
      <c r="AG100" t="s">
        <v>97</v>
      </c>
      <c r="AH100" t="s">
        <v>1631</v>
      </c>
      <c r="AI100">
        <v>0</v>
      </c>
    </row>
    <row r="101" spans="5:35" x14ac:dyDescent="0.45">
      <c r="E101" t="s">
        <v>1304</v>
      </c>
      <c r="G101" t="s">
        <v>155</v>
      </c>
      <c r="I101" t="s">
        <v>249</v>
      </c>
      <c r="J101" t="s">
        <v>1632</v>
      </c>
      <c r="K101">
        <v>1.6908211423220001E-4</v>
      </c>
      <c r="L101" t="s">
        <v>251</v>
      </c>
      <c r="N101" t="s">
        <v>419</v>
      </c>
      <c r="O101" t="s">
        <v>1632</v>
      </c>
      <c r="P101">
        <v>3.9022519108259708E-5</v>
      </c>
      <c r="Q101" t="s">
        <v>251</v>
      </c>
      <c r="S101" t="s">
        <v>420</v>
      </c>
      <c r="T101" t="s">
        <v>1632</v>
      </c>
      <c r="U101">
        <v>6.0867114877356656E-5</v>
      </c>
      <c r="V101" t="s">
        <v>251</v>
      </c>
      <c r="X101">
        <v>1.1415525114155251E-4</v>
      </c>
      <c r="Y101">
        <v>1.408812536774151E-4</v>
      </c>
      <c r="Z101" t="s">
        <v>1632</v>
      </c>
      <c r="AA101" t="s">
        <v>25</v>
      </c>
      <c r="AC101" t="s">
        <v>22</v>
      </c>
      <c r="AD101" t="s">
        <v>1632</v>
      </c>
      <c r="AE101">
        <v>1.0207019809161781E-4</v>
      </c>
      <c r="AG101" t="s">
        <v>97</v>
      </c>
      <c r="AH101" t="s">
        <v>1632</v>
      </c>
      <c r="AI101">
        <v>0</v>
      </c>
    </row>
    <row r="102" spans="5:35" x14ac:dyDescent="0.45">
      <c r="E102" t="s">
        <v>1305</v>
      </c>
      <c r="G102" t="s">
        <v>155</v>
      </c>
      <c r="I102" t="s">
        <v>249</v>
      </c>
      <c r="J102" t="s">
        <v>1633</v>
      </c>
      <c r="K102">
        <v>1.9801018784840001E-4</v>
      </c>
      <c r="L102" t="s">
        <v>251</v>
      </c>
      <c r="N102" t="s">
        <v>419</v>
      </c>
      <c r="O102" t="s">
        <v>1633</v>
      </c>
      <c r="P102">
        <v>3.3981935563518704E-5</v>
      </c>
      <c r="Q102" t="s">
        <v>251</v>
      </c>
      <c r="S102" t="s">
        <v>420</v>
      </c>
      <c r="T102" t="s">
        <v>1633</v>
      </c>
      <c r="U102">
        <v>4.8315114985726013E-5</v>
      </c>
      <c r="V102" t="s">
        <v>251</v>
      </c>
      <c r="X102">
        <v>1.1415525114155251E-4</v>
      </c>
      <c r="Y102">
        <v>1.4054976837464471E-4</v>
      </c>
      <c r="Z102" t="s">
        <v>1633</v>
      </c>
      <c r="AA102" t="s">
        <v>25</v>
      </c>
      <c r="AC102" t="s">
        <v>22</v>
      </c>
      <c r="AD102" t="s">
        <v>1633</v>
      </c>
      <c r="AE102">
        <v>1.139568299027009E-4</v>
      </c>
      <c r="AG102" t="s">
        <v>97</v>
      </c>
      <c r="AH102" t="s">
        <v>1633</v>
      </c>
      <c r="AI102">
        <v>0</v>
      </c>
    </row>
    <row r="103" spans="5:35" x14ac:dyDescent="0.45">
      <c r="E103" t="s">
        <v>1306</v>
      </c>
      <c r="G103" t="s">
        <v>155</v>
      </c>
      <c r="I103" t="s">
        <v>249</v>
      </c>
      <c r="J103" t="s">
        <v>1634</v>
      </c>
      <c r="K103">
        <v>1.7709552107020001E-4</v>
      </c>
      <c r="L103" t="s">
        <v>251</v>
      </c>
      <c r="N103" t="s">
        <v>419</v>
      </c>
      <c r="O103" t="s">
        <v>1634</v>
      </c>
      <c r="P103">
        <v>3.0005436273569376E-5</v>
      </c>
      <c r="Q103" t="s">
        <v>251</v>
      </c>
      <c r="S103" t="s">
        <v>420</v>
      </c>
      <c r="T103" t="s">
        <v>1634</v>
      </c>
      <c r="U103">
        <v>4.0008221816820161E-5</v>
      </c>
      <c r="V103" t="s">
        <v>251</v>
      </c>
      <c r="X103">
        <v>1.1415525114155251E-4</v>
      </c>
      <c r="Y103">
        <v>1.4253868019126702E-4</v>
      </c>
      <c r="Z103" t="s">
        <v>1634</v>
      </c>
      <c r="AA103" t="s">
        <v>25</v>
      </c>
      <c r="AC103" t="s">
        <v>22</v>
      </c>
      <c r="AD103" t="s">
        <v>1634</v>
      </c>
      <c r="AE103">
        <v>1.3494191735928231E-4</v>
      </c>
      <c r="AG103" t="s">
        <v>97</v>
      </c>
      <c r="AH103" t="s">
        <v>1634</v>
      </c>
      <c r="AI103">
        <v>0</v>
      </c>
    </row>
    <row r="104" spans="5:35" x14ac:dyDescent="0.45">
      <c r="E104" t="s">
        <v>1307</v>
      </c>
      <c r="G104" t="s">
        <v>155</v>
      </c>
      <c r="I104" t="s">
        <v>249</v>
      </c>
      <c r="J104" t="s">
        <v>1635</v>
      </c>
      <c r="K104">
        <v>1.7669405533530001E-4</v>
      </c>
      <c r="L104" t="s">
        <v>251</v>
      </c>
      <c r="N104" t="s">
        <v>419</v>
      </c>
      <c r="O104" t="s">
        <v>1635</v>
      </c>
      <c r="P104">
        <v>2.7154818675241291E-5</v>
      </c>
      <c r="Q104" t="s">
        <v>251</v>
      </c>
      <c r="S104" t="s">
        <v>420</v>
      </c>
      <c r="T104" t="s">
        <v>1635</v>
      </c>
      <c r="U104">
        <v>3.1949768117597815E-5</v>
      </c>
      <c r="V104" t="s">
        <v>251</v>
      </c>
      <c r="X104">
        <v>1.1415525114155251E-4</v>
      </c>
      <c r="Y104">
        <v>1.4883690094390442E-4</v>
      </c>
      <c r="Z104" t="s">
        <v>1635</v>
      </c>
      <c r="AA104" t="s">
        <v>25</v>
      </c>
      <c r="AC104" t="s">
        <v>22</v>
      </c>
      <c r="AD104" t="s">
        <v>1635</v>
      </c>
      <c r="AE104">
        <v>1.5030556572055836E-4</v>
      </c>
      <c r="AG104" t="s">
        <v>97</v>
      </c>
      <c r="AH104" t="s">
        <v>1635</v>
      </c>
      <c r="AI104">
        <v>0</v>
      </c>
    </row>
    <row r="105" spans="5:35" x14ac:dyDescent="0.45">
      <c r="E105" t="s">
        <v>1308</v>
      </c>
      <c r="G105" t="s">
        <v>155</v>
      </c>
      <c r="I105" t="s">
        <v>249</v>
      </c>
      <c r="J105" t="s">
        <v>1636</v>
      </c>
      <c r="K105">
        <v>1.7915535827119999E-4</v>
      </c>
      <c r="L105" t="s">
        <v>251</v>
      </c>
      <c r="N105" t="s">
        <v>419</v>
      </c>
      <c r="O105" t="s">
        <v>1636</v>
      </c>
      <c r="P105">
        <v>2.4733792157967703E-5</v>
      </c>
      <c r="Q105" t="s">
        <v>251</v>
      </c>
      <c r="S105" t="s">
        <v>420</v>
      </c>
      <c r="T105" t="s">
        <v>1636</v>
      </c>
      <c r="U105">
        <v>2.776458150170168E-5</v>
      </c>
      <c r="V105" t="s">
        <v>251</v>
      </c>
      <c r="X105">
        <v>1.1415525114155251E-4</v>
      </c>
      <c r="Y105">
        <v>1.5049432745775637E-4</v>
      </c>
      <c r="Z105" t="s">
        <v>1636</v>
      </c>
      <c r="AA105" t="s">
        <v>25</v>
      </c>
      <c r="AC105" t="s">
        <v>22</v>
      </c>
      <c r="AD105" t="s">
        <v>1636</v>
      </c>
      <c r="AE105">
        <v>1.5696186610629557E-4</v>
      </c>
      <c r="AG105" t="s">
        <v>97</v>
      </c>
      <c r="AH105" t="s">
        <v>1636</v>
      </c>
      <c r="AI105">
        <v>0</v>
      </c>
    </row>
    <row r="106" spans="5:35" x14ac:dyDescent="0.45">
      <c r="E106" t="s">
        <v>1309</v>
      </c>
      <c r="G106" t="s">
        <v>155</v>
      </c>
      <c r="I106" t="s">
        <v>249</v>
      </c>
      <c r="J106" t="s">
        <v>1637</v>
      </c>
      <c r="K106">
        <v>1.525309687005E-4</v>
      </c>
      <c r="L106" t="s">
        <v>251</v>
      </c>
      <c r="N106" t="s">
        <v>419</v>
      </c>
      <c r="O106" t="s">
        <v>1637</v>
      </c>
      <c r="P106">
        <v>2.1540025443686156E-5</v>
      </c>
      <c r="Q106" t="s">
        <v>251</v>
      </c>
      <c r="S106" t="s">
        <v>420</v>
      </c>
      <c r="T106" t="s">
        <v>1637</v>
      </c>
      <c r="U106">
        <v>2.827506470949283E-5</v>
      </c>
      <c r="V106" t="s">
        <v>251</v>
      </c>
      <c r="X106">
        <v>1.1415525114155251E-4</v>
      </c>
      <c r="Y106">
        <v>1.7237235744060203E-4</v>
      </c>
      <c r="Z106" t="s">
        <v>1637</v>
      </c>
      <c r="AA106" t="s">
        <v>25</v>
      </c>
      <c r="AC106" t="s">
        <v>22</v>
      </c>
      <c r="AD106" t="s">
        <v>1637</v>
      </c>
      <c r="AE106">
        <v>1.4608101595670465E-4</v>
      </c>
      <c r="AG106" t="s">
        <v>97</v>
      </c>
      <c r="AH106" t="s">
        <v>1637</v>
      </c>
      <c r="AI106">
        <v>0</v>
      </c>
    </row>
    <row r="107" spans="5:35" x14ac:dyDescent="0.45">
      <c r="E107" t="s">
        <v>1310</v>
      </c>
      <c r="G107" t="s">
        <v>155</v>
      </c>
      <c r="I107" t="s">
        <v>249</v>
      </c>
      <c r="J107" t="s">
        <v>1638</v>
      </c>
      <c r="K107">
        <v>1.088547267517E-4</v>
      </c>
      <c r="L107" t="s">
        <v>251</v>
      </c>
      <c r="N107" t="s">
        <v>419</v>
      </c>
      <c r="O107" t="s">
        <v>1638</v>
      </c>
      <c r="P107">
        <v>2.5940317751389679E-5</v>
      </c>
      <c r="Q107" t="s">
        <v>251</v>
      </c>
      <c r="S107" t="s">
        <v>420</v>
      </c>
      <c r="T107" t="s">
        <v>1638</v>
      </c>
      <c r="U107">
        <v>3.428826292687116E-5</v>
      </c>
      <c r="V107" t="s">
        <v>251</v>
      </c>
      <c r="X107">
        <v>1.1415525114155251E-4</v>
      </c>
      <c r="Y107">
        <v>2.2209515285616027E-4</v>
      </c>
      <c r="Z107" t="s">
        <v>1638</v>
      </c>
      <c r="AA107" t="s">
        <v>25</v>
      </c>
      <c r="AC107" t="s">
        <v>22</v>
      </c>
      <c r="AD107" t="s">
        <v>1638</v>
      </c>
      <c r="AE107">
        <v>1.4240791200035874E-4</v>
      </c>
      <c r="AG107" t="s">
        <v>97</v>
      </c>
      <c r="AH107" t="s">
        <v>1638</v>
      </c>
      <c r="AI107">
        <v>0</v>
      </c>
    </row>
    <row r="108" spans="5:35" x14ac:dyDescent="0.45">
      <c r="E108" t="s">
        <v>1311</v>
      </c>
      <c r="G108" t="s">
        <v>155</v>
      </c>
      <c r="I108" t="s">
        <v>249</v>
      </c>
      <c r="J108" t="s">
        <v>1639</v>
      </c>
      <c r="K108">
        <v>5.4399281255169774E-5</v>
      </c>
      <c r="L108" t="s">
        <v>251</v>
      </c>
      <c r="N108" t="s">
        <v>419</v>
      </c>
      <c r="O108" t="s">
        <v>1639</v>
      </c>
      <c r="P108">
        <v>4.256771337559008E-5</v>
      </c>
      <c r="Q108" t="s">
        <v>251</v>
      </c>
      <c r="S108" t="s">
        <v>420</v>
      </c>
      <c r="T108" t="s">
        <v>1639</v>
      </c>
      <c r="U108">
        <v>3.8783063101046901E-5</v>
      </c>
      <c r="V108" t="s">
        <v>251</v>
      </c>
      <c r="X108">
        <v>1.1415525114155251E-4</v>
      </c>
      <c r="Y108">
        <v>2.2209515285616027E-4</v>
      </c>
      <c r="Z108" t="s">
        <v>1639</v>
      </c>
      <c r="AA108" t="s">
        <v>25</v>
      </c>
      <c r="AC108" t="s">
        <v>22</v>
      </c>
      <c r="AD108" t="s">
        <v>1639</v>
      </c>
      <c r="AE108">
        <v>1.4561760939277576E-4</v>
      </c>
      <c r="AG108" t="s">
        <v>97</v>
      </c>
      <c r="AH108" t="s">
        <v>1639</v>
      </c>
      <c r="AI108">
        <v>0</v>
      </c>
    </row>
    <row r="109" spans="5:35" x14ac:dyDescent="0.45">
      <c r="E109" t="s">
        <v>1312</v>
      </c>
      <c r="G109" t="s">
        <v>155</v>
      </c>
      <c r="I109" t="s">
        <v>249</v>
      </c>
      <c r="J109" t="s">
        <v>1640</v>
      </c>
      <c r="K109">
        <v>2.3352567412892165E-7</v>
      </c>
      <c r="L109" t="s">
        <v>251</v>
      </c>
      <c r="N109" t="s">
        <v>419</v>
      </c>
      <c r="O109" t="s">
        <v>1640</v>
      </c>
      <c r="P109">
        <v>6.0558673183591931E-5</v>
      </c>
      <c r="Q109" t="s">
        <v>251</v>
      </c>
      <c r="S109" t="s">
        <v>420</v>
      </c>
      <c r="T109" t="s">
        <v>1640</v>
      </c>
      <c r="U109">
        <v>4.7164028668369759E-5</v>
      </c>
      <c r="V109" t="s">
        <v>251</v>
      </c>
      <c r="X109">
        <v>1.1415525114155251E-4</v>
      </c>
      <c r="Y109">
        <v>1.7237235744060203E-4</v>
      </c>
      <c r="Z109" t="s">
        <v>1640</v>
      </c>
      <c r="AA109" t="s">
        <v>25</v>
      </c>
      <c r="AC109" t="s">
        <v>22</v>
      </c>
      <c r="AD109" t="s">
        <v>1640</v>
      </c>
      <c r="AE109">
        <v>1.4670396030142194E-4</v>
      </c>
      <c r="AG109" t="s">
        <v>97</v>
      </c>
      <c r="AH109" t="s">
        <v>1640</v>
      </c>
      <c r="AI109">
        <v>0</v>
      </c>
    </row>
    <row r="110" spans="5:35" x14ac:dyDescent="0.45">
      <c r="E110" t="s">
        <v>1313</v>
      </c>
      <c r="G110" t="s">
        <v>155</v>
      </c>
      <c r="I110" t="s">
        <v>249</v>
      </c>
      <c r="J110" t="s">
        <v>1641</v>
      </c>
      <c r="K110">
        <v>0</v>
      </c>
      <c r="L110" t="s">
        <v>251</v>
      </c>
      <c r="N110" t="s">
        <v>419</v>
      </c>
      <c r="O110" t="s">
        <v>1641</v>
      </c>
      <c r="P110">
        <v>7.27632307860281E-5</v>
      </c>
      <c r="Q110" t="s">
        <v>251</v>
      </c>
      <c r="S110" t="s">
        <v>420</v>
      </c>
      <c r="T110" t="s">
        <v>1641</v>
      </c>
      <c r="U110">
        <v>5.5565377557316345E-5</v>
      </c>
      <c r="V110" t="s">
        <v>251</v>
      </c>
      <c r="X110">
        <v>1.1415525114155251E-4</v>
      </c>
      <c r="Y110">
        <v>1.5579809230208258E-4</v>
      </c>
      <c r="Z110" t="s">
        <v>1641</v>
      </c>
      <c r="AA110" t="s">
        <v>25</v>
      </c>
      <c r="AC110" t="s">
        <v>22</v>
      </c>
      <c r="AD110" t="s">
        <v>1641</v>
      </c>
      <c r="AE110">
        <v>1.4697074588802464E-4</v>
      </c>
      <c r="AG110" t="s">
        <v>97</v>
      </c>
      <c r="AH110" t="s">
        <v>1641</v>
      </c>
      <c r="AI110">
        <v>0</v>
      </c>
    </row>
    <row r="111" spans="5:35" x14ac:dyDescent="0.45">
      <c r="E111" t="s">
        <v>1314</v>
      </c>
      <c r="G111" t="s">
        <v>155</v>
      </c>
      <c r="I111" t="s">
        <v>249</v>
      </c>
      <c r="J111" t="s">
        <v>1642</v>
      </c>
      <c r="K111">
        <v>0</v>
      </c>
      <c r="L111" t="s">
        <v>251</v>
      </c>
      <c r="N111" t="s">
        <v>419</v>
      </c>
      <c r="O111" t="s">
        <v>1642</v>
      </c>
      <c r="P111">
        <v>7.9668085151246565E-5</v>
      </c>
      <c r="Q111" t="s">
        <v>251</v>
      </c>
      <c r="S111" t="s">
        <v>420</v>
      </c>
      <c r="T111" t="s">
        <v>1642</v>
      </c>
      <c r="U111">
        <v>7.1480276365112422E-5</v>
      </c>
      <c r="V111" t="s">
        <v>251</v>
      </c>
      <c r="X111">
        <v>1.1415525114155251E-4</v>
      </c>
      <c r="Y111">
        <v>1.093901499142282E-4</v>
      </c>
      <c r="Z111" t="s">
        <v>1642</v>
      </c>
      <c r="AA111" t="s">
        <v>25</v>
      </c>
      <c r="AC111" t="s">
        <v>22</v>
      </c>
      <c r="AD111" t="s">
        <v>1642</v>
      </c>
      <c r="AE111">
        <v>1.4705238227752507E-4</v>
      </c>
      <c r="AG111" t="s">
        <v>97</v>
      </c>
      <c r="AH111" t="s">
        <v>1642</v>
      </c>
      <c r="AI111">
        <v>0</v>
      </c>
    </row>
    <row r="112" spans="5:35" x14ac:dyDescent="0.45">
      <c r="E112" t="s">
        <v>1315</v>
      </c>
      <c r="G112" t="s">
        <v>155</v>
      </c>
      <c r="I112" t="s">
        <v>249</v>
      </c>
      <c r="J112" t="s">
        <v>1643</v>
      </c>
      <c r="K112">
        <v>0</v>
      </c>
      <c r="L112" t="s">
        <v>251</v>
      </c>
      <c r="N112" t="s">
        <v>419</v>
      </c>
      <c r="O112" t="s">
        <v>1643</v>
      </c>
      <c r="P112">
        <v>8.4684814666498978E-5</v>
      </c>
      <c r="Q112" t="s">
        <v>251</v>
      </c>
      <c r="S112" t="s">
        <v>420</v>
      </c>
      <c r="T112" t="s">
        <v>1643</v>
      </c>
      <c r="U112">
        <v>8.5981104323779693E-5</v>
      </c>
      <c r="V112" t="s">
        <v>251</v>
      </c>
      <c r="X112">
        <v>1.1415525114155251E-4</v>
      </c>
      <c r="Y112">
        <v>7.9556472664893237E-5</v>
      </c>
      <c r="Z112" t="s">
        <v>1643</v>
      </c>
      <c r="AA112" t="s">
        <v>25</v>
      </c>
      <c r="AC112" t="s">
        <v>22</v>
      </c>
      <c r="AD112" t="s">
        <v>1643</v>
      </c>
      <c r="AE112">
        <v>1.4801334396046797E-4</v>
      </c>
      <c r="AG112" t="s">
        <v>97</v>
      </c>
      <c r="AH112" t="s">
        <v>1643</v>
      </c>
      <c r="AI112">
        <v>0</v>
      </c>
    </row>
    <row r="113" spans="5:35" x14ac:dyDescent="0.45">
      <c r="E113" t="s">
        <v>1316</v>
      </c>
      <c r="G113" t="s">
        <v>155</v>
      </c>
      <c r="I113" t="s">
        <v>249</v>
      </c>
      <c r="J113" t="s">
        <v>1644</v>
      </c>
      <c r="K113">
        <v>0</v>
      </c>
      <c r="L113" t="s">
        <v>251</v>
      </c>
      <c r="N113" t="s">
        <v>419</v>
      </c>
      <c r="O113" t="s">
        <v>1644</v>
      </c>
      <c r="P113">
        <v>9.1496916291629275E-5</v>
      </c>
      <c r="Q113" t="s">
        <v>251</v>
      </c>
      <c r="S113" t="s">
        <v>420</v>
      </c>
      <c r="T113" t="s">
        <v>1644</v>
      </c>
      <c r="U113">
        <v>9.8518858489093515E-5</v>
      </c>
      <c r="V113" t="s">
        <v>251</v>
      </c>
      <c r="X113">
        <v>1.1415525114155251E-4</v>
      </c>
      <c r="Y113">
        <v>5.6352501470966035E-5</v>
      </c>
      <c r="Z113" t="s">
        <v>1644</v>
      </c>
      <c r="AA113" t="s">
        <v>25</v>
      </c>
      <c r="AC113" t="s">
        <v>22</v>
      </c>
      <c r="AD113" t="s">
        <v>1644</v>
      </c>
      <c r="AE113">
        <v>1.5338827317375249E-4</v>
      </c>
      <c r="AG113" t="s">
        <v>97</v>
      </c>
      <c r="AH113" t="s">
        <v>1644</v>
      </c>
      <c r="AI113">
        <v>0</v>
      </c>
    </row>
    <row r="114" spans="5:35" x14ac:dyDescent="0.45">
      <c r="E114" t="s">
        <v>1317</v>
      </c>
      <c r="G114" t="s">
        <v>155</v>
      </c>
      <c r="I114" t="s">
        <v>249</v>
      </c>
      <c r="J114" t="s">
        <v>1645</v>
      </c>
      <c r="K114">
        <v>0</v>
      </c>
      <c r="L114" t="s">
        <v>251</v>
      </c>
      <c r="N114" t="s">
        <v>419</v>
      </c>
      <c r="O114" t="s">
        <v>1645</v>
      </c>
      <c r="P114">
        <v>9.5829698994482555E-5</v>
      </c>
      <c r="Q114" t="s">
        <v>251</v>
      </c>
      <c r="S114" t="s">
        <v>420</v>
      </c>
      <c r="T114" t="s">
        <v>1645</v>
      </c>
      <c r="U114">
        <v>1.083101443614E-4</v>
      </c>
      <c r="V114" t="s">
        <v>251</v>
      </c>
      <c r="X114">
        <v>1.1415525114155251E-4</v>
      </c>
      <c r="Y114">
        <v>2.9833677249334962E-5</v>
      </c>
      <c r="Z114" t="s">
        <v>1645</v>
      </c>
      <c r="AA114" t="s">
        <v>25</v>
      </c>
      <c r="AC114" t="s">
        <v>22</v>
      </c>
      <c r="AD114" t="s">
        <v>1645</v>
      </c>
      <c r="AE114">
        <v>1.5797191633717337E-4</v>
      </c>
      <c r="AG114" t="s">
        <v>97</v>
      </c>
      <c r="AH114" t="s">
        <v>1645</v>
      </c>
      <c r="AI114">
        <v>0</v>
      </c>
    </row>
    <row r="115" spans="5:35" x14ac:dyDescent="0.45">
      <c r="E115" t="s">
        <v>1318</v>
      </c>
      <c r="G115" t="s">
        <v>155</v>
      </c>
      <c r="I115" t="s">
        <v>249</v>
      </c>
      <c r="J115" t="s">
        <v>1646</v>
      </c>
      <c r="K115">
        <v>0</v>
      </c>
      <c r="L115" t="s">
        <v>251</v>
      </c>
      <c r="N115" t="s">
        <v>419</v>
      </c>
      <c r="O115" t="s">
        <v>1646</v>
      </c>
      <c r="P115">
        <v>1.002995861188E-4</v>
      </c>
      <c r="Q115" t="s">
        <v>251</v>
      </c>
      <c r="S115" t="s">
        <v>420</v>
      </c>
      <c r="T115" t="s">
        <v>1646</v>
      </c>
      <c r="U115">
        <v>1.195229386335E-4</v>
      </c>
      <c r="V115" t="s">
        <v>251</v>
      </c>
      <c r="X115">
        <v>1.1415525114155251E-4</v>
      </c>
      <c r="Y115">
        <v>2.1546544680075254E-5</v>
      </c>
      <c r="Z115" t="s">
        <v>1646</v>
      </c>
      <c r="AA115" t="s">
        <v>25</v>
      </c>
      <c r="AC115" t="s">
        <v>22</v>
      </c>
      <c r="AD115" t="s">
        <v>1646</v>
      </c>
      <c r="AE115">
        <v>1.5837476257294348E-4</v>
      </c>
      <c r="AG115" t="s">
        <v>97</v>
      </c>
      <c r="AH115" t="s">
        <v>1646</v>
      </c>
      <c r="AI115">
        <v>0</v>
      </c>
    </row>
    <row r="116" spans="5:35" x14ac:dyDescent="0.45">
      <c r="E116" t="s">
        <v>1319</v>
      </c>
      <c r="G116" t="s">
        <v>155</v>
      </c>
      <c r="I116" t="s">
        <v>249</v>
      </c>
      <c r="J116" t="s">
        <v>1647</v>
      </c>
      <c r="K116">
        <v>0</v>
      </c>
      <c r="L116" t="s">
        <v>251</v>
      </c>
      <c r="N116" t="s">
        <v>419</v>
      </c>
      <c r="O116" t="s">
        <v>1647</v>
      </c>
      <c r="P116">
        <v>1.012025836572E-4</v>
      </c>
      <c r="Q116" t="s">
        <v>251</v>
      </c>
      <c r="S116" t="s">
        <v>420</v>
      </c>
      <c r="T116" t="s">
        <v>1647</v>
      </c>
      <c r="U116">
        <v>1.2574912796609999E-4</v>
      </c>
      <c r="V116" t="s">
        <v>251</v>
      </c>
      <c r="X116">
        <v>1.1415525114155251E-4</v>
      </c>
      <c r="Y116">
        <v>1.4916838624667481E-5</v>
      </c>
      <c r="Z116" t="s">
        <v>1647</v>
      </c>
      <c r="AA116" t="s">
        <v>25</v>
      </c>
      <c r="AC116" t="s">
        <v>22</v>
      </c>
      <c r="AD116" t="s">
        <v>1647</v>
      </c>
      <c r="AE116">
        <v>1.5692985183590326E-4</v>
      </c>
      <c r="AG116" t="s">
        <v>97</v>
      </c>
      <c r="AH116" t="s">
        <v>1647</v>
      </c>
      <c r="AI116">
        <v>0</v>
      </c>
    </row>
    <row r="117" spans="5:35" x14ac:dyDescent="0.45">
      <c r="E117" t="s">
        <v>1320</v>
      </c>
      <c r="G117" t="s">
        <v>155</v>
      </c>
      <c r="I117" t="s">
        <v>249</v>
      </c>
      <c r="J117" t="s">
        <v>1648</v>
      </c>
      <c r="K117">
        <v>0</v>
      </c>
      <c r="L117" t="s">
        <v>251</v>
      </c>
      <c r="N117" t="s">
        <v>419</v>
      </c>
      <c r="O117" t="s">
        <v>1648</v>
      </c>
      <c r="P117">
        <v>1.043337415626E-4</v>
      </c>
      <c r="Q117" t="s">
        <v>251</v>
      </c>
      <c r="S117" t="s">
        <v>420</v>
      </c>
      <c r="T117" t="s">
        <v>1648</v>
      </c>
      <c r="U117">
        <v>1.2474067777569999E-4</v>
      </c>
      <c r="V117" t="s">
        <v>251</v>
      </c>
      <c r="X117">
        <v>1.1415525114155251E-4</v>
      </c>
      <c r="Y117">
        <v>1.6574265138519424E-5</v>
      </c>
      <c r="Z117" t="s">
        <v>1648</v>
      </c>
      <c r="AA117" t="s">
        <v>25</v>
      </c>
      <c r="AC117" t="s">
        <v>22</v>
      </c>
      <c r="AD117" t="s">
        <v>1648</v>
      </c>
      <c r="AE117">
        <v>1.4947586254622397E-4</v>
      </c>
      <c r="AG117" t="s">
        <v>97</v>
      </c>
      <c r="AH117" t="s">
        <v>1648</v>
      </c>
      <c r="AI117">
        <v>0</v>
      </c>
    </row>
    <row r="118" spans="5:35" x14ac:dyDescent="0.45">
      <c r="E118" t="s">
        <v>1321</v>
      </c>
      <c r="G118" t="s">
        <v>155</v>
      </c>
      <c r="I118" t="s">
        <v>249</v>
      </c>
      <c r="J118" t="s">
        <v>1649</v>
      </c>
      <c r="K118">
        <v>0</v>
      </c>
      <c r="L118" t="s">
        <v>251</v>
      </c>
      <c r="N118" t="s">
        <v>419</v>
      </c>
      <c r="O118" t="s">
        <v>1649</v>
      </c>
      <c r="P118">
        <v>1.0797296924209999E-4</v>
      </c>
      <c r="Q118" t="s">
        <v>251</v>
      </c>
      <c r="S118" t="s">
        <v>420</v>
      </c>
      <c r="T118" t="s">
        <v>1649</v>
      </c>
      <c r="U118">
        <v>1.142919808369E-4</v>
      </c>
      <c r="V118" t="s">
        <v>251</v>
      </c>
      <c r="X118">
        <v>1.1415525114155251E-4</v>
      </c>
      <c r="Y118">
        <v>1.4585353321897093E-5</v>
      </c>
      <c r="Z118" t="s">
        <v>1649</v>
      </c>
      <c r="AA118" t="s">
        <v>25</v>
      </c>
      <c r="AC118" t="s">
        <v>22</v>
      </c>
      <c r="AD118" t="s">
        <v>1649</v>
      </c>
      <c r="AE118">
        <v>1.431458409329018E-4</v>
      </c>
      <c r="AG118" t="s">
        <v>97</v>
      </c>
      <c r="AH118" t="s">
        <v>1649</v>
      </c>
      <c r="AI118">
        <v>0</v>
      </c>
    </row>
    <row r="119" spans="5:35" x14ac:dyDescent="0.45">
      <c r="E119" t="s">
        <v>1322</v>
      </c>
      <c r="G119" t="s">
        <v>155</v>
      </c>
      <c r="I119" t="s">
        <v>249</v>
      </c>
      <c r="J119" t="s">
        <v>1650</v>
      </c>
      <c r="K119">
        <v>0</v>
      </c>
      <c r="L119" t="s">
        <v>251</v>
      </c>
      <c r="N119" t="s">
        <v>419</v>
      </c>
      <c r="O119" t="s">
        <v>1650</v>
      </c>
      <c r="P119">
        <v>1.073355236263E-4</v>
      </c>
      <c r="Q119" t="s">
        <v>251</v>
      </c>
      <c r="S119" t="s">
        <v>420</v>
      </c>
      <c r="T119" t="s">
        <v>1650</v>
      </c>
      <c r="U119">
        <v>1.077509694318E-4</v>
      </c>
      <c r="V119" t="s">
        <v>251</v>
      </c>
      <c r="X119">
        <v>1.1415525114155251E-4</v>
      </c>
      <c r="Y119">
        <v>2.1215059377304864E-5</v>
      </c>
      <c r="Z119" t="s">
        <v>1650</v>
      </c>
      <c r="AA119" t="s">
        <v>25</v>
      </c>
      <c r="AC119" t="s">
        <v>22</v>
      </c>
      <c r="AD119" t="s">
        <v>1650</v>
      </c>
      <c r="AE119">
        <v>1.317303524677591E-4</v>
      </c>
      <c r="AG119" t="s">
        <v>97</v>
      </c>
      <c r="AH119" t="s">
        <v>1650</v>
      </c>
      <c r="AI119">
        <v>0</v>
      </c>
    </row>
    <row r="120" spans="5:35" x14ac:dyDescent="0.45">
      <c r="E120" t="s">
        <v>1323</v>
      </c>
      <c r="G120" t="s">
        <v>155</v>
      </c>
      <c r="I120" t="s">
        <v>249</v>
      </c>
      <c r="J120" t="s">
        <v>1651</v>
      </c>
      <c r="K120">
        <v>0</v>
      </c>
      <c r="L120" t="s">
        <v>251</v>
      </c>
      <c r="N120" t="s">
        <v>419</v>
      </c>
      <c r="O120" t="s">
        <v>1651</v>
      </c>
      <c r="P120">
        <v>1.077228671832E-4</v>
      </c>
      <c r="Q120" t="s">
        <v>251</v>
      </c>
      <c r="S120" t="s">
        <v>420</v>
      </c>
      <c r="T120" t="s">
        <v>1651</v>
      </c>
      <c r="U120">
        <v>9.0053221809390977E-5</v>
      </c>
      <c r="V120" t="s">
        <v>251</v>
      </c>
      <c r="X120">
        <v>1.1415525114155251E-4</v>
      </c>
      <c r="Y120">
        <v>5.7678442682047593E-5</v>
      </c>
      <c r="Z120" t="s">
        <v>1651</v>
      </c>
      <c r="AA120" t="s">
        <v>25</v>
      </c>
      <c r="AC120" t="s">
        <v>22</v>
      </c>
      <c r="AD120" t="s">
        <v>1651</v>
      </c>
      <c r="AE120">
        <v>1.2532269624873554E-4</v>
      </c>
      <c r="AG120" t="s">
        <v>97</v>
      </c>
      <c r="AH120" t="s">
        <v>1651</v>
      </c>
      <c r="AI120">
        <v>0</v>
      </c>
    </row>
    <row r="121" spans="5:35" x14ac:dyDescent="0.45">
      <c r="E121" t="s">
        <v>1324</v>
      </c>
      <c r="G121" t="s">
        <v>155</v>
      </c>
      <c r="I121" t="s">
        <v>249</v>
      </c>
      <c r="J121" t="s">
        <v>1652</v>
      </c>
      <c r="K121">
        <v>0</v>
      </c>
      <c r="L121" t="s">
        <v>251</v>
      </c>
      <c r="N121" t="s">
        <v>419</v>
      </c>
      <c r="O121" t="s">
        <v>1652</v>
      </c>
      <c r="P121">
        <v>1.0925526177940001E-4</v>
      </c>
      <c r="Q121" t="s">
        <v>251</v>
      </c>
      <c r="S121" t="s">
        <v>420</v>
      </c>
      <c r="T121" t="s">
        <v>1652</v>
      </c>
      <c r="U121">
        <v>7.3028544731963997E-5</v>
      </c>
      <c r="V121" t="s">
        <v>251</v>
      </c>
      <c r="X121">
        <v>1.1415525114155251E-4</v>
      </c>
      <c r="Y121">
        <v>1.6905750441289813E-4</v>
      </c>
      <c r="Z121" t="s">
        <v>1652</v>
      </c>
      <c r="AA121" t="s">
        <v>25</v>
      </c>
      <c r="AC121" t="s">
        <v>22</v>
      </c>
      <c r="AD121" t="s">
        <v>1652</v>
      </c>
      <c r="AE121">
        <v>1.0696998217516291E-4</v>
      </c>
      <c r="AG121" t="s">
        <v>97</v>
      </c>
      <c r="AH121" t="s">
        <v>1652</v>
      </c>
      <c r="AI121">
        <v>0</v>
      </c>
    </row>
    <row r="122" spans="5:35" x14ac:dyDescent="0.45">
      <c r="E122" t="s">
        <v>1325</v>
      </c>
      <c r="G122" t="s">
        <v>155</v>
      </c>
      <c r="I122" t="s">
        <v>249</v>
      </c>
      <c r="J122" t="s">
        <v>1653</v>
      </c>
      <c r="K122">
        <v>1.212390143189913E-7</v>
      </c>
      <c r="L122" t="s">
        <v>251</v>
      </c>
      <c r="N122" t="s">
        <v>419</v>
      </c>
      <c r="O122" t="s">
        <v>1653</v>
      </c>
      <c r="P122">
        <v>1.1239768462110001E-4</v>
      </c>
      <c r="Q122" t="s">
        <v>251</v>
      </c>
      <c r="S122" t="s">
        <v>420</v>
      </c>
      <c r="T122" t="s">
        <v>1653</v>
      </c>
      <c r="U122">
        <v>5.8690204942453526E-5</v>
      </c>
      <c r="V122" t="s">
        <v>251</v>
      </c>
      <c r="X122">
        <v>1.1415525114155251E-4</v>
      </c>
      <c r="Y122">
        <v>1.9060404909297337E-4</v>
      </c>
      <c r="Z122" t="s">
        <v>1653</v>
      </c>
      <c r="AA122" t="s">
        <v>25</v>
      </c>
      <c r="AC122" t="s">
        <v>22</v>
      </c>
      <c r="AD122" t="s">
        <v>1653</v>
      </c>
      <c r="AE122">
        <v>1.0205579166994126E-4</v>
      </c>
      <c r="AG122" t="s">
        <v>97</v>
      </c>
      <c r="AH122" t="s">
        <v>1653</v>
      </c>
      <c r="AI122">
        <v>0</v>
      </c>
    </row>
    <row r="123" spans="5:35" x14ac:dyDescent="0.45">
      <c r="E123" t="s">
        <v>1326</v>
      </c>
      <c r="G123" t="s">
        <v>155</v>
      </c>
      <c r="I123" t="s">
        <v>249</v>
      </c>
      <c r="J123" t="s">
        <v>1654</v>
      </c>
      <c r="K123">
        <v>2.2128472104414307E-5</v>
      </c>
      <c r="L123" t="s">
        <v>251</v>
      </c>
      <c r="N123" t="s">
        <v>419</v>
      </c>
      <c r="O123" t="s">
        <v>1654</v>
      </c>
      <c r="P123">
        <v>1.112658062884E-4</v>
      </c>
      <c r="Q123" t="s">
        <v>251</v>
      </c>
      <c r="S123" t="s">
        <v>420</v>
      </c>
      <c r="T123" t="s">
        <v>1654</v>
      </c>
      <c r="U123">
        <v>4.7909048970600434E-5</v>
      </c>
      <c r="V123" t="s">
        <v>251</v>
      </c>
      <c r="X123">
        <v>1.1415525114155251E-4</v>
      </c>
      <c r="Y123">
        <v>1.4585353321897094E-4</v>
      </c>
      <c r="Z123" t="s">
        <v>1654</v>
      </c>
      <c r="AA123" t="s">
        <v>25</v>
      </c>
      <c r="AC123" t="s">
        <v>22</v>
      </c>
      <c r="AD123" t="s">
        <v>1654</v>
      </c>
      <c r="AE123">
        <v>1.0046094743323035E-4</v>
      </c>
      <c r="AG123" t="s">
        <v>97</v>
      </c>
      <c r="AH123" t="s">
        <v>1654</v>
      </c>
      <c r="AI123">
        <v>0</v>
      </c>
    </row>
    <row r="124" spans="5:35" x14ac:dyDescent="0.45">
      <c r="E124" t="s">
        <v>1327</v>
      </c>
      <c r="G124" t="s">
        <v>155</v>
      </c>
      <c r="I124" t="s">
        <v>249</v>
      </c>
      <c r="J124" t="s">
        <v>1655</v>
      </c>
      <c r="K124">
        <v>5.4448150898249738E-5</v>
      </c>
      <c r="L124" t="s">
        <v>251</v>
      </c>
      <c r="N124" t="s">
        <v>419</v>
      </c>
      <c r="O124" t="s">
        <v>1655</v>
      </c>
      <c r="P124">
        <v>8.9948913781227836E-5</v>
      </c>
      <c r="Q124" t="s">
        <v>251</v>
      </c>
      <c r="S124" t="s">
        <v>420</v>
      </c>
      <c r="T124" t="s">
        <v>1655</v>
      </c>
      <c r="U124">
        <v>3.9586391126175342E-5</v>
      </c>
      <c r="V124" t="s">
        <v>251</v>
      </c>
      <c r="X124">
        <v>1.1415525114155251E-4</v>
      </c>
      <c r="Y124">
        <v>1.4452759200788939E-4</v>
      </c>
      <c r="Z124" t="s">
        <v>1655</v>
      </c>
      <c r="AA124" t="s">
        <v>25</v>
      </c>
      <c r="AC124" t="s">
        <v>22</v>
      </c>
      <c r="AD124" t="s">
        <v>1655</v>
      </c>
      <c r="AE124">
        <v>9.9654454604930392E-5</v>
      </c>
      <c r="AG124" t="s">
        <v>97</v>
      </c>
      <c r="AH124" t="s">
        <v>1655</v>
      </c>
      <c r="AI124">
        <v>0</v>
      </c>
    </row>
    <row r="125" spans="5:35" x14ac:dyDescent="0.45">
      <c r="E125" t="s">
        <v>1328</v>
      </c>
      <c r="G125" t="s">
        <v>155</v>
      </c>
      <c r="I125" t="s">
        <v>249</v>
      </c>
      <c r="J125" t="s">
        <v>1656</v>
      </c>
      <c r="K125">
        <v>8.1424936122037619E-5</v>
      </c>
      <c r="L125" t="s">
        <v>251</v>
      </c>
      <c r="N125" t="s">
        <v>419</v>
      </c>
      <c r="O125" t="s">
        <v>1656</v>
      </c>
      <c r="P125">
        <v>7.6727591875486108E-5</v>
      </c>
      <c r="Q125" t="s">
        <v>251</v>
      </c>
      <c r="S125" t="s">
        <v>420</v>
      </c>
      <c r="T125" t="s">
        <v>1656</v>
      </c>
      <c r="U125">
        <v>2.9878873749176351E-5</v>
      </c>
      <c r="V125" t="s">
        <v>251</v>
      </c>
      <c r="X125">
        <v>1.1415525114155251E-4</v>
      </c>
      <c r="Y125">
        <v>1.408812536774151E-4</v>
      </c>
      <c r="Z125" t="s">
        <v>1656</v>
      </c>
      <c r="AA125" t="s">
        <v>25</v>
      </c>
      <c r="AC125" t="s">
        <v>22</v>
      </c>
      <c r="AD125" t="s">
        <v>1656</v>
      </c>
      <c r="AE125">
        <v>1.0108602606264048E-4</v>
      </c>
      <c r="AG125" t="s">
        <v>97</v>
      </c>
      <c r="AH125" t="s">
        <v>1656</v>
      </c>
      <c r="AI125">
        <v>0</v>
      </c>
    </row>
    <row r="126" spans="5:35" x14ac:dyDescent="0.45">
      <c r="E126" t="s">
        <v>1329</v>
      </c>
      <c r="G126" t="s">
        <v>155</v>
      </c>
      <c r="I126" t="s">
        <v>249</v>
      </c>
      <c r="J126" t="s">
        <v>1657</v>
      </c>
      <c r="K126">
        <v>1.09556578638E-4</v>
      </c>
      <c r="L126" t="s">
        <v>251</v>
      </c>
      <c r="N126" t="s">
        <v>419</v>
      </c>
      <c r="O126" t="s">
        <v>1657</v>
      </c>
      <c r="P126">
        <v>7.4337026579411269E-5</v>
      </c>
      <c r="Q126" t="s">
        <v>251</v>
      </c>
      <c r="S126" t="s">
        <v>420</v>
      </c>
      <c r="T126" t="s">
        <v>1657</v>
      </c>
      <c r="U126">
        <v>2.1849780841560637E-5</v>
      </c>
      <c r="V126" t="s">
        <v>251</v>
      </c>
      <c r="X126">
        <v>1.1415525114155251E-4</v>
      </c>
      <c r="Y126">
        <v>1.4054976837464471E-4</v>
      </c>
      <c r="Z126" t="s">
        <v>1657</v>
      </c>
      <c r="AA126" t="s">
        <v>25</v>
      </c>
      <c r="AC126" t="s">
        <v>22</v>
      </c>
      <c r="AD126" t="s">
        <v>1657</v>
      </c>
      <c r="AE126">
        <v>1.0448940979093106E-4</v>
      </c>
      <c r="AG126" t="s">
        <v>97</v>
      </c>
      <c r="AH126" t="s">
        <v>1657</v>
      </c>
      <c r="AI126">
        <v>0</v>
      </c>
    </row>
    <row r="127" spans="5:35" x14ac:dyDescent="0.45">
      <c r="E127" t="s">
        <v>1330</v>
      </c>
      <c r="G127" t="s">
        <v>155</v>
      </c>
      <c r="I127" t="s">
        <v>249</v>
      </c>
      <c r="J127" t="s">
        <v>1658</v>
      </c>
      <c r="K127">
        <v>1.2280904332270001E-4</v>
      </c>
      <c r="L127" t="s">
        <v>251</v>
      </c>
      <c r="N127" t="s">
        <v>419</v>
      </c>
      <c r="O127" t="s">
        <v>1658</v>
      </c>
      <c r="P127">
        <v>7.3436070694530409E-5</v>
      </c>
      <c r="Q127" t="s">
        <v>251</v>
      </c>
      <c r="S127" t="s">
        <v>420</v>
      </c>
      <c r="T127" t="s">
        <v>1658</v>
      </c>
      <c r="U127">
        <v>1.9299690715999963E-5</v>
      </c>
      <c r="V127" t="s">
        <v>251</v>
      </c>
      <c r="X127">
        <v>1.1415525114155251E-4</v>
      </c>
      <c r="Y127">
        <v>1.4253868019126702E-4</v>
      </c>
      <c r="Z127" t="s">
        <v>1658</v>
      </c>
      <c r="AA127" t="s">
        <v>25</v>
      </c>
      <c r="AC127" t="s">
        <v>22</v>
      </c>
      <c r="AD127" t="s">
        <v>1658</v>
      </c>
      <c r="AE127">
        <v>1.0925660143793461E-4</v>
      </c>
      <c r="AG127" t="s">
        <v>97</v>
      </c>
      <c r="AH127" t="s">
        <v>1658</v>
      </c>
      <c r="AI127">
        <v>0</v>
      </c>
    </row>
    <row r="128" spans="5:35" x14ac:dyDescent="0.45">
      <c r="E128" t="s">
        <v>1331</v>
      </c>
      <c r="G128" t="s">
        <v>155</v>
      </c>
      <c r="I128" t="s">
        <v>249</v>
      </c>
      <c r="J128" t="s">
        <v>1659</v>
      </c>
      <c r="K128">
        <v>1.190913008649E-4</v>
      </c>
      <c r="L128" t="s">
        <v>251</v>
      </c>
      <c r="N128" t="s">
        <v>419</v>
      </c>
      <c r="O128" t="s">
        <v>1659</v>
      </c>
      <c r="P128">
        <v>7.4386986611117974E-5</v>
      </c>
      <c r="Q128" t="s">
        <v>251</v>
      </c>
      <c r="S128" t="s">
        <v>420</v>
      </c>
      <c r="T128" t="s">
        <v>1659</v>
      </c>
      <c r="U128">
        <v>1.844523247306033E-5</v>
      </c>
      <c r="V128" t="s">
        <v>251</v>
      </c>
      <c r="X128">
        <v>1.1415525114155251E-4</v>
      </c>
      <c r="Y128">
        <v>1.4883690094390442E-4</v>
      </c>
      <c r="Z128" t="s">
        <v>1659</v>
      </c>
      <c r="AA128" t="s">
        <v>25</v>
      </c>
      <c r="AC128" t="s">
        <v>22</v>
      </c>
      <c r="AD128" t="s">
        <v>1659</v>
      </c>
      <c r="AE128">
        <v>1.1137141078293419E-4</v>
      </c>
      <c r="AG128" t="s">
        <v>97</v>
      </c>
      <c r="AH128" t="s">
        <v>1659</v>
      </c>
      <c r="AI128">
        <v>0</v>
      </c>
    </row>
    <row r="129" spans="5:35" x14ac:dyDescent="0.45">
      <c r="E129" t="s">
        <v>1332</v>
      </c>
      <c r="G129" t="s">
        <v>155</v>
      </c>
      <c r="I129" t="s">
        <v>249</v>
      </c>
      <c r="J129" t="s">
        <v>1660</v>
      </c>
      <c r="K129">
        <v>1.184750207126E-4</v>
      </c>
      <c r="L129" t="s">
        <v>251</v>
      </c>
      <c r="N129" t="s">
        <v>419</v>
      </c>
      <c r="O129" t="s">
        <v>1660</v>
      </c>
      <c r="P129">
        <v>7.4488885027572369E-5</v>
      </c>
      <c r="Q129" t="s">
        <v>251</v>
      </c>
      <c r="S129" t="s">
        <v>420</v>
      </c>
      <c r="T129" t="s">
        <v>1660</v>
      </c>
      <c r="U129">
        <v>1.9115130056976303E-5</v>
      </c>
      <c r="V129" t="s">
        <v>251</v>
      </c>
      <c r="X129">
        <v>1.1415525114155251E-4</v>
      </c>
      <c r="Y129">
        <v>1.5049432745775637E-4</v>
      </c>
      <c r="Z129" t="s">
        <v>1660</v>
      </c>
      <c r="AA129" t="s">
        <v>25</v>
      </c>
      <c r="AC129" t="s">
        <v>22</v>
      </c>
      <c r="AD129" t="s">
        <v>1660</v>
      </c>
      <c r="AE129">
        <v>1.1578991366824802E-4</v>
      </c>
      <c r="AG129" t="s">
        <v>97</v>
      </c>
      <c r="AH129" t="s">
        <v>1660</v>
      </c>
      <c r="AI129">
        <v>0</v>
      </c>
    </row>
    <row r="130" spans="5:35" x14ac:dyDescent="0.45">
      <c r="E130" t="s">
        <v>1333</v>
      </c>
      <c r="G130" t="s">
        <v>155</v>
      </c>
      <c r="I130" t="s">
        <v>249</v>
      </c>
      <c r="J130" t="s">
        <v>1661</v>
      </c>
      <c r="K130">
        <v>1.063761926233E-4</v>
      </c>
      <c r="L130" t="s">
        <v>251</v>
      </c>
      <c r="N130" t="s">
        <v>419</v>
      </c>
      <c r="O130" t="s">
        <v>1661</v>
      </c>
      <c r="P130">
        <v>6.0793939408582633E-5</v>
      </c>
      <c r="Q130" t="s">
        <v>251</v>
      </c>
      <c r="S130" t="s">
        <v>420</v>
      </c>
      <c r="T130" t="s">
        <v>1661</v>
      </c>
      <c r="U130">
        <v>1.9558969753774558E-5</v>
      </c>
      <c r="V130" t="s">
        <v>251</v>
      </c>
      <c r="X130">
        <v>1.1415525114155251E-4</v>
      </c>
      <c r="Y130">
        <v>1.7237235744060203E-4</v>
      </c>
      <c r="Z130" t="s">
        <v>1661</v>
      </c>
      <c r="AA130" t="s">
        <v>25</v>
      </c>
      <c r="AC130" t="s">
        <v>22</v>
      </c>
      <c r="AD130" t="s">
        <v>1661</v>
      </c>
      <c r="AE130">
        <v>1.189254446675895E-4</v>
      </c>
      <c r="AG130" t="s">
        <v>97</v>
      </c>
      <c r="AH130" t="s">
        <v>1661</v>
      </c>
      <c r="AI130">
        <v>0</v>
      </c>
    </row>
    <row r="131" spans="5:35" x14ac:dyDescent="0.45">
      <c r="E131" t="s">
        <v>1334</v>
      </c>
      <c r="G131" t="s">
        <v>155</v>
      </c>
      <c r="I131" t="s">
        <v>249</v>
      </c>
      <c r="J131" t="s">
        <v>1662</v>
      </c>
      <c r="K131">
        <v>8.8907288457598839E-5</v>
      </c>
      <c r="L131" t="s">
        <v>251</v>
      </c>
      <c r="N131" t="s">
        <v>419</v>
      </c>
      <c r="O131" t="s">
        <v>1662</v>
      </c>
      <c r="P131">
        <v>7.7914443121293293E-5</v>
      </c>
      <c r="Q131" t="s">
        <v>251</v>
      </c>
      <c r="S131" t="s">
        <v>420</v>
      </c>
      <c r="T131" t="s">
        <v>1662</v>
      </c>
      <c r="U131">
        <v>2.2645240477335183E-5</v>
      </c>
      <c r="V131" t="s">
        <v>251</v>
      </c>
      <c r="X131">
        <v>1.1415525114155251E-4</v>
      </c>
      <c r="Y131">
        <v>2.2209515285616027E-4</v>
      </c>
      <c r="Z131" t="s">
        <v>1662</v>
      </c>
      <c r="AA131" t="s">
        <v>25</v>
      </c>
      <c r="AC131" t="s">
        <v>22</v>
      </c>
      <c r="AD131" t="s">
        <v>1662</v>
      </c>
      <c r="AE131">
        <v>1.2078147199358446E-4</v>
      </c>
      <c r="AG131" t="s">
        <v>97</v>
      </c>
      <c r="AH131" t="s">
        <v>1662</v>
      </c>
      <c r="AI131">
        <v>0</v>
      </c>
    </row>
    <row r="132" spans="5:35" x14ac:dyDescent="0.45">
      <c r="E132" t="s">
        <v>1335</v>
      </c>
      <c r="G132" t="s">
        <v>155</v>
      </c>
      <c r="I132" t="s">
        <v>249</v>
      </c>
      <c r="J132" t="s">
        <v>1663</v>
      </c>
      <c r="K132">
        <v>6.8201763795488221E-5</v>
      </c>
      <c r="L132" t="s">
        <v>251</v>
      </c>
      <c r="N132" t="s">
        <v>419</v>
      </c>
      <c r="O132" t="s">
        <v>1663</v>
      </c>
      <c r="P132">
        <v>1.0593743243320001E-4</v>
      </c>
      <c r="Q132" t="s">
        <v>251</v>
      </c>
      <c r="S132" t="s">
        <v>420</v>
      </c>
      <c r="T132" t="s">
        <v>1663</v>
      </c>
      <c r="U132">
        <v>2.5065977483492743E-5</v>
      </c>
      <c r="V132" t="s">
        <v>251</v>
      </c>
      <c r="X132">
        <v>1.1415525114155251E-4</v>
      </c>
      <c r="Y132">
        <v>2.2209515285616027E-4</v>
      </c>
      <c r="Z132" t="s">
        <v>1663</v>
      </c>
      <c r="AA132" t="s">
        <v>25</v>
      </c>
      <c r="AC132" t="s">
        <v>22</v>
      </c>
      <c r="AD132" t="s">
        <v>1663</v>
      </c>
      <c r="AE132">
        <v>1.2161544373730448E-4</v>
      </c>
      <c r="AG132" t="s">
        <v>97</v>
      </c>
      <c r="AH132" t="s">
        <v>1663</v>
      </c>
      <c r="AI132">
        <v>0</v>
      </c>
    </row>
    <row r="133" spans="5:35" x14ac:dyDescent="0.45">
      <c r="E133" t="s">
        <v>1336</v>
      </c>
      <c r="G133" t="s">
        <v>155</v>
      </c>
      <c r="I133" t="s">
        <v>249</v>
      </c>
      <c r="J133" t="s">
        <v>1664</v>
      </c>
      <c r="K133">
        <v>1.6465420487932388E-6</v>
      </c>
      <c r="L133" t="s">
        <v>251</v>
      </c>
      <c r="N133" t="s">
        <v>419</v>
      </c>
      <c r="O133" t="s">
        <v>1664</v>
      </c>
      <c r="P133">
        <v>1.2281273916160001E-4</v>
      </c>
      <c r="Q133" t="s">
        <v>251</v>
      </c>
      <c r="S133" t="s">
        <v>420</v>
      </c>
      <c r="T133" t="s">
        <v>1664</v>
      </c>
      <c r="U133">
        <v>3.6253707828475405E-5</v>
      </c>
      <c r="V133" t="s">
        <v>251</v>
      </c>
      <c r="X133">
        <v>1.1415525114155251E-4</v>
      </c>
      <c r="Y133">
        <v>1.7237235744060203E-4</v>
      </c>
      <c r="Z133" t="s">
        <v>1664</v>
      </c>
      <c r="AA133" t="s">
        <v>25</v>
      </c>
      <c r="AC133" t="s">
        <v>22</v>
      </c>
      <c r="AD133" t="s">
        <v>1664</v>
      </c>
      <c r="AE133">
        <v>1.2328818936530338E-4</v>
      </c>
      <c r="AG133" t="s">
        <v>97</v>
      </c>
      <c r="AH133" t="s">
        <v>1664</v>
      </c>
      <c r="AI133">
        <v>0</v>
      </c>
    </row>
    <row r="134" spans="5:35" x14ac:dyDescent="0.45">
      <c r="E134" t="s">
        <v>1337</v>
      </c>
      <c r="G134" t="s">
        <v>155</v>
      </c>
      <c r="I134" t="s">
        <v>249</v>
      </c>
      <c r="J134" t="s">
        <v>1665</v>
      </c>
      <c r="K134">
        <v>0</v>
      </c>
      <c r="L134" t="s">
        <v>251</v>
      </c>
      <c r="N134" t="s">
        <v>419</v>
      </c>
      <c r="O134" t="s">
        <v>1665</v>
      </c>
      <c r="P134">
        <v>1.34615441357E-4</v>
      </c>
      <c r="Q134" t="s">
        <v>251</v>
      </c>
      <c r="S134" t="s">
        <v>420</v>
      </c>
      <c r="T134" t="s">
        <v>1665</v>
      </c>
      <c r="U134">
        <v>4.5925768949874977E-5</v>
      </c>
      <c r="V134" t="s">
        <v>251</v>
      </c>
      <c r="X134">
        <v>1.1415525114155251E-4</v>
      </c>
      <c r="Y134">
        <v>1.5579809230208258E-4</v>
      </c>
      <c r="Z134" t="s">
        <v>1665</v>
      </c>
      <c r="AA134" t="s">
        <v>25</v>
      </c>
      <c r="AC134" t="s">
        <v>22</v>
      </c>
      <c r="AD134" t="s">
        <v>1665</v>
      </c>
      <c r="AE134">
        <v>1.2389859478745036E-4</v>
      </c>
      <c r="AG134" t="s">
        <v>97</v>
      </c>
      <c r="AH134" t="s">
        <v>1665</v>
      </c>
      <c r="AI134">
        <v>0</v>
      </c>
    </row>
    <row r="135" spans="5:35" x14ac:dyDescent="0.45">
      <c r="E135" t="s">
        <v>1338</v>
      </c>
      <c r="G135" t="s">
        <v>155</v>
      </c>
      <c r="I135" t="s">
        <v>249</v>
      </c>
      <c r="J135" t="s">
        <v>1666</v>
      </c>
      <c r="K135">
        <v>0</v>
      </c>
      <c r="L135" t="s">
        <v>251</v>
      </c>
      <c r="N135" t="s">
        <v>419</v>
      </c>
      <c r="O135" t="s">
        <v>1666</v>
      </c>
      <c r="P135">
        <v>1.401329281822E-4</v>
      </c>
      <c r="Q135" t="s">
        <v>251</v>
      </c>
      <c r="S135" t="s">
        <v>420</v>
      </c>
      <c r="T135" t="s">
        <v>1666</v>
      </c>
      <c r="U135">
        <v>5.6798937570423209E-5</v>
      </c>
      <c r="V135" t="s">
        <v>251</v>
      </c>
      <c r="X135">
        <v>1.1415525114155251E-4</v>
      </c>
      <c r="Y135">
        <v>1.093901499142282E-4</v>
      </c>
      <c r="Z135" t="s">
        <v>1666</v>
      </c>
      <c r="AA135" t="s">
        <v>25</v>
      </c>
      <c r="AC135" t="s">
        <v>22</v>
      </c>
      <c r="AD135" t="s">
        <v>1666</v>
      </c>
      <c r="AE135">
        <v>1.2402745222577944E-4</v>
      </c>
      <c r="AG135" t="s">
        <v>97</v>
      </c>
      <c r="AH135" t="s">
        <v>1666</v>
      </c>
      <c r="AI135">
        <v>0</v>
      </c>
    </row>
    <row r="136" spans="5:35" x14ac:dyDescent="0.45">
      <c r="E136" t="s">
        <v>1339</v>
      </c>
      <c r="G136" t="s">
        <v>155</v>
      </c>
      <c r="I136" t="s">
        <v>249</v>
      </c>
      <c r="J136" t="s">
        <v>1667</v>
      </c>
      <c r="K136">
        <v>0</v>
      </c>
      <c r="L136" t="s">
        <v>251</v>
      </c>
      <c r="N136" t="s">
        <v>419</v>
      </c>
      <c r="O136" t="s">
        <v>1667</v>
      </c>
      <c r="P136">
        <v>1.413811993186E-4</v>
      </c>
      <c r="Q136" t="s">
        <v>251</v>
      </c>
      <c r="S136" t="s">
        <v>420</v>
      </c>
      <c r="T136" t="s">
        <v>1667</v>
      </c>
      <c r="U136">
        <v>7.1462903852174042E-5</v>
      </c>
      <c r="V136" t="s">
        <v>251</v>
      </c>
      <c r="X136">
        <v>1.1415525114155251E-4</v>
      </c>
      <c r="Y136">
        <v>7.9556472664893237E-5</v>
      </c>
      <c r="Z136" t="s">
        <v>1667</v>
      </c>
      <c r="AA136" t="s">
        <v>25</v>
      </c>
      <c r="AC136" t="s">
        <v>22</v>
      </c>
      <c r="AD136" t="s">
        <v>1667</v>
      </c>
      <c r="AE136">
        <v>1.2528321198191833E-4</v>
      </c>
      <c r="AG136" t="s">
        <v>97</v>
      </c>
      <c r="AH136" t="s">
        <v>1667</v>
      </c>
      <c r="AI136">
        <v>0</v>
      </c>
    </row>
    <row r="137" spans="5:35" x14ac:dyDescent="0.45">
      <c r="E137" t="s">
        <v>1340</v>
      </c>
      <c r="G137" t="s">
        <v>155</v>
      </c>
      <c r="I137" t="s">
        <v>249</v>
      </c>
      <c r="J137" t="s">
        <v>1668</v>
      </c>
      <c r="K137">
        <v>0</v>
      </c>
      <c r="L137" t="s">
        <v>251</v>
      </c>
      <c r="N137" t="s">
        <v>419</v>
      </c>
      <c r="O137" t="s">
        <v>1668</v>
      </c>
      <c r="P137">
        <v>1.4192466952599999E-4</v>
      </c>
      <c r="Q137" t="s">
        <v>251</v>
      </c>
      <c r="S137" t="s">
        <v>420</v>
      </c>
      <c r="T137" t="s">
        <v>1668</v>
      </c>
      <c r="U137">
        <v>8.5433086812055029E-5</v>
      </c>
      <c r="V137" t="s">
        <v>251</v>
      </c>
      <c r="X137">
        <v>1.1415525114155251E-4</v>
      </c>
      <c r="Y137">
        <v>5.6352501470966035E-5</v>
      </c>
      <c r="Z137" t="s">
        <v>1668</v>
      </c>
      <c r="AA137" t="s">
        <v>25</v>
      </c>
      <c r="AC137" t="s">
        <v>22</v>
      </c>
      <c r="AD137" t="s">
        <v>1668</v>
      </c>
      <c r="AE137">
        <v>1.3162497216105099E-4</v>
      </c>
      <c r="AG137" t="s">
        <v>97</v>
      </c>
      <c r="AH137" t="s">
        <v>1668</v>
      </c>
      <c r="AI137">
        <v>0</v>
      </c>
    </row>
    <row r="138" spans="5:35" x14ac:dyDescent="0.45">
      <c r="E138" t="s">
        <v>1341</v>
      </c>
      <c r="G138" t="s">
        <v>155</v>
      </c>
      <c r="I138" t="s">
        <v>249</v>
      </c>
      <c r="J138" t="s">
        <v>1669</v>
      </c>
      <c r="K138">
        <v>0</v>
      </c>
      <c r="L138" t="s">
        <v>251</v>
      </c>
      <c r="N138" t="s">
        <v>419</v>
      </c>
      <c r="O138" t="s">
        <v>1669</v>
      </c>
      <c r="P138">
        <v>1.4198899503880001E-4</v>
      </c>
      <c r="Q138" t="s">
        <v>251</v>
      </c>
      <c r="S138" t="s">
        <v>420</v>
      </c>
      <c r="T138" t="s">
        <v>1669</v>
      </c>
      <c r="U138">
        <v>1.007630139843E-4</v>
      </c>
      <c r="V138" t="s">
        <v>251</v>
      </c>
      <c r="X138">
        <v>1.1415525114155251E-4</v>
      </c>
      <c r="Y138">
        <v>2.9833677249334962E-5</v>
      </c>
      <c r="Z138" t="s">
        <v>1669</v>
      </c>
      <c r="AA138" t="s">
        <v>25</v>
      </c>
      <c r="AC138" t="s">
        <v>22</v>
      </c>
      <c r="AD138" t="s">
        <v>1669</v>
      </c>
      <c r="AE138">
        <v>1.3880550622446253E-4</v>
      </c>
      <c r="AG138" t="s">
        <v>97</v>
      </c>
      <c r="AH138" t="s">
        <v>1669</v>
      </c>
      <c r="AI138">
        <v>0</v>
      </c>
    </row>
    <row r="139" spans="5:35" x14ac:dyDescent="0.45">
      <c r="E139" t="s">
        <v>1342</v>
      </c>
      <c r="G139" t="s">
        <v>155</v>
      </c>
      <c r="I139" t="s">
        <v>249</v>
      </c>
      <c r="J139" t="s">
        <v>1670</v>
      </c>
      <c r="K139">
        <v>0</v>
      </c>
      <c r="L139" t="s">
        <v>251</v>
      </c>
      <c r="N139" t="s">
        <v>419</v>
      </c>
      <c r="O139" t="s">
        <v>1670</v>
      </c>
      <c r="P139">
        <v>1.3948857226930001E-4</v>
      </c>
      <c r="Q139" t="s">
        <v>251</v>
      </c>
      <c r="S139" t="s">
        <v>420</v>
      </c>
      <c r="T139" t="s">
        <v>1670</v>
      </c>
      <c r="U139">
        <v>1.106220829622E-4</v>
      </c>
      <c r="V139" t="s">
        <v>251</v>
      </c>
      <c r="X139">
        <v>1.1415525114155251E-4</v>
      </c>
      <c r="Y139">
        <v>2.1546544680075254E-5</v>
      </c>
      <c r="Z139" t="s">
        <v>1670</v>
      </c>
      <c r="AA139" t="s">
        <v>25</v>
      </c>
      <c r="AC139" t="s">
        <v>22</v>
      </c>
      <c r="AD139" t="s">
        <v>1670</v>
      </c>
      <c r="AE139">
        <v>1.385331181405412E-4</v>
      </c>
      <c r="AG139" t="s">
        <v>97</v>
      </c>
      <c r="AH139" t="s">
        <v>1670</v>
      </c>
      <c r="AI139">
        <v>0</v>
      </c>
    </row>
    <row r="140" spans="5:35" x14ac:dyDescent="0.45">
      <c r="E140" t="s">
        <v>1343</v>
      </c>
      <c r="G140" t="s">
        <v>155</v>
      </c>
      <c r="I140" t="s">
        <v>249</v>
      </c>
      <c r="J140" t="s">
        <v>1671</v>
      </c>
      <c r="K140">
        <v>0</v>
      </c>
      <c r="L140" t="s">
        <v>251</v>
      </c>
      <c r="N140" t="s">
        <v>419</v>
      </c>
      <c r="O140" t="s">
        <v>1671</v>
      </c>
      <c r="P140">
        <v>1.3723761423070001E-4</v>
      </c>
      <c r="Q140" t="s">
        <v>251</v>
      </c>
      <c r="S140" t="s">
        <v>420</v>
      </c>
      <c r="T140" t="s">
        <v>1671</v>
      </c>
      <c r="U140">
        <v>1.113605240281E-4</v>
      </c>
      <c r="V140" t="s">
        <v>251</v>
      </c>
      <c r="X140">
        <v>1.1415525114155251E-4</v>
      </c>
      <c r="Y140">
        <v>1.4916838624667481E-5</v>
      </c>
      <c r="Z140" t="s">
        <v>1671</v>
      </c>
      <c r="AA140" t="s">
        <v>25</v>
      </c>
      <c r="AC140" t="s">
        <v>22</v>
      </c>
      <c r="AD140" t="s">
        <v>1671</v>
      </c>
      <c r="AE140">
        <v>1.3803983159091281E-4</v>
      </c>
      <c r="AG140" t="s">
        <v>97</v>
      </c>
      <c r="AH140" t="s">
        <v>1671</v>
      </c>
      <c r="AI140">
        <v>0</v>
      </c>
    </row>
    <row r="141" spans="5:35" x14ac:dyDescent="0.45">
      <c r="E141" t="s">
        <v>1344</v>
      </c>
      <c r="G141" t="s">
        <v>155</v>
      </c>
      <c r="I141" t="s">
        <v>249</v>
      </c>
      <c r="J141" t="s">
        <v>1672</v>
      </c>
      <c r="K141">
        <v>0</v>
      </c>
      <c r="L141" t="s">
        <v>251</v>
      </c>
      <c r="N141" t="s">
        <v>419</v>
      </c>
      <c r="O141" t="s">
        <v>1672</v>
      </c>
      <c r="P141">
        <v>1.3794713433439999E-4</v>
      </c>
      <c r="Q141" t="s">
        <v>251</v>
      </c>
      <c r="S141" t="s">
        <v>420</v>
      </c>
      <c r="T141" t="s">
        <v>1672</v>
      </c>
      <c r="U141">
        <v>1.1180954025919999E-4</v>
      </c>
      <c r="V141" t="s">
        <v>251</v>
      </c>
      <c r="X141">
        <v>1.1415525114155251E-4</v>
      </c>
      <c r="Y141">
        <v>1.6574265138519424E-5</v>
      </c>
      <c r="Z141" t="s">
        <v>1672</v>
      </c>
      <c r="AA141" t="s">
        <v>25</v>
      </c>
      <c r="AC141" t="s">
        <v>22</v>
      </c>
      <c r="AD141" t="s">
        <v>1672</v>
      </c>
      <c r="AE141">
        <v>1.3240265214599787E-4</v>
      </c>
      <c r="AG141" t="s">
        <v>97</v>
      </c>
      <c r="AH141" t="s">
        <v>1672</v>
      </c>
      <c r="AI141">
        <v>0</v>
      </c>
    </row>
    <row r="142" spans="5:35" x14ac:dyDescent="0.45">
      <c r="E142" t="s">
        <v>1345</v>
      </c>
      <c r="G142" t="s">
        <v>155</v>
      </c>
      <c r="I142" t="s">
        <v>249</v>
      </c>
      <c r="J142" t="s">
        <v>1673</v>
      </c>
      <c r="K142">
        <v>0</v>
      </c>
      <c r="L142" t="s">
        <v>251</v>
      </c>
      <c r="N142" t="s">
        <v>419</v>
      </c>
      <c r="O142" t="s">
        <v>1673</v>
      </c>
      <c r="P142">
        <v>1.3901584324639999E-4</v>
      </c>
      <c r="Q142" t="s">
        <v>251</v>
      </c>
      <c r="S142" t="s">
        <v>420</v>
      </c>
      <c r="T142" t="s">
        <v>1673</v>
      </c>
      <c r="U142">
        <v>1.1246743666660001E-4</v>
      </c>
      <c r="V142" t="s">
        <v>251</v>
      </c>
      <c r="X142">
        <v>1.1415525114155251E-4</v>
      </c>
      <c r="Y142">
        <v>1.4585353321897093E-5</v>
      </c>
      <c r="Z142" t="s">
        <v>1673</v>
      </c>
      <c r="AA142" t="s">
        <v>25</v>
      </c>
      <c r="AC142" t="s">
        <v>22</v>
      </c>
      <c r="AD142" t="s">
        <v>1673</v>
      </c>
      <c r="AE142">
        <v>1.2914226549212633E-4</v>
      </c>
      <c r="AG142" t="s">
        <v>97</v>
      </c>
      <c r="AH142" t="s">
        <v>1673</v>
      </c>
      <c r="AI142">
        <v>0</v>
      </c>
    </row>
    <row r="143" spans="5:35" x14ac:dyDescent="0.45">
      <c r="E143" t="s">
        <v>1346</v>
      </c>
      <c r="G143" t="s">
        <v>155</v>
      </c>
      <c r="I143" t="s">
        <v>249</v>
      </c>
      <c r="J143" t="s">
        <v>1674</v>
      </c>
      <c r="K143">
        <v>0</v>
      </c>
      <c r="L143" t="s">
        <v>251</v>
      </c>
      <c r="N143" t="s">
        <v>419</v>
      </c>
      <c r="O143" t="s">
        <v>1674</v>
      </c>
      <c r="P143">
        <v>1.3611216010139999E-4</v>
      </c>
      <c r="Q143" t="s">
        <v>251</v>
      </c>
      <c r="S143" t="s">
        <v>420</v>
      </c>
      <c r="T143" t="s">
        <v>1674</v>
      </c>
      <c r="U143">
        <v>1.2751720586899999E-4</v>
      </c>
      <c r="V143" t="s">
        <v>251</v>
      </c>
      <c r="X143">
        <v>1.1415525114155251E-4</v>
      </c>
      <c r="Y143">
        <v>2.1215059377304864E-5</v>
      </c>
      <c r="Z143" t="s">
        <v>1674</v>
      </c>
      <c r="AA143" t="s">
        <v>25</v>
      </c>
      <c r="AC143" t="s">
        <v>22</v>
      </c>
      <c r="AD143" t="s">
        <v>1674</v>
      </c>
      <c r="AE143">
        <v>1.2535711158940727E-4</v>
      </c>
      <c r="AG143" t="s">
        <v>97</v>
      </c>
      <c r="AH143" t="s">
        <v>1674</v>
      </c>
      <c r="AI143">
        <v>0</v>
      </c>
    </row>
    <row r="144" spans="5:35" x14ac:dyDescent="0.45">
      <c r="E144" t="s">
        <v>1347</v>
      </c>
      <c r="G144" t="s">
        <v>155</v>
      </c>
      <c r="I144" t="s">
        <v>249</v>
      </c>
      <c r="J144" t="s">
        <v>1675</v>
      </c>
      <c r="K144">
        <v>0</v>
      </c>
      <c r="L144" t="s">
        <v>251</v>
      </c>
      <c r="N144" t="s">
        <v>419</v>
      </c>
      <c r="O144" t="s">
        <v>1675</v>
      </c>
      <c r="P144">
        <v>1.3436755350859999E-4</v>
      </c>
      <c r="Q144" t="s">
        <v>251</v>
      </c>
      <c r="S144" t="s">
        <v>420</v>
      </c>
      <c r="T144" t="s">
        <v>1675</v>
      </c>
      <c r="U144">
        <v>1.207405045578E-4</v>
      </c>
      <c r="V144" t="s">
        <v>251</v>
      </c>
      <c r="X144">
        <v>1.1415525114155251E-4</v>
      </c>
      <c r="Y144">
        <v>5.7678442682047593E-5</v>
      </c>
      <c r="Z144" t="s">
        <v>1675</v>
      </c>
      <c r="AA144" t="s">
        <v>25</v>
      </c>
      <c r="AC144" t="s">
        <v>22</v>
      </c>
      <c r="AD144" t="s">
        <v>1675</v>
      </c>
      <c r="AE144">
        <v>1.1826995248130668E-4</v>
      </c>
      <c r="AG144" t="s">
        <v>97</v>
      </c>
      <c r="AH144" t="s">
        <v>1675</v>
      </c>
      <c r="AI144">
        <v>0</v>
      </c>
    </row>
    <row r="145" spans="5:35" x14ac:dyDescent="0.45">
      <c r="E145" t="s">
        <v>1348</v>
      </c>
      <c r="G145" t="s">
        <v>155</v>
      </c>
      <c r="I145" t="s">
        <v>249</v>
      </c>
      <c r="J145" t="s">
        <v>1676</v>
      </c>
      <c r="K145">
        <v>0</v>
      </c>
      <c r="L145" t="s">
        <v>251</v>
      </c>
      <c r="N145" t="s">
        <v>419</v>
      </c>
      <c r="O145" t="s">
        <v>1676</v>
      </c>
      <c r="P145">
        <v>1.3336037715900001E-4</v>
      </c>
      <c r="Q145" t="s">
        <v>251</v>
      </c>
      <c r="S145" t="s">
        <v>420</v>
      </c>
      <c r="T145" t="s">
        <v>1676</v>
      </c>
      <c r="U145">
        <v>1.164430754402E-4</v>
      </c>
      <c r="V145" t="s">
        <v>251</v>
      </c>
      <c r="X145">
        <v>1.1415525114155251E-4</v>
      </c>
      <c r="Y145">
        <v>1.6905750441289813E-4</v>
      </c>
      <c r="Z145" t="s">
        <v>1676</v>
      </c>
      <c r="AA145" t="s">
        <v>25</v>
      </c>
      <c r="AC145" t="s">
        <v>22</v>
      </c>
      <c r="AD145" t="s">
        <v>1676</v>
      </c>
      <c r="AE145">
        <v>1.0696998217516291E-4</v>
      </c>
      <c r="AG145" t="s">
        <v>97</v>
      </c>
      <c r="AH145" t="s">
        <v>1676</v>
      </c>
      <c r="AI145">
        <v>0</v>
      </c>
    </row>
    <row r="146" spans="5:35" x14ac:dyDescent="0.45">
      <c r="E146" t="s">
        <v>1349</v>
      </c>
      <c r="G146" t="s">
        <v>155</v>
      </c>
      <c r="I146" t="s">
        <v>249</v>
      </c>
      <c r="J146" t="s">
        <v>1677</v>
      </c>
      <c r="K146">
        <v>5.7881397943015986E-6</v>
      </c>
      <c r="L146" t="s">
        <v>251</v>
      </c>
      <c r="N146" t="s">
        <v>419</v>
      </c>
      <c r="O146" t="s">
        <v>1677</v>
      </c>
      <c r="P146">
        <v>1.327306918221E-4</v>
      </c>
      <c r="Q146" t="s">
        <v>251</v>
      </c>
      <c r="S146" t="s">
        <v>420</v>
      </c>
      <c r="T146" t="s">
        <v>1677</v>
      </c>
      <c r="U146">
        <v>1.160325169269E-4</v>
      </c>
      <c r="V146" t="s">
        <v>251</v>
      </c>
      <c r="X146">
        <v>1.1415525114155251E-4</v>
      </c>
      <c r="Y146">
        <v>1.9060404909297337E-4</v>
      </c>
      <c r="Z146" t="s">
        <v>1677</v>
      </c>
      <c r="AA146" t="s">
        <v>25</v>
      </c>
      <c r="AC146" t="s">
        <v>22</v>
      </c>
      <c r="AD146" t="s">
        <v>1677</v>
      </c>
      <c r="AE146">
        <v>1.0205579166994126E-4</v>
      </c>
      <c r="AG146" t="s">
        <v>97</v>
      </c>
      <c r="AH146" t="s">
        <v>1677</v>
      </c>
      <c r="AI146">
        <v>0</v>
      </c>
    </row>
    <row r="147" spans="5:35" x14ac:dyDescent="0.45">
      <c r="E147" t="s">
        <v>1350</v>
      </c>
      <c r="G147" t="s">
        <v>155</v>
      </c>
      <c r="I147" t="s">
        <v>249</v>
      </c>
      <c r="J147" t="s">
        <v>1678</v>
      </c>
      <c r="K147">
        <v>8.7277614669981876E-5</v>
      </c>
      <c r="L147" t="s">
        <v>251</v>
      </c>
      <c r="N147" t="s">
        <v>419</v>
      </c>
      <c r="O147" t="s">
        <v>1678</v>
      </c>
      <c r="P147">
        <v>1.294544132309E-4</v>
      </c>
      <c r="Q147" t="s">
        <v>251</v>
      </c>
      <c r="S147" t="s">
        <v>420</v>
      </c>
      <c r="T147" t="s">
        <v>1678</v>
      </c>
      <c r="U147">
        <v>1.093577535133E-4</v>
      </c>
      <c r="V147" t="s">
        <v>251</v>
      </c>
      <c r="X147">
        <v>1.1415525114155251E-4</v>
      </c>
      <c r="Y147">
        <v>1.4585353321897094E-4</v>
      </c>
      <c r="Z147" t="s">
        <v>1678</v>
      </c>
      <c r="AA147" t="s">
        <v>25</v>
      </c>
      <c r="AC147" t="s">
        <v>22</v>
      </c>
      <c r="AD147" t="s">
        <v>1678</v>
      </c>
      <c r="AE147">
        <v>1.0020723434037119E-4</v>
      </c>
      <c r="AG147" t="s">
        <v>97</v>
      </c>
      <c r="AH147" t="s">
        <v>1678</v>
      </c>
      <c r="AI147">
        <v>0</v>
      </c>
    </row>
    <row r="148" spans="5:35" x14ac:dyDescent="0.45">
      <c r="E148" t="s">
        <v>1351</v>
      </c>
      <c r="G148" t="s">
        <v>155</v>
      </c>
      <c r="I148" t="s">
        <v>249</v>
      </c>
      <c r="J148" t="s">
        <v>1679</v>
      </c>
      <c r="K148">
        <v>1.344466261654E-4</v>
      </c>
      <c r="L148" t="s">
        <v>251</v>
      </c>
      <c r="N148" t="s">
        <v>419</v>
      </c>
      <c r="O148" t="s">
        <v>1679</v>
      </c>
      <c r="P148">
        <v>1.2334302471679999E-4</v>
      </c>
      <c r="Q148" t="s">
        <v>251</v>
      </c>
      <c r="S148" t="s">
        <v>420</v>
      </c>
      <c r="T148" t="s">
        <v>1679</v>
      </c>
      <c r="U148">
        <v>1.108024322557E-4</v>
      </c>
      <c r="V148" t="s">
        <v>251</v>
      </c>
      <c r="X148">
        <v>1.1415525114155251E-4</v>
      </c>
      <c r="Y148">
        <v>1.4452759200788939E-4</v>
      </c>
      <c r="Z148" t="s">
        <v>1679</v>
      </c>
      <c r="AA148" t="s">
        <v>25</v>
      </c>
      <c r="AC148" t="s">
        <v>22</v>
      </c>
      <c r="AD148" t="s">
        <v>1679</v>
      </c>
      <c r="AE148">
        <v>9.9592827134425179E-5</v>
      </c>
      <c r="AG148" t="s">
        <v>97</v>
      </c>
      <c r="AH148" t="s">
        <v>1679</v>
      </c>
      <c r="AI148">
        <v>0</v>
      </c>
    </row>
    <row r="149" spans="5:35" x14ac:dyDescent="0.45">
      <c r="E149" t="s">
        <v>1352</v>
      </c>
      <c r="G149" t="s">
        <v>155</v>
      </c>
      <c r="I149" t="s">
        <v>249</v>
      </c>
      <c r="J149" t="s">
        <v>1680</v>
      </c>
      <c r="K149">
        <v>1.8341150530450001E-4</v>
      </c>
      <c r="L149" t="s">
        <v>251</v>
      </c>
      <c r="N149" t="s">
        <v>419</v>
      </c>
      <c r="O149" t="s">
        <v>1680</v>
      </c>
      <c r="P149">
        <v>1.1964949732330001E-4</v>
      </c>
      <c r="Q149" t="s">
        <v>251</v>
      </c>
      <c r="S149" t="s">
        <v>420</v>
      </c>
      <c r="T149" t="s">
        <v>1680</v>
      </c>
      <c r="U149">
        <v>1.131226062749E-4</v>
      </c>
      <c r="V149" t="s">
        <v>251</v>
      </c>
      <c r="X149">
        <v>1.1415525114155251E-4</v>
      </c>
      <c r="Y149">
        <v>1.408812536774151E-4</v>
      </c>
      <c r="Z149" t="s">
        <v>1680</v>
      </c>
      <c r="AA149" t="s">
        <v>25</v>
      </c>
      <c r="AC149" t="s">
        <v>22</v>
      </c>
      <c r="AD149" t="s">
        <v>1680</v>
      </c>
      <c r="AE149">
        <v>9.9659790316662458E-5</v>
      </c>
      <c r="AG149" t="s">
        <v>97</v>
      </c>
      <c r="AH149" t="s">
        <v>1680</v>
      </c>
      <c r="AI149">
        <v>0</v>
      </c>
    </row>
    <row r="150" spans="5:35" x14ac:dyDescent="0.45">
      <c r="E150" t="s">
        <v>1353</v>
      </c>
      <c r="G150" t="s">
        <v>155</v>
      </c>
      <c r="I150" t="s">
        <v>249</v>
      </c>
      <c r="J150" t="s">
        <v>1681</v>
      </c>
      <c r="K150">
        <v>2.1304066087800001E-4</v>
      </c>
      <c r="L150" t="s">
        <v>251</v>
      </c>
      <c r="N150" t="s">
        <v>419</v>
      </c>
      <c r="O150" t="s">
        <v>1681</v>
      </c>
      <c r="P150">
        <v>1.195717032286E-4</v>
      </c>
      <c r="Q150" t="s">
        <v>251</v>
      </c>
      <c r="S150" t="s">
        <v>420</v>
      </c>
      <c r="T150" t="s">
        <v>1681</v>
      </c>
      <c r="U150">
        <v>1.146344504503E-4</v>
      </c>
      <c r="V150" t="s">
        <v>251</v>
      </c>
      <c r="X150">
        <v>1.1415525114155251E-4</v>
      </c>
      <c r="Y150">
        <v>1.4054976837464471E-4</v>
      </c>
      <c r="Z150" t="s">
        <v>1681</v>
      </c>
      <c r="AA150" t="s">
        <v>25</v>
      </c>
      <c r="AC150" t="s">
        <v>22</v>
      </c>
      <c r="AD150" t="s">
        <v>1681</v>
      </c>
      <c r="AE150">
        <v>1.0336917711278633E-4</v>
      </c>
      <c r="AG150" t="s">
        <v>97</v>
      </c>
      <c r="AH150" t="s">
        <v>1681</v>
      </c>
      <c r="AI150">
        <v>0</v>
      </c>
    </row>
    <row r="151" spans="5:35" x14ac:dyDescent="0.45">
      <c r="E151" t="s">
        <v>1354</v>
      </c>
      <c r="G151" t="s">
        <v>155</v>
      </c>
      <c r="I151" t="s">
        <v>249</v>
      </c>
      <c r="J151" t="s">
        <v>1682</v>
      </c>
      <c r="K151">
        <v>1.9429569317789999E-4</v>
      </c>
      <c r="L151" t="s">
        <v>251</v>
      </c>
      <c r="N151" t="s">
        <v>419</v>
      </c>
      <c r="O151" t="s">
        <v>1682</v>
      </c>
      <c r="P151">
        <v>1.18509455226E-4</v>
      </c>
      <c r="Q151" t="s">
        <v>251</v>
      </c>
      <c r="S151" t="s">
        <v>420</v>
      </c>
      <c r="T151" t="s">
        <v>1682</v>
      </c>
      <c r="U151">
        <v>1.064559520205E-4</v>
      </c>
      <c r="V151" t="s">
        <v>251</v>
      </c>
      <c r="X151">
        <v>1.1415525114155251E-4</v>
      </c>
      <c r="Y151">
        <v>1.4253868019126702E-4</v>
      </c>
      <c r="Z151" t="s">
        <v>1682</v>
      </c>
      <c r="AA151" t="s">
        <v>25</v>
      </c>
      <c r="AC151" t="s">
        <v>22</v>
      </c>
      <c r="AD151" t="s">
        <v>1682</v>
      </c>
      <c r="AE151">
        <v>1.0828603547387401E-4</v>
      </c>
      <c r="AG151" t="s">
        <v>97</v>
      </c>
      <c r="AH151" t="s">
        <v>1682</v>
      </c>
      <c r="AI151">
        <v>0</v>
      </c>
    </row>
    <row r="152" spans="5:35" x14ac:dyDescent="0.45">
      <c r="E152" t="s">
        <v>1355</v>
      </c>
      <c r="G152" t="s">
        <v>155</v>
      </c>
      <c r="I152" t="s">
        <v>249</v>
      </c>
      <c r="J152" t="s">
        <v>1683</v>
      </c>
      <c r="K152">
        <v>1.9559631257790001E-4</v>
      </c>
      <c r="L152" t="s">
        <v>251</v>
      </c>
      <c r="N152" t="s">
        <v>419</v>
      </c>
      <c r="O152" t="s">
        <v>1683</v>
      </c>
      <c r="P152">
        <v>1.1793609941919999E-4</v>
      </c>
      <c r="Q152" t="s">
        <v>251</v>
      </c>
      <c r="S152" t="s">
        <v>420</v>
      </c>
      <c r="T152" t="s">
        <v>1683</v>
      </c>
      <c r="U152">
        <v>1.006045204806E-4</v>
      </c>
      <c r="V152" t="s">
        <v>251</v>
      </c>
      <c r="X152">
        <v>1.1415525114155251E-4</v>
      </c>
      <c r="Y152">
        <v>1.4883690094390442E-4</v>
      </c>
      <c r="Z152" t="s">
        <v>1683</v>
      </c>
      <c r="AA152" t="s">
        <v>25</v>
      </c>
      <c r="AC152" t="s">
        <v>22</v>
      </c>
      <c r="AD152" t="s">
        <v>1683</v>
      </c>
      <c r="AE152">
        <v>1.1039897731976735E-4</v>
      </c>
      <c r="AG152" t="s">
        <v>97</v>
      </c>
      <c r="AH152" t="s">
        <v>1683</v>
      </c>
      <c r="AI152">
        <v>0</v>
      </c>
    </row>
    <row r="153" spans="5:35" x14ac:dyDescent="0.45">
      <c r="E153" t="s">
        <v>1356</v>
      </c>
      <c r="G153" t="s">
        <v>155</v>
      </c>
      <c r="I153" t="s">
        <v>249</v>
      </c>
      <c r="J153" t="s">
        <v>1684</v>
      </c>
      <c r="K153">
        <v>2.038705382285E-4</v>
      </c>
      <c r="L153" t="s">
        <v>251</v>
      </c>
      <c r="N153" t="s">
        <v>419</v>
      </c>
      <c r="O153" t="s">
        <v>1684</v>
      </c>
      <c r="P153">
        <v>1.145871018018E-4</v>
      </c>
      <c r="Q153" t="s">
        <v>251</v>
      </c>
      <c r="S153" t="s">
        <v>420</v>
      </c>
      <c r="T153" t="s">
        <v>1684</v>
      </c>
      <c r="U153">
        <v>9.3076635888895103E-5</v>
      </c>
      <c r="V153" t="s">
        <v>251</v>
      </c>
      <c r="X153">
        <v>1.1415525114155251E-4</v>
      </c>
      <c r="Y153">
        <v>1.5049432745775637E-4</v>
      </c>
      <c r="Z153" t="s">
        <v>1684</v>
      </c>
      <c r="AA153" t="s">
        <v>25</v>
      </c>
      <c r="AC153" t="s">
        <v>22</v>
      </c>
      <c r="AD153" t="s">
        <v>1684</v>
      </c>
      <c r="AE153">
        <v>1.1671565965375937E-4</v>
      </c>
      <c r="AG153" t="s">
        <v>97</v>
      </c>
      <c r="AH153" t="s">
        <v>1684</v>
      </c>
      <c r="AI153">
        <v>0</v>
      </c>
    </row>
    <row r="154" spans="5:35" x14ac:dyDescent="0.45">
      <c r="E154" t="s">
        <v>1357</v>
      </c>
      <c r="G154" t="s">
        <v>155</v>
      </c>
      <c r="I154" t="s">
        <v>249</v>
      </c>
      <c r="J154" t="s">
        <v>1685</v>
      </c>
      <c r="K154">
        <v>2.0245321676139999E-4</v>
      </c>
      <c r="L154" t="s">
        <v>251</v>
      </c>
      <c r="N154" t="s">
        <v>419</v>
      </c>
      <c r="O154" t="s">
        <v>1685</v>
      </c>
      <c r="P154">
        <v>1.03674557985E-4</v>
      </c>
      <c r="Q154" t="s">
        <v>251</v>
      </c>
      <c r="S154" t="s">
        <v>420</v>
      </c>
      <c r="T154" t="s">
        <v>1685</v>
      </c>
      <c r="U154">
        <v>8.7818039699341489E-5</v>
      </c>
      <c r="V154" t="s">
        <v>251</v>
      </c>
      <c r="X154">
        <v>1.1415525114155251E-4</v>
      </c>
      <c r="Y154">
        <v>1.7237235744060203E-4</v>
      </c>
      <c r="Z154" t="s">
        <v>1685</v>
      </c>
      <c r="AA154" t="s">
        <v>25</v>
      </c>
      <c r="AC154" t="s">
        <v>22</v>
      </c>
      <c r="AD154" t="s">
        <v>1685</v>
      </c>
      <c r="AE154">
        <v>1.1713931516528446E-4</v>
      </c>
      <c r="AG154" t="s">
        <v>97</v>
      </c>
      <c r="AH154" t="s">
        <v>1685</v>
      </c>
      <c r="AI154">
        <v>0</v>
      </c>
    </row>
    <row r="155" spans="5:35" x14ac:dyDescent="0.45">
      <c r="E155" t="s">
        <v>1358</v>
      </c>
      <c r="G155" t="s">
        <v>155</v>
      </c>
      <c r="I155" t="s">
        <v>249</v>
      </c>
      <c r="J155" t="s">
        <v>1686</v>
      </c>
      <c r="K155">
        <v>1.8104477006450001E-4</v>
      </c>
      <c r="L155" t="s">
        <v>251</v>
      </c>
      <c r="N155" t="s">
        <v>419</v>
      </c>
      <c r="O155" t="s">
        <v>1686</v>
      </c>
      <c r="P155">
        <v>9.9062535236728956E-5</v>
      </c>
      <c r="Q155" t="s">
        <v>251</v>
      </c>
      <c r="S155" t="s">
        <v>420</v>
      </c>
      <c r="T155" t="s">
        <v>1686</v>
      </c>
      <c r="U155">
        <v>8.1641284240269762E-5</v>
      </c>
      <c r="V155" t="s">
        <v>251</v>
      </c>
      <c r="X155">
        <v>1.1415525114155251E-4</v>
      </c>
      <c r="Y155">
        <v>2.2209515285616027E-4</v>
      </c>
      <c r="Z155" t="s">
        <v>1686</v>
      </c>
      <c r="AA155" t="s">
        <v>25</v>
      </c>
      <c r="AC155" t="s">
        <v>22</v>
      </c>
      <c r="AD155" t="s">
        <v>1686</v>
      </c>
      <c r="AE155">
        <v>1.2097275725917859E-4</v>
      </c>
      <c r="AG155" t="s">
        <v>97</v>
      </c>
      <c r="AH155" t="s">
        <v>1686</v>
      </c>
      <c r="AI155">
        <v>0</v>
      </c>
    </row>
    <row r="156" spans="5:35" x14ac:dyDescent="0.45">
      <c r="E156" t="s">
        <v>1359</v>
      </c>
      <c r="G156" t="s">
        <v>155</v>
      </c>
      <c r="I156" t="s">
        <v>249</v>
      </c>
      <c r="J156" t="s">
        <v>1687</v>
      </c>
      <c r="K156">
        <v>1.270488739352E-4</v>
      </c>
      <c r="L156" t="s">
        <v>251</v>
      </c>
      <c r="N156" t="s">
        <v>419</v>
      </c>
      <c r="O156" t="s">
        <v>1687</v>
      </c>
      <c r="P156">
        <v>1.0234922617519999E-4</v>
      </c>
      <c r="Q156" t="s">
        <v>251</v>
      </c>
      <c r="S156" t="s">
        <v>420</v>
      </c>
      <c r="T156" t="s">
        <v>1687</v>
      </c>
      <c r="U156">
        <v>9.5911677267853965E-5</v>
      </c>
      <c r="V156" t="s">
        <v>251</v>
      </c>
      <c r="X156">
        <v>1.1415525114155251E-4</v>
      </c>
      <c r="Y156">
        <v>2.2209515285616027E-4</v>
      </c>
      <c r="Z156" t="s">
        <v>1687</v>
      </c>
      <c r="AA156" t="s">
        <v>25</v>
      </c>
      <c r="AC156" t="s">
        <v>22</v>
      </c>
      <c r="AD156" t="s">
        <v>1687</v>
      </c>
      <c r="AE156">
        <v>1.2168587513216759E-4</v>
      </c>
      <c r="AG156" t="s">
        <v>97</v>
      </c>
      <c r="AH156" t="s">
        <v>1687</v>
      </c>
      <c r="AI156">
        <v>0</v>
      </c>
    </row>
    <row r="157" spans="5:35" x14ac:dyDescent="0.45">
      <c r="E157" t="s">
        <v>1360</v>
      </c>
      <c r="G157" t="s">
        <v>155</v>
      </c>
      <c r="I157" t="s">
        <v>249</v>
      </c>
      <c r="J157" t="s">
        <v>1688</v>
      </c>
      <c r="K157">
        <v>1.5727622758033494E-6</v>
      </c>
      <c r="L157" t="s">
        <v>251</v>
      </c>
      <c r="N157" t="s">
        <v>419</v>
      </c>
      <c r="O157" t="s">
        <v>1688</v>
      </c>
      <c r="P157">
        <v>1.076136168188E-4</v>
      </c>
      <c r="Q157" t="s">
        <v>251</v>
      </c>
      <c r="S157" t="s">
        <v>420</v>
      </c>
      <c r="T157" t="s">
        <v>1688</v>
      </c>
      <c r="U157">
        <v>1.178860810615E-4</v>
      </c>
      <c r="V157" t="s">
        <v>251</v>
      </c>
      <c r="X157">
        <v>1.1415525114155251E-4</v>
      </c>
      <c r="Y157">
        <v>1.7237235744060203E-4</v>
      </c>
      <c r="Z157" t="s">
        <v>1688</v>
      </c>
      <c r="AA157" t="s">
        <v>25</v>
      </c>
      <c r="AC157" t="s">
        <v>22</v>
      </c>
      <c r="AD157" t="s">
        <v>1688</v>
      </c>
      <c r="AE157">
        <v>1.2274688141008651E-4</v>
      </c>
      <c r="AG157" t="s">
        <v>97</v>
      </c>
      <c r="AH157" t="s">
        <v>1688</v>
      </c>
      <c r="AI157">
        <v>0</v>
      </c>
    </row>
    <row r="158" spans="5:35" x14ac:dyDescent="0.45">
      <c r="E158" t="s">
        <v>1361</v>
      </c>
      <c r="G158" t="s">
        <v>155</v>
      </c>
      <c r="I158" t="s">
        <v>249</v>
      </c>
      <c r="J158" t="s">
        <v>1689</v>
      </c>
      <c r="K158">
        <v>0</v>
      </c>
      <c r="L158" t="s">
        <v>251</v>
      </c>
      <c r="N158" t="s">
        <v>419</v>
      </c>
      <c r="O158" t="s">
        <v>1689</v>
      </c>
      <c r="P158">
        <v>1.121447883682E-4</v>
      </c>
      <c r="Q158" t="s">
        <v>251</v>
      </c>
      <c r="S158" t="s">
        <v>420</v>
      </c>
      <c r="T158" t="s">
        <v>1689</v>
      </c>
      <c r="U158">
        <v>1.3368071713110001E-4</v>
      </c>
      <c r="V158" t="s">
        <v>251</v>
      </c>
      <c r="X158">
        <v>1.1415525114155251E-4</v>
      </c>
      <c r="Y158">
        <v>1.5579809230208258E-4</v>
      </c>
      <c r="Z158" t="s">
        <v>1689</v>
      </c>
      <c r="AA158" t="s">
        <v>25</v>
      </c>
      <c r="AC158" t="s">
        <v>22</v>
      </c>
      <c r="AD158" t="s">
        <v>1689</v>
      </c>
      <c r="AE158">
        <v>1.2268765500986068E-4</v>
      </c>
      <c r="AG158" t="s">
        <v>97</v>
      </c>
      <c r="AH158" t="s">
        <v>1689</v>
      </c>
      <c r="AI158">
        <v>0</v>
      </c>
    </row>
    <row r="159" spans="5:35" x14ac:dyDescent="0.45">
      <c r="E159" t="s">
        <v>1362</v>
      </c>
      <c r="G159" t="s">
        <v>155</v>
      </c>
      <c r="I159" t="s">
        <v>249</v>
      </c>
      <c r="J159" t="s">
        <v>1690</v>
      </c>
      <c r="K159">
        <v>0</v>
      </c>
      <c r="L159" t="s">
        <v>251</v>
      </c>
      <c r="N159" t="s">
        <v>419</v>
      </c>
      <c r="O159" t="s">
        <v>1690</v>
      </c>
      <c r="P159">
        <v>1.156475001537E-4</v>
      </c>
      <c r="Q159" t="s">
        <v>251</v>
      </c>
      <c r="S159" t="s">
        <v>420</v>
      </c>
      <c r="T159" t="s">
        <v>1690</v>
      </c>
      <c r="U159">
        <v>1.368136627762E-4</v>
      </c>
      <c r="V159" t="s">
        <v>251</v>
      </c>
      <c r="X159">
        <v>1.1415525114155251E-4</v>
      </c>
      <c r="Y159">
        <v>1.093901499142282E-4</v>
      </c>
      <c r="Z159" t="s">
        <v>1690</v>
      </c>
      <c r="AA159" t="s">
        <v>25</v>
      </c>
      <c r="AC159" t="s">
        <v>22</v>
      </c>
      <c r="AD159" t="s">
        <v>1690</v>
      </c>
      <c r="AE159">
        <v>1.2296858023255335E-4</v>
      </c>
      <c r="AG159" t="s">
        <v>97</v>
      </c>
      <c r="AH159" t="s">
        <v>1690</v>
      </c>
      <c r="AI159">
        <v>0</v>
      </c>
    </row>
    <row r="160" spans="5:35" x14ac:dyDescent="0.45">
      <c r="E160" t="s">
        <v>1363</v>
      </c>
      <c r="G160" t="s">
        <v>155</v>
      </c>
      <c r="I160" t="s">
        <v>249</v>
      </c>
      <c r="J160" t="s">
        <v>1691</v>
      </c>
      <c r="K160">
        <v>0</v>
      </c>
      <c r="L160" t="s">
        <v>251</v>
      </c>
      <c r="N160" t="s">
        <v>419</v>
      </c>
      <c r="O160" t="s">
        <v>1691</v>
      </c>
      <c r="P160">
        <v>1.176832461607E-4</v>
      </c>
      <c r="Q160" t="s">
        <v>251</v>
      </c>
      <c r="S160" t="s">
        <v>420</v>
      </c>
      <c r="T160" t="s">
        <v>1691</v>
      </c>
      <c r="U160">
        <v>1.3515966514669999E-4</v>
      </c>
      <c r="V160" t="s">
        <v>251</v>
      </c>
      <c r="X160">
        <v>1.1415525114155251E-4</v>
      </c>
      <c r="Y160">
        <v>7.9556472664893237E-5</v>
      </c>
      <c r="Z160" t="s">
        <v>1691</v>
      </c>
      <c r="AA160" t="s">
        <v>25</v>
      </c>
      <c r="AC160" t="s">
        <v>22</v>
      </c>
      <c r="AD160" t="s">
        <v>1691</v>
      </c>
      <c r="AE160">
        <v>1.2422433998869224E-4</v>
      </c>
      <c r="AG160" t="s">
        <v>97</v>
      </c>
      <c r="AH160" t="s">
        <v>1691</v>
      </c>
      <c r="AI160">
        <v>0</v>
      </c>
    </row>
    <row r="161" spans="5:35" x14ac:dyDescent="0.45">
      <c r="E161" t="s">
        <v>1364</v>
      </c>
      <c r="G161" t="s">
        <v>155</v>
      </c>
      <c r="I161" t="s">
        <v>249</v>
      </c>
      <c r="J161" t="s">
        <v>1692</v>
      </c>
      <c r="K161">
        <v>0</v>
      </c>
      <c r="L161" t="s">
        <v>251</v>
      </c>
      <c r="N161" t="s">
        <v>419</v>
      </c>
      <c r="O161" t="s">
        <v>1692</v>
      </c>
      <c r="P161">
        <v>1.187624072868E-4</v>
      </c>
      <c r="Q161" t="s">
        <v>251</v>
      </c>
      <c r="S161" t="s">
        <v>420</v>
      </c>
      <c r="T161" t="s">
        <v>1692</v>
      </c>
      <c r="U161">
        <v>1.378403362618E-4</v>
      </c>
      <c r="V161" t="s">
        <v>251</v>
      </c>
      <c r="X161">
        <v>1.1415525114155251E-4</v>
      </c>
      <c r="Y161">
        <v>5.6352501470966035E-5</v>
      </c>
      <c r="Z161" t="s">
        <v>1692</v>
      </c>
      <c r="AA161" t="s">
        <v>25</v>
      </c>
      <c r="AC161" t="s">
        <v>22</v>
      </c>
      <c r="AD161" t="s">
        <v>1692</v>
      </c>
      <c r="AE161">
        <v>1.2940264822465056E-4</v>
      </c>
      <c r="AG161" t="s">
        <v>97</v>
      </c>
      <c r="AH161" t="s">
        <v>1692</v>
      </c>
      <c r="AI161">
        <v>0</v>
      </c>
    </row>
    <row r="162" spans="5:35" x14ac:dyDescent="0.45">
      <c r="E162" t="s">
        <v>1365</v>
      </c>
      <c r="G162" t="s">
        <v>155</v>
      </c>
      <c r="I162" t="s">
        <v>249</v>
      </c>
      <c r="J162" t="s">
        <v>1693</v>
      </c>
      <c r="K162">
        <v>0</v>
      </c>
      <c r="L162" t="s">
        <v>251</v>
      </c>
      <c r="N162" t="s">
        <v>419</v>
      </c>
      <c r="O162" t="s">
        <v>1693</v>
      </c>
      <c r="P162">
        <v>1.187257150816E-4</v>
      </c>
      <c r="Q162" t="s">
        <v>251</v>
      </c>
      <c r="S162" t="s">
        <v>420</v>
      </c>
      <c r="T162" t="s">
        <v>1693</v>
      </c>
      <c r="U162">
        <v>1.4079763028069999E-4</v>
      </c>
      <c r="V162" t="s">
        <v>251</v>
      </c>
      <c r="X162">
        <v>1.1415525114155251E-4</v>
      </c>
      <c r="Y162">
        <v>2.9833677249334962E-5</v>
      </c>
      <c r="Z162" t="s">
        <v>1693</v>
      </c>
      <c r="AA162" t="s">
        <v>25</v>
      </c>
      <c r="AC162" t="s">
        <v>22</v>
      </c>
      <c r="AD162" t="s">
        <v>1693</v>
      </c>
      <c r="AE162">
        <v>1.3799581196912336E-4</v>
      </c>
      <c r="AG162" t="s">
        <v>97</v>
      </c>
      <c r="AH162" t="s">
        <v>1693</v>
      </c>
      <c r="AI162">
        <v>0</v>
      </c>
    </row>
    <row r="163" spans="5:35" x14ac:dyDescent="0.45">
      <c r="E163" t="s">
        <v>1366</v>
      </c>
      <c r="G163" t="s">
        <v>155</v>
      </c>
      <c r="I163" t="s">
        <v>249</v>
      </c>
      <c r="J163" t="s">
        <v>1694</v>
      </c>
      <c r="K163">
        <v>0</v>
      </c>
      <c r="L163" t="s">
        <v>251</v>
      </c>
      <c r="N163" t="s">
        <v>419</v>
      </c>
      <c r="O163" t="s">
        <v>1694</v>
      </c>
      <c r="P163">
        <v>1.18875207633E-4</v>
      </c>
      <c r="Q163" t="s">
        <v>251</v>
      </c>
      <c r="S163" t="s">
        <v>420</v>
      </c>
      <c r="T163" t="s">
        <v>1694</v>
      </c>
      <c r="U163">
        <v>1.372294760584E-4</v>
      </c>
      <c r="V163" t="s">
        <v>251</v>
      </c>
      <c r="X163">
        <v>1.1415525114155251E-4</v>
      </c>
      <c r="Y163">
        <v>2.1546544680075254E-5</v>
      </c>
      <c r="Z163" t="s">
        <v>1694</v>
      </c>
      <c r="AA163" t="s">
        <v>25</v>
      </c>
      <c r="AC163" t="s">
        <v>22</v>
      </c>
      <c r="AD163" t="s">
        <v>1694</v>
      </c>
      <c r="AE163">
        <v>1.3731924372149893E-4</v>
      </c>
      <c r="AG163" t="s">
        <v>97</v>
      </c>
      <c r="AH163" t="s">
        <v>1694</v>
      </c>
      <c r="AI163">
        <v>0</v>
      </c>
    </row>
    <row r="164" spans="5:35" x14ac:dyDescent="0.45">
      <c r="E164" t="s">
        <v>1367</v>
      </c>
      <c r="G164" t="s">
        <v>155</v>
      </c>
      <c r="I164" t="s">
        <v>249</v>
      </c>
      <c r="J164" t="s">
        <v>1695</v>
      </c>
      <c r="K164">
        <v>0</v>
      </c>
      <c r="L164" t="s">
        <v>251</v>
      </c>
      <c r="N164" t="s">
        <v>419</v>
      </c>
      <c r="O164" t="s">
        <v>1695</v>
      </c>
      <c r="P164">
        <v>1.212556913389E-4</v>
      </c>
      <c r="Q164" t="s">
        <v>251</v>
      </c>
      <c r="S164" t="s">
        <v>420</v>
      </c>
      <c r="T164" t="s">
        <v>1695</v>
      </c>
      <c r="U164">
        <v>1.3105800609600001E-4</v>
      </c>
      <c r="V164" t="s">
        <v>251</v>
      </c>
      <c r="X164">
        <v>1.1415525114155251E-4</v>
      </c>
      <c r="Y164">
        <v>1.4916838624667481E-5</v>
      </c>
      <c r="Z164" t="s">
        <v>1695</v>
      </c>
      <c r="AA164" t="s">
        <v>25</v>
      </c>
      <c r="AC164" t="s">
        <v>22</v>
      </c>
      <c r="AD164" t="s">
        <v>1695</v>
      </c>
      <c r="AE164">
        <v>1.3712155560182632E-4</v>
      </c>
      <c r="AG164" t="s">
        <v>97</v>
      </c>
      <c r="AH164" t="s">
        <v>1695</v>
      </c>
      <c r="AI164">
        <v>0</v>
      </c>
    </row>
    <row r="165" spans="5:35" x14ac:dyDescent="0.45">
      <c r="E165" t="s">
        <v>1368</v>
      </c>
      <c r="G165" t="s">
        <v>155</v>
      </c>
      <c r="I165" t="s">
        <v>249</v>
      </c>
      <c r="J165" t="s">
        <v>1696</v>
      </c>
      <c r="K165">
        <v>0</v>
      </c>
      <c r="L165" t="s">
        <v>251</v>
      </c>
      <c r="N165" t="s">
        <v>419</v>
      </c>
      <c r="O165" t="s">
        <v>1696</v>
      </c>
      <c r="P165">
        <v>1.21329051747E-4</v>
      </c>
      <c r="Q165" t="s">
        <v>251</v>
      </c>
      <c r="S165" t="s">
        <v>420</v>
      </c>
      <c r="T165" t="s">
        <v>1696</v>
      </c>
      <c r="U165">
        <v>1.188668013385E-4</v>
      </c>
      <c r="V165" t="s">
        <v>251</v>
      </c>
      <c r="X165">
        <v>1.1415525114155251E-4</v>
      </c>
      <c r="Y165">
        <v>1.6574265138519424E-5</v>
      </c>
      <c r="Z165" t="s">
        <v>1696</v>
      </c>
      <c r="AA165" t="s">
        <v>25</v>
      </c>
      <c r="AC165" t="s">
        <v>22</v>
      </c>
      <c r="AD165" t="s">
        <v>1696</v>
      </c>
      <c r="AE165">
        <v>1.3043083987541735E-4</v>
      </c>
      <c r="AG165" t="s">
        <v>97</v>
      </c>
      <c r="AH165" t="s">
        <v>1696</v>
      </c>
      <c r="AI165">
        <v>0</v>
      </c>
    </row>
    <row r="166" spans="5:35" x14ac:dyDescent="0.45">
      <c r="E166" t="s">
        <v>1369</v>
      </c>
      <c r="G166" t="s">
        <v>155</v>
      </c>
      <c r="I166" t="s">
        <v>249</v>
      </c>
      <c r="J166" t="s">
        <v>1697</v>
      </c>
      <c r="K166">
        <v>0</v>
      </c>
      <c r="L166" t="s">
        <v>251</v>
      </c>
      <c r="N166" t="s">
        <v>419</v>
      </c>
      <c r="O166" t="s">
        <v>1697</v>
      </c>
      <c r="P166">
        <v>1.284780399901E-4</v>
      </c>
      <c r="Q166" t="s">
        <v>251</v>
      </c>
      <c r="S166" t="s">
        <v>420</v>
      </c>
      <c r="T166" t="s">
        <v>1697</v>
      </c>
      <c r="U166">
        <v>9.7756140465919038E-5</v>
      </c>
      <c r="V166" t="s">
        <v>251</v>
      </c>
      <c r="X166">
        <v>1.1415525114155251E-4</v>
      </c>
      <c r="Y166">
        <v>1.4585353321897093E-5</v>
      </c>
      <c r="Z166" t="s">
        <v>1697</v>
      </c>
      <c r="AA166" t="s">
        <v>25</v>
      </c>
      <c r="AC166" t="s">
        <v>22</v>
      </c>
      <c r="AD166" t="s">
        <v>1697</v>
      </c>
      <c r="AE166">
        <v>1.2711469503394585E-4</v>
      </c>
      <c r="AG166" t="s">
        <v>97</v>
      </c>
      <c r="AH166" t="s">
        <v>1697</v>
      </c>
      <c r="AI166">
        <v>0</v>
      </c>
    </row>
    <row r="167" spans="5:35" x14ac:dyDescent="0.45">
      <c r="E167" t="s">
        <v>1370</v>
      </c>
      <c r="G167" t="s">
        <v>155</v>
      </c>
      <c r="I167" t="s">
        <v>249</v>
      </c>
      <c r="J167" t="s">
        <v>1698</v>
      </c>
      <c r="K167">
        <v>0</v>
      </c>
      <c r="L167" t="s">
        <v>251</v>
      </c>
      <c r="N167" t="s">
        <v>419</v>
      </c>
      <c r="O167" t="s">
        <v>1698</v>
      </c>
      <c r="P167">
        <v>1.1806819920689999E-4</v>
      </c>
      <c r="Q167" t="s">
        <v>251</v>
      </c>
      <c r="S167" t="s">
        <v>420</v>
      </c>
      <c r="T167" t="s">
        <v>1698</v>
      </c>
      <c r="U167">
        <v>7.3392703781983068E-5</v>
      </c>
      <c r="V167" t="s">
        <v>251</v>
      </c>
      <c r="X167">
        <v>1.1415525114155251E-4</v>
      </c>
      <c r="Y167">
        <v>2.1215059377304864E-5</v>
      </c>
      <c r="Z167" t="s">
        <v>1698</v>
      </c>
      <c r="AA167" t="s">
        <v>25</v>
      </c>
      <c r="AC167" t="s">
        <v>22</v>
      </c>
      <c r="AD167" t="s">
        <v>1698</v>
      </c>
      <c r="AE167">
        <v>1.2360433028542757E-4</v>
      </c>
      <c r="AG167" t="s">
        <v>97</v>
      </c>
      <c r="AH167" t="s">
        <v>1698</v>
      </c>
      <c r="AI167">
        <v>0</v>
      </c>
    </row>
    <row r="168" spans="5:35" x14ac:dyDescent="0.45">
      <c r="E168" t="s">
        <v>1371</v>
      </c>
      <c r="G168" t="s">
        <v>155</v>
      </c>
      <c r="I168" t="s">
        <v>249</v>
      </c>
      <c r="J168" t="s">
        <v>1699</v>
      </c>
      <c r="K168">
        <v>0</v>
      </c>
      <c r="L168" t="s">
        <v>251</v>
      </c>
      <c r="N168" t="s">
        <v>419</v>
      </c>
      <c r="O168" t="s">
        <v>1699</v>
      </c>
      <c r="P168">
        <v>1.092227314114E-4</v>
      </c>
      <c r="Q168" t="s">
        <v>251</v>
      </c>
      <c r="S168" t="s">
        <v>420</v>
      </c>
      <c r="T168" t="s">
        <v>1699</v>
      </c>
      <c r="U168">
        <v>6.0995943542733692E-5</v>
      </c>
      <c r="V168" t="s">
        <v>251</v>
      </c>
      <c r="X168">
        <v>1.1415525114155251E-4</v>
      </c>
      <c r="Y168">
        <v>5.7678442682047593E-5</v>
      </c>
      <c r="Z168" t="s">
        <v>1699</v>
      </c>
      <c r="AA168" t="s">
        <v>25</v>
      </c>
      <c r="AC168" t="s">
        <v>22</v>
      </c>
      <c r="AD168" t="s">
        <v>1699</v>
      </c>
      <c r="AE168">
        <v>1.1480147306988504E-4</v>
      </c>
      <c r="AG168" t="s">
        <v>97</v>
      </c>
      <c r="AH168" t="s">
        <v>1699</v>
      </c>
      <c r="AI168">
        <v>0</v>
      </c>
    </row>
    <row r="169" spans="5:35" x14ac:dyDescent="0.45">
      <c r="E169" t="s">
        <v>1372</v>
      </c>
      <c r="G169" t="s">
        <v>155</v>
      </c>
      <c r="I169" t="s">
        <v>249</v>
      </c>
      <c r="J169" t="s">
        <v>1700</v>
      </c>
      <c r="K169">
        <v>0</v>
      </c>
      <c r="L169" t="s">
        <v>251</v>
      </c>
      <c r="N169" t="s">
        <v>419</v>
      </c>
      <c r="O169" t="s">
        <v>1700</v>
      </c>
      <c r="P169">
        <v>1.070899240456E-4</v>
      </c>
      <c r="Q169" t="s">
        <v>251</v>
      </c>
      <c r="S169" t="s">
        <v>420</v>
      </c>
      <c r="T169" t="s">
        <v>1700</v>
      </c>
      <c r="U169">
        <v>5.3182173852455903E-5</v>
      </c>
      <c r="V169" t="s">
        <v>251</v>
      </c>
      <c r="X169">
        <v>1.1415525114155251E-4</v>
      </c>
      <c r="Y169">
        <v>1.6905750441289813E-4</v>
      </c>
      <c r="Z169" t="s">
        <v>1700</v>
      </c>
      <c r="AA169" t="s">
        <v>25</v>
      </c>
      <c r="AC169" t="s">
        <v>22</v>
      </c>
      <c r="AD169" t="s">
        <v>1700</v>
      </c>
      <c r="AE169">
        <v>1.0769190397250981E-4</v>
      </c>
      <c r="AG169" t="s">
        <v>97</v>
      </c>
      <c r="AH169" t="s">
        <v>1700</v>
      </c>
      <c r="AI169">
        <v>0</v>
      </c>
    </row>
    <row r="170" spans="5:35" x14ac:dyDescent="0.45">
      <c r="E170" t="s">
        <v>1373</v>
      </c>
      <c r="G170" t="s">
        <v>155</v>
      </c>
      <c r="I170" t="s">
        <v>249</v>
      </c>
      <c r="J170" t="s">
        <v>1701</v>
      </c>
      <c r="K170">
        <v>5.8434893973917015E-6</v>
      </c>
      <c r="L170" t="s">
        <v>251</v>
      </c>
      <c r="N170" t="s">
        <v>419</v>
      </c>
      <c r="O170" t="s">
        <v>1701</v>
      </c>
      <c r="P170">
        <v>1.064369345247E-4</v>
      </c>
      <c r="Q170" t="s">
        <v>251</v>
      </c>
      <c r="S170" t="s">
        <v>420</v>
      </c>
      <c r="T170" t="s">
        <v>1701</v>
      </c>
      <c r="U170">
        <v>4.8298475174549519E-5</v>
      </c>
      <c r="V170" t="s">
        <v>251</v>
      </c>
      <c r="X170">
        <v>1.1415525114155251E-4</v>
      </c>
      <c r="Y170">
        <v>1.9060404909297337E-4</v>
      </c>
      <c r="Z170" t="s">
        <v>1701</v>
      </c>
      <c r="AA170" t="s">
        <v>25</v>
      </c>
      <c r="AC170" t="s">
        <v>22</v>
      </c>
      <c r="AD170" t="s">
        <v>1701</v>
      </c>
      <c r="AE170">
        <v>1.0193307030010404E-4</v>
      </c>
      <c r="AG170" t="s">
        <v>97</v>
      </c>
      <c r="AH170" t="s">
        <v>1701</v>
      </c>
      <c r="AI170">
        <v>0</v>
      </c>
    </row>
    <row r="171" spans="5:35" x14ac:dyDescent="0.45">
      <c r="E171" t="s">
        <v>1374</v>
      </c>
      <c r="G171" t="s">
        <v>155</v>
      </c>
      <c r="I171" t="s">
        <v>249</v>
      </c>
      <c r="J171" t="s">
        <v>1702</v>
      </c>
      <c r="K171">
        <v>1.4370336228240001E-4</v>
      </c>
      <c r="L171" t="s">
        <v>251</v>
      </c>
      <c r="N171" t="s">
        <v>419</v>
      </c>
      <c r="O171" t="s">
        <v>1702</v>
      </c>
      <c r="P171">
        <v>1.0456417973170001E-4</v>
      </c>
      <c r="Q171" t="s">
        <v>251</v>
      </c>
      <c r="S171" t="s">
        <v>420</v>
      </c>
      <c r="T171" t="s">
        <v>1702</v>
      </c>
      <c r="U171">
        <v>4.6543762906532989E-5</v>
      </c>
      <c r="V171" t="s">
        <v>251</v>
      </c>
      <c r="X171">
        <v>1.1415525114155251E-4</v>
      </c>
      <c r="Y171">
        <v>1.4585353321897094E-4</v>
      </c>
      <c r="Z171" t="s">
        <v>1702</v>
      </c>
      <c r="AA171" t="s">
        <v>25</v>
      </c>
      <c r="AC171" t="s">
        <v>22</v>
      </c>
      <c r="AD171" t="s">
        <v>1702</v>
      </c>
      <c r="AE171">
        <v>9.8032665023972616E-5</v>
      </c>
      <c r="AG171" t="s">
        <v>97</v>
      </c>
      <c r="AH171" t="s">
        <v>1702</v>
      </c>
      <c r="AI171">
        <v>0</v>
      </c>
    </row>
    <row r="172" spans="5:35" x14ac:dyDescent="0.45">
      <c r="E172" t="s">
        <v>1375</v>
      </c>
      <c r="G172" t="s">
        <v>155</v>
      </c>
      <c r="I172" t="s">
        <v>249</v>
      </c>
      <c r="J172" t="s">
        <v>1703</v>
      </c>
      <c r="K172">
        <v>2.1054258952490001E-4</v>
      </c>
      <c r="L172" t="s">
        <v>251</v>
      </c>
      <c r="N172" t="s">
        <v>419</v>
      </c>
      <c r="O172" t="s">
        <v>1703</v>
      </c>
      <c r="P172">
        <v>1.006938174062E-4</v>
      </c>
      <c r="Q172" t="s">
        <v>251</v>
      </c>
      <c r="S172" t="s">
        <v>420</v>
      </c>
      <c r="T172" t="s">
        <v>1703</v>
      </c>
      <c r="U172">
        <v>4.8756081736854629E-5</v>
      </c>
      <c r="V172" t="s">
        <v>251</v>
      </c>
      <c r="X172">
        <v>1.1415525114155251E-4</v>
      </c>
      <c r="Y172">
        <v>1.4452759200788939E-4</v>
      </c>
      <c r="Z172" t="s">
        <v>1703</v>
      </c>
      <c r="AA172" t="s">
        <v>25</v>
      </c>
      <c r="AC172" t="s">
        <v>22</v>
      </c>
      <c r="AD172" t="s">
        <v>1703</v>
      </c>
      <c r="AE172">
        <v>9.7356363561934783E-5</v>
      </c>
      <c r="AG172" t="s">
        <v>97</v>
      </c>
      <c r="AH172" t="s">
        <v>1703</v>
      </c>
      <c r="AI172">
        <v>0</v>
      </c>
    </row>
    <row r="173" spans="5:35" x14ac:dyDescent="0.45">
      <c r="E173" t="s">
        <v>1376</v>
      </c>
      <c r="G173" t="s">
        <v>155</v>
      </c>
      <c r="I173" t="s">
        <v>249</v>
      </c>
      <c r="J173" t="s">
        <v>1704</v>
      </c>
      <c r="K173">
        <v>2.4679854233039999E-4</v>
      </c>
      <c r="L173" t="s">
        <v>251</v>
      </c>
      <c r="N173" t="s">
        <v>419</v>
      </c>
      <c r="O173" t="s">
        <v>1704</v>
      </c>
      <c r="P173">
        <v>1.018423748452E-4</v>
      </c>
      <c r="Q173" t="s">
        <v>251</v>
      </c>
      <c r="S173" t="s">
        <v>420</v>
      </c>
      <c r="T173" t="s">
        <v>1704</v>
      </c>
      <c r="U173">
        <v>5.0346379508530147E-5</v>
      </c>
      <c r="V173" t="s">
        <v>251</v>
      </c>
      <c r="X173">
        <v>1.1415525114155251E-4</v>
      </c>
      <c r="Y173">
        <v>1.408812536774151E-4</v>
      </c>
      <c r="Z173" t="s">
        <v>1704</v>
      </c>
      <c r="AA173" t="s">
        <v>25</v>
      </c>
      <c r="AC173" t="s">
        <v>22</v>
      </c>
      <c r="AD173" t="s">
        <v>1704</v>
      </c>
      <c r="AE173">
        <v>9.8809811437746282E-5</v>
      </c>
      <c r="AG173" t="s">
        <v>97</v>
      </c>
      <c r="AH173" t="s">
        <v>1704</v>
      </c>
      <c r="AI173">
        <v>0</v>
      </c>
    </row>
    <row r="174" spans="5:35" x14ac:dyDescent="0.45">
      <c r="E174" t="s">
        <v>1377</v>
      </c>
      <c r="G174" t="s">
        <v>155</v>
      </c>
      <c r="I174" t="s">
        <v>249</v>
      </c>
      <c r="J174" t="s">
        <v>1705</v>
      </c>
      <c r="K174">
        <v>2.5118296717099999E-4</v>
      </c>
      <c r="L174" t="s">
        <v>251</v>
      </c>
      <c r="N174" t="s">
        <v>419</v>
      </c>
      <c r="O174" t="s">
        <v>1705</v>
      </c>
      <c r="P174">
        <v>1.1001808916550001E-4</v>
      </c>
      <c r="Q174" t="s">
        <v>251</v>
      </c>
      <c r="S174" t="s">
        <v>420</v>
      </c>
      <c r="T174" t="s">
        <v>1705</v>
      </c>
      <c r="U174">
        <v>5.0157245488797762E-5</v>
      </c>
      <c r="V174" t="s">
        <v>251</v>
      </c>
      <c r="X174">
        <v>1.1415525114155251E-4</v>
      </c>
      <c r="Y174">
        <v>1.4054976837464471E-4</v>
      </c>
      <c r="Z174" t="s">
        <v>1705</v>
      </c>
      <c r="AA174" t="s">
        <v>25</v>
      </c>
      <c r="AC174" t="s">
        <v>22</v>
      </c>
      <c r="AD174" t="s">
        <v>1705</v>
      </c>
      <c r="AE174">
        <v>1.1179479950887267E-4</v>
      </c>
      <c r="AG174" t="s">
        <v>97</v>
      </c>
      <c r="AH174" t="s">
        <v>1705</v>
      </c>
      <c r="AI174">
        <v>0</v>
      </c>
    </row>
    <row r="175" spans="5:35" x14ac:dyDescent="0.45">
      <c r="E175" t="s">
        <v>1378</v>
      </c>
      <c r="G175" t="s">
        <v>155</v>
      </c>
      <c r="I175" t="s">
        <v>249</v>
      </c>
      <c r="J175" t="s">
        <v>1706</v>
      </c>
      <c r="K175">
        <v>2.3057628280270001E-4</v>
      </c>
      <c r="L175" t="s">
        <v>251</v>
      </c>
      <c r="N175" t="s">
        <v>419</v>
      </c>
      <c r="O175" t="s">
        <v>1706</v>
      </c>
      <c r="P175">
        <v>1.1632401989119999E-4</v>
      </c>
      <c r="Q175" t="s">
        <v>251</v>
      </c>
      <c r="S175" t="s">
        <v>420</v>
      </c>
      <c r="T175" t="s">
        <v>1706</v>
      </c>
      <c r="U175">
        <v>4.8700918176559507E-5</v>
      </c>
      <c r="V175" t="s">
        <v>251</v>
      </c>
      <c r="X175">
        <v>1.1415525114155251E-4</v>
      </c>
      <c r="Y175">
        <v>1.4253868019126702E-4</v>
      </c>
      <c r="Z175" t="s">
        <v>1706</v>
      </c>
      <c r="AA175" t="s">
        <v>25</v>
      </c>
      <c r="AC175" t="s">
        <v>22</v>
      </c>
      <c r="AD175" t="s">
        <v>1706</v>
      </c>
      <c r="AE175">
        <v>1.3787015595783351E-4</v>
      </c>
      <c r="AG175" t="s">
        <v>97</v>
      </c>
      <c r="AH175" t="s">
        <v>1706</v>
      </c>
      <c r="AI175">
        <v>0</v>
      </c>
    </row>
    <row r="176" spans="5:35" x14ac:dyDescent="0.45">
      <c r="E176" t="s">
        <v>1379</v>
      </c>
      <c r="G176" t="s">
        <v>155</v>
      </c>
      <c r="I176" t="s">
        <v>249</v>
      </c>
      <c r="J176" t="s">
        <v>1707</v>
      </c>
      <c r="K176">
        <v>2.281129130507E-4</v>
      </c>
      <c r="L176" t="s">
        <v>251</v>
      </c>
      <c r="N176" t="s">
        <v>419</v>
      </c>
      <c r="O176" t="s">
        <v>1707</v>
      </c>
      <c r="P176">
        <v>1.2109068879960001E-4</v>
      </c>
      <c r="Q176" t="s">
        <v>251</v>
      </c>
      <c r="S176" t="s">
        <v>420</v>
      </c>
      <c r="T176" t="s">
        <v>1707</v>
      </c>
      <c r="U176">
        <v>4.6149941589172248E-5</v>
      </c>
      <c r="V176" t="s">
        <v>251</v>
      </c>
      <c r="X176">
        <v>1.1415525114155251E-4</v>
      </c>
      <c r="Y176">
        <v>1.4883690094390442E-4</v>
      </c>
      <c r="Z176" t="s">
        <v>1707</v>
      </c>
      <c r="AA176" t="s">
        <v>25</v>
      </c>
      <c r="AC176" t="s">
        <v>22</v>
      </c>
      <c r="AD176" t="s">
        <v>1707</v>
      </c>
      <c r="AE176">
        <v>1.5001663693026764E-4</v>
      </c>
      <c r="AG176" t="s">
        <v>97</v>
      </c>
      <c r="AH176" t="s">
        <v>1707</v>
      </c>
      <c r="AI176">
        <v>0</v>
      </c>
    </row>
    <row r="177" spans="5:35" x14ac:dyDescent="0.45">
      <c r="E177" t="s">
        <v>1380</v>
      </c>
      <c r="G177" t="s">
        <v>155</v>
      </c>
      <c r="I177" t="s">
        <v>249</v>
      </c>
      <c r="J177" t="s">
        <v>1708</v>
      </c>
      <c r="K177">
        <v>2.4873498383199999E-4</v>
      </c>
      <c r="L177" t="s">
        <v>251</v>
      </c>
      <c r="N177" t="s">
        <v>419</v>
      </c>
      <c r="O177" t="s">
        <v>1708</v>
      </c>
      <c r="P177">
        <v>1.2383148774220001E-4</v>
      </c>
      <c r="Q177" t="s">
        <v>251</v>
      </c>
      <c r="S177" t="s">
        <v>420</v>
      </c>
      <c r="T177" t="s">
        <v>1708</v>
      </c>
      <c r="U177">
        <v>4.3223568090615086E-5</v>
      </c>
      <c r="V177" t="s">
        <v>251</v>
      </c>
      <c r="X177">
        <v>1.1415525114155251E-4</v>
      </c>
      <c r="Y177">
        <v>1.5049432745775637E-4</v>
      </c>
      <c r="Z177" t="s">
        <v>1708</v>
      </c>
      <c r="AA177" t="s">
        <v>25</v>
      </c>
      <c r="AC177" t="s">
        <v>22</v>
      </c>
      <c r="AD177" t="s">
        <v>1708</v>
      </c>
      <c r="AE177">
        <v>1.5484012033604435E-4</v>
      </c>
      <c r="AG177" t="s">
        <v>97</v>
      </c>
      <c r="AH177" t="s">
        <v>1708</v>
      </c>
      <c r="AI177">
        <v>0</v>
      </c>
    </row>
    <row r="178" spans="5:35" x14ac:dyDescent="0.45">
      <c r="E178" t="s">
        <v>1381</v>
      </c>
      <c r="G178" t="s">
        <v>155</v>
      </c>
      <c r="I178" t="s">
        <v>249</v>
      </c>
      <c r="J178" t="s">
        <v>1709</v>
      </c>
      <c r="K178">
        <v>2.4572371960689999E-4</v>
      </c>
      <c r="L178" t="s">
        <v>251</v>
      </c>
      <c r="N178" t="s">
        <v>419</v>
      </c>
      <c r="O178" t="s">
        <v>1709</v>
      </c>
      <c r="P178">
        <v>1.26426090076E-4</v>
      </c>
      <c r="Q178" t="s">
        <v>251</v>
      </c>
      <c r="S178" t="s">
        <v>420</v>
      </c>
      <c r="T178" t="s">
        <v>1709</v>
      </c>
      <c r="U178">
        <v>4.1205502180828642E-5</v>
      </c>
      <c r="V178" t="s">
        <v>251</v>
      </c>
      <c r="X178">
        <v>1.1415525114155251E-4</v>
      </c>
      <c r="Y178">
        <v>1.7237235744060203E-4</v>
      </c>
      <c r="Z178" t="s">
        <v>1709</v>
      </c>
      <c r="AA178" t="s">
        <v>25</v>
      </c>
      <c r="AC178" t="s">
        <v>22</v>
      </c>
      <c r="AD178" t="s">
        <v>1709</v>
      </c>
      <c r="AE178">
        <v>1.4347852255939536E-4</v>
      </c>
      <c r="AG178" t="s">
        <v>97</v>
      </c>
      <c r="AH178" t="s">
        <v>1709</v>
      </c>
      <c r="AI178">
        <v>0</v>
      </c>
    </row>
    <row r="179" spans="5:35" x14ac:dyDescent="0.45">
      <c r="E179" t="s">
        <v>1382</v>
      </c>
      <c r="G179" t="s">
        <v>159</v>
      </c>
      <c r="I179" t="s">
        <v>249</v>
      </c>
      <c r="J179" t="s">
        <v>1710</v>
      </c>
      <c r="K179">
        <v>2.098328675206E-4</v>
      </c>
      <c r="L179" t="s">
        <v>251</v>
      </c>
      <c r="N179" t="s">
        <v>419</v>
      </c>
      <c r="O179" t="s">
        <v>1710</v>
      </c>
      <c r="P179">
        <v>1.3294178826439999E-4</v>
      </c>
      <c r="Q179" t="s">
        <v>251</v>
      </c>
      <c r="S179" t="s">
        <v>420</v>
      </c>
      <c r="T179" t="s">
        <v>1710</v>
      </c>
      <c r="U179">
        <v>4.0640045899168923E-5</v>
      </c>
      <c r="V179" t="s">
        <v>251</v>
      </c>
      <c r="X179">
        <v>1.1415525114155251E-4</v>
      </c>
      <c r="Y179">
        <v>2.2209515285616027E-4</v>
      </c>
      <c r="Z179" t="s">
        <v>1710</v>
      </c>
      <c r="AA179" t="s">
        <v>25</v>
      </c>
      <c r="AC179" t="s">
        <v>22</v>
      </c>
      <c r="AD179" t="s">
        <v>1710</v>
      </c>
      <c r="AE179">
        <v>1.4189034796234951E-4</v>
      </c>
      <c r="AG179" t="s">
        <v>97</v>
      </c>
      <c r="AH179" t="s">
        <v>1710</v>
      </c>
      <c r="AI179">
        <v>0</v>
      </c>
    </row>
    <row r="180" spans="5:35" x14ac:dyDescent="0.45">
      <c r="E180" t="s">
        <v>1383</v>
      </c>
      <c r="G180" t="s">
        <v>159</v>
      </c>
      <c r="I180" t="s">
        <v>249</v>
      </c>
      <c r="J180" t="s">
        <v>1711</v>
      </c>
      <c r="K180">
        <v>1.440730855955E-4</v>
      </c>
      <c r="L180" t="s">
        <v>251</v>
      </c>
      <c r="N180" t="s">
        <v>419</v>
      </c>
      <c r="O180" t="s">
        <v>1711</v>
      </c>
      <c r="P180">
        <v>1.3970616273629999E-4</v>
      </c>
      <c r="Q180" t="s">
        <v>251</v>
      </c>
      <c r="S180" t="s">
        <v>420</v>
      </c>
      <c r="T180" t="s">
        <v>1711</v>
      </c>
      <c r="U180">
        <v>3.8410949588374451E-5</v>
      </c>
      <c r="V180" t="s">
        <v>251</v>
      </c>
      <c r="X180">
        <v>1.1415525114155251E-4</v>
      </c>
      <c r="Y180">
        <v>2.2209515285616027E-4</v>
      </c>
      <c r="Z180" t="s">
        <v>1711</v>
      </c>
      <c r="AA180" t="s">
        <v>25</v>
      </c>
      <c r="AC180" t="s">
        <v>22</v>
      </c>
      <c r="AD180" t="s">
        <v>1711</v>
      </c>
      <c r="AE180">
        <v>1.4455313490223102E-4</v>
      </c>
      <c r="AG180" t="s">
        <v>97</v>
      </c>
      <c r="AH180" t="s">
        <v>1711</v>
      </c>
      <c r="AI180">
        <v>0</v>
      </c>
    </row>
    <row r="181" spans="5:35" x14ac:dyDescent="0.45">
      <c r="E181" t="s">
        <v>1384</v>
      </c>
      <c r="G181" t="s">
        <v>159</v>
      </c>
      <c r="I181" t="s">
        <v>249</v>
      </c>
      <c r="J181" t="s">
        <v>1712</v>
      </c>
      <c r="K181">
        <v>2.7904482579282164E-6</v>
      </c>
      <c r="L181" t="s">
        <v>251</v>
      </c>
      <c r="N181" t="s">
        <v>419</v>
      </c>
      <c r="O181" t="s">
        <v>1712</v>
      </c>
      <c r="P181">
        <v>1.463822054741E-4</v>
      </c>
      <c r="Q181" t="s">
        <v>251</v>
      </c>
      <c r="S181" t="s">
        <v>420</v>
      </c>
      <c r="T181" t="s">
        <v>1712</v>
      </c>
      <c r="U181">
        <v>4.8158125960625118E-5</v>
      </c>
      <c r="V181" t="s">
        <v>251</v>
      </c>
      <c r="X181">
        <v>1.1415525114155251E-4</v>
      </c>
      <c r="Y181">
        <v>1.7237235744060203E-4</v>
      </c>
      <c r="Z181" t="s">
        <v>1712</v>
      </c>
      <c r="AA181" t="s">
        <v>25</v>
      </c>
      <c r="AC181" t="s">
        <v>22</v>
      </c>
      <c r="AD181" t="s">
        <v>1712</v>
      </c>
      <c r="AE181">
        <v>1.456186765351222E-4</v>
      </c>
      <c r="AG181" t="s">
        <v>97</v>
      </c>
      <c r="AH181" t="s">
        <v>1712</v>
      </c>
      <c r="AI181">
        <v>0</v>
      </c>
    </row>
    <row r="182" spans="5:35" x14ac:dyDescent="0.45">
      <c r="E182" t="s">
        <v>1385</v>
      </c>
      <c r="G182" t="s">
        <v>159</v>
      </c>
      <c r="I182" t="s">
        <v>249</v>
      </c>
      <c r="J182" t="s">
        <v>1713</v>
      </c>
      <c r="K182">
        <v>0</v>
      </c>
      <c r="L182" t="s">
        <v>251</v>
      </c>
      <c r="N182" t="s">
        <v>419</v>
      </c>
      <c r="O182" t="s">
        <v>1713</v>
      </c>
      <c r="P182">
        <v>1.513422980671E-4</v>
      </c>
      <c r="Q182" t="s">
        <v>251</v>
      </c>
      <c r="S182" t="s">
        <v>420</v>
      </c>
      <c r="T182" t="s">
        <v>1713</v>
      </c>
      <c r="U182">
        <v>6.0167073936179656E-5</v>
      </c>
      <c r="V182" t="s">
        <v>251</v>
      </c>
      <c r="X182">
        <v>1.1415525114155251E-4</v>
      </c>
      <c r="Y182">
        <v>1.5579809230208258E-4</v>
      </c>
      <c r="Z182" t="s">
        <v>1713</v>
      </c>
      <c r="AA182" t="s">
        <v>25</v>
      </c>
      <c r="AC182" t="s">
        <v>22</v>
      </c>
      <c r="AD182" t="s">
        <v>1713</v>
      </c>
      <c r="AE182">
        <v>1.4599137599960614E-4</v>
      </c>
      <c r="AG182" t="s">
        <v>97</v>
      </c>
      <c r="AH182" t="s">
        <v>1713</v>
      </c>
      <c r="AI182">
        <v>0</v>
      </c>
    </row>
    <row r="183" spans="5:35" x14ac:dyDescent="0.45">
      <c r="E183" t="s">
        <v>1386</v>
      </c>
      <c r="G183" t="s">
        <v>159</v>
      </c>
      <c r="I183" t="s">
        <v>249</v>
      </c>
      <c r="J183" t="s">
        <v>1714</v>
      </c>
      <c r="K183">
        <v>0</v>
      </c>
      <c r="L183" t="s">
        <v>251</v>
      </c>
      <c r="N183" t="s">
        <v>419</v>
      </c>
      <c r="O183" t="s">
        <v>1714</v>
      </c>
      <c r="P183">
        <v>1.553082920622E-4</v>
      </c>
      <c r="Q183" t="s">
        <v>251</v>
      </c>
      <c r="S183" t="s">
        <v>420</v>
      </c>
      <c r="T183" t="s">
        <v>1714</v>
      </c>
      <c r="U183">
        <v>7.3124627337070854E-5</v>
      </c>
      <c r="V183" t="s">
        <v>251</v>
      </c>
      <c r="X183">
        <v>1.1415525114155251E-4</v>
      </c>
      <c r="Y183">
        <v>1.093901499142282E-4</v>
      </c>
      <c r="Z183" t="s">
        <v>1714</v>
      </c>
      <c r="AA183" t="s">
        <v>25</v>
      </c>
      <c r="AC183" t="s">
        <v>22</v>
      </c>
      <c r="AD183" t="s">
        <v>1714</v>
      </c>
      <c r="AE183">
        <v>1.4659831320912729E-4</v>
      </c>
      <c r="AG183" t="s">
        <v>97</v>
      </c>
      <c r="AH183" t="s">
        <v>1714</v>
      </c>
      <c r="AI183">
        <v>0</v>
      </c>
    </row>
    <row r="184" spans="5:35" x14ac:dyDescent="0.45">
      <c r="E184" t="s">
        <v>1387</v>
      </c>
      <c r="G184" t="s">
        <v>159</v>
      </c>
      <c r="I184" t="s">
        <v>249</v>
      </c>
      <c r="J184" t="s">
        <v>1715</v>
      </c>
      <c r="K184">
        <v>0</v>
      </c>
      <c r="L184" t="s">
        <v>251</v>
      </c>
      <c r="N184" t="s">
        <v>419</v>
      </c>
      <c r="O184" t="s">
        <v>1715</v>
      </c>
      <c r="P184">
        <v>1.5880999429709999E-4</v>
      </c>
      <c r="Q184" t="s">
        <v>251</v>
      </c>
      <c r="S184" t="s">
        <v>420</v>
      </c>
      <c r="T184" t="s">
        <v>1715</v>
      </c>
      <c r="U184">
        <v>8.5375438584176194E-5</v>
      </c>
      <c r="V184" t="s">
        <v>251</v>
      </c>
      <c r="X184">
        <v>1.1415525114155251E-4</v>
      </c>
      <c r="Y184">
        <v>7.9556472664893237E-5</v>
      </c>
      <c r="Z184" t="s">
        <v>1715</v>
      </c>
      <c r="AA184" t="s">
        <v>25</v>
      </c>
      <c r="AC184" t="s">
        <v>22</v>
      </c>
      <c r="AD184" t="s">
        <v>1715</v>
      </c>
      <c r="AE184">
        <v>1.4730075965865217E-4</v>
      </c>
      <c r="AG184" t="s">
        <v>97</v>
      </c>
      <c r="AH184" t="s">
        <v>1715</v>
      </c>
      <c r="AI184">
        <v>0</v>
      </c>
    </row>
    <row r="185" spans="5:35" x14ac:dyDescent="0.45">
      <c r="E185" t="s">
        <v>1388</v>
      </c>
      <c r="G185" t="s">
        <v>159</v>
      </c>
      <c r="I185" t="s">
        <v>249</v>
      </c>
      <c r="J185" t="s">
        <v>1716</v>
      </c>
      <c r="K185">
        <v>0</v>
      </c>
      <c r="L185" t="s">
        <v>251</v>
      </c>
      <c r="N185" t="s">
        <v>419</v>
      </c>
      <c r="O185" t="s">
        <v>1716</v>
      </c>
      <c r="P185">
        <v>1.5995951079889999E-4</v>
      </c>
      <c r="Q185" t="s">
        <v>251</v>
      </c>
      <c r="S185" t="s">
        <v>420</v>
      </c>
      <c r="T185" t="s">
        <v>1716</v>
      </c>
      <c r="U185">
        <v>9.6370913974176914E-5</v>
      </c>
      <c r="V185" t="s">
        <v>251</v>
      </c>
      <c r="X185">
        <v>1.1415525114155251E-4</v>
      </c>
      <c r="Y185">
        <v>5.6352501470966035E-5</v>
      </c>
      <c r="Z185" t="s">
        <v>1716</v>
      </c>
      <c r="AA185" t="s">
        <v>25</v>
      </c>
      <c r="AC185" t="s">
        <v>22</v>
      </c>
      <c r="AD185" t="s">
        <v>1716</v>
      </c>
      <c r="AE185">
        <v>1.5062250699744234E-4</v>
      </c>
      <c r="AG185" t="s">
        <v>97</v>
      </c>
      <c r="AH185" t="s">
        <v>1716</v>
      </c>
      <c r="AI185">
        <v>0</v>
      </c>
    </row>
    <row r="186" spans="5:35" x14ac:dyDescent="0.45">
      <c r="E186" t="s">
        <v>1389</v>
      </c>
      <c r="G186" t="s">
        <v>159</v>
      </c>
      <c r="I186" t="s">
        <v>249</v>
      </c>
      <c r="J186" t="s">
        <v>1717</v>
      </c>
      <c r="K186">
        <v>0</v>
      </c>
      <c r="L186" t="s">
        <v>251</v>
      </c>
      <c r="N186" t="s">
        <v>419</v>
      </c>
      <c r="O186" t="s">
        <v>1717</v>
      </c>
      <c r="P186">
        <v>1.570619218241E-4</v>
      </c>
      <c r="Q186" t="s">
        <v>251</v>
      </c>
      <c r="S186" t="s">
        <v>420</v>
      </c>
      <c r="T186" t="s">
        <v>1717</v>
      </c>
      <c r="U186">
        <v>1.0881178014600001E-4</v>
      </c>
      <c r="V186" t="s">
        <v>251</v>
      </c>
      <c r="X186">
        <v>1.1415525114155251E-4</v>
      </c>
      <c r="Y186">
        <v>2.9833677249334962E-5</v>
      </c>
      <c r="Z186" t="s">
        <v>1717</v>
      </c>
      <c r="AA186" t="s">
        <v>25</v>
      </c>
      <c r="AC186" t="s">
        <v>22</v>
      </c>
      <c r="AD186" t="s">
        <v>1717</v>
      </c>
      <c r="AE186">
        <v>1.5613002864726838E-4</v>
      </c>
      <c r="AG186" t="s">
        <v>97</v>
      </c>
      <c r="AH186" t="s">
        <v>1717</v>
      </c>
      <c r="AI186">
        <v>0</v>
      </c>
    </row>
    <row r="187" spans="5:35" x14ac:dyDescent="0.45">
      <c r="E187" t="s">
        <v>1390</v>
      </c>
      <c r="G187" t="s">
        <v>159</v>
      </c>
      <c r="I187" t="s">
        <v>249</v>
      </c>
      <c r="J187" t="s">
        <v>259</v>
      </c>
      <c r="K187">
        <v>0</v>
      </c>
      <c r="L187" t="s">
        <v>251</v>
      </c>
      <c r="N187" t="s">
        <v>419</v>
      </c>
      <c r="O187" t="s">
        <v>259</v>
      </c>
      <c r="P187">
        <v>2.3481304814210565E-2</v>
      </c>
      <c r="Q187" t="s">
        <v>251</v>
      </c>
      <c r="S187" t="s">
        <v>420</v>
      </c>
      <c r="T187" t="s">
        <v>259</v>
      </c>
      <c r="U187">
        <v>1.9754903091872038E-2</v>
      </c>
      <c r="V187" t="s">
        <v>251</v>
      </c>
      <c r="X187">
        <v>1.9178082191780823E-2</v>
      </c>
      <c r="Y187">
        <v>4.1024621070863279E-3</v>
      </c>
      <c r="Z187" t="s">
        <v>259</v>
      </c>
      <c r="AA187" t="s">
        <v>25</v>
      </c>
      <c r="AC187" t="s">
        <v>22</v>
      </c>
      <c r="AD187" t="s">
        <v>259</v>
      </c>
      <c r="AE187">
        <v>2.2896086115652619E-2</v>
      </c>
      <c r="AG187" t="s">
        <v>97</v>
      </c>
      <c r="AH187" t="s">
        <v>259</v>
      </c>
      <c r="AI187">
        <v>0.12864077698193355</v>
      </c>
    </row>
    <row r="188" spans="5:35" x14ac:dyDescent="0.45">
      <c r="E188" t="s">
        <v>1391</v>
      </c>
      <c r="G188" t="s">
        <v>159</v>
      </c>
      <c r="I188" t="s">
        <v>249</v>
      </c>
      <c r="J188" t="s">
        <v>260</v>
      </c>
      <c r="K188">
        <v>0</v>
      </c>
      <c r="L188" t="s">
        <v>251</v>
      </c>
      <c r="N188" t="s">
        <v>419</v>
      </c>
      <c r="O188" t="s">
        <v>260</v>
      </c>
      <c r="P188">
        <v>3.7740954442265625E-3</v>
      </c>
      <c r="Q188" t="s">
        <v>251</v>
      </c>
      <c r="S188" t="s">
        <v>420</v>
      </c>
      <c r="T188" t="s">
        <v>260</v>
      </c>
      <c r="U188">
        <v>3.2951224764679998E-3</v>
      </c>
      <c r="V188" t="s">
        <v>251</v>
      </c>
      <c r="X188">
        <v>3.1963470319634705E-3</v>
      </c>
      <c r="Y188">
        <v>4.7336101235611484E-3</v>
      </c>
      <c r="Z188" t="s">
        <v>260</v>
      </c>
      <c r="AA188" t="s">
        <v>25</v>
      </c>
      <c r="AC188" t="s">
        <v>22</v>
      </c>
      <c r="AD188" t="s">
        <v>260</v>
      </c>
      <c r="AE188">
        <v>2.9647089268274645E-3</v>
      </c>
      <c r="AG188" t="s">
        <v>97</v>
      </c>
      <c r="AH188" t="s">
        <v>260</v>
      </c>
      <c r="AI188">
        <v>3.3859865116665055E-2</v>
      </c>
    </row>
    <row r="189" spans="5:35" x14ac:dyDescent="0.45">
      <c r="E189" t="s">
        <v>1392</v>
      </c>
      <c r="G189" t="s">
        <v>159</v>
      </c>
      <c r="I189" t="s">
        <v>249</v>
      </c>
      <c r="J189" t="s">
        <v>261</v>
      </c>
      <c r="K189">
        <v>1.4992998855750718E-3</v>
      </c>
      <c r="L189" t="s">
        <v>251</v>
      </c>
      <c r="N189" t="s">
        <v>419</v>
      </c>
      <c r="O189" t="s">
        <v>261</v>
      </c>
      <c r="P189">
        <v>3.6923333232428317E-3</v>
      </c>
      <c r="Q189" t="s">
        <v>251</v>
      </c>
      <c r="S189" t="s">
        <v>420</v>
      </c>
      <c r="T189" t="s">
        <v>261</v>
      </c>
      <c r="U189">
        <v>3.3367695807182242E-3</v>
      </c>
      <c r="V189" t="s">
        <v>251</v>
      </c>
      <c r="X189">
        <v>3.1963470319634705E-3</v>
      </c>
      <c r="Y189">
        <v>5.3369133746032542E-3</v>
      </c>
      <c r="Z189" t="s">
        <v>261</v>
      </c>
      <c r="AA189" t="s">
        <v>25</v>
      </c>
      <c r="AC189" t="s">
        <v>22</v>
      </c>
      <c r="AD189" t="s">
        <v>261</v>
      </c>
      <c r="AE189">
        <v>2.8542655632568538E-3</v>
      </c>
      <c r="AG189" t="s">
        <v>97</v>
      </c>
      <c r="AH189" t="s">
        <v>261</v>
      </c>
      <c r="AI189">
        <v>3.8486308157986038E-2</v>
      </c>
    </row>
    <row r="190" spans="5:35" x14ac:dyDescent="0.45">
      <c r="E190" t="s">
        <v>1393</v>
      </c>
      <c r="G190" t="s">
        <v>159</v>
      </c>
      <c r="I190" t="s">
        <v>249</v>
      </c>
      <c r="J190" t="s">
        <v>262</v>
      </c>
      <c r="K190">
        <v>5.1766651636087666E-2</v>
      </c>
      <c r="L190" t="s">
        <v>251</v>
      </c>
      <c r="N190" t="s">
        <v>419</v>
      </c>
      <c r="O190" t="s">
        <v>262</v>
      </c>
      <c r="P190">
        <v>2.2324505427612603E-2</v>
      </c>
      <c r="Q190" t="s">
        <v>251</v>
      </c>
      <c r="S190" t="s">
        <v>420</v>
      </c>
      <c r="T190" t="s">
        <v>262</v>
      </c>
      <c r="U190">
        <v>2.2551272067444204E-2</v>
      </c>
      <c r="V190" t="s">
        <v>251</v>
      </c>
      <c r="X190">
        <v>2.2374429223744292E-2</v>
      </c>
      <c r="Y190">
        <v>2.8383097564411743E-2</v>
      </c>
      <c r="Z190" t="s">
        <v>262</v>
      </c>
      <c r="AA190" t="s">
        <v>25</v>
      </c>
      <c r="AC190" t="s">
        <v>22</v>
      </c>
      <c r="AD190" t="s">
        <v>262</v>
      </c>
      <c r="AE190">
        <v>2.2611760915675246E-2</v>
      </c>
      <c r="AG190" t="s">
        <v>97</v>
      </c>
      <c r="AH190" t="s">
        <v>262</v>
      </c>
      <c r="AI190">
        <v>0.25495227960040112</v>
      </c>
    </row>
    <row r="191" spans="5:35" x14ac:dyDescent="0.45">
      <c r="E191" t="s">
        <v>1394</v>
      </c>
      <c r="G191" t="s">
        <v>159</v>
      </c>
      <c r="I191" t="s">
        <v>249</v>
      </c>
      <c r="J191" t="s">
        <v>263</v>
      </c>
      <c r="K191">
        <v>7.7527070420746998E-3</v>
      </c>
      <c r="L191" t="s">
        <v>251</v>
      </c>
      <c r="N191" t="s">
        <v>419</v>
      </c>
      <c r="O191" t="s">
        <v>263</v>
      </c>
      <c r="P191">
        <v>3.1634338998694418E-3</v>
      </c>
      <c r="Q191" t="s">
        <v>251</v>
      </c>
      <c r="S191" t="s">
        <v>420</v>
      </c>
      <c r="T191" t="s">
        <v>263</v>
      </c>
      <c r="U191">
        <v>3.2777538177060517E-3</v>
      </c>
      <c r="V191" t="s">
        <v>251</v>
      </c>
      <c r="X191">
        <v>3.1963470319634705E-3</v>
      </c>
      <c r="Y191">
        <v>4.8264260083368555E-3</v>
      </c>
      <c r="Z191" t="s">
        <v>263</v>
      </c>
      <c r="AA191" t="s">
        <v>25</v>
      </c>
      <c r="AC191" t="s">
        <v>22</v>
      </c>
      <c r="AD191" t="s">
        <v>263</v>
      </c>
      <c r="AE191">
        <v>3.7331394554868057E-3</v>
      </c>
      <c r="AG191" t="s">
        <v>97</v>
      </c>
      <c r="AH191" t="s">
        <v>263</v>
      </c>
      <c r="AI191">
        <v>6.1402087948880135E-2</v>
      </c>
    </row>
    <row r="192" spans="5:35" x14ac:dyDescent="0.45">
      <c r="E192" t="s">
        <v>1395</v>
      </c>
      <c r="G192" t="s">
        <v>159</v>
      </c>
      <c r="I192" t="s">
        <v>249</v>
      </c>
      <c r="J192" t="s">
        <v>264</v>
      </c>
      <c r="K192">
        <v>6.9369952756191998E-3</v>
      </c>
      <c r="L192" t="s">
        <v>251</v>
      </c>
      <c r="N192" t="s">
        <v>419</v>
      </c>
      <c r="O192" t="s">
        <v>264</v>
      </c>
      <c r="P192">
        <v>3.1287299784836832E-3</v>
      </c>
      <c r="Q192" t="s">
        <v>251</v>
      </c>
      <c r="S192" t="s">
        <v>420</v>
      </c>
      <c r="T192" t="s">
        <v>264</v>
      </c>
      <c r="U192">
        <v>3.207477124844925E-3</v>
      </c>
      <c r="V192" t="s">
        <v>251</v>
      </c>
      <c r="X192">
        <v>3.1963470319634705E-3</v>
      </c>
      <c r="Y192">
        <v>6.2186642799724884E-3</v>
      </c>
      <c r="Z192" t="s">
        <v>264</v>
      </c>
      <c r="AA192" t="s">
        <v>25</v>
      </c>
      <c r="AC192" t="s">
        <v>22</v>
      </c>
      <c r="AD192" t="s">
        <v>264</v>
      </c>
      <c r="AE192">
        <v>3.7572688778670866E-3</v>
      </c>
      <c r="AG192" t="s">
        <v>97</v>
      </c>
      <c r="AH192" t="s">
        <v>264</v>
      </c>
      <c r="AI192">
        <v>4.131887142725077E-2</v>
      </c>
    </row>
    <row r="193" spans="5:35" x14ac:dyDescent="0.45">
      <c r="E193" t="s">
        <v>1396</v>
      </c>
      <c r="G193" t="s">
        <v>159</v>
      </c>
      <c r="I193" t="s">
        <v>249</v>
      </c>
      <c r="J193" t="s">
        <v>265</v>
      </c>
      <c r="K193">
        <v>5.2681138919458571E-3</v>
      </c>
      <c r="L193" t="s">
        <v>251</v>
      </c>
      <c r="N193" t="s">
        <v>419</v>
      </c>
      <c r="O193" t="s">
        <v>265</v>
      </c>
      <c r="P193">
        <v>3.195747205006759E-3</v>
      </c>
      <c r="Q193" t="s">
        <v>251</v>
      </c>
      <c r="S193" t="s">
        <v>420</v>
      </c>
      <c r="T193" t="s">
        <v>265</v>
      </c>
      <c r="U193">
        <v>3.2125535585024651E-3</v>
      </c>
      <c r="V193" t="s">
        <v>251</v>
      </c>
      <c r="X193">
        <v>3.1963470319634705E-3</v>
      </c>
      <c r="Y193">
        <v>6.2186642799724884E-3</v>
      </c>
      <c r="Z193" t="s">
        <v>265</v>
      </c>
      <c r="AA193" t="s">
        <v>25</v>
      </c>
      <c r="AC193" t="s">
        <v>22</v>
      </c>
      <c r="AD193" t="s">
        <v>265</v>
      </c>
      <c r="AE193">
        <v>3.8128013648607842E-3</v>
      </c>
      <c r="AG193" t="s">
        <v>97</v>
      </c>
      <c r="AH193" t="s">
        <v>265</v>
      </c>
      <c r="AI193">
        <v>4.7685309383565633E-2</v>
      </c>
    </row>
    <row r="194" spans="5:35" x14ac:dyDescent="0.45">
      <c r="E194" t="s">
        <v>1397</v>
      </c>
      <c r="G194" t="s">
        <v>159</v>
      </c>
      <c r="I194" t="s">
        <v>249</v>
      </c>
      <c r="J194" t="s">
        <v>266</v>
      </c>
      <c r="K194">
        <v>1.4233024215025481E-3</v>
      </c>
      <c r="L194" t="s">
        <v>251</v>
      </c>
      <c r="N194" t="s">
        <v>419</v>
      </c>
      <c r="O194" t="s">
        <v>266</v>
      </c>
      <c r="P194">
        <v>2.2390086492101429E-2</v>
      </c>
      <c r="Q194" t="s">
        <v>251</v>
      </c>
      <c r="S194" t="s">
        <v>420</v>
      </c>
      <c r="T194" t="s">
        <v>266</v>
      </c>
      <c r="U194">
        <v>2.1220689791239932E-2</v>
      </c>
      <c r="V194" t="s">
        <v>251</v>
      </c>
      <c r="X194">
        <v>1.9178082191780823E-2</v>
      </c>
      <c r="Y194">
        <v>1.6892491029178995E-2</v>
      </c>
      <c r="Z194" t="s">
        <v>266</v>
      </c>
      <c r="AA194" t="s">
        <v>25</v>
      </c>
      <c r="AC194" t="s">
        <v>22</v>
      </c>
      <c r="AD194" t="s">
        <v>266</v>
      </c>
      <c r="AE194">
        <v>2.3465842218325692E-2</v>
      </c>
      <c r="AG194" t="s">
        <v>97</v>
      </c>
      <c r="AH194" t="s">
        <v>266</v>
      </c>
      <c r="AI194">
        <v>0.10329064660861342</v>
      </c>
    </row>
    <row r="195" spans="5:35" x14ac:dyDescent="0.45">
      <c r="E195" t="s">
        <v>1398</v>
      </c>
      <c r="G195" t="s">
        <v>159</v>
      </c>
      <c r="I195" t="s">
        <v>249</v>
      </c>
      <c r="J195" t="s">
        <v>267</v>
      </c>
      <c r="K195">
        <v>0</v>
      </c>
      <c r="L195" t="s">
        <v>251</v>
      </c>
      <c r="N195" t="s">
        <v>419</v>
      </c>
      <c r="O195" t="s">
        <v>267</v>
      </c>
      <c r="P195">
        <v>2.3696513651476212E-2</v>
      </c>
      <c r="Q195" t="s">
        <v>251</v>
      </c>
      <c r="S195" t="s">
        <v>420</v>
      </c>
      <c r="T195" t="s">
        <v>267</v>
      </c>
      <c r="U195">
        <v>2.2481855357132385E-2</v>
      </c>
      <c r="V195" t="s">
        <v>251</v>
      </c>
      <c r="X195">
        <v>2.1232876712328767E-2</v>
      </c>
      <c r="Y195">
        <v>4.5420116185598634E-3</v>
      </c>
      <c r="Z195" t="s">
        <v>267</v>
      </c>
      <c r="AA195" t="s">
        <v>25</v>
      </c>
      <c r="AC195" t="s">
        <v>22</v>
      </c>
      <c r="AD195" t="s">
        <v>267</v>
      </c>
      <c r="AE195">
        <v>2.2591121974294134E-2</v>
      </c>
      <c r="AG195" t="s">
        <v>97</v>
      </c>
      <c r="AH195" t="s">
        <v>267</v>
      </c>
      <c r="AI195">
        <v>0.19029896922146872</v>
      </c>
    </row>
    <row r="196" spans="5:35" x14ac:dyDescent="0.45">
      <c r="E196" t="s">
        <v>1399</v>
      </c>
      <c r="G196" t="s">
        <v>159</v>
      </c>
      <c r="I196" t="s">
        <v>249</v>
      </c>
      <c r="J196" t="s">
        <v>268</v>
      </c>
      <c r="K196">
        <v>3.098396949005206E-4</v>
      </c>
      <c r="L196" t="s">
        <v>251</v>
      </c>
      <c r="N196" t="s">
        <v>419</v>
      </c>
      <c r="O196" t="s">
        <v>268</v>
      </c>
      <c r="P196">
        <v>3.8857602971645077E-3</v>
      </c>
      <c r="Q196" t="s">
        <v>251</v>
      </c>
      <c r="S196" t="s">
        <v>420</v>
      </c>
      <c r="T196" t="s">
        <v>268</v>
      </c>
      <c r="U196">
        <v>3.5880290938523677E-3</v>
      </c>
      <c r="V196" t="s">
        <v>251</v>
      </c>
      <c r="X196">
        <v>3.5388127853881279E-3</v>
      </c>
      <c r="Y196">
        <v>5.240782636799844E-3</v>
      </c>
      <c r="Z196" t="s">
        <v>268</v>
      </c>
      <c r="AA196" t="s">
        <v>25</v>
      </c>
      <c r="AC196" t="s">
        <v>22</v>
      </c>
      <c r="AD196" t="s">
        <v>268</v>
      </c>
      <c r="AE196">
        <v>2.8899980794006869E-3</v>
      </c>
      <c r="AG196" t="s">
        <v>97</v>
      </c>
      <c r="AH196" t="s">
        <v>268</v>
      </c>
      <c r="AI196">
        <v>5.7731845492582368E-2</v>
      </c>
    </row>
    <row r="197" spans="5:35" x14ac:dyDescent="0.45">
      <c r="E197" t="s">
        <v>1400</v>
      </c>
      <c r="G197" t="s">
        <v>159</v>
      </c>
      <c r="I197" t="s">
        <v>249</v>
      </c>
      <c r="J197" t="s">
        <v>269</v>
      </c>
      <c r="K197">
        <v>4.6947273088958604E-3</v>
      </c>
      <c r="L197" t="s">
        <v>251</v>
      </c>
      <c r="N197" t="s">
        <v>419</v>
      </c>
      <c r="O197" t="s">
        <v>269</v>
      </c>
      <c r="P197">
        <v>3.6912018004516918E-3</v>
      </c>
      <c r="Q197" t="s">
        <v>251</v>
      </c>
      <c r="S197" t="s">
        <v>420</v>
      </c>
      <c r="T197" t="s">
        <v>269</v>
      </c>
      <c r="U197">
        <v>3.6183869490340197E-3</v>
      </c>
      <c r="V197" t="s">
        <v>251</v>
      </c>
      <c r="X197">
        <v>3.5388127853881279E-3</v>
      </c>
      <c r="Y197">
        <v>5.9087255218821738E-3</v>
      </c>
      <c r="Z197" t="s">
        <v>269</v>
      </c>
      <c r="AA197" t="s">
        <v>25</v>
      </c>
      <c r="AC197" t="s">
        <v>22</v>
      </c>
      <c r="AD197" t="s">
        <v>269</v>
      </c>
      <c r="AE197">
        <v>2.8130355065919548E-3</v>
      </c>
      <c r="AG197" t="s">
        <v>97</v>
      </c>
      <c r="AH197" t="s">
        <v>269</v>
      </c>
      <c r="AI197">
        <v>4.5896852839682145E-2</v>
      </c>
    </row>
    <row r="198" spans="5:35" x14ac:dyDescent="0.45">
      <c r="E198" t="s">
        <v>1401</v>
      </c>
      <c r="G198" t="s">
        <v>159</v>
      </c>
      <c r="I198" t="s">
        <v>249</v>
      </c>
      <c r="J198" t="s">
        <v>270</v>
      </c>
      <c r="K198">
        <v>6.0680554667195602E-2</v>
      </c>
      <c r="L198" t="s">
        <v>251</v>
      </c>
      <c r="N198" t="s">
        <v>419</v>
      </c>
      <c r="O198" t="s">
        <v>270</v>
      </c>
      <c r="P198">
        <v>2.3114177176220312E-2</v>
      </c>
      <c r="Q198" t="s">
        <v>251</v>
      </c>
      <c r="S198" t="s">
        <v>420</v>
      </c>
      <c r="T198" t="s">
        <v>270</v>
      </c>
      <c r="U198">
        <v>2.3473608931984646E-2</v>
      </c>
      <c r="V198" t="s">
        <v>251</v>
      </c>
      <c r="X198">
        <v>2.4771689497716895E-2</v>
      </c>
      <c r="Y198">
        <v>3.1424143732027281E-2</v>
      </c>
      <c r="Z198" t="s">
        <v>270</v>
      </c>
      <c r="AA198" t="s">
        <v>25</v>
      </c>
      <c r="AC198" t="s">
        <v>22</v>
      </c>
      <c r="AD198" t="s">
        <v>270</v>
      </c>
      <c r="AE198">
        <v>2.3828142970877594E-2</v>
      </c>
      <c r="AG198" t="s">
        <v>97</v>
      </c>
      <c r="AH198" t="s">
        <v>270</v>
      </c>
      <c r="AI198">
        <v>0.25131970288420269</v>
      </c>
    </row>
    <row r="199" spans="5:35" x14ac:dyDescent="0.45">
      <c r="E199" t="s">
        <v>1402</v>
      </c>
      <c r="G199" t="s">
        <v>159</v>
      </c>
      <c r="I199" t="s">
        <v>249</v>
      </c>
      <c r="J199" t="s">
        <v>271</v>
      </c>
      <c r="K199">
        <v>8.5743995904747003E-3</v>
      </c>
      <c r="L199" t="s">
        <v>251</v>
      </c>
      <c r="N199" t="s">
        <v>419</v>
      </c>
      <c r="O199" t="s">
        <v>271</v>
      </c>
      <c r="P199">
        <v>3.3965600826528692E-3</v>
      </c>
      <c r="Q199" t="s">
        <v>251</v>
      </c>
      <c r="S199" t="s">
        <v>420</v>
      </c>
      <c r="T199" t="s">
        <v>271</v>
      </c>
      <c r="U199">
        <v>3.5377034987083399E-3</v>
      </c>
      <c r="V199" t="s">
        <v>251</v>
      </c>
      <c r="X199">
        <v>3.5388127853881279E-3</v>
      </c>
      <c r="Y199">
        <v>5.3435430806586613E-3</v>
      </c>
      <c r="Z199" t="s">
        <v>271</v>
      </c>
      <c r="AA199" t="s">
        <v>25</v>
      </c>
      <c r="AC199" t="s">
        <v>22</v>
      </c>
      <c r="AD199" t="s">
        <v>271</v>
      </c>
      <c r="AE199">
        <v>3.864010379669026E-3</v>
      </c>
      <c r="AG199" t="s">
        <v>97</v>
      </c>
      <c r="AH199" t="s">
        <v>271</v>
      </c>
      <c r="AI199">
        <v>7.296282269468457E-2</v>
      </c>
    </row>
    <row r="200" spans="5:35" x14ac:dyDescent="0.45">
      <c r="E200" t="s">
        <v>1403</v>
      </c>
      <c r="G200" t="s">
        <v>159</v>
      </c>
      <c r="I200" t="s">
        <v>249</v>
      </c>
      <c r="J200" t="s">
        <v>272</v>
      </c>
      <c r="K200">
        <v>7.7274077237577E-3</v>
      </c>
      <c r="L200" t="s">
        <v>251</v>
      </c>
      <c r="N200" t="s">
        <v>419</v>
      </c>
      <c r="O200" t="s">
        <v>272</v>
      </c>
      <c r="P200">
        <v>3.3435607283967025E-3</v>
      </c>
      <c r="Q200" t="s">
        <v>251</v>
      </c>
      <c r="S200" t="s">
        <v>420</v>
      </c>
      <c r="T200" t="s">
        <v>272</v>
      </c>
      <c r="U200">
        <v>3.4445733437099288E-3</v>
      </c>
      <c r="V200" t="s">
        <v>251</v>
      </c>
      <c r="X200">
        <v>3.5388127853881279E-3</v>
      </c>
      <c r="Y200">
        <v>6.8849497385409693E-3</v>
      </c>
      <c r="Z200" t="s">
        <v>272</v>
      </c>
      <c r="AA200" t="s">
        <v>25</v>
      </c>
      <c r="AC200" t="s">
        <v>22</v>
      </c>
      <c r="AD200" t="s">
        <v>272</v>
      </c>
      <c r="AE200">
        <v>3.9253617270921153E-3</v>
      </c>
      <c r="AG200" t="s">
        <v>97</v>
      </c>
      <c r="AH200" t="s">
        <v>272</v>
      </c>
      <c r="AI200">
        <v>6.5117229720367042E-2</v>
      </c>
    </row>
    <row r="201" spans="5:35" x14ac:dyDescent="0.45">
      <c r="E201" t="s">
        <v>1404</v>
      </c>
      <c r="G201" t="s">
        <v>159</v>
      </c>
      <c r="I201" t="s">
        <v>249</v>
      </c>
      <c r="J201" t="s">
        <v>273</v>
      </c>
      <c r="K201">
        <v>6.1223491736783998E-3</v>
      </c>
      <c r="L201" t="s">
        <v>251</v>
      </c>
      <c r="N201" t="s">
        <v>419</v>
      </c>
      <c r="O201" t="s">
        <v>273</v>
      </c>
      <c r="P201">
        <v>3.3132880062322922E-3</v>
      </c>
      <c r="Q201" t="s">
        <v>251</v>
      </c>
      <c r="S201" t="s">
        <v>420</v>
      </c>
      <c r="T201" t="s">
        <v>273</v>
      </c>
      <c r="U201">
        <v>3.498821357711757E-3</v>
      </c>
      <c r="V201" t="s">
        <v>251</v>
      </c>
      <c r="X201">
        <v>3.5388127853881279E-3</v>
      </c>
      <c r="Y201">
        <v>6.8849497385409693E-3</v>
      </c>
      <c r="Z201" t="s">
        <v>273</v>
      </c>
      <c r="AA201" t="s">
        <v>25</v>
      </c>
      <c r="AC201" t="s">
        <v>22</v>
      </c>
      <c r="AD201" t="s">
        <v>273</v>
      </c>
      <c r="AE201">
        <v>3.9481492179717845E-3</v>
      </c>
      <c r="AG201" t="s">
        <v>97</v>
      </c>
      <c r="AH201" t="s">
        <v>273</v>
      </c>
      <c r="AI201">
        <v>6.4590164827822427E-2</v>
      </c>
    </row>
    <row r="202" spans="5:35" x14ac:dyDescent="0.45">
      <c r="E202" t="s">
        <v>1405</v>
      </c>
      <c r="G202" t="s">
        <v>159</v>
      </c>
      <c r="I202" t="s">
        <v>249</v>
      </c>
      <c r="J202" t="s">
        <v>274</v>
      </c>
      <c r="K202">
        <v>3.3081446193830759E-3</v>
      </c>
      <c r="L202" t="s">
        <v>251</v>
      </c>
      <c r="N202" t="s">
        <v>419</v>
      </c>
      <c r="O202" t="s">
        <v>274</v>
      </c>
      <c r="P202">
        <v>2.387487882341412E-2</v>
      </c>
      <c r="Q202" t="s">
        <v>251</v>
      </c>
      <c r="S202" t="s">
        <v>420</v>
      </c>
      <c r="T202" t="s">
        <v>274</v>
      </c>
      <c r="U202">
        <v>2.5380273552431849E-2</v>
      </c>
      <c r="V202" t="s">
        <v>251</v>
      </c>
      <c r="X202">
        <v>2.1232876712328767E-2</v>
      </c>
      <c r="Y202">
        <v>1.8702400782305319E-2</v>
      </c>
      <c r="Z202" t="s">
        <v>274</v>
      </c>
      <c r="AA202" t="s">
        <v>25</v>
      </c>
      <c r="AC202" t="s">
        <v>22</v>
      </c>
      <c r="AD202" t="s">
        <v>274</v>
      </c>
      <c r="AE202">
        <v>2.3949252428938625E-2</v>
      </c>
      <c r="AG202" t="s">
        <v>97</v>
      </c>
      <c r="AH202" t="s">
        <v>274</v>
      </c>
      <c r="AI202">
        <v>0.10463476900940427</v>
      </c>
    </row>
    <row r="203" spans="5:35" x14ac:dyDescent="0.45">
      <c r="E203" t="s">
        <v>1406</v>
      </c>
      <c r="G203" t="s">
        <v>159</v>
      </c>
      <c r="I203" t="s">
        <v>249</v>
      </c>
      <c r="J203" t="s">
        <v>299</v>
      </c>
      <c r="K203">
        <v>3.9643991682068213E-8</v>
      </c>
      <c r="L203" t="s">
        <v>251</v>
      </c>
      <c r="N203" t="s">
        <v>419</v>
      </c>
      <c r="O203" t="s">
        <v>299</v>
      </c>
      <c r="P203">
        <v>2.5869099599477884E-2</v>
      </c>
      <c r="Q203" t="s">
        <v>251</v>
      </c>
      <c r="S203" t="s">
        <v>420</v>
      </c>
      <c r="T203" t="s">
        <v>299</v>
      </c>
      <c r="U203">
        <v>2.5681260124252221E-2</v>
      </c>
      <c r="V203" t="s">
        <v>251</v>
      </c>
      <c r="X203">
        <v>2.0547945205479451E-2</v>
      </c>
      <c r="Y203">
        <v>4.3954951147353507E-3</v>
      </c>
      <c r="Z203" t="s">
        <v>299</v>
      </c>
      <c r="AA203" t="s">
        <v>25</v>
      </c>
      <c r="AC203" t="s">
        <v>22</v>
      </c>
      <c r="AD203" t="s">
        <v>299</v>
      </c>
      <c r="AE203">
        <v>1.9603501346148886E-2</v>
      </c>
      <c r="AG203" t="s">
        <v>97</v>
      </c>
      <c r="AH203" t="s">
        <v>299</v>
      </c>
      <c r="AI203">
        <v>0.19976052691896506</v>
      </c>
    </row>
    <row r="204" spans="5:35" x14ac:dyDescent="0.45">
      <c r="E204" t="s">
        <v>1407</v>
      </c>
      <c r="G204" t="s">
        <v>159</v>
      </c>
      <c r="I204" t="s">
        <v>249</v>
      </c>
      <c r="J204" t="s">
        <v>300</v>
      </c>
      <c r="K204">
        <v>2.9835807767553241E-3</v>
      </c>
      <c r="L204" t="s">
        <v>251</v>
      </c>
      <c r="N204" t="s">
        <v>419</v>
      </c>
      <c r="O204" t="s">
        <v>300</v>
      </c>
      <c r="P204">
        <v>4.0462097063318318E-3</v>
      </c>
      <c r="Q204" t="s">
        <v>251</v>
      </c>
      <c r="S204" t="s">
        <v>420</v>
      </c>
      <c r="T204" t="s">
        <v>300</v>
      </c>
      <c r="U204">
        <v>4.0794251722387799E-3</v>
      </c>
      <c r="V204" t="s">
        <v>251</v>
      </c>
      <c r="X204">
        <v>3.4246575342465752E-3</v>
      </c>
      <c r="Y204">
        <v>5.0717251323869452E-3</v>
      </c>
      <c r="Z204" t="s">
        <v>300</v>
      </c>
      <c r="AA204" t="s">
        <v>25</v>
      </c>
      <c r="AC204" t="s">
        <v>22</v>
      </c>
      <c r="AD204" t="s">
        <v>300</v>
      </c>
      <c r="AE204">
        <v>2.6041861740206322E-3</v>
      </c>
      <c r="AG204" t="s">
        <v>97</v>
      </c>
      <c r="AH204" t="s">
        <v>300</v>
      </c>
      <c r="AI204">
        <v>4.6989301675159023E-2</v>
      </c>
    </row>
    <row r="205" spans="5:35" x14ac:dyDescent="0.45">
      <c r="E205" t="s">
        <v>1408</v>
      </c>
      <c r="G205" t="s">
        <v>159</v>
      </c>
      <c r="I205" t="s">
        <v>249</v>
      </c>
      <c r="J205" t="s">
        <v>301</v>
      </c>
      <c r="K205">
        <v>6.3119455269569002E-3</v>
      </c>
      <c r="L205" t="s">
        <v>251</v>
      </c>
      <c r="N205" t="s">
        <v>419</v>
      </c>
      <c r="O205" t="s">
        <v>301</v>
      </c>
      <c r="P205">
        <v>3.6579561231334231E-3</v>
      </c>
      <c r="Q205" t="s">
        <v>251</v>
      </c>
      <c r="S205" t="s">
        <v>420</v>
      </c>
      <c r="T205" t="s">
        <v>301</v>
      </c>
      <c r="U205">
        <v>3.9970054852407023E-3</v>
      </c>
      <c r="V205" t="s">
        <v>251</v>
      </c>
      <c r="X205">
        <v>3.4246575342465752E-3</v>
      </c>
      <c r="Y205">
        <v>5.7181214727892006E-3</v>
      </c>
      <c r="Z205" t="s">
        <v>301</v>
      </c>
      <c r="AA205" t="s">
        <v>25</v>
      </c>
      <c r="AC205" t="s">
        <v>22</v>
      </c>
      <c r="AD205" t="s">
        <v>301</v>
      </c>
      <c r="AE205">
        <v>2.5364711900003091E-3</v>
      </c>
      <c r="AG205" t="s">
        <v>97</v>
      </c>
      <c r="AH205" t="s">
        <v>301</v>
      </c>
      <c r="AI205">
        <v>4.7432229729670761E-2</v>
      </c>
    </row>
    <row r="206" spans="5:35" x14ac:dyDescent="0.45">
      <c r="E206" t="s">
        <v>1409</v>
      </c>
      <c r="G206" t="s">
        <v>159</v>
      </c>
      <c r="I206" t="s">
        <v>249</v>
      </c>
      <c r="J206" t="s">
        <v>302</v>
      </c>
      <c r="K206">
        <v>6.3004707507981997E-2</v>
      </c>
      <c r="L206" t="s">
        <v>251</v>
      </c>
      <c r="N206" t="s">
        <v>419</v>
      </c>
      <c r="O206" t="s">
        <v>302</v>
      </c>
      <c r="P206">
        <v>2.5309534118686337E-2</v>
      </c>
      <c r="Q206" t="s">
        <v>251</v>
      </c>
      <c r="S206" t="s">
        <v>420</v>
      </c>
      <c r="T206" t="s">
        <v>302</v>
      </c>
      <c r="U206">
        <v>2.5526334347950597E-2</v>
      </c>
      <c r="V206" t="s">
        <v>251</v>
      </c>
      <c r="X206">
        <v>2.3972602739726026E-2</v>
      </c>
      <c r="Y206">
        <v>3.0410461676155433E-2</v>
      </c>
      <c r="Z206" t="s">
        <v>302</v>
      </c>
      <c r="AA206" t="s">
        <v>25</v>
      </c>
      <c r="AC206" t="s">
        <v>22</v>
      </c>
      <c r="AD206" t="s">
        <v>302</v>
      </c>
      <c r="AE206">
        <v>2.1912935867665611E-2</v>
      </c>
      <c r="AG206" t="s">
        <v>97</v>
      </c>
      <c r="AH206" t="s">
        <v>302</v>
      </c>
      <c r="AI206">
        <v>0.27985849117652761</v>
      </c>
    </row>
    <row r="207" spans="5:35" x14ac:dyDescent="0.45">
      <c r="E207" t="s">
        <v>1410</v>
      </c>
      <c r="G207" t="s">
        <v>159</v>
      </c>
      <c r="I207" t="s">
        <v>249</v>
      </c>
      <c r="J207" t="s">
        <v>303</v>
      </c>
      <c r="K207">
        <v>8.7096659273677001E-3</v>
      </c>
      <c r="L207" t="s">
        <v>251</v>
      </c>
      <c r="N207" t="s">
        <v>419</v>
      </c>
      <c r="O207" t="s">
        <v>303</v>
      </c>
      <c r="P207">
        <v>3.7310920823443853E-3</v>
      </c>
      <c r="Q207" t="s">
        <v>251</v>
      </c>
      <c r="S207" t="s">
        <v>420</v>
      </c>
      <c r="T207" t="s">
        <v>303</v>
      </c>
      <c r="U207">
        <v>3.8578398457758518E-3</v>
      </c>
      <c r="V207" t="s">
        <v>251</v>
      </c>
      <c r="X207">
        <v>3.4246575342465752E-3</v>
      </c>
      <c r="Y207">
        <v>5.1711707232180593E-3</v>
      </c>
      <c r="Z207" t="s">
        <v>303</v>
      </c>
      <c r="AA207" t="s">
        <v>25</v>
      </c>
      <c r="AC207" t="s">
        <v>22</v>
      </c>
      <c r="AD207" t="s">
        <v>303</v>
      </c>
      <c r="AE207">
        <v>3.4608755107966372E-3</v>
      </c>
      <c r="AG207" t="s">
        <v>97</v>
      </c>
      <c r="AH207" t="s">
        <v>303</v>
      </c>
      <c r="AI207">
        <v>7.9496397641006356E-2</v>
      </c>
    </row>
    <row r="208" spans="5:35" x14ac:dyDescent="0.45">
      <c r="E208" t="s">
        <v>1411</v>
      </c>
      <c r="G208" t="s">
        <v>159</v>
      </c>
      <c r="I208" t="s">
        <v>249</v>
      </c>
      <c r="J208" t="s">
        <v>304</v>
      </c>
      <c r="K208">
        <v>7.9061939428314992E-3</v>
      </c>
      <c r="L208" t="s">
        <v>251</v>
      </c>
      <c r="N208" t="s">
        <v>419</v>
      </c>
      <c r="O208" t="s">
        <v>304</v>
      </c>
      <c r="P208">
        <v>3.6932451873580292E-3</v>
      </c>
      <c r="Q208" t="s">
        <v>251</v>
      </c>
      <c r="S208" t="s">
        <v>420</v>
      </c>
      <c r="T208" t="s">
        <v>304</v>
      </c>
      <c r="U208">
        <v>3.7160579524920107E-3</v>
      </c>
      <c r="V208" t="s">
        <v>251</v>
      </c>
      <c r="X208">
        <v>3.4246575342465752E-3</v>
      </c>
      <c r="Y208">
        <v>6.662854585684809E-3</v>
      </c>
      <c r="Z208" t="s">
        <v>304</v>
      </c>
      <c r="AA208" t="s">
        <v>25</v>
      </c>
      <c r="AC208" t="s">
        <v>22</v>
      </c>
      <c r="AD208" t="s">
        <v>304</v>
      </c>
      <c r="AE208">
        <v>3.5218002680667483E-3</v>
      </c>
      <c r="AG208" t="s">
        <v>97</v>
      </c>
      <c r="AH208" t="s">
        <v>304</v>
      </c>
      <c r="AI208">
        <v>8.98582995951418E-2</v>
      </c>
    </row>
    <row r="209" spans="5:35" x14ac:dyDescent="0.45">
      <c r="E209" t="s">
        <v>1412</v>
      </c>
      <c r="G209" t="s">
        <v>159</v>
      </c>
      <c r="I209" t="s">
        <v>249</v>
      </c>
      <c r="J209" t="s">
        <v>305</v>
      </c>
      <c r="K209">
        <v>6.6288090420439996E-3</v>
      </c>
      <c r="L209" t="s">
        <v>251</v>
      </c>
      <c r="N209" t="s">
        <v>419</v>
      </c>
      <c r="O209" t="s">
        <v>305</v>
      </c>
      <c r="P209">
        <v>3.6443678514296437E-3</v>
      </c>
      <c r="Q209" t="s">
        <v>251</v>
      </c>
      <c r="S209" t="s">
        <v>420</v>
      </c>
      <c r="T209" t="s">
        <v>305</v>
      </c>
      <c r="U209">
        <v>3.7643623151889468E-3</v>
      </c>
      <c r="V209" t="s">
        <v>251</v>
      </c>
      <c r="X209">
        <v>3.4246575342465752E-3</v>
      </c>
      <c r="Y209">
        <v>6.662854585684809E-3</v>
      </c>
      <c r="Z209" t="s">
        <v>305</v>
      </c>
      <c r="AA209" t="s">
        <v>25</v>
      </c>
      <c r="AC209" t="s">
        <v>22</v>
      </c>
      <c r="AD209" t="s">
        <v>305</v>
      </c>
      <c r="AE209">
        <v>3.4742617443900138E-3</v>
      </c>
      <c r="AG209" t="s">
        <v>97</v>
      </c>
      <c r="AH209" t="s">
        <v>305</v>
      </c>
      <c r="AI209">
        <v>9.490312773469789E-2</v>
      </c>
    </row>
    <row r="210" spans="5:35" x14ac:dyDescent="0.45">
      <c r="E210" t="s">
        <v>1413</v>
      </c>
      <c r="G210" t="s">
        <v>159</v>
      </c>
      <c r="I210" t="s">
        <v>249</v>
      </c>
      <c r="J210" t="s">
        <v>306</v>
      </c>
      <c r="K210">
        <v>5.1168688102999783E-3</v>
      </c>
      <c r="L210" t="s">
        <v>251</v>
      </c>
      <c r="N210" t="s">
        <v>419</v>
      </c>
      <c r="O210" t="s">
        <v>306</v>
      </c>
      <c r="P210">
        <v>2.5695716582115717E-2</v>
      </c>
      <c r="Q210" t="s">
        <v>251</v>
      </c>
      <c r="S210" t="s">
        <v>420</v>
      </c>
      <c r="T210" t="s">
        <v>306</v>
      </c>
      <c r="U210">
        <v>2.5455933039626823E-2</v>
      </c>
      <c r="V210" t="s">
        <v>251</v>
      </c>
      <c r="X210">
        <v>2.0547945205479451E-2</v>
      </c>
      <c r="Y210">
        <v>1.8099097531263209E-2</v>
      </c>
      <c r="Z210" t="s">
        <v>306</v>
      </c>
      <c r="AA210" t="s">
        <v>25</v>
      </c>
      <c r="AC210" t="s">
        <v>22</v>
      </c>
      <c r="AD210" t="s">
        <v>306</v>
      </c>
      <c r="AE210">
        <v>2.1061828730339335E-2</v>
      </c>
      <c r="AG210" t="s">
        <v>97</v>
      </c>
      <c r="AH210" t="s">
        <v>306</v>
      </c>
      <c r="AI210">
        <v>0.11698992717501278</v>
      </c>
    </row>
    <row r="211" spans="5:35" x14ac:dyDescent="0.45">
      <c r="E211" t="s">
        <v>1414</v>
      </c>
      <c r="G211" t="s">
        <v>159</v>
      </c>
      <c r="I211" t="s">
        <v>249</v>
      </c>
      <c r="J211" t="s">
        <v>331</v>
      </c>
      <c r="K211">
        <v>4.9335144791813233E-4</v>
      </c>
      <c r="L211" t="s">
        <v>251</v>
      </c>
      <c r="N211" t="s">
        <v>419</v>
      </c>
      <c r="O211" t="s">
        <v>331</v>
      </c>
      <c r="P211">
        <v>2.3619791243746632E-2</v>
      </c>
      <c r="Q211" t="s">
        <v>251</v>
      </c>
      <c r="S211" t="s">
        <v>420</v>
      </c>
      <c r="T211" t="s">
        <v>331</v>
      </c>
      <c r="U211">
        <v>2.2043322523336625E-2</v>
      </c>
      <c r="V211" t="s">
        <v>251</v>
      </c>
      <c r="X211">
        <v>2.1232876712328767E-2</v>
      </c>
      <c r="Y211">
        <v>4.5420116185598634E-3</v>
      </c>
      <c r="Z211" t="s">
        <v>331</v>
      </c>
      <c r="AA211" t="s">
        <v>25</v>
      </c>
      <c r="AC211" t="s">
        <v>22</v>
      </c>
      <c r="AD211" t="s">
        <v>331</v>
      </c>
      <c r="AE211">
        <v>1.9690617990117655E-2</v>
      </c>
      <c r="AG211" t="s">
        <v>97</v>
      </c>
      <c r="AH211" t="s">
        <v>331</v>
      </c>
      <c r="AI211">
        <v>0.14699788631802058</v>
      </c>
    </row>
    <row r="212" spans="5:35" x14ac:dyDescent="0.45">
      <c r="E212" t="s">
        <v>1415</v>
      </c>
      <c r="G212" t="s">
        <v>159</v>
      </c>
      <c r="I212" t="s">
        <v>249</v>
      </c>
      <c r="J212" t="s">
        <v>332</v>
      </c>
      <c r="K212">
        <v>4.3764532232293662E-3</v>
      </c>
      <c r="L212" t="s">
        <v>251</v>
      </c>
      <c r="N212" t="s">
        <v>419</v>
      </c>
      <c r="O212" t="s">
        <v>332</v>
      </c>
      <c r="P212">
        <v>3.4246522466074075E-3</v>
      </c>
      <c r="Q212" t="s">
        <v>251</v>
      </c>
      <c r="S212" t="s">
        <v>420</v>
      </c>
      <c r="T212" t="s">
        <v>332</v>
      </c>
      <c r="U212">
        <v>3.4398434511848245E-3</v>
      </c>
      <c r="V212" t="s">
        <v>251</v>
      </c>
      <c r="X212">
        <v>3.5388127853881279E-3</v>
      </c>
      <c r="Y212">
        <v>5.240782636799844E-3</v>
      </c>
      <c r="Z212" t="s">
        <v>332</v>
      </c>
      <c r="AA212" t="s">
        <v>25</v>
      </c>
      <c r="AC212" t="s">
        <v>22</v>
      </c>
      <c r="AD212" t="s">
        <v>332</v>
      </c>
      <c r="AE212">
        <v>2.6456368637571403E-3</v>
      </c>
      <c r="AG212" t="s">
        <v>97</v>
      </c>
      <c r="AH212" t="s">
        <v>332</v>
      </c>
      <c r="AI212">
        <v>3.7687404662287927E-2</v>
      </c>
    </row>
    <row r="213" spans="5:35" x14ac:dyDescent="0.45">
      <c r="E213" t="s">
        <v>1416</v>
      </c>
      <c r="G213" t="s">
        <v>159</v>
      </c>
      <c r="I213" t="s">
        <v>249</v>
      </c>
      <c r="J213" t="s">
        <v>333</v>
      </c>
      <c r="K213">
        <v>6.5776751073149996E-3</v>
      </c>
      <c r="L213" t="s">
        <v>251</v>
      </c>
      <c r="N213" t="s">
        <v>419</v>
      </c>
      <c r="O213" t="s">
        <v>333</v>
      </c>
      <c r="P213">
        <v>3.173072011760042E-3</v>
      </c>
      <c r="Q213" t="s">
        <v>251</v>
      </c>
      <c r="S213" t="s">
        <v>420</v>
      </c>
      <c r="T213" t="s">
        <v>333</v>
      </c>
      <c r="U213">
        <v>3.4487992132888889E-3</v>
      </c>
      <c r="V213" t="s">
        <v>251</v>
      </c>
      <c r="X213">
        <v>3.5388127853881279E-3</v>
      </c>
      <c r="Y213">
        <v>5.9087255218821738E-3</v>
      </c>
      <c r="Z213" t="s">
        <v>333</v>
      </c>
      <c r="AA213" t="s">
        <v>25</v>
      </c>
      <c r="AC213" t="s">
        <v>22</v>
      </c>
      <c r="AD213" t="s">
        <v>333</v>
      </c>
      <c r="AE213">
        <v>2.5681020358651455E-3</v>
      </c>
      <c r="AG213" t="s">
        <v>97</v>
      </c>
      <c r="AH213" t="s">
        <v>333</v>
      </c>
      <c r="AI213">
        <v>2.836679987744839E-2</v>
      </c>
    </row>
    <row r="214" spans="5:35" x14ac:dyDescent="0.45">
      <c r="E214" t="s">
        <v>1417</v>
      </c>
      <c r="G214" t="s">
        <v>159</v>
      </c>
      <c r="I214" t="s">
        <v>249</v>
      </c>
      <c r="J214" t="s">
        <v>334</v>
      </c>
      <c r="K214">
        <v>6.3579767558584299E-2</v>
      </c>
      <c r="L214" t="s">
        <v>251</v>
      </c>
      <c r="N214" t="s">
        <v>419</v>
      </c>
      <c r="O214" t="s">
        <v>334</v>
      </c>
      <c r="P214">
        <v>2.3592593292150223E-2</v>
      </c>
      <c r="Q214" t="s">
        <v>251</v>
      </c>
      <c r="S214" t="s">
        <v>420</v>
      </c>
      <c r="T214" t="s">
        <v>334</v>
      </c>
      <c r="U214">
        <v>2.3343586610834285E-2</v>
      </c>
      <c r="V214" t="s">
        <v>251</v>
      </c>
      <c r="X214">
        <v>2.4771689497716895E-2</v>
      </c>
      <c r="Y214">
        <v>3.1424143732027281E-2</v>
      </c>
      <c r="Z214" t="s">
        <v>334</v>
      </c>
      <c r="AA214" t="s">
        <v>25</v>
      </c>
      <c r="AC214" t="s">
        <v>22</v>
      </c>
      <c r="AD214" t="s">
        <v>334</v>
      </c>
      <c r="AE214">
        <v>2.1583667654061441E-2</v>
      </c>
      <c r="AG214" t="s">
        <v>97</v>
      </c>
      <c r="AH214" t="s">
        <v>334</v>
      </c>
      <c r="AI214">
        <v>0.21092089255818691</v>
      </c>
    </row>
    <row r="215" spans="5:35" x14ac:dyDescent="0.45">
      <c r="E215" t="s">
        <v>1418</v>
      </c>
      <c r="G215" t="s">
        <v>159</v>
      </c>
      <c r="I215" t="s">
        <v>249</v>
      </c>
      <c r="J215" t="s">
        <v>335</v>
      </c>
      <c r="K215">
        <v>8.5853735167836995E-3</v>
      </c>
      <c r="L215" t="s">
        <v>251</v>
      </c>
      <c r="N215" t="s">
        <v>419</v>
      </c>
      <c r="O215" t="s">
        <v>335</v>
      </c>
      <c r="P215">
        <v>3.5208185497496692E-3</v>
      </c>
      <c r="Q215" t="s">
        <v>251</v>
      </c>
      <c r="S215" t="s">
        <v>420</v>
      </c>
      <c r="T215" t="s">
        <v>335</v>
      </c>
      <c r="U215">
        <v>3.6820393775627205E-3</v>
      </c>
      <c r="V215" t="s">
        <v>251</v>
      </c>
      <c r="X215">
        <v>3.5388127853881279E-3</v>
      </c>
      <c r="Y215">
        <v>5.3435430806586613E-3</v>
      </c>
      <c r="Z215" t="s">
        <v>335</v>
      </c>
      <c r="AA215" t="s">
        <v>25</v>
      </c>
      <c r="AC215" t="s">
        <v>22</v>
      </c>
      <c r="AD215" t="s">
        <v>335</v>
      </c>
      <c r="AE215">
        <v>3.5276761669721327E-3</v>
      </c>
      <c r="AG215" t="s">
        <v>97</v>
      </c>
      <c r="AH215" t="s">
        <v>335</v>
      </c>
      <c r="AI215">
        <v>4.8412946255800948E-2</v>
      </c>
    </row>
    <row r="216" spans="5:35" x14ac:dyDescent="0.45">
      <c r="E216" t="s">
        <v>1419</v>
      </c>
      <c r="G216" t="s">
        <v>159</v>
      </c>
      <c r="I216" t="s">
        <v>249</v>
      </c>
      <c r="J216" t="s">
        <v>336</v>
      </c>
      <c r="K216">
        <v>7.7224142138008003E-3</v>
      </c>
      <c r="L216" t="s">
        <v>251</v>
      </c>
      <c r="N216" t="s">
        <v>419</v>
      </c>
      <c r="O216" t="s">
        <v>336</v>
      </c>
      <c r="P216">
        <v>3.5198585800589751E-3</v>
      </c>
      <c r="Q216" t="s">
        <v>251</v>
      </c>
      <c r="S216" t="s">
        <v>420</v>
      </c>
      <c r="T216" t="s">
        <v>336</v>
      </c>
      <c r="U216">
        <v>3.6434575328003469E-3</v>
      </c>
      <c r="V216" t="s">
        <v>251</v>
      </c>
      <c r="X216">
        <v>3.5388127853881279E-3</v>
      </c>
      <c r="Y216">
        <v>6.8849497385409693E-3</v>
      </c>
      <c r="Z216" t="s">
        <v>336</v>
      </c>
      <c r="AA216" t="s">
        <v>25</v>
      </c>
      <c r="AC216" t="s">
        <v>22</v>
      </c>
      <c r="AD216" t="s">
        <v>336</v>
      </c>
      <c r="AE216">
        <v>3.5353409168752282E-3</v>
      </c>
      <c r="AG216" t="s">
        <v>97</v>
      </c>
      <c r="AH216" t="s">
        <v>336</v>
      </c>
      <c r="AI216">
        <v>5.2748421298292492E-2</v>
      </c>
    </row>
    <row r="217" spans="5:35" x14ac:dyDescent="0.45">
      <c r="E217" t="s">
        <v>1420</v>
      </c>
      <c r="G217" t="s">
        <v>159</v>
      </c>
      <c r="I217" t="s">
        <v>249</v>
      </c>
      <c r="J217" t="s">
        <v>337</v>
      </c>
      <c r="K217">
        <v>6.4833732845173001E-3</v>
      </c>
      <c r="L217" t="s">
        <v>251</v>
      </c>
      <c r="N217" t="s">
        <v>419</v>
      </c>
      <c r="O217" t="s">
        <v>337</v>
      </c>
      <c r="P217">
        <v>3.4614343159606415E-3</v>
      </c>
      <c r="Q217" t="s">
        <v>251</v>
      </c>
      <c r="S217" t="s">
        <v>420</v>
      </c>
      <c r="T217" t="s">
        <v>337</v>
      </c>
      <c r="U217">
        <v>3.6810394552026686E-3</v>
      </c>
      <c r="V217" t="s">
        <v>251</v>
      </c>
      <c r="X217">
        <v>3.5388127853881279E-3</v>
      </c>
      <c r="Y217">
        <v>6.8849497385409693E-3</v>
      </c>
      <c r="Z217" t="s">
        <v>337</v>
      </c>
      <c r="AA217" t="s">
        <v>25</v>
      </c>
      <c r="AC217" t="s">
        <v>22</v>
      </c>
      <c r="AD217" t="s">
        <v>337</v>
      </c>
      <c r="AE217">
        <v>3.540813222827623E-3</v>
      </c>
      <c r="AG217" t="s">
        <v>97</v>
      </c>
      <c r="AH217" t="s">
        <v>337</v>
      </c>
      <c r="AI217">
        <v>5.7215910366320788E-2</v>
      </c>
    </row>
    <row r="218" spans="5:35" x14ac:dyDescent="0.45">
      <c r="E218" t="s">
        <v>1421</v>
      </c>
      <c r="G218" t="s">
        <v>159</v>
      </c>
      <c r="I218" t="s">
        <v>249</v>
      </c>
      <c r="J218" t="s">
        <v>338</v>
      </c>
      <c r="K218">
        <v>6.4179318594734976E-3</v>
      </c>
      <c r="L218" t="s">
        <v>251</v>
      </c>
      <c r="N218" t="s">
        <v>419</v>
      </c>
      <c r="O218" t="s">
        <v>338</v>
      </c>
      <c r="P218">
        <v>2.4570720173719644E-2</v>
      </c>
      <c r="Q218" t="s">
        <v>251</v>
      </c>
      <c r="S218" t="s">
        <v>420</v>
      </c>
      <c r="T218" t="s">
        <v>338</v>
      </c>
      <c r="U218">
        <v>2.4641906355335301E-2</v>
      </c>
      <c r="V218" t="s">
        <v>251</v>
      </c>
      <c r="X218">
        <v>2.1232876712328767E-2</v>
      </c>
      <c r="Y218">
        <v>1.8702400782305319E-2</v>
      </c>
      <c r="Z218" t="s">
        <v>338</v>
      </c>
      <c r="AA218" t="s">
        <v>25</v>
      </c>
      <c r="AC218" t="s">
        <v>22</v>
      </c>
      <c r="AD218" t="s">
        <v>338</v>
      </c>
      <c r="AE218">
        <v>2.1518813976932626E-2</v>
      </c>
      <c r="AG218" t="s">
        <v>97</v>
      </c>
      <c r="AH218" t="s">
        <v>338</v>
      </c>
      <c r="AI218">
        <v>8.0073275109394881E-2</v>
      </c>
    </row>
    <row r="219" spans="5:35" x14ac:dyDescent="0.45">
      <c r="E219" t="s">
        <v>1422</v>
      </c>
      <c r="G219" t="s">
        <v>159</v>
      </c>
      <c r="I219" t="s">
        <v>249</v>
      </c>
      <c r="J219" t="s">
        <v>339</v>
      </c>
      <c r="K219">
        <v>8.9620492023086194E-4</v>
      </c>
      <c r="L219" t="s">
        <v>251</v>
      </c>
      <c r="N219" t="s">
        <v>419</v>
      </c>
      <c r="O219" t="s">
        <v>339</v>
      </c>
      <c r="P219">
        <v>2.1638010353090851E-2</v>
      </c>
      <c r="Q219" t="s">
        <v>251</v>
      </c>
      <c r="S219" t="s">
        <v>420</v>
      </c>
      <c r="T219" t="s">
        <v>339</v>
      </c>
      <c r="U219">
        <v>1.46554772617355E-2</v>
      </c>
      <c r="V219" t="s">
        <v>251</v>
      </c>
      <c r="X219">
        <v>2.0547945205479451E-2</v>
      </c>
      <c r="Y219">
        <v>4.3954951147353507E-3</v>
      </c>
      <c r="Z219" t="s">
        <v>339</v>
      </c>
      <c r="AA219" t="s">
        <v>25</v>
      </c>
      <c r="AC219" t="s">
        <v>22</v>
      </c>
      <c r="AD219" t="s">
        <v>339</v>
      </c>
      <c r="AE219">
        <v>1.9260500610045455E-2</v>
      </c>
      <c r="AG219" t="s">
        <v>97</v>
      </c>
      <c r="AH219" t="s">
        <v>339</v>
      </c>
      <c r="AI219">
        <v>0.14272160879684503</v>
      </c>
    </row>
    <row r="220" spans="5:35" x14ac:dyDescent="0.45">
      <c r="E220" t="s">
        <v>1423</v>
      </c>
      <c r="G220" t="s">
        <v>159</v>
      </c>
      <c r="I220" t="s">
        <v>249</v>
      </c>
      <c r="J220" t="s">
        <v>340</v>
      </c>
      <c r="K220">
        <v>4.2189396573354999E-3</v>
      </c>
      <c r="L220" t="s">
        <v>251</v>
      </c>
      <c r="N220" t="s">
        <v>419</v>
      </c>
      <c r="O220" t="s">
        <v>340</v>
      </c>
      <c r="P220">
        <v>2.932390726346185E-3</v>
      </c>
      <c r="Q220" t="s">
        <v>251</v>
      </c>
      <c r="S220" t="s">
        <v>420</v>
      </c>
      <c r="T220" t="s">
        <v>340</v>
      </c>
      <c r="U220">
        <v>2.0274377563429028E-3</v>
      </c>
      <c r="V220" t="s">
        <v>251</v>
      </c>
      <c r="X220">
        <v>3.4246575342465752E-3</v>
      </c>
      <c r="Y220">
        <v>5.0717251323869452E-3</v>
      </c>
      <c r="Z220" t="s">
        <v>340</v>
      </c>
      <c r="AA220" t="s">
        <v>25</v>
      </c>
      <c r="AC220" t="s">
        <v>22</v>
      </c>
      <c r="AD220" t="s">
        <v>340</v>
      </c>
      <c r="AE220">
        <v>2.6497103592723766E-3</v>
      </c>
      <c r="AG220" t="s">
        <v>97</v>
      </c>
      <c r="AH220" t="s">
        <v>340</v>
      </c>
      <c r="AI220">
        <v>6.8326103573197461E-2</v>
      </c>
    </row>
    <row r="221" spans="5:35" x14ac:dyDescent="0.45">
      <c r="E221" t="s">
        <v>1424</v>
      </c>
      <c r="G221" t="s">
        <v>159</v>
      </c>
      <c r="I221" t="s">
        <v>249</v>
      </c>
      <c r="J221" t="s">
        <v>341</v>
      </c>
      <c r="K221">
        <v>6.1886482059352998E-3</v>
      </c>
      <c r="L221" t="s">
        <v>251</v>
      </c>
      <c r="N221" t="s">
        <v>419</v>
      </c>
      <c r="O221" t="s">
        <v>341</v>
      </c>
      <c r="P221">
        <v>2.645260723797086E-3</v>
      </c>
      <c r="Q221" t="s">
        <v>251</v>
      </c>
      <c r="S221" t="s">
        <v>420</v>
      </c>
      <c r="T221" t="s">
        <v>341</v>
      </c>
      <c r="U221">
        <v>2.0224615995105386E-3</v>
      </c>
      <c r="V221" t="s">
        <v>251</v>
      </c>
      <c r="X221">
        <v>3.4246575342465752E-3</v>
      </c>
      <c r="Y221">
        <v>5.7181214727892006E-3</v>
      </c>
      <c r="Z221" t="s">
        <v>341</v>
      </c>
      <c r="AA221" t="s">
        <v>25</v>
      </c>
      <c r="AC221" t="s">
        <v>22</v>
      </c>
      <c r="AD221" t="s">
        <v>341</v>
      </c>
      <c r="AE221">
        <v>2.5584782257930265E-3</v>
      </c>
      <c r="AG221" t="s">
        <v>97</v>
      </c>
      <c r="AH221" t="s">
        <v>341</v>
      </c>
      <c r="AI221">
        <v>6.3283153241070034E-2</v>
      </c>
    </row>
    <row r="222" spans="5:35" x14ac:dyDescent="0.45">
      <c r="E222" t="s">
        <v>1425</v>
      </c>
      <c r="G222" t="s">
        <v>159</v>
      </c>
      <c r="I222" t="s">
        <v>249</v>
      </c>
      <c r="J222" t="s">
        <v>342</v>
      </c>
      <c r="K222">
        <v>5.9391656967384999E-2</v>
      </c>
      <c r="L222" t="s">
        <v>251</v>
      </c>
      <c r="N222" t="s">
        <v>419</v>
      </c>
      <c r="O222" t="s">
        <v>342</v>
      </c>
      <c r="P222">
        <v>2.0186747215789343E-2</v>
      </c>
      <c r="Q222" t="s">
        <v>251</v>
      </c>
      <c r="S222" t="s">
        <v>420</v>
      </c>
      <c r="T222" t="s">
        <v>342</v>
      </c>
      <c r="U222">
        <v>1.5028412364267944E-2</v>
      </c>
      <c r="V222" t="s">
        <v>251</v>
      </c>
      <c r="X222">
        <v>2.3972602739726026E-2</v>
      </c>
      <c r="Y222">
        <v>3.0410461676155433E-2</v>
      </c>
      <c r="Z222" t="s">
        <v>342</v>
      </c>
      <c r="AA222" t="s">
        <v>25</v>
      </c>
      <c r="AC222" t="s">
        <v>22</v>
      </c>
      <c r="AD222" t="s">
        <v>342</v>
      </c>
      <c r="AE222">
        <v>2.0666995204675419E-2</v>
      </c>
      <c r="AG222" t="s">
        <v>97</v>
      </c>
      <c r="AH222" t="s">
        <v>342</v>
      </c>
      <c r="AI222">
        <v>0.19022521607323695</v>
      </c>
    </row>
    <row r="223" spans="5:35" x14ac:dyDescent="0.45">
      <c r="E223" t="s">
        <v>1426</v>
      </c>
      <c r="G223" t="s">
        <v>159</v>
      </c>
      <c r="I223" t="s">
        <v>249</v>
      </c>
      <c r="J223" t="s">
        <v>343</v>
      </c>
      <c r="K223">
        <v>7.9800602970408006E-3</v>
      </c>
      <c r="L223" t="s">
        <v>251</v>
      </c>
      <c r="N223" t="s">
        <v>419</v>
      </c>
      <c r="O223" t="s">
        <v>343</v>
      </c>
      <c r="P223">
        <v>3.0852712538663382E-3</v>
      </c>
      <c r="Q223" t="s">
        <v>251</v>
      </c>
      <c r="S223" t="s">
        <v>420</v>
      </c>
      <c r="T223" t="s">
        <v>343</v>
      </c>
      <c r="U223">
        <v>2.547697763517483E-3</v>
      </c>
      <c r="V223" t="s">
        <v>251</v>
      </c>
      <c r="X223">
        <v>3.4246575342465752E-3</v>
      </c>
      <c r="Y223">
        <v>5.1711707232180593E-3</v>
      </c>
      <c r="Z223" t="s">
        <v>343</v>
      </c>
      <c r="AA223" t="s">
        <v>25</v>
      </c>
      <c r="AC223" t="s">
        <v>22</v>
      </c>
      <c r="AD223" t="s">
        <v>343</v>
      </c>
      <c r="AE223">
        <v>3.4028927577294411E-3</v>
      </c>
      <c r="AG223" t="s">
        <v>97</v>
      </c>
      <c r="AH223" t="s">
        <v>343</v>
      </c>
      <c r="AI223">
        <v>6.2489829878334291E-2</v>
      </c>
    </row>
    <row r="224" spans="5:35" x14ac:dyDescent="0.45">
      <c r="E224" t="s">
        <v>1427</v>
      </c>
      <c r="G224" t="s">
        <v>159</v>
      </c>
      <c r="I224" t="s">
        <v>249</v>
      </c>
      <c r="J224" t="s">
        <v>344</v>
      </c>
      <c r="K224">
        <v>7.1260513681538004E-3</v>
      </c>
      <c r="L224" t="s">
        <v>251</v>
      </c>
      <c r="N224" t="s">
        <v>419</v>
      </c>
      <c r="O224" t="s">
        <v>344</v>
      </c>
      <c r="P224">
        <v>3.1615154664669859E-3</v>
      </c>
      <c r="Q224" t="s">
        <v>251</v>
      </c>
      <c r="S224" t="s">
        <v>420</v>
      </c>
      <c r="T224" t="s">
        <v>344</v>
      </c>
      <c r="U224">
        <v>2.4478011458801108E-3</v>
      </c>
      <c r="V224" t="s">
        <v>251</v>
      </c>
      <c r="X224">
        <v>3.4246575342465752E-3</v>
      </c>
      <c r="Y224">
        <v>6.662854585684809E-3</v>
      </c>
      <c r="Z224" t="s">
        <v>344</v>
      </c>
      <c r="AA224" t="s">
        <v>25</v>
      </c>
      <c r="AC224" t="s">
        <v>22</v>
      </c>
      <c r="AD224" t="s">
        <v>344</v>
      </c>
      <c r="AE224">
        <v>3.4198347096210586E-3</v>
      </c>
      <c r="AG224" t="s">
        <v>97</v>
      </c>
      <c r="AH224" t="s">
        <v>344</v>
      </c>
      <c r="AI224">
        <v>7.1290983808581343E-2</v>
      </c>
    </row>
    <row r="225" spans="5:35" x14ac:dyDescent="0.45">
      <c r="E225" t="s">
        <v>1428</v>
      </c>
      <c r="G225" t="s">
        <v>159</v>
      </c>
      <c r="I225" t="s">
        <v>249</v>
      </c>
      <c r="J225" t="s">
        <v>345</v>
      </c>
      <c r="K225">
        <v>5.97267425403E-3</v>
      </c>
      <c r="L225" t="s">
        <v>251</v>
      </c>
      <c r="N225" t="s">
        <v>419</v>
      </c>
      <c r="O225" t="s">
        <v>345</v>
      </c>
      <c r="P225">
        <v>3.1609198927553899E-3</v>
      </c>
      <c r="Q225" t="s">
        <v>251</v>
      </c>
      <c r="S225" t="s">
        <v>420</v>
      </c>
      <c r="T225" t="s">
        <v>345</v>
      </c>
      <c r="U225">
        <v>2.4219064195414191E-3</v>
      </c>
      <c r="V225" t="s">
        <v>251</v>
      </c>
      <c r="X225">
        <v>3.4246575342465752E-3</v>
      </c>
      <c r="Y225">
        <v>6.662854585684809E-3</v>
      </c>
      <c r="Z225" t="s">
        <v>345</v>
      </c>
      <c r="AA225" t="s">
        <v>25</v>
      </c>
      <c r="AC225" t="s">
        <v>22</v>
      </c>
      <c r="AD225" t="s">
        <v>345</v>
      </c>
      <c r="AE225">
        <v>3.4450851650362443E-3</v>
      </c>
      <c r="AG225" t="s">
        <v>97</v>
      </c>
      <c r="AH225" t="s">
        <v>345</v>
      </c>
      <c r="AI225">
        <v>7.9933885841087848E-2</v>
      </c>
    </row>
    <row r="226" spans="5:35" x14ac:dyDescent="0.45">
      <c r="E226" t="s">
        <v>1429</v>
      </c>
      <c r="G226" t="s">
        <v>159</v>
      </c>
      <c r="I226" t="s">
        <v>249</v>
      </c>
      <c r="J226" t="s">
        <v>346</v>
      </c>
      <c r="K226">
        <v>6.6998443253581154E-3</v>
      </c>
      <c r="L226" t="s">
        <v>251</v>
      </c>
      <c r="N226" t="s">
        <v>419</v>
      </c>
      <c r="O226" t="s">
        <v>346</v>
      </c>
      <c r="P226">
        <v>2.1552171110743049E-2</v>
      </c>
      <c r="Q226" t="s">
        <v>251</v>
      </c>
      <c r="S226" t="s">
        <v>420</v>
      </c>
      <c r="T226" t="s">
        <v>346</v>
      </c>
      <c r="U226">
        <v>1.5920745316699014E-2</v>
      </c>
      <c r="V226" t="s">
        <v>251</v>
      </c>
      <c r="X226">
        <v>2.0547945205479451E-2</v>
      </c>
      <c r="Y226">
        <v>1.8099097531263209E-2</v>
      </c>
      <c r="Z226" t="s">
        <v>346</v>
      </c>
      <c r="AA226" t="s">
        <v>25</v>
      </c>
      <c r="AC226" t="s">
        <v>22</v>
      </c>
      <c r="AD226" t="s">
        <v>346</v>
      </c>
      <c r="AE226">
        <v>2.1050393923406293E-2</v>
      </c>
      <c r="AG226" t="s">
        <v>97</v>
      </c>
      <c r="AH226" t="s">
        <v>346</v>
      </c>
      <c r="AI226">
        <v>0.12607735122688024</v>
      </c>
    </row>
    <row r="227" spans="5:35" x14ac:dyDescent="0.45">
      <c r="E227" t="s">
        <v>1430</v>
      </c>
      <c r="G227" t="s">
        <v>159</v>
      </c>
      <c r="I227" t="s">
        <v>249</v>
      </c>
      <c r="J227" t="s">
        <v>347</v>
      </c>
      <c r="K227">
        <v>2.6851131546107499E-4</v>
      </c>
      <c r="L227" t="s">
        <v>251</v>
      </c>
      <c r="N227" t="s">
        <v>419</v>
      </c>
      <c r="O227" t="s">
        <v>347</v>
      </c>
      <c r="P227">
        <v>1.7906356699202514E-2</v>
      </c>
      <c r="Q227" t="s">
        <v>251</v>
      </c>
      <c r="S227" t="s">
        <v>420</v>
      </c>
      <c r="T227" t="s">
        <v>347</v>
      </c>
      <c r="U227">
        <v>1.6784868353445087E-2</v>
      </c>
      <c r="V227" t="s">
        <v>251</v>
      </c>
      <c r="X227">
        <v>2.1232876712328767E-2</v>
      </c>
      <c r="Y227">
        <v>4.5420116185598634E-3</v>
      </c>
      <c r="Z227" t="s">
        <v>347</v>
      </c>
      <c r="AA227" t="s">
        <v>25</v>
      </c>
      <c r="AC227" t="s">
        <v>22</v>
      </c>
      <c r="AD227" t="s">
        <v>347</v>
      </c>
      <c r="AE227">
        <v>2.1060695450919414E-2</v>
      </c>
      <c r="AG227" t="s">
        <v>97</v>
      </c>
      <c r="AH227" t="s">
        <v>347</v>
      </c>
      <c r="AI227">
        <v>0.2315021641066155</v>
      </c>
    </row>
    <row r="228" spans="5:35" x14ac:dyDescent="0.45">
      <c r="E228" t="s">
        <v>1431</v>
      </c>
      <c r="G228" t="s">
        <v>159</v>
      </c>
      <c r="I228" t="s">
        <v>249</v>
      </c>
      <c r="J228" t="s">
        <v>348</v>
      </c>
      <c r="K228">
        <v>3.2204031164093181E-3</v>
      </c>
      <c r="L228" t="s">
        <v>251</v>
      </c>
      <c r="N228" t="s">
        <v>419</v>
      </c>
      <c r="O228" t="s">
        <v>348</v>
      </c>
      <c r="P228">
        <v>2.1598997955974584E-3</v>
      </c>
      <c r="Q228" t="s">
        <v>251</v>
      </c>
      <c r="S228" t="s">
        <v>420</v>
      </c>
      <c r="T228" t="s">
        <v>348</v>
      </c>
      <c r="U228">
        <v>2.4552076392760176E-3</v>
      </c>
      <c r="V228" t="s">
        <v>251</v>
      </c>
      <c r="X228">
        <v>3.5388127853881279E-3</v>
      </c>
      <c r="Y228">
        <v>5.240782636799844E-3</v>
      </c>
      <c r="Z228" t="s">
        <v>348</v>
      </c>
      <c r="AA228" t="s">
        <v>25</v>
      </c>
      <c r="AC228" t="s">
        <v>22</v>
      </c>
      <c r="AD228" t="s">
        <v>348</v>
      </c>
      <c r="AE228">
        <v>2.8922928243539656E-3</v>
      </c>
      <c r="AG228" t="s">
        <v>97</v>
      </c>
      <c r="AH228" t="s">
        <v>348</v>
      </c>
      <c r="AI228">
        <v>5.6133928654755527E-2</v>
      </c>
    </row>
    <row r="229" spans="5:35" x14ac:dyDescent="0.45">
      <c r="E229" t="s">
        <v>1432</v>
      </c>
      <c r="G229" t="s">
        <v>159</v>
      </c>
      <c r="I229" t="s">
        <v>249</v>
      </c>
      <c r="J229" t="s">
        <v>349</v>
      </c>
      <c r="K229">
        <v>5.2350618749991001E-3</v>
      </c>
      <c r="L229" t="s">
        <v>251</v>
      </c>
      <c r="N229" t="s">
        <v>419</v>
      </c>
      <c r="O229" t="s">
        <v>349</v>
      </c>
      <c r="P229">
        <v>1.8496526274653208E-3</v>
      </c>
      <c r="Q229" t="s">
        <v>251</v>
      </c>
      <c r="S229" t="s">
        <v>420</v>
      </c>
      <c r="T229" t="s">
        <v>349</v>
      </c>
      <c r="U229">
        <v>2.3873461693071727E-3</v>
      </c>
      <c r="V229" t="s">
        <v>251</v>
      </c>
      <c r="X229">
        <v>3.5388127853881279E-3</v>
      </c>
      <c r="Y229">
        <v>5.9087255218821738E-3</v>
      </c>
      <c r="Z229" t="s">
        <v>349</v>
      </c>
      <c r="AA229" t="s">
        <v>25</v>
      </c>
      <c r="AC229" t="s">
        <v>22</v>
      </c>
      <c r="AD229" t="s">
        <v>349</v>
      </c>
      <c r="AE229">
        <v>2.7751816886173938E-3</v>
      </c>
      <c r="AG229" t="s">
        <v>97</v>
      </c>
      <c r="AH229" t="s">
        <v>349</v>
      </c>
      <c r="AI229">
        <v>5.9458371844419711E-2</v>
      </c>
    </row>
    <row r="230" spans="5:35" x14ac:dyDescent="0.45">
      <c r="E230" t="s">
        <v>1433</v>
      </c>
      <c r="G230" t="s">
        <v>159</v>
      </c>
      <c r="I230" t="s">
        <v>249</v>
      </c>
      <c r="J230" t="s">
        <v>350</v>
      </c>
      <c r="K230">
        <v>5.4726961163533497E-2</v>
      </c>
      <c r="L230" t="s">
        <v>251</v>
      </c>
      <c r="N230" t="s">
        <v>419</v>
      </c>
      <c r="O230" t="s">
        <v>350</v>
      </c>
      <c r="P230">
        <v>1.3394753685262772E-2</v>
      </c>
      <c r="Q230" t="s">
        <v>251</v>
      </c>
      <c r="S230" t="s">
        <v>420</v>
      </c>
      <c r="T230" t="s">
        <v>350</v>
      </c>
      <c r="U230">
        <v>1.5760182629451346E-2</v>
      </c>
      <c r="V230" t="s">
        <v>251</v>
      </c>
      <c r="X230">
        <v>2.4771689497716895E-2</v>
      </c>
      <c r="Y230">
        <v>3.1424143732027281E-2</v>
      </c>
      <c r="Z230" t="s">
        <v>350</v>
      </c>
      <c r="AA230" t="s">
        <v>25</v>
      </c>
      <c r="AC230" t="s">
        <v>22</v>
      </c>
      <c r="AD230" t="s">
        <v>350</v>
      </c>
      <c r="AE230">
        <v>2.2015949371621827E-2</v>
      </c>
      <c r="AG230" t="s">
        <v>97</v>
      </c>
      <c r="AH230" t="s">
        <v>350</v>
      </c>
      <c r="AI230">
        <v>0.20573239206764882</v>
      </c>
    </row>
    <row r="231" spans="5:35" x14ac:dyDescent="0.45">
      <c r="E231" t="s">
        <v>1434</v>
      </c>
      <c r="G231" t="s">
        <v>159</v>
      </c>
      <c r="I231" t="s">
        <v>249</v>
      </c>
      <c r="J231" t="s">
        <v>351</v>
      </c>
      <c r="K231">
        <v>7.1083135960544001E-3</v>
      </c>
      <c r="L231" t="s">
        <v>251</v>
      </c>
      <c r="N231" t="s">
        <v>419</v>
      </c>
      <c r="O231" t="s">
        <v>351</v>
      </c>
      <c r="P231">
        <v>2.0138639294259761E-3</v>
      </c>
      <c r="Q231" t="s">
        <v>251</v>
      </c>
      <c r="S231" t="s">
        <v>420</v>
      </c>
      <c r="T231" t="s">
        <v>351</v>
      </c>
      <c r="U231">
        <v>2.6066075866898052E-3</v>
      </c>
      <c r="V231" t="s">
        <v>251</v>
      </c>
      <c r="X231">
        <v>3.5388127853881279E-3</v>
      </c>
      <c r="Y231">
        <v>5.3435430806586613E-3</v>
      </c>
      <c r="Z231" t="s">
        <v>351</v>
      </c>
      <c r="AA231" t="s">
        <v>25</v>
      </c>
      <c r="AC231" t="s">
        <v>22</v>
      </c>
      <c r="AD231" t="s">
        <v>351</v>
      </c>
      <c r="AE231">
        <v>3.7274002743161584E-3</v>
      </c>
      <c r="AG231" t="s">
        <v>97</v>
      </c>
      <c r="AH231" t="s">
        <v>351</v>
      </c>
      <c r="AI231">
        <v>7.3142236951218909E-2</v>
      </c>
    </row>
    <row r="232" spans="5:35" x14ac:dyDescent="0.45">
      <c r="E232" t="s">
        <v>1435</v>
      </c>
      <c r="G232" t="s">
        <v>159</v>
      </c>
      <c r="I232" t="s">
        <v>249</v>
      </c>
      <c r="J232" t="s">
        <v>352</v>
      </c>
      <c r="K232">
        <v>6.1891237235557998E-3</v>
      </c>
      <c r="L232" t="s">
        <v>251</v>
      </c>
      <c r="N232" t="s">
        <v>419</v>
      </c>
      <c r="O232" t="s">
        <v>352</v>
      </c>
      <c r="P232">
        <v>2.0792526059573023E-3</v>
      </c>
      <c r="Q232" t="s">
        <v>251</v>
      </c>
      <c r="S232" t="s">
        <v>420</v>
      </c>
      <c r="T232" t="s">
        <v>352</v>
      </c>
      <c r="U232">
        <v>2.5679852482390691E-3</v>
      </c>
      <c r="V232" t="s">
        <v>251</v>
      </c>
      <c r="X232">
        <v>3.5388127853881279E-3</v>
      </c>
      <c r="Y232">
        <v>6.8849497385409693E-3</v>
      </c>
      <c r="Z232" t="s">
        <v>352</v>
      </c>
      <c r="AA232" t="s">
        <v>25</v>
      </c>
      <c r="AC232" t="s">
        <v>22</v>
      </c>
      <c r="AD232" t="s">
        <v>352</v>
      </c>
      <c r="AE232">
        <v>3.785287944468385E-3</v>
      </c>
      <c r="AG232" t="s">
        <v>97</v>
      </c>
      <c r="AH232" t="s">
        <v>352</v>
      </c>
      <c r="AI232">
        <v>0.1053933651502823</v>
      </c>
    </row>
    <row r="233" spans="5:35" x14ac:dyDescent="0.45">
      <c r="E233" t="s">
        <v>1436</v>
      </c>
      <c r="G233" t="s">
        <v>159</v>
      </c>
      <c r="I233" t="s">
        <v>249</v>
      </c>
      <c r="J233" t="s">
        <v>353</v>
      </c>
      <c r="K233">
        <v>4.9659416849278997E-3</v>
      </c>
      <c r="L233" t="s">
        <v>251</v>
      </c>
      <c r="N233" t="s">
        <v>419</v>
      </c>
      <c r="O233" t="s">
        <v>353</v>
      </c>
      <c r="P233">
        <v>2.1234054464425787E-3</v>
      </c>
      <c r="Q233" t="s">
        <v>251</v>
      </c>
      <c r="S233" t="s">
        <v>420</v>
      </c>
      <c r="T233" t="s">
        <v>353</v>
      </c>
      <c r="U233">
        <v>2.5660690043538253E-3</v>
      </c>
      <c r="V233" t="s">
        <v>251</v>
      </c>
      <c r="X233">
        <v>3.5388127853881279E-3</v>
      </c>
      <c r="Y233">
        <v>6.8849497385409693E-3</v>
      </c>
      <c r="Z233" t="s">
        <v>353</v>
      </c>
      <c r="AA233" t="s">
        <v>25</v>
      </c>
      <c r="AC233" t="s">
        <v>22</v>
      </c>
      <c r="AD233" t="s">
        <v>353</v>
      </c>
      <c r="AE233">
        <v>3.843480283760511E-3</v>
      </c>
      <c r="AG233" t="s">
        <v>97</v>
      </c>
      <c r="AH233" t="s">
        <v>353</v>
      </c>
      <c r="AI233">
        <v>0.10499916203418347</v>
      </c>
    </row>
    <row r="234" spans="5:35" x14ac:dyDescent="0.45">
      <c r="E234" t="s">
        <v>1437</v>
      </c>
      <c r="G234" t="s">
        <v>159</v>
      </c>
      <c r="I234" t="s">
        <v>249</v>
      </c>
      <c r="J234" t="s">
        <v>354</v>
      </c>
      <c r="K234">
        <v>5.2532482843577442E-3</v>
      </c>
      <c r="L234" t="s">
        <v>251</v>
      </c>
      <c r="N234" t="s">
        <v>419</v>
      </c>
      <c r="O234" t="s">
        <v>354</v>
      </c>
      <c r="P234">
        <v>1.8305678872793222E-2</v>
      </c>
      <c r="Q234" t="s">
        <v>251</v>
      </c>
      <c r="S234" t="s">
        <v>420</v>
      </c>
      <c r="T234" t="s">
        <v>354</v>
      </c>
      <c r="U234">
        <v>1.6816073507230526E-2</v>
      </c>
      <c r="V234" t="s">
        <v>251</v>
      </c>
      <c r="X234">
        <v>2.1232876712328767E-2</v>
      </c>
      <c r="Y234">
        <v>1.8702400782305319E-2</v>
      </c>
      <c r="Z234" t="s">
        <v>354</v>
      </c>
      <c r="AA234" t="s">
        <v>25</v>
      </c>
      <c r="AC234" t="s">
        <v>22</v>
      </c>
      <c r="AD234" t="s">
        <v>354</v>
      </c>
      <c r="AE234">
        <v>2.3704335456036028E-2</v>
      </c>
      <c r="AG234" t="s">
        <v>97</v>
      </c>
      <c r="AH234" t="s">
        <v>354</v>
      </c>
      <c r="AI234">
        <v>0.13820527616738598</v>
      </c>
    </row>
    <row r="235" spans="5:35" x14ac:dyDescent="0.45">
      <c r="E235" t="s">
        <v>1438</v>
      </c>
      <c r="G235" t="s">
        <v>159</v>
      </c>
      <c r="I235" t="s">
        <v>249</v>
      </c>
      <c r="J235" t="s">
        <v>355</v>
      </c>
      <c r="K235">
        <v>2.783153874109351E-8</v>
      </c>
      <c r="L235" t="s">
        <v>251</v>
      </c>
      <c r="N235" t="s">
        <v>419</v>
      </c>
      <c r="O235" t="s">
        <v>355</v>
      </c>
      <c r="P235">
        <v>1.4164250450188402E-2</v>
      </c>
      <c r="Q235" t="s">
        <v>251</v>
      </c>
      <c r="S235" t="s">
        <v>420</v>
      </c>
      <c r="T235" t="s">
        <v>355</v>
      </c>
      <c r="U235">
        <v>1.2075360381105288E-2</v>
      </c>
      <c r="V235" t="s">
        <v>251</v>
      </c>
      <c r="X235">
        <v>1.643835616438356E-2</v>
      </c>
      <c r="Y235">
        <v>3.5163960917882816E-3</v>
      </c>
      <c r="Z235" t="s">
        <v>355</v>
      </c>
      <c r="AA235" t="s">
        <v>25</v>
      </c>
      <c r="AC235" t="s">
        <v>22</v>
      </c>
      <c r="AD235" t="s">
        <v>355</v>
      </c>
      <c r="AE235">
        <v>1.5962806175765107E-2</v>
      </c>
      <c r="AG235" t="s">
        <v>97</v>
      </c>
      <c r="AH235" t="s">
        <v>355</v>
      </c>
      <c r="AI235">
        <v>0.19871719364854723</v>
      </c>
    </row>
    <row r="236" spans="5:35" x14ac:dyDescent="0.45">
      <c r="E236" t="s">
        <v>1439</v>
      </c>
      <c r="G236" t="s">
        <v>159</v>
      </c>
      <c r="I236" t="s">
        <v>249</v>
      </c>
      <c r="J236" t="s">
        <v>356</v>
      </c>
      <c r="K236">
        <v>1.9935145364901358E-3</v>
      </c>
      <c r="L236" t="s">
        <v>251</v>
      </c>
      <c r="N236" t="s">
        <v>419</v>
      </c>
      <c r="O236" t="s">
        <v>356</v>
      </c>
      <c r="P236">
        <v>1.7587477616985299E-3</v>
      </c>
      <c r="Q236" t="s">
        <v>251</v>
      </c>
      <c r="S236" t="s">
        <v>420</v>
      </c>
      <c r="T236" t="s">
        <v>356</v>
      </c>
      <c r="U236">
        <v>1.8040948615603482E-3</v>
      </c>
      <c r="V236" t="s">
        <v>251</v>
      </c>
      <c r="X236">
        <v>2.7397260273972603E-3</v>
      </c>
      <c r="Y236">
        <v>4.0573801059095556E-3</v>
      </c>
      <c r="Z236" t="s">
        <v>356</v>
      </c>
      <c r="AA236" t="s">
        <v>25</v>
      </c>
      <c r="AC236" t="s">
        <v>22</v>
      </c>
      <c r="AD236" t="s">
        <v>356</v>
      </c>
      <c r="AE236">
        <v>2.1664721191718066E-3</v>
      </c>
      <c r="AG236" t="s">
        <v>97</v>
      </c>
      <c r="AH236" t="s">
        <v>356</v>
      </c>
      <c r="AI236">
        <v>7.6525173651976086E-2</v>
      </c>
    </row>
    <row r="237" spans="5:35" x14ac:dyDescent="0.45">
      <c r="E237" t="s">
        <v>1440</v>
      </c>
      <c r="G237" t="s">
        <v>159</v>
      </c>
      <c r="I237" t="s">
        <v>249</v>
      </c>
      <c r="J237" t="s">
        <v>357</v>
      </c>
      <c r="K237">
        <v>4.2098765308232998E-3</v>
      </c>
      <c r="L237" t="s">
        <v>251</v>
      </c>
      <c r="N237" t="s">
        <v>419</v>
      </c>
      <c r="O237" t="s">
        <v>357</v>
      </c>
      <c r="P237">
        <v>1.3478832340488775E-3</v>
      </c>
      <c r="Q237" t="s">
        <v>251</v>
      </c>
      <c r="S237" t="s">
        <v>420</v>
      </c>
      <c r="T237" t="s">
        <v>357</v>
      </c>
      <c r="U237">
        <v>1.7497308383131974E-3</v>
      </c>
      <c r="V237" t="s">
        <v>251</v>
      </c>
      <c r="X237">
        <v>2.7397260273972603E-3</v>
      </c>
      <c r="Y237">
        <v>4.5744971782313605E-3</v>
      </c>
      <c r="Z237" t="s">
        <v>357</v>
      </c>
      <c r="AA237" t="s">
        <v>25</v>
      </c>
      <c r="AC237" t="s">
        <v>22</v>
      </c>
      <c r="AD237" t="s">
        <v>357</v>
      </c>
      <c r="AE237">
        <v>2.0815721415904714E-3</v>
      </c>
      <c r="AG237" t="s">
        <v>97</v>
      </c>
      <c r="AH237" t="s">
        <v>357</v>
      </c>
      <c r="AI237">
        <v>7.0562054785460626E-2</v>
      </c>
    </row>
    <row r="238" spans="5:35" x14ac:dyDescent="0.45">
      <c r="E238" t="s">
        <v>1441</v>
      </c>
      <c r="G238" t="s">
        <v>159</v>
      </c>
      <c r="I238" t="s">
        <v>249</v>
      </c>
      <c r="J238" t="s">
        <v>358</v>
      </c>
      <c r="K238">
        <v>4.3415388325834997E-2</v>
      </c>
      <c r="L238" t="s">
        <v>251</v>
      </c>
      <c r="N238" t="s">
        <v>419</v>
      </c>
      <c r="O238" t="s">
        <v>358</v>
      </c>
      <c r="P238">
        <v>8.9062852458890538E-3</v>
      </c>
      <c r="Q238" t="s">
        <v>251</v>
      </c>
      <c r="S238" t="s">
        <v>420</v>
      </c>
      <c r="T238" t="s">
        <v>358</v>
      </c>
      <c r="U238">
        <v>1.0921220693447749E-2</v>
      </c>
      <c r="V238" t="s">
        <v>251</v>
      </c>
      <c r="X238">
        <v>1.9178082191780823E-2</v>
      </c>
      <c r="Y238">
        <v>2.432836934092435E-2</v>
      </c>
      <c r="Z238" t="s">
        <v>358</v>
      </c>
      <c r="AA238" t="s">
        <v>25</v>
      </c>
      <c r="AC238" t="s">
        <v>22</v>
      </c>
      <c r="AD238" t="s">
        <v>358</v>
      </c>
      <c r="AE238">
        <v>1.6689820655286878E-2</v>
      </c>
      <c r="AG238" t="s">
        <v>97</v>
      </c>
      <c r="AH238" t="s">
        <v>358</v>
      </c>
      <c r="AI238">
        <v>0.19522214532047544</v>
      </c>
    </row>
    <row r="239" spans="5:35" x14ac:dyDescent="0.45">
      <c r="E239" t="s">
        <v>1442</v>
      </c>
      <c r="G239" t="s">
        <v>159</v>
      </c>
      <c r="I239" t="s">
        <v>249</v>
      </c>
      <c r="J239" t="s">
        <v>359</v>
      </c>
      <c r="K239">
        <v>5.6760604491219004E-3</v>
      </c>
      <c r="L239" t="s">
        <v>251</v>
      </c>
      <c r="N239" t="s">
        <v>419</v>
      </c>
      <c r="O239" t="s">
        <v>359</v>
      </c>
      <c r="P239">
        <v>1.3967369617692755E-3</v>
      </c>
      <c r="Q239" t="s">
        <v>251</v>
      </c>
      <c r="S239" t="s">
        <v>420</v>
      </c>
      <c r="T239" t="s">
        <v>359</v>
      </c>
      <c r="U239">
        <v>1.6698004859993308E-3</v>
      </c>
      <c r="V239" t="s">
        <v>251</v>
      </c>
      <c r="X239">
        <v>2.7397260273972603E-3</v>
      </c>
      <c r="Y239">
        <v>4.1369365785744487E-3</v>
      </c>
      <c r="Z239" t="s">
        <v>359</v>
      </c>
      <c r="AA239" t="s">
        <v>25</v>
      </c>
      <c r="AC239" t="s">
        <v>22</v>
      </c>
      <c r="AD239" t="s">
        <v>359</v>
      </c>
      <c r="AE239">
        <v>2.8178192577955835E-3</v>
      </c>
      <c r="AG239" t="s">
        <v>97</v>
      </c>
      <c r="AH239" t="s">
        <v>359</v>
      </c>
      <c r="AI239">
        <v>6.5769738742955441E-2</v>
      </c>
    </row>
    <row r="240" spans="5:35" x14ac:dyDescent="0.45">
      <c r="E240" t="s">
        <v>1443</v>
      </c>
      <c r="G240" t="s">
        <v>159</v>
      </c>
      <c r="I240" t="s">
        <v>249</v>
      </c>
      <c r="J240" t="s">
        <v>360</v>
      </c>
      <c r="K240">
        <v>5.0027989786051996E-3</v>
      </c>
      <c r="L240" t="s">
        <v>251</v>
      </c>
      <c r="N240" t="s">
        <v>419</v>
      </c>
      <c r="O240" t="s">
        <v>360</v>
      </c>
      <c r="P240">
        <v>1.4616656200652071E-3</v>
      </c>
      <c r="Q240" t="s">
        <v>251</v>
      </c>
      <c r="S240" t="s">
        <v>420</v>
      </c>
      <c r="T240" t="s">
        <v>360</v>
      </c>
      <c r="U240">
        <v>1.657836556294955E-3</v>
      </c>
      <c r="V240" t="s">
        <v>251</v>
      </c>
      <c r="X240">
        <v>2.7397260273972603E-3</v>
      </c>
      <c r="Y240">
        <v>5.3302836685478472E-3</v>
      </c>
      <c r="Z240" t="s">
        <v>360</v>
      </c>
      <c r="AA240" t="s">
        <v>25</v>
      </c>
      <c r="AC240" t="s">
        <v>22</v>
      </c>
      <c r="AD240" t="s">
        <v>360</v>
      </c>
      <c r="AE240">
        <v>2.8460064889480907E-3</v>
      </c>
      <c r="AG240" t="s">
        <v>97</v>
      </c>
      <c r="AH240" t="s">
        <v>360</v>
      </c>
      <c r="AI240">
        <v>7.7407765215722568E-2</v>
      </c>
    </row>
    <row r="241" spans="5:35" x14ac:dyDescent="0.45">
      <c r="E241" t="s">
        <v>1444</v>
      </c>
      <c r="G241" t="s">
        <v>159</v>
      </c>
      <c r="I241" t="s">
        <v>249</v>
      </c>
      <c r="J241" t="s">
        <v>361</v>
      </c>
      <c r="K241">
        <v>4.0273690256751003E-3</v>
      </c>
      <c r="L241" t="s">
        <v>251</v>
      </c>
      <c r="N241" t="s">
        <v>419</v>
      </c>
      <c r="O241" t="s">
        <v>361</v>
      </c>
      <c r="P241">
        <v>1.566741884158672E-3</v>
      </c>
      <c r="Q241" t="s">
        <v>251</v>
      </c>
      <c r="S241" t="s">
        <v>420</v>
      </c>
      <c r="T241" t="s">
        <v>361</v>
      </c>
      <c r="U241">
        <v>1.63251344586157E-3</v>
      </c>
      <c r="V241" t="s">
        <v>251</v>
      </c>
      <c r="X241">
        <v>2.7397260273972603E-3</v>
      </c>
      <c r="Y241">
        <v>5.3302836685478472E-3</v>
      </c>
      <c r="Z241" t="s">
        <v>361</v>
      </c>
      <c r="AA241" t="s">
        <v>25</v>
      </c>
      <c r="AC241" t="s">
        <v>22</v>
      </c>
      <c r="AD241" t="s">
        <v>361</v>
      </c>
      <c r="AE241">
        <v>2.8807545112463323E-3</v>
      </c>
      <c r="AG241" t="s">
        <v>97</v>
      </c>
      <c r="AH241" t="s">
        <v>361</v>
      </c>
      <c r="AI241">
        <v>0.11506212398767879</v>
      </c>
    </row>
    <row r="242" spans="5:35" x14ac:dyDescent="0.45">
      <c r="E242" t="s">
        <v>1445</v>
      </c>
      <c r="G242" t="s">
        <v>159</v>
      </c>
      <c r="I242" t="s">
        <v>249</v>
      </c>
      <c r="J242" t="s">
        <v>362</v>
      </c>
      <c r="K242">
        <v>3.5094276443878958E-3</v>
      </c>
      <c r="L242" t="s">
        <v>251</v>
      </c>
      <c r="N242" t="s">
        <v>419</v>
      </c>
      <c r="O242" t="s">
        <v>362</v>
      </c>
      <c r="P242">
        <v>1.5786553314274792E-2</v>
      </c>
      <c r="Q242" t="s">
        <v>251</v>
      </c>
      <c r="S242" t="s">
        <v>420</v>
      </c>
      <c r="T242" t="s">
        <v>362</v>
      </c>
      <c r="U242">
        <v>1.1874208734315281E-2</v>
      </c>
      <c r="V242" t="s">
        <v>251</v>
      </c>
      <c r="X242">
        <v>1.643835616438356E-2</v>
      </c>
      <c r="Y242">
        <v>1.4479278025010568E-2</v>
      </c>
      <c r="Z242" t="s">
        <v>362</v>
      </c>
      <c r="AA242" t="s">
        <v>25</v>
      </c>
      <c r="AC242" t="s">
        <v>22</v>
      </c>
      <c r="AD242" t="s">
        <v>362</v>
      </c>
      <c r="AE242">
        <v>1.7915416820535487E-2</v>
      </c>
      <c r="AG242" t="s">
        <v>97</v>
      </c>
      <c r="AH242" t="s">
        <v>362</v>
      </c>
      <c r="AI242">
        <v>0.15652421443333853</v>
      </c>
    </row>
    <row r="243" spans="5:35" x14ac:dyDescent="0.45">
      <c r="E243" t="s">
        <v>1446</v>
      </c>
      <c r="G243" t="s">
        <v>159</v>
      </c>
      <c r="I243" t="s">
        <v>249</v>
      </c>
      <c r="J243" t="s">
        <v>1718</v>
      </c>
      <c r="K243">
        <v>0</v>
      </c>
      <c r="L243" t="s">
        <v>251</v>
      </c>
      <c r="N243" t="s">
        <v>419</v>
      </c>
      <c r="O243" t="s">
        <v>1718</v>
      </c>
      <c r="P243">
        <v>9.6844181028371882E-5</v>
      </c>
      <c r="Q243" t="s">
        <v>251</v>
      </c>
      <c r="S243" t="s">
        <v>420</v>
      </c>
      <c r="T243" t="s">
        <v>1718</v>
      </c>
      <c r="U243">
        <v>6.2313799934846076E-5</v>
      </c>
      <c r="V243" t="s">
        <v>251</v>
      </c>
      <c r="X243">
        <v>1.1415525114155251E-4</v>
      </c>
      <c r="Y243">
        <v>2.1546544680075254E-5</v>
      </c>
      <c r="Z243" t="s">
        <v>1718</v>
      </c>
      <c r="AA243" t="s">
        <v>25</v>
      </c>
      <c r="AC243" t="s">
        <v>22</v>
      </c>
      <c r="AD243" t="s">
        <v>1718</v>
      </c>
      <c r="AE243">
        <v>1.2400603186993634E-4</v>
      </c>
      <c r="AG243" t="s">
        <v>97</v>
      </c>
      <c r="AH243" t="s">
        <v>1718</v>
      </c>
      <c r="AI243">
        <v>0</v>
      </c>
    </row>
    <row r="244" spans="5:35" x14ac:dyDescent="0.45">
      <c r="E244" t="s">
        <v>1447</v>
      </c>
      <c r="G244" t="s">
        <v>159</v>
      </c>
      <c r="I244" t="s">
        <v>249</v>
      </c>
      <c r="J244" t="s">
        <v>1719</v>
      </c>
      <c r="K244">
        <v>0</v>
      </c>
      <c r="L244" t="s">
        <v>251</v>
      </c>
      <c r="N244" t="s">
        <v>419</v>
      </c>
      <c r="O244" t="s">
        <v>1719</v>
      </c>
      <c r="P244">
        <v>1.043180555861E-4</v>
      </c>
      <c r="Q244" t="s">
        <v>251</v>
      </c>
      <c r="S244" t="s">
        <v>420</v>
      </c>
      <c r="T244" t="s">
        <v>1719</v>
      </c>
      <c r="U244">
        <v>5.3536973273867577E-5</v>
      </c>
      <c r="V244" t="s">
        <v>251</v>
      </c>
      <c r="X244">
        <v>1.1415525114155251E-4</v>
      </c>
      <c r="Y244">
        <v>1.4916838624667481E-5</v>
      </c>
      <c r="Z244" t="s">
        <v>1719</v>
      </c>
      <c r="AA244" t="s">
        <v>25</v>
      </c>
      <c r="AC244" t="s">
        <v>22</v>
      </c>
      <c r="AD244" t="s">
        <v>1719</v>
      </c>
      <c r="AE244">
        <v>1.1999330986184521E-4</v>
      </c>
      <c r="AG244" t="s">
        <v>97</v>
      </c>
      <c r="AH244" t="s">
        <v>1719</v>
      </c>
      <c r="AI244">
        <v>0</v>
      </c>
    </row>
    <row r="245" spans="5:35" x14ac:dyDescent="0.45">
      <c r="E245" t="s">
        <v>1448</v>
      </c>
      <c r="G245" t="s">
        <v>159</v>
      </c>
      <c r="I245" t="s">
        <v>249</v>
      </c>
      <c r="J245" t="s">
        <v>1720</v>
      </c>
      <c r="K245">
        <v>0</v>
      </c>
      <c r="L245" t="s">
        <v>251</v>
      </c>
      <c r="N245" t="s">
        <v>419</v>
      </c>
      <c r="O245" t="s">
        <v>1720</v>
      </c>
      <c r="P245">
        <v>1.098554654394E-4</v>
      </c>
      <c r="Q245" t="s">
        <v>251</v>
      </c>
      <c r="S245" t="s">
        <v>420</v>
      </c>
      <c r="T245" t="s">
        <v>1720</v>
      </c>
      <c r="U245">
        <v>4.8616995067648366E-5</v>
      </c>
      <c r="V245" t="s">
        <v>251</v>
      </c>
      <c r="X245">
        <v>1.1415525114155251E-4</v>
      </c>
      <c r="Y245">
        <v>1.6574265138519424E-5</v>
      </c>
      <c r="Z245" t="s">
        <v>1720</v>
      </c>
      <c r="AA245" t="s">
        <v>25</v>
      </c>
      <c r="AC245" t="s">
        <v>22</v>
      </c>
      <c r="AD245" t="s">
        <v>1720</v>
      </c>
      <c r="AE245">
        <v>1.1625110843856922E-4</v>
      </c>
      <c r="AG245" t="s">
        <v>97</v>
      </c>
      <c r="AH245" t="s">
        <v>1720</v>
      </c>
      <c r="AI245">
        <v>0</v>
      </c>
    </row>
    <row r="246" spans="5:35" x14ac:dyDescent="0.45">
      <c r="E246" t="s">
        <v>1449</v>
      </c>
      <c r="G246" t="s">
        <v>159</v>
      </c>
      <c r="I246" t="s">
        <v>249</v>
      </c>
      <c r="J246" t="s">
        <v>1721</v>
      </c>
      <c r="K246">
        <v>0</v>
      </c>
      <c r="L246" t="s">
        <v>251</v>
      </c>
      <c r="N246" t="s">
        <v>419</v>
      </c>
      <c r="O246" t="s">
        <v>1721</v>
      </c>
      <c r="P246">
        <v>8.985841175695097E-5</v>
      </c>
      <c r="Q246" t="s">
        <v>251</v>
      </c>
      <c r="S246" t="s">
        <v>420</v>
      </c>
      <c r="T246" t="s">
        <v>1721</v>
      </c>
      <c r="U246">
        <v>4.1480794866788047E-5</v>
      </c>
      <c r="V246" t="s">
        <v>251</v>
      </c>
      <c r="X246">
        <v>1.1415525114155251E-4</v>
      </c>
      <c r="Y246">
        <v>1.4585353321897093E-5</v>
      </c>
      <c r="Z246" t="s">
        <v>1721</v>
      </c>
      <c r="AA246" t="s">
        <v>25</v>
      </c>
      <c r="AC246" t="s">
        <v>22</v>
      </c>
      <c r="AD246" t="s">
        <v>1721</v>
      </c>
      <c r="AE246">
        <v>1.0691174540836862E-4</v>
      </c>
      <c r="AG246" t="s">
        <v>97</v>
      </c>
      <c r="AH246" t="s">
        <v>1721</v>
      </c>
      <c r="AI246">
        <v>0</v>
      </c>
    </row>
    <row r="247" spans="5:35" x14ac:dyDescent="0.45">
      <c r="E247" t="s">
        <v>1450</v>
      </c>
      <c r="G247" t="s">
        <v>159</v>
      </c>
      <c r="I247" t="s">
        <v>249</v>
      </c>
      <c r="J247" t="s">
        <v>1722</v>
      </c>
      <c r="K247">
        <v>0</v>
      </c>
      <c r="L247" t="s">
        <v>251</v>
      </c>
      <c r="N247" t="s">
        <v>419</v>
      </c>
      <c r="O247" t="s">
        <v>1722</v>
      </c>
      <c r="P247">
        <v>8.8780092079639107E-5</v>
      </c>
      <c r="Q247" t="s">
        <v>251</v>
      </c>
      <c r="S247" t="s">
        <v>420</v>
      </c>
      <c r="T247" t="s">
        <v>1722</v>
      </c>
      <c r="U247">
        <v>3.6770669844652533E-5</v>
      </c>
      <c r="V247" t="s">
        <v>251</v>
      </c>
      <c r="X247">
        <v>1.1415525114155251E-4</v>
      </c>
      <c r="Y247">
        <v>2.1215059377304864E-5</v>
      </c>
      <c r="Z247" t="s">
        <v>1722</v>
      </c>
      <c r="AA247" t="s">
        <v>25</v>
      </c>
      <c r="AC247" t="s">
        <v>22</v>
      </c>
      <c r="AD247" t="s">
        <v>1722</v>
      </c>
      <c r="AE247">
        <v>1.0216456268036028E-4</v>
      </c>
      <c r="AG247" t="s">
        <v>97</v>
      </c>
      <c r="AH247" t="s">
        <v>1722</v>
      </c>
      <c r="AI247">
        <v>0</v>
      </c>
    </row>
    <row r="248" spans="5:35" x14ac:dyDescent="0.45">
      <c r="E248" t="s">
        <v>1451</v>
      </c>
      <c r="G248" t="s">
        <v>159</v>
      </c>
      <c r="I248" t="s">
        <v>249</v>
      </c>
      <c r="J248" t="s">
        <v>1723</v>
      </c>
      <c r="K248">
        <v>0</v>
      </c>
      <c r="L248" t="s">
        <v>251</v>
      </c>
      <c r="N248" t="s">
        <v>419</v>
      </c>
      <c r="O248" t="s">
        <v>1723</v>
      </c>
      <c r="P248">
        <v>8.9722372813314568E-5</v>
      </c>
      <c r="Q248" t="s">
        <v>251</v>
      </c>
      <c r="S248" t="s">
        <v>420</v>
      </c>
      <c r="T248" t="s">
        <v>1723</v>
      </c>
      <c r="U248">
        <v>2.7444716432114555E-5</v>
      </c>
      <c r="V248" t="s">
        <v>251</v>
      </c>
      <c r="X248">
        <v>1.1415525114155251E-4</v>
      </c>
      <c r="Y248">
        <v>5.7678442682047593E-5</v>
      </c>
      <c r="Z248" t="s">
        <v>1723</v>
      </c>
      <c r="AA248" t="s">
        <v>25</v>
      </c>
      <c r="AC248" t="s">
        <v>22</v>
      </c>
      <c r="AD248" t="s">
        <v>1723</v>
      </c>
      <c r="AE248">
        <v>9.1791939073247497E-5</v>
      </c>
      <c r="AG248" t="s">
        <v>97</v>
      </c>
      <c r="AH248" t="s">
        <v>1723</v>
      </c>
      <c r="AI248">
        <v>0</v>
      </c>
    </row>
    <row r="249" spans="5:35" x14ac:dyDescent="0.45">
      <c r="E249" t="s">
        <v>1452</v>
      </c>
      <c r="G249" t="s">
        <v>159</v>
      </c>
      <c r="I249" t="s">
        <v>249</v>
      </c>
      <c r="J249" t="s">
        <v>1724</v>
      </c>
      <c r="K249">
        <v>8.4663399126350255E-5</v>
      </c>
      <c r="L249" t="s">
        <v>251</v>
      </c>
      <c r="N249" t="s">
        <v>419</v>
      </c>
      <c r="O249" t="s">
        <v>1724</v>
      </c>
      <c r="P249">
        <v>8.3236674071569206E-5</v>
      </c>
      <c r="Q249" t="s">
        <v>251</v>
      </c>
      <c r="S249" t="s">
        <v>420</v>
      </c>
      <c r="T249" t="s">
        <v>1724</v>
      </c>
      <c r="U249">
        <v>2.529598325784679E-5</v>
      </c>
      <c r="V249" t="s">
        <v>251</v>
      </c>
      <c r="X249">
        <v>1.1415525114155251E-4</v>
      </c>
      <c r="Y249">
        <v>1.6905750441289813E-4</v>
      </c>
      <c r="Z249" t="s">
        <v>1724</v>
      </c>
      <c r="AA249" t="s">
        <v>25</v>
      </c>
      <c r="AC249" t="s">
        <v>22</v>
      </c>
      <c r="AD249" t="s">
        <v>1724</v>
      </c>
      <c r="AE249">
        <v>8.9152896050573614E-5</v>
      </c>
      <c r="AG249" t="s">
        <v>97</v>
      </c>
      <c r="AH249" t="s">
        <v>1724</v>
      </c>
      <c r="AI249">
        <v>0</v>
      </c>
    </row>
    <row r="250" spans="5:35" x14ac:dyDescent="0.45">
      <c r="E250" t="s">
        <v>1453</v>
      </c>
      <c r="G250" t="s">
        <v>159</v>
      </c>
      <c r="I250" t="s">
        <v>249</v>
      </c>
      <c r="J250" t="s">
        <v>1725</v>
      </c>
      <c r="K250">
        <v>1.517040092044E-4</v>
      </c>
      <c r="L250" t="s">
        <v>251</v>
      </c>
      <c r="N250" t="s">
        <v>419</v>
      </c>
      <c r="O250" t="s">
        <v>1725</v>
      </c>
      <c r="P250">
        <v>6.4857734410474213E-5</v>
      </c>
      <c r="Q250" t="s">
        <v>251</v>
      </c>
      <c r="S250" t="s">
        <v>420</v>
      </c>
      <c r="T250" t="s">
        <v>1725</v>
      </c>
      <c r="U250">
        <v>2.3691760699846549E-5</v>
      </c>
      <c r="V250" t="s">
        <v>251</v>
      </c>
      <c r="X250">
        <v>1.1415525114155251E-4</v>
      </c>
      <c r="Y250">
        <v>1.9060404909297337E-4</v>
      </c>
      <c r="Z250" t="s">
        <v>1725</v>
      </c>
      <c r="AA250" t="s">
        <v>25</v>
      </c>
      <c r="AC250" t="s">
        <v>22</v>
      </c>
      <c r="AD250" t="s">
        <v>1725</v>
      </c>
      <c r="AE250">
        <v>8.6280949210795597E-5</v>
      </c>
      <c r="AG250" t="s">
        <v>97</v>
      </c>
      <c r="AH250" t="s">
        <v>1725</v>
      </c>
      <c r="AI250">
        <v>0</v>
      </c>
    </row>
    <row r="251" spans="5:35" x14ac:dyDescent="0.45">
      <c r="E251" t="s">
        <v>1454</v>
      </c>
      <c r="G251" t="s">
        <v>159</v>
      </c>
      <c r="I251" t="s">
        <v>249</v>
      </c>
      <c r="J251" t="s">
        <v>1726</v>
      </c>
      <c r="K251">
        <v>2.054889541421E-4</v>
      </c>
      <c r="L251" t="s">
        <v>251</v>
      </c>
      <c r="N251" t="s">
        <v>419</v>
      </c>
      <c r="O251" t="s">
        <v>1726</v>
      </c>
      <c r="P251">
        <v>6.5480975660760153E-5</v>
      </c>
      <c r="Q251" t="s">
        <v>251</v>
      </c>
      <c r="S251" t="s">
        <v>420</v>
      </c>
      <c r="T251" t="s">
        <v>1726</v>
      </c>
      <c r="U251">
        <v>2.1658472031991905E-5</v>
      </c>
      <c r="V251" t="s">
        <v>251</v>
      </c>
      <c r="X251">
        <v>1.1415525114155251E-4</v>
      </c>
      <c r="Y251">
        <v>1.4585353321897094E-4</v>
      </c>
      <c r="Z251" t="s">
        <v>1726</v>
      </c>
      <c r="AA251" t="s">
        <v>25</v>
      </c>
      <c r="AC251" t="s">
        <v>22</v>
      </c>
      <c r="AD251" t="s">
        <v>1726</v>
      </c>
      <c r="AE251">
        <v>8.5676413071553902E-5</v>
      </c>
      <c r="AG251" t="s">
        <v>97</v>
      </c>
      <c r="AH251" t="s">
        <v>1726</v>
      </c>
      <c r="AI251">
        <v>0</v>
      </c>
    </row>
    <row r="252" spans="5:35" x14ac:dyDescent="0.45">
      <c r="E252" t="s">
        <v>1455</v>
      </c>
      <c r="G252" t="s">
        <v>159</v>
      </c>
      <c r="I252" t="s">
        <v>249</v>
      </c>
      <c r="J252" t="s">
        <v>1727</v>
      </c>
      <c r="K252">
        <v>2.4044242436990001E-4</v>
      </c>
      <c r="L252" t="s">
        <v>251</v>
      </c>
      <c r="N252" t="s">
        <v>419</v>
      </c>
      <c r="O252" t="s">
        <v>1727</v>
      </c>
      <c r="P252">
        <v>6.5906363126610367E-5</v>
      </c>
      <c r="Q252" t="s">
        <v>251</v>
      </c>
      <c r="S252" t="s">
        <v>420</v>
      </c>
      <c r="T252" t="s">
        <v>1727</v>
      </c>
      <c r="U252">
        <v>2.2870049065463467E-5</v>
      </c>
      <c r="V252" t="s">
        <v>251</v>
      </c>
      <c r="X252">
        <v>1.1415525114155251E-4</v>
      </c>
      <c r="Y252">
        <v>1.4452759200788939E-4</v>
      </c>
      <c r="Z252" t="s">
        <v>1727</v>
      </c>
      <c r="AA252" t="s">
        <v>25</v>
      </c>
      <c r="AC252" t="s">
        <v>22</v>
      </c>
      <c r="AD252" t="s">
        <v>1727</v>
      </c>
      <c r="AE252">
        <v>8.6451425200634728E-5</v>
      </c>
      <c r="AG252" t="s">
        <v>97</v>
      </c>
      <c r="AH252" t="s">
        <v>1727</v>
      </c>
      <c r="AI252">
        <v>0</v>
      </c>
    </row>
    <row r="253" spans="5:35" x14ac:dyDescent="0.45">
      <c r="E253" t="s">
        <v>1456</v>
      </c>
      <c r="G253" t="s">
        <v>159</v>
      </c>
      <c r="I253" t="s">
        <v>249</v>
      </c>
      <c r="J253" t="s">
        <v>1728</v>
      </c>
      <c r="K253">
        <v>2.6319640429580001E-4</v>
      </c>
      <c r="L253" t="s">
        <v>251</v>
      </c>
      <c r="N253" t="s">
        <v>419</v>
      </c>
      <c r="O253" t="s">
        <v>1728</v>
      </c>
      <c r="P253">
        <v>6.0950123685433868E-5</v>
      </c>
      <c r="Q253" t="s">
        <v>251</v>
      </c>
      <c r="S253" t="s">
        <v>420</v>
      </c>
      <c r="T253" t="s">
        <v>1728</v>
      </c>
      <c r="U253">
        <v>2.5763469787068029E-5</v>
      </c>
      <c r="V253" t="s">
        <v>251</v>
      </c>
      <c r="X253">
        <v>1.1415525114155251E-4</v>
      </c>
      <c r="Y253">
        <v>1.408812536774151E-4</v>
      </c>
      <c r="Z253" t="s">
        <v>1728</v>
      </c>
      <c r="AA253" t="s">
        <v>25</v>
      </c>
      <c r="AC253" t="s">
        <v>22</v>
      </c>
      <c r="AD253" t="s">
        <v>1728</v>
      </c>
      <c r="AE253">
        <v>9.359514285309509E-5</v>
      </c>
      <c r="AG253" t="s">
        <v>97</v>
      </c>
      <c r="AH253" t="s">
        <v>1728</v>
      </c>
      <c r="AI253">
        <v>0</v>
      </c>
    </row>
    <row r="254" spans="5:35" x14ac:dyDescent="0.45">
      <c r="E254" t="s">
        <v>1457</v>
      </c>
      <c r="G254" t="s">
        <v>159</v>
      </c>
      <c r="I254" t="s">
        <v>249</v>
      </c>
      <c r="J254" t="s">
        <v>1729</v>
      </c>
      <c r="K254">
        <v>2.5687314947540001E-4</v>
      </c>
      <c r="L254" t="s">
        <v>251</v>
      </c>
      <c r="N254" t="s">
        <v>419</v>
      </c>
      <c r="O254" t="s">
        <v>1729</v>
      </c>
      <c r="P254">
        <v>5.8927167879740125E-5</v>
      </c>
      <c r="Q254" t="s">
        <v>251</v>
      </c>
      <c r="S254" t="s">
        <v>420</v>
      </c>
      <c r="T254" t="s">
        <v>1729</v>
      </c>
      <c r="U254">
        <v>2.6743937493982684E-5</v>
      </c>
      <c r="V254" t="s">
        <v>251</v>
      </c>
      <c r="X254">
        <v>1.1415525114155251E-4</v>
      </c>
      <c r="Y254">
        <v>1.4054976837464471E-4</v>
      </c>
      <c r="Z254" t="s">
        <v>1729</v>
      </c>
      <c r="AA254" t="s">
        <v>25</v>
      </c>
      <c r="AC254" t="s">
        <v>22</v>
      </c>
      <c r="AD254" t="s">
        <v>1729</v>
      </c>
      <c r="AE254">
        <v>1.0202209917711444E-4</v>
      </c>
      <c r="AG254" t="s">
        <v>97</v>
      </c>
      <c r="AH254" t="s">
        <v>1729</v>
      </c>
      <c r="AI254">
        <v>0</v>
      </c>
    </row>
    <row r="255" spans="5:35" x14ac:dyDescent="0.45">
      <c r="E255" t="s">
        <v>1458</v>
      </c>
      <c r="G255" t="s">
        <v>159</v>
      </c>
      <c r="I255" t="s">
        <v>249</v>
      </c>
      <c r="J255" t="s">
        <v>1730</v>
      </c>
      <c r="K255">
        <v>2.5951206440700002E-4</v>
      </c>
      <c r="L255" t="s">
        <v>251</v>
      </c>
      <c r="N255" t="s">
        <v>419</v>
      </c>
      <c r="O255" t="s">
        <v>1730</v>
      </c>
      <c r="P255">
        <v>6.0085207238797302E-5</v>
      </c>
      <c r="Q255" t="s">
        <v>251</v>
      </c>
      <c r="S255" t="s">
        <v>420</v>
      </c>
      <c r="T255" t="s">
        <v>1730</v>
      </c>
      <c r="U255">
        <v>3.0695352056639439E-5</v>
      </c>
      <c r="V255" t="s">
        <v>251</v>
      </c>
      <c r="X255">
        <v>1.1415525114155251E-4</v>
      </c>
      <c r="Y255">
        <v>1.4253868019126702E-4</v>
      </c>
      <c r="Z255" t="s">
        <v>1730</v>
      </c>
      <c r="AA255" t="s">
        <v>25</v>
      </c>
      <c r="AC255" t="s">
        <v>22</v>
      </c>
      <c r="AD255" t="s">
        <v>1730</v>
      </c>
      <c r="AE255">
        <v>1.1000165607240106E-4</v>
      </c>
      <c r="AG255" t="s">
        <v>97</v>
      </c>
      <c r="AH255" t="s">
        <v>1730</v>
      </c>
      <c r="AI255">
        <v>0</v>
      </c>
    </row>
    <row r="256" spans="5:35" x14ac:dyDescent="0.45">
      <c r="E256" t="s">
        <v>1459</v>
      </c>
      <c r="G256" t="s">
        <v>159</v>
      </c>
      <c r="I256" t="s">
        <v>249</v>
      </c>
      <c r="J256" t="s">
        <v>1731</v>
      </c>
      <c r="K256">
        <v>2.6204777980039999E-4</v>
      </c>
      <c r="L256" t="s">
        <v>251</v>
      </c>
      <c r="N256" t="s">
        <v>419</v>
      </c>
      <c r="O256" t="s">
        <v>1731</v>
      </c>
      <c r="P256">
        <v>6.275432394552358E-5</v>
      </c>
      <c r="Q256" t="s">
        <v>251</v>
      </c>
      <c r="S256" t="s">
        <v>420</v>
      </c>
      <c r="T256" t="s">
        <v>1731</v>
      </c>
      <c r="U256">
        <v>3.6290498219355318E-5</v>
      </c>
      <c r="V256" t="s">
        <v>251</v>
      </c>
      <c r="X256">
        <v>1.1415525114155251E-4</v>
      </c>
      <c r="Y256">
        <v>1.4883690094390442E-4</v>
      </c>
      <c r="Z256" t="s">
        <v>1731</v>
      </c>
      <c r="AA256" t="s">
        <v>25</v>
      </c>
      <c r="AC256" t="s">
        <v>22</v>
      </c>
      <c r="AD256" t="s">
        <v>1731</v>
      </c>
      <c r="AE256">
        <v>1.1734706362833307E-4</v>
      </c>
      <c r="AG256" t="s">
        <v>97</v>
      </c>
      <c r="AH256" t="s">
        <v>1731</v>
      </c>
      <c r="AI256">
        <v>0</v>
      </c>
    </row>
    <row r="257" spans="5:35" x14ac:dyDescent="0.45">
      <c r="E257" t="s">
        <v>1460</v>
      </c>
      <c r="G257" t="s">
        <v>159</v>
      </c>
      <c r="I257" t="s">
        <v>249</v>
      </c>
      <c r="J257" t="s">
        <v>1732</v>
      </c>
      <c r="K257">
        <v>2.4903533487750001E-4</v>
      </c>
      <c r="L257" t="s">
        <v>251</v>
      </c>
      <c r="N257" t="s">
        <v>419</v>
      </c>
      <c r="O257" t="s">
        <v>1732</v>
      </c>
      <c r="P257">
        <v>6.5568125342781571E-5</v>
      </c>
      <c r="Q257" t="s">
        <v>251</v>
      </c>
      <c r="S257" t="s">
        <v>420</v>
      </c>
      <c r="T257" t="s">
        <v>1732</v>
      </c>
      <c r="U257">
        <v>4.4709917087668368E-5</v>
      </c>
      <c r="V257" t="s">
        <v>251</v>
      </c>
      <c r="X257">
        <v>1.1415525114155251E-4</v>
      </c>
      <c r="Y257">
        <v>1.5049432745775637E-4</v>
      </c>
      <c r="Z257" t="s">
        <v>1732</v>
      </c>
      <c r="AA257" t="s">
        <v>25</v>
      </c>
      <c r="AC257" t="s">
        <v>22</v>
      </c>
      <c r="AD257" t="s">
        <v>1732</v>
      </c>
      <c r="AE257">
        <v>1.1992207811022229E-4</v>
      </c>
      <c r="AG257" t="s">
        <v>97</v>
      </c>
      <c r="AH257" t="s">
        <v>1732</v>
      </c>
      <c r="AI257">
        <v>0</v>
      </c>
    </row>
    <row r="258" spans="5:35" x14ac:dyDescent="0.45">
      <c r="E258" t="s">
        <v>1461</v>
      </c>
      <c r="G258" t="s">
        <v>159</v>
      </c>
      <c r="I258" t="s">
        <v>249</v>
      </c>
      <c r="J258" t="s">
        <v>1733</v>
      </c>
      <c r="K258">
        <v>2.3531253590640001E-4</v>
      </c>
      <c r="L258" t="s">
        <v>251</v>
      </c>
      <c r="N258" t="s">
        <v>419</v>
      </c>
      <c r="O258" t="s">
        <v>1733</v>
      </c>
      <c r="P258">
        <v>6.1485882289779645E-5</v>
      </c>
      <c r="Q258" t="s">
        <v>251</v>
      </c>
      <c r="S258" t="s">
        <v>420</v>
      </c>
      <c r="T258" t="s">
        <v>1733</v>
      </c>
      <c r="U258">
        <v>5.3608665013446097E-5</v>
      </c>
      <c r="V258" t="s">
        <v>251</v>
      </c>
      <c r="X258">
        <v>1.1415525114155251E-4</v>
      </c>
      <c r="Y258">
        <v>1.7237235744060203E-4</v>
      </c>
      <c r="Z258" t="s">
        <v>1733</v>
      </c>
      <c r="AA258" t="s">
        <v>25</v>
      </c>
      <c r="AC258" t="s">
        <v>22</v>
      </c>
      <c r="AD258" t="s">
        <v>1733</v>
      </c>
      <c r="AE258">
        <v>1.208622305174102E-4</v>
      </c>
      <c r="AG258" t="s">
        <v>97</v>
      </c>
      <c r="AH258" t="s">
        <v>1733</v>
      </c>
      <c r="AI258">
        <v>0</v>
      </c>
    </row>
    <row r="259" spans="5:35" x14ac:dyDescent="0.45">
      <c r="E259" t="s">
        <v>1462</v>
      </c>
      <c r="G259" t="s">
        <v>159</v>
      </c>
      <c r="I259" t="s">
        <v>249</v>
      </c>
      <c r="J259" t="s">
        <v>1734</v>
      </c>
      <c r="K259">
        <v>2.04028980694E-4</v>
      </c>
      <c r="L259" t="s">
        <v>251</v>
      </c>
      <c r="N259" t="s">
        <v>419</v>
      </c>
      <c r="O259" t="s">
        <v>1734</v>
      </c>
      <c r="P259">
        <v>6.3447565314843715E-5</v>
      </c>
      <c r="Q259" t="s">
        <v>251</v>
      </c>
      <c r="S259" t="s">
        <v>420</v>
      </c>
      <c r="T259" t="s">
        <v>1734</v>
      </c>
      <c r="U259">
        <v>4.5373451661933583E-5</v>
      </c>
      <c r="V259" t="s">
        <v>251</v>
      </c>
      <c r="X259">
        <v>1.1415525114155251E-4</v>
      </c>
      <c r="Y259">
        <v>2.2209515285616027E-4</v>
      </c>
      <c r="Z259" t="s">
        <v>1734</v>
      </c>
      <c r="AA259" t="s">
        <v>25</v>
      </c>
      <c r="AC259" t="s">
        <v>22</v>
      </c>
      <c r="AD259" t="s">
        <v>1734</v>
      </c>
      <c r="AE259">
        <v>1.2113648610043775E-4</v>
      </c>
      <c r="AG259" t="s">
        <v>97</v>
      </c>
      <c r="AH259" t="s">
        <v>1734</v>
      </c>
      <c r="AI259">
        <v>0</v>
      </c>
    </row>
    <row r="260" spans="5:35" x14ac:dyDescent="0.45">
      <c r="E260" t="s">
        <v>1463</v>
      </c>
      <c r="G260" t="s">
        <v>159</v>
      </c>
      <c r="I260" t="s">
        <v>249</v>
      </c>
      <c r="J260" t="s">
        <v>1735</v>
      </c>
      <c r="K260">
        <v>1.676830174515E-4</v>
      </c>
      <c r="L260" t="s">
        <v>251</v>
      </c>
      <c r="N260" t="s">
        <v>419</v>
      </c>
      <c r="O260" t="s">
        <v>1735</v>
      </c>
      <c r="P260">
        <v>6.1857048599531762E-5</v>
      </c>
      <c r="Q260" t="s">
        <v>251</v>
      </c>
      <c r="S260" t="s">
        <v>420</v>
      </c>
      <c r="T260" t="s">
        <v>1735</v>
      </c>
      <c r="U260">
        <v>4.8675952066818968E-5</v>
      </c>
      <c r="V260" t="s">
        <v>251</v>
      </c>
      <c r="X260">
        <v>1.1415525114155251E-4</v>
      </c>
      <c r="Y260">
        <v>2.2209515285616027E-4</v>
      </c>
      <c r="Z260" t="s">
        <v>1735</v>
      </c>
      <c r="AA260" t="s">
        <v>25</v>
      </c>
      <c r="AC260" t="s">
        <v>22</v>
      </c>
      <c r="AD260" t="s">
        <v>1735</v>
      </c>
      <c r="AE260">
        <v>1.2305200661224511E-4</v>
      </c>
      <c r="AG260" t="s">
        <v>97</v>
      </c>
      <c r="AH260" t="s">
        <v>1735</v>
      </c>
      <c r="AI260">
        <v>0</v>
      </c>
    </row>
    <row r="261" spans="5:35" x14ac:dyDescent="0.45">
      <c r="E261" t="s">
        <v>1464</v>
      </c>
      <c r="G261" t="s">
        <v>159</v>
      </c>
      <c r="I261" t="s">
        <v>249</v>
      </c>
      <c r="J261" t="s">
        <v>1736</v>
      </c>
      <c r="K261">
        <v>1.143283145296E-4</v>
      </c>
      <c r="L261" t="s">
        <v>251</v>
      </c>
      <c r="N261" t="s">
        <v>419</v>
      </c>
      <c r="O261" t="s">
        <v>1736</v>
      </c>
      <c r="P261">
        <v>5.7093473390805909E-5</v>
      </c>
      <c r="Q261" t="s">
        <v>251</v>
      </c>
      <c r="S261" t="s">
        <v>420</v>
      </c>
      <c r="T261" t="s">
        <v>1736</v>
      </c>
      <c r="U261">
        <v>5.4026074954219203E-5</v>
      </c>
      <c r="V261" t="s">
        <v>251</v>
      </c>
      <c r="X261">
        <v>1.1415525114155251E-4</v>
      </c>
      <c r="Y261">
        <v>1.7237235744060203E-4</v>
      </c>
      <c r="Z261" t="s">
        <v>1736</v>
      </c>
      <c r="AA261" t="s">
        <v>25</v>
      </c>
      <c r="AC261" t="s">
        <v>22</v>
      </c>
      <c r="AD261" t="s">
        <v>1736</v>
      </c>
      <c r="AE261">
        <v>1.2441981631475713E-4</v>
      </c>
      <c r="AG261" t="s">
        <v>97</v>
      </c>
      <c r="AH261" t="s">
        <v>1736</v>
      </c>
      <c r="AI261">
        <v>0</v>
      </c>
    </row>
    <row r="262" spans="5:35" x14ac:dyDescent="0.45">
      <c r="E262" t="s">
        <v>1465</v>
      </c>
      <c r="G262" t="s">
        <v>159</v>
      </c>
      <c r="I262" t="s">
        <v>249</v>
      </c>
      <c r="J262" t="s">
        <v>1737</v>
      </c>
      <c r="K262">
        <v>5.3061522974531891E-5</v>
      </c>
      <c r="L262" t="s">
        <v>251</v>
      </c>
      <c r="N262" t="s">
        <v>419</v>
      </c>
      <c r="O262" t="s">
        <v>1737</v>
      </c>
      <c r="P262">
        <v>5.9426150163752143E-5</v>
      </c>
      <c r="Q262" t="s">
        <v>251</v>
      </c>
      <c r="S262" t="s">
        <v>420</v>
      </c>
      <c r="T262" t="s">
        <v>1737</v>
      </c>
      <c r="U262">
        <v>5.598030663320366E-5</v>
      </c>
      <c r="V262" t="s">
        <v>251</v>
      </c>
      <c r="X262">
        <v>1.1415525114155251E-4</v>
      </c>
      <c r="Y262">
        <v>1.5579809230208258E-4</v>
      </c>
      <c r="Z262" t="s">
        <v>1737</v>
      </c>
      <c r="AA262" t="s">
        <v>25</v>
      </c>
      <c r="AC262" t="s">
        <v>22</v>
      </c>
      <c r="AD262" t="s">
        <v>1737</v>
      </c>
      <c r="AE262">
        <v>1.2511479276785715E-4</v>
      </c>
      <c r="AG262" t="s">
        <v>97</v>
      </c>
      <c r="AH262" t="s">
        <v>1737</v>
      </c>
      <c r="AI262">
        <v>0</v>
      </c>
    </row>
    <row r="263" spans="5:35" x14ac:dyDescent="0.45">
      <c r="E263" t="s">
        <v>1466</v>
      </c>
      <c r="G263" t="s">
        <v>159</v>
      </c>
      <c r="I263" t="s">
        <v>249</v>
      </c>
      <c r="J263" t="s">
        <v>1738</v>
      </c>
      <c r="K263">
        <v>0</v>
      </c>
      <c r="L263" t="s">
        <v>251</v>
      </c>
      <c r="N263" t="s">
        <v>419</v>
      </c>
      <c r="O263" t="s">
        <v>1738</v>
      </c>
      <c r="P263">
        <v>6.1341337456991124E-5</v>
      </c>
      <c r="Q263" t="s">
        <v>251</v>
      </c>
      <c r="S263" t="s">
        <v>420</v>
      </c>
      <c r="T263" t="s">
        <v>1738</v>
      </c>
      <c r="U263">
        <v>5.7940544237125199E-5</v>
      </c>
      <c r="V263" t="s">
        <v>251</v>
      </c>
      <c r="X263">
        <v>1.1415525114155251E-4</v>
      </c>
      <c r="Y263">
        <v>1.093901499142282E-4</v>
      </c>
      <c r="Z263" t="s">
        <v>1738</v>
      </c>
      <c r="AA263" t="s">
        <v>25</v>
      </c>
      <c r="AC263" t="s">
        <v>22</v>
      </c>
      <c r="AD263" t="s">
        <v>1738</v>
      </c>
      <c r="AE263">
        <v>1.2681074874189047E-4</v>
      </c>
      <c r="AG263" t="s">
        <v>97</v>
      </c>
      <c r="AH263" t="s">
        <v>1738</v>
      </c>
      <c r="AI263">
        <v>0</v>
      </c>
    </row>
    <row r="264" spans="5:35" x14ac:dyDescent="0.45">
      <c r="E264" t="s">
        <v>1467</v>
      </c>
      <c r="G264" t="s">
        <v>159</v>
      </c>
      <c r="I264" t="s">
        <v>249</v>
      </c>
      <c r="J264" t="s">
        <v>1739</v>
      </c>
      <c r="K264">
        <v>0</v>
      </c>
      <c r="L264" t="s">
        <v>251</v>
      </c>
      <c r="N264" t="s">
        <v>419</v>
      </c>
      <c r="O264" t="s">
        <v>1739</v>
      </c>
      <c r="P264">
        <v>6.2487632511878133E-5</v>
      </c>
      <c r="Q264" t="s">
        <v>251</v>
      </c>
      <c r="S264" t="s">
        <v>420</v>
      </c>
      <c r="T264" t="s">
        <v>1739</v>
      </c>
      <c r="U264">
        <v>5.8176821709925722E-5</v>
      </c>
      <c r="V264" t="s">
        <v>251</v>
      </c>
      <c r="X264">
        <v>1.1415525114155251E-4</v>
      </c>
      <c r="Y264">
        <v>7.9556472664893237E-5</v>
      </c>
      <c r="Z264" t="s">
        <v>1739</v>
      </c>
      <c r="AA264" t="s">
        <v>25</v>
      </c>
      <c r="AC264" t="s">
        <v>22</v>
      </c>
      <c r="AD264" t="s">
        <v>1739</v>
      </c>
      <c r="AE264">
        <v>1.2721092712179451E-4</v>
      </c>
      <c r="AG264" t="s">
        <v>97</v>
      </c>
      <c r="AH264" t="s">
        <v>1739</v>
      </c>
      <c r="AI264">
        <v>0</v>
      </c>
    </row>
    <row r="265" spans="5:35" x14ac:dyDescent="0.45">
      <c r="E265" t="s">
        <v>1468</v>
      </c>
      <c r="G265" t="s">
        <v>159</v>
      </c>
      <c r="I265" t="s">
        <v>249</v>
      </c>
      <c r="J265" t="s">
        <v>1740</v>
      </c>
      <c r="K265">
        <v>0</v>
      </c>
      <c r="L265" t="s">
        <v>251</v>
      </c>
      <c r="N265" t="s">
        <v>419</v>
      </c>
      <c r="O265" t="s">
        <v>1740</v>
      </c>
      <c r="P265">
        <v>6.0655860501585536E-5</v>
      </c>
      <c r="Q265" t="s">
        <v>251</v>
      </c>
      <c r="S265" t="s">
        <v>420</v>
      </c>
      <c r="T265" t="s">
        <v>1740</v>
      </c>
      <c r="U265">
        <v>5.8970473612124927E-5</v>
      </c>
      <c r="V265" t="s">
        <v>251</v>
      </c>
      <c r="X265">
        <v>1.1415525114155251E-4</v>
      </c>
      <c r="Y265">
        <v>5.6352501470966035E-5</v>
      </c>
      <c r="Z265" t="s">
        <v>1740</v>
      </c>
      <c r="AA265" t="s">
        <v>25</v>
      </c>
      <c r="AC265" t="s">
        <v>22</v>
      </c>
      <c r="AD265" t="s">
        <v>1740</v>
      </c>
      <c r="AE265">
        <v>1.2705805898067119E-4</v>
      </c>
      <c r="AG265" t="s">
        <v>97</v>
      </c>
      <c r="AH265" t="s">
        <v>1740</v>
      </c>
      <c r="AI265">
        <v>0</v>
      </c>
    </row>
    <row r="266" spans="5:35" x14ac:dyDescent="0.45">
      <c r="E266" t="s">
        <v>1469</v>
      </c>
      <c r="G266" t="s">
        <v>159</v>
      </c>
      <c r="I266" t="s">
        <v>249</v>
      </c>
      <c r="J266" t="s">
        <v>1741</v>
      </c>
      <c r="K266">
        <v>0</v>
      </c>
      <c r="L266" t="s">
        <v>251</v>
      </c>
      <c r="N266" t="s">
        <v>419</v>
      </c>
      <c r="O266" t="s">
        <v>1741</v>
      </c>
      <c r="P266">
        <v>5.4658061467258689E-5</v>
      </c>
      <c r="Q266" t="s">
        <v>251</v>
      </c>
      <c r="S266" t="s">
        <v>420</v>
      </c>
      <c r="T266" t="s">
        <v>1741</v>
      </c>
      <c r="U266">
        <v>6.1125210538190352E-5</v>
      </c>
      <c r="V266" t="s">
        <v>251</v>
      </c>
      <c r="X266">
        <v>1.1415525114155251E-4</v>
      </c>
      <c r="Y266">
        <v>2.9833677249334962E-5</v>
      </c>
      <c r="Z266" t="s">
        <v>1741</v>
      </c>
      <c r="AA266" t="s">
        <v>25</v>
      </c>
      <c r="AC266" t="s">
        <v>22</v>
      </c>
      <c r="AD266" t="s">
        <v>1741</v>
      </c>
      <c r="AE266">
        <v>1.2780826005019796E-4</v>
      </c>
      <c r="AG266" t="s">
        <v>97</v>
      </c>
      <c r="AH266" t="s">
        <v>1741</v>
      </c>
      <c r="AI266">
        <v>0</v>
      </c>
    </row>
    <row r="267" spans="5:35" x14ac:dyDescent="0.45">
      <c r="E267" t="s">
        <v>1470</v>
      </c>
      <c r="G267" t="s">
        <v>159</v>
      </c>
      <c r="I267" t="s">
        <v>249</v>
      </c>
      <c r="J267" t="s">
        <v>1742</v>
      </c>
      <c r="K267">
        <v>0</v>
      </c>
      <c r="L267" t="s">
        <v>251</v>
      </c>
      <c r="N267" t="s">
        <v>419</v>
      </c>
      <c r="O267" t="s">
        <v>1742</v>
      </c>
      <c r="P267">
        <v>4.7530693429745936E-5</v>
      </c>
      <c r="Q267" t="s">
        <v>251</v>
      </c>
      <c r="S267" t="s">
        <v>420</v>
      </c>
      <c r="T267" t="s">
        <v>1742</v>
      </c>
      <c r="U267">
        <v>6.2657573485985635E-5</v>
      </c>
      <c r="V267" t="s">
        <v>251</v>
      </c>
      <c r="X267">
        <v>1.1415525114155251E-4</v>
      </c>
      <c r="Y267">
        <v>2.1546544680075254E-5</v>
      </c>
      <c r="Z267" t="s">
        <v>1742</v>
      </c>
      <c r="AA267" t="s">
        <v>25</v>
      </c>
      <c r="AC267" t="s">
        <v>22</v>
      </c>
      <c r="AD267" t="s">
        <v>1742</v>
      </c>
      <c r="AE267">
        <v>1.2516121345992602E-4</v>
      </c>
      <c r="AG267" t="s">
        <v>97</v>
      </c>
      <c r="AH267" t="s">
        <v>1742</v>
      </c>
      <c r="AI267">
        <v>0</v>
      </c>
    </row>
    <row r="268" spans="5:35" x14ac:dyDescent="0.45">
      <c r="E268" t="s">
        <v>1471</v>
      </c>
      <c r="G268" t="s">
        <v>159</v>
      </c>
      <c r="I268" t="s">
        <v>249</v>
      </c>
      <c r="J268" t="s">
        <v>1743</v>
      </c>
      <c r="K268">
        <v>0</v>
      </c>
      <c r="L268" t="s">
        <v>251</v>
      </c>
      <c r="N268" t="s">
        <v>419</v>
      </c>
      <c r="O268" t="s">
        <v>1743</v>
      </c>
      <c r="P268">
        <v>4.4403142135130002E-5</v>
      </c>
      <c r="Q268" t="s">
        <v>251</v>
      </c>
      <c r="S268" t="s">
        <v>420</v>
      </c>
      <c r="T268" t="s">
        <v>1743</v>
      </c>
      <c r="U268">
        <v>6.3859156257081845E-5</v>
      </c>
      <c r="V268" t="s">
        <v>251</v>
      </c>
      <c r="X268">
        <v>1.1415525114155251E-4</v>
      </c>
      <c r="Y268">
        <v>1.4916838624667481E-5</v>
      </c>
      <c r="Z268" t="s">
        <v>1743</v>
      </c>
      <c r="AA268" t="s">
        <v>25</v>
      </c>
      <c r="AC268" t="s">
        <v>22</v>
      </c>
      <c r="AD268" t="s">
        <v>1743</v>
      </c>
      <c r="AE268">
        <v>1.2251816865345311E-4</v>
      </c>
      <c r="AG268" t="s">
        <v>97</v>
      </c>
      <c r="AH268" t="s">
        <v>1743</v>
      </c>
      <c r="AI268">
        <v>0</v>
      </c>
    </row>
    <row r="269" spans="5:35" x14ac:dyDescent="0.45">
      <c r="E269" t="s">
        <v>1472</v>
      </c>
      <c r="G269" t="s">
        <v>159</v>
      </c>
      <c r="I269" t="s">
        <v>249</v>
      </c>
      <c r="J269" t="s">
        <v>1744</v>
      </c>
      <c r="K269">
        <v>0</v>
      </c>
      <c r="L269" t="s">
        <v>251</v>
      </c>
      <c r="N269" t="s">
        <v>419</v>
      </c>
      <c r="O269" t="s">
        <v>1744</v>
      </c>
      <c r="P269">
        <v>4.2501665598155454E-5</v>
      </c>
      <c r="Q269" t="s">
        <v>251</v>
      </c>
      <c r="S269" t="s">
        <v>420</v>
      </c>
      <c r="T269" t="s">
        <v>1744</v>
      </c>
      <c r="U269">
        <v>6.3302121325041822E-5</v>
      </c>
      <c r="V269" t="s">
        <v>251</v>
      </c>
      <c r="X269">
        <v>1.1415525114155251E-4</v>
      </c>
      <c r="Y269">
        <v>1.6574265138519424E-5</v>
      </c>
      <c r="Z269" t="s">
        <v>1744</v>
      </c>
      <c r="AA269" t="s">
        <v>25</v>
      </c>
      <c r="AC269" t="s">
        <v>22</v>
      </c>
      <c r="AD269" t="s">
        <v>1744</v>
      </c>
      <c r="AE269">
        <v>1.1938957407936329E-4</v>
      </c>
      <c r="AG269" t="s">
        <v>97</v>
      </c>
      <c r="AH269" t="s">
        <v>1744</v>
      </c>
      <c r="AI269">
        <v>0</v>
      </c>
    </row>
    <row r="270" spans="5:35" x14ac:dyDescent="0.45">
      <c r="E270" t="s">
        <v>1473</v>
      </c>
      <c r="G270" t="s">
        <v>159</v>
      </c>
      <c r="I270" t="s">
        <v>249</v>
      </c>
      <c r="J270" t="s">
        <v>1745</v>
      </c>
      <c r="K270">
        <v>0</v>
      </c>
      <c r="L270" t="s">
        <v>251</v>
      </c>
      <c r="N270" t="s">
        <v>419</v>
      </c>
      <c r="O270" t="s">
        <v>1745</v>
      </c>
      <c r="P270">
        <v>3.6330609432421465E-5</v>
      </c>
      <c r="Q270" t="s">
        <v>251</v>
      </c>
      <c r="S270" t="s">
        <v>420</v>
      </c>
      <c r="T270" t="s">
        <v>1745</v>
      </c>
      <c r="U270">
        <v>6.7596035308725217E-5</v>
      </c>
      <c r="V270" t="s">
        <v>251</v>
      </c>
      <c r="X270">
        <v>1.1415525114155251E-4</v>
      </c>
      <c r="Y270">
        <v>1.4585353321897093E-5</v>
      </c>
      <c r="Z270" t="s">
        <v>1745</v>
      </c>
      <c r="AA270" t="s">
        <v>25</v>
      </c>
      <c r="AC270" t="s">
        <v>22</v>
      </c>
      <c r="AD270" t="s">
        <v>1745</v>
      </c>
      <c r="AE270">
        <v>1.075424265350974E-4</v>
      </c>
      <c r="AG270" t="s">
        <v>97</v>
      </c>
      <c r="AH270" t="s">
        <v>1745</v>
      </c>
      <c r="AI270">
        <v>0</v>
      </c>
    </row>
    <row r="271" spans="5:35" x14ac:dyDescent="0.45">
      <c r="E271" t="s">
        <v>1474</v>
      </c>
      <c r="G271" t="s">
        <v>159</v>
      </c>
      <c r="I271" t="s">
        <v>249</v>
      </c>
      <c r="J271" t="s">
        <v>1746</v>
      </c>
      <c r="K271">
        <v>0</v>
      </c>
      <c r="L271" t="s">
        <v>251</v>
      </c>
      <c r="N271" t="s">
        <v>419</v>
      </c>
      <c r="O271" t="s">
        <v>1746</v>
      </c>
      <c r="P271">
        <v>3.00880645721313E-5</v>
      </c>
      <c r="Q271" t="s">
        <v>251</v>
      </c>
      <c r="S271" t="s">
        <v>420</v>
      </c>
      <c r="T271" t="s">
        <v>1746</v>
      </c>
      <c r="U271">
        <v>7.2031622754989763E-5</v>
      </c>
      <c r="V271" t="s">
        <v>251</v>
      </c>
      <c r="X271">
        <v>1.1415525114155251E-4</v>
      </c>
      <c r="Y271">
        <v>2.1215059377304864E-5</v>
      </c>
      <c r="Z271" t="s">
        <v>1746</v>
      </c>
      <c r="AA271" t="s">
        <v>25</v>
      </c>
      <c r="AC271" t="s">
        <v>22</v>
      </c>
      <c r="AD271" t="s">
        <v>1746</v>
      </c>
      <c r="AE271">
        <v>1.01820942844816E-4</v>
      </c>
      <c r="AG271" t="s">
        <v>97</v>
      </c>
      <c r="AH271" t="s">
        <v>1746</v>
      </c>
      <c r="AI271">
        <v>0</v>
      </c>
    </row>
    <row r="272" spans="5:35" x14ac:dyDescent="0.45">
      <c r="E272" t="s">
        <v>1475</v>
      </c>
      <c r="G272" t="s">
        <v>159</v>
      </c>
      <c r="I272" t="s">
        <v>249</v>
      </c>
      <c r="J272" t="s">
        <v>1747</v>
      </c>
      <c r="K272">
        <v>0</v>
      </c>
      <c r="L272" t="s">
        <v>251</v>
      </c>
      <c r="N272" t="s">
        <v>419</v>
      </c>
      <c r="O272" t="s">
        <v>1747</v>
      </c>
      <c r="P272">
        <v>2.8374993224248723E-5</v>
      </c>
      <c r="Q272" t="s">
        <v>251</v>
      </c>
      <c r="S272" t="s">
        <v>420</v>
      </c>
      <c r="T272" t="s">
        <v>1747</v>
      </c>
      <c r="U272">
        <v>7.3043391515712793E-5</v>
      </c>
      <c r="V272" t="s">
        <v>251</v>
      </c>
      <c r="X272">
        <v>1.1415525114155251E-4</v>
      </c>
      <c r="Y272">
        <v>5.7678442682047593E-5</v>
      </c>
      <c r="Z272" t="s">
        <v>1747</v>
      </c>
      <c r="AA272" t="s">
        <v>25</v>
      </c>
      <c r="AC272" t="s">
        <v>22</v>
      </c>
      <c r="AD272" t="s">
        <v>1747</v>
      </c>
      <c r="AE272">
        <v>9.3599944993653949E-5</v>
      </c>
      <c r="AG272" t="s">
        <v>97</v>
      </c>
      <c r="AH272" t="s">
        <v>1747</v>
      </c>
      <c r="AI272">
        <v>0</v>
      </c>
    </row>
    <row r="273" spans="5:35" x14ac:dyDescent="0.45">
      <c r="E273" t="s">
        <v>1476</v>
      </c>
      <c r="G273" t="s">
        <v>159</v>
      </c>
      <c r="I273" t="s">
        <v>249</v>
      </c>
      <c r="J273" t="s">
        <v>1748</v>
      </c>
      <c r="K273">
        <v>1.0163058916E-4</v>
      </c>
      <c r="L273" t="s">
        <v>251</v>
      </c>
      <c r="N273" t="s">
        <v>419</v>
      </c>
      <c r="O273" t="s">
        <v>1748</v>
      </c>
      <c r="P273">
        <v>2.6900237700224795E-5</v>
      </c>
      <c r="Q273" t="s">
        <v>251</v>
      </c>
      <c r="S273" t="s">
        <v>420</v>
      </c>
      <c r="T273" t="s">
        <v>1748</v>
      </c>
      <c r="U273">
        <v>8.2609731122972841E-5</v>
      </c>
      <c r="V273" t="s">
        <v>251</v>
      </c>
      <c r="X273">
        <v>1.1415525114155251E-4</v>
      </c>
      <c r="Y273">
        <v>1.6905750441289813E-4</v>
      </c>
      <c r="Z273" t="s">
        <v>1748</v>
      </c>
      <c r="AA273" t="s">
        <v>25</v>
      </c>
      <c r="AC273" t="s">
        <v>22</v>
      </c>
      <c r="AD273" t="s">
        <v>1748</v>
      </c>
      <c r="AE273">
        <v>9.0029553488150076E-5</v>
      </c>
      <c r="AG273" t="s">
        <v>97</v>
      </c>
      <c r="AH273" t="s">
        <v>1748</v>
      </c>
      <c r="AI273">
        <v>0</v>
      </c>
    </row>
    <row r="274" spans="5:35" x14ac:dyDescent="0.45">
      <c r="E274" t="s">
        <v>1477</v>
      </c>
      <c r="G274" t="s">
        <v>159</v>
      </c>
      <c r="I274" t="s">
        <v>249</v>
      </c>
      <c r="J274" t="s">
        <v>1749</v>
      </c>
      <c r="K274">
        <v>1.78202247974E-4</v>
      </c>
      <c r="L274" t="s">
        <v>251</v>
      </c>
      <c r="N274" t="s">
        <v>419</v>
      </c>
      <c r="O274" t="s">
        <v>1749</v>
      </c>
      <c r="P274">
        <v>2.1593875177996312E-5</v>
      </c>
      <c r="Q274" t="s">
        <v>251</v>
      </c>
      <c r="S274" t="s">
        <v>420</v>
      </c>
      <c r="T274" t="s">
        <v>1749</v>
      </c>
      <c r="U274">
        <v>8.0339877733849827E-5</v>
      </c>
      <c r="V274" t="s">
        <v>251</v>
      </c>
      <c r="X274">
        <v>1.1415525114155251E-4</v>
      </c>
      <c r="Y274">
        <v>1.9060404909297337E-4</v>
      </c>
      <c r="Z274" t="s">
        <v>1749</v>
      </c>
      <c r="AA274" t="s">
        <v>25</v>
      </c>
      <c r="AC274" t="s">
        <v>22</v>
      </c>
      <c r="AD274" t="s">
        <v>1749</v>
      </c>
      <c r="AE274">
        <v>8.6302558843310428E-5</v>
      </c>
      <c r="AG274" t="s">
        <v>97</v>
      </c>
      <c r="AH274" t="s">
        <v>1749</v>
      </c>
      <c r="AI274">
        <v>0</v>
      </c>
    </row>
    <row r="275" spans="5:35" x14ac:dyDescent="0.45">
      <c r="E275" t="s">
        <v>1478</v>
      </c>
      <c r="G275" t="s">
        <v>159</v>
      </c>
      <c r="I275" t="s">
        <v>249</v>
      </c>
      <c r="J275" t="s">
        <v>1750</v>
      </c>
      <c r="K275">
        <v>2.306447633629E-4</v>
      </c>
      <c r="L275" t="s">
        <v>251</v>
      </c>
      <c r="N275" t="s">
        <v>419</v>
      </c>
      <c r="O275" t="s">
        <v>1750</v>
      </c>
      <c r="P275">
        <v>1.9505314617011324E-5</v>
      </c>
      <c r="Q275" t="s">
        <v>251</v>
      </c>
      <c r="S275" t="s">
        <v>420</v>
      </c>
      <c r="T275" t="s">
        <v>1750</v>
      </c>
      <c r="U275">
        <v>7.9697476511616345E-5</v>
      </c>
      <c r="V275" t="s">
        <v>251</v>
      </c>
      <c r="X275">
        <v>1.1415525114155251E-4</v>
      </c>
      <c r="Y275">
        <v>1.4585353321897094E-4</v>
      </c>
      <c r="Z275" t="s">
        <v>1750</v>
      </c>
      <c r="AA275" t="s">
        <v>25</v>
      </c>
      <c r="AC275" t="s">
        <v>22</v>
      </c>
      <c r="AD275" t="s">
        <v>1750</v>
      </c>
      <c r="AE275">
        <v>8.5782326949435163E-5</v>
      </c>
      <c r="AG275" t="s">
        <v>97</v>
      </c>
      <c r="AH275" t="s">
        <v>1750</v>
      </c>
      <c r="AI275">
        <v>0</v>
      </c>
    </row>
    <row r="276" spans="5:35" x14ac:dyDescent="0.45">
      <c r="E276" t="s">
        <v>1479</v>
      </c>
      <c r="G276" t="s">
        <v>159</v>
      </c>
      <c r="I276" t="s">
        <v>249</v>
      </c>
      <c r="J276" t="s">
        <v>1751</v>
      </c>
      <c r="K276">
        <v>2.642752124771E-4</v>
      </c>
      <c r="L276" t="s">
        <v>251</v>
      </c>
      <c r="N276" t="s">
        <v>419</v>
      </c>
      <c r="O276" t="s">
        <v>1751</v>
      </c>
      <c r="P276">
        <v>1.9327218548947616E-5</v>
      </c>
      <c r="Q276" t="s">
        <v>251</v>
      </c>
      <c r="S276" t="s">
        <v>420</v>
      </c>
      <c r="T276" t="s">
        <v>1751</v>
      </c>
      <c r="U276">
        <v>7.9713124192277231E-5</v>
      </c>
      <c r="V276" t="s">
        <v>251</v>
      </c>
      <c r="X276">
        <v>1.1415525114155251E-4</v>
      </c>
      <c r="Y276">
        <v>1.4452759200788939E-4</v>
      </c>
      <c r="Z276" t="s">
        <v>1751</v>
      </c>
      <c r="AA276" t="s">
        <v>25</v>
      </c>
      <c r="AC276" t="s">
        <v>22</v>
      </c>
      <c r="AD276" t="s">
        <v>1751</v>
      </c>
      <c r="AE276">
        <v>8.6938042110598049E-5</v>
      </c>
      <c r="AG276" t="s">
        <v>97</v>
      </c>
      <c r="AH276" t="s">
        <v>1751</v>
      </c>
      <c r="AI276">
        <v>0</v>
      </c>
    </row>
    <row r="277" spans="5:35" x14ac:dyDescent="0.45">
      <c r="E277" t="s">
        <v>1480</v>
      </c>
      <c r="G277" t="s">
        <v>159</v>
      </c>
      <c r="I277" t="s">
        <v>249</v>
      </c>
      <c r="J277" t="s">
        <v>1752</v>
      </c>
      <c r="K277">
        <v>2.8214638786300001E-4</v>
      </c>
      <c r="L277" t="s">
        <v>251</v>
      </c>
      <c r="N277" t="s">
        <v>419</v>
      </c>
      <c r="O277" t="s">
        <v>1752</v>
      </c>
      <c r="P277">
        <v>1.9042828962580842E-5</v>
      </c>
      <c r="Q277" t="s">
        <v>251</v>
      </c>
      <c r="S277" t="s">
        <v>420</v>
      </c>
      <c r="T277" t="s">
        <v>1752</v>
      </c>
      <c r="U277">
        <v>7.3184376222044074E-5</v>
      </c>
      <c r="V277" t="s">
        <v>251</v>
      </c>
      <c r="X277">
        <v>1.1415525114155251E-4</v>
      </c>
      <c r="Y277">
        <v>1.408812536774151E-4</v>
      </c>
      <c r="Z277" t="s">
        <v>1752</v>
      </c>
      <c r="AA277" t="s">
        <v>25</v>
      </c>
      <c r="AC277" t="s">
        <v>22</v>
      </c>
      <c r="AD277" t="s">
        <v>1752</v>
      </c>
      <c r="AE277">
        <v>9.4400835324635245E-5</v>
      </c>
      <c r="AG277" t="s">
        <v>97</v>
      </c>
      <c r="AH277" t="s">
        <v>1752</v>
      </c>
      <c r="AI277">
        <v>0</v>
      </c>
    </row>
    <row r="278" spans="5:35" x14ac:dyDescent="0.45">
      <c r="E278" t="s">
        <v>1481</v>
      </c>
      <c r="G278" t="s">
        <v>159</v>
      </c>
      <c r="I278" t="s">
        <v>249</v>
      </c>
      <c r="J278" t="s">
        <v>1753</v>
      </c>
      <c r="K278">
        <v>2.8336255016959998E-4</v>
      </c>
      <c r="L278" t="s">
        <v>251</v>
      </c>
      <c r="N278" t="s">
        <v>419</v>
      </c>
      <c r="O278" t="s">
        <v>1753</v>
      </c>
      <c r="P278">
        <v>1.8412483094829825E-5</v>
      </c>
      <c r="Q278" t="s">
        <v>251</v>
      </c>
      <c r="S278" t="s">
        <v>420</v>
      </c>
      <c r="T278" t="s">
        <v>1753</v>
      </c>
      <c r="U278">
        <v>6.8983954233984771E-5</v>
      </c>
      <c r="V278" t="s">
        <v>251</v>
      </c>
      <c r="X278">
        <v>1.1415525114155251E-4</v>
      </c>
      <c r="Y278">
        <v>1.4054976837464471E-4</v>
      </c>
      <c r="Z278" t="s">
        <v>1753</v>
      </c>
      <c r="AA278" t="s">
        <v>25</v>
      </c>
      <c r="AC278" t="s">
        <v>22</v>
      </c>
      <c r="AD278" t="s">
        <v>1753</v>
      </c>
      <c r="AE278">
        <v>1.0129510845362209E-4</v>
      </c>
      <c r="AG278" t="s">
        <v>97</v>
      </c>
      <c r="AH278" t="s">
        <v>1753</v>
      </c>
      <c r="AI278">
        <v>0</v>
      </c>
    </row>
    <row r="279" spans="5:35" x14ac:dyDescent="0.45">
      <c r="E279" t="s">
        <v>1482</v>
      </c>
      <c r="G279" t="s">
        <v>159</v>
      </c>
      <c r="I279" t="s">
        <v>249</v>
      </c>
      <c r="J279" t="s">
        <v>1754</v>
      </c>
      <c r="K279">
        <v>2.7345386071989997E-4</v>
      </c>
      <c r="L279" t="s">
        <v>251</v>
      </c>
      <c r="N279" t="s">
        <v>419</v>
      </c>
      <c r="O279" t="s">
        <v>1754</v>
      </c>
      <c r="P279">
        <v>1.8325757378152451E-5</v>
      </c>
      <c r="Q279" t="s">
        <v>251</v>
      </c>
      <c r="S279" t="s">
        <v>420</v>
      </c>
      <c r="T279" t="s">
        <v>1754</v>
      </c>
      <c r="U279">
        <v>6.9707158432464524E-5</v>
      </c>
      <c r="V279" t="s">
        <v>251</v>
      </c>
      <c r="X279">
        <v>1.1415525114155251E-4</v>
      </c>
      <c r="Y279">
        <v>1.4253868019126702E-4</v>
      </c>
      <c r="Z279" t="s">
        <v>1754</v>
      </c>
      <c r="AA279" t="s">
        <v>25</v>
      </c>
      <c r="AC279" t="s">
        <v>22</v>
      </c>
      <c r="AD279" t="s">
        <v>1754</v>
      </c>
      <c r="AE279">
        <v>1.0952704451383486E-4</v>
      </c>
      <c r="AG279" t="s">
        <v>97</v>
      </c>
      <c r="AH279" t="s">
        <v>1754</v>
      </c>
      <c r="AI279">
        <v>0</v>
      </c>
    </row>
    <row r="280" spans="5:35" x14ac:dyDescent="0.45">
      <c r="E280" t="s">
        <v>1483</v>
      </c>
      <c r="G280" t="s">
        <v>159</v>
      </c>
      <c r="I280" t="s">
        <v>249</v>
      </c>
      <c r="J280" t="s">
        <v>1755</v>
      </c>
      <c r="K280">
        <v>2.716332764567E-4</v>
      </c>
      <c r="L280" t="s">
        <v>251</v>
      </c>
      <c r="N280" t="s">
        <v>419</v>
      </c>
      <c r="O280" t="s">
        <v>1755</v>
      </c>
      <c r="P280">
        <v>2.0095914808845321E-5</v>
      </c>
      <c r="Q280" t="s">
        <v>251</v>
      </c>
      <c r="S280" t="s">
        <v>420</v>
      </c>
      <c r="T280" t="s">
        <v>1755</v>
      </c>
      <c r="U280">
        <v>6.9546774729013677E-5</v>
      </c>
      <c r="V280" t="s">
        <v>251</v>
      </c>
      <c r="X280">
        <v>1.1415525114155251E-4</v>
      </c>
      <c r="Y280">
        <v>1.4883690094390442E-4</v>
      </c>
      <c r="Z280" t="s">
        <v>1755</v>
      </c>
      <c r="AA280" t="s">
        <v>25</v>
      </c>
      <c r="AC280" t="s">
        <v>22</v>
      </c>
      <c r="AD280" t="s">
        <v>1755</v>
      </c>
      <c r="AE280">
        <v>1.1657151792807902E-4</v>
      </c>
      <c r="AG280" t="s">
        <v>97</v>
      </c>
      <c r="AH280" t="s">
        <v>1755</v>
      </c>
      <c r="AI280">
        <v>0</v>
      </c>
    </row>
    <row r="281" spans="5:35" x14ac:dyDescent="0.45">
      <c r="E281" t="s">
        <v>1484</v>
      </c>
      <c r="G281" t="s">
        <v>159</v>
      </c>
      <c r="I281" t="s">
        <v>249</v>
      </c>
      <c r="J281" t="s">
        <v>1756</v>
      </c>
      <c r="K281">
        <v>2.6530794360449998E-4</v>
      </c>
      <c r="L281" t="s">
        <v>251</v>
      </c>
      <c r="N281" t="s">
        <v>419</v>
      </c>
      <c r="O281" t="s">
        <v>1756</v>
      </c>
      <c r="P281">
        <v>2.4287912544274571E-5</v>
      </c>
      <c r="Q281" t="s">
        <v>251</v>
      </c>
      <c r="S281" t="s">
        <v>420</v>
      </c>
      <c r="T281" t="s">
        <v>1756</v>
      </c>
      <c r="U281">
        <v>6.5788009716721488E-5</v>
      </c>
      <c r="V281" t="s">
        <v>251</v>
      </c>
      <c r="X281">
        <v>1.1415525114155251E-4</v>
      </c>
      <c r="Y281">
        <v>1.5049432745775637E-4</v>
      </c>
      <c r="Z281" t="s">
        <v>1756</v>
      </c>
      <c r="AA281" t="s">
        <v>25</v>
      </c>
      <c r="AC281" t="s">
        <v>22</v>
      </c>
      <c r="AD281" t="s">
        <v>1756</v>
      </c>
      <c r="AE281">
        <v>1.2004559983681933E-4</v>
      </c>
      <c r="AG281" t="s">
        <v>97</v>
      </c>
      <c r="AH281" t="s">
        <v>1756</v>
      </c>
      <c r="AI281">
        <v>0</v>
      </c>
    </row>
    <row r="282" spans="5:35" x14ac:dyDescent="0.45">
      <c r="E282" t="s">
        <v>1485</v>
      </c>
      <c r="G282" t="s">
        <v>159</v>
      </c>
      <c r="I282" t="s">
        <v>249</v>
      </c>
      <c r="J282" t="s">
        <v>1757</v>
      </c>
      <c r="K282">
        <v>2.5320417896460001E-4</v>
      </c>
      <c r="L282" t="s">
        <v>251</v>
      </c>
      <c r="N282" t="s">
        <v>419</v>
      </c>
      <c r="O282" t="s">
        <v>1757</v>
      </c>
      <c r="P282">
        <v>3.5482996832812241E-5</v>
      </c>
      <c r="Q282" t="s">
        <v>251</v>
      </c>
      <c r="S282" t="s">
        <v>420</v>
      </c>
      <c r="T282" t="s">
        <v>1757</v>
      </c>
      <c r="U282">
        <v>6.5555776646565261E-5</v>
      </c>
      <c r="V282" t="s">
        <v>251</v>
      </c>
      <c r="X282">
        <v>1.1415525114155251E-4</v>
      </c>
      <c r="Y282">
        <v>1.7237235744060203E-4</v>
      </c>
      <c r="Z282" t="s">
        <v>1757</v>
      </c>
      <c r="AA282" t="s">
        <v>25</v>
      </c>
      <c r="AC282" t="s">
        <v>22</v>
      </c>
      <c r="AD282" t="s">
        <v>1757</v>
      </c>
      <c r="AE282">
        <v>1.2129629066681276E-4</v>
      </c>
      <c r="AG282" t="s">
        <v>97</v>
      </c>
      <c r="AH282" t="s">
        <v>1757</v>
      </c>
      <c r="AI282">
        <v>0</v>
      </c>
    </row>
    <row r="283" spans="5:35" x14ac:dyDescent="0.45">
      <c r="E283" t="s">
        <v>1486</v>
      </c>
      <c r="G283" t="s">
        <v>159</v>
      </c>
      <c r="I283" t="s">
        <v>249</v>
      </c>
      <c r="J283" t="s">
        <v>1758</v>
      </c>
      <c r="K283">
        <v>2.2520982027939999E-4</v>
      </c>
      <c r="L283" t="s">
        <v>251</v>
      </c>
      <c r="N283" t="s">
        <v>419</v>
      </c>
      <c r="O283" t="s">
        <v>1758</v>
      </c>
      <c r="P283">
        <v>5.002533516388367E-5</v>
      </c>
      <c r="Q283" t="s">
        <v>251</v>
      </c>
      <c r="S283" t="s">
        <v>420</v>
      </c>
      <c r="T283" t="s">
        <v>1758</v>
      </c>
      <c r="U283">
        <v>6.1393603932287616E-5</v>
      </c>
      <c r="V283" t="s">
        <v>251</v>
      </c>
      <c r="X283">
        <v>1.1415525114155251E-4</v>
      </c>
      <c r="Y283">
        <v>2.2209515285616027E-4</v>
      </c>
      <c r="Z283" t="s">
        <v>1758</v>
      </c>
      <c r="AA283" t="s">
        <v>25</v>
      </c>
      <c r="AC283" t="s">
        <v>22</v>
      </c>
      <c r="AD283" t="s">
        <v>1758</v>
      </c>
      <c r="AE283">
        <v>1.222986041156791E-4</v>
      </c>
      <c r="AG283" t="s">
        <v>97</v>
      </c>
      <c r="AH283" t="s">
        <v>1758</v>
      </c>
      <c r="AI283">
        <v>0</v>
      </c>
    </row>
    <row r="284" spans="5:35" x14ac:dyDescent="0.45">
      <c r="E284" t="s">
        <v>1487</v>
      </c>
      <c r="G284" t="s">
        <v>159</v>
      </c>
      <c r="I284" t="s">
        <v>249</v>
      </c>
      <c r="J284" t="s">
        <v>1759</v>
      </c>
      <c r="K284">
        <v>1.9090504298230001E-4</v>
      </c>
      <c r="L284" t="s">
        <v>251</v>
      </c>
      <c r="N284" t="s">
        <v>419</v>
      </c>
      <c r="O284" t="s">
        <v>1759</v>
      </c>
      <c r="P284">
        <v>5.3188627028668645E-5</v>
      </c>
      <c r="Q284" t="s">
        <v>251</v>
      </c>
      <c r="S284" t="s">
        <v>420</v>
      </c>
      <c r="T284" t="s">
        <v>1759</v>
      </c>
      <c r="U284">
        <v>6.6264298011856608E-5</v>
      </c>
      <c r="V284" t="s">
        <v>251</v>
      </c>
      <c r="X284">
        <v>1.1415525114155251E-4</v>
      </c>
      <c r="Y284">
        <v>2.2209515285616027E-4</v>
      </c>
      <c r="Z284" t="s">
        <v>1759</v>
      </c>
      <c r="AA284" t="s">
        <v>25</v>
      </c>
      <c r="AC284" t="s">
        <v>22</v>
      </c>
      <c r="AD284" t="s">
        <v>1759</v>
      </c>
      <c r="AE284">
        <v>1.2358931278366294E-4</v>
      </c>
      <c r="AG284" t="s">
        <v>97</v>
      </c>
      <c r="AH284" t="s">
        <v>1759</v>
      </c>
      <c r="AI284">
        <v>0</v>
      </c>
    </row>
    <row r="285" spans="5:35" x14ac:dyDescent="0.45">
      <c r="E285" t="s">
        <v>1488</v>
      </c>
      <c r="G285" t="s">
        <v>159</v>
      </c>
      <c r="I285" t="s">
        <v>249</v>
      </c>
      <c r="J285" t="s">
        <v>1760</v>
      </c>
      <c r="K285">
        <v>1.4000997733059999E-4</v>
      </c>
      <c r="L285" t="s">
        <v>251</v>
      </c>
      <c r="N285" t="s">
        <v>419</v>
      </c>
      <c r="O285" t="s">
        <v>1760</v>
      </c>
      <c r="P285">
        <v>4.860215114314377E-5</v>
      </c>
      <c r="Q285" t="s">
        <v>251</v>
      </c>
      <c r="S285" t="s">
        <v>420</v>
      </c>
      <c r="T285" t="s">
        <v>1760</v>
      </c>
      <c r="U285">
        <v>7.2326748801324737E-5</v>
      </c>
      <c r="V285" t="s">
        <v>251</v>
      </c>
      <c r="X285">
        <v>1.1415525114155251E-4</v>
      </c>
      <c r="Y285">
        <v>1.7237235744060203E-4</v>
      </c>
      <c r="Z285" t="s">
        <v>1760</v>
      </c>
      <c r="AA285" t="s">
        <v>25</v>
      </c>
      <c r="AC285" t="s">
        <v>22</v>
      </c>
      <c r="AD285" t="s">
        <v>1760</v>
      </c>
      <c r="AE285">
        <v>1.2483573504427074E-4</v>
      </c>
      <c r="AG285" t="s">
        <v>97</v>
      </c>
      <c r="AH285" t="s">
        <v>1760</v>
      </c>
      <c r="AI285">
        <v>0</v>
      </c>
    </row>
    <row r="286" spans="5:35" x14ac:dyDescent="0.45">
      <c r="E286" t="s">
        <v>1489</v>
      </c>
      <c r="G286" t="s">
        <v>159</v>
      </c>
      <c r="I286" t="s">
        <v>249</v>
      </c>
      <c r="J286" t="s">
        <v>1761</v>
      </c>
      <c r="K286">
        <v>5.968874178115173E-5</v>
      </c>
      <c r="L286" t="s">
        <v>251</v>
      </c>
      <c r="N286" t="s">
        <v>419</v>
      </c>
      <c r="O286" t="s">
        <v>1761</v>
      </c>
      <c r="P286">
        <v>5.35680885108783E-5</v>
      </c>
      <c r="Q286" t="s">
        <v>251</v>
      </c>
      <c r="S286" t="s">
        <v>420</v>
      </c>
      <c r="T286" t="s">
        <v>1761</v>
      </c>
      <c r="U286">
        <v>7.3195546733357541E-5</v>
      </c>
      <c r="V286" t="s">
        <v>251</v>
      </c>
      <c r="X286">
        <v>1.1415525114155251E-4</v>
      </c>
      <c r="Y286">
        <v>1.5579809230208258E-4</v>
      </c>
      <c r="Z286" t="s">
        <v>1761</v>
      </c>
      <c r="AA286" t="s">
        <v>25</v>
      </c>
      <c r="AC286" t="s">
        <v>22</v>
      </c>
      <c r="AD286" t="s">
        <v>1761</v>
      </c>
      <c r="AE286">
        <v>1.2488028823723338E-4</v>
      </c>
      <c r="AG286" t="s">
        <v>97</v>
      </c>
      <c r="AH286" t="s">
        <v>1761</v>
      </c>
      <c r="AI286">
        <v>0</v>
      </c>
    </row>
    <row r="287" spans="5:35" x14ac:dyDescent="0.45">
      <c r="E287" t="s">
        <v>1490</v>
      </c>
      <c r="G287" t="s">
        <v>159</v>
      </c>
      <c r="I287" t="s">
        <v>249</v>
      </c>
      <c r="J287" t="s">
        <v>1762</v>
      </c>
      <c r="K287">
        <v>0</v>
      </c>
      <c r="L287" t="s">
        <v>251</v>
      </c>
      <c r="N287" t="s">
        <v>419</v>
      </c>
      <c r="O287" t="s">
        <v>1762</v>
      </c>
      <c r="P287">
        <v>6.3019590223727248E-5</v>
      </c>
      <c r="Q287" t="s">
        <v>251</v>
      </c>
      <c r="S287" t="s">
        <v>420</v>
      </c>
      <c r="T287" t="s">
        <v>1762</v>
      </c>
      <c r="U287">
        <v>7.6634576455701788E-5</v>
      </c>
      <c r="V287" t="s">
        <v>251</v>
      </c>
      <c r="X287">
        <v>1.1415525114155251E-4</v>
      </c>
      <c r="Y287">
        <v>1.093901499142282E-4</v>
      </c>
      <c r="Z287" t="s">
        <v>1762</v>
      </c>
      <c r="AA287" t="s">
        <v>25</v>
      </c>
      <c r="AC287" t="s">
        <v>22</v>
      </c>
      <c r="AD287" t="s">
        <v>1762</v>
      </c>
      <c r="AE287">
        <v>1.251788213086418E-4</v>
      </c>
      <c r="AG287" t="s">
        <v>97</v>
      </c>
      <c r="AH287" t="s">
        <v>1762</v>
      </c>
      <c r="AI287">
        <v>0</v>
      </c>
    </row>
    <row r="288" spans="5:35" x14ac:dyDescent="0.45">
      <c r="E288" t="s">
        <v>1491</v>
      </c>
      <c r="G288" t="s">
        <v>159</v>
      </c>
      <c r="I288" t="s">
        <v>249</v>
      </c>
      <c r="J288" t="s">
        <v>1763</v>
      </c>
      <c r="K288">
        <v>0</v>
      </c>
      <c r="L288" t="s">
        <v>251</v>
      </c>
      <c r="N288" t="s">
        <v>419</v>
      </c>
      <c r="O288" t="s">
        <v>1763</v>
      </c>
      <c r="P288">
        <v>6.916449380595193E-5</v>
      </c>
      <c r="Q288" t="s">
        <v>251</v>
      </c>
      <c r="S288" t="s">
        <v>420</v>
      </c>
      <c r="T288" t="s">
        <v>1763</v>
      </c>
      <c r="U288">
        <v>7.7530676937012722E-5</v>
      </c>
      <c r="V288" t="s">
        <v>251</v>
      </c>
      <c r="X288">
        <v>1.1415525114155251E-4</v>
      </c>
      <c r="Y288">
        <v>7.9556472664893237E-5</v>
      </c>
      <c r="Z288" t="s">
        <v>1763</v>
      </c>
      <c r="AA288" t="s">
        <v>25</v>
      </c>
      <c r="AC288" t="s">
        <v>22</v>
      </c>
      <c r="AD288" t="s">
        <v>1763</v>
      </c>
      <c r="AE288">
        <v>1.2705352362569894E-4</v>
      </c>
      <c r="AG288" t="s">
        <v>97</v>
      </c>
      <c r="AH288" t="s">
        <v>1763</v>
      </c>
      <c r="AI288">
        <v>0</v>
      </c>
    </row>
    <row r="289" spans="5:35" x14ac:dyDescent="0.45">
      <c r="E289" t="s">
        <v>1492</v>
      </c>
      <c r="G289" t="s">
        <v>159</v>
      </c>
      <c r="I289" t="s">
        <v>249</v>
      </c>
      <c r="J289" t="s">
        <v>1764</v>
      </c>
      <c r="K289">
        <v>0</v>
      </c>
      <c r="L289" t="s">
        <v>251</v>
      </c>
      <c r="N289" t="s">
        <v>419</v>
      </c>
      <c r="O289" t="s">
        <v>1764</v>
      </c>
      <c r="P289">
        <v>7.5039006320154196E-5</v>
      </c>
      <c r="Q289" t="s">
        <v>251</v>
      </c>
      <c r="S289" t="s">
        <v>420</v>
      </c>
      <c r="T289" t="s">
        <v>1764</v>
      </c>
      <c r="U289">
        <v>7.6854672188035139E-5</v>
      </c>
      <c r="V289" t="s">
        <v>251</v>
      </c>
      <c r="X289">
        <v>1.1415525114155251E-4</v>
      </c>
      <c r="Y289">
        <v>5.6352501470966035E-5</v>
      </c>
      <c r="Z289" t="s">
        <v>1764</v>
      </c>
      <c r="AA289" t="s">
        <v>25</v>
      </c>
      <c r="AC289" t="s">
        <v>22</v>
      </c>
      <c r="AD289" t="s">
        <v>1764</v>
      </c>
      <c r="AE289">
        <v>1.2493604642483332E-4</v>
      </c>
      <c r="AG289" t="s">
        <v>97</v>
      </c>
      <c r="AH289" t="s">
        <v>1764</v>
      </c>
      <c r="AI289">
        <v>0</v>
      </c>
    </row>
    <row r="290" spans="5:35" x14ac:dyDescent="0.45">
      <c r="E290" t="s">
        <v>1493</v>
      </c>
      <c r="G290" t="s">
        <v>159</v>
      </c>
      <c r="I290" t="s">
        <v>249</v>
      </c>
      <c r="J290" t="s">
        <v>1765</v>
      </c>
      <c r="K290">
        <v>0</v>
      </c>
      <c r="L290" t="s">
        <v>251</v>
      </c>
      <c r="N290" t="s">
        <v>419</v>
      </c>
      <c r="O290" t="s">
        <v>1765</v>
      </c>
      <c r="P290">
        <v>7.9293681700999159E-5</v>
      </c>
      <c r="Q290" t="s">
        <v>251</v>
      </c>
      <c r="S290" t="s">
        <v>420</v>
      </c>
      <c r="T290" t="s">
        <v>1765</v>
      </c>
      <c r="U290">
        <v>7.2636344542828513E-5</v>
      </c>
      <c r="V290" t="s">
        <v>251</v>
      </c>
      <c r="X290">
        <v>1.1415525114155251E-4</v>
      </c>
      <c r="Y290">
        <v>2.9833677249334962E-5</v>
      </c>
      <c r="Z290" t="s">
        <v>1765</v>
      </c>
      <c r="AA290" t="s">
        <v>25</v>
      </c>
      <c r="AC290" t="s">
        <v>22</v>
      </c>
      <c r="AD290" t="s">
        <v>1765</v>
      </c>
      <c r="AE290">
        <v>1.2584365099045571E-4</v>
      </c>
      <c r="AG290" t="s">
        <v>97</v>
      </c>
      <c r="AH290" t="s">
        <v>1765</v>
      </c>
      <c r="AI290">
        <v>0</v>
      </c>
    </row>
    <row r="291" spans="5:35" x14ac:dyDescent="0.45">
      <c r="E291" t="s">
        <v>1494</v>
      </c>
      <c r="G291" t="s">
        <v>159</v>
      </c>
      <c r="I291" t="s">
        <v>249</v>
      </c>
      <c r="J291" t="s">
        <v>1766</v>
      </c>
      <c r="K291">
        <v>0</v>
      </c>
      <c r="L291" t="s">
        <v>251</v>
      </c>
      <c r="N291" t="s">
        <v>419</v>
      </c>
      <c r="O291" t="s">
        <v>1766</v>
      </c>
      <c r="P291">
        <v>7.9789682146319782E-5</v>
      </c>
      <c r="Q291" t="s">
        <v>251</v>
      </c>
      <c r="S291" t="s">
        <v>420</v>
      </c>
      <c r="T291" t="s">
        <v>1766</v>
      </c>
      <c r="U291">
        <v>6.6637986530826776E-5</v>
      </c>
      <c r="V291" t="s">
        <v>251</v>
      </c>
      <c r="X291">
        <v>1.1415525114155251E-4</v>
      </c>
      <c r="Y291">
        <v>2.1546544680075254E-5</v>
      </c>
      <c r="Z291" t="s">
        <v>1766</v>
      </c>
      <c r="AA291" t="s">
        <v>25</v>
      </c>
      <c r="AC291" t="s">
        <v>22</v>
      </c>
      <c r="AD291" t="s">
        <v>1766</v>
      </c>
      <c r="AE291">
        <v>1.2449051449520685E-4</v>
      </c>
      <c r="AG291" t="s">
        <v>97</v>
      </c>
      <c r="AH291" t="s">
        <v>1766</v>
      </c>
      <c r="AI291">
        <v>0</v>
      </c>
    </row>
    <row r="292" spans="5:35" x14ac:dyDescent="0.45">
      <c r="E292" t="s">
        <v>1495</v>
      </c>
      <c r="G292" t="s">
        <v>159</v>
      </c>
      <c r="I292" t="s">
        <v>249</v>
      </c>
      <c r="J292" t="s">
        <v>1767</v>
      </c>
      <c r="K292">
        <v>0</v>
      </c>
      <c r="L292" t="s">
        <v>251</v>
      </c>
      <c r="N292" t="s">
        <v>419</v>
      </c>
      <c r="O292" t="s">
        <v>1767</v>
      </c>
      <c r="P292">
        <v>7.5490126577616875E-5</v>
      </c>
      <c r="Q292" t="s">
        <v>251</v>
      </c>
      <c r="S292" t="s">
        <v>420</v>
      </c>
      <c r="T292" t="s">
        <v>1767</v>
      </c>
      <c r="U292">
        <v>5.9820572898181572E-5</v>
      </c>
      <c r="V292" t="s">
        <v>251</v>
      </c>
      <c r="X292">
        <v>1.1415525114155251E-4</v>
      </c>
      <c r="Y292">
        <v>1.4916838624667481E-5</v>
      </c>
      <c r="Z292" t="s">
        <v>1767</v>
      </c>
      <c r="AA292" t="s">
        <v>25</v>
      </c>
      <c r="AC292" t="s">
        <v>22</v>
      </c>
      <c r="AD292" t="s">
        <v>1767</v>
      </c>
      <c r="AE292">
        <v>1.2147583736659638E-4</v>
      </c>
      <c r="AG292" t="s">
        <v>97</v>
      </c>
      <c r="AH292" t="s">
        <v>1767</v>
      </c>
      <c r="AI292">
        <v>0</v>
      </c>
    </row>
    <row r="293" spans="5:35" x14ac:dyDescent="0.45">
      <c r="E293" t="s">
        <v>1496</v>
      </c>
      <c r="G293" t="s">
        <v>159</v>
      </c>
      <c r="I293" t="s">
        <v>249</v>
      </c>
      <c r="J293" t="s">
        <v>1768</v>
      </c>
      <c r="K293">
        <v>0</v>
      </c>
      <c r="L293" t="s">
        <v>251</v>
      </c>
      <c r="N293" t="s">
        <v>419</v>
      </c>
      <c r="O293" t="s">
        <v>1768</v>
      </c>
      <c r="P293">
        <v>6.8270661239765073E-5</v>
      </c>
      <c r="Q293" t="s">
        <v>251</v>
      </c>
      <c r="S293" t="s">
        <v>420</v>
      </c>
      <c r="T293" t="s">
        <v>1768</v>
      </c>
      <c r="U293">
        <v>5.5395090156767943E-5</v>
      </c>
      <c r="V293" t="s">
        <v>251</v>
      </c>
      <c r="X293">
        <v>1.1415525114155251E-4</v>
      </c>
      <c r="Y293">
        <v>1.6574265138519424E-5</v>
      </c>
      <c r="Z293" t="s">
        <v>1768</v>
      </c>
      <c r="AA293" t="s">
        <v>25</v>
      </c>
      <c r="AC293" t="s">
        <v>22</v>
      </c>
      <c r="AD293" t="s">
        <v>1768</v>
      </c>
      <c r="AE293">
        <v>1.1866018228559153E-4</v>
      </c>
      <c r="AG293" t="s">
        <v>97</v>
      </c>
      <c r="AH293" t="s">
        <v>1768</v>
      </c>
      <c r="AI293">
        <v>0</v>
      </c>
    </row>
    <row r="294" spans="5:35" x14ac:dyDescent="0.45">
      <c r="E294" t="s">
        <v>1497</v>
      </c>
      <c r="G294" t="s">
        <v>159</v>
      </c>
      <c r="I294" t="s">
        <v>249</v>
      </c>
      <c r="J294" t="s">
        <v>1769</v>
      </c>
      <c r="K294">
        <v>0</v>
      </c>
      <c r="L294" t="s">
        <v>251</v>
      </c>
      <c r="N294" t="s">
        <v>419</v>
      </c>
      <c r="O294" t="s">
        <v>1769</v>
      </c>
      <c r="P294">
        <v>4.1773711699366827E-5</v>
      </c>
      <c r="Q294" t="s">
        <v>251</v>
      </c>
      <c r="S294" t="s">
        <v>420</v>
      </c>
      <c r="T294" t="s">
        <v>1769</v>
      </c>
      <c r="U294">
        <v>4.9463359670830571E-5</v>
      </c>
      <c r="V294" t="s">
        <v>251</v>
      </c>
      <c r="X294">
        <v>1.1415525114155251E-4</v>
      </c>
      <c r="Y294">
        <v>1.4585353321897093E-5</v>
      </c>
      <c r="Z294" t="s">
        <v>1769</v>
      </c>
      <c r="AA294" t="s">
        <v>25</v>
      </c>
      <c r="AC294" t="s">
        <v>22</v>
      </c>
      <c r="AD294" t="s">
        <v>1769</v>
      </c>
      <c r="AE294">
        <v>1.075424265350974E-4</v>
      </c>
      <c r="AG294" t="s">
        <v>97</v>
      </c>
      <c r="AH294" t="s">
        <v>1769</v>
      </c>
      <c r="AI294">
        <v>0</v>
      </c>
    </row>
    <row r="295" spans="5:35" x14ac:dyDescent="0.45">
      <c r="E295" t="s">
        <v>1498</v>
      </c>
      <c r="G295" t="s">
        <v>159</v>
      </c>
      <c r="I295" t="s">
        <v>249</v>
      </c>
      <c r="J295" t="s">
        <v>1770</v>
      </c>
      <c r="K295">
        <v>0</v>
      </c>
      <c r="L295" t="s">
        <v>251</v>
      </c>
      <c r="N295" t="s">
        <v>419</v>
      </c>
      <c r="O295" t="s">
        <v>1770</v>
      </c>
      <c r="P295">
        <v>3.7081838782275468E-5</v>
      </c>
      <c r="Q295" t="s">
        <v>251</v>
      </c>
      <c r="S295" t="s">
        <v>420</v>
      </c>
      <c r="T295" t="s">
        <v>1770</v>
      </c>
      <c r="U295">
        <v>4.2876643285328909E-5</v>
      </c>
      <c r="V295" t="s">
        <v>251</v>
      </c>
      <c r="X295">
        <v>1.1415525114155251E-4</v>
      </c>
      <c r="Y295">
        <v>2.1215059377304864E-5</v>
      </c>
      <c r="Z295" t="s">
        <v>1770</v>
      </c>
      <c r="AA295" t="s">
        <v>25</v>
      </c>
      <c r="AC295" t="s">
        <v>22</v>
      </c>
      <c r="AD295" t="s">
        <v>1770</v>
      </c>
      <c r="AE295">
        <v>1.0175611394727155E-4</v>
      </c>
      <c r="AG295" t="s">
        <v>97</v>
      </c>
      <c r="AH295" t="s">
        <v>1770</v>
      </c>
      <c r="AI295">
        <v>0</v>
      </c>
    </row>
    <row r="296" spans="5:35" x14ac:dyDescent="0.45">
      <c r="E296" t="s">
        <v>1499</v>
      </c>
      <c r="G296" t="s">
        <v>159</v>
      </c>
      <c r="I296" t="s">
        <v>249</v>
      </c>
      <c r="J296" t="s">
        <v>1771</v>
      </c>
      <c r="K296">
        <v>0</v>
      </c>
      <c r="L296" t="s">
        <v>251</v>
      </c>
      <c r="N296" t="s">
        <v>419</v>
      </c>
      <c r="O296" t="s">
        <v>1771</v>
      </c>
      <c r="P296">
        <v>3.9810609079125507E-5</v>
      </c>
      <c r="Q296" t="s">
        <v>251</v>
      </c>
      <c r="S296" t="s">
        <v>420</v>
      </c>
      <c r="T296" t="s">
        <v>1771</v>
      </c>
      <c r="U296">
        <v>2.9299128391702721E-5</v>
      </c>
      <c r="V296" t="s">
        <v>251</v>
      </c>
      <c r="X296">
        <v>1.1415525114155251E-4</v>
      </c>
      <c r="Y296">
        <v>5.7678442682047593E-5</v>
      </c>
      <c r="Z296" t="s">
        <v>1771</v>
      </c>
      <c r="AA296" t="s">
        <v>25</v>
      </c>
      <c r="AC296" t="s">
        <v>22</v>
      </c>
      <c r="AD296" t="s">
        <v>1771</v>
      </c>
      <c r="AE296">
        <v>9.3759482774442366E-5</v>
      </c>
      <c r="AG296" t="s">
        <v>97</v>
      </c>
      <c r="AH296" t="s">
        <v>1771</v>
      </c>
      <c r="AI296">
        <v>0</v>
      </c>
    </row>
    <row r="297" spans="5:35" x14ac:dyDescent="0.45">
      <c r="E297" t="s">
        <v>1500</v>
      </c>
      <c r="G297" t="s">
        <v>159</v>
      </c>
      <c r="I297" t="s">
        <v>249</v>
      </c>
      <c r="J297" t="s">
        <v>1772</v>
      </c>
      <c r="K297">
        <v>1.2383375292529999E-4</v>
      </c>
      <c r="L297" t="s">
        <v>251</v>
      </c>
      <c r="N297" t="s">
        <v>419</v>
      </c>
      <c r="O297" t="s">
        <v>1772</v>
      </c>
      <c r="P297">
        <v>3.8282781954406801E-5</v>
      </c>
      <c r="Q297" t="s">
        <v>251</v>
      </c>
      <c r="S297" t="s">
        <v>420</v>
      </c>
      <c r="T297" t="s">
        <v>1772</v>
      </c>
      <c r="U297">
        <v>2.283373471946896E-5</v>
      </c>
      <c r="V297" t="s">
        <v>251</v>
      </c>
      <c r="X297">
        <v>1.1415525114155251E-4</v>
      </c>
      <c r="Y297">
        <v>1.6905750441289813E-4</v>
      </c>
      <c r="Z297" t="s">
        <v>1772</v>
      </c>
      <c r="AA297" t="s">
        <v>25</v>
      </c>
      <c r="AC297" t="s">
        <v>22</v>
      </c>
      <c r="AD297" t="s">
        <v>1772</v>
      </c>
      <c r="AE297">
        <v>9.0367037255202474E-5</v>
      </c>
      <c r="AG297" t="s">
        <v>97</v>
      </c>
      <c r="AH297" t="s">
        <v>1772</v>
      </c>
      <c r="AI297">
        <v>0</v>
      </c>
    </row>
    <row r="298" spans="5:35" x14ac:dyDescent="0.45">
      <c r="E298" t="s">
        <v>1501</v>
      </c>
      <c r="G298" t="s">
        <v>159</v>
      </c>
      <c r="I298" t="s">
        <v>249</v>
      </c>
      <c r="J298" t="s">
        <v>1773</v>
      </c>
      <c r="K298">
        <v>2.083832661648E-4</v>
      </c>
      <c r="L298" t="s">
        <v>251</v>
      </c>
      <c r="N298" t="s">
        <v>419</v>
      </c>
      <c r="O298" t="s">
        <v>1773</v>
      </c>
      <c r="P298">
        <v>2.895857088688095E-5</v>
      </c>
      <c r="Q298" t="s">
        <v>251</v>
      </c>
      <c r="S298" t="s">
        <v>420</v>
      </c>
      <c r="T298" t="s">
        <v>1773</v>
      </c>
      <c r="U298">
        <v>1.9712590216943889E-5</v>
      </c>
      <c r="V298" t="s">
        <v>251</v>
      </c>
      <c r="X298">
        <v>1.1415525114155251E-4</v>
      </c>
      <c r="Y298">
        <v>1.9060404909297337E-4</v>
      </c>
      <c r="Z298" t="s">
        <v>1773</v>
      </c>
      <c r="AA298" t="s">
        <v>25</v>
      </c>
      <c r="AC298" t="s">
        <v>22</v>
      </c>
      <c r="AD298" t="s">
        <v>1773</v>
      </c>
      <c r="AE298">
        <v>8.6898557843780846E-5</v>
      </c>
      <c r="AG298" t="s">
        <v>97</v>
      </c>
      <c r="AH298" t="s">
        <v>1773</v>
      </c>
      <c r="AI298">
        <v>0</v>
      </c>
    </row>
    <row r="299" spans="5:35" x14ac:dyDescent="0.45">
      <c r="E299" t="s">
        <v>1502</v>
      </c>
      <c r="G299" t="s">
        <v>159</v>
      </c>
      <c r="I299" t="s">
        <v>249</v>
      </c>
      <c r="J299" t="s">
        <v>1774</v>
      </c>
      <c r="K299">
        <v>2.5580270988120001E-4</v>
      </c>
      <c r="L299" t="s">
        <v>251</v>
      </c>
      <c r="N299" t="s">
        <v>419</v>
      </c>
      <c r="O299" t="s">
        <v>1774</v>
      </c>
      <c r="P299">
        <v>2.4922185121193609E-5</v>
      </c>
      <c r="Q299" t="s">
        <v>251</v>
      </c>
      <c r="S299" t="s">
        <v>420</v>
      </c>
      <c r="T299" t="s">
        <v>1774</v>
      </c>
      <c r="U299">
        <v>1.8035982608723743E-5</v>
      </c>
      <c r="V299" t="s">
        <v>251</v>
      </c>
      <c r="X299">
        <v>1.1415525114155251E-4</v>
      </c>
      <c r="Y299">
        <v>1.4585353321897094E-4</v>
      </c>
      <c r="Z299" t="s">
        <v>1774</v>
      </c>
      <c r="AA299" t="s">
        <v>25</v>
      </c>
      <c r="AC299" t="s">
        <v>22</v>
      </c>
      <c r="AD299" t="s">
        <v>1774</v>
      </c>
      <c r="AE299">
        <v>8.6722212571036471E-5</v>
      </c>
      <c r="AG299" t="s">
        <v>97</v>
      </c>
      <c r="AH299" t="s">
        <v>1774</v>
      </c>
      <c r="AI299">
        <v>0</v>
      </c>
    </row>
    <row r="300" spans="5:35" x14ac:dyDescent="0.45">
      <c r="E300" t="s">
        <v>1503</v>
      </c>
      <c r="G300" t="s">
        <v>159</v>
      </c>
      <c r="I300" t="s">
        <v>249</v>
      </c>
      <c r="J300" t="s">
        <v>1775</v>
      </c>
      <c r="K300">
        <v>2.8350012493990001E-4</v>
      </c>
      <c r="L300" t="s">
        <v>251</v>
      </c>
      <c r="N300" t="s">
        <v>419</v>
      </c>
      <c r="O300" t="s">
        <v>1775</v>
      </c>
      <c r="P300">
        <v>2.071559006029797E-5</v>
      </c>
      <c r="Q300" t="s">
        <v>251</v>
      </c>
      <c r="S300" t="s">
        <v>420</v>
      </c>
      <c r="T300" t="s">
        <v>1775</v>
      </c>
      <c r="U300">
        <v>1.6957077913638229E-5</v>
      </c>
      <c r="V300" t="s">
        <v>251</v>
      </c>
      <c r="X300">
        <v>1.1415525114155251E-4</v>
      </c>
      <c r="Y300">
        <v>1.4452759200788939E-4</v>
      </c>
      <c r="Z300" t="s">
        <v>1775</v>
      </c>
      <c r="AA300" t="s">
        <v>25</v>
      </c>
      <c r="AC300" t="s">
        <v>22</v>
      </c>
      <c r="AD300" t="s">
        <v>1775</v>
      </c>
      <c r="AE300">
        <v>8.6938042110598049E-5</v>
      </c>
      <c r="AG300" t="s">
        <v>97</v>
      </c>
      <c r="AH300" t="s">
        <v>1775</v>
      </c>
      <c r="AI300">
        <v>0</v>
      </c>
    </row>
    <row r="301" spans="5:35" x14ac:dyDescent="0.45">
      <c r="E301" t="s">
        <v>1504</v>
      </c>
      <c r="G301" t="s">
        <v>159</v>
      </c>
      <c r="I301" t="s">
        <v>249</v>
      </c>
      <c r="J301" t="s">
        <v>1776</v>
      </c>
      <c r="K301">
        <v>2.9706900793179998E-4</v>
      </c>
      <c r="L301" t="s">
        <v>251</v>
      </c>
      <c r="N301" t="s">
        <v>419</v>
      </c>
      <c r="O301" t="s">
        <v>1776</v>
      </c>
      <c r="P301">
        <v>1.4337771087354846E-5</v>
      </c>
      <c r="Q301" t="s">
        <v>251</v>
      </c>
      <c r="S301" t="s">
        <v>420</v>
      </c>
      <c r="T301" t="s">
        <v>1776</v>
      </c>
      <c r="U301">
        <v>1.7869875458696444E-5</v>
      </c>
      <c r="V301" t="s">
        <v>251</v>
      </c>
      <c r="X301">
        <v>1.1415525114155251E-4</v>
      </c>
      <c r="Y301">
        <v>1.408812536774151E-4</v>
      </c>
      <c r="Z301" t="s">
        <v>1776</v>
      </c>
      <c r="AA301" t="s">
        <v>25</v>
      </c>
      <c r="AC301" t="s">
        <v>22</v>
      </c>
      <c r="AD301" t="s">
        <v>1776</v>
      </c>
      <c r="AE301">
        <v>9.3701056730976378E-5</v>
      </c>
      <c r="AG301" t="s">
        <v>97</v>
      </c>
      <c r="AH301" t="s">
        <v>1776</v>
      </c>
      <c r="AI301">
        <v>0</v>
      </c>
    </row>
    <row r="302" spans="5:35" x14ac:dyDescent="0.45">
      <c r="E302" t="s">
        <v>1505</v>
      </c>
      <c r="G302" t="s">
        <v>159</v>
      </c>
      <c r="I302" t="s">
        <v>249</v>
      </c>
      <c r="J302" t="s">
        <v>1777</v>
      </c>
      <c r="K302">
        <v>2.9768227043899998E-4</v>
      </c>
      <c r="L302" t="s">
        <v>251</v>
      </c>
      <c r="N302" t="s">
        <v>419</v>
      </c>
      <c r="O302" t="s">
        <v>1777</v>
      </c>
      <c r="P302">
        <v>1.13127239044717E-5</v>
      </c>
      <c r="Q302" t="s">
        <v>251</v>
      </c>
      <c r="S302" t="s">
        <v>420</v>
      </c>
      <c r="T302" t="s">
        <v>1777</v>
      </c>
      <c r="U302">
        <v>2.2752947002768533E-5</v>
      </c>
      <c r="V302" t="s">
        <v>251</v>
      </c>
      <c r="X302">
        <v>1.1415525114155251E-4</v>
      </c>
      <c r="Y302">
        <v>1.4054976837464471E-4</v>
      </c>
      <c r="Z302" t="s">
        <v>1777</v>
      </c>
      <c r="AA302" t="s">
        <v>25</v>
      </c>
      <c r="AC302" t="s">
        <v>22</v>
      </c>
      <c r="AD302" t="s">
        <v>1777</v>
      </c>
      <c r="AE302">
        <v>1.0083730438701186E-4</v>
      </c>
      <c r="AG302" t="s">
        <v>97</v>
      </c>
      <c r="AH302" t="s">
        <v>1777</v>
      </c>
      <c r="AI302">
        <v>0</v>
      </c>
    </row>
    <row r="303" spans="5:35" x14ac:dyDescent="0.45">
      <c r="E303" t="s">
        <v>1506</v>
      </c>
      <c r="G303" t="s">
        <v>159</v>
      </c>
      <c r="I303" t="s">
        <v>249</v>
      </c>
      <c r="J303" t="s">
        <v>1778</v>
      </c>
      <c r="K303">
        <v>2.8975888460749998E-4</v>
      </c>
      <c r="L303" t="s">
        <v>251</v>
      </c>
      <c r="N303" t="s">
        <v>419</v>
      </c>
      <c r="O303" t="s">
        <v>1778</v>
      </c>
      <c r="P303">
        <v>1.1568796952630338E-5</v>
      </c>
      <c r="Q303" t="s">
        <v>251</v>
      </c>
      <c r="S303" t="s">
        <v>420</v>
      </c>
      <c r="T303" t="s">
        <v>1778</v>
      </c>
      <c r="U303">
        <v>2.847998277335034E-5</v>
      </c>
      <c r="V303" t="s">
        <v>251</v>
      </c>
      <c r="X303">
        <v>1.1415525114155251E-4</v>
      </c>
      <c r="Y303">
        <v>1.4253868019126702E-4</v>
      </c>
      <c r="Z303" t="s">
        <v>1778</v>
      </c>
      <c r="AA303" t="s">
        <v>25</v>
      </c>
      <c r="AC303" t="s">
        <v>22</v>
      </c>
      <c r="AD303" t="s">
        <v>1778</v>
      </c>
      <c r="AE303">
        <v>1.090156165443175E-4</v>
      </c>
      <c r="AG303" t="s">
        <v>97</v>
      </c>
      <c r="AH303" t="s">
        <v>1778</v>
      </c>
      <c r="AI303">
        <v>0</v>
      </c>
    </row>
    <row r="304" spans="5:35" x14ac:dyDescent="0.45">
      <c r="E304" t="s">
        <v>1507</v>
      </c>
      <c r="G304" t="s">
        <v>159</v>
      </c>
      <c r="I304" t="s">
        <v>249</v>
      </c>
      <c r="J304" t="s">
        <v>1779</v>
      </c>
      <c r="K304">
        <v>2.8765498301360003E-4</v>
      </c>
      <c r="L304" t="s">
        <v>251</v>
      </c>
      <c r="N304" t="s">
        <v>419</v>
      </c>
      <c r="O304" t="s">
        <v>1779</v>
      </c>
      <c r="P304">
        <v>1.2133998948651928E-5</v>
      </c>
      <c r="Q304" t="s">
        <v>251</v>
      </c>
      <c r="S304" t="s">
        <v>420</v>
      </c>
      <c r="T304" t="s">
        <v>1779</v>
      </c>
      <c r="U304">
        <v>3.4466292385272222E-5</v>
      </c>
      <c r="V304" t="s">
        <v>251</v>
      </c>
      <c r="X304">
        <v>1.1415525114155251E-4</v>
      </c>
      <c r="Y304">
        <v>1.4883690094390442E-4</v>
      </c>
      <c r="Z304" t="s">
        <v>1779</v>
      </c>
      <c r="AA304" t="s">
        <v>25</v>
      </c>
      <c r="AC304" t="s">
        <v>22</v>
      </c>
      <c r="AD304" t="s">
        <v>1779</v>
      </c>
      <c r="AE304">
        <v>1.1606008995856167E-4</v>
      </c>
      <c r="AG304" t="s">
        <v>97</v>
      </c>
      <c r="AH304" t="s">
        <v>1779</v>
      </c>
      <c r="AI304">
        <v>0</v>
      </c>
    </row>
    <row r="305" spans="5:35" x14ac:dyDescent="0.45">
      <c r="E305" t="s">
        <v>1508</v>
      </c>
      <c r="G305" t="s">
        <v>159</v>
      </c>
      <c r="I305" t="s">
        <v>249</v>
      </c>
      <c r="J305" t="s">
        <v>1780</v>
      </c>
      <c r="K305">
        <v>2.8861591370910001E-4</v>
      </c>
      <c r="L305" t="s">
        <v>251</v>
      </c>
      <c r="N305" t="s">
        <v>419</v>
      </c>
      <c r="O305" t="s">
        <v>1780</v>
      </c>
      <c r="P305">
        <v>1.3336946922011525E-5</v>
      </c>
      <c r="Q305" t="s">
        <v>251</v>
      </c>
      <c r="S305" t="s">
        <v>420</v>
      </c>
      <c r="T305" t="s">
        <v>1780</v>
      </c>
      <c r="U305">
        <v>4.3213347503559268E-5</v>
      </c>
      <c r="V305" t="s">
        <v>251</v>
      </c>
      <c r="X305">
        <v>1.1415525114155251E-4</v>
      </c>
      <c r="Y305">
        <v>1.5049432745775637E-4</v>
      </c>
      <c r="Z305" t="s">
        <v>1780</v>
      </c>
      <c r="AA305" t="s">
        <v>25</v>
      </c>
      <c r="AC305" t="s">
        <v>22</v>
      </c>
      <c r="AD305" t="s">
        <v>1780</v>
      </c>
      <c r="AE305">
        <v>1.2004559983681933E-4</v>
      </c>
      <c r="AG305" t="s">
        <v>97</v>
      </c>
      <c r="AH305" t="s">
        <v>1780</v>
      </c>
      <c r="AI305">
        <v>0</v>
      </c>
    </row>
    <row r="306" spans="5:35" x14ac:dyDescent="0.45">
      <c r="E306" t="s">
        <v>1509</v>
      </c>
      <c r="G306" t="s">
        <v>159</v>
      </c>
      <c r="I306" t="s">
        <v>249</v>
      </c>
      <c r="J306" t="s">
        <v>1781</v>
      </c>
      <c r="K306">
        <v>2.7248763912870002E-4</v>
      </c>
      <c r="L306" t="s">
        <v>251</v>
      </c>
      <c r="N306" t="s">
        <v>419</v>
      </c>
      <c r="O306" t="s">
        <v>1781</v>
      </c>
      <c r="P306">
        <v>1.5099206210410129E-5</v>
      </c>
      <c r="Q306" t="s">
        <v>251</v>
      </c>
      <c r="S306" t="s">
        <v>420</v>
      </c>
      <c r="T306" t="s">
        <v>1781</v>
      </c>
      <c r="U306">
        <v>4.6870615929163883E-5</v>
      </c>
      <c r="V306" t="s">
        <v>251</v>
      </c>
      <c r="X306">
        <v>1.1415525114155251E-4</v>
      </c>
      <c r="Y306">
        <v>1.7237235744060203E-4</v>
      </c>
      <c r="Z306" t="s">
        <v>1781</v>
      </c>
      <c r="AA306" t="s">
        <v>25</v>
      </c>
      <c r="AC306" t="s">
        <v>22</v>
      </c>
      <c r="AD306" t="s">
        <v>1781</v>
      </c>
      <c r="AE306">
        <v>1.2129629066681276E-4</v>
      </c>
      <c r="AG306" t="s">
        <v>97</v>
      </c>
      <c r="AH306" t="s">
        <v>1781</v>
      </c>
      <c r="AI306">
        <v>0</v>
      </c>
    </row>
    <row r="307" spans="5:35" x14ac:dyDescent="0.45">
      <c r="E307" t="s">
        <v>1510</v>
      </c>
      <c r="G307" t="s">
        <v>159</v>
      </c>
      <c r="I307" t="s">
        <v>249</v>
      </c>
      <c r="J307" t="s">
        <v>1782</v>
      </c>
      <c r="K307">
        <v>2.510195375014E-4</v>
      </c>
      <c r="L307" t="s">
        <v>251</v>
      </c>
      <c r="N307" t="s">
        <v>419</v>
      </c>
      <c r="O307" t="s">
        <v>1782</v>
      </c>
      <c r="P307">
        <v>2.014841290660502E-5</v>
      </c>
      <c r="Q307" t="s">
        <v>251</v>
      </c>
      <c r="S307" t="s">
        <v>420</v>
      </c>
      <c r="T307" t="s">
        <v>1782</v>
      </c>
      <c r="U307">
        <v>4.1596429374324479E-5</v>
      </c>
      <c r="V307" t="s">
        <v>251</v>
      </c>
      <c r="X307">
        <v>1.1415525114155251E-4</v>
      </c>
      <c r="Y307">
        <v>2.2209515285616027E-4</v>
      </c>
      <c r="Z307" t="s">
        <v>1782</v>
      </c>
      <c r="AA307" t="s">
        <v>25</v>
      </c>
      <c r="AC307" t="s">
        <v>22</v>
      </c>
      <c r="AD307" t="s">
        <v>1782</v>
      </c>
      <c r="AE307">
        <v>1.222986041156791E-4</v>
      </c>
      <c r="AG307" t="s">
        <v>97</v>
      </c>
      <c r="AH307" t="s">
        <v>1782</v>
      </c>
      <c r="AI307">
        <v>0</v>
      </c>
    </row>
    <row r="308" spans="5:35" x14ac:dyDescent="0.45">
      <c r="E308" t="s">
        <v>1511</v>
      </c>
      <c r="G308" t="s">
        <v>159</v>
      </c>
      <c r="I308" t="s">
        <v>249</v>
      </c>
      <c r="J308" t="s">
        <v>1783</v>
      </c>
      <c r="K308">
        <v>2.151990565591E-4</v>
      </c>
      <c r="L308" t="s">
        <v>251</v>
      </c>
      <c r="N308" t="s">
        <v>419</v>
      </c>
      <c r="O308" t="s">
        <v>1783</v>
      </c>
      <c r="P308">
        <v>2.254843583595678E-5</v>
      </c>
      <c r="Q308" t="s">
        <v>251</v>
      </c>
      <c r="S308" t="s">
        <v>420</v>
      </c>
      <c r="T308" t="s">
        <v>1783</v>
      </c>
      <c r="U308">
        <v>3.8505871255295765E-5</v>
      </c>
      <c r="V308" t="s">
        <v>251</v>
      </c>
      <c r="X308">
        <v>1.1415525114155251E-4</v>
      </c>
      <c r="Y308">
        <v>2.2209515285616027E-4</v>
      </c>
      <c r="Z308" t="s">
        <v>1783</v>
      </c>
      <c r="AA308" t="s">
        <v>25</v>
      </c>
      <c r="AC308" t="s">
        <v>22</v>
      </c>
      <c r="AD308" t="s">
        <v>1783</v>
      </c>
      <c r="AE308">
        <v>1.2358931278366294E-4</v>
      </c>
      <c r="AG308" t="s">
        <v>97</v>
      </c>
      <c r="AH308" t="s">
        <v>1783</v>
      </c>
      <c r="AI308">
        <v>0</v>
      </c>
    </row>
    <row r="309" spans="5:35" x14ac:dyDescent="0.45">
      <c r="E309" t="s">
        <v>1512</v>
      </c>
      <c r="G309" t="s">
        <v>159</v>
      </c>
      <c r="I309" t="s">
        <v>249</v>
      </c>
      <c r="J309" t="s">
        <v>1784</v>
      </c>
      <c r="K309">
        <v>1.61215686912E-4</v>
      </c>
      <c r="L309" t="s">
        <v>251</v>
      </c>
      <c r="N309" t="s">
        <v>419</v>
      </c>
      <c r="O309" t="s">
        <v>1784</v>
      </c>
      <c r="P309">
        <v>2.6836447993092589E-5</v>
      </c>
      <c r="Q309" t="s">
        <v>251</v>
      </c>
      <c r="S309" t="s">
        <v>420</v>
      </c>
      <c r="T309" t="s">
        <v>1784</v>
      </c>
      <c r="U309">
        <v>3.884247365183318E-5</v>
      </c>
      <c r="V309" t="s">
        <v>251</v>
      </c>
      <c r="X309">
        <v>1.1415525114155251E-4</v>
      </c>
      <c r="Y309">
        <v>1.7237235744060203E-4</v>
      </c>
      <c r="Z309" t="s">
        <v>1784</v>
      </c>
      <c r="AA309" t="s">
        <v>25</v>
      </c>
      <c r="AC309" t="s">
        <v>22</v>
      </c>
      <c r="AD309" t="s">
        <v>1784</v>
      </c>
      <c r="AE309">
        <v>1.2483573504427074E-4</v>
      </c>
      <c r="AG309" t="s">
        <v>97</v>
      </c>
      <c r="AH309" t="s">
        <v>1784</v>
      </c>
      <c r="AI309">
        <v>0</v>
      </c>
    </row>
    <row r="310" spans="5:35" x14ac:dyDescent="0.45">
      <c r="E310" t="s">
        <v>1513</v>
      </c>
      <c r="G310" t="s">
        <v>159</v>
      </c>
      <c r="I310" t="s">
        <v>249</v>
      </c>
      <c r="J310" t="s">
        <v>1785</v>
      </c>
      <c r="K310">
        <v>6.8567815947427906E-5</v>
      </c>
      <c r="L310" t="s">
        <v>251</v>
      </c>
      <c r="N310" t="s">
        <v>419</v>
      </c>
      <c r="O310" t="s">
        <v>1785</v>
      </c>
      <c r="P310">
        <v>3.3606436068921854E-5</v>
      </c>
      <c r="Q310" t="s">
        <v>251</v>
      </c>
      <c r="S310" t="s">
        <v>420</v>
      </c>
      <c r="T310" t="s">
        <v>1785</v>
      </c>
      <c r="U310">
        <v>3.9490074922044097E-5</v>
      </c>
      <c r="V310" t="s">
        <v>251</v>
      </c>
      <c r="X310">
        <v>1.1415525114155251E-4</v>
      </c>
      <c r="Y310">
        <v>1.5579809230208258E-4</v>
      </c>
      <c r="Z310" t="s">
        <v>1785</v>
      </c>
      <c r="AA310" t="s">
        <v>25</v>
      </c>
      <c r="AC310" t="s">
        <v>22</v>
      </c>
      <c r="AD310" t="s">
        <v>1785</v>
      </c>
      <c r="AE310">
        <v>1.2681074874189047E-4</v>
      </c>
      <c r="AG310" t="s">
        <v>97</v>
      </c>
      <c r="AH310" t="s">
        <v>1785</v>
      </c>
      <c r="AI310">
        <v>0</v>
      </c>
    </row>
    <row r="311" spans="5:35" x14ac:dyDescent="0.45">
      <c r="E311" t="s">
        <v>1514</v>
      </c>
      <c r="G311" t="s">
        <v>159</v>
      </c>
      <c r="I311" t="s">
        <v>249</v>
      </c>
      <c r="J311" t="s">
        <v>1786</v>
      </c>
      <c r="K311">
        <v>0</v>
      </c>
      <c r="L311" t="s">
        <v>251</v>
      </c>
      <c r="N311" t="s">
        <v>419</v>
      </c>
      <c r="O311" t="s">
        <v>1786</v>
      </c>
      <c r="P311">
        <v>4.2529005488406291E-5</v>
      </c>
      <c r="Q311" t="s">
        <v>251</v>
      </c>
      <c r="S311" t="s">
        <v>420</v>
      </c>
      <c r="T311" t="s">
        <v>1786</v>
      </c>
      <c r="U311">
        <v>4.2321216894277322E-5</v>
      </c>
      <c r="V311" t="s">
        <v>251</v>
      </c>
      <c r="X311">
        <v>1.1415525114155251E-4</v>
      </c>
      <c r="Y311">
        <v>1.093901499142282E-4</v>
      </c>
      <c r="Z311" t="s">
        <v>1786</v>
      </c>
      <c r="AA311" t="s">
        <v>25</v>
      </c>
      <c r="AC311" t="s">
        <v>22</v>
      </c>
      <c r="AD311" t="s">
        <v>1786</v>
      </c>
      <c r="AE311">
        <v>1.2675899233808956E-4</v>
      </c>
      <c r="AG311" t="s">
        <v>97</v>
      </c>
      <c r="AH311" t="s">
        <v>1786</v>
      </c>
      <c r="AI311">
        <v>0</v>
      </c>
    </row>
    <row r="312" spans="5:35" x14ac:dyDescent="0.45">
      <c r="E312" t="s">
        <v>1515</v>
      </c>
      <c r="G312" t="s">
        <v>159</v>
      </c>
      <c r="I312" t="s">
        <v>249</v>
      </c>
      <c r="J312" t="s">
        <v>1787</v>
      </c>
      <c r="K312">
        <v>0</v>
      </c>
      <c r="L312" t="s">
        <v>251</v>
      </c>
      <c r="N312" t="s">
        <v>419</v>
      </c>
      <c r="O312" t="s">
        <v>1787</v>
      </c>
      <c r="P312">
        <v>4.7135870873388982E-5</v>
      </c>
      <c r="Q312" t="s">
        <v>251</v>
      </c>
      <c r="S312" t="s">
        <v>420</v>
      </c>
      <c r="T312" t="s">
        <v>1787</v>
      </c>
      <c r="U312">
        <v>5.0165732575164049E-5</v>
      </c>
      <c r="V312" t="s">
        <v>251</v>
      </c>
      <c r="X312">
        <v>1.1415525114155251E-4</v>
      </c>
      <c r="Y312">
        <v>7.9556472664893237E-5</v>
      </c>
      <c r="Z312" t="s">
        <v>1787</v>
      </c>
      <c r="AA312" t="s">
        <v>25</v>
      </c>
      <c r="AC312" t="s">
        <v>22</v>
      </c>
      <c r="AD312" t="s">
        <v>1787</v>
      </c>
      <c r="AE312">
        <v>1.2705352362569892E-4</v>
      </c>
      <c r="AG312" t="s">
        <v>97</v>
      </c>
      <c r="AH312" t="s">
        <v>1787</v>
      </c>
      <c r="AI312">
        <v>0</v>
      </c>
    </row>
    <row r="313" spans="5:35" x14ac:dyDescent="0.45">
      <c r="E313" t="s">
        <v>1516</v>
      </c>
      <c r="G313" t="s">
        <v>159</v>
      </c>
      <c r="I313" t="s">
        <v>249</v>
      </c>
      <c r="J313" t="s">
        <v>1788</v>
      </c>
      <c r="K313">
        <v>0</v>
      </c>
      <c r="L313" t="s">
        <v>251</v>
      </c>
      <c r="N313" t="s">
        <v>419</v>
      </c>
      <c r="O313" t="s">
        <v>1788</v>
      </c>
      <c r="P313">
        <v>4.8407411292016482E-5</v>
      </c>
      <c r="Q313" t="s">
        <v>251</v>
      </c>
      <c r="S313" t="s">
        <v>420</v>
      </c>
      <c r="T313" t="s">
        <v>1788</v>
      </c>
      <c r="U313">
        <v>5.7347778419208613E-5</v>
      </c>
      <c r="V313" t="s">
        <v>251</v>
      </c>
      <c r="X313">
        <v>1.1415525114155251E-4</v>
      </c>
      <c r="Y313">
        <v>5.6352501470966035E-5</v>
      </c>
      <c r="Z313" t="s">
        <v>1788</v>
      </c>
      <c r="AA313" t="s">
        <v>25</v>
      </c>
      <c r="AC313" t="s">
        <v>22</v>
      </c>
      <c r="AD313" t="s">
        <v>1788</v>
      </c>
      <c r="AE313">
        <v>1.2452012769531974E-4</v>
      </c>
      <c r="AG313" t="s">
        <v>97</v>
      </c>
      <c r="AH313" t="s">
        <v>1788</v>
      </c>
      <c r="AI313">
        <v>0</v>
      </c>
    </row>
    <row r="314" spans="5:35" x14ac:dyDescent="0.45">
      <c r="E314" t="s">
        <v>1517</v>
      </c>
      <c r="G314" t="s">
        <v>159</v>
      </c>
      <c r="I314" t="s">
        <v>249</v>
      </c>
      <c r="J314" t="s">
        <v>1789</v>
      </c>
      <c r="K314">
        <v>0</v>
      </c>
      <c r="L314" t="s">
        <v>251</v>
      </c>
      <c r="N314" t="s">
        <v>419</v>
      </c>
      <c r="O314" t="s">
        <v>1789</v>
      </c>
      <c r="P314">
        <v>4.6868883388343046E-5</v>
      </c>
      <c r="Q314" t="s">
        <v>251</v>
      </c>
      <c r="S314" t="s">
        <v>420</v>
      </c>
      <c r="T314" t="s">
        <v>1789</v>
      </c>
      <c r="U314">
        <v>5.6292128961204727E-5</v>
      </c>
      <c r="V314" t="s">
        <v>251</v>
      </c>
      <c r="X314">
        <v>1.1415525114155251E-4</v>
      </c>
      <c r="Y314">
        <v>2.9833677249334962E-5</v>
      </c>
      <c r="Z314" t="s">
        <v>1789</v>
      </c>
      <c r="AA314" t="s">
        <v>25</v>
      </c>
      <c r="AC314" t="s">
        <v>22</v>
      </c>
      <c r="AD314" t="s">
        <v>1789</v>
      </c>
      <c r="AE314">
        <v>1.254277322609421E-4</v>
      </c>
      <c r="AG314" t="s">
        <v>97</v>
      </c>
      <c r="AH314" t="s">
        <v>1789</v>
      </c>
      <c r="AI314">
        <v>0</v>
      </c>
    </row>
    <row r="315" spans="5:35" x14ac:dyDescent="0.45">
      <c r="E315" t="s">
        <v>1518</v>
      </c>
      <c r="G315" t="s">
        <v>159</v>
      </c>
      <c r="I315" t="s">
        <v>249</v>
      </c>
      <c r="J315" t="s">
        <v>1790</v>
      </c>
      <c r="K315">
        <v>0</v>
      </c>
      <c r="L315" t="s">
        <v>251</v>
      </c>
      <c r="N315" t="s">
        <v>419</v>
      </c>
      <c r="O315" t="s">
        <v>1790</v>
      </c>
      <c r="P315">
        <v>4.474629470308606E-5</v>
      </c>
      <c r="Q315" t="s">
        <v>251</v>
      </c>
      <c r="S315" t="s">
        <v>420</v>
      </c>
      <c r="T315" t="s">
        <v>1790</v>
      </c>
      <c r="U315">
        <v>6.001342362072858E-5</v>
      </c>
      <c r="V315" t="s">
        <v>251</v>
      </c>
      <c r="X315">
        <v>1.1415525114155251E-4</v>
      </c>
      <c r="Y315">
        <v>2.1546544680075254E-5</v>
      </c>
      <c r="Z315" t="s">
        <v>1790</v>
      </c>
      <c r="AA315" t="s">
        <v>25</v>
      </c>
      <c r="AC315" t="s">
        <v>22</v>
      </c>
      <c r="AD315" t="s">
        <v>1790</v>
      </c>
      <c r="AE315">
        <v>1.2400603186993634E-4</v>
      </c>
      <c r="AG315" t="s">
        <v>97</v>
      </c>
      <c r="AH315" t="s">
        <v>1790</v>
      </c>
      <c r="AI315">
        <v>0</v>
      </c>
    </row>
    <row r="316" spans="5:35" x14ac:dyDescent="0.45">
      <c r="E316" t="s">
        <v>1519</v>
      </c>
      <c r="G316" t="s">
        <v>159</v>
      </c>
      <c r="I316" t="s">
        <v>249</v>
      </c>
      <c r="J316" t="s">
        <v>1791</v>
      </c>
      <c r="K316">
        <v>0</v>
      </c>
      <c r="L316" t="s">
        <v>251</v>
      </c>
      <c r="N316" t="s">
        <v>419</v>
      </c>
      <c r="O316" t="s">
        <v>1791</v>
      </c>
      <c r="P316">
        <v>4.3439246542043815E-5</v>
      </c>
      <c r="Q316" t="s">
        <v>251</v>
      </c>
      <c r="S316" t="s">
        <v>420</v>
      </c>
      <c r="T316" t="s">
        <v>1791</v>
      </c>
      <c r="U316">
        <v>6.334181581219139E-5</v>
      </c>
      <c r="V316" t="s">
        <v>251</v>
      </c>
      <c r="X316">
        <v>1.1415525114155251E-4</v>
      </c>
      <c r="Y316">
        <v>1.4916838624667481E-5</v>
      </c>
      <c r="Z316" t="s">
        <v>1791</v>
      </c>
      <c r="AA316" t="s">
        <v>25</v>
      </c>
      <c r="AC316" t="s">
        <v>22</v>
      </c>
      <c r="AD316" t="s">
        <v>1791</v>
      </c>
      <c r="AE316">
        <v>1.2147583736659638E-4</v>
      </c>
      <c r="AG316" t="s">
        <v>97</v>
      </c>
      <c r="AH316" t="s">
        <v>1791</v>
      </c>
      <c r="AI316">
        <v>0</v>
      </c>
    </row>
    <row r="317" spans="5:35" x14ac:dyDescent="0.45">
      <c r="E317" t="s">
        <v>1520</v>
      </c>
      <c r="G317" t="s">
        <v>159</v>
      </c>
      <c r="I317" t="s">
        <v>249</v>
      </c>
      <c r="J317" t="s">
        <v>1792</v>
      </c>
      <c r="K317">
        <v>0</v>
      </c>
      <c r="L317" t="s">
        <v>251</v>
      </c>
      <c r="N317" t="s">
        <v>419</v>
      </c>
      <c r="O317" t="s">
        <v>1792</v>
      </c>
      <c r="P317">
        <v>4.0385285193210594E-5</v>
      </c>
      <c r="Q317" t="s">
        <v>251</v>
      </c>
      <c r="S317" t="s">
        <v>420</v>
      </c>
      <c r="T317" t="s">
        <v>1792</v>
      </c>
      <c r="U317">
        <v>6.7371292190598203E-5</v>
      </c>
      <c r="V317" t="s">
        <v>251</v>
      </c>
      <c r="X317">
        <v>1.1415525114155251E-4</v>
      </c>
      <c r="Y317">
        <v>1.6574265138519424E-5</v>
      </c>
      <c r="Z317" t="s">
        <v>1792</v>
      </c>
      <c r="AA317" t="s">
        <v>25</v>
      </c>
      <c r="AC317" t="s">
        <v>22</v>
      </c>
      <c r="AD317" t="s">
        <v>1792</v>
      </c>
      <c r="AE317">
        <v>1.1746551642878467E-4</v>
      </c>
      <c r="AG317" t="s">
        <v>97</v>
      </c>
      <c r="AH317" t="s">
        <v>1792</v>
      </c>
      <c r="AI317">
        <v>0</v>
      </c>
    </row>
    <row r="318" spans="5:35" x14ac:dyDescent="0.45">
      <c r="E318" t="s">
        <v>1521</v>
      </c>
      <c r="G318" t="s">
        <v>159</v>
      </c>
      <c r="I318" t="s">
        <v>249</v>
      </c>
      <c r="J318" t="s">
        <v>1793</v>
      </c>
      <c r="K318">
        <v>0</v>
      </c>
      <c r="L318" t="s">
        <v>251</v>
      </c>
      <c r="N318" t="s">
        <v>419</v>
      </c>
      <c r="O318" t="s">
        <v>1793</v>
      </c>
      <c r="P318">
        <v>3.1125797293389883E-5</v>
      </c>
      <c r="Q318" t="s">
        <v>251</v>
      </c>
      <c r="S318" t="s">
        <v>420</v>
      </c>
      <c r="T318" t="s">
        <v>1793</v>
      </c>
      <c r="U318">
        <v>7.0851269670599344E-5</v>
      </c>
      <c r="V318" t="s">
        <v>251</v>
      </c>
      <c r="X318">
        <v>1.1415525114155251E-4</v>
      </c>
      <c r="Y318">
        <v>1.4585353321897093E-5</v>
      </c>
      <c r="Z318" t="s">
        <v>1793</v>
      </c>
      <c r="AA318" t="s">
        <v>25</v>
      </c>
      <c r="AC318" t="s">
        <v>22</v>
      </c>
      <c r="AD318" t="s">
        <v>1793</v>
      </c>
      <c r="AE318">
        <v>1.0743357801576351E-4</v>
      </c>
      <c r="AG318" t="s">
        <v>97</v>
      </c>
      <c r="AH318" t="s">
        <v>1793</v>
      </c>
      <c r="AI318">
        <v>0</v>
      </c>
    </row>
    <row r="319" spans="5:35" x14ac:dyDescent="0.45">
      <c r="E319" t="s">
        <v>1522</v>
      </c>
      <c r="G319" t="s">
        <v>159</v>
      </c>
      <c r="I319" t="s">
        <v>249</v>
      </c>
      <c r="J319" t="s">
        <v>1794</v>
      </c>
      <c r="K319">
        <v>0</v>
      </c>
      <c r="L319" t="s">
        <v>251</v>
      </c>
      <c r="N319" t="s">
        <v>419</v>
      </c>
      <c r="O319" t="s">
        <v>1794</v>
      </c>
      <c r="P319">
        <v>2.9946394260347081E-5</v>
      </c>
      <c r="Q319" t="s">
        <v>251</v>
      </c>
      <c r="S319" t="s">
        <v>420</v>
      </c>
      <c r="T319" t="s">
        <v>1794</v>
      </c>
      <c r="U319">
        <v>6.85312481460864E-5</v>
      </c>
      <c r="V319" t="s">
        <v>251</v>
      </c>
      <c r="X319">
        <v>1.1415525114155251E-4</v>
      </c>
      <c r="Y319">
        <v>2.1215059377304864E-5</v>
      </c>
      <c r="Z319" t="s">
        <v>1794</v>
      </c>
      <c r="AA319" t="s">
        <v>25</v>
      </c>
      <c r="AC319" t="s">
        <v>22</v>
      </c>
      <c r="AD319" t="s">
        <v>1794</v>
      </c>
      <c r="AE319">
        <v>1.018188085601232E-4</v>
      </c>
      <c r="AG319" t="s">
        <v>97</v>
      </c>
      <c r="AH319" t="s">
        <v>1794</v>
      </c>
      <c r="AI319">
        <v>0</v>
      </c>
    </row>
    <row r="320" spans="5:35" x14ac:dyDescent="0.45">
      <c r="E320" t="s">
        <v>1523</v>
      </c>
      <c r="G320" t="s">
        <v>159</v>
      </c>
      <c r="I320" t="s">
        <v>249</v>
      </c>
      <c r="J320" t="s">
        <v>1795</v>
      </c>
      <c r="K320">
        <v>0</v>
      </c>
      <c r="L320" t="s">
        <v>251</v>
      </c>
      <c r="N320" t="s">
        <v>419</v>
      </c>
      <c r="O320" t="s">
        <v>1795</v>
      </c>
      <c r="P320">
        <v>3.226913363076141E-5</v>
      </c>
      <c r="Q320" t="s">
        <v>251</v>
      </c>
      <c r="S320" t="s">
        <v>420</v>
      </c>
      <c r="T320" t="s">
        <v>1795</v>
      </c>
      <c r="U320">
        <v>6.918882964876496E-5</v>
      </c>
      <c r="V320" t="s">
        <v>251</v>
      </c>
      <c r="X320">
        <v>1.1415525114155251E-4</v>
      </c>
      <c r="Y320">
        <v>5.7678442682047593E-5</v>
      </c>
      <c r="Z320" t="s">
        <v>1795</v>
      </c>
      <c r="AA320" t="s">
        <v>25</v>
      </c>
      <c r="AC320" t="s">
        <v>22</v>
      </c>
      <c r="AD320" t="s">
        <v>1795</v>
      </c>
      <c r="AE320">
        <v>9.3380380455879939E-5</v>
      </c>
      <c r="AG320" t="s">
        <v>97</v>
      </c>
      <c r="AH320" t="s">
        <v>1795</v>
      </c>
      <c r="AI320">
        <v>0</v>
      </c>
    </row>
    <row r="321" spans="5:35" x14ac:dyDescent="0.45">
      <c r="E321" t="s">
        <v>1524</v>
      </c>
      <c r="G321" t="s">
        <v>159</v>
      </c>
      <c r="I321" t="s">
        <v>249</v>
      </c>
      <c r="J321" t="s">
        <v>1796</v>
      </c>
      <c r="K321">
        <v>1.2352872479429999E-4</v>
      </c>
      <c r="L321" t="s">
        <v>251</v>
      </c>
      <c r="N321" t="s">
        <v>419</v>
      </c>
      <c r="O321" t="s">
        <v>1796</v>
      </c>
      <c r="P321">
        <v>2.9943461949890532E-5</v>
      </c>
      <c r="Q321" t="s">
        <v>251</v>
      </c>
      <c r="S321" t="s">
        <v>420</v>
      </c>
      <c r="T321" t="s">
        <v>1796</v>
      </c>
      <c r="U321">
        <v>7.9829682000587715E-5</v>
      </c>
      <c r="V321" t="s">
        <v>251</v>
      </c>
      <c r="X321">
        <v>1.1415525114155251E-4</v>
      </c>
      <c r="Y321">
        <v>1.6905750441289813E-4</v>
      </c>
      <c r="Z321" t="s">
        <v>1796</v>
      </c>
      <c r="AA321" t="s">
        <v>25</v>
      </c>
      <c r="AC321" t="s">
        <v>22</v>
      </c>
      <c r="AD321" t="s">
        <v>1796</v>
      </c>
      <c r="AE321">
        <v>8.9433821273266254E-5</v>
      </c>
      <c r="AG321" t="s">
        <v>97</v>
      </c>
      <c r="AH321" t="s">
        <v>1796</v>
      </c>
      <c r="AI321">
        <v>0</v>
      </c>
    </row>
    <row r="322" spans="5:35" x14ac:dyDescent="0.45">
      <c r="E322" t="s">
        <v>1525</v>
      </c>
      <c r="G322" t="s">
        <v>159</v>
      </c>
      <c r="I322" t="s">
        <v>249</v>
      </c>
      <c r="J322" t="s">
        <v>1797</v>
      </c>
      <c r="K322">
        <v>2.086320077031E-4</v>
      </c>
      <c r="L322" t="s">
        <v>251</v>
      </c>
      <c r="N322" t="s">
        <v>419</v>
      </c>
      <c r="O322" t="s">
        <v>1797</v>
      </c>
      <c r="P322">
        <v>2.4742857710518479E-5</v>
      </c>
      <c r="Q322" t="s">
        <v>251</v>
      </c>
      <c r="S322" t="s">
        <v>420</v>
      </c>
      <c r="T322" t="s">
        <v>1797</v>
      </c>
      <c r="U322">
        <v>9.8433871656036139E-5</v>
      </c>
      <c r="V322" t="s">
        <v>251</v>
      </c>
      <c r="X322">
        <v>1.1415525114155251E-4</v>
      </c>
      <c r="Y322">
        <v>1.9060404909297337E-4</v>
      </c>
      <c r="Z322" t="s">
        <v>1797</v>
      </c>
      <c r="AA322" t="s">
        <v>25</v>
      </c>
      <c r="AC322" t="s">
        <v>22</v>
      </c>
      <c r="AD322" t="s">
        <v>1797</v>
      </c>
      <c r="AE322">
        <v>8.5922922953574795E-5</v>
      </c>
      <c r="AG322" t="s">
        <v>97</v>
      </c>
      <c r="AH322" t="s">
        <v>1797</v>
      </c>
      <c r="AI322">
        <v>0</v>
      </c>
    </row>
    <row r="323" spans="5:35" x14ac:dyDescent="0.45">
      <c r="E323" t="s">
        <v>1526</v>
      </c>
      <c r="G323" t="s">
        <v>159</v>
      </c>
      <c r="I323" t="s">
        <v>249</v>
      </c>
      <c r="J323" t="s">
        <v>1798</v>
      </c>
      <c r="K323">
        <v>2.5668491061529999E-4</v>
      </c>
      <c r="L323" t="s">
        <v>251</v>
      </c>
      <c r="N323" t="s">
        <v>419</v>
      </c>
      <c r="O323" t="s">
        <v>1798</v>
      </c>
      <c r="P323">
        <v>2.6107275194100597E-5</v>
      </c>
      <c r="Q323" t="s">
        <v>251</v>
      </c>
      <c r="S323" t="s">
        <v>420</v>
      </c>
      <c r="T323" t="s">
        <v>1798</v>
      </c>
      <c r="U323">
        <v>1.2998140927679999E-4</v>
      </c>
      <c r="V323" t="s">
        <v>251</v>
      </c>
      <c r="X323">
        <v>1.1415525114155251E-4</v>
      </c>
      <c r="Y323">
        <v>1.4585353321897094E-4</v>
      </c>
      <c r="Z323" t="s">
        <v>1798</v>
      </c>
      <c r="AA323" t="s">
        <v>25</v>
      </c>
      <c r="AC323" t="s">
        <v>22</v>
      </c>
      <c r="AD323" t="s">
        <v>1798</v>
      </c>
      <c r="AE323">
        <v>8.572069947892995E-5</v>
      </c>
      <c r="AG323" t="s">
        <v>97</v>
      </c>
      <c r="AH323" t="s">
        <v>1798</v>
      </c>
      <c r="AI323">
        <v>0</v>
      </c>
    </row>
    <row r="324" spans="5:35" x14ac:dyDescent="0.45">
      <c r="E324" t="s">
        <v>1527</v>
      </c>
      <c r="G324" t="s">
        <v>159</v>
      </c>
      <c r="I324" t="s">
        <v>249</v>
      </c>
      <c r="J324" t="s">
        <v>1799</v>
      </c>
      <c r="K324">
        <v>2.849006263398E-4</v>
      </c>
      <c r="L324" t="s">
        <v>251</v>
      </c>
      <c r="N324" t="s">
        <v>419</v>
      </c>
      <c r="O324" t="s">
        <v>1799</v>
      </c>
      <c r="P324">
        <v>2.6054149917102741E-5</v>
      </c>
      <c r="Q324" t="s">
        <v>251</v>
      </c>
      <c r="S324" t="s">
        <v>420</v>
      </c>
      <c r="T324" t="s">
        <v>1799</v>
      </c>
      <c r="U324">
        <v>1.530167407378E-4</v>
      </c>
      <c r="V324" t="s">
        <v>251</v>
      </c>
      <c r="X324">
        <v>1.1415525114155251E-4</v>
      </c>
      <c r="Y324">
        <v>1.4452759200788939E-4</v>
      </c>
      <c r="Z324" t="s">
        <v>1799</v>
      </c>
      <c r="AA324" t="s">
        <v>25</v>
      </c>
      <c r="AC324" t="s">
        <v>22</v>
      </c>
      <c r="AD324" t="s">
        <v>1799</v>
      </c>
      <c r="AE324">
        <v>8.7449470080115413E-5</v>
      </c>
      <c r="AG324" t="s">
        <v>97</v>
      </c>
      <c r="AH324" t="s">
        <v>1799</v>
      </c>
      <c r="AI324">
        <v>0</v>
      </c>
    </row>
    <row r="325" spans="5:35" x14ac:dyDescent="0.45">
      <c r="E325" t="s">
        <v>1528</v>
      </c>
      <c r="G325" t="s">
        <v>159</v>
      </c>
      <c r="I325" t="s">
        <v>249</v>
      </c>
      <c r="J325" t="s">
        <v>1800</v>
      </c>
      <c r="K325">
        <v>2.9842006387390002E-4</v>
      </c>
      <c r="L325" t="s">
        <v>251</v>
      </c>
      <c r="N325" t="s">
        <v>419</v>
      </c>
      <c r="O325" t="s">
        <v>1800</v>
      </c>
      <c r="P325">
        <v>2.543662817206796E-5</v>
      </c>
      <c r="Q325" t="s">
        <v>251</v>
      </c>
      <c r="S325" t="s">
        <v>420</v>
      </c>
      <c r="T325" t="s">
        <v>1800</v>
      </c>
      <c r="U325">
        <v>1.559700590908E-4</v>
      </c>
      <c r="V325" t="s">
        <v>251</v>
      </c>
      <c r="X325">
        <v>1.1415525114155251E-4</v>
      </c>
      <c r="Y325">
        <v>1.408812536774151E-4</v>
      </c>
      <c r="Z325" t="s">
        <v>1800</v>
      </c>
      <c r="AA325" t="s">
        <v>25</v>
      </c>
      <c r="AC325" t="s">
        <v>22</v>
      </c>
      <c r="AD325" t="s">
        <v>1800</v>
      </c>
      <c r="AE325">
        <v>9.3943031258025023E-5</v>
      </c>
      <c r="AG325" t="s">
        <v>97</v>
      </c>
      <c r="AH325" t="s">
        <v>1800</v>
      </c>
      <c r="AI325">
        <v>0</v>
      </c>
    </row>
    <row r="326" spans="5:35" x14ac:dyDescent="0.45">
      <c r="E326" t="s">
        <v>1529</v>
      </c>
      <c r="G326" t="s">
        <v>159</v>
      </c>
      <c r="I326" t="s">
        <v>249</v>
      </c>
      <c r="J326" t="s">
        <v>1801</v>
      </c>
      <c r="K326">
        <v>2.9945321675240003E-4</v>
      </c>
      <c r="L326" t="s">
        <v>251</v>
      </c>
      <c r="N326" t="s">
        <v>419</v>
      </c>
      <c r="O326" t="s">
        <v>1801</v>
      </c>
      <c r="P326">
        <v>2.5012486781739348E-5</v>
      </c>
      <c r="Q326" t="s">
        <v>251</v>
      </c>
      <c r="S326" t="s">
        <v>420</v>
      </c>
      <c r="T326" t="s">
        <v>1801</v>
      </c>
      <c r="U326">
        <v>1.4117962619170001E-4</v>
      </c>
      <c r="V326" t="s">
        <v>251</v>
      </c>
      <c r="X326">
        <v>1.1415525114155251E-4</v>
      </c>
      <c r="Y326">
        <v>1.4054976837464471E-4</v>
      </c>
      <c r="Z326" t="s">
        <v>1801</v>
      </c>
      <c r="AA326" t="s">
        <v>25</v>
      </c>
      <c r="AC326" t="s">
        <v>22</v>
      </c>
      <c r="AD326" t="s">
        <v>1801</v>
      </c>
      <c r="AE326">
        <v>1.0129510845362209E-4</v>
      </c>
      <c r="AG326" t="s">
        <v>97</v>
      </c>
      <c r="AH326" t="s">
        <v>1801</v>
      </c>
      <c r="AI326">
        <v>0</v>
      </c>
    </row>
    <row r="327" spans="5:35" x14ac:dyDescent="0.45">
      <c r="E327" t="s">
        <v>1530</v>
      </c>
      <c r="G327" t="s">
        <v>159</v>
      </c>
      <c r="I327" t="s">
        <v>249</v>
      </c>
      <c r="J327" t="s">
        <v>1802</v>
      </c>
      <c r="K327">
        <v>2.9260944524850001E-4</v>
      </c>
      <c r="L327" t="s">
        <v>251</v>
      </c>
      <c r="N327" t="s">
        <v>419</v>
      </c>
      <c r="O327" t="s">
        <v>1802</v>
      </c>
      <c r="P327">
        <v>2.6921721050455267E-5</v>
      </c>
      <c r="Q327" t="s">
        <v>251</v>
      </c>
      <c r="S327" t="s">
        <v>420</v>
      </c>
      <c r="T327" t="s">
        <v>1802</v>
      </c>
      <c r="U327">
        <v>1.3026417464070001E-4</v>
      </c>
      <c r="V327" t="s">
        <v>251</v>
      </c>
      <c r="X327">
        <v>1.1415525114155251E-4</v>
      </c>
      <c r="Y327">
        <v>1.4253868019126702E-4</v>
      </c>
      <c r="Z327" t="s">
        <v>1802</v>
      </c>
      <c r="AA327" t="s">
        <v>25</v>
      </c>
      <c r="AC327" t="s">
        <v>22</v>
      </c>
      <c r="AD327" t="s">
        <v>1802</v>
      </c>
      <c r="AE327">
        <v>1.0952704451383486E-4</v>
      </c>
      <c r="AG327" t="s">
        <v>97</v>
      </c>
      <c r="AH327" t="s">
        <v>1802</v>
      </c>
      <c r="AI327">
        <v>0</v>
      </c>
    </row>
    <row r="328" spans="5:35" x14ac:dyDescent="0.45">
      <c r="E328" t="s">
        <v>1531</v>
      </c>
      <c r="G328" t="s">
        <v>159</v>
      </c>
      <c r="I328" t="s">
        <v>249</v>
      </c>
      <c r="J328" t="s">
        <v>1803</v>
      </c>
      <c r="K328">
        <v>2.9062179833310001E-4</v>
      </c>
      <c r="L328" t="s">
        <v>251</v>
      </c>
      <c r="N328" t="s">
        <v>419</v>
      </c>
      <c r="O328" t="s">
        <v>1803</v>
      </c>
      <c r="P328">
        <v>2.8137792715131037E-5</v>
      </c>
      <c r="Q328" t="s">
        <v>251</v>
      </c>
      <c r="S328" t="s">
        <v>420</v>
      </c>
      <c r="T328" t="s">
        <v>1803</v>
      </c>
      <c r="U328">
        <v>1.185900983158E-4</v>
      </c>
      <c r="V328" t="s">
        <v>251</v>
      </c>
      <c r="X328">
        <v>1.1415525114155251E-4</v>
      </c>
      <c r="Y328">
        <v>1.4883690094390442E-4</v>
      </c>
      <c r="Z328" t="s">
        <v>1803</v>
      </c>
      <c r="AA328" t="s">
        <v>25</v>
      </c>
      <c r="AC328" t="s">
        <v>22</v>
      </c>
      <c r="AD328" t="s">
        <v>1803</v>
      </c>
      <c r="AE328">
        <v>1.1606008995856167E-4</v>
      </c>
      <c r="AG328" t="s">
        <v>97</v>
      </c>
      <c r="AH328" t="s">
        <v>1803</v>
      </c>
      <c r="AI328">
        <v>0</v>
      </c>
    </row>
    <row r="329" spans="5:35" x14ac:dyDescent="0.45">
      <c r="E329" t="s">
        <v>1532</v>
      </c>
      <c r="G329" t="s">
        <v>159</v>
      </c>
      <c r="I329" t="s">
        <v>249</v>
      </c>
      <c r="J329" t="s">
        <v>1804</v>
      </c>
      <c r="K329">
        <v>2.7850020683389999E-4</v>
      </c>
      <c r="L329" t="s">
        <v>251</v>
      </c>
      <c r="N329" t="s">
        <v>419</v>
      </c>
      <c r="O329" t="s">
        <v>1804</v>
      </c>
      <c r="P329">
        <v>2.8211532196142697E-5</v>
      </c>
      <c r="Q329" t="s">
        <v>251</v>
      </c>
      <c r="S329" t="s">
        <v>420</v>
      </c>
      <c r="T329" t="s">
        <v>1804</v>
      </c>
      <c r="U329">
        <v>1.07879942991E-4</v>
      </c>
      <c r="V329" t="s">
        <v>251</v>
      </c>
      <c r="X329">
        <v>1.1415525114155251E-4</v>
      </c>
      <c r="Y329">
        <v>1.5049432745775637E-4</v>
      </c>
      <c r="Z329" t="s">
        <v>1804</v>
      </c>
      <c r="AA329" t="s">
        <v>25</v>
      </c>
      <c r="AC329" t="s">
        <v>22</v>
      </c>
      <c r="AD329" t="s">
        <v>1804</v>
      </c>
      <c r="AE329">
        <v>1.2004559983681933E-4</v>
      </c>
      <c r="AG329" t="s">
        <v>97</v>
      </c>
      <c r="AH329" t="s">
        <v>1804</v>
      </c>
      <c r="AI329">
        <v>0</v>
      </c>
    </row>
    <row r="330" spans="5:35" x14ac:dyDescent="0.45">
      <c r="E330" t="s">
        <v>1533</v>
      </c>
      <c r="G330" t="s">
        <v>159</v>
      </c>
      <c r="I330" t="s">
        <v>249</v>
      </c>
      <c r="J330" t="s">
        <v>1805</v>
      </c>
      <c r="K330">
        <v>2.6545310861309998E-4</v>
      </c>
      <c r="L330" t="s">
        <v>251</v>
      </c>
      <c r="N330" t="s">
        <v>419</v>
      </c>
      <c r="O330" t="s">
        <v>1805</v>
      </c>
      <c r="P330">
        <v>3.094938573718234E-5</v>
      </c>
      <c r="Q330" t="s">
        <v>251</v>
      </c>
      <c r="S330" t="s">
        <v>420</v>
      </c>
      <c r="T330" t="s">
        <v>1805</v>
      </c>
      <c r="U330">
        <v>9.9970064981154524E-5</v>
      </c>
      <c r="V330" t="s">
        <v>251</v>
      </c>
      <c r="X330">
        <v>1.1415525114155251E-4</v>
      </c>
      <c r="Y330">
        <v>1.7237235744060203E-4</v>
      </c>
      <c r="Z330" t="s">
        <v>1805</v>
      </c>
      <c r="AA330" t="s">
        <v>25</v>
      </c>
      <c r="AC330" t="s">
        <v>22</v>
      </c>
      <c r="AD330" t="s">
        <v>1805</v>
      </c>
      <c r="AE330">
        <v>1.2179971506873205E-4</v>
      </c>
      <c r="AG330" t="s">
        <v>97</v>
      </c>
      <c r="AH330" t="s">
        <v>1805</v>
      </c>
      <c r="AI330">
        <v>0</v>
      </c>
    </row>
    <row r="331" spans="5:35" x14ac:dyDescent="0.45">
      <c r="E331" t="s">
        <v>1534</v>
      </c>
      <c r="G331" t="s">
        <v>159</v>
      </c>
      <c r="I331" t="s">
        <v>249</v>
      </c>
      <c r="J331" t="s">
        <v>1806</v>
      </c>
      <c r="K331">
        <v>2.363134427412E-4</v>
      </c>
      <c r="L331" t="s">
        <v>251</v>
      </c>
      <c r="N331" t="s">
        <v>419</v>
      </c>
      <c r="O331" t="s">
        <v>1806</v>
      </c>
      <c r="P331">
        <v>3.2471177056233744E-5</v>
      </c>
      <c r="Q331" t="s">
        <v>251</v>
      </c>
      <c r="S331" t="s">
        <v>420</v>
      </c>
      <c r="T331" t="s">
        <v>1806</v>
      </c>
      <c r="U331">
        <v>7.4855016096677011E-5</v>
      </c>
      <c r="V331" t="s">
        <v>251</v>
      </c>
      <c r="X331">
        <v>1.1415525114155251E-4</v>
      </c>
      <c r="Y331">
        <v>2.2209515285616027E-4</v>
      </c>
      <c r="Z331" t="s">
        <v>1806</v>
      </c>
      <c r="AA331" t="s">
        <v>25</v>
      </c>
      <c r="AC331" t="s">
        <v>22</v>
      </c>
      <c r="AD331" t="s">
        <v>1806</v>
      </c>
      <c r="AE331">
        <v>1.2358931278366294E-4</v>
      </c>
      <c r="AG331" t="s">
        <v>97</v>
      </c>
      <c r="AH331" t="s">
        <v>1806</v>
      </c>
      <c r="AI331">
        <v>0</v>
      </c>
    </row>
    <row r="332" spans="5:35" x14ac:dyDescent="0.45">
      <c r="E332" t="s">
        <v>1535</v>
      </c>
      <c r="G332" t="s">
        <v>159</v>
      </c>
      <c r="I332" t="s">
        <v>249</v>
      </c>
      <c r="J332" t="s">
        <v>1807</v>
      </c>
      <c r="K332">
        <v>1.9783834576320001E-4</v>
      </c>
      <c r="L332" t="s">
        <v>251</v>
      </c>
      <c r="N332" t="s">
        <v>419</v>
      </c>
      <c r="O332" t="s">
        <v>1807</v>
      </c>
      <c r="P332">
        <v>3.2326508956059598E-5</v>
      </c>
      <c r="Q332" t="s">
        <v>251</v>
      </c>
      <c r="S332" t="s">
        <v>420</v>
      </c>
      <c r="T332" t="s">
        <v>1807</v>
      </c>
      <c r="U332">
        <v>6.8876655028818508E-5</v>
      </c>
      <c r="V332" t="s">
        <v>251</v>
      </c>
      <c r="X332">
        <v>1.1415525114155251E-4</v>
      </c>
      <c r="Y332">
        <v>2.2209515285616027E-4</v>
      </c>
      <c r="Z332" t="s">
        <v>1807</v>
      </c>
      <c r="AA332" t="s">
        <v>25</v>
      </c>
      <c r="AC332" t="s">
        <v>22</v>
      </c>
      <c r="AD332" t="s">
        <v>1807</v>
      </c>
      <c r="AE332">
        <v>1.2476290257912819E-4</v>
      </c>
      <c r="AG332" t="s">
        <v>97</v>
      </c>
      <c r="AH332" t="s">
        <v>1807</v>
      </c>
      <c r="AI332">
        <v>0</v>
      </c>
    </row>
    <row r="333" spans="5:35" x14ac:dyDescent="0.45">
      <c r="E333" t="s">
        <v>1536</v>
      </c>
      <c r="G333" t="s">
        <v>159</v>
      </c>
      <c r="I333" t="s">
        <v>249</v>
      </c>
      <c r="J333" t="s">
        <v>1808</v>
      </c>
      <c r="K333">
        <v>1.396862053191E-4</v>
      </c>
      <c r="L333" t="s">
        <v>251</v>
      </c>
      <c r="N333" t="s">
        <v>419</v>
      </c>
      <c r="O333" t="s">
        <v>1808</v>
      </c>
      <c r="P333">
        <v>3.4578846996158194E-5</v>
      </c>
      <c r="Q333" t="s">
        <v>251</v>
      </c>
      <c r="S333" t="s">
        <v>420</v>
      </c>
      <c r="T333" t="s">
        <v>1808</v>
      </c>
      <c r="U333">
        <v>7.3577459620427767E-5</v>
      </c>
      <c r="V333" t="s">
        <v>251</v>
      </c>
      <c r="X333">
        <v>1.1415525114155251E-4</v>
      </c>
      <c r="Y333">
        <v>1.7237235744060203E-4</v>
      </c>
      <c r="Z333" t="s">
        <v>1808</v>
      </c>
      <c r="AA333" t="s">
        <v>25</v>
      </c>
      <c r="AC333" t="s">
        <v>22</v>
      </c>
      <c r="AD333" t="s">
        <v>1808</v>
      </c>
      <c r="AE333">
        <v>1.2726508459587487E-4</v>
      </c>
      <c r="AG333" t="s">
        <v>97</v>
      </c>
      <c r="AH333" t="s">
        <v>1808</v>
      </c>
      <c r="AI333">
        <v>0</v>
      </c>
    </row>
    <row r="334" spans="5:35" x14ac:dyDescent="0.45">
      <c r="E334" t="s">
        <v>1537</v>
      </c>
      <c r="G334" t="s">
        <v>159</v>
      </c>
      <c r="I334" t="s">
        <v>249</v>
      </c>
      <c r="J334" t="s">
        <v>1809</v>
      </c>
      <c r="K334">
        <v>5.8653037858682737E-5</v>
      </c>
      <c r="L334" t="s">
        <v>251</v>
      </c>
      <c r="N334" t="s">
        <v>419</v>
      </c>
      <c r="O334" t="s">
        <v>1809</v>
      </c>
      <c r="P334">
        <v>4.2102754510945399E-5</v>
      </c>
      <c r="Q334" t="s">
        <v>251</v>
      </c>
      <c r="S334" t="s">
        <v>420</v>
      </c>
      <c r="T334" t="s">
        <v>1809</v>
      </c>
      <c r="U334">
        <v>7.4569640218439173E-5</v>
      </c>
      <c r="V334" t="s">
        <v>251</v>
      </c>
      <c r="X334">
        <v>1.1415525114155251E-4</v>
      </c>
      <c r="Y334">
        <v>1.5579809230208258E-4</v>
      </c>
      <c r="Z334" t="s">
        <v>1809</v>
      </c>
      <c r="AA334" t="s">
        <v>25</v>
      </c>
      <c r="AC334" t="s">
        <v>22</v>
      </c>
      <c r="AD334" t="s">
        <v>1809</v>
      </c>
      <c r="AE334">
        <v>1.2783573896561805E-4</v>
      </c>
      <c r="AG334" t="s">
        <v>97</v>
      </c>
      <c r="AH334" t="s">
        <v>1809</v>
      </c>
      <c r="AI334">
        <v>0</v>
      </c>
    </row>
    <row r="335" spans="5:35" x14ac:dyDescent="0.45">
      <c r="E335" t="s">
        <v>1538</v>
      </c>
      <c r="G335" t="s">
        <v>159</v>
      </c>
      <c r="I335" t="s">
        <v>249</v>
      </c>
      <c r="J335" t="s">
        <v>1810</v>
      </c>
      <c r="K335">
        <v>0</v>
      </c>
      <c r="L335" t="s">
        <v>251</v>
      </c>
      <c r="N335" t="s">
        <v>419</v>
      </c>
      <c r="O335" t="s">
        <v>1810</v>
      </c>
      <c r="P335">
        <v>5.1070718677202077E-5</v>
      </c>
      <c r="Q335" t="s">
        <v>251</v>
      </c>
      <c r="S335" t="s">
        <v>420</v>
      </c>
      <c r="T335" t="s">
        <v>1810</v>
      </c>
      <c r="U335">
        <v>7.5389514851821813E-5</v>
      </c>
      <c r="V335" t="s">
        <v>251</v>
      </c>
      <c r="X335">
        <v>1.1415525114155251E-4</v>
      </c>
      <c r="Y335">
        <v>1.093901499142282E-4</v>
      </c>
      <c r="Z335" t="s">
        <v>1810</v>
      </c>
      <c r="AA335" t="s">
        <v>25</v>
      </c>
      <c r="AC335" t="s">
        <v>22</v>
      </c>
      <c r="AD335" t="s">
        <v>1810</v>
      </c>
      <c r="AE335">
        <v>1.2829621088809428E-4</v>
      </c>
      <c r="AG335" t="s">
        <v>97</v>
      </c>
      <c r="AH335" t="s">
        <v>1810</v>
      </c>
      <c r="AI335">
        <v>0</v>
      </c>
    </row>
    <row r="336" spans="5:35" x14ac:dyDescent="0.45">
      <c r="E336" t="s">
        <v>1539</v>
      </c>
      <c r="G336" t="s">
        <v>159</v>
      </c>
      <c r="I336" t="s">
        <v>249</v>
      </c>
      <c r="J336" t="s">
        <v>1811</v>
      </c>
      <c r="K336">
        <v>0</v>
      </c>
      <c r="L336" t="s">
        <v>251</v>
      </c>
      <c r="N336" t="s">
        <v>419</v>
      </c>
      <c r="O336" t="s">
        <v>1811</v>
      </c>
      <c r="P336">
        <v>5.6455821053043432E-5</v>
      </c>
      <c r="Q336" t="s">
        <v>251</v>
      </c>
      <c r="S336" t="s">
        <v>420</v>
      </c>
      <c r="T336" t="s">
        <v>1811</v>
      </c>
      <c r="U336">
        <v>7.4907984638596873E-5</v>
      </c>
      <c r="V336" t="s">
        <v>251</v>
      </c>
      <c r="X336">
        <v>1.1415525114155251E-4</v>
      </c>
      <c r="Y336">
        <v>7.9556472664893237E-5</v>
      </c>
      <c r="Z336" t="s">
        <v>1811</v>
      </c>
      <c r="AA336" t="s">
        <v>25</v>
      </c>
      <c r="AC336" t="s">
        <v>22</v>
      </c>
      <c r="AD336" t="s">
        <v>1811</v>
      </c>
      <c r="AE336">
        <v>1.2778158149153769E-4</v>
      </c>
      <c r="AG336" t="s">
        <v>97</v>
      </c>
      <c r="AH336" t="s">
        <v>1811</v>
      </c>
      <c r="AI336">
        <v>0</v>
      </c>
    </row>
    <row r="337" spans="5:35" x14ac:dyDescent="0.45">
      <c r="E337" t="s">
        <v>1540</v>
      </c>
      <c r="G337" t="s">
        <v>159</v>
      </c>
      <c r="I337" t="s">
        <v>249</v>
      </c>
      <c r="J337" t="s">
        <v>1812</v>
      </c>
      <c r="K337">
        <v>0</v>
      </c>
      <c r="L337" t="s">
        <v>251</v>
      </c>
      <c r="N337" t="s">
        <v>419</v>
      </c>
      <c r="O337" t="s">
        <v>1812</v>
      </c>
      <c r="P337">
        <v>5.70977949498072E-5</v>
      </c>
      <c r="Q337" t="s">
        <v>251</v>
      </c>
      <c r="S337" t="s">
        <v>420</v>
      </c>
      <c r="T337" t="s">
        <v>1812</v>
      </c>
      <c r="U337">
        <v>7.2633859052389669E-5</v>
      </c>
      <c r="V337" t="s">
        <v>251</v>
      </c>
      <c r="X337">
        <v>1.1415525114155251E-4</v>
      </c>
      <c r="Y337">
        <v>5.6352501470966035E-5</v>
      </c>
      <c r="Z337" t="s">
        <v>1812</v>
      </c>
      <c r="AA337" t="s">
        <v>25</v>
      </c>
      <c r="AC337" t="s">
        <v>22</v>
      </c>
      <c r="AD337" t="s">
        <v>1812</v>
      </c>
      <c r="AE337">
        <v>1.2705805898067119E-4</v>
      </c>
      <c r="AG337" t="s">
        <v>97</v>
      </c>
      <c r="AH337" t="s">
        <v>1812</v>
      </c>
      <c r="AI337">
        <v>0</v>
      </c>
    </row>
    <row r="338" spans="5:35" x14ac:dyDescent="0.45">
      <c r="E338" t="s">
        <v>1541</v>
      </c>
      <c r="G338" t="s">
        <v>159</v>
      </c>
      <c r="I338" t="s">
        <v>249</v>
      </c>
      <c r="J338" t="s">
        <v>1813</v>
      </c>
      <c r="K338">
        <v>0</v>
      </c>
      <c r="L338" t="s">
        <v>251</v>
      </c>
      <c r="N338" t="s">
        <v>419</v>
      </c>
      <c r="O338" t="s">
        <v>1813</v>
      </c>
      <c r="P338">
        <v>5.8845808474145951E-5</v>
      </c>
      <c r="Q338" t="s">
        <v>251</v>
      </c>
      <c r="S338" t="s">
        <v>420</v>
      </c>
      <c r="T338" t="s">
        <v>1813</v>
      </c>
      <c r="U338">
        <v>6.9973518268354626E-5</v>
      </c>
      <c r="V338" t="s">
        <v>251</v>
      </c>
      <c r="X338">
        <v>1.1415525114155251E-4</v>
      </c>
      <c r="Y338">
        <v>2.9833677249334962E-5</v>
      </c>
      <c r="Z338" t="s">
        <v>1813</v>
      </c>
      <c r="AA338" t="s">
        <v>25</v>
      </c>
      <c r="AC338" t="s">
        <v>22</v>
      </c>
      <c r="AD338" t="s">
        <v>1813</v>
      </c>
      <c r="AE338">
        <v>1.2796566354629355E-4</v>
      </c>
      <c r="AG338" t="s">
        <v>97</v>
      </c>
      <c r="AH338" t="s">
        <v>1813</v>
      </c>
      <c r="AI338">
        <v>0</v>
      </c>
    </row>
    <row r="339" spans="5:35" x14ac:dyDescent="0.45">
      <c r="E339" t="s">
        <v>1542</v>
      </c>
      <c r="G339" t="s">
        <v>159</v>
      </c>
      <c r="I339" t="s">
        <v>249</v>
      </c>
      <c r="J339" t="s">
        <v>1814</v>
      </c>
      <c r="K339">
        <v>0</v>
      </c>
      <c r="L339" t="s">
        <v>251</v>
      </c>
      <c r="N339" t="s">
        <v>419</v>
      </c>
      <c r="O339" t="s">
        <v>1814</v>
      </c>
      <c r="P339">
        <v>5.7463239701371431E-5</v>
      </c>
      <c r="Q339" t="s">
        <v>251</v>
      </c>
      <c r="S339" t="s">
        <v>420</v>
      </c>
      <c r="T339" t="s">
        <v>1814</v>
      </c>
      <c r="U339">
        <v>6.885124815836954E-5</v>
      </c>
      <c r="V339" t="s">
        <v>251</v>
      </c>
      <c r="X339">
        <v>1.1415525114155251E-4</v>
      </c>
      <c r="Y339">
        <v>2.1546544680075254E-5</v>
      </c>
      <c r="Z339" t="s">
        <v>1814</v>
      </c>
      <c r="AA339" t="s">
        <v>25</v>
      </c>
      <c r="AC339" t="s">
        <v>22</v>
      </c>
      <c r="AD339" t="s">
        <v>1814</v>
      </c>
      <c r="AE339">
        <v>1.2509718491914137E-4</v>
      </c>
      <c r="AG339" t="s">
        <v>97</v>
      </c>
      <c r="AH339" t="s">
        <v>1814</v>
      </c>
      <c r="AI339">
        <v>0</v>
      </c>
    </row>
    <row r="340" spans="5:35" x14ac:dyDescent="0.45">
      <c r="E340" t="s">
        <v>1543</v>
      </c>
      <c r="G340" t="s">
        <v>159</v>
      </c>
      <c r="I340" t="s">
        <v>249</v>
      </c>
      <c r="J340" t="s">
        <v>1815</v>
      </c>
      <c r="K340">
        <v>0</v>
      </c>
      <c r="L340" t="s">
        <v>251</v>
      </c>
      <c r="N340" t="s">
        <v>419</v>
      </c>
      <c r="O340" t="s">
        <v>1815</v>
      </c>
      <c r="P340">
        <v>5.6675666885982968E-5</v>
      </c>
      <c r="Q340" t="s">
        <v>251</v>
      </c>
      <c r="S340" t="s">
        <v>420</v>
      </c>
      <c r="T340" t="s">
        <v>1815</v>
      </c>
      <c r="U340">
        <v>6.8353088179185512E-5</v>
      </c>
      <c r="V340" t="s">
        <v>251</v>
      </c>
      <c r="X340">
        <v>1.1415525114155251E-4</v>
      </c>
      <c r="Y340">
        <v>1.4916838624667481E-5</v>
      </c>
      <c r="Z340" t="s">
        <v>1815</v>
      </c>
      <c r="AA340" t="s">
        <v>25</v>
      </c>
      <c r="AC340" t="s">
        <v>22</v>
      </c>
      <c r="AD340" t="s">
        <v>1815</v>
      </c>
      <c r="AE340">
        <v>1.2293382059738012E-4</v>
      </c>
      <c r="AG340" t="s">
        <v>97</v>
      </c>
      <c r="AH340" t="s">
        <v>1815</v>
      </c>
      <c r="AI340">
        <v>0</v>
      </c>
    </row>
    <row r="341" spans="5:35" x14ac:dyDescent="0.45">
      <c r="E341" t="s">
        <v>1544</v>
      </c>
      <c r="G341" t="s">
        <v>159</v>
      </c>
      <c r="I341" t="s">
        <v>249</v>
      </c>
      <c r="J341" t="s">
        <v>1816</v>
      </c>
      <c r="K341">
        <v>0</v>
      </c>
      <c r="L341" t="s">
        <v>251</v>
      </c>
      <c r="N341" t="s">
        <v>419</v>
      </c>
      <c r="O341" t="s">
        <v>1816</v>
      </c>
      <c r="P341">
        <v>5.7394322980311183E-5</v>
      </c>
      <c r="Q341" t="s">
        <v>251</v>
      </c>
      <c r="S341" t="s">
        <v>420</v>
      </c>
      <c r="T341" t="s">
        <v>1816</v>
      </c>
      <c r="U341">
        <v>6.4381630923966235E-5</v>
      </c>
      <c r="V341" t="s">
        <v>251</v>
      </c>
      <c r="X341">
        <v>1.1415525114155251E-4</v>
      </c>
      <c r="Y341">
        <v>1.6574265138519424E-5</v>
      </c>
      <c r="Z341" t="s">
        <v>1816</v>
      </c>
      <c r="AA341" t="s">
        <v>25</v>
      </c>
      <c r="AC341" t="s">
        <v>22</v>
      </c>
      <c r="AD341" t="s">
        <v>1816</v>
      </c>
      <c r="AE341">
        <v>1.1987405670463381E-4</v>
      </c>
      <c r="AG341" t="s">
        <v>97</v>
      </c>
      <c r="AH341" t="s">
        <v>1816</v>
      </c>
      <c r="AI341">
        <v>0</v>
      </c>
    </row>
    <row r="342" spans="5:35" x14ac:dyDescent="0.45">
      <c r="E342" t="s">
        <v>1545</v>
      </c>
      <c r="G342" t="s">
        <v>159</v>
      </c>
      <c r="I342" t="s">
        <v>249</v>
      </c>
      <c r="J342" t="s">
        <v>1817</v>
      </c>
      <c r="K342">
        <v>0</v>
      </c>
      <c r="L342" t="s">
        <v>251</v>
      </c>
      <c r="N342" t="s">
        <v>419</v>
      </c>
      <c r="O342" t="s">
        <v>1817</v>
      </c>
      <c r="P342">
        <v>5.2825538245469777E-5</v>
      </c>
      <c r="Q342" t="s">
        <v>251</v>
      </c>
      <c r="S342" t="s">
        <v>420</v>
      </c>
      <c r="T342" t="s">
        <v>1817</v>
      </c>
      <c r="U342">
        <v>5.7353622393067468E-5</v>
      </c>
      <c r="V342" t="s">
        <v>251</v>
      </c>
      <c r="X342">
        <v>1.1415525114155251E-4</v>
      </c>
      <c r="Y342">
        <v>1.4585353321897093E-5</v>
      </c>
      <c r="Z342" t="s">
        <v>1817</v>
      </c>
      <c r="AA342" t="s">
        <v>25</v>
      </c>
      <c r="AC342" t="s">
        <v>22</v>
      </c>
      <c r="AD342" t="s">
        <v>1817</v>
      </c>
      <c r="AE342">
        <v>1.0875683452531289E-4</v>
      </c>
      <c r="AG342" t="s">
        <v>97</v>
      </c>
      <c r="AH342" t="s">
        <v>1817</v>
      </c>
      <c r="AI342">
        <v>0</v>
      </c>
    </row>
    <row r="343" spans="5:35" x14ac:dyDescent="0.45">
      <c r="E343" t="s">
        <v>1546</v>
      </c>
      <c r="G343" t="s">
        <v>159</v>
      </c>
      <c r="I343" t="s">
        <v>249</v>
      </c>
      <c r="J343" t="s">
        <v>1818</v>
      </c>
      <c r="K343">
        <v>0</v>
      </c>
      <c r="L343" t="s">
        <v>251</v>
      </c>
      <c r="N343" t="s">
        <v>419</v>
      </c>
      <c r="O343" t="s">
        <v>1818</v>
      </c>
      <c r="P343">
        <v>4.6874076661185218E-5</v>
      </c>
      <c r="Q343" t="s">
        <v>251</v>
      </c>
      <c r="S343" t="s">
        <v>420</v>
      </c>
      <c r="T343" t="s">
        <v>1818</v>
      </c>
      <c r="U343">
        <v>4.3869275782555554E-5</v>
      </c>
      <c r="V343" t="s">
        <v>251</v>
      </c>
      <c r="X343">
        <v>1.1415525114155251E-4</v>
      </c>
      <c r="Y343">
        <v>2.1215059377304864E-5</v>
      </c>
      <c r="Z343" t="s">
        <v>1818</v>
      </c>
      <c r="AA343" t="s">
        <v>25</v>
      </c>
      <c r="AC343" t="s">
        <v>22</v>
      </c>
      <c r="AD343" t="s">
        <v>1818</v>
      </c>
      <c r="AE343">
        <v>1.0246122825266246E-4</v>
      </c>
      <c r="AG343" t="s">
        <v>97</v>
      </c>
      <c r="AH343" t="s">
        <v>1818</v>
      </c>
      <c r="AI343">
        <v>0</v>
      </c>
    </row>
    <row r="344" spans="5:35" x14ac:dyDescent="0.45">
      <c r="E344" t="s">
        <v>1547</v>
      </c>
      <c r="G344" t="s">
        <v>159</v>
      </c>
      <c r="I344" t="s">
        <v>249</v>
      </c>
      <c r="J344" t="s">
        <v>1819</v>
      </c>
      <c r="K344">
        <v>0</v>
      </c>
      <c r="L344" t="s">
        <v>251</v>
      </c>
      <c r="N344" t="s">
        <v>419</v>
      </c>
      <c r="O344" t="s">
        <v>1819</v>
      </c>
      <c r="P344">
        <v>4.6749634194806827E-5</v>
      </c>
      <c r="Q344" t="s">
        <v>251</v>
      </c>
      <c r="S344" t="s">
        <v>420</v>
      </c>
      <c r="T344" t="s">
        <v>1819</v>
      </c>
      <c r="U344">
        <v>3.8887237356795103E-5</v>
      </c>
      <c r="V344" t="s">
        <v>251</v>
      </c>
      <c r="X344">
        <v>1.1415525114155251E-4</v>
      </c>
      <c r="Y344">
        <v>5.7678442682047593E-5</v>
      </c>
      <c r="Z344" t="s">
        <v>1819</v>
      </c>
      <c r="AA344" t="s">
        <v>25</v>
      </c>
      <c r="AC344" t="s">
        <v>22</v>
      </c>
      <c r="AD344" t="s">
        <v>1819</v>
      </c>
      <c r="AE344">
        <v>9.3824044886400195E-5</v>
      </c>
      <c r="AG344" t="s">
        <v>97</v>
      </c>
      <c r="AH344" t="s">
        <v>1819</v>
      </c>
      <c r="AI344">
        <v>0</v>
      </c>
    </row>
    <row r="345" spans="5:35" x14ac:dyDescent="0.45">
      <c r="E345" t="s">
        <v>1548</v>
      </c>
      <c r="G345" t="s">
        <v>159</v>
      </c>
      <c r="I345" t="s">
        <v>249</v>
      </c>
      <c r="J345" t="s">
        <v>1820</v>
      </c>
      <c r="K345">
        <v>1.05165366302E-4</v>
      </c>
      <c r="L345" t="s">
        <v>251</v>
      </c>
      <c r="N345" t="s">
        <v>419</v>
      </c>
      <c r="O345" t="s">
        <v>1820</v>
      </c>
      <c r="P345">
        <v>4.1314098299136278E-5</v>
      </c>
      <c r="Q345" t="s">
        <v>251</v>
      </c>
      <c r="S345" t="s">
        <v>420</v>
      </c>
      <c r="T345" t="s">
        <v>1820</v>
      </c>
      <c r="U345">
        <v>3.3190318991200403E-5</v>
      </c>
      <c r="V345" t="s">
        <v>251</v>
      </c>
      <c r="X345">
        <v>1.1415525114155251E-4</v>
      </c>
      <c r="Y345">
        <v>1.6905750441289813E-4</v>
      </c>
      <c r="Z345" t="s">
        <v>1820</v>
      </c>
      <c r="AA345" t="s">
        <v>25</v>
      </c>
      <c r="AC345" t="s">
        <v>22</v>
      </c>
      <c r="AD345" t="s">
        <v>1820</v>
      </c>
      <c r="AE345">
        <v>8.9619237255955127E-5</v>
      </c>
      <c r="AG345" t="s">
        <v>97</v>
      </c>
      <c r="AH345" t="s">
        <v>1820</v>
      </c>
      <c r="AI345">
        <v>0</v>
      </c>
    </row>
    <row r="346" spans="5:35" x14ac:dyDescent="0.45">
      <c r="E346" t="s">
        <v>1549</v>
      </c>
      <c r="G346" t="s">
        <v>159</v>
      </c>
      <c r="I346" t="s">
        <v>249</v>
      </c>
      <c r="J346" t="s">
        <v>1821</v>
      </c>
      <c r="K346">
        <v>1.8835318950089999E-4</v>
      </c>
      <c r="L346" t="s">
        <v>251</v>
      </c>
      <c r="N346" t="s">
        <v>419</v>
      </c>
      <c r="O346" t="s">
        <v>1821</v>
      </c>
      <c r="P346">
        <v>2.8306845608169529E-5</v>
      </c>
      <c r="Q346" t="s">
        <v>251</v>
      </c>
      <c r="S346" t="s">
        <v>420</v>
      </c>
      <c r="T346" t="s">
        <v>1821</v>
      </c>
      <c r="U346">
        <v>2.8919802324109811E-5</v>
      </c>
      <c r="V346" t="s">
        <v>251</v>
      </c>
      <c r="X346">
        <v>1.1415525114155251E-4</v>
      </c>
      <c r="Y346">
        <v>1.9060404909297337E-4</v>
      </c>
      <c r="Z346" t="s">
        <v>1821</v>
      </c>
      <c r="AA346" t="s">
        <v>25</v>
      </c>
      <c r="AC346" t="s">
        <v>22</v>
      </c>
      <c r="AD346" t="s">
        <v>1821</v>
      </c>
      <c r="AE346">
        <v>8.5496599586183691E-5</v>
      </c>
      <c r="AG346" t="s">
        <v>97</v>
      </c>
      <c r="AH346" t="s">
        <v>1821</v>
      </c>
      <c r="AI346">
        <v>0</v>
      </c>
    </row>
    <row r="347" spans="5:35" x14ac:dyDescent="0.45">
      <c r="E347" t="s">
        <v>240</v>
      </c>
      <c r="G347" t="s">
        <v>152</v>
      </c>
      <c r="I347" t="s">
        <v>249</v>
      </c>
      <c r="J347" t="s">
        <v>1822</v>
      </c>
      <c r="K347">
        <v>2.390326328219E-4</v>
      </c>
      <c r="L347" t="s">
        <v>251</v>
      </c>
      <c r="N347" t="s">
        <v>419</v>
      </c>
      <c r="O347" t="s">
        <v>1822</v>
      </c>
      <c r="P347">
        <v>2.5597447190632041E-5</v>
      </c>
      <c r="Q347" t="s">
        <v>251</v>
      </c>
      <c r="S347" t="s">
        <v>420</v>
      </c>
      <c r="T347" t="s">
        <v>1822</v>
      </c>
      <c r="U347">
        <v>2.7393770030315665E-5</v>
      </c>
      <c r="V347" t="s">
        <v>251</v>
      </c>
      <c r="X347">
        <v>1.1415525114155251E-4</v>
      </c>
      <c r="Y347">
        <v>1.4585353321897094E-4</v>
      </c>
      <c r="Z347" t="s">
        <v>1822</v>
      </c>
      <c r="AA347" t="s">
        <v>25</v>
      </c>
      <c r="AC347" t="s">
        <v>22</v>
      </c>
      <c r="AD347" t="s">
        <v>1822</v>
      </c>
      <c r="AE347">
        <v>8.4743997446377485E-5</v>
      </c>
      <c r="AG347" t="s">
        <v>97</v>
      </c>
      <c r="AH347" t="s">
        <v>1822</v>
      </c>
      <c r="AI347">
        <v>0</v>
      </c>
    </row>
    <row r="348" spans="5:35" x14ac:dyDescent="0.45">
      <c r="E348" t="s">
        <v>241</v>
      </c>
      <c r="G348" t="s">
        <v>152</v>
      </c>
      <c r="I348" t="s">
        <v>249</v>
      </c>
      <c r="J348" t="s">
        <v>1823</v>
      </c>
      <c r="K348">
        <v>2.7199473474309998E-4</v>
      </c>
      <c r="L348" t="s">
        <v>251</v>
      </c>
      <c r="N348" t="s">
        <v>419</v>
      </c>
      <c r="O348" t="s">
        <v>1823</v>
      </c>
      <c r="P348">
        <v>2.7218603401973321E-5</v>
      </c>
      <c r="Q348" t="s">
        <v>251</v>
      </c>
      <c r="S348" t="s">
        <v>420</v>
      </c>
      <c r="T348" t="s">
        <v>1823</v>
      </c>
      <c r="U348">
        <v>2.4854329223126879E-5</v>
      </c>
      <c r="V348" t="s">
        <v>251</v>
      </c>
      <c r="X348">
        <v>1.1415525114155251E-4</v>
      </c>
      <c r="Y348">
        <v>1.4452759200788939E-4</v>
      </c>
      <c r="Z348" t="s">
        <v>1823</v>
      </c>
      <c r="AA348" t="s">
        <v>25</v>
      </c>
      <c r="AC348" t="s">
        <v>22</v>
      </c>
      <c r="AD348" t="s">
        <v>1823</v>
      </c>
      <c r="AE348">
        <v>8.4083703119535808E-5</v>
      </c>
      <c r="AG348" t="s">
        <v>97</v>
      </c>
      <c r="AH348" t="s">
        <v>1823</v>
      </c>
      <c r="AI348">
        <v>0</v>
      </c>
    </row>
    <row r="349" spans="5:35" x14ac:dyDescent="0.45">
      <c r="E349" t="s">
        <v>242</v>
      </c>
      <c r="G349" t="s">
        <v>152</v>
      </c>
      <c r="I349" t="s">
        <v>249</v>
      </c>
      <c r="J349" t="s">
        <v>1824</v>
      </c>
      <c r="K349">
        <v>2.872234125098E-4</v>
      </c>
      <c r="L349" t="s">
        <v>251</v>
      </c>
      <c r="N349" t="s">
        <v>419</v>
      </c>
      <c r="O349" t="s">
        <v>1824</v>
      </c>
      <c r="P349">
        <v>3.0316788714476317E-5</v>
      </c>
      <c r="Q349" t="s">
        <v>251</v>
      </c>
      <c r="S349" t="s">
        <v>420</v>
      </c>
      <c r="T349" t="s">
        <v>1824</v>
      </c>
      <c r="U349">
        <v>2.3520756599414659E-5</v>
      </c>
      <c r="V349" t="s">
        <v>251</v>
      </c>
      <c r="X349">
        <v>1.1415525114155251E-4</v>
      </c>
      <c r="Y349">
        <v>1.408812536774151E-4</v>
      </c>
      <c r="Z349" t="s">
        <v>1824</v>
      </c>
      <c r="AA349" t="s">
        <v>25</v>
      </c>
      <c r="AC349" t="s">
        <v>22</v>
      </c>
      <c r="AD349" t="s">
        <v>1824</v>
      </c>
      <c r="AE349">
        <v>8.6277214212583165E-5</v>
      </c>
      <c r="AG349" t="s">
        <v>97</v>
      </c>
      <c r="AH349" t="s">
        <v>1824</v>
      </c>
      <c r="AI349">
        <v>0</v>
      </c>
    </row>
    <row r="350" spans="5:35" x14ac:dyDescent="0.45">
      <c r="E350" t="s">
        <v>243</v>
      </c>
      <c r="G350" t="s">
        <v>152</v>
      </c>
      <c r="I350" t="s">
        <v>249</v>
      </c>
      <c r="J350" t="s">
        <v>1825</v>
      </c>
      <c r="K350">
        <v>2.9347492163370002E-4</v>
      </c>
      <c r="L350" t="s">
        <v>251</v>
      </c>
      <c r="N350" t="s">
        <v>419</v>
      </c>
      <c r="O350" t="s">
        <v>1825</v>
      </c>
      <c r="P350">
        <v>3.3415646654196679E-5</v>
      </c>
      <c r="Q350" t="s">
        <v>251</v>
      </c>
      <c r="S350" t="s">
        <v>420</v>
      </c>
      <c r="T350" t="s">
        <v>1825</v>
      </c>
      <c r="U350">
        <v>2.536315130267188E-5</v>
      </c>
      <c r="V350" t="s">
        <v>251</v>
      </c>
      <c r="X350">
        <v>1.1415525114155251E-4</v>
      </c>
      <c r="Y350">
        <v>1.4054976837464471E-4</v>
      </c>
      <c r="Z350" t="s">
        <v>1825</v>
      </c>
      <c r="AA350" t="s">
        <v>25</v>
      </c>
      <c r="AC350" t="s">
        <v>22</v>
      </c>
      <c r="AD350" t="s">
        <v>1825</v>
      </c>
      <c r="AE350">
        <v>8.9391935936169642E-5</v>
      </c>
      <c r="AG350" t="s">
        <v>97</v>
      </c>
      <c r="AH350" t="s">
        <v>1825</v>
      </c>
      <c r="AI350">
        <v>0</v>
      </c>
    </row>
    <row r="351" spans="5:35" x14ac:dyDescent="0.45">
      <c r="E351" t="s">
        <v>244</v>
      </c>
      <c r="G351" t="s">
        <v>152</v>
      </c>
      <c r="I351" t="s">
        <v>249</v>
      </c>
      <c r="J351" t="s">
        <v>1826</v>
      </c>
      <c r="K351">
        <v>2.789173251634E-4</v>
      </c>
      <c r="L351" t="s">
        <v>251</v>
      </c>
      <c r="N351" t="s">
        <v>419</v>
      </c>
      <c r="O351" t="s">
        <v>1826</v>
      </c>
      <c r="P351">
        <v>3.4406782165196058E-5</v>
      </c>
      <c r="Q351" t="s">
        <v>251</v>
      </c>
      <c r="S351" t="s">
        <v>420</v>
      </c>
      <c r="T351" t="s">
        <v>1826</v>
      </c>
      <c r="U351">
        <v>3.1664954056190299E-5</v>
      </c>
      <c r="V351" t="s">
        <v>251</v>
      </c>
      <c r="X351">
        <v>1.1415525114155251E-4</v>
      </c>
      <c r="Y351">
        <v>1.4253868019126702E-4</v>
      </c>
      <c r="Z351" t="s">
        <v>1826</v>
      </c>
      <c r="AA351" t="s">
        <v>25</v>
      </c>
      <c r="AC351" t="s">
        <v>22</v>
      </c>
      <c r="AD351" t="s">
        <v>1826</v>
      </c>
      <c r="AE351">
        <v>9.2390339143997324E-5</v>
      </c>
      <c r="AG351" t="s">
        <v>97</v>
      </c>
      <c r="AH351" t="s">
        <v>1826</v>
      </c>
      <c r="AI351">
        <v>0</v>
      </c>
    </row>
    <row r="352" spans="5:35" x14ac:dyDescent="0.45">
      <c r="E352" t="s">
        <v>245</v>
      </c>
      <c r="G352" t="s">
        <v>152</v>
      </c>
      <c r="I352" t="s">
        <v>249</v>
      </c>
      <c r="J352" t="s">
        <v>1827</v>
      </c>
      <c r="K352">
        <v>2.8245003301899998E-4</v>
      </c>
      <c r="L352" t="s">
        <v>251</v>
      </c>
      <c r="N352" t="s">
        <v>419</v>
      </c>
      <c r="O352" t="s">
        <v>1827</v>
      </c>
      <c r="P352">
        <v>3.6133580230749184E-5</v>
      </c>
      <c r="Q352" t="s">
        <v>251</v>
      </c>
      <c r="S352" t="s">
        <v>420</v>
      </c>
      <c r="T352" t="s">
        <v>1827</v>
      </c>
      <c r="U352">
        <v>4.2533324043920976E-5</v>
      </c>
      <c r="V352" t="s">
        <v>251</v>
      </c>
      <c r="X352">
        <v>1.1415525114155251E-4</v>
      </c>
      <c r="Y352">
        <v>1.4883690094390442E-4</v>
      </c>
      <c r="Z352" t="s">
        <v>1827</v>
      </c>
      <c r="AA352" t="s">
        <v>25</v>
      </c>
      <c r="AC352" t="s">
        <v>22</v>
      </c>
      <c r="AD352" t="s">
        <v>1827</v>
      </c>
      <c r="AE352">
        <v>9.6250726582138322E-5</v>
      </c>
      <c r="AG352" t="s">
        <v>97</v>
      </c>
      <c r="AH352" t="s">
        <v>1827</v>
      </c>
      <c r="AI352">
        <v>0</v>
      </c>
    </row>
    <row r="353" spans="5:35" x14ac:dyDescent="0.45">
      <c r="E353" t="s">
        <v>246</v>
      </c>
      <c r="G353" t="s">
        <v>152</v>
      </c>
      <c r="I353" t="s">
        <v>249</v>
      </c>
      <c r="J353" t="s">
        <v>1828</v>
      </c>
      <c r="K353">
        <v>2.7452533410539999E-4</v>
      </c>
      <c r="L353" t="s">
        <v>251</v>
      </c>
      <c r="N353" t="s">
        <v>419</v>
      </c>
      <c r="O353" t="s">
        <v>1828</v>
      </c>
      <c r="P353">
        <v>3.845792597273954E-5</v>
      </c>
      <c r="Q353" t="s">
        <v>251</v>
      </c>
      <c r="S353" t="s">
        <v>420</v>
      </c>
      <c r="T353" t="s">
        <v>1828</v>
      </c>
      <c r="U353">
        <v>5.5457865657505003E-5</v>
      </c>
      <c r="V353" t="s">
        <v>251</v>
      </c>
      <c r="X353">
        <v>1.1415525114155251E-4</v>
      </c>
      <c r="Y353">
        <v>1.5049432745775637E-4</v>
      </c>
      <c r="Z353" t="s">
        <v>1828</v>
      </c>
      <c r="AA353" t="s">
        <v>25</v>
      </c>
      <c r="AC353" t="s">
        <v>22</v>
      </c>
      <c r="AD353" t="s">
        <v>1828</v>
      </c>
      <c r="AE353">
        <v>9.7908532217287479E-5</v>
      </c>
      <c r="AG353" t="s">
        <v>97</v>
      </c>
      <c r="AH353" t="s">
        <v>1828</v>
      </c>
      <c r="AI353">
        <v>0</v>
      </c>
    </row>
    <row r="354" spans="5:35" x14ac:dyDescent="0.45">
      <c r="E354" t="s">
        <v>247</v>
      </c>
      <c r="G354" t="s">
        <v>152</v>
      </c>
      <c r="I354" t="s">
        <v>249</v>
      </c>
      <c r="J354" t="s">
        <v>1829</v>
      </c>
      <c r="K354">
        <v>2.5593789502399998E-4</v>
      </c>
      <c r="L354" t="s">
        <v>251</v>
      </c>
      <c r="N354" t="s">
        <v>419</v>
      </c>
      <c r="O354" t="s">
        <v>1829</v>
      </c>
      <c r="P354">
        <v>3.523869341824042E-5</v>
      </c>
      <c r="Q354" t="s">
        <v>251</v>
      </c>
      <c r="S354" t="s">
        <v>420</v>
      </c>
      <c r="T354" t="s">
        <v>1829</v>
      </c>
      <c r="U354">
        <v>6.5427488892209331E-5</v>
      </c>
      <c r="V354" t="s">
        <v>251</v>
      </c>
      <c r="X354">
        <v>1.1415525114155251E-4</v>
      </c>
      <c r="Y354">
        <v>1.7237235744060203E-4</v>
      </c>
      <c r="Z354" t="s">
        <v>1829</v>
      </c>
      <c r="AA354" t="s">
        <v>25</v>
      </c>
      <c r="AC354" t="s">
        <v>22</v>
      </c>
      <c r="AD354" t="s">
        <v>1829</v>
      </c>
      <c r="AE354">
        <v>1.0411956745898483E-4</v>
      </c>
      <c r="AG354" t="s">
        <v>97</v>
      </c>
      <c r="AH354" t="s">
        <v>1829</v>
      </c>
      <c r="AI354">
        <v>0</v>
      </c>
    </row>
    <row r="355" spans="5:35" x14ac:dyDescent="0.45">
      <c r="I355" t="s">
        <v>249</v>
      </c>
      <c r="J355" t="s">
        <v>1830</v>
      </c>
      <c r="K355">
        <v>2.2522436303440001E-4</v>
      </c>
      <c r="L355" t="s">
        <v>251</v>
      </c>
      <c r="N355" t="s">
        <v>419</v>
      </c>
      <c r="O355" t="s">
        <v>1830</v>
      </c>
      <c r="P355">
        <v>4.3268746544071563E-5</v>
      </c>
      <c r="Q355" t="s">
        <v>251</v>
      </c>
      <c r="S355" t="s">
        <v>420</v>
      </c>
      <c r="T355" t="s">
        <v>1830</v>
      </c>
      <c r="U355">
        <v>6.0765703643131383E-5</v>
      </c>
      <c r="V355" t="s">
        <v>251</v>
      </c>
      <c r="X355">
        <v>1.1415525114155251E-4</v>
      </c>
      <c r="Y355">
        <v>2.2209515285616027E-4</v>
      </c>
      <c r="Z355" t="s">
        <v>1830</v>
      </c>
      <c r="AA355" t="s">
        <v>25</v>
      </c>
      <c r="AC355" t="s">
        <v>22</v>
      </c>
      <c r="AD355" t="s">
        <v>1830</v>
      </c>
      <c r="AE355">
        <v>1.0497248097935365E-4</v>
      </c>
      <c r="AG355" t="s">
        <v>97</v>
      </c>
      <c r="AH355" t="s">
        <v>1830</v>
      </c>
      <c r="AI355">
        <v>0</v>
      </c>
    </row>
    <row r="356" spans="5:35" x14ac:dyDescent="0.45">
      <c r="I356" t="s">
        <v>249</v>
      </c>
      <c r="J356" t="s">
        <v>1831</v>
      </c>
      <c r="K356">
        <v>1.8817496294009999E-4</v>
      </c>
      <c r="L356" t="s">
        <v>251</v>
      </c>
      <c r="N356" t="s">
        <v>419</v>
      </c>
      <c r="O356" t="s">
        <v>1831</v>
      </c>
      <c r="P356">
        <v>5.3043410949013554E-5</v>
      </c>
      <c r="Q356" t="s">
        <v>251</v>
      </c>
      <c r="S356" t="s">
        <v>420</v>
      </c>
      <c r="T356" t="s">
        <v>1831</v>
      </c>
      <c r="U356">
        <v>5.8623904497190848E-5</v>
      </c>
      <c r="V356" t="s">
        <v>251</v>
      </c>
      <c r="X356">
        <v>1.1415525114155251E-4</v>
      </c>
      <c r="Y356">
        <v>2.2209515285616027E-4</v>
      </c>
      <c r="Z356" t="s">
        <v>1831</v>
      </c>
      <c r="AA356" t="s">
        <v>25</v>
      </c>
      <c r="AC356" t="s">
        <v>22</v>
      </c>
      <c r="AD356" t="s">
        <v>1831</v>
      </c>
      <c r="AE356">
        <v>1.052840865445056E-4</v>
      </c>
      <c r="AG356" t="s">
        <v>97</v>
      </c>
      <c r="AH356" t="s">
        <v>1831</v>
      </c>
      <c r="AI356">
        <v>0</v>
      </c>
    </row>
    <row r="357" spans="5:35" x14ac:dyDescent="0.45">
      <c r="I357" t="s">
        <v>249</v>
      </c>
      <c r="J357" t="s">
        <v>1832</v>
      </c>
      <c r="K357">
        <v>1.31317519375E-4</v>
      </c>
      <c r="L357" t="s">
        <v>251</v>
      </c>
      <c r="N357" t="s">
        <v>419</v>
      </c>
      <c r="O357" t="s">
        <v>1832</v>
      </c>
      <c r="P357">
        <v>6.255279945641095E-5</v>
      </c>
      <c r="Q357" t="s">
        <v>251</v>
      </c>
      <c r="S357" t="s">
        <v>420</v>
      </c>
      <c r="T357" t="s">
        <v>1832</v>
      </c>
      <c r="U357">
        <v>6.2468764753046316E-5</v>
      </c>
      <c r="V357" t="s">
        <v>251</v>
      </c>
      <c r="X357">
        <v>1.1415525114155251E-4</v>
      </c>
      <c r="Y357">
        <v>1.7237235744060203E-4</v>
      </c>
      <c r="Z357" t="s">
        <v>1832</v>
      </c>
      <c r="AA357" t="s">
        <v>25</v>
      </c>
      <c r="AC357" t="s">
        <v>22</v>
      </c>
      <c r="AD357" t="s">
        <v>1832</v>
      </c>
      <c r="AE357">
        <v>1.0557594997624897E-4</v>
      </c>
      <c r="AG357" t="s">
        <v>97</v>
      </c>
      <c r="AH357" t="s">
        <v>1832</v>
      </c>
      <c r="AI357">
        <v>0</v>
      </c>
    </row>
    <row r="358" spans="5:35" x14ac:dyDescent="0.45">
      <c r="I358" t="s">
        <v>249</v>
      </c>
      <c r="J358" t="s">
        <v>1833</v>
      </c>
      <c r="K358">
        <v>4.7713271795498633E-5</v>
      </c>
      <c r="L358" t="s">
        <v>251</v>
      </c>
      <c r="N358" t="s">
        <v>419</v>
      </c>
      <c r="O358" t="s">
        <v>1833</v>
      </c>
      <c r="P358">
        <v>7.6899170400726105E-5</v>
      </c>
      <c r="Q358" t="s">
        <v>251</v>
      </c>
      <c r="S358" t="s">
        <v>420</v>
      </c>
      <c r="T358" t="s">
        <v>1833</v>
      </c>
      <c r="U358">
        <v>6.4517911270836343E-5</v>
      </c>
      <c r="V358" t="s">
        <v>251</v>
      </c>
      <c r="X358">
        <v>1.1415525114155251E-4</v>
      </c>
      <c r="Y358">
        <v>1.5579809230208258E-4</v>
      </c>
      <c r="Z358" t="s">
        <v>1833</v>
      </c>
      <c r="AA358" t="s">
        <v>25</v>
      </c>
      <c r="AC358" t="s">
        <v>22</v>
      </c>
      <c r="AD358" t="s">
        <v>1833</v>
      </c>
      <c r="AE358">
        <v>1.0617301611906579E-4</v>
      </c>
      <c r="AG358" t="s">
        <v>97</v>
      </c>
      <c r="AH358" t="s">
        <v>1833</v>
      </c>
      <c r="AI358">
        <v>0</v>
      </c>
    </row>
    <row r="359" spans="5:35" x14ac:dyDescent="0.45">
      <c r="I359" t="s">
        <v>249</v>
      </c>
      <c r="J359" t="s">
        <v>1834</v>
      </c>
      <c r="K359">
        <v>0</v>
      </c>
      <c r="L359" t="s">
        <v>251</v>
      </c>
      <c r="N359" t="s">
        <v>419</v>
      </c>
      <c r="O359" t="s">
        <v>1834</v>
      </c>
      <c r="P359">
        <v>8.7675612531737669E-5</v>
      </c>
      <c r="Q359" t="s">
        <v>251</v>
      </c>
      <c r="S359" t="s">
        <v>420</v>
      </c>
      <c r="T359" t="s">
        <v>1834</v>
      </c>
      <c r="U359">
        <v>6.1964292122271771E-5</v>
      </c>
      <c r="V359" t="s">
        <v>251</v>
      </c>
      <c r="X359">
        <v>1.1415525114155251E-4</v>
      </c>
      <c r="Y359">
        <v>1.093901499142282E-4</v>
      </c>
      <c r="Z359" t="s">
        <v>1834</v>
      </c>
      <c r="AA359" t="s">
        <v>25</v>
      </c>
      <c r="AC359" t="s">
        <v>22</v>
      </c>
      <c r="AD359" t="s">
        <v>1834</v>
      </c>
      <c r="AE359">
        <v>1.0940699099986365E-4</v>
      </c>
      <c r="AG359" t="s">
        <v>97</v>
      </c>
      <c r="AH359" t="s">
        <v>1834</v>
      </c>
      <c r="AI359">
        <v>0</v>
      </c>
    </row>
    <row r="360" spans="5:35" x14ac:dyDescent="0.45">
      <c r="I360" t="s">
        <v>249</v>
      </c>
      <c r="J360" t="s">
        <v>1835</v>
      </c>
      <c r="K360">
        <v>0</v>
      </c>
      <c r="L360" t="s">
        <v>251</v>
      </c>
      <c r="N360" t="s">
        <v>419</v>
      </c>
      <c r="O360" t="s">
        <v>1835</v>
      </c>
      <c r="P360">
        <v>9.5142554637814807E-5</v>
      </c>
      <c r="Q360" t="s">
        <v>251</v>
      </c>
      <c r="S360" t="s">
        <v>420</v>
      </c>
      <c r="T360" t="s">
        <v>1835</v>
      </c>
      <c r="U360">
        <v>5.8635438588802392E-5</v>
      </c>
      <c r="V360" t="s">
        <v>251</v>
      </c>
      <c r="X360">
        <v>1.1415525114155251E-4</v>
      </c>
      <c r="Y360">
        <v>7.9556472664893237E-5</v>
      </c>
      <c r="Z360" t="s">
        <v>1835</v>
      </c>
      <c r="AA360" t="s">
        <v>25</v>
      </c>
      <c r="AC360" t="s">
        <v>22</v>
      </c>
      <c r="AD360" t="s">
        <v>1835</v>
      </c>
      <c r="AE360">
        <v>1.1012971315397036E-4</v>
      </c>
      <c r="AG360" t="s">
        <v>97</v>
      </c>
      <c r="AH360" t="s">
        <v>1835</v>
      </c>
      <c r="AI360">
        <v>0</v>
      </c>
    </row>
    <row r="361" spans="5:35" x14ac:dyDescent="0.45">
      <c r="I361" t="s">
        <v>249</v>
      </c>
      <c r="J361" t="s">
        <v>1836</v>
      </c>
      <c r="K361">
        <v>0</v>
      </c>
      <c r="L361" t="s">
        <v>251</v>
      </c>
      <c r="N361" t="s">
        <v>419</v>
      </c>
      <c r="O361" t="s">
        <v>1836</v>
      </c>
      <c r="P361">
        <v>9.6631670602258636E-5</v>
      </c>
      <c r="Q361" t="s">
        <v>251</v>
      </c>
      <c r="S361" t="s">
        <v>420</v>
      </c>
      <c r="T361" t="s">
        <v>1836</v>
      </c>
      <c r="U361">
        <v>5.9009594365778088E-5</v>
      </c>
      <c r="V361" t="s">
        <v>251</v>
      </c>
      <c r="X361">
        <v>1.1415525114155251E-4</v>
      </c>
      <c r="Y361">
        <v>5.6352501470966035E-5</v>
      </c>
      <c r="Z361" t="s">
        <v>1836</v>
      </c>
      <c r="AA361" t="s">
        <v>25</v>
      </c>
      <c r="AC361" t="s">
        <v>22</v>
      </c>
      <c r="AD361" t="s">
        <v>1836</v>
      </c>
      <c r="AE361">
        <v>1.0964149553048743E-4</v>
      </c>
      <c r="AG361" t="s">
        <v>97</v>
      </c>
      <c r="AH361" t="s">
        <v>1836</v>
      </c>
      <c r="AI361">
        <v>0</v>
      </c>
    </row>
    <row r="362" spans="5:35" x14ac:dyDescent="0.45">
      <c r="I362" t="s">
        <v>249</v>
      </c>
      <c r="J362" t="s">
        <v>1837</v>
      </c>
      <c r="K362">
        <v>0</v>
      </c>
      <c r="L362" t="s">
        <v>251</v>
      </c>
      <c r="N362" t="s">
        <v>419</v>
      </c>
      <c r="O362" t="s">
        <v>1837</v>
      </c>
      <c r="P362">
        <v>9.1551947996215062E-5</v>
      </c>
      <c r="Q362" t="s">
        <v>251</v>
      </c>
      <c r="S362" t="s">
        <v>420</v>
      </c>
      <c r="T362" t="s">
        <v>1837</v>
      </c>
      <c r="U362">
        <v>5.4263589384577647E-5</v>
      </c>
      <c r="V362" t="s">
        <v>251</v>
      </c>
      <c r="X362">
        <v>1.1415525114155251E-4</v>
      </c>
      <c r="Y362">
        <v>2.9833677249334962E-5</v>
      </c>
      <c r="Z362" t="s">
        <v>1837</v>
      </c>
      <c r="AA362" t="s">
        <v>25</v>
      </c>
      <c r="AC362" t="s">
        <v>22</v>
      </c>
      <c r="AD362" t="s">
        <v>1837</v>
      </c>
      <c r="AE362">
        <v>1.0926639499572404E-4</v>
      </c>
      <c r="AG362" t="s">
        <v>97</v>
      </c>
      <c r="AH362" t="s">
        <v>1837</v>
      </c>
      <c r="AI362">
        <v>0</v>
      </c>
    </row>
    <row r="363" spans="5:35" x14ac:dyDescent="0.45">
      <c r="I363" t="s">
        <v>249</v>
      </c>
      <c r="J363" t="s">
        <v>1838</v>
      </c>
      <c r="K363">
        <v>0</v>
      </c>
      <c r="L363" t="s">
        <v>251</v>
      </c>
      <c r="N363" t="s">
        <v>419</v>
      </c>
      <c r="O363" t="s">
        <v>1838</v>
      </c>
      <c r="P363">
        <v>7.9203105060372071E-5</v>
      </c>
      <c r="Q363" t="s">
        <v>251</v>
      </c>
      <c r="S363" t="s">
        <v>420</v>
      </c>
      <c r="T363" t="s">
        <v>1838</v>
      </c>
      <c r="U363">
        <v>4.8033036418379298E-5</v>
      </c>
      <c r="V363" t="s">
        <v>251</v>
      </c>
      <c r="X363">
        <v>1.1415525114155251E-4</v>
      </c>
      <c r="Y363">
        <v>2.1546544680075254E-5</v>
      </c>
      <c r="Z363" t="s">
        <v>1838</v>
      </c>
      <c r="AA363" t="s">
        <v>25</v>
      </c>
      <c r="AC363" t="s">
        <v>22</v>
      </c>
      <c r="AD363" t="s">
        <v>1838</v>
      </c>
      <c r="AE363">
        <v>1.0874242810363635E-4</v>
      </c>
      <c r="AG363" t="s">
        <v>97</v>
      </c>
      <c r="AH363" t="s">
        <v>1838</v>
      </c>
      <c r="AI363">
        <v>0</v>
      </c>
    </row>
    <row r="364" spans="5:35" x14ac:dyDescent="0.45">
      <c r="I364" t="s">
        <v>249</v>
      </c>
      <c r="J364" t="s">
        <v>1839</v>
      </c>
      <c r="K364">
        <v>0</v>
      </c>
      <c r="L364" t="s">
        <v>251</v>
      </c>
      <c r="N364" t="s">
        <v>419</v>
      </c>
      <c r="O364" t="s">
        <v>1839</v>
      </c>
      <c r="P364">
        <v>6.9653323092209418E-5</v>
      </c>
      <c r="Q364" t="s">
        <v>251</v>
      </c>
      <c r="S364" t="s">
        <v>420</v>
      </c>
      <c r="T364" t="s">
        <v>1839</v>
      </c>
      <c r="U364">
        <v>4.4847911917245255E-5</v>
      </c>
      <c r="V364" t="s">
        <v>251</v>
      </c>
      <c r="X364">
        <v>1.1415525114155251E-4</v>
      </c>
      <c r="Y364">
        <v>1.4916838624667481E-5</v>
      </c>
      <c r="Z364" t="s">
        <v>1839</v>
      </c>
      <c r="AA364" t="s">
        <v>25</v>
      </c>
      <c r="AC364" t="s">
        <v>22</v>
      </c>
      <c r="AD364" t="s">
        <v>1839</v>
      </c>
      <c r="AE364">
        <v>1.071137020974269E-4</v>
      </c>
      <c r="AG364" t="s">
        <v>97</v>
      </c>
      <c r="AH364" t="s">
        <v>1839</v>
      </c>
      <c r="AI364">
        <v>0</v>
      </c>
    </row>
    <row r="365" spans="5:35" x14ac:dyDescent="0.45">
      <c r="I365" t="s">
        <v>249</v>
      </c>
      <c r="J365" t="s">
        <v>1840</v>
      </c>
      <c r="K365">
        <v>0</v>
      </c>
      <c r="L365" t="s">
        <v>251</v>
      </c>
      <c r="N365" t="s">
        <v>419</v>
      </c>
      <c r="O365" t="s">
        <v>1840</v>
      </c>
      <c r="P365">
        <v>6.4272580448269281E-5</v>
      </c>
      <c r="Q365" t="s">
        <v>251</v>
      </c>
      <c r="S365" t="s">
        <v>420</v>
      </c>
      <c r="T365" t="s">
        <v>1840</v>
      </c>
      <c r="U365">
        <v>4.3564372601549818E-5</v>
      </c>
      <c r="V365" t="s">
        <v>251</v>
      </c>
      <c r="X365">
        <v>1.1415525114155251E-4</v>
      </c>
      <c r="Y365">
        <v>1.6574265138519424E-5</v>
      </c>
      <c r="Z365" t="s">
        <v>1840</v>
      </c>
      <c r="AA365" t="s">
        <v>25</v>
      </c>
      <c r="AC365" t="s">
        <v>22</v>
      </c>
      <c r="AD365" t="s">
        <v>1840</v>
      </c>
      <c r="AE365">
        <v>1.0537452685836391E-4</v>
      </c>
      <c r="AG365" t="s">
        <v>97</v>
      </c>
      <c r="AH365" t="s">
        <v>1840</v>
      </c>
      <c r="AI365">
        <v>0</v>
      </c>
    </row>
    <row r="366" spans="5:35" x14ac:dyDescent="0.45">
      <c r="I366" t="s">
        <v>249</v>
      </c>
      <c r="J366" t="s">
        <v>1841</v>
      </c>
      <c r="K366">
        <v>0</v>
      </c>
      <c r="L366" t="s">
        <v>251</v>
      </c>
      <c r="N366" t="s">
        <v>419</v>
      </c>
      <c r="O366" t="s">
        <v>1841</v>
      </c>
      <c r="P366">
        <v>5.4069151769467714E-5</v>
      </c>
      <c r="Q366" t="s">
        <v>251</v>
      </c>
      <c r="S366" t="s">
        <v>420</v>
      </c>
      <c r="T366" t="s">
        <v>1841</v>
      </c>
      <c r="U366">
        <v>4.3593630671109765E-5</v>
      </c>
      <c r="V366" t="s">
        <v>251</v>
      </c>
      <c r="X366">
        <v>1.1415525114155251E-4</v>
      </c>
      <c r="Y366">
        <v>1.4585353321897093E-5</v>
      </c>
      <c r="Z366" t="s">
        <v>1841</v>
      </c>
      <c r="AA366" t="s">
        <v>25</v>
      </c>
      <c r="AC366" t="s">
        <v>22</v>
      </c>
      <c r="AD366" t="s">
        <v>1841</v>
      </c>
      <c r="AE366">
        <v>1.0087812258176206E-4</v>
      </c>
      <c r="AG366" t="s">
        <v>97</v>
      </c>
      <c r="AH366" t="s">
        <v>1841</v>
      </c>
      <c r="AI366">
        <v>0</v>
      </c>
    </row>
    <row r="367" spans="5:35" x14ac:dyDescent="0.45">
      <c r="I367" t="s">
        <v>249</v>
      </c>
      <c r="J367" t="s">
        <v>1842</v>
      </c>
      <c r="K367">
        <v>0</v>
      </c>
      <c r="L367" t="s">
        <v>251</v>
      </c>
      <c r="N367" t="s">
        <v>419</v>
      </c>
      <c r="O367" t="s">
        <v>1842</v>
      </c>
      <c r="P367">
        <v>4.9320568860105873E-5</v>
      </c>
      <c r="Q367" t="s">
        <v>251</v>
      </c>
      <c r="S367" t="s">
        <v>420</v>
      </c>
      <c r="T367" t="s">
        <v>1842</v>
      </c>
      <c r="U367">
        <v>3.4793531531774863E-5</v>
      </c>
      <c r="V367" t="s">
        <v>251</v>
      </c>
      <c r="X367">
        <v>1.1415525114155251E-4</v>
      </c>
      <c r="Y367">
        <v>2.1215059377304864E-5</v>
      </c>
      <c r="Z367" t="s">
        <v>1842</v>
      </c>
      <c r="AA367" t="s">
        <v>25</v>
      </c>
      <c r="AC367" t="s">
        <v>22</v>
      </c>
      <c r="AD367" t="s">
        <v>1842</v>
      </c>
      <c r="AE367">
        <v>9.885855569117967E-5</v>
      </c>
      <c r="AG367" t="s">
        <v>97</v>
      </c>
      <c r="AH367" t="s">
        <v>1842</v>
      </c>
      <c r="AI367">
        <v>0</v>
      </c>
    </row>
    <row r="368" spans="5:35" x14ac:dyDescent="0.45">
      <c r="I368" t="s">
        <v>249</v>
      </c>
      <c r="J368" t="s">
        <v>1843</v>
      </c>
      <c r="K368">
        <v>0</v>
      </c>
      <c r="L368" t="s">
        <v>251</v>
      </c>
      <c r="N368" t="s">
        <v>419</v>
      </c>
      <c r="O368" t="s">
        <v>1843</v>
      </c>
      <c r="P368">
        <v>4.6091543464189934E-5</v>
      </c>
      <c r="Q368" t="s">
        <v>251</v>
      </c>
      <c r="S368" t="s">
        <v>420</v>
      </c>
      <c r="T368" t="s">
        <v>1843</v>
      </c>
      <c r="U368">
        <v>3.0480350346881199E-5</v>
      </c>
      <c r="V368" t="s">
        <v>251</v>
      </c>
      <c r="X368">
        <v>1.1415525114155251E-4</v>
      </c>
      <c r="Y368">
        <v>5.7678442682047593E-5</v>
      </c>
      <c r="Z368" t="s">
        <v>1843</v>
      </c>
      <c r="AA368" t="s">
        <v>25</v>
      </c>
      <c r="AC368" t="s">
        <v>22</v>
      </c>
      <c r="AD368" t="s">
        <v>1843</v>
      </c>
      <c r="AE368">
        <v>9.142644281960179E-5</v>
      </c>
      <c r="AG368" t="s">
        <v>97</v>
      </c>
      <c r="AH368" t="s">
        <v>1843</v>
      </c>
      <c r="AI368">
        <v>0</v>
      </c>
    </row>
    <row r="369" spans="9:35" x14ac:dyDescent="0.45">
      <c r="I369" t="s">
        <v>249</v>
      </c>
      <c r="J369" t="s">
        <v>1844</v>
      </c>
      <c r="K369">
        <v>1.045049716151E-4</v>
      </c>
      <c r="L369" t="s">
        <v>251</v>
      </c>
      <c r="N369" t="s">
        <v>419</v>
      </c>
      <c r="O369" t="s">
        <v>1844</v>
      </c>
      <c r="P369">
        <v>4.2299601616408651E-5</v>
      </c>
      <c r="Q369" t="s">
        <v>251</v>
      </c>
      <c r="S369" t="s">
        <v>420</v>
      </c>
      <c r="T369" t="s">
        <v>1844</v>
      </c>
      <c r="U369">
        <v>2.9262203279535679E-5</v>
      </c>
      <c r="V369" t="s">
        <v>251</v>
      </c>
      <c r="X369">
        <v>1.1415525114155251E-4</v>
      </c>
      <c r="Y369">
        <v>1.6905750441289813E-4</v>
      </c>
      <c r="Z369" t="s">
        <v>1844</v>
      </c>
      <c r="AA369" t="s">
        <v>25</v>
      </c>
      <c r="AC369" t="s">
        <v>22</v>
      </c>
      <c r="AD369" t="s">
        <v>1844</v>
      </c>
      <c r="AE369">
        <v>8.7730395302808054E-5</v>
      </c>
      <c r="AG369" t="s">
        <v>97</v>
      </c>
      <c r="AH369" t="s">
        <v>1844</v>
      </c>
      <c r="AI369">
        <v>0</v>
      </c>
    </row>
    <row r="370" spans="9:35" x14ac:dyDescent="0.45">
      <c r="I370" t="s">
        <v>249</v>
      </c>
      <c r="J370" t="s">
        <v>1845</v>
      </c>
      <c r="K370">
        <v>1.788524188448E-4</v>
      </c>
      <c r="L370" t="s">
        <v>251</v>
      </c>
      <c r="N370" t="s">
        <v>419</v>
      </c>
      <c r="O370" t="s">
        <v>1845</v>
      </c>
      <c r="P370">
        <v>3.0066994106458559E-5</v>
      </c>
      <c r="Q370" t="s">
        <v>251</v>
      </c>
      <c r="S370" t="s">
        <v>420</v>
      </c>
      <c r="T370" t="s">
        <v>1845</v>
      </c>
      <c r="U370">
        <v>2.4962040570846625E-5</v>
      </c>
      <c r="V370" t="s">
        <v>251</v>
      </c>
      <c r="X370">
        <v>1.1415525114155251E-4</v>
      </c>
      <c r="Y370">
        <v>1.9060404909297337E-4</v>
      </c>
      <c r="Z370" t="s">
        <v>1845</v>
      </c>
      <c r="AA370" t="s">
        <v>25</v>
      </c>
      <c r="AC370" t="s">
        <v>22</v>
      </c>
      <c r="AD370" t="s">
        <v>1845</v>
      </c>
      <c r="AE370">
        <v>8.3945241400089002E-5</v>
      </c>
      <c r="AG370" t="s">
        <v>97</v>
      </c>
      <c r="AH370" t="s">
        <v>1845</v>
      </c>
      <c r="AI370">
        <v>0</v>
      </c>
    </row>
    <row r="371" spans="9:35" x14ac:dyDescent="0.45">
      <c r="I371" t="s">
        <v>249</v>
      </c>
      <c r="J371" t="s">
        <v>1846</v>
      </c>
      <c r="K371">
        <v>2.280502696261E-4</v>
      </c>
      <c r="L371" t="s">
        <v>251</v>
      </c>
      <c r="N371" t="s">
        <v>419</v>
      </c>
      <c r="O371" t="s">
        <v>1846</v>
      </c>
      <c r="P371">
        <v>2.8417488376708329E-5</v>
      </c>
      <c r="Q371" t="s">
        <v>251</v>
      </c>
      <c r="S371" t="s">
        <v>420</v>
      </c>
      <c r="T371" t="s">
        <v>1846</v>
      </c>
      <c r="U371">
        <v>1.8766210375929764E-5</v>
      </c>
      <c r="V371" t="s">
        <v>251</v>
      </c>
      <c r="X371">
        <v>1.1415525114155251E-4</v>
      </c>
      <c r="Y371">
        <v>1.4585353321897094E-4</v>
      </c>
      <c r="Z371" t="s">
        <v>1846</v>
      </c>
      <c r="AA371" t="s">
        <v>25</v>
      </c>
      <c r="AC371" t="s">
        <v>22</v>
      </c>
      <c r="AD371" t="s">
        <v>1846</v>
      </c>
      <c r="AE371">
        <v>8.2915449035802602E-5</v>
      </c>
      <c r="AG371" t="s">
        <v>97</v>
      </c>
      <c r="AH371" t="s">
        <v>1846</v>
      </c>
      <c r="AI371">
        <v>0</v>
      </c>
    </row>
    <row r="372" spans="9:35" x14ac:dyDescent="0.45">
      <c r="I372" t="s">
        <v>249</v>
      </c>
      <c r="J372" t="s">
        <v>1847</v>
      </c>
      <c r="K372">
        <v>2.628766775252E-4</v>
      </c>
      <c r="L372" t="s">
        <v>251</v>
      </c>
      <c r="N372" t="s">
        <v>419</v>
      </c>
      <c r="O372" t="s">
        <v>1847</v>
      </c>
      <c r="P372">
        <v>2.8635774661946257E-5</v>
      </c>
      <c r="Q372" t="s">
        <v>251</v>
      </c>
      <c r="S372" t="s">
        <v>420</v>
      </c>
      <c r="T372" t="s">
        <v>1847</v>
      </c>
      <c r="U372">
        <v>1.4065963127971324E-5</v>
      </c>
      <c r="V372" t="s">
        <v>251</v>
      </c>
      <c r="X372">
        <v>1.1415525114155251E-4</v>
      </c>
      <c r="Y372">
        <v>1.4452759200788939E-4</v>
      </c>
      <c r="Z372" t="s">
        <v>1847</v>
      </c>
      <c r="AA372" t="s">
        <v>25</v>
      </c>
      <c r="AC372" t="s">
        <v>22</v>
      </c>
      <c r="AD372" t="s">
        <v>1847</v>
      </c>
      <c r="AE372">
        <v>8.2567827416459293E-5</v>
      </c>
      <c r="AG372" t="s">
        <v>97</v>
      </c>
      <c r="AH372" t="s">
        <v>1847</v>
      </c>
      <c r="AI372">
        <v>0</v>
      </c>
    </row>
    <row r="373" spans="9:35" x14ac:dyDescent="0.45">
      <c r="I373" t="s">
        <v>249</v>
      </c>
      <c r="J373" t="s">
        <v>1848</v>
      </c>
      <c r="K373">
        <v>2.797475182709E-4</v>
      </c>
      <c r="L373" t="s">
        <v>251</v>
      </c>
      <c r="N373" t="s">
        <v>419</v>
      </c>
      <c r="O373" t="s">
        <v>1848</v>
      </c>
      <c r="P373">
        <v>2.6245763318722487E-5</v>
      </c>
      <c r="Q373" t="s">
        <v>251</v>
      </c>
      <c r="S373" t="s">
        <v>420</v>
      </c>
      <c r="T373" t="s">
        <v>1848</v>
      </c>
      <c r="U373">
        <v>1.2012223580630797E-5</v>
      </c>
      <c r="V373" t="s">
        <v>251</v>
      </c>
      <c r="X373">
        <v>1.1415525114155251E-4</v>
      </c>
      <c r="Y373">
        <v>1.408812536774151E-4</v>
      </c>
      <c r="Z373" t="s">
        <v>1848</v>
      </c>
      <c r="AA373" t="s">
        <v>25</v>
      </c>
      <c r="AC373" t="s">
        <v>22</v>
      </c>
      <c r="AD373" t="s">
        <v>1848</v>
      </c>
      <c r="AE373">
        <v>8.5054535869183014E-5</v>
      </c>
      <c r="AG373" t="s">
        <v>97</v>
      </c>
      <c r="AH373" t="s">
        <v>1848</v>
      </c>
      <c r="AI373">
        <v>0</v>
      </c>
    </row>
    <row r="374" spans="9:35" x14ac:dyDescent="0.45">
      <c r="I374" t="s">
        <v>249</v>
      </c>
      <c r="J374" t="s">
        <v>1849</v>
      </c>
      <c r="K374">
        <v>2.8857457065620002E-4</v>
      </c>
      <c r="L374" t="s">
        <v>251</v>
      </c>
      <c r="N374" t="s">
        <v>419</v>
      </c>
      <c r="O374" t="s">
        <v>1849</v>
      </c>
      <c r="P374">
        <v>2.2818231956797849E-5</v>
      </c>
      <c r="Q374" t="s">
        <v>251</v>
      </c>
      <c r="S374" t="s">
        <v>420</v>
      </c>
      <c r="T374" t="s">
        <v>1849</v>
      </c>
      <c r="U374">
        <v>1.2331284508486688E-5</v>
      </c>
      <c r="V374" t="s">
        <v>251</v>
      </c>
      <c r="X374">
        <v>1.1415525114155251E-4</v>
      </c>
      <c r="Y374">
        <v>1.4054976837464471E-4</v>
      </c>
      <c r="Z374" t="s">
        <v>1849</v>
      </c>
      <c r="AA374" t="s">
        <v>25</v>
      </c>
      <c r="AC374" t="s">
        <v>22</v>
      </c>
      <c r="AD374" t="s">
        <v>1849</v>
      </c>
      <c r="AE374">
        <v>8.9477574109469109E-5</v>
      </c>
      <c r="AG374" t="s">
        <v>97</v>
      </c>
      <c r="AH374" t="s">
        <v>1849</v>
      </c>
      <c r="AI374">
        <v>0</v>
      </c>
    </row>
    <row r="375" spans="9:35" x14ac:dyDescent="0.45">
      <c r="I375" t="s">
        <v>249</v>
      </c>
      <c r="J375" t="s">
        <v>1850</v>
      </c>
      <c r="K375">
        <v>2.684815575612E-4</v>
      </c>
      <c r="L375" t="s">
        <v>251</v>
      </c>
      <c r="N375" t="s">
        <v>419</v>
      </c>
      <c r="O375" t="s">
        <v>1850</v>
      </c>
      <c r="P375">
        <v>1.9240017161727177E-5</v>
      </c>
      <c r="Q375" t="s">
        <v>251</v>
      </c>
      <c r="S375" t="s">
        <v>420</v>
      </c>
      <c r="T375" t="s">
        <v>1850</v>
      </c>
      <c r="U375">
        <v>1.5674942997581838E-5</v>
      </c>
      <c r="V375" t="s">
        <v>251</v>
      </c>
      <c r="X375">
        <v>1.1415525114155251E-4</v>
      </c>
      <c r="Y375">
        <v>1.4253868019126702E-4</v>
      </c>
      <c r="Z375" t="s">
        <v>1850</v>
      </c>
      <c r="AA375" t="s">
        <v>25</v>
      </c>
      <c r="AC375" t="s">
        <v>22</v>
      </c>
      <c r="AD375" t="s">
        <v>1850</v>
      </c>
      <c r="AE375">
        <v>9.1450987093569236E-5</v>
      </c>
      <c r="AG375" t="s">
        <v>97</v>
      </c>
      <c r="AH375" t="s">
        <v>1850</v>
      </c>
      <c r="AI375">
        <v>0</v>
      </c>
    </row>
    <row r="376" spans="9:35" x14ac:dyDescent="0.45">
      <c r="I376" t="s">
        <v>249</v>
      </c>
      <c r="J376" t="s">
        <v>1851</v>
      </c>
      <c r="K376">
        <v>2.7101034120490002E-4</v>
      </c>
      <c r="L376" t="s">
        <v>251</v>
      </c>
      <c r="N376" t="s">
        <v>419</v>
      </c>
      <c r="O376" t="s">
        <v>1851</v>
      </c>
      <c r="P376">
        <v>1.6748879883610019E-5</v>
      </c>
      <c r="Q376" t="s">
        <v>251</v>
      </c>
      <c r="S376" t="s">
        <v>420</v>
      </c>
      <c r="T376" t="s">
        <v>1851</v>
      </c>
      <c r="U376">
        <v>2.0749881921282545E-5</v>
      </c>
      <c r="V376" t="s">
        <v>251</v>
      </c>
      <c r="X376">
        <v>1.1415525114155251E-4</v>
      </c>
      <c r="Y376">
        <v>1.4883690094390442E-4</v>
      </c>
      <c r="Z376" t="s">
        <v>1851</v>
      </c>
      <c r="AA376" t="s">
        <v>25</v>
      </c>
      <c r="AC376" t="s">
        <v>22</v>
      </c>
      <c r="AD376" t="s">
        <v>1851</v>
      </c>
      <c r="AE376">
        <v>9.6040766325482003E-5</v>
      </c>
      <c r="AG376" t="s">
        <v>97</v>
      </c>
      <c r="AH376" t="s">
        <v>1851</v>
      </c>
      <c r="AI376">
        <v>0</v>
      </c>
    </row>
    <row r="377" spans="9:35" x14ac:dyDescent="0.45">
      <c r="I377" t="s">
        <v>249</v>
      </c>
      <c r="J377" t="s">
        <v>1852</v>
      </c>
      <c r="K377">
        <v>2.6544209295580002E-4</v>
      </c>
      <c r="L377" t="s">
        <v>251</v>
      </c>
      <c r="N377" t="s">
        <v>419</v>
      </c>
      <c r="O377" t="s">
        <v>1852</v>
      </c>
      <c r="P377">
        <v>1.4107767481358384E-5</v>
      </c>
      <c r="Q377" t="s">
        <v>251</v>
      </c>
      <c r="S377" t="s">
        <v>420</v>
      </c>
      <c r="T377" t="s">
        <v>1852</v>
      </c>
      <c r="U377">
        <v>2.7485037013159178E-5</v>
      </c>
      <c r="V377" t="s">
        <v>251</v>
      </c>
      <c r="X377">
        <v>1.1415525114155251E-4</v>
      </c>
      <c r="Y377">
        <v>1.5049432745775637E-4</v>
      </c>
      <c r="Z377" t="s">
        <v>1852</v>
      </c>
      <c r="AA377" t="s">
        <v>25</v>
      </c>
      <c r="AC377" t="s">
        <v>22</v>
      </c>
      <c r="AD377" t="s">
        <v>1852</v>
      </c>
      <c r="AE377">
        <v>9.7728985517503864E-5</v>
      </c>
      <c r="AG377" t="s">
        <v>97</v>
      </c>
      <c r="AH377" t="s">
        <v>1852</v>
      </c>
      <c r="AI377">
        <v>0</v>
      </c>
    </row>
    <row r="378" spans="9:35" x14ac:dyDescent="0.45">
      <c r="I378" t="s">
        <v>249</v>
      </c>
      <c r="J378" t="s">
        <v>1853</v>
      </c>
      <c r="K378">
        <v>2.565316553078E-4</v>
      </c>
      <c r="L378" t="s">
        <v>251</v>
      </c>
      <c r="N378" t="s">
        <v>419</v>
      </c>
      <c r="O378" t="s">
        <v>1853</v>
      </c>
      <c r="P378">
        <v>1.7349756786414015E-5</v>
      </c>
      <c r="Q378" t="s">
        <v>251</v>
      </c>
      <c r="S378" t="s">
        <v>420</v>
      </c>
      <c r="T378" t="s">
        <v>1853</v>
      </c>
      <c r="U378">
        <v>3.3217421558256555E-5</v>
      </c>
      <c r="V378" t="s">
        <v>251</v>
      </c>
      <c r="X378">
        <v>1.1415525114155251E-4</v>
      </c>
      <c r="Y378">
        <v>1.7237235744060203E-4</v>
      </c>
      <c r="Z378" t="s">
        <v>1853</v>
      </c>
      <c r="AA378" t="s">
        <v>25</v>
      </c>
      <c r="AC378" t="s">
        <v>22</v>
      </c>
      <c r="AD378" t="s">
        <v>1853</v>
      </c>
      <c r="AE378">
        <v>1.0350355953951921E-4</v>
      </c>
      <c r="AG378" t="s">
        <v>97</v>
      </c>
      <c r="AH378" t="s">
        <v>1853</v>
      </c>
      <c r="AI378">
        <v>0</v>
      </c>
    </row>
    <row r="379" spans="9:35" x14ac:dyDescent="0.45">
      <c r="I379" t="s">
        <v>249</v>
      </c>
      <c r="J379" t="s">
        <v>1854</v>
      </c>
      <c r="K379">
        <v>2.3399486529359999E-4</v>
      </c>
      <c r="L379" t="s">
        <v>251</v>
      </c>
      <c r="N379" t="s">
        <v>419</v>
      </c>
      <c r="O379" t="s">
        <v>1854</v>
      </c>
      <c r="P379">
        <v>1.6873266378399088E-5</v>
      </c>
      <c r="Q379" t="s">
        <v>251</v>
      </c>
      <c r="S379" t="s">
        <v>420</v>
      </c>
      <c r="T379" t="s">
        <v>1854</v>
      </c>
      <c r="U379">
        <v>3.7770931846240049E-5</v>
      </c>
      <c r="V379" t="s">
        <v>251</v>
      </c>
      <c r="X379">
        <v>1.1415525114155251E-4</v>
      </c>
      <c r="Y379">
        <v>2.2209515285616027E-4</v>
      </c>
      <c r="Z379" t="s">
        <v>1854</v>
      </c>
      <c r="AA379" t="s">
        <v>25</v>
      </c>
      <c r="AC379" t="s">
        <v>22</v>
      </c>
      <c r="AD379" t="s">
        <v>1854</v>
      </c>
      <c r="AE379">
        <v>1.0345153635013168E-4</v>
      </c>
      <c r="AG379" t="s">
        <v>97</v>
      </c>
      <c r="AH379" t="s">
        <v>1854</v>
      </c>
      <c r="AI379">
        <v>0</v>
      </c>
    </row>
    <row r="380" spans="9:35" x14ac:dyDescent="0.45">
      <c r="I380" t="s">
        <v>249</v>
      </c>
      <c r="J380" t="s">
        <v>1855</v>
      </c>
      <c r="K380">
        <v>1.9492463584280001E-4</v>
      </c>
      <c r="L380" t="s">
        <v>251</v>
      </c>
      <c r="N380" t="s">
        <v>419</v>
      </c>
      <c r="O380" t="s">
        <v>1855</v>
      </c>
      <c r="P380">
        <v>1.8106648087263237E-5</v>
      </c>
      <c r="Q380" t="s">
        <v>251</v>
      </c>
      <c r="S380" t="s">
        <v>420</v>
      </c>
      <c r="T380" t="s">
        <v>1855</v>
      </c>
      <c r="U380">
        <v>3.9341034010174649E-5</v>
      </c>
      <c r="V380" t="s">
        <v>251</v>
      </c>
      <c r="X380">
        <v>1.1415525114155251E-4</v>
      </c>
      <c r="Y380">
        <v>2.2209515285616027E-4</v>
      </c>
      <c r="Z380" t="s">
        <v>1855</v>
      </c>
      <c r="AA380" t="s">
        <v>25</v>
      </c>
      <c r="AC380" t="s">
        <v>22</v>
      </c>
      <c r="AD380" t="s">
        <v>1855</v>
      </c>
      <c r="AE380">
        <v>1.0468622004492894E-4</v>
      </c>
      <c r="AG380" t="s">
        <v>97</v>
      </c>
      <c r="AH380" t="s">
        <v>1855</v>
      </c>
      <c r="AI380">
        <v>0</v>
      </c>
    </row>
    <row r="381" spans="9:35" x14ac:dyDescent="0.45">
      <c r="I381" t="s">
        <v>249</v>
      </c>
      <c r="J381" t="s">
        <v>1856</v>
      </c>
      <c r="K381">
        <v>1.411002701547E-4</v>
      </c>
      <c r="L381" t="s">
        <v>251</v>
      </c>
      <c r="N381" t="s">
        <v>419</v>
      </c>
      <c r="O381" t="s">
        <v>1856</v>
      </c>
      <c r="P381">
        <v>2.3735769588504722E-5</v>
      </c>
      <c r="Q381" t="s">
        <v>251</v>
      </c>
      <c r="S381" t="s">
        <v>420</v>
      </c>
      <c r="T381" t="s">
        <v>1856</v>
      </c>
      <c r="U381">
        <v>3.7145220207226651E-5</v>
      </c>
      <c r="V381" t="s">
        <v>251</v>
      </c>
      <c r="X381">
        <v>1.1415525114155251E-4</v>
      </c>
      <c r="Y381">
        <v>1.7237235744060203E-4</v>
      </c>
      <c r="Z381" t="s">
        <v>1856</v>
      </c>
      <c r="AA381" t="s">
        <v>25</v>
      </c>
      <c r="AC381" t="s">
        <v>22</v>
      </c>
      <c r="AD381" t="s">
        <v>1856</v>
      </c>
      <c r="AE381">
        <v>1.0557594997624894E-4</v>
      </c>
      <c r="AG381" t="s">
        <v>97</v>
      </c>
      <c r="AH381" t="s">
        <v>1856</v>
      </c>
      <c r="AI381">
        <v>0</v>
      </c>
    </row>
    <row r="382" spans="9:35" x14ac:dyDescent="0.45">
      <c r="I382" t="s">
        <v>249</v>
      </c>
      <c r="J382" t="s">
        <v>1857</v>
      </c>
      <c r="K382">
        <v>4.9304508982997379E-5</v>
      </c>
      <c r="L382" t="s">
        <v>251</v>
      </c>
      <c r="N382" t="s">
        <v>419</v>
      </c>
      <c r="O382" t="s">
        <v>1857</v>
      </c>
      <c r="P382">
        <v>3.3408834874773795E-5</v>
      </c>
      <c r="Q382" t="s">
        <v>251</v>
      </c>
      <c r="S382" t="s">
        <v>420</v>
      </c>
      <c r="T382" t="s">
        <v>1857</v>
      </c>
      <c r="U382">
        <v>3.3190885561380722E-5</v>
      </c>
      <c r="V382" t="s">
        <v>251</v>
      </c>
      <c r="X382">
        <v>1.1415525114155251E-4</v>
      </c>
      <c r="Y382">
        <v>1.5579809230208258E-4</v>
      </c>
      <c r="Z382" t="s">
        <v>1857</v>
      </c>
      <c r="AA382" t="s">
        <v>25</v>
      </c>
      <c r="AC382" t="s">
        <v>22</v>
      </c>
      <c r="AD382" t="s">
        <v>1857</v>
      </c>
      <c r="AE382">
        <v>1.0647128240488757E-4</v>
      </c>
      <c r="AG382" t="s">
        <v>97</v>
      </c>
      <c r="AH382" t="s">
        <v>1857</v>
      </c>
      <c r="AI382">
        <v>0</v>
      </c>
    </row>
    <row r="383" spans="9:35" x14ac:dyDescent="0.45">
      <c r="I383" t="s">
        <v>249</v>
      </c>
      <c r="J383" t="s">
        <v>1858</v>
      </c>
      <c r="K383">
        <v>0</v>
      </c>
      <c r="L383" t="s">
        <v>251</v>
      </c>
      <c r="N383" t="s">
        <v>419</v>
      </c>
      <c r="O383" t="s">
        <v>1858</v>
      </c>
      <c r="P383">
        <v>4.7140132408042571E-5</v>
      </c>
      <c r="Q383" t="s">
        <v>251</v>
      </c>
      <c r="S383" t="s">
        <v>420</v>
      </c>
      <c r="T383" t="s">
        <v>1858</v>
      </c>
      <c r="U383">
        <v>3.1639531142191298E-5</v>
      </c>
      <c r="V383" t="s">
        <v>251</v>
      </c>
      <c r="X383">
        <v>1.1415525114155251E-4</v>
      </c>
      <c r="Y383">
        <v>1.093901499142282E-4</v>
      </c>
      <c r="Z383" t="s">
        <v>1858</v>
      </c>
      <c r="AA383" t="s">
        <v>25</v>
      </c>
      <c r="AC383" t="s">
        <v>22</v>
      </c>
      <c r="AD383" t="s">
        <v>1858</v>
      </c>
      <c r="AE383">
        <v>1.0961481697182714E-4</v>
      </c>
      <c r="AG383" t="s">
        <v>97</v>
      </c>
      <c r="AH383" t="s">
        <v>1858</v>
      </c>
      <c r="AI383">
        <v>0</v>
      </c>
    </row>
    <row r="384" spans="9:35" x14ac:dyDescent="0.45">
      <c r="I384" t="s">
        <v>249</v>
      </c>
      <c r="J384" t="s">
        <v>1859</v>
      </c>
      <c r="K384">
        <v>0</v>
      </c>
      <c r="L384" t="s">
        <v>251</v>
      </c>
      <c r="N384" t="s">
        <v>419</v>
      </c>
      <c r="O384" t="s">
        <v>1859</v>
      </c>
      <c r="P384">
        <v>5.7759316058500871E-5</v>
      </c>
      <c r="Q384" t="s">
        <v>251</v>
      </c>
      <c r="S384" t="s">
        <v>420</v>
      </c>
      <c r="T384" t="s">
        <v>1859</v>
      </c>
      <c r="U384">
        <v>3.2412798156407883E-5</v>
      </c>
      <c r="V384" t="s">
        <v>251</v>
      </c>
      <c r="X384">
        <v>1.1415525114155251E-4</v>
      </c>
      <c r="Y384">
        <v>7.9556472664893237E-5</v>
      </c>
      <c r="Z384" t="s">
        <v>1859</v>
      </c>
      <c r="AA384" t="s">
        <v>25</v>
      </c>
      <c r="AC384" t="s">
        <v>22</v>
      </c>
      <c r="AD384" t="s">
        <v>1859</v>
      </c>
      <c r="AE384">
        <v>1.1033753912593385E-4</v>
      </c>
      <c r="AG384" t="s">
        <v>97</v>
      </c>
      <c r="AH384" t="s">
        <v>1859</v>
      </c>
      <c r="AI384">
        <v>0</v>
      </c>
    </row>
    <row r="385" spans="9:35" x14ac:dyDescent="0.45">
      <c r="I385" t="s">
        <v>249</v>
      </c>
      <c r="J385" t="s">
        <v>1860</v>
      </c>
      <c r="K385">
        <v>0</v>
      </c>
      <c r="L385" t="s">
        <v>251</v>
      </c>
      <c r="N385" t="s">
        <v>419</v>
      </c>
      <c r="O385" t="s">
        <v>1860</v>
      </c>
      <c r="P385">
        <v>6.1792065455419467E-5</v>
      </c>
      <c r="Q385" t="s">
        <v>251</v>
      </c>
      <c r="S385" t="s">
        <v>420</v>
      </c>
      <c r="T385" t="s">
        <v>1860</v>
      </c>
      <c r="U385">
        <v>3.1427925221630913E-5</v>
      </c>
      <c r="V385" t="s">
        <v>251</v>
      </c>
      <c r="X385">
        <v>1.1415525114155251E-4</v>
      </c>
      <c r="Y385">
        <v>5.6352501470966035E-5</v>
      </c>
      <c r="Z385" t="s">
        <v>1860</v>
      </c>
      <c r="AA385" t="s">
        <v>25</v>
      </c>
      <c r="AC385" t="s">
        <v>22</v>
      </c>
      <c r="AD385" t="s">
        <v>1860</v>
      </c>
      <c r="AE385">
        <v>1.1222291286645511E-4</v>
      </c>
      <c r="AG385" t="s">
        <v>97</v>
      </c>
      <c r="AH385" t="s">
        <v>1860</v>
      </c>
      <c r="AI385">
        <v>0</v>
      </c>
    </row>
    <row r="386" spans="9:35" x14ac:dyDescent="0.45">
      <c r="I386" t="s">
        <v>249</v>
      </c>
      <c r="J386" t="s">
        <v>1861</v>
      </c>
      <c r="K386">
        <v>0</v>
      </c>
      <c r="L386" t="s">
        <v>251</v>
      </c>
      <c r="N386" t="s">
        <v>419</v>
      </c>
      <c r="O386" t="s">
        <v>1861</v>
      </c>
      <c r="P386">
        <v>6.3174870985583978E-5</v>
      </c>
      <c r="Q386" t="s">
        <v>251</v>
      </c>
      <c r="S386" t="s">
        <v>420</v>
      </c>
      <c r="T386" t="s">
        <v>1861</v>
      </c>
      <c r="U386">
        <v>2.9067152938184931E-5</v>
      </c>
      <c r="V386" t="s">
        <v>251</v>
      </c>
      <c r="X386">
        <v>1.1415525114155251E-4</v>
      </c>
      <c r="Y386">
        <v>2.9833677249334962E-5</v>
      </c>
      <c r="Z386" t="s">
        <v>1861</v>
      </c>
      <c r="AA386" t="s">
        <v>25</v>
      </c>
      <c r="AC386" t="s">
        <v>22</v>
      </c>
      <c r="AD386" t="s">
        <v>1861</v>
      </c>
      <c r="AE386">
        <v>1.1240085885271909E-4</v>
      </c>
      <c r="AG386" t="s">
        <v>97</v>
      </c>
      <c r="AH386" t="s">
        <v>1861</v>
      </c>
      <c r="AI386">
        <v>0</v>
      </c>
    </row>
    <row r="387" spans="9:35" x14ac:dyDescent="0.45">
      <c r="I387" t="s">
        <v>249</v>
      </c>
      <c r="J387" t="s">
        <v>1862</v>
      </c>
      <c r="K387">
        <v>0</v>
      </c>
      <c r="L387" t="s">
        <v>251</v>
      </c>
      <c r="N387" t="s">
        <v>419</v>
      </c>
      <c r="O387" t="s">
        <v>1862</v>
      </c>
      <c r="P387">
        <v>5.9914978131345548E-5</v>
      </c>
      <c r="Q387" t="s">
        <v>251</v>
      </c>
      <c r="S387" t="s">
        <v>420</v>
      </c>
      <c r="T387" t="s">
        <v>1862</v>
      </c>
      <c r="U387">
        <v>2.8946840575252097E-5</v>
      </c>
      <c r="V387" t="s">
        <v>251</v>
      </c>
      <c r="X387">
        <v>1.1415525114155251E-4</v>
      </c>
      <c r="Y387">
        <v>2.1546544680075254E-5</v>
      </c>
      <c r="Z387" t="s">
        <v>1862</v>
      </c>
      <c r="AA387" t="s">
        <v>25</v>
      </c>
      <c r="AC387" t="s">
        <v>22</v>
      </c>
      <c r="AD387" t="s">
        <v>1862</v>
      </c>
      <c r="AE387">
        <v>1.122031707330465E-4</v>
      </c>
      <c r="AG387" t="s">
        <v>97</v>
      </c>
      <c r="AH387" t="s">
        <v>1862</v>
      </c>
      <c r="AI387">
        <v>0</v>
      </c>
    </row>
    <row r="388" spans="9:35" x14ac:dyDescent="0.45">
      <c r="I388" t="s">
        <v>249</v>
      </c>
      <c r="J388" t="s">
        <v>1863</v>
      </c>
      <c r="K388">
        <v>0</v>
      </c>
      <c r="L388" t="s">
        <v>251</v>
      </c>
      <c r="N388" t="s">
        <v>419</v>
      </c>
      <c r="O388" t="s">
        <v>1863</v>
      </c>
      <c r="P388">
        <v>5.3953344362348312E-5</v>
      </c>
      <c r="Q388" t="s">
        <v>251</v>
      </c>
      <c r="S388" t="s">
        <v>420</v>
      </c>
      <c r="T388" t="s">
        <v>1863</v>
      </c>
      <c r="U388">
        <v>3.1393110425696537E-5</v>
      </c>
      <c r="V388" t="s">
        <v>251</v>
      </c>
      <c r="X388">
        <v>1.1415525114155251E-4</v>
      </c>
      <c r="Y388">
        <v>1.4916838624667481E-5</v>
      </c>
      <c r="Z388" t="s">
        <v>1863</v>
      </c>
      <c r="AA388" t="s">
        <v>25</v>
      </c>
      <c r="AC388" t="s">
        <v>22</v>
      </c>
      <c r="AD388" t="s">
        <v>1863</v>
      </c>
      <c r="AE388">
        <v>1.079975627458416E-4</v>
      </c>
      <c r="AG388" t="s">
        <v>97</v>
      </c>
      <c r="AH388" t="s">
        <v>1863</v>
      </c>
      <c r="AI388">
        <v>0</v>
      </c>
    </row>
    <row r="389" spans="9:35" x14ac:dyDescent="0.45">
      <c r="I389" t="s">
        <v>249</v>
      </c>
      <c r="J389" t="s">
        <v>1864</v>
      </c>
      <c r="K389">
        <v>0</v>
      </c>
      <c r="L389" t="s">
        <v>251</v>
      </c>
      <c r="N389" t="s">
        <v>419</v>
      </c>
      <c r="O389" t="s">
        <v>1864</v>
      </c>
      <c r="P389">
        <v>4.8505185086682618E-5</v>
      </c>
      <c r="Q389" t="s">
        <v>251</v>
      </c>
      <c r="S389" t="s">
        <v>420</v>
      </c>
      <c r="T389" t="s">
        <v>1864</v>
      </c>
      <c r="U389">
        <v>3.1929500534915624E-5</v>
      </c>
      <c r="V389" t="s">
        <v>251</v>
      </c>
      <c r="X389">
        <v>1.1415525114155251E-4</v>
      </c>
      <c r="Y389">
        <v>1.6574265138519424E-5</v>
      </c>
      <c r="Z389" t="s">
        <v>1864</v>
      </c>
      <c r="AA389" t="s">
        <v>25</v>
      </c>
      <c r="AC389" t="s">
        <v>22</v>
      </c>
      <c r="AD389" t="s">
        <v>1864</v>
      </c>
      <c r="AE389">
        <v>1.0555594105725374E-4</v>
      </c>
      <c r="AG389" t="s">
        <v>97</v>
      </c>
      <c r="AH389" t="s">
        <v>1864</v>
      </c>
      <c r="AI389">
        <v>0</v>
      </c>
    </row>
    <row r="390" spans="9:35" x14ac:dyDescent="0.45">
      <c r="I390" t="s">
        <v>249</v>
      </c>
      <c r="J390" t="s">
        <v>1865</v>
      </c>
      <c r="K390">
        <v>0</v>
      </c>
      <c r="L390" t="s">
        <v>251</v>
      </c>
      <c r="N390" t="s">
        <v>419</v>
      </c>
      <c r="O390" t="s">
        <v>1865</v>
      </c>
      <c r="P390">
        <v>3.4113981081699723E-5</v>
      </c>
      <c r="Q390" t="s">
        <v>251</v>
      </c>
      <c r="S390" t="s">
        <v>420</v>
      </c>
      <c r="T390" t="s">
        <v>1865</v>
      </c>
      <c r="U390">
        <v>3.0532619575423964E-5</v>
      </c>
      <c r="V390" t="s">
        <v>251</v>
      </c>
      <c r="X390">
        <v>1.1415525114155251E-4</v>
      </c>
      <c r="Y390">
        <v>1.4585353321897093E-5</v>
      </c>
      <c r="Z390" t="s">
        <v>1865</v>
      </c>
      <c r="AA390" t="s">
        <v>25</v>
      </c>
      <c r="AC390" t="s">
        <v>22</v>
      </c>
      <c r="AD390" t="s">
        <v>1865</v>
      </c>
      <c r="AE390">
        <v>1.0081329368421764E-4</v>
      </c>
      <c r="AG390" t="s">
        <v>97</v>
      </c>
      <c r="AH390" t="s">
        <v>1865</v>
      </c>
      <c r="AI390">
        <v>0</v>
      </c>
    </row>
    <row r="391" spans="9:35" x14ac:dyDescent="0.45">
      <c r="I391" t="s">
        <v>249</v>
      </c>
      <c r="J391" t="s">
        <v>1866</v>
      </c>
      <c r="K391">
        <v>0</v>
      </c>
      <c r="L391" t="s">
        <v>251</v>
      </c>
      <c r="N391" t="s">
        <v>419</v>
      </c>
      <c r="O391" t="s">
        <v>1866</v>
      </c>
      <c r="P391">
        <v>3.1754298194969979E-5</v>
      </c>
      <c r="Q391" t="s">
        <v>251</v>
      </c>
      <c r="S391" t="s">
        <v>420</v>
      </c>
      <c r="T391" t="s">
        <v>1866</v>
      </c>
      <c r="U391">
        <v>2.0928121449364583E-5</v>
      </c>
      <c r="V391" t="s">
        <v>251</v>
      </c>
      <c r="X391">
        <v>1.1415525114155251E-4</v>
      </c>
      <c r="Y391">
        <v>2.1215059377304864E-5</v>
      </c>
      <c r="Z391" t="s">
        <v>1866</v>
      </c>
      <c r="AA391" t="s">
        <v>25</v>
      </c>
      <c r="AC391" t="s">
        <v>22</v>
      </c>
      <c r="AD391" t="s">
        <v>1866</v>
      </c>
      <c r="AE391">
        <v>9.9527920727965845E-5</v>
      </c>
      <c r="AG391" t="s">
        <v>97</v>
      </c>
      <c r="AH391" t="s">
        <v>1866</v>
      </c>
      <c r="AI391">
        <v>0</v>
      </c>
    </row>
    <row r="392" spans="9:35" x14ac:dyDescent="0.45">
      <c r="I392" t="s">
        <v>249</v>
      </c>
      <c r="J392" t="s">
        <v>1867</v>
      </c>
      <c r="K392">
        <v>0</v>
      </c>
      <c r="L392" t="s">
        <v>251</v>
      </c>
      <c r="N392" t="s">
        <v>419</v>
      </c>
      <c r="O392" t="s">
        <v>1867</v>
      </c>
      <c r="P392">
        <v>3.080256055452796E-5</v>
      </c>
      <c r="Q392" t="s">
        <v>251</v>
      </c>
      <c r="S392" t="s">
        <v>420</v>
      </c>
      <c r="T392" t="s">
        <v>1867</v>
      </c>
      <c r="U392">
        <v>1.6556827263125277E-5</v>
      </c>
      <c r="V392" t="s">
        <v>251</v>
      </c>
      <c r="X392">
        <v>1.1415525114155251E-4</v>
      </c>
      <c r="Y392">
        <v>5.7678442682047593E-5</v>
      </c>
      <c r="Z392" t="s">
        <v>1867</v>
      </c>
      <c r="AA392" t="s">
        <v>25</v>
      </c>
      <c r="AC392" t="s">
        <v>22</v>
      </c>
      <c r="AD392" t="s">
        <v>1867</v>
      </c>
      <c r="AE392">
        <v>9.2666729011717729E-5</v>
      </c>
      <c r="AG392" t="s">
        <v>97</v>
      </c>
      <c r="AH392" t="s">
        <v>1867</v>
      </c>
      <c r="AI392">
        <v>0</v>
      </c>
    </row>
    <row r="393" spans="9:35" x14ac:dyDescent="0.45">
      <c r="I393" t="s">
        <v>249</v>
      </c>
      <c r="J393" t="s">
        <v>1868</v>
      </c>
      <c r="K393">
        <v>1.153998295124E-4</v>
      </c>
      <c r="L393" t="s">
        <v>251</v>
      </c>
      <c r="N393" t="s">
        <v>419</v>
      </c>
      <c r="O393" t="s">
        <v>1868</v>
      </c>
      <c r="P393">
        <v>2.7634818803901021E-5</v>
      </c>
      <c r="Q393" t="s">
        <v>251</v>
      </c>
      <c r="S393" t="s">
        <v>420</v>
      </c>
      <c r="T393" t="s">
        <v>1868</v>
      </c>
      <c r="U393">
        <v>1.467087653636013E-5</v>
      </c>
      <c r="V393" t="s">
        <v>251</v>
      </c>
      <c r="X393">
        <v>1.1415525114155251E-4</v>
      </c>
      <c r="Y393">
        <v>1.6905750441289813E-4</v>
      </c>
      <c r="Z393" t="s">
        <v>1868</v>
      </c>
      <c r="AA393" t="s">
        <v>25</v>
      </c>
      <c r="AC393" t="s">
        <v>22</v>
      </c>
      <c r="AD393" t="s">
        <v>1868</v>
      </c>
      <c r="AE393">
        <v>8.9433821273266254E-5</v>
      </c>
      <c r="AG393" t="s">
        <v>97</v>
      </c>
      <c r="AH393" t="s">
        <v>1868</v>
      </c>
      <c r="AI393">
        <v>0</v>
      </c>
    </row>
    <row r="394" spans="9:35" x14ac:dyDescent="0.45">
      <c r="I394" t="s">
        <v>249</v>
      </c>
      <c r="J394" t="s">
        <v>1869</v>
      </c>
      <c r="K394">
        <v>1.9819747223400001E-4</v>
      </c>
      <c r="L394" t="s">
        <v>251</v>
      </c>
      <c r="N394" t="s">
        <v>419</v>
      </c>
      <c r="O394" t="s">
        <v>1869</v>
      </c>
      <c r="P394">
        <v>1.735431360946049E-5</v>
      </c>
      <c r="Q394" t="s">
        <v>251</v>
      </c>
      <c r="S394" t="s">
        <v>420</v>
      </c>
      <c r="T394" t="s">
        <v>1869</v>
      </c>
      <c r="U394">
        <v>1.3231004571017548E-5</v>
      </c>
      <c r="V394" t="s">
        <v>251</v>
      </c>
      <c r="X394">
        <v>1.1415525114155251E-4</v>
      </c>
      <c r="Y394">
        <v>1.9060404909297337E-4</v>
      </c>
      <c r="Z394" t="s">
        <v>1869</v>
      </c>
      <c r="AA394" t="s">
        <v>25</v>
      </c>
      <c r="AC394" t="s">
        <v>22</v>
      </c>
      <c r="AD394" t="s">
        <v>1869</v>
      </c>
      <c r="AE394">
        <v>8.5922922953574795E-5</v>
      </c>
      <c r="AG394" t="s">
        <v>97</v>
      </c>
      <c r="AH394" t="s">
        <v>1869</v>
      </c>
      <c r="AI394">
        <v>0</v>
      </c>
    </row>
    <row r="395" spans="9:35" x14ac:dyDescent="0.45">
      <c r="I395" t="s">
        <v>249</v>
      </c>
      <c r="J395" t="s">
        <v>1870</v>
      </c>
      <c r="K395">
        <v>2.4400755201780001E-4</v>
      </c>
      <c r="L395" t="s">
        <v>251</v>
      </c>
      <c r="N395" t="s">
        <v>419</v>
      </c>
      <c r="O395" t="s">
        <v>1870</v>
      </c>
      <c r="P395">
        <v>1.5331380450538125E-5</v>
      </c>
      <c r="Q395" t="s">
        <v>251</v>
      </c>
      <c r="S395" t="s">
        <v>420</v>
      </c>
      <c r="T395" t="s">
        <v>1870</v>
      </c>
      <c r="U395">
        <v>1.511622424521957E-5</v>
      </c>
      <c r="V395" t="s">
        <v>251</v>
      </c>
      <c r="X395">
        <v>1.1415525114155251E-4</v>
      </c>
      <c r="Y395">
        <v>1.4585353321897094E-4</v>
      </c>
      <c r="Z395" t="s">
        <v>1870</v>
      </c>
      <c r="AA395" t="s">
        <v>25</v>
      </c>
      <c r="AC395" t="s">
        <v>22</v>
      </c>
      <c r="AD395" t="s">
        <v>1870</v>
      </c>
      <c r="AE395">
        <v>8.5974412571789111E-5</v>
      </c>
      <c r="AG395" t="s">
        <v>97</v>
      </c>
      <c r="AH395" t="s">
        <v>1870</v>
      </c>
      <c r="AI395">
        <v>0</v>
      </c>
    </row>
    <row r="396" spans="9:35" x14ac:dyDescent="0.45">
      <c r="I396" t="s">
        <v>249</v>
      </c>
      <c r="J396" t="s">
        <v>1871</v>
      </c>
      <c r="K396">
        <v>2.7040171816450001E-4</v>
      </c>
      <c r="L396" t="s">
        <v>251</v>
      </c>
      <c r="N396" t="s">
        <v>419</v>
      </c>
      <c r="O396" t="s">
        <v>1871</v>
      </c>
      <c r="P396">
        <v>1.4738544839915478E-5</v>
      </c>
      <c r="Q396" t="s">
        <v>251</v>
      </c>
      <c r="S396" t="s">
        <v>420</v>
      </c>
      <c r="T396" t="s">
        <v>1871</v>
      </c>
      <c r="U396">
        <v>2.7029489982377363E-5</v>
      </c>
      <c r="V396" t="s">
        <v>251</v>
      </c>
      <c r="X396">
        <v>1.1415525114155251E-4</v>
      </c>
      <c r="Y396">
        <v>1.4452759200788939E-4</v>
      </c>
      <c r="Z396" t="s">
        <v>1871</v>
      </c>
      <c r="AA396" t="s">
        <v>25</v>
      </c>
      <c r="AC396" t="s">
        <v>22</v>
      </c>
      <c r="AD396" t="s">
        <v>1871</v>
      </c>
      <c r="AE396">
        <v>8.7449470080115413E-5</v>
      </c>
      <c r="AG396" t="s">
        <v>97</v>
      </c>
      <c r="AH396" t="s">
        <v>1871</v>
      </c>
      <c r="AI396">
        <v>0</v>
      </c>
    </row>
    <row r="397" spans="9:35" x14ac:dyDescent="0.45">
      <c r="I397" t="s">
        <v>249</v>
      </c>
      <c r="J397" t="s">
        <v>1872</v>
      </c>
      <c r="K397">
        <v>2.8622849610129999E-4</v>
      </c>
      <c r="L397" t="s">
        <v>251</v>
      </c>
      <c r="N397" t="s">
        <v>419</v>
      </c>
      <c r="O397" t="s">
        <v>1872</v>
      </c>
      <c r="P397">
        <v>1.3248173390952969E-5</v>
      </c>
      <c r="Q397" t="s">
        <v>251</v>
      </c>
      <c r="S397" t="s">
        <v>420</v>
      </c>
      <c r="T397" t="s">
        <v>1872</v>
      </c>
      <c r="U397">
        <v>5.3214202909041575E-5</v>
      </c>
      <c r="V397" t="s">
        <v>251</v>
      </c>
      <c r="X397">
        <v>1.1415525114155251E-4</v>
      </c>
      <c r="Y397">
        <v>1.408812536774151E-4</v>
      </c>
      <c r="Z397" t="s">
        <v>1872</v>
      </c>
      <c r="AA397" t="s">
        <v>25</v>
      </c>
      <c r="AC397" t="s">
        <v>22</v>
      </c>
      <c r="AD397" t="s">
        <v>1872</v>
      </c>
      <c r="AE397">
        <v>9.3943031258025023E-5</v>
      </c>
      <c r="AG397" t="s">
        <v>97</v>
      </c>
      <c r="AH397" t="s">
        <v>1872</v>
      </c>
      <c r="AI397">
        <v>0</v>
      </c>
    </row>
    <row r="398" spans="9:35" x14ac:dyDescent="0.45">
      <c r="I398" t="s">
        <v>249</v>
      </c>
      <c r="J398" t="s">
        <v>1873</v>
      </c>
      <c r="K398">
        <v>2.8886793618999998E-4</v>
      </c>
      <c r="L398" t="s">
        <v>251</v>
      </c>
      <c r="N398" t="s">
        <v>419</v>
      </c>
      <c r="O398" t="s">
        <v>1873</v>
      </c>
      <c r="P398">
        <v>1.0357154369234786E-5</v>
      </c>
      <c r="Q398" t="s">
        <v>251</v>
      </c>
      <c r="S398" t="s">
        <v>420</v>
      </c>
      <c r="T398" t="s">
        <v>1873</v>
      </c>
      <c r="U398">
        <v>8.2491413831050692E-5</v>
      </c>
      <c r="V398" t="s">
        <v>251</v>
      </c>
      <c r="X398">
        <v>1.1415525114155251E-4</v>
      </c>
      <c r="Y398">
        <v>1.4054976837464471E-4</v>
      </c>
      <c r="Z398" t="s">
        <v>1873</v>
      </c>
      <c r="AA398" t="s">
        <v>25</v>
      </c>
      <c r="AC398" t="s">
        <v>22</v>
      </c>
      <c r="AD398" t="s">
        <v>1873</v>
      </c>
      <c r="AE398">
        <v>1.0083730438701186E-4</v>
      </c>
      <c r="AG398" t="s">
        <v>97</v>
      </c>
      <c r="AH398" t="s">
        <v>1873</v>
      </c>
      <c r="AI398">
        <v>0</v>
      </c>
    </row>
    <row r="399" spans="9:35" x14ac:dyDescent="0.45">
      <c r="I399" t="s">
        <v>249</v>
      </c>
      <c r="J399" t="s">
        <v>1874</v>
      </c>
      <c r="K399">
        <v>2.7093302959919999E-4</v>
      </c>
      <c r="L399" t="s">
        <v>251</v>
      </c>
      <c r="N399" t="s">
        <v>419</v>
      </c>
      <c r="O399" t="s">
        <v>1874</v>
      </c>
      <c r="P399">
        <v>8.3888432470343361E-6</v>
      </c>
      <c r="Q399" t="s">
        <v>251</v>
      </c>
      <c r="S399" t="s">
        <v>420</v>
      </c>
      <c r="T399" t="s">
        <v>1874</v>
      </c>
      <c r="U399">
        <v>1.022001612716E-4</v>
      </c>
      <c r="V399" t="s">
        <v>251</v>
      </c>
      <c r="X399">
        <v>1.1415525114155251E-4</v>
      </c>
      <c r="Y399">
        <v>1.4253868019126702E-4</v>
      </c>
      <c r="Z399" t="s">
        <v>1874</v>
      </c>
      <c r="AA399" t="s">
        <v>25</v>
      </c>
      <c r="AC399" t="s">
        <v>22</v>
      </c>
      <c r="AD399" t="s">
        <v>1874</v>
      </c>
      <c r="AE399">
        <v>1.0952704451383486E-4</v>
      </c>
      <c r="AG399" t="s">
        <v>97</v>
      </c>
      <c r="AH399" t="s">
        <v>1874</v>
      </c>
      <c r="AI399">
        <v>0</v>
      </c>
    </row>
    <row r="400" spans="9:35" x14ac:dyDescent="0.45">
      <c r="I400" t="s">
        <v>249</v>
      </c>
      <c r="J400" t="s">
        <v>1875</v>
      </c>
      <c r="K400">
        <v>2.6754205838329999E-4</v>
      </c>
      <c r="L400" t="s">
        <v>251</v>
      </c>
      <c r="N400" t="s">
        <v>419</v>
      </c>
      <c r="O400" t="s">
        <v>1875</v>
      </c>
      <c r="P400">
        <v>7.9903721118499763E-6</v>
      </c>
      <c r="Q400" t="s">
        <v>251</v>
      </c>
      <c r="S400" t="s">
        <v>420</v>
      </c>
      <c r="T400" t="s">
        <v>1875</v>
      </c>
      <c r="U400">
        <v>1.079382193142E-4</v>
      </c>
      <c r="V400" t="s">
        <v>251</v>
      </c>
      <c r="X400">
        <v>1.1415525114155251E-4</v>
      </c>
      <c r="Y400">
        <v>1.4883690094390442E-4</v>
      </c>
      <c r="Z400" t="s">
        <v>1875</v>
      </c>
      <c r="AA400" t="s">
        <v>25</v>
      </c>
      <c r="AC400" t="s">
        <v>22</v>
      </c>
      <c r="AD400" t="s">
        <v>1875</v>
      </c>
      <c r="AE400">
        <v>1.1606008995856167E-4</v>
      </c>
      <c r="AG400" t="s">
        <v>97</v>
      </c>
      <c r="AH400" t="s">
        <v>1875</v>
      </c>
      <c r="AI400">
        <v>0</v>
      </c>
    </row>
    <row r="401" spans="9:35" x14ac:dyDescent="0.45">
      <c r="I401" t="s">
        <v>249</v>
      </c>
      <c r="J401" t="s">
        <v>1876</v>
      </c>
      <c r="K401">
        <v>2.6750983045829998E-4</v>
      </c>
      <c r="L401" t="s">
        <v>251</v>
      </c>
      <c r="N401" t="s">
        <v>419</v>
      </c>
      <c r="O401" t="s">
        <v>1876</v>
      </c>
      <c r="P401">
        <v>8.67638624532102E-6</v>
      </c>
      <c r="Q401" t="s">
        <v>251</v>
      </c>
      <c r="S401" t="s">
        <v>420</v>
      </c>
      <c r="T401" t="s">
        <v>1876</v>
      </c>
      <c r="U401">
        <v>1.046275756266E-4</v>
      </c>
      <c r="V401" t="s">
        <v>251</v>
      </c>
      <c r="X401">
        <v>1.1415525114155251E-4</v>
      </c>
      <c r="Y401">
        <v>1.5049432745775637E-4</v>
      </c>
      <c r="Z401" t="s">
        <v>1876</v>
      </c>
      <c r="AA401" t="s">
        <v>25</v>
      </c>
      <c r="AC401" t="s">
        <v>22</v>
      </c>
      <c r="AD401" t="s">
        <v>1876</v>
      </c>
      <c r="AE401">
        <v>1.2004559983681933E-4</v>
      </c>
      <c r="AG401" t="s">
        <v>97</v>
      </c>
      <c r="AH401" t="s">
        <v>1876</v>
      </c>
      <c r="AI401">
        <v>0</v>
      </c>
    </row>
    <row r="402" spans="9:35" x14ac:dyDescent="0.45">
      <c r="I402" t="s">
        <v>249</v>
      </c>
      <c r="J402" t="s">
        <v>1877</v>
      </c>
      <c r="K402">
        <v>2.5377433047449999E-4</v>
      </c>
      <c r="L402" t="s">
        <v>251</v>
      </c>
      <c r="N402" t="s">
        <v>419</v>
      </c>
      <c r="O402" t="s">
        <v>1877</v>
      </c>
      <c r="P402">
        <v>1.08839532378561E-5</v>
      </c>
      <c r="Q402" t="s">
        <v>251</v>
      </c>
      <c r="S402" t="s">
        <v>420</v>
      </c>
      <c r="T402" t="s">
        <v>1877</v>
      </c>
      <c r="U402">
        <v>9.8956964301761304E-5</v>
      </c>
      <c r="V402" t="s">
        <v>251</v>
      </c>
      <c r="X402">
        <v>1.1415525114155251E-4</v>
      </c>
      <c r="Y402">
        <v>1.7237235744060203E-4</v>
      </c>
      <c r="Z402" t="s">
        <v>1877</v>
      </c>
      <c r="AA402" t="s">
        <v>25</v>
      </c>
      <c r="AC402" t="s">
        <v>22</v>
      </c>
      <c r="AD402" t="s">
        <v>1877</v>
      </c>
      <c r="AE402">
        <v>1.2129629066681276E-4</v>
      </c>
      <c r="AG402" t="s">
        <v>97</v>
      </c>
      <c r="AH402" t="s">
        <v>1877</v>
      </c>
      <c r="AI402">
        <v>0</v>
      </c>
    </row>
    <row r="403" spans="9:35" x14ac:dyDescent="0.45">
      <c r="I403" t="s">
        <v>249</v>
      </c>
      <c r="J403" t="s">
        <v>1878</v>
      </c>
      <c r="K403">
        <v>2.353039103149E-4</v>
      </c>
      <c r="L403" t="s">
        <v>251</v>
      </c>
      <c r="N403" t="s">
        <v>419</v>
      </c>
      <c r="O403" t="s">
        <v>1878</v>
      </c>
      <c r="P403">
        <v>1.437409096577217E-5</v>
      </c>
      <c r="Q403" t="s">
        <v>251</v>
      </c>
      <c r="S403" t="s">
        <v>420</v>
      </c>
      <c r="T403" t="s">
        <v>1878</v>
      </c>
      <c r="U403">
        <v>9.4018365648547322E-5</v>
      </c>
      <c r="V403" t="s">
        <v>251</v>
      </c>
      <c r="X403">
        <v>1.1415525114155251E-4</v>
      </c>
      <c r="Y403">
        <v>2.2209515285616027E-4</v>
      </c>
      <c r="Z403" t="s">
        <v>1878</v>
      </c>
      <c r="AA403" t="s">
        <v>25</v>
      </c>
      <c r="AC403" t="s">
        <v>22</v>
      </c>
      <c r="AD403" t="s">
        <v>1878</v>
      </c>
      <c r="AE403">
        <v>1.222986041156791E-4</v>
      </c>
      <c r="AG403" t="s">
        <v>97</v>
      </c>
      <c r="AH403" t="s">
        <v>1878</v>
      </c>
      <c r="AI403">
        <v>0</v>
      </c>
    </row>
    <row r="404" spans="9:35" x14ac:dyDescent="0.45">
      <c r="I404" t="s">
        <v>249</v>
      </c>
      <c r="J404" t="s">
        <v>1879</v>
      </c>
      <c r="K404">
        <v>2.0492196729949999E-4</v>
      </c>
      <c r="L404" t="s">
        <v>251</v>
      </c>
      <c r="N404" t="s">
        <v>419</v>
      </c>
      <c r="O404" t="s">
        <v>1879</v>
      </c>
      <c r="P404">
        <v>2.1838136120182773E-5</v>
      </c>
      <c r="Q404" t="s">
        <v>251</v>
      </c>
      <c r="S404" t="s">
        <v>420</v>
      </c>
      <c r="T404" t="s">
        <v>1879</v>
      </c>
      <c r="U404">
        <v>9.4445754291677276E-5</v>
      </c>
      <c r="V404" t="s">
        <v>251</v>
      </c>
      <c r="X404">
        <v>1.1415525114155251E-4</v>
      </c>
      <c r="Y404">
        <v>2.2209515285616027E-4</v>
      </c>
      <c r="Z404" t="s">
        <v>1879</v>
      </c>
      <c r="AA404" t="s">
        <v>25</v>
      </c>
      <c r="AC404" t="s">
        <v>22</v>
      </c>
      <c r="AD404" t="s">
        <v>1879</v>
      </c>
      <c r="AE404">
        <v>1.2412795288301379E-4</v>
      </c>
      <c r="AG404" t="s">
        <v>97</v>
      </c>
      <c r="AH404" t="s">
        <v>1879</v>
      </c>
      <c r="AI404">
        <v>0</v>
      </c>
    </row>
    <row r="405" spans="9:35" x14ac:dyDescent="0.45">
      <c r="I405" t="s">
        <v>249</v>
      </c>
      <c r="J405" t="s">
        <v>1880</v>
      </c>
      <c r="K405">
        <v>1.5588021008899999E-4</v>
      </c>
      <c r="L405" t="s">
        <v>251</v>
      </c>
      <c r="N405" t="s">
        <v>419</v>
      </c>
      <c r="O405" t="s">
        <v>1880</v>
      </c>
      <c r="P405">
        <v>3.153708642964837E-5</v>
      </c>
      <c r="Q405" t="s">
        <v>251</v>
      </c>
      <c r="S405" t="s">
        <v>420</v>
      </c>
      <c r="T405" t="s">
        <v>1880</v>
      </c>
      <c r="U405">
        <v>9.8879438176153103E-5</v>
      </c>
      <c r="V405" t="s">
        <v>251</v>
      </c>
      <c r="X405">
        <v>1.1415525114155251E-4</v>
      </c>
      <c r="Y405">
        <v>1.7237235744060203E-4</v>
      </c>
      <c r="Z405" t="s">
        <v>1880</v>
      </c>
      <c r="AA405" t="s">
        <v>25</v>
      </c>
      <c r="AC405" t="s">
        <v>22</v>
      </c>
      <c r="AD405" t="s">
        <v>1880</v>
      </c>
      <c r="AE405">
        <v>1.2488028823723338E-4</v>
      </c>
      <c r="AG405" t="s">
        <v>97</v>
      </c>
      <c r="AH405" t="s">
        <v>1880</v>
      </c>
      <c r="AI405">
        <v>0</v>
      </c>
    </row>
    <row r="406" spans="9:35" x14ac:dyDescent="0.45">
      <c r="I406" t="s">
        <v>249</v>
      </c>
      <c r="J406" t="s">
        <v>1881</v>
      </c>
      <c r="K406">
        <v>5.3390544414056237E-5</v>
      </c>
      <c r="L406" t="s">
        <v>251</v>
      </c>
      <c r="N406" t="s">
        <v>419</v>
      </c>
      <c r="O406" t="s">
        <v>1881</v>
      </c>
      <c r="P406">
        <v>4.3067634945868994E-5</v>
      </c>
      <c r="Q406" t="s">
        <v>251</v>
      </c>
      <c r="S406" t="s">
        <v>420</v>
      </c>
      <c r="T406" t="s">
        <v>1881</v>
      </c>
      <c r="U406">
        <v>9.7737031269674082E-5</v>
      </c>
      <c r="V406" t="s">
        <v>251</v>
      </c>
      <c r="X406">
        <v>1.1415525114155251E-4</v>
      </c>
      <c r="Y406">
        <v>1.5579809230208258E-4</v>
      </c>
      <c r="Z406" t="s">
        <v>1881</v>
      </c>
      <c r="AA406" t="s">
        <v>25</v>
      </c>
      <c r="AC406" t="s">
        <v>22</v>
      </c>
      <c r="AD406" t="s">
        <v>1881</v>
      </c>
      <c r="AE406">
        <v>1.2710794788536588E-4</v>
      </c>
      <c r="AG406" t="s">
        <v>97</v>
      </c>
      <c r="AH406" t="s">
        <v>1881</v>
      </c>
      <c r="AI406">
        <v>0</v>
      </c>
    </row>
    <row r="407" spans="9:35" x14ac:dyDescent="0.45">
      <c r="I407" t="s">
        <v>249</v>
      </c>
      <c r="J407" t="s">
        <v>1882</v>
      </c>
      <c r="K407">
        <v>0</v>
      </c>
      <c r="L407" t="s">
        <v>251</v>
      </c>
      <c r="N407" t="s">
        <v>419</v>
      </c>
      <c r="O407" t="s">
        <v>1882</v>
      </c>
      <c r="P407">
        <v>5.4803697293001453E-5</v>
      </c>
      <c r="Q407" t="s">
        <v>251</v>
      </c>
      <c r="S407" t="s">
        <v>420</v>
      </c>
      <c r="T407" t="s">
        <v>1882</v>
      </c>
      <c r="U407">
        <v>9.3105672793881517E-5</v>
      </c>
      <c r="V407" t="s">
        <v>251</v>
      </c>
      <c r="X407">
        <v>1.1415525114155251E-4</v>
      </c>
      <c r="Y407">
        <v>1.093901499142282E-4</v>
      </c>
      <c r="Z407" t="s">
        <v>1882</v>
      </c>
      <c r="AA407" t="s">
        <v>25</v>
      </c>
      <c r="AC407" t="s">
        <v>22</v>
      </c>
      <c r="AD407" t="s">
        <v>1882</v>
      </c>
      <c r="AE407">
        <v>1.2726508459587487E-4</v>
      </c>
      <c r="AG407" t="s">
        <v>97</v>
      </c>
      <c r="AH407" t="s">
        <v>1882</v>
      </c>
      <c r="AI407">
        <v>0</v>
      </c>
    </row>
    <row r="408" spans="9:35" x14ac:dyDescent="0.45">
      <c r="I408" t="s">
        <v>249</v>
      </c>
      <c r="J408" t="s">
        <v>1883</v>
      </c>
      <c r="K408">
        <v>0</v>
      </c>
      <c r="L408" t="s">
        <v>251</v>
      </c>
      <c r="N408" t="s">
        <v>419</v>
      </c>
      <c r="O408" t="s">
        <v>1883</v>
      </c>
      <c r="P408">
        <v>6.3205932938328928E-5</v>
      </c>
      <c r="Q408" t="s">
        <v>251</v>
      </c>
      <c r="S408" t="s">
        <v>420</v>
      </c>
      <c r="T408" t="s">
        <v>1883</v>
      </c>
      <c r="U408">
        <v>8.9551506099001856E-5</v>
      </c>
      <c r="V408" t="s">
        <v>251</v>
      </c>
      <c r="X408">
        <v>1.1415525114155251E-4</v>
      </c>
      <c r="Y408">
        <v>7.9556472664893237E-5</v>
      </c>
      <c r="Z408" t="s">
        <v>1883</v>
      </c>
      <c r="AA408" t="s">
        <v>25</v>
      </c>
      <c r="AC408" t="s">
        <v>22</v>
      </c>
      <c r="AD408" t="s">
        <v>1883</v>
      </c>
      <c r="AE408">
        <v>1.2824205341401394E-4</v>
      </c>
      <c r="AG408" t="s">
        <v>97</v>
      </c>
      <c r="AH408" t="s">
        <v>1883</v>
      </c>
      <c r="AI408">
        <v>0</v>
      </c>
    </row>
    <row r="409" spans="9:35" x14ac:dyDescent="0.45">
      <c r="I409" t="s">
        <v>249</v>
      </c>
      <c r="J409" t="s">
        <v>1884</v>
      </c>
      <c r="K409">
        <v>0</v>
      </c>
      <c r="L409" t="s">
        <v>251</v>
      </c>
      <c r="N409" t="s">
        <v>419</v>
      </c>
      <c r="O409" t="s">
        <v>1884</v>
      </c>
      <c r="P409">
        <v>7.1319185211673458E-5</v>
      </c>
      <c r="Q409" t="s">
        <v>251</v>
      </c>
      <c r="S409" t="s">
        <v>420</v>
      </c>
      <c r="T409" t="s">
        <v>1884</v>
      </c>
      <c r="U409">
        <v>9.1187694363085116E-5</v>
      </c>
      <c r="V409" t="s">
        <v>251</v>
      </c>
      <c r="X409">
        <v>1.1415525114155251E-4</v>
      </c>
      <c r="Y409">
        <v>5.6352501470966035E-5</v>
      </c>
      <c r="Z409" t="s">
        <v>1884</v>
      </c>
      <c r="AA409" t="s">
        <v>25</v>
      </c>
      <c r="AC409" t="s">
        <v>22</v>
      </c>
      <c r="AD409" t="s">
        <v>1884</v>
      </c>
      <c r="AE409">
        <v>1.2762871335041435E-4</v>
      </c>
      <c r="AG409" t="s">
        <v>97</v>
      </c>
      <c r="AH409" t="s">
        <v>1884</v>
      </c>
      <c r="AI409">
        <v>0</v>
      </c>
    </row>
    <row r="410" spans="9:35" x14ac:dyDescent="0.45">
      <c r="I410" t="s">
        <v>249</v>
      </c>
      <c r="J410" t="s">
        <v>1885</v>
      </c>
      <c r="K410">
        <v>0</v>
      </c>
      <c r="L410" t="s">
        <v>251</v>
      </c>
      <c r="N410" t="s">
        <v>419</v>
      </c>
      <c r="O410" t="s">
        <v>1885</v>
      </c>
      <c r="P410">
        <v>7.3686418519962853E-5</v>
      </c>
      <c r="Q410" t="s">
        <v>251</v>
      </c>
      <c r="S410" t="s">
        <v>420</v>
      </c>
      <c r="T410" t="s">
        <v>1885</v>
      </c>
      <c r="U410">
        <v>8.9049470783642709E-5</v>
      </c>
      <c r="V410" t="s">
        <v>251</v>
      </c>
      <c r="X410">
        <v>1.1415525114155251E-4</v>
      </c>
      <c r="Y410">
        <v>2.9833677249334962E-5</v>
      </c>
      <c r="Z410" t="s">
        <v>1885</v>
      </c>
      <c r="AA410" t="s">
        <v>25</v>
      </c>
      <c r="AC410" t="s">
        <v>22</v>
      </c>
      <c r="AD410" t="s">
        <v>1885</v>
      </c>
      <c r="AE410">
        <v>1.2796566354629353E-4</v>
      </c>
      <c r="AG410" t="s">
        <v>97</v>
      </c>
      <c r="AH410" t="s">
        <v>1885</v>
      </c>
      <c r="AI410">
        <v>0</v>
      </c>
    </row>
    <row r="411" spans="9:35" x14ac:dyDescent="0.45">
      <c r="I411" t="s">
        <v>249</v>
      </c>
      <c r="J411" t="s">
        <v>363</v>
      </c>
      <c r="K411">
        <v>0</v>
      </c>
      <c r="L411" t="s">
        <v>251</v>
      </c>
      <c r="N411" t="s">
        <v>419</v>
      </c>
      <c r="O411" t="s">
        <v>363</v>
      </c>
      <c r="P411">
        <v>2.1987516014648524E-2</v>
      </c>
      <c r="Q411" t="s">
        <v>251</v>
      </c>
      <c r="S411" t="s">
        <v>420</v>
      </c>
      <c r="T411" t="s">
        <v>363</v>
      </c>
      <c r="U411">
        <v>1.7916686543167984E-2</v>
      </c>
      <c r="V411" t="s">
        <v>251</v>
      </c>
      <c r="X411">
        <v>2.0547945205479451E-2</v>
      </c>
      <c r="Y411">
        <v>4.3954951147353507E-3</v>
      </c>
      <c r="Z411" t="s">
        <v>363</v>
      </c>
      <c r="AA411" t="s">
        <v>25</v>
      </c>
      <c r="AC411" t="s">
        <v>22</v>
      </c>
      <c r="AD411" t="s">
        <v>363</v>
      </c>
      <c r="AE411">
        <v>1.9431112851412507E-2</v>
      </c>
      <c r="AG411" t="s">
        <v>97</v>
      </c>
      <c r="AH411" t="s">
        <v>363</v>
      </c>
      <c r="AI411">
        <v>0.17457053711121984</v>
      </c>
    </row>
    <row r="412" spans="9:35" x14ac:dyDescent="0.45">
      <c r="I412" t="s">
        <v>249</v>
      </c>
      <c r="J412" t="s">
        <v>364</v>
      </c>
      <c r="K412">
        <v>1.4265884888544206E-3</v>
      </c>
      <c r="L412" t="s">
        <v>251</v>
      </c>
      <c r="N412" t="s">
        <v>419</v>
      </c>
      <c r="O412" t="s">
        <v>364</v>
      </c>
      <c r="P412">
        <v>3.2426110992468502E-3</v>
      </c>
      <c r="Q412" t="s">
        <v>251</v>
      </c>
      <c r="S412" t="s">
        <v>420</v>
      </c>
      <c r="T412" t="s">
        <v>364</v>
      </c>
      <c r="U412">
        <v>2.7519371231801543E-3</v>
      </c>
      <c r="V412" t="s">
        <v>251</v>
      </c>
      <c r="X412">
        <v>3.4246575342465752E-3</v>
      </c>
      <c r="Y412">
        <v>5.0717251323869452E-3</v>
      </c>
      <c r="Z412" t="s">
        <v>364</v>
      </c>
      <c r="AA412" t="s">
        <v>25</v>
      </c>
      <c r="AC412" t="s">
        <v>22</v>
      </c>
      <c r="AD412" t="s">
        <v>364</v>
      </c>
      <c r="AE412">
        <v>2.6420198074447719E-3</v>
      </c>
      <c r="AG412" t="s">
        <v>97</v>
      </c>
      <c r="AH412" t="s">
        <v>364</v>
      </c>
      <c r="AI412">
        <v>7.3776432002171433E-2</v>
      </c>
    </row>
    <row r="413" spans="9:35" x14ac:dyDescent="0.45">
      <c r="I413" t="s">
        <v>249</v>
      </c>
      <c r="J413" t="s">
        <v>365</v>
      </c>
      <c r="K413">
        <v>5.1126615802918616E-3</v>
      </c>
      <c r="L413" t="s">
        <v>251</v>
      </c>
      <c r="N413" t="s">
        <v>419</v>
      </c>
      <c r="O413" t="s">
        <v>365</v>
      </c>
      <c r="P413">
        <v>2.803716330340197E-3</v>
      </c>
      <c r="Q413" t="s">
        <v>251</v>
      </c>
      <c r="S413" t="s">
        <v>420</v>
      </c>
      <c r="T413" t="s">
        <v>365</v>
      </c>
      <c r="U413">
        <v>2.7649685483693981E-3</v>
      </c>
      <c r="V413" t="s">
        <v>251</v>
      </c>
      <c r="X413">
        <v>3.4246575342465752E-3</v>
      </c>
      <c r="Y413">
        <v>5.7181214727892006E-3</v>
      </c>
      <c r="Z413" t="s">
        <v>365</v>
      </c>
      <c r="AA413" t="s">
        <v>25</v>
      </c>
      <c r="AC413" t="s">
        <v>22</v>
      </c>
      <c r="AD413" t="s">
        <v>365</v>
      </c>
      <c r="AE413">
        <v>2.5530318743199232E-3</v>
      </c>
      <c r="AG413" t="s">
        <v>97</v>
      </c>
      <c r="AH413" t="s">
        <v>365</v>
      </c>
      <c r="AI413">
        <v>6.9391447068593237E-2</v>
      </c>
    </row>
    <row r="414" spans="9:35" x14ac:dyDescent="0.45">
      <c r="I414" t="s">
        <v>249</v>
      </c>
      <c r="J414" t="s">
        <v>366</v>
      </c>
      <c r="K414">
        <v>5.3028538289522399E-2</v>
      </c>
      <c r="L414" t="s">
        <v>251</v>
      </c>
      <c r="N414" t="s">
        <v>419</v>
      </c>
      <c r="O414" t="s">
        <v>366</v>
      </c>
      <c r="P414">
        <v>1.8409756149597192E-2</v>
      </c>
      <c r="Q414" t="s">
        <v>251</v>
      </c>
      <c r="S414" t="s">
        <v>420</v>
      </c>
      <c r="T414" t="s">
        <v>366</v>
      </c>
      <c r="U414">
        <v>1.8641999437587101E-2</v>
      </c>
      <c r="V414" t="s">
        <v>251</v>
      </c>
      <c r="X414">
        <v>2.3972602739726026E-2</v>
      </c>
      <c r="Y414">
        <v>3.0410461676155433E-2</v>
      </c>
      <c r="Z414" t="s">
        <v>366</v>
      </c>
      <c r="AA414" t="s">
        <v>25</v>
      </c>
      <c r="AC414" t="s">
        <v>22</v>
      </c>
      <c r="AD414" t="s">
        <v>366</v>
      </c>
      <c r="AE414">
        <v>2.0836927752645198E-2</v>
      </c>
      <c r="AG414" t="s">
        <v>97</v>
      </c>
      <c r="AH414" t="s">
        <v>366</v>
      </c>
      <c r="AI414">
        <v>0.18759917858258945</v>
      </c>
    </row>
    <row r="415" spans="9:35" x14ac:dyDescent="0.45">
      <c r="I415" t="s">
        <v>249</v>
      </c>
      <c r="J415" t="s">
        <v>367</v>
      </c>
      <c r="K415">
        <v>7.2820246575173997E-3</v>
      </c>
      <c r="L415" t="s">
        <v>251</v>
      </c>
      <c r="N415" t="s">
        <v>419</v>
      </c>
      <c r="O415" t="s">
        <v>367</v>
      </c>
      <c r="P415">
        <v>2.7197156049932948E-3</v>
      </c>
      <c r="Q415" t="s">
        <v>251</v>
      </c>
      <c r="S415" t="s">
        <v>420</v>
      </c>
      <c r="T415" t="s">
        <v>367</v>
      </c>
      <c r="U415">
        <v>2.7008986209608697E-3</v>
      </c>
      <c r="V415" t="s">
        <v>251</v>
      </c>
      <c r="X415">
        <v>3.4246575342465752E-3</v>
      </c>
      <c r="Y415">
        <v>5.1711707232180593E-3</v>
      </c>
      <c r="Z415" t="s">
        <v>367</v>
      </c>
      <c r="AA415" t="s">
        <v>25</v>
      </c>
      <c r="AC415" t="s">
        <v>22</v>
      </c>
      <c r="AD415" t="s">
        <v>367</v>
      </c>
      <c r="AE415">
        <v>3.489624828211369E-3</v>
      </c>
      <c r="AG415" t="s">
        <v>97</v>
      </c>
      <c r="AH415" t="s">
        <v>367</v>
      </c>
      <c r="AI415">
        <v>6.1271045772115285E-2</v>
      </c>
    </row>
    <row r="416" spans="9:35" x14ac:dyDescent="0.45">
      <c r="I416" t="s">
        <v>249</v>
      </c>
      <c r="J416" t="s">
        <v>368</v>
      </c>
      <c r="K416">
        <v>6.5244460907635995E-3</v>
      </c>
      <c r="L416" t="s">
        <v>251</v>
      </c>
      <c r="N416" t="s">
        <v>419</v>
      </c>
      <c r="O416" t="s">
        <v>368</v>
      </c>
      <c r="P416">
        <v>2.7032479440840698E-3</v>
      </c>
      <c r="Q416" t="s">
        <v>251</v>
      </c>
      <c r="S416" t="s">
        <v>420</v>
      </c>
      <c r="T416" t="s">
        <v>368</v>
      </c>
      <c r="U416">
        <v>2.5803912726566642E-3</v>
      </c>
      <c r="V416" t="s">
        <v>251</v>
      </c>
      <c r="X416">
        <v>3.4246575342465752E-3</v>
      </c>
      <c r="Y416">
        <v>6.662854585684809E-3</v>
      </c>
      <c r="Z416" t="s">
        <v>368</v>
      </c>
      <c r="AA416" t="s">
        <v>25</v>
      </c>
      <c r="AC416" t="s">
        <v>22</v>
      </c>
      <c r="AD416" t="s">
        <v>368</v>
      </c>
      <c r="AE416">
        <v>3.51736652743425E-3</v>
      </c>
      <c r="AG416" t="s">
        <v>97</v>
      </c>
      <c r="AH416" t="s">
        <v>368</v>
      </c>
      <c r="AI416">
        <v>7.6431784277328108E-2</v>
      </c>
    </row>
    <row r="417" spans="9:35" x14ac:dyDescent="0.45">
      <c r="I417" t="s">
        <v>249</v>
      </c>
      <c r="J417" t="s">
        <v>369</v>
      </c>
      <c r="K417">
        <v>5.1555486044243997E-3</v>
      </c>
      <c r="L417" t="s">
        <v>251</v>
      </c>
      <c r="N417" t="s">
        <v>419</v>
      </c>
      <c r="O417" t="s">
        <v>369</v>
      </c>
      <c r="P417">
        <v>2.7923664979789486E-3</v>
      </c>
      <c r="Q417" t="s">
        <v>251</v>
      </c>
      <c r="S417" t="s">
        <v>420</v>
      </c>
      <c r="T417" t="s">
        <v>369</v>
      </c>
      <c r="U417">
        <v>2.6869127570920432E-3</v>
      </c>
      <c r="V417" t="s">
        <v>251</v>
      </c>
      <c r="X417">
        <v>3.4246575342465752E-3</v>
      </c>
      <c r="Y417">
        <v>6.662854585684809E-3</v>
      </c>
      <c r="Z417" t="s">
        <v>369</v>
      </c>
      <c r="AA417" t="s">
        <v>25</v>
      </c>
      <c r="AC417" t="s">
        <v>22</v>
      </c>
      <c r="AD417" t="s">
        <v>369</v>
      </c>
      <c r="AE417">
        <v>3.5463583839159514E-3</v>
      </c>
      <c r="AG417" t="s">
        <v>97</v>
      </c>
      <c r="AH417" t="s">
        <v>369</v>
      </c>
      <c r="AI417">
        <v>8.7840284602749064E-2</v>
      </c>
    </row>
    <row r="418" spans="9:35" x14ac:dyDescent="0.45">
      <c r="I418" t="s">
        <v>249</v>
      </c>
      <c r="J418" t="s">
        <v>370</v>
      </c>
      <c r="K418">
        <v>2.5682558522210274E-3</v>
      </c>
      <c r="L418" t="s">
        <v>251</v>
      </c>
      <c r="N418" t="s">
        <v>419</v>
      </c>
      <c r="O418" t="s">
        <v>370</v>
      </c>
      <c r="P418">
        <v>2.3119393430554084E-2</v>
      </c>
      <c r="Q418" t="s">
        <v>251</v>
      </c>
      <c r="S418" t="s">
        <v>420</v>
      </c>
      <c r="T418" t="s">
        <v>370</v>
      </c>
      <c r="U418">
        <v>1.9178574975898272E-2</v>
      </c>
      <c r="V418" t="s">
        <v>251</v>
      </c>
      <c r="X418">
        <v>2.0547945205479451E-2</v>
      </c>
      <c r="Y418">
        <v>1.8099097531263209E-2</v>
      </c>
      <c r="Z418" t="s">
        <v>370</v>
      </c>
      <c r="AA418" t="s">
        <v>25</v>
      </c>
      <c r="AC418" t="s">
        <v>22</v>
      </c>
      <c r="AD418" t="s">
        <v>370</v>
      </c>
      <c r="AE418">
        <v>2.1819185337057481E-2</v>
      </c>
      <c r="AG418" t="s">
        <v>97</v>
      </c>
      <c r="AH418" t="s">
        <v>370</v>
      </c>
      <c r="AI418">
        <v>0.12204049558381702</v>
      </c>
    </row>
    <row r="419" spans="9:35" x14ac:dyDescent="0.45">
      <c r="I419" t="s">
        <v>249</v>
      </c>
      <c r="J419" t="s">
        <v>395</v>
      </c>
      <c r="K419">
        <v>0</v>
      </c>
      <c r="L419" t="s">
        <v>251</v>
      </c>
      <c r="N419" t="s">
        <v>419</v>
      </c>
      <c r="O419" t="s">
        <v>395</v>
      </c>
      <c r="P419">
        <v>2.672996351164476E-2</v>
      </c>
      <c r="Q419" t="s">
        <v>251</v>
      </c>
      <c r="S419" t="s">
        <v>420</v>
      </c>
      <c r="T419" t="s">
        <v>395</v>
      </c>
      <c r="U419">
        <v>2.2216646502896346E-2</v>
      </c>
      <c r="V419" t="s">
        <v>251</v>
      </c>
      <c r="X419">
        <v>2.1232876712328767E-2</v>
      </c>
      <c r="Y419">
        <v>4.5420116185598634E-3</v>
      </c>
      <c r="Z419" t="s">
        <v>395</v>
      </c>
      <c r="AA419" t="s">
        <v>25</v>
      </c>
      <c r="AC419" t="s">
        <v>22</v>
      </c>
      <c r="AD419" t="s">
        <v>395</v>
      </c>
      <c r="AE419">
        <v>1.9792621807780571E-2</v>
      </c>
      <c r="AG419" t="s">
        <v>97</v>
      </c>
      <c r="AH419" t="s">
        <v>395</v>
      </c>
      <c r="AI419">
        <v>0.14546037012229274</v>
      </c>
    </row>
    <row r="420" spans="9:35" x14ac:dyDescent="0.45">
      <c r="I420" t="s">
        <v>249</v>
      </c>
      <c r="J420" t="s">
        <v>396</v>
      </c>
      <c r="K420">
        <v>2.9377313160573786E-4</v>
      </c>
      <c r="L420" t="s">
        <v>251</v>
      </c>
      <c r="N420" t="s">
        <v>419</v>
      </c>
      <c r="O420" t="s">
        <v>396</v>
      </c>
      <c r="P420">
        <v>4.2543244324251541E-3</v>
      </c>
      <c r="Q420" t="s">
        <v>251</v>
      </c>
      <c r="S420" t="s">
        <v>420</v>
      </c>
      <c r="T420" t="s">
        <v>396</v>
      </c>
      <c r="U420">
        <v>3.6311291673658875E-3</v>
      </c>
      <c r="V420" t="s">
        <v>251</v>
      </c>
      <c r="X420">
        <v>3.5388127853881279E-3</v>
      </c>
      <c r="Y420">
        <v>5.240782636799844E-3</v>
      </c>
      <c r="Z420" t="s">
        <v>396</v>
      </c>
      <c r="AA420" t="s">
        <v>25</v>
      </c>
      <c r="AC420" t="s">
        <v>22</v>
      </c>
      <c r="AD420" t="s">
        <v>396</v>
      </c>
      <c r="AE420">
        <v>2.6543176581232944E-3</v>
      </c>
      <c r="AG420" t="s">
        <v>97</v>
      </c>
      <c r="AH420" t="s">
        <v>396</v>
      </c>
      <c r="AI420">
        <v>3.3040825794567352E-2</v>
      </c>
    </row>
    <row r="421" spans="9:35" x14ac:dyDescent="0.45">
      <c r="I421" t="s">
        <v>249</v>
      </c>
      <c r="J421" t="s">
        <v>397</v>
      </c>
      <c r="K421">
        <v>5.1106613015486834E-3</v>
      </c>
      <c r="L421" t="s">
        <v>251</v>
      </c>
      <c r="N421" t="s">
        <v>419</v>
      </c>
      <c r="O421" t="s">
        <v>397</v>
      </c>
      <c r="P421">
        <v>4.0331475106903433E-3</v>
      </c>
      <c r="Q421" t="s">
        <v>251</v>
      </c>
      <c r="S421" t="s">
        <v>420</v>
      </c>
      <c r="T421" t="s">
        <v>397</v>
      </c>
      <c r="U421">
        <v>3.6183135117650459E-3</v>
      </c>
      <c r="V421" t="s">
        <v>251</v>
      </c>
      <c r="X421">
        <v>3.5388127853881279E-3</v>
      </c>
      <c r="Y421">
        <v>5.9087255218821738E-3</v>
      </c>
      <c r="Z421" t="s">
        <v>397</v>
      </c>
      <c r="AA421" t="s">
        <v>25</v>
      </c>
      <c r="AC421" t="s">
        <v>22</v>
      </c>
      <c r="AD421" t="s">
        <v>397</v>
      </c>
      <c r="AE421">
        <v>2.5804887488147976E-3</v>
      </c>
      <c r="AG421" t="s">
        <v>97</v>
      </c>
      <c r="AH421" t="s">
        <v>397</v>
      </c>
      <c r="AI421">
        <v>2.5958608869261823E-2</v>
      </c>
    </row>
    <row r="422" spans="9:35" x14ac:dyDescent="0.45">
      <c r="I422" t="s">
        <v>249</v>
      </c>
      <c r="J422" t="s">
        <v>398</v>
      </c>
      <c r="K422">
        <v>5.7744684487604302E-2</v>
      </c>
      <c r="L422" t="s">
        <v>251</v>
      </c>
      <c r="N422" t="s">
        <v>419</v>
      </c>
      <c r="O422" t="s">
        <v>398</v>
      </c>
      <c r="P422">
        <v>2.6052330729859945E-2</v>
      </c>
      <c r="Q422" t="s">
        <v>251</v>
      </c>
      <c r="S422" t="s">
        <v>420</v>
      </c>
      <c r="T422" t="s">
        <v>398</v>
      </c>
      <c r="U422">
        <v>2.3925689322265881E-2</v>
      </c>
      <c r="V422" t="s">
        <v>251</v>
      </c>
      <c r="X422">
        <v>2.4771689497716895E-2</v>
      </c>
      <c r="Y422">
        <v>3.1424143732027281E-2</v>
      </c>
      <c r="Z422" t="s">
        <v>398</v>
      </c>
      <c r="AA422" t="s">
        <v>25</v>
      </c>
      <c r="AC422" t="s">
        <v>22</v>
      </c>
      <c r="AD422" t="s">
        <v>398</v>
      </c>
      <c r="AE422">
        <v>2.1944566199195794E-2</v>
      </c>
      <c r="AG422" t="s">
        <v>97</v>
      </c>
      <c r="AH422" t="s">
        <v>398</v>
      </c>
      <c r="AI422">
        <v>0.2497240775983629</v>
      </c>
    </row>
    <row r="423" spans="9:35" x14ac:dyDescent="0.45">
      <c r="I423" t="s">
        <v>249</v>
      </c>
      <c r="J423" t="s">
        <v>399</v>
      </c>
      <c r="K423">
        <v>8.1286848741940997E-3</v>
      </c>
      <c r="L423" t="s">
        <v>251</v>
      </c>
      <c r="N423" t="s">
        <v>419</v>
      </c>
      <c r="O423" t="s">
        <v>399</v>
      </c>
      <c r="P423">
        <v>3.661709304739004E-3</v>
      </c>
      <c r="Q423" t="s">
        <v>251</v>
      </c>
      <c r="S423" t="s">
        <v>420</v>
      </c>
      <c r="T423" t="s">
        <v>399</v>
      </c>
      <c r="U423">
        <v>3.5723945211106572E-3</v>
      </c>
      <c r="V423" t="s">
        <v>251</v>
      </c>
      <c r="X423">
        <v>3.5388127853881279E-3</v>
      </c>
      <c r="Y423">
        <v>5.3435430806586613E-3</v>
      </c>
      <c r="Z423" t="s">
        <v>399</v>
      </c>
      <c r="AA423" t="s">
        <v>25</v>
      </c>
      <c r="AC423" t="s">
        <v>22</v>
      </c>
      <c r="AD423" t="s">
        <v>399</v>
      </c>
      <c r="AE423">
        <v>3.5150034429866075E-3</v>
      </c>
      <c r="AG423" t="s">
        <v>97</v>
      </c>
      <c r="AH423" t="s">
        <v>399</v>
      </c>
      <c r="AI423">
        <v>5.2894178929967728E-2</v>
      </c>
    </row>
    <row r="424" spans="9:35" x14ac:dyDescent="0.45">
      <c r="I424" t="s">
        <v>249</v>
      </c>
      <c r="J424" t="s">
        <v>400</v>
      </c>
      <c r="K424">
        <v>7.0069966313310002E-3</v>
      </c>
      <c r="L424" t="s">
        <v>251</v>
      </c>
      <c r="N424" t="s">
        <v>419</v>
      </c>
      <c r="O424" t="s">
        <v>400</v>
      </c>
      <c r="P424">
        <v>3.5484948676191815E-3</v>
      </c>
      <c r="Q424" t="s">
        <v>251</v>
      </c>
      <c r="S424" t="s">
        <v>420</v>
      </c>
      <c r="T424" t="s">
        <v>400</v>
      </c>
      <c r="U424">
        <v>3.4846446280784498E-3</v>
      </c>
      <c r="V424" t="s">
        <v>251</v>
      </c>
      <c r="X424">
        <v>3.5388127853881279E-3</v>
      </c>
      <c r="Y424">
        <v>6.8849497385409693E-3</v>
      </c>
      <c r="Z424" t="s">
        <v>400</v>
      </c>
      <c r="AA424" t="s">
        <v>25</v>
      </c>
      <c r="AC424" t="s">
        <v>22</v>
      </c>
      <c r="AD424" t="s">
        <v>400</v>
      </c>
      <c r="AE424">
        <v>3.5353938653706518E-3</v>
      </c>
      <c r="AG424" t="s">
        <v>97</v>
      </c>
      <c r="AH424" t="s">
        <v>400</v>
      </c>
      <c r="AI424">
        <v>5.5112731512192425E-2</v>
      </c>
    </row>
    <row r="425" spans="9:35" x14ac:dyDescent="0.45">
      <c r="I425" t="s">
        <v>249</v>
      </c>
      <c r="J425" t="s">
        <v>401</v>
      </c>
      <c r="K425">
        <v>4.7699674303072776E-3</v>
      </c>
      <c r="L425" t="s">
        <v>251</v>
      </c>
      <c r="N425" t="s">
        <v>419</v>
      </c>
      <c r="O425" t="s">
        <v>401</v>
      </c>
      <c r="P425">
        <v>3.6102067267179024E-3</v>
      </c>
      <c r="Q425" t="s">
        <v>251</v>
      </c>
      <c r="S425" t="s">
        <v>420</v>
      </c>
      <c r="T425" t="s">
        <v>401</v>
      </c>
      <c r="U425">
        <v>3.5324148970068132E-3</v>
      </c>
      <c r="V425" t="s">
        <v>251</v>
      </c>
      <c r="X425">
        <v>3.5388127853881279E-3</v>
      </c>
      <c r="Y425">
        <v>6.8849497385409693E-3</v>
      </c>
      <c r="Z425" t="s">
        <v>401</v>
      </c>
      <c r="AA425" t="s">
        <v>25</v>
      </c>
      <c r="AC425" t="s">
        <v>22</v>
      </c>
      <c r="AD425" t="s">
        <v>401</v>
      </c>
      <c r="AE425">
        <v>3.5299058190686478E-3</v>
      </c>
      <c r="AG425" t="s">
        <v>97</v>
      </c>
      <c r="AH425" t="s">
        <v>401</v>
      </c>
      <c r="AI425">
        <v>4.6894091713638453E-2</v>
      </c>
    </row>
    <row r="426" spans="9:35" x14ac:dyDescent="0.45">
      <c r="I426" t="s">
        <v>249</v>
      </c>
      <c r="J426" t="s">
        <v>402</v>
      </c>
      <c r="K426">
        <v>3.935434326233821E-4</v>
      </c>
      <c r="L426" t="s">
        <v>251</v>
      </c>
      <c r="N426" t="s">
        <v>419</v>
      </c>
      <c r="O426" t="s">
        <v>402</v>
      </c>
      <c r="P426">
        <v>2.5229958240348592E-2</v>
      </c>
      <c r="Q426" t="s">
        <v>251</v>
      </c>
      <c r="S426" t="s">
        <v>420</v>
      </c>
      <c r="T426" t="s">
        <v>402</v>
      </c>
      <c r="U426">
        <v>2.2967935906960009E-2</v>
      </c>
      <c r="V426" t="s">
        <v>251</v>
      </c>
      <c r="X426">
        <v>2.1232876712328767E-2</v>
      </c>
      <c r="Y426">
        <v>1.8702400782305319E-2</v>
      </c>
      <c r="Z426" t="s">
        <v>402</v>
      </c>
      <c r="AA426" t="s">
        <v>25</v>
      </c>
      <c r="AC426" t="s">
        <v>22</v>
      </c>
      <c r="AD426" t="s">
        <v>402</v>
      </c>
      <c r="AE426">
        <v>2.1397713812444066E-2</v>
      </c>
      <c r="AG426" t="s">
        <v>97</v>
      </c>
      <c r="AH426" t="s">
        <v>402</v>
      </c>
      <c r="AI426">
        <v>5.0407627829197166E-2</v>
      </c>
    </row>
    <row r="427" spans="9:35" x14ac:dyDescent="0.45">
      <c r="I427" t="s">
        <v>249</v>
      </c>
      <c r="J427" t="s">
        <v>403</v>
      </c>
      <c r="K427">
        <v>0</v>
      </c>
      <c r="L427" t="s">
        <v>251</v>
      </c>
      <c r="N427" t="s">
        <v>419</v>
      </c>
      <c r="O427" t="s">
        <v>403</v>
      </c>
      <c r="P427">
        <v>2.6290768194464902E-2</v>
      </c>
      <c r="Q427" t="s">
        <v>251</v>
      </c>
      <c r="S427" t="s">
        <v>420</v>
      </c>
      <c r="T427" t="s">
        <v>403</v>
      </c>
      <c r="U427">
        <v>3.1388211361776309E-2</v>
      </c>
      <c r="V427" t="s">
        <v>251</v>
      </c>
      <c r="X427">
        <v>2.0547945205479451E-2</v>
      </c>
      <c r="Y427">
        <v>4.3954951147353507E-3</v>
      </c>
      <c r="Z427" t="s">
        <v>403</v>
      </c>
      <c r="AA427" t="s">
        <v>25</v>
      </c>
      <c r="AC427" t="s">
        <v>22</v>
      </c>
      <c r="AD427" t="s">
        <v>403</v>
      </c>
      <c r="AE427">
        <v>2.135735561039645E-2</v>
      </c>
      <c r="AG427" t="s">
        <v>97</v>
      </c>
      <c r="AH427" t="s">
        <v>403</v>
      </c>
      <c r="AI427">
        <v>0.16590715241750775</v>
      </c>
    </row>
    <row r="428" spans="9:35" x14ac:dyDescent="0.45">
      <c r="I428" t="s">
        <v>249</v>
      </c>
      <c r="J428" t="s">
        <v>404</v>
      </c>
      <c r="K428">
        <v>0</v>
      </c>
      <c r="L428" t="s">
        <v>251</v>
      </c>
      <c r="N428" t="s">
        <v>419</v>
      </c>
      <c r="O428" t="s">
        <v>404</v>
      </c>
      <c r="P428">
        <v>4.2231595671420388E-3</v>
      </c>
      <c r="Q428" t="s">
        <v>251</v>
      </c>
      <c r="S428" t="s">
        <v>420</v>
      </c>
      <c r="T428" t="s">
        <v>404</v>
      </c>
      <c r="U428">
        <v>4.8432276859190137E-3</v>
      </c>
      <c r="V428" t="s">
        <v>251</v>
      </c>
      <c r="X428">
        <v>3.4246575342465752E-3</v>
      </c>
      <c r="Y428">
        <v>5.0717251323869452E-3</v>
      </c>
      <c r="Z428" t="s">
        <v>404</v>
      </c>
      <c r="AA428" t="s">
        <v>25</v>
      </c>
      <c r="AC428" t="s">
        <v>22</v>
      </c>
      <c r="AD428" t="s">
        <v>404</v>
      </c>
      <c r="AE428">
        <v>2.7805928433539532E-3</v>
      </c>
      <c r="AG428" t="s">
        <v>97</v>
      </c>
      <c r="AH428" t="s">
        <v>404</v>
      </c>
      <c r="AI428">
        <v>8.1331108766788285E-2</v>
      </c>
    </row>
    <row r="429" spans="9:35" x14ac:dyDescent="0.45">
      <c r="I429" t="s">
        <v>249</v>
      </c>
      <c r="J429" t="s">
        <v>405</v>
      </c>
      <c r="K429">
        <v>1.8896915844992782E-3</v>
      </c>
      <c r="L429" t="s">
        <v>251</v>
      </c>
      <c r="N429" t="s">
        <v>419</v>
      </c>
      <c r="O429" t="s">
        <v>405</v>
      </c>
      <c r="P429">
        <v>4.1383417732428884E-3</v>
      </c>
      <c r="Q429" t="s">
        <v>251</v>
      </c>
      <c r="S429" t="s">
        <v>420</v>
      </c>
      <c r="T429" t="s">
        <v>405</v>
      </c>
      <c r="U429">
        <v>4.732082844955676E-3</v>
      </c>
      <c r="V429" t="s">
        <v>251</v>
      </c>
      <c r="X429">
        <v>3.4246575342465752E-3</v>
      </c>
      <c r="Y429">
        <v>5.7181214727892006E-3</v>
      </c>
      <c r="Z429" t="s">
        <v>405</v>
      </c>
      <c r="AA429" t="s">
        <v>25</v>
      </c>
      <c r="AC429" t="s">
        <v>22</v>
      </c>
      <c r="AD429" t="s">
        <v>405</v>
      </c>
      <c r="AE429">
        <v>2.6799725250820539E-3</v>
      </c>
      <c r="AG429" t="s">
        <v>97</v>
      </c>
      <c r="AH429" t="s">
        <v>405</v>
      </c>
      <c r="AI429">
        <v>8.3802546931571076E-2</v>
      </c>
    </row>
    <row r="430" spans="9:35" x14ac:dyDescent="0.45">
      <c r="I430" t="s">
        <v>249</v>
      </c>
      <c r="J430" t="s">
        <v>406</v>
      </c>
      <c r="K430">
        <v>4.4865158665029686E-2</v>
      </c>
      <c r="L430" t="s">
        <v>251</v>
      </c>
      <c r="N430" t="s">
        <v>419</v>
      </c>
      <c r="O430" t="s">
        <v>406</v>
      </c>
      <c r="P430">
        <v>2.4027306818481448E-2</v>
      </c>
      <c r="Q430" t="s">
        <v>251</v>
      </c>
      <c r="S430" t="s">
        <v>420</v>
      </c>
      <c r="T430" t="s">
        <v>406</v>
      </c>
      <c r="U430">
        <v>3.0272452677844109E-2</v>
      </c>
      <c r="V430" t="s">
        <v>251</v>
      </c>
      <c r="X430">
        <v>2.3972602739726026E-2</v>
      </c>
      <c r="Y430">
        <v>3.0410461676155433E-2</v>
      </c>
      <c r="Z430" t="s">
        <v>406</v>
      </c>
      <c r="AA430" t="s">
        <v>25</v>
      </c>
      <c r="AC430" t="s">
        <v>22</v>
      </c>
      <c r="AD430" t="s">
        <v>406</v>
      </c>
      <c r="AE430">
        <v>2.1587464106192545E-2</v>
      </c>
      <c r="AG430" t="s">
        <v>97</v>
      </c>
      <c r="AH430" t="s">
        <v>406</v>
      </c>
      <c r="AI430">
        <v>0.32547198019413748</v>
      </c>
    </row>
    <row r="431" spans="9:35" x14ac:dyDescent="0.45">
      <c r="I431" t="s">
        <v>249</v>
      </c>
      <c r="J431" t="s">
        <v>407</v>
      </c>
      <c r="K431">
        <v>6.3172085507909861E-3</v>
      </c>
      <c r="L431" t="s">
        <v>251</v>
      </c>
      <c r="N431" t="s">
        <v>419</v>
      </c>
      <c r="O431" t="s">
        <v>407</v>
      </c>
      <c r="P431">
        <v>3.2171602602617017E-3</v>
      </c>
      <c r="Q431" t="s">
        <v>251</v>
      </c>
      <c r="S431" t="s">
        <v>420</v>
      </c>
      <c r="T431" t="s">
        <v>407</v>
      </c>
      <c r="U431">
        <v>4.3394164192400633E-3</v>
      </c>
      <c r="V431" t="s">
        <v>251</v>
      </c>
      <c r="X431">
        <v>3.4246575342465752E-3</v>
      </c>
      <c r="Y431">
        <v>5.1711707232180593E-3</v>
      </c>
      <c r="Z431" t="s">
        <v>407</v>
      </c>
      <c r="AA431" t="s">
        <v>25</v>
      </c>
      <c r="AC431" t="s">
        <v>22</v>
      </c>
      <c r="AD431" t="s">
        <v>407</v>
      </c>
      <c r="AE431">
        <v>3.7025915585158845E-3</v>
      </c>
      <c r="AG431" t="s">
        <v>97</v>
      </c>
      <c r="AH431" t="s">
        <v>407</v>
      </c>
      <c r="AI431">
        <v>8.3194700539909405E-2</v>
      </c>
    </row>
    <row r="432" spans="9:35" x14ac:dyDescent="0.45">
      <c r="I432" t="s">
        <v>249</v>
      </c>
      <c r="J432" t="s">
        <v>408</v>
      </c>
      <c r="K432">
        <v>4.8356400062868421E-3</v>
      </c>
      <c r="L432" t="s">
        <v>251</v>
      </c>
      <c r="N432" t="s">
        <v>419</v>
      </c>
      <c r="O432" t="s">
        <v>408</v>
      </c>
      <c r="P432">
        <v>3.3849627325211926E-3</v>
      </c>
      <c r="Q432" t="s">
        <v>251</v>
      </c>
      <c r="S432" t="s">
        <v>420</v>
      </c>
      <c r="T432" t="s">
        <v>408</v>
      </c>
      <c r="U432">
        <v>4.3269001474537114E-3</v>
      </c>
      <c r="V432" t="s">
        <v>251</v>
      </c>
      <c r="X432">
        <v>3.4246575342465752E-3</v>
      </c>
      <c r="Y432">
        <v>6.662854585684809E-3</v>
      </c>
      <c r="Z432" t="s">
        <v>408</v>
      </c>
      <c r="AA432" t="s">
        <v>25</v>
      </c>
      <c r="AC432" t="s">
        <v>22</v>
      </c>
      <c r="AD432" t="s">
        <v>408</v>
      </c>
      <c r="AE432">
        <v>3.5324431813771101E-3</v>
      </c>
      <c r="AG432" t="s">
        <v>97</v>
      </c>
      <c r="AH432" t="s">
        <v>408</v>
      </c>
      <c r="AI432">
        <v>7.2780637671513215E-2</v>
      </c>
    </row>
    <row r="433" spans="9:35" x14ac:dyDescent="0.45">
      <c r="I433" t="s">
        <v>249</v>
      </c>
      <c r="J433" t="s">
        <v>409</v>
      </c>
      <c r="K433">
        <v>1.7930817588130059E-3</v>
      </c>
      <c r="L433" t="s">
        <v>251</v>
      </c>
      <c r="N433" t="s">
        <v>419</v>
      </c>
      <c r="O433" t="s">
        <v>409</v>
      </c>
      <c r="P433">
        <v>3.704504599009549E-3</v>
      </c>
      <c r="Q433" t="s">
        <v>251</v>
      </c>
      <c r="S433" t="s">
        <v>420</v>
      </c>
      <c r="T433" t="s">
        <v>409</v>
      </c>
      <c r="U433">
        <v>4.5099090788113831E-3</v>
      </c>
      <c r="V433" t="s">
        <v>251</v>
      </c>
      <c r="X433">
        <v>3.4246575342465752E-3</v>
      </c>
      <c r="Y433">
        <v>6.662854585684809E-3</v>
      </c>
      <c r="Z433" t="s">
        <v>409</v>
      </c>
      <c r="AA433" t="s">
        <v>25</v>
      </c>
      <c r="AC433" t="s">
        <v>22</v>
      </c>
      <c r="AD433" t="s">
        <v>409</v>
      </c>
      <c r="AE433">
        <v>3.566564524332422E-3</v>
      </c>
      <c r="AG433" t="s">
        <v>97</v>
      </c>
      <c r="AH433" t="s">
        <v>409</v>
      </c>
      <c r="AI433">
        <v>8.7148724965787183E-2</v>
      </c>
    </row>
    <row r="434" spans="9:35" x14ac:dyDescent="0.45">
      <c r="I434" t="s">
        <v>249</v>
      </c>
      <c r="J434" t="s">
        <v>410</v>
      </c>
      <c r="K434">
        <v>0</v>
      </c>
      <c r="L434" t="s">
        <v>251</v>
      </c>
      <c r="N434" t="s">
        <v>419</v>
      </c>
      <c r="O434" t="s">
        <v>410</v>
      </c>
      <c r="P434">
        <v>2.4756115856334106E-2</v>
      </c>
      <c r="Q434" t="s">
        <v>251</v>
      </c>
      <c r="S434" t="s">
        <v>420</v>
      </c>
      <c r="T434" t="s">
        <v>410</v>
      </c>
      <c r="U434">
        <v>3.1147941723048071E-2</v>
      </c>
      <c r="V434" t="s">
        <v>251</v>
      </c>
      <c r="X434">
        <v>2.0547945205479451E-2</v>
      </c>
      <c r="Y434">
        <v>1.8099097531263209E-2</v>
      </c>
      <c r="Z434" t="s">
        <v>410</v>
      </c>
      <c r="AA434" t="s">
        <v>25</v>
      </c>
      <c r="AC434" t="s">
        <v>22</v>
      </c>
      <c r="AD434" t="s">
        <v>410</v>
      </c>
      <c r="AE434">
        <v>2.1448875071952572E-2</v>
      </c>
      <c r="AG434" t="s">
        <v>97</v>
      </c>
      <c r="AH434" t="s">
        <v>410</v>
      </c>
      <c r="AI434">
        <v>0.14052964599654549</v>
      </c>
    </row>
    <row r="435" spans="9:35" x14ac:dyDescent="0.45">
      <c r="I435" t="s">
        <v>249</v>
      </c>
      <c r="J435" t="s">
        <v>411</v>
      </c>
      <c r="K435">
        <v>0</v>
      </c>
      <c r="L435" t="s">
        <v>251</v>
      </c>
      <c r="N435" t="s">
        <v>419</v>
      </c>
      <c r="O435" t="s">
        <v>411</v>
      </c>
      <c r="P435">
        <v>2.5496793989504236E-2</v>
      </c>
      <c r="Q435" t="s">
        <v>251</v>
      </c>
      <c r="S435" t="s">
        <v>420</v>
      </c>
      <c r="T435" t="s">
        <v>411</v>
      </c>
      <c r="U435">
        <v>2.4325664483547334E-2</v>
      </c>
      <c r="V435" t="s">
        <v>251</v>
      </c>
      <c r="X435">
        <v>2.1232876712328767E-2</v>
      </c>
      <c r="Y435">
        <v>4.5420116185598634E-3</v>
      </c>
      <c r="Z435" t="s">
        <v>411</v>
      </c>
      <c r="AA435" t="s">
        <v>25</v>
      </c>
      <c r="AC435" t="s">
        <v>22</v>
      </c>
      <c r="AD435" t="s">
        <v>411</v>
      </c>
      <c r="AE435">
        <v>2.4629116939589045E-2</v>
      </c>
      <c r="AG435" t="s">
        <v>97</v>
      </c>
      <c r="AH435" t="s">
        <v>411</v>
      </c>
      <c r="AI435">
        <v>0.1481249413504333</v>
      </c>
    </row>
    <row r="436" spans="9:35" x14ac:dyDescent="0.45">
      <c r="I436" t="s">
        <v>249</v>
      </c>
      <c r="J436" t="s">
        <v>412</v>
      </c>
      <c r="K436">
        <v>0</v>
      </c>
      <c r="L436" t="s">
        <v>251</v>
      </c>
      <c r="N436" t="s">
        <v>419</v>
      </c>
      <c r="O436" t="s">
        <v>412</v>
      </c>
      <c r="P436">
        <v>4.1246423586555909E-3</v>
      </c>
      <c r="Q436" t="s">
        <v>251</v>
      </c>
      <c r="S436" t="s">
        <v>420</v>
      </c>
      <c r="T436" t="s">
        <v>412</v>
      </c>
      <c r="U436">
        <v>3.8377822201510429E-3</v>
      </c>
      <c r="V436" t="s">
        <v>251</v>
      </c>
      <c r="X436">
        <v>3.5388127853881279E-3</v>
      </c>
      <c r="Y436">
        <v>5.240782636799844E-3</v>
      </c>
      <c r="Z436" t="s">
        <v>412</v>
      </c>
      <c r="AA436" t="s">
        <v>25</v>
      </c>
      <c r="AC436" t="s">
        <v>22</v>
      </c>
      <c r="AD436" t="s">
        <v>412</v>
      </c>
      <c r="AE436">
        <v>3.2411769055468846E-3</v>
      </c>
      <c r="AG436" t="s">
        <v>97</v>
      </c>
      <c r="AH436" t="s">
        <v>412</v>
      </c>
      <c r="AI436">
        <v>5.0935213205418828E-2</v>
      </c>
    </row>
    <row r="437" spans="9:35" x14ac:dyDescent="0.45">
      <c r="I437" t="s">
        <v>249</v>
      </c>
      <c r="J437" t="s">
        <v>413</v>
      </c>
      <c r="K437">
        <v>4.242480914009414E-4</v>
      </c>
      <c r="L437" t="s">
        <v>251</v>
      </c>
      <c r="N437" t="s">
        <v>419</v>
      </c>
      <c r="O437" t="s">
        <v>413</v>
      </c>
      <c r="P437">
        <v>4.0538060849123802E-3</v>
      </c>
      <c r="Q437" t="s">
        <v>251</v>
      </c>
      <c r="S437" t="s">
        <v>420</v>
      </c>
      <c r="T437" t="s">
        <v>413</v>
      </c>
      <c r="U437">
        <v>3.8336327649822182E-3</v>
      </c>
      <c r="V437" t="s">
        <v>251</v>
      </c>
      <c r="X437">
        <v>3.5388127853881279E-3</v>
      </c>
      <c r="Y437">
        <v>5.9087255218821738E-3</v>
      </c>
      <c r="Z437" t="s">
        <v>413</v>
      </c>
      <c r="AA437" t="s">
        <v>25</v>
      </c>
      <c r="AC437" t="s">
        <v>22</v>
      </c>
      <c r="AD437" t="s">
        <v>413</v>
      </c>
      <c r="AE437">
        <v>3.1207600296067188E-3</v>
      </c>
      <c r="AG437" t="s">
        <v>97</v>
      </c>
      <c r="AH437" t="s">
        <v>413</v>
      </c>
      <c r="AI437">
        <v>5.8844990241713413E-2</v>
      </c>
    </row>
    <row r="438" spans="9:35" x14ac:dyDescent="0.45">
      <c r="I438" t="s">
        <v>249</v>
      </c>
      <c r="J438" t="s">
        <v>414</v>
      </c>
      <c r="K438">
        <v>4.7229662109685773E-2</v>
      </c>
      <c r="L438" t="s">
        <v>251</v>
      </c>
      <c r="N438" t="s">
        <v>419</v>
      </c>
      <c r="O438" t="s">
        <v>414</v>
      </c>
      <c r="P438">
        <v>2.321968723487541E-2</v>
      </c>
      <c r="Q438" t="s">
        <v>251</v>
      </c>
      <c r="S438" t="s">
        <v>420</v>
      </c>
      <c r="T438" t="s">
        <v>414</v>
      </c>
      <c r="U438">
        <v>2.7454291210554579E-2</v>
      </c>
      <c r="V438" t="s">
        <v>251</v>
      </c>
      <c r="X438">
        <v>2.4771689497716895E-2</v>
      </c>
      <c r="Y438">
        <v>3.1424143732027281E-2</v>
      </c>
      <c r="Z438" t="s">
        <v>414</v>
      </c>
      <c r="AA438" t="s">
        <v>25</v>
      </c>
      <c r="AC438" t="s">
        <v>22</v>
      </c>
      <c r="AD438" t="s">
        <v>414</v>
      </c>
      <c r="AE438">
        <v>2.4612467532539015E-2</v>
      </c>
      <c r="AG438" t="s">
        <v>97</v>
      </c>
      <c r="AH438" t="s">
        <v>414</v>
      </c>
      <c r="AI438">
        <v>0.26152286155431348</v>
      </c>
    </row>
    <row r="439" spans="9:35" x14ac:dyDescent="0.45">
      <c r="I439" t="s">
        <v>249</v>
      </c>
      <c r="J439" t="s">
        <v>415</v>
      </c>
      <c r="K439">
        <v>7.0918338165213996E-3</v>
      </c>
      <c r="L439" t="s">
        <v>251</v>
      </c>
      <c r="N439" t="s">
        <v>419</v>
      </c>
      <c r="O439" t="s">
        <v>415</v>
      </c>
      <c r="P439">
        <v>3.0354251121071461E-3</v>
      </c>
      <c r="Q439" t="s">
        <v>251</v>
      </c>
      <c r="S439" t="s">
        <v>420</v>
      </c>
      <c r="T439" t="s">
        <v>415</v>
      </c>
      <c r="U439">
        <v>4.1673853152347706E-3</v>
      </c>
      <c r="V439" t="s">
        <v>251</v>
      </c>
      <c r="X439">
        <v>3.5388127853881279E-3</v>
      </c>
      <c r="Y439">
        <v>5.3435430806586613E-3</v>
      </c>
      <c r="Z439" t="s">
        <v>415</v>
      </c>
      <c r="AA439" t="s">
        <v>25</v>
      </c>
      <c r="AC439" t="s">
        <v>22</v>
      </c>
      <c r="AD439" t="s">
        <v>415</v>
      </c>
      <c r="AE439">
        <v>4.0800799140496748E-3</v>
      </c>
      <c r="AG439" t="s">
        <v>97</v>
      </c>
      <c r="AH439" t="s">
        <v>415</v>
      </c>
      <c r="AI439">
        <v>6.2116660462306461E-2</v>
      </c>
    </row>
    <row r="440" spans="9:35" x14ac:dyDescent="0.45">
      <c r="I440" t="s">
        <v>249</v>
      </c>
      <c r="J440" t="s">
        <v>416</v>
      </c>
      <c r="K440">
        <v>5.4379791779680152E-3</v>
      </c>
      <c r="L440" t="s">
        <v>251</v>
      </c>
      <c r="N440" t="s">
        <v>419</v>
      </c>
      <c r="O440" t="s">
        <v>416</v>
      </c>
      <c r="P440">
        <v>3.2277862540783667E-3</v>
      </c>
      <c r="Q440" t="s">
        <v>251</v>
      </c>
      <c r="S440" t="s">
        <v>420</v>
      </c>
      <c r="T440" t="s">
        <v>416</v>
      </c>
      <c r="U440">
        <v>4.1590847310642035E-3</v>
      </c>
      <c r="V440" t="s">
        <v>251</v>
      </c>
      <c r="X440">
        <v>3.5388127853881279E-3</v>
      </c>
      <c r="Y440">
        <v>6.8849497385409693E-3</v>
      </c>
      <c r="Z440" t="s">
        <v>416</v>
      </c>
      <c r="AA440" t="s">
        <v>25</v>
      </c>
      <c r="AC440" t="s">
        <v>22</v>
      </c>
      <c r="AD440" t="s">
        <v>416</v>
      </c>
      <c r="AE440">
        <v>4.0871281224621313E-3</v>
      </c>
      <c r="AG440" t="s">
        <v>97</v>
      </c>
      <c r="AH440" t="s">
        <v>416</v>
      </c>
      <c r="AI440">
        <v>4.7083028720061648E-2</v>
      </c>
    </row>
    <row r="441" spans="9:35" x14ac:dyDescent="0.45">
      <c r="I441" t="s">
        <v>249</v>
      </c>
      <c r="J441" t="s">
        <v>417</v>
      </c>
      <c r="K441">
        <v>1.7189199422202423E-3</v>
      </c>
      <c r="L441" t="s">
        <v>251</v>
      </c>
      <c r="N441" t="s">
        <v>419</v>
      </c>
      <c r="O441" t="s">
        <v>417</v>
      </c>
      <c r="P441">
        <v>3.4153482552153505E-3</v>
      </c>
      <c r="Q441" t="s">
        <v>251</v>
      </c>
      <c r="S441" t="s">
        <v>420</v>
      </c>
      <c r="T441" t="s">
        <v>417</v>
      </c>
      <c r="U441">
        <v>4.2921547043580062E-3</v>
      </c>
      <c r="V441" t="s">
        <v>251</v>
      </c>
      <c r="X441">
        <v>3.5388127853881279E-3</v>
      </c>
      <c r="Y441">
        <v>6.8849497385409693E-3</v>
      </c>
      <c r="Z441" t="s">
        <v>417</v>
      </c>
      <c r="AA441" t="s">
        <v>25</v>
      </c>
      <c r="AC441" t="s">
        <v>22</v>
      </c>
      <c r="AD441" t="s">
        <v>417</v>
      </c>
      <c r="AE441">
        <v>4.1620705948091077E-3</v>
      </c>
      <c r="AG441" t="s">
        <v>97</v>
      </c>
      <c r="AH441" t="s">
        <v>417</v>
      </c>
      <c r="AI441">
        <v>5.3418938222020707E-2</v>
      </c>
    </row>
    <row r="442" spans="9:35" x14ac:dyDescent="0.45">
      <c r="I442" t="s">
        <v>249</v>
      </c>
      <c r="J442" t="s">
        <v>418</v>
      </c>
      <c r="K442">
        <v>0</v>
      </c>
      <c r="L442" t="s">
        <v>251</v>
      </c>
      <c r="N442" t="s">
        <v>419</v>
      </c>
      <c r="O442" t="s">
        <v>418</v>
      </c>
      <c r="P442">
        <v>2.3247680365130773E-2</v>
      </c>
      <c r="Q442" t="s">
        <v>251</v>
      </c>
      <c r="S442" t="s">
        <v>420</v>
      </c>
      <c r="T442" t="s">
        <v>418</v>
      </c>
      <c r="U442">
        <v>2.7169243077500283E-2</v>
      </c>
      <c r="V442" t="s">
        <v>251</v>
      </c>
      <c r="X442">
        <v>2.1232876712328767E-2</v>
      </c>
      <c r="Y442">
        <v>1.8702400782305319E-2</v>
      </c>
      <c r="Z442" t="s">
        <v>418</v>
      </c>
      <c r="AA442" t="s">
        <v>25</v>
      </c>
      <c r="AC442" t="s">
        <v>22</v>
      </c>
      <c r="AD442" t="s">
        <v>418</v>
      </c>
      <c r="AE442">
        <v>2.5585407206910538E-2</v>
      </c>
      <c r="AG442" t="s">
        <v>97</v>
      </c>
      <c r="AH442" t="s">
        <v>418</v>
      </c>
      <c r="AI442">
        <v>0.10840364341062592</v>
      </c>
    </row>
    <row r="443" spans="9:35" x14ac:dyDescent="0.45">
      <c r="AC443" t="s">
        <v>19</v>
      </c>
      <c r="AD443" t="s">
        <v>250</v>
      </c>
      <c r="AE443">
        <v>1.6539911078509439E-2</v>
      </c>
    </row>
    <row r="444" spans="9:35" x14ac:dyDescent="0.45">
      <c r="AC444" t="s">
        <v>19</v>
      </c>
      <c r="AD444" t="s">
        <v>252</v>
      </c>
      <c r="AE444">
        <v>2.6968581371288919E-3</v>
      </c>
    </row>
    <row r="445" spans="9:35" x14ac:dyDescent="0.45">
      <c r="AC445" t="s">
        <v>19</v>
      </c>
      <c r="AD445" t="s">
        <v>253</v>
      </c>
      <c r="AE445">
        <v>2.6868756953013686E-3</v>
      </c>
    </row>
    <row r="446" spans="9:35" x14ac:dyDescent="0.45">
      <c r="AC446" t="s">
        <v>19</v>
      </c>
      <c r="AD446" t="s">
        <v>254</v>
      </c>
      <c r="AE446">
        <v>1.9017666099393416E-2</v>
      </c>
    </row>
    <row r="447" spans="9:35" x14ac:dyDescent="0.45">
      <c r="AC447" t="s">
        <v>19</v>
      </c>
      <c r="AD447" t="s">
        <v>255</v>
      </c>
      <c r="AE447">
        <v>2.757584462921586E-3</v>
      </c>
    </row>
    <row r="448" spans="9:35" x14ac:dyDescent="0.45">
      <c r="AC448" t="s">
        <v>19</v>
      </c>
      <c r="AD448" t="s">
        <v>256</v>
      </c>
      <c r="AE448">
        <v>2.7555884089296334E-3</v>
      </c>
    </row>
    <row r="449" spans="29:31" x14ac:dyDescent="0.45">
      <c r="AC449" t="s">
        <v>19</v>
      </c>
      <c r="AD449" t="s">
        <v>257</v>
      </c>
      <c r="AE449">
        <v>2.7589681362190752E-3</v>
      </c>
    </row>
    <row r="450" spans="29:31" x14ac:dyDescent="0.45">
      <c r="AC450" t="s">
        <v>19</v>
      </c>
      <c r="AD450" t="s">
        <v>258</v>
      </c>
      <c r="AE450">
        <v>1.6588823712388911E-2</v>
      </c>
    </row>
    <row r="451" spans="29:31" x14ac:dyDescent="0.45">
      <c r="AC451" t="s">
        <v>19</v>
      </c>
      <c r="AD451" t="s">
        <v>1550</v>
      </c>
      <c r="AE451">
        <v>1.1642971121578629E-4</v>
      </c>
    </row>
    <row r="452" spans="29:31" x14ac:dyDescent="0.45">
      <c r="AC452" t="s">
        <v>19</v>
      </c>
      <c r="AD452" t="s">
        <v>1551</v>
      </c>
      <c r="AE452">
        <v>1.1644229084589588E-4</v>
      </c>
    </row>
    <row r="453" spans="29:31" x14ac:dyDescent="0.45">
      <c r="AC453" t="s">
        <v>19</v>
      </c>
      <c r="AD453" t="s">
        <v>1552</v>
      </c>
      <c r="AE453">
        <v>1.158677780636091E-4</v>
      </c>
    </row>
    <row r="454" spans="29:31" x14ac:dyDescent="0.45">
      <c r="AC454" t="s">
        <v>19</v>
      </c>
      <c r="AD454" t="s">
        <v>1553</v>
      </c>
      <c r="AE454">
        <v>1.153461212314238E-4</v>
      </c>
    </row>
    <row r="455" spans="29:31" x14ac:dyDescent="0.45">
      <c r="AC455" t="s">
        <v>19</v>
      </c>
      <c r="AD455" t="s">
        <v>1554</v>
      </c>
      <c r="AE455">
        <v>1.1444010831619799E-4</v>
      </c>
    </row>
    <row r="456" spans="29:31" x14ac:dyDescent="0.45">
      <c r="AC456" t="s">
        <v>19</v>
      </c>
      <c r="AD456" t="s">
        <v>1555</v>
      </c>
      <c r="AE456">
        <v>1.1399044567479369E-4</v>
      </c>
    </row>
    <row r="457" spans="29:31" x14ac:dyDescent="0.45">
      <c r="AC457" t="s">
        <v>19</v>
      </c>
      <c r="AD457" t="s">
        <v>1556</v>
      </c>
      <c r="AE457">
        <v>1.1267807845156647E-4</v>
      </c>
    </row>
    <row r="458" spans="29:31" x14ac:dyDescent="0.45">
      <c r="AC458" t="s">
        <v>19</v>
      </c>
      <c r="AD458" t="s">
        <v>1557</v>
      </c>
      <c r="AE458">
        <v>1.1232247273682768E-4</v>
      </c>
    </row>
    <row r="459" spans="29:31" x14ac:dyDescent="0.45">
      <c r="AC459" t="s">
        <v>19</v>
      </c>
      <c r="AD459" t="s">
        <v>1558</v>
      </c>
      <c r="AE459">
        <v>1.1211408094983283E-4</v>
      </c>
    </row>
    <row r="460" spans="29:31" x14ac:dyDescent="0.45">
      <c r="AC460" t="s">
        <v>19</v>
      </c>
      <c r="AD460" t="s">
        <v>1559</v>
      </c>
      <c r="AE460">
        <v>1.1205956921935797E-4</v>
      </c>
    </row>
    <row r="461" spans="29:31" x14ac:dyDescent="0.45">
      <c r="AC461" t="s">
        <v>19</v>
      </c>
      <c r="AD461" t="s">
        <v>1560</v>
      </c>
      <c r="AE461">
        <v>1.1220097716397444E-4</v>
      </c>
    </row>
    <row r="462" spans="29:31" x14ac:dyDescent="0.45">
      <c r="AC462" t="s">
        <v>19</v>
      </c>
      <c r="AD462" t="s">
        <v>1561</v>
      </c>
      <c r="AE462">
        <v>1.1315631943214279E-4</v>
      </c>
    </row>
    <row r="463" spans="29:31" x14ac:dyDescent="0.45">
      <c r="AC463" t="s">
        <v>19</v>
      </c>
      <c r="AD463" t="s">
        <v>1562</v>
      </c>
      <c r="AE463">
        <v>1.1484633360235209E-4</v>
      </c>
    </row>
    <row r="464" spans="29:31" x14ac:dyDescent="0.45">
      <c r="AC464" t="s">
        <v>19</v>
      </c>
      <c r="AD464" t="s">
        <v>1563</v>
      </c>
      <c r="AE464">
        <v>1.159649530182505E-4</v>
      </c>
    </row>
    <row r="465" spans="29:31" x14ac:dyDescent="0.45">
      <c r="AC465" t="s">
        <v>19</v>
      </c>
      <c r="AD465" t="s">
        <v>1564</v>
      </c>
      <c r="AE465">
        <v>1.1641336844846444E-4</v>
      </c>
    </row>
    <row r="466" spans="29:31" x14ac:dyDescent="0.45">
      <c r="AC466" t="s">
        <v>19</v>
      </c>
      <c r="AD466" t="s">
        <v>1565</v>
      </c>
      <c r="AE466">
        <v>1.1547718592461681E-4</v>
      </c>
    </row>
    <row r="467" spans="29:31" x14ac:dyDescent="0.45">
      <c r="AC467" t="s">
        <v>19</v>
      </c>
      <c r="AD467" t="s">
        <v>1566</v>
      </c>
      <c r="AE467">
        <v>1.1525746171870277E-4</v>
      </c>
    </row>
    <row r="468" spans="29:31" x14ac:dyDescent="0.45">
      <c r="AC468" t="s">
        <v>19</v>
      </c>
      <c r="AD468" t="s">
        <v>1567</v>
      </c>
      <c r="AE468">
        <v>1.1551255941441215E-4</v>
      </c>
    </row>
    <row r="469" spans="29:31" x14ac:dyDescent="0.45">
      <c r="AC469" t="s">
        <v>19</v>
      </c>
      <c r="AD469" t="s">
        <v>1568</v>
      </c>
      <c r="AE469">
        <v>1.1561601343228771E-4</v>
      </c>
    </row>
    <row r="470" spans="29:31" x14ac:dyDescent="0.45">
      <c r="AC470" t="s">
        <v>19</v>
      </c>
      <c r="AD470" t="s">
        <v>1569</v>
      </c>
      <c r="AE470">
        <v>1.1569753373612607E-4</v>
      </c>
    </row>
    <row r="471" spans="29:31" x14ac:dyDescent="0.45">
      <c r="AC471" t="s">
        <v>19</v>
      </c>
      <c r="AD471" t="s">
        <v>1570</v>
      </c>
      <c r="AE471">
        <v>1.1570278062458204E-4</v>
      </c>
    </row>
    <row r="472" spans="29:31" x14ac:dyDescent="0.45">
      <c r="AC472" t="s">
        <v>19</v>
      </c>
      <c r="AD472" t="s">
        <v>1571</v>
      </c>
      <c r="AE472">
        <v>1.1581601879920951E-4</v>
      </c>
    </row>
    <row r="473" spans="29:31" x14ac:dyDescent="0.45">
      <c r="AC473" t="s">
        <v>19</v>
      </c>
      <c r="AD473" t="s">
        <v>1572</v>
      </c>
      <c r="AE473">
        <v>1.1617820462815947E-4</v>
      </c>
    </row>
    <row r="474" spans="29:31" x14ac:dyDescent="0.45">
      <c r="AC474" t="s">
        <v>19</v>
      </c>
      <c r="AD474" t="s">
        <v>1573</v>
      </c>
      <c r="AE474">
        <v>1.1654058398988034E-4</v>
      </c>
    </row>
    <row r="475" spans="29:31" x14ac:dyDescent="0.45">
      <c r="AC475" t="s">
        <v>19</v>
      </c>
      <c r="AD475" t="s">
        <v>1574</v>
      </c>
      <c r="AE475">
        <v>1.1657305448811191E-4</v>
      </c>
    </row>
    <row r="476" spans="29:31" x14ac:dyDescent="0.45">
      <c r="AC476" t="s">
        <v>19</v>
      </c>
      <c r="AD476" t="s">
        <v>1575</v>
      </c>
      <c r="AE476">
        <v>1.164892978055874E-4</v>
      </c>
    </row>
    <row r="477" spans="29:31" x14ac:dyDescent="0.45">
      <c r="AC477" t="s">
        <v>19</v>
      </c>
      <c r="AD477" t="s">
        <v>1576</v>
      </c>
      <c r="AE477">
        <v>1.1596701736780692E-4</v>
      </c>
    </row>
    <row r="478" spans="29:31" x14ac:dyDescent="0.45">
      <c r="AC478" t="s">
        <v>19</v>
      </c>
      <c r="AD478" t="s">
        <v>1577</v>
      </c>
      <c r="AE478">
        <v>1.1538818235363636E-4</v>
      </c>
    </row>
    <row r="479" spans="29:31" x14ac:dyDescent="0.45">
      <c r="AC479" t="s">
        <v>19</v>
      </c>
      <c r="AD479" t="s">
        <v>1578</v>
      </c>
      <c r="AE479">
        <v>1.1447950298690012E-4</v>
      </c>
    </row>
    <row r="480" spans="29:31" x14ac:dyDescent="0.45">
      <c r="AC480" t="s">
        <v>19</v>
      </c>
      <c r="AD480" t="s">
        <v>1579</v>
      </c>
      <c r="AE480">
        <v>1.1399044567479367E-4</v>
      </c>
    </row>
    <row r="481" spans="29:31" x14ac:dyDescent="0.45">
      <c r="AC481" t="s">
        <v>19</v>
      </c>
      <c r="AD481" t="s">
        <v>1580</v>
      </c>
      <c r="AE481">
        <v>1.1276170611224368E-4</v>
      </c>
    </row>
    <row r="482" spans="29:31" x14ac:dyDescent="0.45">
      <c r="AC482" t="s">
        <v>19</v>
      </c>
      <c r="AD482" t="s">
        <v>1581</v>
      </c>
      <c r="AE482">
        <v>1.124061219011461E-4</v>
      </c>
    </row>
    <row r="483" spans="29:31" x14ac:dyDescent="0.45">
      <c r="AC483" t="s">
        <v>19</v>
      </c>
      <c r="AD483" t="s">
        <v>1582</v>
      </c>
      <c r="AE483">
        <v>1.1211408094983283E-4</v>
      </c>
    </row>
    <row r="484" spans="29:31" x14ac:dyDescent="0.45">
      <c r="AC484" t="s">
        <v>19</v>
      </c>
      <c r="AD484" t="s">
        <v>1583</v>
      </c>
      <c r="AE484">
        <v>1.1205956921935797E-4</v>
      </c>
    </row>
    <row r="485" spans="29:31" x14ac:dyDescent="0.45">
      <c r="AC485" t="s">
        <v>19</v>
      </c>
      <c r="AD485" t="s">
        <v>1584</v>
      </c>
      <c r="AE485">
        <v>1.1220097716397443E-4</v>
      </c>
    </row>
    <row r="486" spans="29:31" x14ac:dyDescent="0.45">
      <c r="AC486" t="s">
        <v>19</v>
      </c>
      <c r="AD486" t="s">
        <v>1585</v>
      </c>
      <c r="AE486">
        <v>1.1314578264794845E-4</v>
      </c>
    </row>
    <row r="487" spans="29:31" x14ac:dyDescent="0.45">
      <c r="AC487" t="s">
        <v>19</v>
      </c>
      <c r="AD487" t="s">
        <v>1586</v>
      </c>
      <c r="AE487">
        <v>1.1481605647552424E-4</v>
      </c>
    </row>
    <row r="488" spans="29:31" x14ac:dyDescent="0.45">
      <c r="AC488" t="s">
        <v>19</v>
      </c>
      <c r="AD488" t="s">
        <v>1587</v>
      </c>
      <c r="AE488">
        <v>1.1593465438778143E-4</v>
      </c>
    </row>
    <row r="489" spans="29:31" x14ac:dyDescent="0.45">
      <c r="AC489" t="s">
        <v>19</v>
      </c>
      <c r="AD489" t="s">
        <v>1588</v>
      </c>
      <c r="AE489">
        <v>1.1638306981799537E-4</v>
      </c>
    </row>
    <row r="490" spans="29:31" x14ac:dyDescent="0.45">
      <c r="AC490" t="s">
        <v>19</v>
      </c>
      <c r="AD490" t="s">
        <v>1589</v>
      </c>
      <c r="AE490">
        <v>1.1544690879778895E-4</v>
      </c>
    </row>
    <row r="491" spans="29:31" x14ac:dyDescent="0.45">
      <c r="AC491" t="s">
        <v>19</v>
      </c>
      <c r="AD491" t="s">
        <v>1590</v>
      </c>
      <c r="AE491">
        <v>1.1525746171870275E-4</v>
      </c>
    </row>
    <row r="492" spans="29:31" x14ac:dyDescent="0.45">
      <c r="AC492" t="s">
        <v>19</v>
      </c>
      <c r="AD492" t="s">
        <v>1591</v>
      </c>
      <c r="AE492">
        <v>1.1555320129630464E-4</v>
      </c>
    </row>
    <row r="493" spans="29:31" x14ac:dyDescent="0.45">
      <c r="AC493" t="s">
        <v>19</v>
      </c>
      <c r="AD493" t="s">
        <v>1592</v>
      </c>
      <c r="AE493">
        <v>1.1566059048052219E-4</v>
      </c>
    </row>
    <row r="494" spans="29:31" x14ac:dyDescent="0.45">
      <c r="AC494" t="s">
        <v>19</v>
      </c>
      <c r="AD494" t="s">
        <v>1593</v>
      </c>
      <c r="AE494">
        <v>1.1568523365335226E-4</v>
      </c>
    </row>
    <row r="495" spans="29:31" x14ac:dyDescent="0.45">
      <c r="AC495" t="s">
        <v>19</v>
      </c>
      <c r="AD495" t="s">
        <v>1594</v>
      </c>
      <c r="AE495">
        <v>1.1571480116002008E-4</v>
      </c>
    </row>
    <row r="496" spans="29:31" x14ac:dyDescent="0.45">
      <c r="AC496" t="s">
        <v>19</v>
      </c>
      <c r="AD496" t="s">
        <v>1595</v>
      </c>
      <c r="AE496">
        <v>1.1577365662601996E-4</v>
      </c>
    </row>
    <row r="497" spans="29:31" x14ac:dyDescent="0.45">
      <c r="AC497" t="s">
        <v>19</v>
      </c>
      <c r="AD497" t="s">
        <v>1596</v>
      </c>
      <c r="AE497">
        <v>1.1618312896199723E-4</v>
      </c>
    </row>
    <row r="498" spans="29:31" x14ac:dyDescent="0.45">
      <c r="AC498" t="s">
        <v>19</v>
      </c>
      <c r="AD498" t="s">
        <v>1597</v>
      </c>
      <c r="AE498">
        <v>1.1655258302167717E-4</v>
      </c>
    </row>
    <row r="499" spans="29:31" x14ac:dyDescent="0.45">
      <c r="AC499" t="s">
        <v>19</v>
      </c>
      <c r="AD499" t="s">
        <v>1598</v>
      </c>
      <c r="AE499">
        <v>1.1658505351990876E-4</v>
      </c>
    </row>
    <row r="500" spans="29:31" x14ac:dyDescent="0.45">
      <c r="AC500" t="s">
        <v>19</v>
      </c>
      <c r="AD500" t="s">
        <v>1599</v>
      </c>
      <c r="AE500">
        <v>1.1646858979909934E-4</v>
      </c>
    </row>
    <row r="501" spans="29:31" x14ac:dyDescent="0.45">
      <c r="AC501" t="s">
        <v>19</v>
      </c>
      <c r="AD501" t="s">
        <v>1600</v>
      </c>
      <c r="AE501">
        <v>1.159798765452523E-4</v>
      </c>
    </row>
    <row r="502" spans="29:31" x14ac:dyDescent="0.45">
      <c r="AC502" t="s">
        <v>19</v>
      </c>
      <c r="AD502" t="s">
        <v>1601</v>
      </c>
      <c r="AE502">
        <v>1.1534878768293421E-4</v>
      </c>
    </row>
    <row r="503" spans="29:31" x14ac:dyDescent="0.45">
      <c r="AC503" t="s">
        <v>19</v>
      </c>
      <c r="AD503" t="s">
        <v>1602</v>
      </c>
      <c r="AE503">
        <v>1.1446363329968497E-4</v>
      </c>
    </row>
    <row r="504" spans="29:31" x14ac:dyDescent="0.45">
      <c r="AC504" t="s">
        <v>19</v>
      </c>
      <c r="AD504" t="s">
        <v>1603</v>
      </c>
      <c r="AE504">
        <v>1.1399044567479369E-4</v>
      </c>
    </row>
    <row r="505" spans="29:31" x14ac:dyDescent="0.45">
      <c r="AC505" t="s">
        <v>19</v>
      </c>
      <c r="AD505" t="s">
        <v>1604</v>
      </c>
      <c r="AE505">
        <v>1.1276170611224369E-4</v>
      </c>
    </row>
    <row r="506" spans="29:31" x14ac:dyDescent="0.45">
      <c r="AC506" t="s">
        <v>19</v>
      </c>
      <c r="AD506" t="s">
        <v>1605</v>
      </c>
      <c r="AE506">
        <v>1.1240612190114611E-4</v>
      </c>
    </row>
    <row r="507" spans="29:31" x14ac:dyDescent="0.45">
      <c r="AC507" t="s">
        <v>19</v>
      </c>
      <c r="AD507" t="s">
        <v>1606</v>
      </c>
      <c r="AE507">
        <v>1.1211408094983283E-4</v>
      </c>
    </row>
    <row r="508" spans="29:31" x14ac:dyDescent="0.45">
      <c r="AC508" t="s">
        <v>19</v>
      </c>
      <c r="AD508" t="s">
        <v>1607</v>
      </c>
      <c r="AE508">
        <v>1.1205956921935797E-4</v>
      </c>
    </row>
    <row r="509" spans="29:31" x14ac:dyDescent="0.45">
      <c r="AC509" t="s">
        <v>19</v>
      </c>
      <c r="AD509" t="s">
        <v>1608</v>
      </c>
      <c r="AE509">
        <v>1.1220097716397444E-4</v>
      </c>
    </row>
    <row r="510" spans="29:31" x14ac:dyDescent="0.45">
      <c r="AC510" t="s">
        <v>19</v>
      </c>
      <c r="AD510" t="s">
        <v>1609</v>
      </c>
      <c r="AE510">
        <v>1.1314578264794845E-4</v>
      </c>
    </row>
    <row r="511" spans="29:31" x14ac:dyDescent="0.45">
      <c r="AC511" t="s">
        <v>19</v>
      </c>
      <c r="AD511" t="s">
        <v>1610</v>
      </c>
      <c r="AE511">
        <v>1.1481605647552424E-4</v>
      </c>
    </row>
    <row r="512" spans="29:31" x14ac:dyDescent="0.45">
      <c r="AC512" t="s">
        <v>19</v>
      </c>
      <c r="AD512" t="s">
        <v>1611</v>
      </c>
      <c r="AE512">
        <v>1.1593465438778143E-4</v>
      </c>
    </row>
    <row r="513" spans="29:31" x14ac:dyDescent="0.45">
      <c r="AC513" t="s">
        <v>19</v>
      </c>
      <c r="AD513" t="s">
        <v>1612</v>
      </c>
      <c r="AE513">
        <v>1.1638306981799537E-4</v>
      </c>
    </row>
    <row r="514" spans="29:31" x14ac:dyDescent="0.45">
      <c r="AC514" t="s">
        <v>19</v>
      </c>
      <c r="AD514" t="s">
        <v>1613</v>
      </c>
      <c r="AE514">
        <v>1.1544690879778897E-4</v>
      </c>
    </row>
    <row r="515" spans="29:31" x14ac:dyDescent="0.45">
      <c r="AC515" t="s">
        <v>19</v>
      </c>
      <c r="AD515" t="s">
        <v>1614</v>
      </c>
      <c r="AE515">
        <v>1.1529808209695405E-4</v>
      </c>
    </row>
    <row r="516" spans="29:31" x14ac:dyDescent="0.45">
      <c r="AC516" t="s">
        <v>19</v>
      </c>
      <c r="AD516" t="s">
        <v>1615</v>
      </c>
      <c r="AE516">
        <v>1.1555320129630465E-4</v>
      </c>
    </row>
    <row r="517" spans="29:31" x14ac:dyDescent="0.45">
      <c r="AC517" t="s">
        <v>19</v>
      </c>
      <c r="AD517" t="s">
        <v>1616</v>
      </c>
      <c r="AE517">
        <v>1.1565665531418023E-4</v>
      </c>
    </row>
    <row r="518" spans="29:31" x14ac:dyDescent="0.45">
      <c r="AC518" t="s">
        <v>19</v>
      </c>
      <c r="AD518" t="s">
        <v>1617</v>
      </c>
      <c r="AE518">
        <v>1.1569753373612607E-4</v>
      </c>
    </row>
    <row r="519" spans="29:31" x14ac:dyDescent="0.45">
      <c r="AC519" t="s">
        <v>19</v>
      </c>
      <c r="AD519" t="s">
        <v>1618</v>
      </c>
      <c r="AE519">
        <v>1.1574325047734484E-4</v>
      </c>
    </row>
    <row r="520" spans="29:31" x14ac:dyDescent="0.45">
      <c r="AC520" t="s">
        <v>19</v>
      </c>
      <c r="AD520" t="s">
        <v>1619</v>
      </c>
      <c r="AE520">
        <v>1.1583539357994239E-4</v>
      </c>
    </row>
    <row r="521" spans="29:31" x14ac:dyDescent="0.45">
      <c r="AC521" t="s">
        <v>19</v>
      </c>
      <c r="AD521" t="s">
        <v>1620</v>
      </c>
      <c r="AE521">
        <v>1.1617820462815947E-4</v>
      </c>
    </row>
    <row r="522" spans="29:31" x14ac:dyDescent="0.45">
      <c r="AC522" t="s">
        <v>19</v>
      </c>
      <c r="AD522" t="s">
        <v>1621</v>
      </c>
      <c r="AE522">
        <v>1.1654058398988034E-4</v>
      </c>
    </row>
    <row r="523" spans="29:31" x14ac:dyDescent="0.45">
      <c r="AC523" t="s">
        <v>19</v>
      </c>
      <c r="AD523" t="s">
        <v>1622</v>
      </c>
      <c r="AE523">
        <v>1.1657305448811191E-4</v>
      </c>
    </row>
    <row r="524" spans="29:31" x14ac:dyDescent="0.45">
      <c r="AC524" t="s">
        <v>19</v>
      </c>
      <c r="AD524" t="s">
        <v>1623</v>
      </c>
      <c r="AE524">
        <v>1.1649598543800465E-4</v>
      </c>
    </row>
    <row r="525" spans="29:31" x14ac:dyDescent="0.45">
      <c r="AC525" t="s">
        <v>19</v>
      </c>
      <c r="AD525" t="s">
        <v>1624</v>
      </c>
      <c r="AE525">
        <v>1.1597579085342183E-4</v>
      </c>
    </row>
    <row r="526" spans="29:31" x14ac:dyDescent="0.45">
      <c r="AC526" t="s">
        <v>19</v>
      </c>
      <c r="AD526" t="s">
        <v>1625</v>
      </c>
      <c r="AE526">
        <v>1.1534612123142382E-4</v>
      </c>
    </row>
    <row r="527" spans="29:31" x14ac:dyDescent="0.45">
      <c r="AC527" t="s">
        <v>19</v>
      </c>
      <c r="AD527" t="s">
        <v>1626</v>
      </c>
      <c r="AE527">
        <v>1.1443744186468757E-4</v>
      </c>
    </row>
    <row r="528" spans="29:31" x14ac:dyDescent="0.45">
      <c r="AC528" t="s">
        <v>19</v>
      </c>
      <c r="AD528" t="s">
        <v>1627</v>
      </c>
      <c r="AE528">
        <v>1.1392365536518622E-4</v>
      </c>
    </row>
    <row r="529" spans="29:31" x14ac:dyDescent="0.45">
      <c r="AC529" t="s">
        <v>19</v>
      </c>
      <c r="AD529" t="s">
        <v>1628</v>
      </c>
      <c r="AE529">
        <v>1.1272534345495256E-4</v>
      </c>
    </row>
    <row r="530" spans="29:31" x14ac:dyDescent="0.45">
      <c r="AC530" t="s">
        <v>19</v>
      </c>
      <c r="AD530" t="s">
        <v>1629</v>
      </c>
      <c r="AE530">
        <v>1.1233617055628034E-4</v>
      </c>
    </row>
    <row r="531" spans="29:31" x14ac:dyDescent="0.45">
      <c r="AC531" t="s">
        <v>19</v>
      </c>
      <c r="AD531" t="s">
        <v>1630</v>
      </c>
      <c r="AE531">
        <v>1.1202608804998939E-4</v>
      </c>
    </row>
    <row r="532" spans="29:31" x14ac:dyDescent="0.45">
      <c r="AC532" t="s">
        <v>19</v>
      </c>
      <c r="AD532" t="s">
        <v>1631</v>
      </c>
      <c r="AE532">
        <v>1.1197157631951453E-4</v>
      </c>
    </row>
    <row r="533" spans="29:31" x14ac:dyDescent="0.45">
      <c r="AC533" t="s">
        <v>19</v>
      </c>
      <c r="AD533" t="s">
        <v>1632</v>
      </c>
      <c r="AE533">
        <v>1.1204675304919505E-4</v>
      </c>
    </row>
    <row r="534" spans="29:31" x14ac:dyDescent="0.45">
      <c r="AC534" t="s">
        <v>19</v>
      </c>
      <c r="AD534" t="s">
        <v>1633</v>
      </c>
      <c r="AE534">
        <v>1.1300484778343868E-4</v>
      </c>
    </row>
    <row r="535" spans="29:31" x14ac:dyDescent="0.45">
      <c r="AC535" t="s">
        <v>19</v>
      </c>
      <c r="AD535" t="s">
        <v>1634</v>
      </c>
      <c r="AE535">
        <v>1.1469630269760923E-4</v>
      </c>
    </row>
    <row r="536" spans="29:31" x14ac:dyDescent="0.45">
      <c r="AC536" t="s">
        <v>19</v>
      </c>
      <c r="AD536" t="s">
        <v>1635</v>
      </c>
      <c r="AE536">
        <v>1.1593465438778143E-4</v>
      </c>
    </row>
    <row r="537" spans="29:31" x14ac:dyDescent="0.45">
      <c r="AC537" t="s">
        <v>19</v>
      </c>
      <c r="AD537" t="s">
        <v>1636</v>
      </c>
      <c r="AE537">
        <v>1.164711702360449E-4</v>
      </c>
    </row>
    <row r="538" spans="29:31" x14ac:dyDescent="0.45">
      <c r="AC538" t="s">
        <v>19</v>
      </c>
      <c r="AD538" t="s">
        <v>1637</v>
      </c>
      <c r="AE538">
        <v>1.1559414422917413E-4</v>
      </c>
    </row>
    <row r="539" spans="29:31" x14ac:dyDescent="0.45">
      <c r="AC539" t="s">
        <v>19</v>
      </c>
      <c r="AD539" t="s">
        <v>1638</v>
      </c>
      <c r="AE539">
        <v>1.1529808209695405E-4</v>
      </c>
    </row>
    <row r="540" spans="29:31" x14ac:dyDescent="0.45">
      <c r="AC540" t="s">
        <v>19</v>
      </c>
      <c r="AD540" t="s">
        <v>1639</v>
      </c>
      <c r="AE540">
        <v>1.1555679240438723E-4</v>
      </c>
    </row>
    <row r="541" spans="29:31" x14ac:dyDescent="0.45">
      <c r="AC541" t="s">
        <v>19</v>
      </c>
      <c r="AD541" t="s">
        <v>1640</v>
      </c>
      <c r="AE541">
        <v>1.156443552314064E-4</v>
      </c>
    </row>
    <row r="542" spans="29:31" x14ac:dyDescent="0.45">
      <c r="AC542" t="s">
        <v>19</v>
      </c>
      <c r="AD542" t="s">
        <v>1641</v>
      </c>
      <c r="AE542">
        <v>1.1566585887261937E-4</v>
      </c>
    </row>
    <row r="543" spans="29:31" x14ac:dyDescent="0.45">
      <c r="AC543" t="s">
        <v>19</v>
      </c>
      <c r="AD543" t="s">
        <v>1642</v>
      </c>
      <c r="AE543">
        <v>1.1567243898683054E-4</v>
      </c>
    </row>
    <row r="544" spans="29:31" x14ac:dyDescent="0.45">
      <c r="AC544" t="s">
        <v>19</v>
      </c>
      <c r="AD544" t="s">
        <v>1643</v>
      </c>
      <c r="AE544">
        <v>1.1574989510247964E-4</v>
      </c>
    </row>
    <row r="545" spans="29:31" x14ac:dyDescent="0.45">
      <c r="AC545" t="s">
        <v>19</v>
      </c>
      <c r="AD545" t="s">
        <v>1644</v>
      </c>
      <c r="AE545">
        <v>1.1618312896199723E-4</v>
      </c>
    </row>
    <row r="546" spans="29:31" x14ac:dyDescent="0.45">
      <c r="AC546" t="s">
        <v>19</v>
      </c>
      <c r="AD546" t="s">
        <v>1645</v>
      </c>
      <c r="AE546">
        <v>1.1655258302167717E-4</v>
      </c>
    </row>
    <row r="547" spans="29:31" x14ac:dyDescent="0.45">
      <c r="AC547" t="s">
        <v>19</v>
      </c>
      <c r="AD547" t="s">
        <v>1646</v>
      </c>
      <c r="AE547">
        <v>1.1658505351990876E-4</v>
      </c>
    </row>
    <row r="548" spans="29:31" x14ac:dyDescent="0.45">
      <c r="AC548" t="s">
        <v>19</v>
      </c>
      <c r="AD548" t="s">
        <v>1647</v>
      </c>
      <c r="AE548">
        <v>1.1646858979909934E-4</v>
      </c>
    </row>
    <row r="549" spans="29:31" x14ac:dyDescent="0.45">
      <c r="AC549" t="s">
        <v>19</v>
      </c>
      <c r="AD549" t="s">
        <v>1648</v>
      </c>
      <c r="AE549">
        <v>1.1586777806360911E-4</v>
      </c>
    </row>
    <row r="550" spans="29:31" x14ac:dyDescent="0.45">
      <c r="AC550" t="s">
        <v>19</v>
      </c>
      <c r="AD550" t="s">
        <v>1649</v>
      </c>
      <c r="AE550">
        <v>1.153575611685491E-4</v>
      </c>
    </row>
    <row r="551" spans="29:31" x14ac:dyDescent="0.45">
      <c r="AC551" t="s">
        <v>19</v>
      </c>
      <c r="AD551" t="s">
        <v>1650</v>
      </c>
      <c r="AE551">
        <v>1.1443744186468757E-4</v>
      </c>
    </row>
    <row r="552" spans="29:31" x14ac:dyDescent="0.45">
      <c r="AC552" t="s">
        <v>19</v>
      </c>
      <c r="AD552" t="s">
        <v>1651</v>
      </c>
      <c r="AE552">
        <v>1.1392096741003459E-4</v>
      </c>
    </row>
    <row r="553" spans="29:31" x14ac:dyDescent="0.45">
      <c r="AC553" t="s">
        <v>19</v>
      </c>
      <c r="AD553" t="s">
        <v>1652</v>
      </c>
      <c r="AE553">
        <v>1.1244168892371236E-4</v>
      </c>
    </row>
    <row r="554" spans="29:31" x14ac:dyDescent="0.45">
      <c r="AC554" t="s">
        <v>19</v>
      </c>
      <c r="AD554" t="s">
        <v>1653</v>
      </c>
      <c r="AE554">
        <v>1.1204559185256956E-4</v>
      </c>
    </row>
    <row r="555" spans="29:31" x14ac:dyDescent="0.45">
      <c r="AC555" t="s">
        <v>19</v>
      </c>
      <c r="AD555" t="s">
        <v>1654</v>
      </c>
      <c r="AE555">
        <v>1.1191704308539844E-4</v>
      </c>
    </row>
    <row r="556" spans="29:31" x14ac:dyDescent="0.45">
      <c r="AC556" t="s">
        <v>19</v>
      </c>
      <c r="AD556" t="s">
        <v>1655</v>
      </c>
      <c r="AE556">
        <v>1.1185203757801165E-4</v>
      </c>
    </row>
    <row r="557" spans="29:31" x14ac:dyDescent="0.45">
      <c r="AC557" t="s">
        <v>19</v>
      </c>
      <c r="AD557" t="s">
        <v>1656</v>
      </c>
      <c r="AE557">
        <v>1.1196742611676041E-4</v>
      </c>
    </row>
    <row r="558" spans="29:31" x14ac:dyDescent="0.45">
      <c r="AC558" t="s">
        <v>19</v>
      </c>
      <c r="AD558" t="s">
        <v>1657</v>
      </c>
      <c r="AE558">
        <v>1.1224174806771422E-4</v>
      </c>
    </row>
    <row r="559" spans="29:31" x14ac:dyDescent="0.45">
      <c r="AC559" t="s">
        <v>19</v>
      </c>
      <c r="AD559" t="s">
        <v>1658</v>
      </c>
      <c r="AE559">
        <v>1.1262599663254868E-4</v>
      </c>
    </row>
    <row r="560" spans="29:31" x14ac:dyDescent="0.45">
      <c r="AC560" t="s">
        <v>19</v>
      </c>
      <c r="AD560" t="s">
        <v>1659</v>
      </c>
      <c r="AE560">
        <v>1.1279645599644383E-4</v>
      </c>
    </row>
    <row r="561" spans="29:31" x14ac:dyDescent="0.45">
      <c r="AC561" t="s">
        <v>19</v>
      </c>
      <c r="AD561" t="s">
        <v>1660</v>
      </c>
      <c r="AE561">
        <v>1.1315259930221295E-4</v>
      </c>
    </row>
    <row r="562" spans="29:31" x14ac:dyDescent="0.45">
      <c r="AC562" t="s">
        <v>19</v>
      </c>
      <c r="AD562" t="s">
        <v>1661</v>
      </c>
      <c r="AE562">
        <v>1.1340533159738893E-4</v>
      </c>
    </row>
    <row r="563" spans="29:31" x14ac:dyDescent="0.45">
      <c r="AC563" t="s">
        <v>19</v>
      </c>
      <c r="AD563" t="s">
        <v>1662</v>
      </c>
      <c r="AE563">
        <v>1.1355493242930752E-4</v>
      </c>
    </row>
    <row r="564" spans="29:31" x14ac:dyDescent="0.45">
      <c r="AC564" t="s">
        <v>19</v>
      </c>
      <c r="AD564" t="s">
        <v>1663</v>
      </c>
      <c r="AE564">
        <v>1.1362215281173925E-4</v>
      </c>
    </row>
    <row r="565" spans="29:31" x14ac:dyDescent="0.45">
      <c r="AC565" t="s">
        <v>19</v>
      </c>
      <c r="AD565" t="s">
        <v>1664</v>
      </c>
      <c r="AE565">
        <v>1.1375698064214453E-4</v>
      </c>
    </row>
    <row r="566" spans="29:31" x14ac:dyDescent="0.45">
      <c r="AC566" t="s">
        <v>19</v>
      </c>
      <c r="AD566" t="s">
        <v>1665</v>
      </c>
      <c r="AE566">
        <v>1.138061809732398E-4</v>
      </c>
    </row>
    <row r="567" spans="29:31" x14ac:dyDescent="0.45">
      <c r="AC567" t="s">
        <v>19</v>
      </c>
      <c r="AD567" t="s">
        <v>1666</v>
      </c>
      <c r="AE567">
        <v>1.1381656723194565E-4</v>
      </c>
    </row>
    <row r="568" spans="29:31" x14ac:dyDescent="0.45">
      <c r="AC568" t="s">
        <v>19</v>
      </c>
      <c r="AD568" t="s">
        <v>1667</v>
      </c>
      <c r="AE568">
        <v>1.1391778487113507E-4</v>
      </c>
    </row>
    <row r="569" spans="29:31" x14ac:dyDescent="0.45">
      <c r="AC569" t="s">
        <v>19</v>
      </c>
      <c r="AD569" t="s">
        <v>1668</v>
      </c>
      <c r="AE569">
        <v>1.1442894792640845E-4</v>
      </c>
    </row>
    <row r="570" spans="29:31" x14ac:dyDescent="0.45">
      <c r="AC570" t="s">
        <v>19</v>
      </c>
      <c r="AD570" t="s">
        <v>1669</v>
      </c>
      <c r="AE570">
        <v>1.1500771842965538E-4</v>
      </c>
    </row>
    <row r="571" spans="29:31" x14ac:dyDescent="0.45">
      <c r="AC571" t="s">
        <v>19</v>
      </c>
      <c r="AD571" t="s">
        <v>1670</v>
      </c>
      <c r="AE571">
        <v>1.1498576321197695E-4</v>
      </c>
    </row>
    <row r="572" spans="29:31" x14ac:dyDescent="0.45">
      <c r="AC572" t="s">
        <v>19</v>
      </c>
      <c r="AD572" t="s">
        <v>1671</v>
      </c>
      <c r="AE572">
        <v>1.1494600297937417E-4</v>
      </c>
    </row>
    <row r="573" spans="29:31" x14ac:dyDescent="0.45">
      <c r="AC573" t="s">
        <v>19</v>
      </c>
      <c r="AD573" t="s">
        <v>1672</v>
      </c>
      <c r="AE573">
        <v>1.1449163104054424E-4</v>
      </c>
    </row>
    <row r="574" spans="29:31" x14ac:dyDescent="0.45">
      <c r="AC574" t="s">
        <v>19</v>
      </c>
      <c r="AD574" t="s">
        <v>1673</v>
      </c>
      <c r="AE574">
        <v>1.1422883504128059E-4</v>
      </c>
    </row>
    <row r="575" spans="29:31" x14ac:dyDescent="0.45">
      <c r="AC575" t="s">
        <v>19</v>
      </c>
      <c r="AD575" t="s">
        <v>1674</v>
      </c>
      <c r="AE575">
        <v>1.1392374137975106E-4</v>
      </c>
    </row>
    <row r="576" spans="29:31" x14ac:dyDescent="0.45">
      <c r="AC576" t="s">
        <v>19</v>
      </c>
      <c r="AD576" t="s">
        <v>1675</v>
      </c>
      <c r="AE576">
        <v>1.1335249715092865E-4</v>
      </c>
    </row>
    <row r="577" spans="29:31" x14ac:dyDescent="0.45">
      <c r="AC577" t="s">
        <v>19</v>
      </c>
      <c r="AD577" t="s">
        <v>1676</v>
      </c>
      <c r="AE577">
        <v>1.1244168892371234E-4</v>
      </c>
    </row>
    <row r="578" spans="29:31" x14ac:dyDescent="0.45">
      <c r="AC578" t="s">
        <v>19</v>
      </c>
      <c r="AD578" t="s">
        <v>1677</v>
      </c>
      <c r="AE578">
        <v>1.1204559185256955E-4</v>
      </c>
    </row>
    <row r="579" spans="29:31" x14ac:dyDescent="0.45">
      <c r="AC579" t="s">
        <v>19</v>
      </c>
      <c r="AD579" t="s">
        <v>1678</v>
      </c>
      <c r="AE579">
        <v>1.1189659312260492E-4</v>
      </c>
    </row>
    <row r="580" spans="29:31" x14ac:dyDescent="0.45">
      <c r="AC580" t="s">
        <v>19</v>
      </c>
      <c r="AD580" t="s">
        <v>1679</v>
      </c>
      <c r="AE580">
        <v>1.1184707023689145E-4</v>
      </c>
    </row>
    <row r="581" spans="29:31" x14ac:dyDescent="0.45">
      <c r="AC581" t="s">
        <v>19</v>
      </c>
      <c r="AD581" t="s">
        <v>1680</v>
      </c>
      <c r="AE581">
        <v>1.118524676508359E-4</v>
      </c>
    </row>
    <row r="582" spans="29:31" x14ac:dyDescent="0.45">
      <c r="AC582" t="s">
        <v>19</v>
      </c>
      <c r="AD582" t="s">
        <v>1681</v>
      </c>
      <c r="AE582">
        <v>1.1215145427826097E-4</v>
      </c>
    </row>
    <row r="583" spans="29:31" x14ac:dyDescent="0.45">
      <c r="AC583" t="s">
        <v>19</v>
      </c>
      <c r="AD583" t="s">
        <v>1682</v>
      </c>
      <c r="AE583">
        <v>1.1254776638581591E-4</v>
      </c>
    </row>
    <row r="584" spans="29:31" x14ac:dyDescent="0.45">
      <c r="AC584" t="s">
        <v>19</v>
      </c>
      <c r="AD584" t="s">
        <v>1683</v>
      </c>
      <c r="AE584">
        <v>1.1271807522422258E-4</v>
      </c>
    </row>
    <row r="585" spans="29:31" x14ac:dyDescent="0.45">
      <c r="AC585" t="s">
        <v>19</v>
      </c>
      <c r="AD585" t="s">
        <v>1684</v>
      </c>
      <c r="AE585">
        <v>1.1322721693722194E-4</v>
      </c>
    </row>
    <row r="586" spans="29:31" x14ac:dyDescent="0.45">
      <c r="AC586" t="s">
        <v>19</v>
      </c>
      <c r="AD586" t="s">
        <v>1685</v>
      </c>
      <c r="AE586">
        <v>1.1326136471946811E-4</v>
      </c>
    </row>
    <row r="587" spans="29:31" x14ac:dyDescent="0.45">
      <c r="AC587" t="s">
        <v>19</v>
      </c>
      <c r="AD587" t="s">
        <v>1686</v>
      </c>
      <c r="AE587">
        <v>1.1357035054005721E-4</v>
      </c>
    </row>
    <row r="588" spans="29:31" x14ac:dyDescent="0.45">
      <c r="AC588" t="s">
        <v>19</v>
      </c>
      <c r="AD588" t="s">
        <v>1687</v>
      </c>
      <c r="AE588">
        <v>1.1362782977301946E-4</v>
      </c>
    </row>
    <row r="589" spans="29:31" x14ac:dyDescent="0.45">
      <c r="AC589" t="s">
        <v>19</v>
      </c>
      <c r="AD589" t="s">
        <v>1688</v>
      </c>
      <c r="AE589">
        <v>1.1371334975412342E-4</v>
      </c>
    </row>
    <row r="590" spans="29:31" x14ac:dyDescent="0.45">
      <c r="AC590" t="s">
        <v>19</v>
      </c>
      <c r="AD590" t="s">
        <v>1689</v>
      </c>
      <c r="AE590">
        <v>1.1370857594577414E-4</v>
      </c>
    </row>
    <row r="591" spans="29:31" x14ac:dyDescent="0.45">
      <c r="AC591" t="s">
        <v>19</v>
      </c>
      <c r="AD591" t="s">
        <v>1690</v>
      </c>
      <c r="AE591">
        <v>1.1373121927997139E-4</v>
      </c>
    </row>
    <row r="592" spans="29:31" x14ac:dyDescent="0.45">
      <c r="AC592" t="s">
        <v>19</v>
      </c>
      <c r="AD592" t="s">
        <v>1691</v>
      </c>
      <c r="AE592">
        <v>1.1383243691916082E-4</v>
      </c>
    </row>
    <row r="593" spans="29:31" x14ac:dyDescent="0.45">
      <c r="AC593" t="s">
        <v>19</v>
      </c>
      <c r="AD593" t="s">
        <v>1692</v>
      </c>
      <c r="AE593">
        <v>1.1424982259510446E-4</v>
      </c>
    </row>
    <row r="594" spans="29:31" x14ac:dyDescent="0.45">
      <c r="AC594" t="s">
        <v>19</v>
      </c>
      <c r="AD594" t="s">
        <v>1693</v>
      </c>
      <c r="AE594">
        <v>1.1494245487857403E-4</v>
      </c>
    </row>
    <row r="595" spans="29:31" x14ac:dyDescent="0.45">
      <c r="AC595" t="s">
        <v>19</v>
      </c>
      <c r="AD595" t="s">
        <v>1694</v>
      </c>
      <c r="AE595">
        <v>1.1488792164445796E-4</v>
      </c>
    </row>
    <row r="596" spans="29:31" x14ac:dyDescent="0.45">
      <c r="AC596" t="s">
        <v>19</v>
      </c>
      <c r="AD596" t="s">
        <v>1695</v>
      </c>
      <c r="AE596">
        <v>1.1487198744631915E-4</v>
      </c>
    </row>
    <row r="597" spans="29:31" x14ac:dyDescent="0.45">
      <c r="AC597" t="s">
        <v>19</v>
      </c>
      <c r="AD597" t="s">
        <v>1696</v>
      </c>
      <c r="AE597">
        <v>1.1433269762833923E-4</v>
      </c>
    </row>
    <row r="598" spans="29:31" x14ac:dyDescent="0.45">
      <c r="AC598" t="s">
        <v>19</v>
      </c>
      <c r="AD598" t="s">
        <v>1697</v>
      </c>
      <c r="AE598">
        <v>1.1406540736806208E-4</v>
      </c>
    </row>
    <row r="599" spans="29:31" x14ac:dyDescent="0.45">
      <c r="AC599" t="s">
        <v>19</v>
      </c>
      <c r="AD599" t="s">
        <v>1698</v>
      </c>
      <c r="AE599">
        <v>1.1378246245698189E-4</v>
      </c>
    </row>
    <row r="600" spans="29:31" x14ac:dyDescent="0.45">
      <c r="AC600" t="s">
        <v>19</v>
      </c>
      <c r="AD600" t="s">
        <v>1699</v>
      </c>
      <c r="AE600">
        <v>1.1307292831151891E-4</v>
      </c>
    </row>
    <row r="601" spans="29:31" x14ac:dyDescent="0.45">
      <c r="AC601" t="s">
        <v>19</v>
      </c>
      <c r="AD601" t="s">
        <v>1700</v>
      </c>
      <c r="AE601">
        <v>1.1249987777683462E-4</v>
      </c>
    </row>
    <row r="602" spans="29:31" x14ac:dyDescent="0.45">
      <c r="AC602" t="s">
        <v>19</v>
      </c>
      <c r="AD602" t="s">
        <v>1701</v>
      </c>
      <c r="AE602">
        <v>1.1203570017761158E-4</v>
      </c>
    </row>
    <row r="603" spans="29:31" x14ac:dyDescent="0.45">
      <c r="AC603" t="s">
        <v>19</v>
      </c>
      <c r="AD603" t="s">
        <v>1702</v>
      </c>
      <c r="AE603">
        <v>1.1172131694307805E-4</v>
      </c>
    </row>
    <row r="604" spans="29:31" x14ac:dyDescent="0.45">
      <c r="AC604" t="s">
        <v>19</v>
      </c>
      <c r="AD604" t="s">
        <v>1703</v>
      </c>
      <c r="AE604">
        <v>1.1166680521260318E-4</v>
      </c>
    </row>
    <row r="605" spans="29:31" x14ac:dyDescent="0.45">
      <c r="AC605" t="s">
        <v>19</v>
      </c>
      <c r="AD605" t="s">
        <v>1704</v>
      </c>
      <c r="AE605">
        <v>1.1178395704993141E-4</v>
      </c>
    </row>
    <row r="606" spans="29:31" x14ac:dyDescent="0.45">
      <c r="AC606" t="s">
        <v>19</v>
      </c>
      <c r="AD606" t="s">
        <v>1705</v>
      </c>
      <c r="AE606">
        <v>1.128305822750488E-4</v>
      </c>
    </row>
    <row r="607" spans="29:31" x14ac:dyDescent="0.45">
      <c r="AC607" t="s">
        <v>19</v>
      </c>
      <c r="AD607" t="s">
        <v>1706</v>
      </c>
      <c r="AE607">
        <v>1.1493232666356273E-4</v>
      </c>
    </row>
    <row r="608" spans="29:31" x14ac:dyDescent="0.45">
      <c r="AC608" t="s">
        <v>19</v>
      </c>
      <c r="AD608" t="s">
        <v>1707</v>
      </c>
      <c r="AE608">
        <v>1.1591136594434778E-4</v>
      </c>
    </row>
    <row r="609" spans="29:31" x14ac:dyDescent="0.45">
      <c r="AC609" t="s">
        <v>19</v>
      </c>
      <c r="AD609" t="s">
        <v>1708</v>
      </c>
      <c r="AE609">
        <v>1.1630015177747818E-4</v>
      </c>
    </row>
    <row r="610" spans="29:31" x14ac:dyDescent="0.45">
      <c r="AC610" t="s">
        <v>19</v>
      </c>
      <c r="AD610" t="s">
        <v>1709</v>
      </c>
      <c r="AE610">
        <v>1.1538437620914167E-4</v>
      </c>
    </row>
    <row r="611" spans="29:31" x14ac:dyDescent="0.45">
      <c r="AC611" t="s">
        <v>19</v>
      </c>
      <c r="AD611" t="s">
        <v>1710</v>
      </c>
      <c r="AE611">
        <v>1.1525636503300089E-4</v>
      </c>
    </row>
    <row r="612" spans="29:31" x14ac:dyDescent="0.45">
      <c r="AC612" t="s">
        <v>19</v>
      </c>
      <c r="AD612" t="s">
        <v>1711</v>
      </c>
      <c r="AE612">
        <v>1.1547099287594749E-4</v>
      </c>
    </row>
    <row r="613" spans="29:31" x14ac:dyDescent="0.45">
      <c r="AC613" t="s">
        <v>19</v>
      </c>
      <c r="AD613" t="s">
        <v>1712</v>
      </c>
      <c r="AE613">
        <v>1.1555687841895207E-4</v>
      </c>
    </row>
    <row r="614" spans="29:31" x14ac:dyDescent="0.45">
      <c r="AC614" t="s">
        <v>19</v>
      </c>
      <c r="AD614" t="s">
        <v>1713</v>
      </c>
      <c r="AE614">
        <v>1.1558691900572658E-4</v>
      </c>
    </row>
    <row r="615" spans="29:31" x14ac:dyDescent="0.45">
      <c r="AC615" t="s">
        <v>19</v>
      </c>
      <c r="AD615" t="s">
        <v>1714</v>
      </c>
      <c r="AE615">
        <v>1.1563583978948607E-4</v>
      </c>
    </row>
    <row r="616" spans="29:31" x14ac:dyDescent="0.45">
      <c r="AC616" t="s">
        <v>19</v>
      </c>
      <c r="AD616" t="s">
        <v>1715</v>
      </c>
      <c r="AE616">
        <v>1.156924588767998E-4</v>
      </c>
    </row>
    <row r="617" spans="29:31" x14ac:dyDescent="0.45">
      <c r="AC617" t="s">
        <v>19</v>
      </c>
      <c r="AD617" t="s">
        <v>1716</v>
      </c>
      <c r="AE617">
        <v>1.1596020071354242E-4</v>
      </c>
    </row>
    <row r="618" spans="29:31" x14ac:dyDescent="0.45">
      <c r="AC618" t="s">
        <v>19</v>
      </c>
      <c r="AD618" t="s">
        <v>1717</v>
      </c>
      <c r="AE618">
        <v>1.1640412188274286E-4</v>
      </c>
    </row>
    <row r="619" spans="29:31" x14ac:dyDescent="0.45">
      <c r="AC619" t="s">
        <v>19</v>
      </c>
      <c r="AD619" t="s">
        <v>259</v>
      </c>
      <c r="AE619">
        <v>1.9307227285069097E-2</v>
      </c>
    </row>
    <row r="620" spans="29:31" x14ac:dyDescent="0.45">
      <c r="AC620" t="s">
        <v>19</v>
      </c>
      <c r="AD620" t="s">
        <v>260</v>
      </c>
      <c r="AE620">
        <v>3.1492536900016872E-3</v>
      </c>
    </row>
    <row r="621" spans="29:31" x14ac:dyDescent="0.45">
      <c r="AC621" t="s">
        <v>19</v>
      </c>
      <c r="AD621" t="s">
        <v>261</v>
      </c>
      <c r="AE621">
        <v>3.1403516556196263E-3</v>
      </c>
    </row>
    <row r="622" spans="29:31" x14ac:dyDescent="0.45">
      <c r="AC622" t="s">
        <v>19</v>
      </c>
      <c r="AD622" t="s">
        <v>262</v>
      </c>
      <c r="AE622">
        <v>2.2194600020251681E-2</v>
      </c>
    </row>
    <row r="623" spans="29:31" x14ac:dyDescent="0.45">
      <c r="AC623" t="s">
        <v>19</v>
      </c>
      <c r="AD623" t="s">
        <v>263</v>
      </c>
      <c r="AE623">
        <v>3.2111912728966245E-3</v>
      </c>
    </row>
    <row r="624" spans="29:31" x14ac:dyDescent="0.45">
      <c r="AC624" t="s">
        <v>19</v>
      </c>
      <c r="AD624" t="s">
        <v>264</v>
      </c>
      <c r="AE624">
        <v>3.2131361697261313E-3</v>
      </c>
    </row>
    <row r="625" spans="29:31" x14ac:dyDescent="0.45">
      <c r="AC625" t="s">
        <v>19</v>
      </c>
      <c r="AD625" t="s">
        <v>265</v>
      </c>
      <c r="AE625">
        <v>3.2176122386591744E-3</v>
      </c>
    </row>
    <row r="626" spans="29:31" x14ac:dyDescent="0.45">
      <c r="AC626" t="s">
        <v>19</v>
      </c>
      <c r="AD626" t="s">
        <v>266</v>
      </c>
      <c r="AE626">
        <v>1.9353151170863662E-2</v>
      </c>
    </row>
    <row r="627" spans="29:31" x14ac:dyDescent="0.45">
      <c r="AC627" t="s">
        <v>19</v>
      </c>
      <c r="AD627" t="s">
        <v>267</v>
      </c>
      <c r="AE627">
        <v>2.1290058222585766E-2</v>
      </c>
    </row>
    <row r="628" spans="29:31" x14ac:dyDescent="0.45">
      <c r="AC628" t="s">
        <v>19</v>
      </c>
      <c r="AD628" t="s">
        <v>268</v>
      </c>
      <c r="AE628">
        <v>3.4778004388648837E-3</v>
      </c>
    </row>
    <row r="629" spans="29:31" x14ac:dyDescent="0.45">
      <c r="AC629" t="s">
        <v>19</v>
      </c>
      <c r="AD629" t="s">
        <v>269</v>
      </c>
      <c r="AE629">
        <v>3.4715970469441268E-3</v>
      </c>
    </row>
    <row r="630" spans="29:31" x14ac:dyDescent="0.45">
      <c r="AC630" t="s">
        <v>19</v>
      </c>
      <c r="AD630" t="s">
        <v>270</v>
      </c>
      <c r="AE630">
        <v>2.4634624229355605E-2</v>
      </c>
    </row>
    <row r="631" spans="29:31" x14ac:dyDescent="0.45">
      <c r="AC631" t="s">
        <v>19</v>
      </c>
      <c r="AD631" t="s">
        <v>271</v>
      </c>
      <c r="AE631">
        <v>3.5563084696348369E-3</v>
      </c>
    </row>
    <row r="632" spans="29:31" x14ac:dyDescent="0.45">
      <c r="AC632" t="s">
        <v>19</v>
      </c>
      <c r="AD632" t="s">
        <v>272</v>
      </c>
      <c r="AE632">
        <v>3.5612535544863764E-3</v>
      </c>
    </row>
    <row r="633" spans="29:31" x14ac:dyDescent="0.45">
      <c r="AC633" t="s">
        <v>19</v>
      </c>
      <c r="AD633" t="s">
        <v>273</v>
      </c>
      <c r="AE633">
        <v>3.5630902880005818E-3</v>
      </c>
    </row>
    <row r="634" spans="29:31" x14ac:dyDescent="0.45">
      <c r="AC634" t="s">
        <v>19</v>
      </c>
      <c r="AD634" t="s">
        <v>274</v>
      </c>
      <c r="AE634">
        <v>2.1399527217477787E-2</v>
      </c>
    </row>
    <row r="635" spans="29:31" x14ac:dyDescent="0.45">
      <c r="AC635" t="s">
        <v>19</v>
      </c>
      <c r="AD635" t="s">
        <v>299</v>
      </c>
      <c r="AE635">
        <v>2.0544805611545983E-2</v>
      </c>
    </row>
    <row r="636" spans="29:31" x14ac:dyDescent="0.45">
      <c r="AC636" t="s">
        <v>19</v>
      </c>
      <c r="AD636" t="s">
        <v>300</v>
      </c>
      <c r="AE636">
        <v>3.3706895093697778E-3</v>
      </c>
    </row>
    <row r="637" spans="29:31" x14ac:dyDescent="0.45">
      <c r="AC637" t="s">
        <v>19</v>
      </c>
      <c r="AD637" t="s">
        <v>301</v>
      </c>
      <c r="AE637">
        <v>3.3652314981643863E-3</v>
      </c>
    </row>
    <row r="638" spans="29:31" x14ac:dyDescent="0.45">
      <c r="AC638" t="s">
        <v>19</v>
      </c>
      <c r="AD638" t="s">
        <v>302</v>
      </c>
      <c r="AE638">
        <v>2.3891737339009008E-2</v>
      </c>
    </row>
    <row r="639" spans="29:31" x14ac:dyDescent="0.45">
      <c r="AC639" t="s">
        <v>19</v>
      </c>
      <c r="AD639" t="s">
        <v>303</v>
      </c>
      <c r="AE639">
        <v>3.4397409913617121E-3</v>
      </c>
    </row>
    <row r="640" spans="29:31" x14ac:dyDescent="0.45">
      <c r="AC640" t="s">
        <v>19</v>
      </c>
      <c r="AD640" t="s">
        <v>304</v>
      </c>
      <c r="AE640">
        <v>3.444651691890952E-3</v>
      </c>
    </row>
    <row r="641" spans="29:31" x14ac:dyDescent="0.45">
      <c r="AC641" t="s">
        <v>19</v>
      </c>
      <c r="AD641" t="s">
        <v>305</v>
      </c>
      <c r="AE641">
        <v>3.4408199580632137E-3</v>
      </c>
    </row>
    <row r="642" spans="29:31" x14ac:dyDescent="0.45">
      <c r="AC642" t="s">
        <v>19</v>
      </c>
      <c r="AD642" t="s">
        <v>306</v>
      </c>
      <c r="AE642">
        <v>2.0662350750472003E-2</v>
      </c>
    </row>
    <row r="643" spans="29:31" x14ac:dyDescent="0.45">
      <c r="AC643" t="s">
        <v>19</v>
      </c>
      <c r="AD643" t="s">
        <v>331</v>
      </c>
      <c r="AE643">
        <v>2.1223441092015214E-2</v>
      </c>
    </row>
    <row r="644" spans="29:31" x14ac:dyDescent="0.45">
      <c r="AC644" t="s">
        <v>19</v>
      </c>
      <c r="AD644" t="s">
        <v>332</v>
      </c>
      <c r="AE644">
        <v>3.4859661544347823E-3</v>
      </c>
    </row>
    <row r="645" spans="29:31" x14ac:dyDescent="0.45">
      <c r="AC645" t="s">
        <v>19</v>
      </c>
      <c r="AD645" t="s">
        <v>333</v>
      </c>
      <c r="AE645">
        <v>3.4797166372036231E-3</v>
      </c>
    </row>
    <row r="646" spans="29:31" x14ac:dyDescent="0.45">
      <c r="AC646" t="s">
        <v>19</v>
      </c>
      <c r="AD646" t="s">
        <v>334</v>
      </c>
      <c r="AE646">
        <v>2.4648746678792133E-2</v>
      </c>
    </row>
    <row r="647" spans="29:31" x14ac:dyDescent="0.45">
      <c r="AC647" t="s">
        <v>19</v>
      </c>
      <c r="AD647" t="s">
        <v>335</v>
      </c>
      <c r="AE647">
        <v>3.5570609124147721E-3</v>
      </c>
    </row>
    <row r="648" spans="29:31" x14ac:dyDescent="0.45">
      <c r="AC648" t="s">
        <v>19</v>
      </c>
      <c r="AD648" t="s">
        <v>336</v>
      </c>
      <c r="AE648">
        <v>3.5576787120268202E-3</v>
      </c>
    </row>
    <row r="649" spans="29:31" x14ac:dyDescent="0.45">
      <c r="AC649" t="s">
        <v>19</v>
      </c>
      <c r="AD649" t="s">
        <v>337</v>
      </c>
      <c r="AE649">
        <v>3.5581197947153805E-3</v>
      </c>
    </row>
    <row r="650" spans="29:31" x14ac:dyDescent="0.45">
      <c r="AC650" t="s">
        <v>19</v>
      </c>
      <c r="AD650" t="s">
        <v>338</v>
      </c>
      <c r="AE650">
        <v>2.137079864257883E-2</v>
      </c>
    </row>
    <row r="651" spans="29:31" x14ac:dyDescent="0.45">
      <c r="AC651" t="s">
        <v>19</v>
      </c>
      <c r="AD651" t="s">
        <v>339</v>
      </c>
      <c r="AE651">
        <v>2.0548453822010204E-2</v>
      </c>
    </row>
    <row r="652" spans="29:31" x14ac:dyDescent="0.45">
      <c r="AC652" t="s">
        <v>19</v>
      </c>
      <c r="AD652" t="s">
        <v>340</v>
      </c>
      <c r="AE652">
        <v>3.379574715271021E-3</v>
      </c>
    </row>
    <row r="653" spans="29:31" x14ac:dyDescent="0.45">
      <c r="AC653" t="s">
        <v>19</v>
      </c>
      <c r="AD653" t="s">
        <v>341</v>
      </c>
      <c r="AE653">
        <v>3.3722211580927064E-3</v>
      </c>
    </row>
    <row r="654" spans="29:31" x14ac:dyDescent="0.45">
      <c r="AC654" t="s">
        <v>19</v>
      </c>
      <c r="AD654" t="s">
        <v>342</v>
      </c>
      <c r="AE654">
        <v>2.3827821977797994E-2</v>
      </c>
    </row>
    <row r="655" spans="29:31" x14ac:dyDescent="0.45">
      <c r="AC655" t="s">
        <v>19</v>
      </c>
      <c r="AD655" t="s">
        <v>343</v>
      </c>
      <c r="AE655">
        <v>3.4402832575524313E-3</v>
      </c>
    </row>
    <row r="656" spans="29:31" x14ac:dyDescent="0.45">
      <c r="AC656" t="s">
        <v>19</v>
      </c>
      <c r="AD656" t="s">
        <v>344</v>
      </c>
      <c r="AE656">
        <v>3.44164882478402E-3</v>
      </c>
    </row>
    <row r="657" spans="29:31" x14ac:dyDescent="0.45">
      <c r="AC657" t="s">
        <v>19</v>
      </c>
      <c r="AD657" t="s">
        <v>345</v>
      </c>
      <c r="AE657">
        <v>3.443684079913903E-3</v>
      </c>
    </row>
    <row r="658" spans="29:31" x14ac:dyDescent="0.45">
      <c r="AC658" t="s">
        <v>19</v>
      </c>
      <c r="AD658" t="s">
        <v>346</v>
      </c>
      <c r="AE658">
        <v>2.0692724073301229E-2</v>
      </c>
    </row>
    <row r="659" spans="29:31" x14ac:dyDescent="0.45">
      <c r="AC659" t="s">
        <v>19</v>
      </c>
      <c r="AD659" t="s">
        <v>347</v>
      </c>
      <c r="AE659">
        <v>2.1239478364632636E-2</v>
      </c>
    </row>
    <row r="660" spans="29:31" x14ac:dyDescent="0.45">
      <c r="AC660" t="s">
        <v>19</v>
      </c>
      <c r="AD660" t="s">
        <v>348</v>
      </c>
      <c r="AE660">
        <v>3.4901148460204979E-3</v>
      </c>
    </row>
    <row r="661" spans="29:31" x14ac:dyDescent="0.45">
      <c r="AC661" t="s">
        <v>19</v>
      </c>
      <c r="AD661" t="s">
        <v>349</v>
      </c>
      <c r="AE661">
        <v>3.4806753711336021E-3</v>
      </c>
    </row>
    <row r="662" spans="29:31" x14ac:dyDescent="0.45">
      <c r="AC662" t="s">
        <v>19</v>
      </c>
      <c r="AD662" t="s">
        <v>350</v>
      </c>
      <c r="AE662">
        <v>2.4573462626051094E-2</v>
      </c>
    </row>
    <row r="663" spans="29:31" x14ac:dyDescent="0.45">
      <c r="AC663" t="s">
        <v>19</v>
      </c>
      <c r="AD663" t="s">
        <v>351</v>
      </c>
      <c r="AE663">
        <v>3.557426769452868E-3</v>
      </c>
    </row>
    <row r="664" spans="29:31" x14ac:dyDescent="0.45">
      <c r="AC664" t="s">
        <v>19</v>
      </c>
      <c r="AD664" t="s">
        <v>352</v>
      </c>
      <c r="AE664">
        <v>3.5620926725305397E-3</v>
      </c>
    </row>
    <row r="665" spans="29:31" x14ac:dyDescent="0.45">
      <c r="AC665" t="s">
        <v>19</v>
      </c>
      <c r="AD665" t="s">
        <v>353</v>
      </c>
      <c r="AE665">
        <v>3.5667831327664762E-3</v>
      </c>
    </row>
    <row r="666" spans="29:31" x14ac:dyDescent="0.45">
      <c r="AC666" t="s">
        <v>19</v>
      </c>
      <c r="AD666" t="s">
        <v>354</v>
      </c>
      <c r="AE666">
        <v>2.145256291275302E-2</v>
      </c>
    </row>
    <row r="667" spans="29:31" x14ac:dyDescent="0.45">
      <c r="AC667" t="s">
        <v>19</v>
      </c>
      <c r="AD667" t="s">
        <v>355</v>
      </c>
      <c r="AE667">
        <v>1.6447621316361887E-2</v>
      </c>
    </row>
    <row r="668" spans="29:31" x14ac:dyDescent="0.45">
      <c r="AC668" t="s">
        <v>19</v>
      </c>
      <c r="AD668" t="s">
        <v>356</v>
      </c>
      <c r="AE668">
        <v>2.7014528372804126E-3</v>
      </c>
    </row>
    <row r="669" spans="29:31" x14ac:dyDescent="0.45">
      <c r="AC669" t="s">
        <v>19</v>
      </c>
      <c r="AD669" t="s">
        <v>357</v>
      </c>
      <c r="AE669">
        <v>2.6946096690262872E-3</v>
      </c>
    </row>
    <row r="670" spans="29:31" x14ac:dyDescent="0.45">
      <c r="AC670" t="s">
        <v>19</v>
      </c>
      <c r="AD670" t="s">
        <v>358</v>
      </c>
      <c r="AE670">
        <v>1.9033049967259272E-2</v>
      </c>
    </row>
    <row r="671" spans="29:31" x14ac:dyDescent="0.45">
      <c r="AC671" t="s">
        <v>19</v>
      </c>
      <c r="AD671" t="s">
        <v>359</v>
      </c>
      <c r="AE671">
        <v>2.7539531816671405E-3</v>
      </c>
    </row>
    <row r="672" spans="29:31" x14ac:dyDescent="0.45">
      <c r="AC672" t="s">
        <v>19</v>
      </c>
      <c r="AD672" t="s">
        <v>360</v>
      </c>
      <c r="AE672">
        <v>2.7562251488794961E-3</v>
      </c>
    </row>
    <row r="673" spans="29:31" x14ac:dyDescent="0.45">
      <c r="AC673" t="s">
        <v>19</v>
      </c>
      <c r="AD673" t="s">
        <v>361</v>
      </c>
      <c r="AE673">
        <v>2.7590259336365613E-3</v>
      </c>
    </row>
    <row r="674" spans="29:31" x14ac:dyDescent="0.45">
      <c r="AC674" t="s">
        <v>19</v>
      </c>
      <c r="AD674" t="s">
        <v>362</v>
      </c>
      <c r="AE674">
        <v>1.6605007025494244E-2</v>
      </c>
    </row>
    <row r="675" spans="29:31" x14ac:dyDescent="0.45">
      <c r="AC675" t="s">
        <v>19</v>
      </c>
      <c r="AD675" t="s">
        <v>1718</v>
      </c>
      <c r="AE675">
        <v>1.1527977694028421E-4</v>
      </c>
    </row>
    <row r="676" spans="29:31" x14ac:dyDescent="0.45">
      <c r="AC676" t="s">
        <v>19</v>
      </c>
      <c r="AD676" t="s">
        <v>1719</v>
      </c>
      <c r="AE676">
        <v>1.1495634067280002E-4</v>
      </c>
    </row>
    <row r="677" spans="29:31" x14ac:dyDescent="0.45">
      <c r="AC677" t="s">
        <v>19</v>
      </c>
      <c r="AD677" t="s">
        <v>1720</v>
      </c>
      <c r="AE677">
        <v>1.1465470909750576E-4</v>
      </c>
    </row>
    <row r="678" spans="29:31" x14ac:dyDescent="0.45">
      <c r="AC678" t="s">
        <v>19</v>
      </c>
      <c r="AD678" t="s">
        <v>1721</v>
      </c>
      <c r="AE678">
        <v>1.1390193112956353E-4</v>
      </c>
    </row>
    <row r="679" spans="29:31" x14ac:dyDescent="0.45">
      <c r="AC679" t="s">
        <v>19</v>
      </c>
      <c r="AD679" t="s">
        <v>1722</v>
      </c>
      <c r="AE679">
        <v>1.1351929533782005E-4</v>
      </c>
    </row>
    <row r="680" spans="29:31" x14ac:dyDescent="0.45">
      <c r="AC680" t="s">
        <v>19</v>
      </c>
      <c r="AD680" t="s">
        <v>1723</v>
      </c>
      <c r="AE680">
        <v>1.1268323376745998E-4</v>
      </c>
    </row>
    <row r="681" spans="29:31" x14ac:dyDescent="0.45">
      <c r="AC681" t="s">
        <v>19</v>
      </c>
      <c r="AD681" t="s">
        <v>1724</v>
      </c>
      <c r="AE681">
        <v>1.1247051974858134E-4</v>
      </c>
    </row>
    <row r="682" spans="29:31" x14ac:dyDescent="0.45">
      <c r="AC682" t="s">
        <v>19</v>
      </c>
      <c r="AD682" t="s">
        <v>1725</v>
      </c>
      <c r="AE682">
        <v>1.1223903305092378E-4</v>
      </c>
    </row>
    <row r="683" spans="29:31" x14ac:dyDescent="0.45">
      <c r="AC683" t="s">
        <v>19</v>
      </c>
      <c r="AD683" t="s">
        <v>1726</v>
      </c>
      <c r="AE683">
        <v>1.121903057999352E-4</v>
      </c>
    </row>
    <row r="684" spans="29:31" x14ac:dyDescent="0.45">
      <c r="AC684" t="s">
        <v>19</v>
      </c>
      <c r="AD684" t="s">
        <v>1727</v>
      </c>
      <c r="AE684">
        <v>1.1225277387765886E-4</v>
      </c>
    </row>
    <row r="685" spans="29:31" x14ac:dyDescent="0.45">
      <c r="AC685" t="s">
        <v>19</v>
      </c>
      <c r="AD685" t="s">
        <v>1728</v>
      </c>
      <c r="AE685">
        <v>1.128285768784184E-4</v>
      </c>
    </row>
    <row r="686" spans="29:31" x14ac:dyDescent="0.45">
      <c r="AC686" t="s">
        <v>19</v>
      </c>
      <c r="AD686" t="s">
        <v>1729</v>
      </c>
      <c r="AE686">
        <v>1.135078123934123E-4</v>
      </c>
    </row>
    <row r="687" spans="29:31" x14ac:dyDescent="0.45">
      <c r="AC687" t="s">
        <v>19</v>
      </c>
      <c r="AD687" t="s">
        <v>1730</v>
      </c>
      <c r="AE687">
        <v>1.1415098630209208E-4</v>
      </c>
    </row>
    <row r="688" spans="29:31" x14ac:dyDescent="0.45">
      <c r="AC688" t="s">
        <v>19</v>
      </c>
      <c r="AD688" t="s">
        <v>1731</v>
      </c>
      <c r="AE688">
        <v>1.1474304605560862E-4</v>
      </c>
    </row>
    <row r="689" spans="29:31" x14ac:dyDescent="0.45">
      <c r="AC689" t="s">
        <v>19</v>
      </c>
      <c r="AD689" t="s">
        <v>1732</v>
      </c>
      <c r="AE689">
        <v>1.1495059920059615E-4</v>
      </c>
    </row>
    <row r="690" spans="29:31" x14ac:dyDescent="0.45">
      <c r="AC690" t="s">
        <v>19</v>
      </c>
      <c r="AD690" t="s">
        <v>1733</v>
      </c>
      <c r="AE690">
        <v>1.1502637803223063E-4</v>
      </c>
    </row>
    <row r="691" spans="29:31" x14ac:dyDescent="0.45">
      <c r="AC691" t="s">
        <v>19</v>
      </c>
      <c r="AD691" t="s">
        <v>1734</v>
      </c>
      <c r="AE691">
        <v>1.1504848377539758E-4</v>
      </c>
    </row>
    <row r="692" spans="29:31" x14ac:dyDescent="0.45">
      <c r="AC692" t="s">
        <v>19</v>
      </c>
      <c r="AD692" t="s">
        <v>1735</v>
      </c>
      <c r="AE692">
        <v>1.1520287991930665E-4</v>
      </c>
    </row>
    <row r="693" spans="29:31" x14ac:dyDescent="0.45">
      <c r="AC693" t="s">
        <v>19</v>
      </c>
      <c r="AD693" t="s">
        <v>1736</v>
      </c>
      <c r="AE693">
        <v>1.1531312908780552E-4</v>
      </c>
    </row>
    <row r="694" spans="29:31" x14ac:dyDescent="0.45">
      <c r="AC694" t="s">
        <v>19</v>
      </c>
      <c r="AD694" t="s">
        <v>1737</v>
      </c>
      <c r="AE694">
        <v>1.153691460731653E-4</v>
      </c>
    </row>
    <row r="695" spans="29:31" x14ac:dyDescent="0.45">
      <c r="AC695" t="s">
        <v>19</v>
      </c>
      <c r="AD695" t="s">
        <v>1738</v>
      </c>
      <c r="AE695">
        <v>1.155058447203561E-4</v>
      </c>
    </row>
    <row r="696" spans="29:31" x14ac:dyDescent="0.45">
      <c r="AC696" t="s">
        <v>19</v>
      </c>
      <c r="AD696" t="s">
        <v>1739</v>
      </c>
      <c r="AE696">
        <v>1.1553810018217555E-4</v>
      </c>
    </row>
    <row r="697" spans="29:31" x14ac:dyDescent="0.45">
      <c r="AC697" t="s">
        <v>19</v>
      </c>
      <c r="AD697" t="s">
        <v>1740</v>
      </c>
      <c r="AE697">
        <v>1.1552577859576051E-4</v>
      </c>
    </row>
    <row r="698" spans="29:31" x14ac:dyDescent="0.45">
      <c r="AC698" t="s">
        <v>19</v>
      </c>
      <c r="AD698" t="s">
        <v>1741</v>
      </c>
      <c r="AE698">
        <v>1.1558624683485139E-4</v>
      </c>
    </row>
    <row r="699" spans="29:31" x14ac:dyDescent="0.45">
      <c r="AC699" t="s">
        <v>19</v>
      </c>
      <c r="AD699" t="s">
        <v>1742</v>
      </c>
      <c r="AE699">
        <v>1.1537288770673634E-4</v>
      </c>
    </row>
    <row r="700" spans="29:31" x14ac:dyDescent="0.45">
      <c r="AC700" t="s">
        <v>19</v>
      </c>
      <c r="AD700" t="s">
        <v>1743</v>
      </c>
      <c r="AE700">
        <v>1.1515985113323953E-4</v>
      </c>
    </row>
    <row r="701" spans="29:31" x14ac:dyDescent="0.45">
      <c r="AC701" t="s">
        <v>19</v>
      </c>
      <c r="AD701" t="s">
        <v>1744</v>
      </c>
      <c r="AE701">
        <v>1.149076779327351E-4</v>
      </c>
    </row>
    <row r="702" spans="29:31" x14ac:dyDescent="0.45">
      <c r="AC702" t="s">
        <v>19</v>
      </c>
      <c r="AD702" t="s">
        <v>1745</v>
      </c>
      <c r="AE702">
        <v>1.1395276573739097E-4</v>
      </c>
    </row>
    <row r="703" spans="29:31" x14ac:dyDescent="0.45">
      <c r="AC703" t="s">
        <v>19</v>
      </c>
      <c r="AD703" t="s">
        <v>1746</v>
      </c>
      <c r="AE703">
        <v>1.1349159864793776E-4</v>
      </c>
    </row>
    <row r="704" spans="29:31" x14ac:dyDescent="0.45">
      <c r="AC704" t="s">
        <v>19</v>
      </c>
      <c r="AD704" t="s">
        <v>1747</v>
      </c>
      <c r="AE704">
        <v>1.1282896394396025E-4</v>
      </c>
    </row>
    <row r="705" spans="29:31" x14ac:dyDescent="0.45">
      <c r="AC705" t="s">
        <v>19</v>
      </c>
      <c r="AD705" t="s">
        <v>1748</v>
      </c>
      <c r="AE705">
        <v>1.1254118071360714E-4</v>
      </c>
    </row>
    <row r="706" spans="29:31" x14ac:dyDescent="0.45">
      <c r="AC706" t="s">
        <v>19</v>
      </c>
      <c r="AD706" t="s">
        <v>1749</v>
      </c>
      <c r="AE706">
        <v>1.1224077484586204E-4</v>
      </c>
    </row>
    <row r="707" spans="29:31" x14ac:dyDescent="0.45">
      <c r="AC707" t="s">
        <v>19</v>
      </c>
      <c r="AD707" t="s">
        <v>1750</v>
      </c>
      <c r="AE707">
        <v>1.1219884274549676E-4</v>
      </c>
    </row>
    <row r="708" spans="29:31" x14ac:dyDescent="0.45">
      <c r="AC708" t="s">
        <v>19</v>
      </c>
      <c r="AD708" t="s">
        <v>1751</v>
      </c>
      <c r="AE708">
        <v>1.1229199651923132E-4</v>
      </c>
    </row>
    <row r="709" spans="29:31" x14ac:dyDescent="0.45">
      <c r="AC709" t="s">
        <v>19</v>
      </c>
      <c r="AD709" t="s">
        <v>1752</v>
      </c>
      <c r="AE709">
        <v>1.1289351787488157E-4</v>
      </c>
    </row>
    <row r="710" spans="29:31" x14ac:dyDescent="0.45">
      <c r="AC710" t="s">
        <v>19</v>
      </c>
      <c r="AD710" t="s">
        <v>1753</v>
      </c>
      <c r="AE710">
        <v>1.13449214971107E-4</v>
      </c>
    </row>
    <row r="711" spans="29:31" x14ac:dyDescent="0.45">
      <c r="AC711" t="s">
        <v>19</v>
      </c>
      <c r="AD711" t="s">
        <v>1754</v>
      </c>
      <c r="AE711">
        <v>1.1411273132437422E-4</v>
      </c>
    </row>
    <row r="712" spans="29:31" x14ac:dyDescent="0.45">
      <c r="AC712" t="s">
        <v>19</v>
      </c>
      <c r="AD712" t="s">
        <v>1755</v>
      </c>
      <c r="AE712">
        <v>1.1468053497060255E-4</v>
      </c>
    </row>
    <row r="713" spans="29:31" x14ac:dyDescent="0.45">
      <c r="AC713" t="s">
        <v>19</v>
      </c>
      <c r="AD713" t="s">
        <v>1756</v>
      </c>
      <c r="AE713">
        <v>1.1496055538647777E-4</v>
      </c>
    </row>
    <row r="714" spans="29:31" x14ac:dyDescent="0.45">
      <c r="AC714" t="s">
        <v>19</v>
      </c>
      <c r="AD714" t="s">
        <v>1757</v>
      </c>
      <c r="AE714">
        <v>1.1506136445648413E-4</v>
      </c>
    </row>
    <row r="715" spans="29:31" x14ac:dyDescent="0.45">
      <c r="AC715" t="s">
        <v>19</v>
      </c>
      <c r="AD715" t="s">
        <v>1758</v>
      </c>
      <c r="AE715">
        <v>1.1514215363652125E-4</v>
      </c>
    </row>
    <row r="716" spans="29:31" x14ac:dyDescent="0.45">
      <c r="AC716" t="s">
        <v>19</v>
      </c>
      <c r="AD716" t="s">
        <v>1759</v>
      </c>
      <c r="AE716">
        <v>1.1524618825270958E-4</v>
      </c>
    </row>
    <row r="717" spans="29:31" x14ac:dyDescent="0.45">
      <c r="AC717" t="s">
        <v>19</v>
      </c>
      <c r="AD717" t="s">
        <v>1760</v>
      </c>
      <c r="AE717">
        <v>1.1534665326445654E-4</v>
      </c>
    </row>
    <row r="718" spans="29:31" x14ac:dyDescent="0.45">
      <c r="AC718" t="s">
        <v>19</v>
      </c>
      <c r="AD718" t="s">
        <v>1761</v>
      </c>
      <c r="AE718">
        <v>1.153502443725391E-4</v>
      </c>
    </row>
    <row r="719" spans="29:31" x14ac:dyDescent="0.45">
      <c r="AC719" t="s">
        <v>19</v>
      </c>
      <c r="AD719" t="s">
        <v>1762</v>
      </c>
      <c r="AE719">
        <v>1.1537430694705641E-4</v>
      </c>
    </row>
    <row r="720" spans="29:31" x14ac:dyDescent="0.45">
      <c r="AC720" t="s">
        <v>19</v>
      </c>
      <c r="AD720" t="s">
        <v>1763</v>
      </c>
      <c r="AE720">
        <v>1.1552541303385991E-4</v>
      </c>
    </row>
    <row r="721" spans="29:31" x14ac:dyDescent="0.45">
      <c r="AC721" t="s">
        <v>19</v>
      </c>
      <c r="AD721" t="s">
        <v>1764</v>
      </c>
      <c r="AE721">
        <v>1.1535473863355262E-4</v>
      </c>
    </row>
    <row r="722" spans="29:31" x14ac:dyDescent="0.45">
      <c r="AC722" t="s">
        <v>19</v>
      </c>
      <c r="AD722" t="s">
        <v>1765</v>
      </c>
      <c r="AE722">
        <v>1.1542789402095912E-4</v>
      </c>
    </row>
    <row r="723" spans="29:31" x14ac:dyDescent="0.45">
      <c r="AC723" t="s">
        <v>19</v>
      </c>
      <c r="AD723" t="s">
        <v>1766</v>
      </c>
      <c r="AE723">
        <v>1.1531882755272697E-4</v>
      </c>
    </row>
    <row r="724" spans="29:31" x14ac:dyDescent="0.45">
      <c r="AC724" t="s">
        <v>19</v>
      </c>
      <c r="AD724" t="s">
        <v>1767</v>
      </c>
      <c r="AE724">
        <v>1.1507583640702047E-4</v>
      </c>
    </row>
    <row r="725" spans="29:31" x14ac:dyDescent="0.45">
      <c r="AC725" t="s">
        <v>19</v>
      </c>
      <c r="AD725" t="s">
        <v>1768</v>
      </c>
      <c r="AE725">
        <v>1.1484888697765884E-4</v>
      </c>
    </row>
    <row r="726" spans="29:31" x14ac:dyDescent="0.45">
      <c r="AC726" t="s">
        <v>19</v>
      </c>
      <c r="AD726" t="s">
        <v>1769</v>
      </c>
      <c r="AE726">
        <v>1.1395276573739097E-4</v>
      </c>
    </row>
    <row r="727" spans="29:31" x14ac:dyDescent="0.45">
      <c r="AC727" t="s">
        <v>19</v>
      </c>
      <c r="AD727" t="s">
        <v>1770</v>
      </c>
      <c r="AE727">
        <v>1.13486373263123E-4</v>
      </c>
    </row>
    <row r="728" spans="29:31" x14ac:dyDescent="0.45">
      <c r="AC728" t="s">
        <v>19</v>
      </c>
      <c r="AD728" t="s">
        <v>1771</v>
      </c>
      <c r="AE728">
        <v>1.128418231214056E-4</v>
      </c>
    </row>
    <row r="729" spans="29:31" x14ac:dyDescent="0.45">
      <c r="AC729" t="s">
        <v>19</v>
      </c>
      <c r="AD729" t="s">
        <v>1772</v>
      </c>
      <c r="AE729">
        <v>1.1256838281974155E-4</v>
      </c>
    </row>
    <row r="730" spans="29:31" x14ac:dyDescent="0.45">
      <c r="AC730" t="s">
        <v>19</v>
      </c>
      <c r="AD730" t="s">
        <v>1773</v>
      </c>
      <c r="AE730">
        <v>1.1228881398033181E-4</v>
      </c>
    </row>
    <row r="731" spans="29:31" x14ac:dyDescent="0.45">
      <c r="AC731" t="s">
        <v>19</v>
      </c>
      <c r="AD731" t="s">
        <v>1774</v>
      </c>
      <c r="AE731">
        <v>1.1227460007349003E-4</v>
      </c>
    </row>
    <row r="732" spans="29:31" x14ac:dyDescent="0.45">
      <c r="AC732" t="s">
        <v>19</v>
      </c>
      <c r="AD732" t="s">
        <v>1775</v>
      </c>
      <c r="AE732">
        <v>1.1229199651923132E-4</v>
      </c>
    </row>
    <row r="733" spans="29:31" x14ac:dyDescent="0.45">
      <c r="AC733" t="s">
        <v>19</v>
      </c>
      <c r="AD733" t="s">
        <v>1776</v>
      </c>
      <c r="AE733">
        <v>1.1283711382397996E-4</v>
      </c>
    </row>
    <row r="734" spans="29:31" x14ac:dyDescent="0.45">
      <c r="AC734" t="s">
        <v>19</v>
      </c>
      <c r="AD734" t="s">
        <v>1777</v>
      </c>
      <c r="AE734">
        <v>1.1341231472278554E-4</v>
      </c>
    </row>
    <row r="735" spans="29:31" x14ac:dyDescent="0.45">
      <c r="AC735" t="s">
        <v>19</v>
      </c>
      <c r="AD735" t="s">
        <v>1778</v>
      </c>
      <c r="AE735">
        <v>1.1407150884416896E-4</v>
      </c>
    </row>
    <row r="736" spans="29:31" x14ac:dyDescent="0.45">
      <c r="AC736" t="s">
        <v>19</v>
      </c>
      <c r="AD736" t="s">
        <v>1779</v>
      </c>
      <c r="AE736">
        <v>1.1463931249039729E-4</v>
      </c>
    </row>
    <row r="737" spans="29:31" x14ac:dyDescent="0.45">
      <c r="AC737" t="s">
        <v>19</v>
      </c>
      <c r="AD737" t="s">
        <v>1780</v>
      </c>
      <c r="AE737">
        <v>1.1496055538647777E-4</v>
      </c>
    </row>
    <row r="738" spans="29:31" x14ac:dyDescent="0.45">
      <c r="AC738" t="s">
        <v>19</v>
      </c>
      <c r="AD738" t="s">
        <v>1781</v>
      </c>
      <c r="AE738">
        <v>1.1506136445648416E-4</v>
      </c>
    </row>
    <row r="739" spans="29:31" x14ac:dyDescent="0.45">
      <c r="AC739" t="s">
        <v>19</v>
      </c>
      <c r="AD739" t="s">
        <v>1782</v>
      </c>
      <c r="AE739">
        <v>1.1514215363652125E-4</v>
      </c>
    </row>
    <row r="740" spans="29:31" x14ac:dyDescent="0.45">
      <c r="AC740" t="s">
        <v>19</v>
      </c>
      <c r="AD740" t="s">
        <v>1783</v>
      </c>
      <c r="AE740">
        <v>1.1524618825270958E-4</v>
      </c>
    </row>
    <row r="741" spans="29:31" x14ac:dyDescent="0.45">
      <c r="AC741" t="s">
        <v>19</v>
      </c>
      <c r="AD741" t="s">
        <v>1784</v>
      </c>
      <c r="AE741">
        <v>1.1534665326445654E-4</v>
      </c>
    </row>
    <row r="742" spans="29:31" x14ac:dyDescent="0.45">
      <c r="AC742" t="s">
        <v>19</v>
      </c>
      <c r="AD742" t="s">
        <v>1785</v>
      </c>
      <c r="AE742">
        <v>1.1550584472035612E-4</v>
      </c>
    </row>
    <row r="743" spans="29:31" x14ac:dyDescent="0.45">
      <c r="AC743" t="s">
        <v>19</v>
      </c>
      <c r="AD743" t="s">
        <v>1786</v>
      </c>
      <c r="AE743">
        <v>1.1550167301396081E-4</v>
      </c>
    </row>
    <row r="744" spans="29:31" x14ac:dyDescent="0.45">
      <c r="AC744" t="s">
        <v>19</v>
      </c>
      <c r="AD744" t="s">
        <v>1787</v>
      </c>
      <c r="AE744">
        <v>1.1552541303385991E-4</v>
      </c>
    </row>
    <row r="745" spans="29:31" x14ac:dyDescent="0.45">
      <c r="AC745" t="s">
        <v>19</v>
      </c>
      <c r="AD745" t="s">
        <v>1788</v>
      </c>
      <c r="AE745">
        <v>1.1532121445690159E-4</v>
      </c>
    </row>
    <row r="746" spans="29:31" x14ac:dyDescent="0.45">
      <c r="AC746" t="s">
        <v>19</v>
      </c>
      <c r="AD746" t="s">
        <v>1789</v>
      </c>
      <c r="AE746">
        <v>1.1539436984430812E-4</v>
      </c>
    </row>
    <row r="747" spans="29:31" x14ac:dyDescent="0.45">
      <c r="AC747" t="s">
        <v>19</v>
      </c>
      <c r="AD747" t="s">
        <v>1790</v>
      </c>
      <c r="AE747">
        <v>1.1527977694028422E-4</v>
      </c>
    </row>
    <row r="748" spans="29:31" x14ac:dyDescent="0.45">
      <c r="AC748" t="s">
        <v>19</v>
      </c>
      <c r="AD748" t="s">
        <v>1791</v>
      </c>
      <c r="AE748">
        <v>1.1507583640702047E-4</v>
      </c>
    </row>
    <row r="749" spans="29:31" x14ac:dyDescent="0.45">
      <c r="AC749" t="s">
        <v>19</v>
      </c>
      <c r="AD749" t="s">
        <v>1792</v>
      </c>
      <c r="AE749">
        <v>1.1475259367230718E-4</v>
      </c>
    </row>
    <row r="750" spans="29:31" x14ac:dyDescent="0.45">
      <c r="AC750" t="s">
        <v>19</v>
      </c>
      <c r="AD750" t="s">
        <v>1793</v>
      </c>
      <c r="AE750">
        <v>1.139439922517761E-4</v>
      </c>
    </row>
    <row r="751" spans="29:31" x14ac:dyDescent="0.45">
      <c r="AC751" t="s">
        <v>19</v>
      </c>
      <c r="AD751" t="s">
        <v>1794</v>
      </c>
      <c r="AE751">
        <v>1.1349142661880803E-4</v>
      </c>
    </row>
    <row r="752" spans="29:31" x14ac:dyDescent="0.45">
      <c r="AC752" t="s">
        <v>19</v>
      </c>
      <c r="AD752" t="s">
        <v>1795</v>
      </c>
      <c r="AE752">
        <v>1.1281126644724198E-4</v>
      </c>
    </row>
    <row r="753" spans="29:31" x14ac:dyDescent="0.45">
      <c r="AC753" t="s">
        <v>19</v>
      </c>
      <c r="AD753" t="s">
        <v>1796</v>
      </c>
      <c r="AE753">
        <v>1.124931630827786E-4</v>
      </c>
    </row>
    <row r="754" spans="29:31" x14ac:dyDescent="0.45">
      <c r="AC754" t="s">
        <v>19</v>
      </c>
      <c r="AD754" t="s">
        <v>1797</v>
      </c>
      <c r="AE754">
        <v>1.12210175164416E-4</v>
      </c>
    </row>
    <row r="755" spans="29:31" x14ac:dyDescent="0.45">
      <c r="AC755" t="s">
        <v>19</v>
      </c>
      <c r="AD755" t="s">
        <v>1798</v>
      </c>
      <c r="AE755">
        <v>1.1219387540437657E-4</v>
      </c>
    </row>
    <row r="756" spans="29:31" x14ac:dyDescent="0.45">
      <c r="AC756" t="s">
        <v>19</v>
      </c>
      <c r="AD756" t="s">
        <v>1799</v>
      </c>
      <c r="AE756">
        <v>1.1233321899943657E-4</v>
      </c>
    </row>
    <row r="757" spans="29:31" x14ac:dyDescent="0.45">
      <c r="AC757" t="s">
        <v>19</v>
      </c>
      <c r="AD757" t="s">
        <v>1800</v>
      </c>
      <c r="AE757">
        <v>1.1285661762656013E-4</v>
      </c>
    </row>
    <row r="758" spans="29:31" x14ac:dyDescent="0.45">
      <c r="AC758" t="s">
        <v>19</v>
      </c>
      <c r="AD758" t="s">
        <v>1801</v>
      </c>
      <c r="AE758">
        <v>1.13449214971107E-4</v>
      </c>
    </row>
    <row r="759" spans="29:31" x14ac:dyDescent="0.45">
      <c r="AC759" t="s">
        <v>19</v>
      </c>
      <c r="AD759" t="s">
        <v>1802</v>
      </c>
      <c r="AE759">
        <v>1.1411273132437422E-4</v>
      </c>
    </row>
    <row r="760" spans="29:31" x14ac:dyDescent="0.45">
      <c r="AC760" t="s">
        <v>19</v>
      </c>
      <c r="AD760" t="s">
        <v>1803</v>
      </c>
      <c r="AE760">
        <v>1.1463931249039729E-4</v>
      </c>
    </row>
    <row r="761" spans="29:31" x14ac:dyDescent="0.45">
      <c r="AC761" t="s">
        <v>19</v>
      </c>
      <c r="AD761" t="s">
        <v>1804</v>
      </c>
      <c r="AE761">
        <v>1.1496055538647777E-4</v>
      </c>
    </row>
    <row r="762" spans="29:31" x14ac:dyDescent="0.45">
      <c r="AC762" t="s">
        <v>19</v>
      </c>
      <c r="AD762" t="s">
        <v>1805</v>
      </c>
      <c r="AE762">
        <v>1.15101941827453E-4</v>
      </c>
    </row>
    <row r="763" spans="29:31" x14ac:dyDescent="0.45">
      <c r="AC763" t="s">
        <v>19</v>
      </c>
      <c r="AD763" t="s">
        <v>1806</v>
      </c>
      <c r="AE763">
        <v>1.1524618825270956E-4</v>
      </c>
    </row>
    <row r="764" spans="29:31" x14ac:dyDescent="0.45">
      <c r="AC764" t="s">
        <v>19</v>
      </c>
      <c r="AD764" t="s">
        <v>1807</v>
      </c>
      <c r="AE764">
        <v>1.153407827704054E-4</v>
      </c>
    </row>
    <row r="765" spans="29:31" x14ac:dyDescent="0.45">
      <c r="AC765" t="s">
        <v>19</v>
      </c>
      <c r="AD765" t="s">
        <v>1808</v>
      </c>
      <c r="AE765">
        <v>1.1554246542134179E-4</v>
      </c>
    </row>
    <row r="766" spans="29:31" x14ac:dyDescent="0.45">
      <c r="AC766" t="s">
        <v>19</v>
      </c>
      <c r="AD766" t="s">
        <v>1809</v>
      </c>
      <c r="AE766">
        <v>1.1558846170989633E-4</v>
      </c>
    </row>
    <row r="767" spans="29:31" x14ac:dyDescent="0.45">
      <c r="AC767" t="s">
        <v>19</v>
      </c>
      <c r="AD767" t="s">
        <v>1810</v>
      </c>
      <c r="AE767">
        <v>1.1562557699462991E-4</v>
      </c>
    </row>
    <row r="768" spans="29:31" x14ac:dyDescent="0.45">
      <c r="AC768" t="s">
        <v>19</v>
      </c>
      <c r="AD768" t="s">
        <v>1811</v>
      </c>
      <c r="AE768">
        <v>1.155840964707301E-4</v>
      </c>
    </row>
    <row r="769" spans="29:31" x14ac:dyDescent="0.45">
      <c r="AC769" t="s">
        <v>19</v>
      </c>
      <c r="AD769" t="s">
        <v>1812</v>
      </c>
      <c r="AE769">
        <v>1.1552577859576053E-4</v>
      </c>
    </row>
    <row r="770" spans="29:31" x14ac:dyDescent="0.45">
      <c r="AC770" t="s">
        <v>19</v>
      </c>
      <c r="AD770" t="s">
        <v>1813</v>
      </c>
      <c r="AE770">
        <v>1.1559893398316704E-4</v>
      </c>
    </row>
    <row r="771" spans="29:31" x14ac:dyDescent="0.45">
      <c r="AC771" t="s">
        <v>19</v>
      </c>
      <c r="AD771" t="s">
        <v>1814</v>
      </c>
      <c r="AE771">
        <v>1.1536772683284525E-4</v>
      </c>
    </row>
    <row r="772" spans="29:31" x14ac:dyDescent="0.45">
      <c r="AC772" t="s">
        <v>19</v>
      </c>
      <c r="AD772" t="s">
        <v>1815</v>
      </c>
      <c r="AE772">
        <v>1.1519335380624931E-4</v>
      </c>
    </row>
    <row r="773" spans="29:31" x14ac:dyDescent="0.45">
      <c r="AC773" t="s">
        <v>19</v>
      </c>
      <c r="AD773" t="s">
        <v>1816</v>
      </c>
      <c r="AE773">
        <v>1.1494672854517782E-4</v>
      </c>
    </row>
    <row r="774" spans="29:31" x14ac:dyDescent="0.45">
      <c r="AC774" t="s">
        <v>19</v>
      </c>
      <c r="AD774" t="s">
        <v>1817</v>
      </c>
      <c r="AE774">
        <v>1.140506503121924E-4</v>
      </c>
    </row>
    <row r="775" spans="29:31" x14ac:dyDescent="0.45">
      <c r="AC775" t="s">
        <v>19</v>
      </c>
      <c r="AD775" t="s">
        <v>1818</v>
      </c>
      <c r="AE775">
        <v>1.1354320738684886E-4</v>
      </c>
    </row>
    <row r="776" spans="29:31" x14ac:dyDescent="0.45">
      <c r="AC776" t="s">
        <v>19</v>
      </c>
      <c r="AD776" t="s">
        <v>1819</v>
      </c>
      <c r="AE776">
        <v>1.1284702700257914E-4</v>
      </c>
    </row>
    <row r="777" spans="29:31" x14ac:dyDescent="0.45">
      <c r="AC777" t="s">
        <v>19</v>
      </c>
      <c r="AD777" t="s">
        <v>1820</v>
      </c>
      <c r="AE777">
        <v>1.125081081134216E-4</v>
      </c>
    </row>
    <row r="778" spans="29:31" x14ac:dyDescent="0.45">
      <c r="AC778" t="s">
        <v>19</v>
      </c>
      <c r="AD778" t="s">
        <v>1821</v>
      </c>
      <c r="AE778">
        <v>1.1217581234575767E-4</v>
      </c>
    </row>
    <row r="779" spans="29:31" x14ac:dyDescent="0.45">
      <c r="AC779" t="s">
        <v>19</v>
      </c>
      <c r="AD779" t="s">
        <v>1822</v>
      </c>
      <c r="AE779">
        <v>1.1211515057389589E-4</v>
      </c>
    </row>
    <row r="780" spans="29:31" x14ac:dyDescent="0.45">
      <c r="AC780" t="s">
        <v>19</v>
      </c>
      <c r="AD780" t="s">
        <v>1823</v>
      </c>
      <c r="AE780">
        <v>1.1206192906189381E-4</v>
      </c>
    </row>
    <row r="781" spans="29:31" x14ac:dyDescent="0.45">
      <c r="AC781" t="s">
        <v>19</v>
      </c>
      <c r="AD781" t="s">
        <v>1824</v>
      </c>
      <c r="AE781">
        <v>1.122387319999468E-4</v>
      </c>
    </row>
    <row r="782" spans="29:31" x14ac:dyDescent="0.45">
      <c r="AC782" t="s">
        <v>19</v>
      </c>
      <c r="AD782" t="s">
        <v>1825</v>
      </c>
      <c r="AE782">
        <v>1.1248978701110815E-4</v>
      </c>
    </row>
    <row r="783" spans="29:31" x14ac:dyDescent="0.45">
      <c r="AC783" t="s">
        <v>19</v>
      </c>
      <c r="AD783" t="s">
        <v>1826</v>
      </c>
      <c r="AE783">
        <v>1.1273146643470067E-4</v>
      </c>
    </row>
    <row r="784" spans="29:31" x14ac:dyDescent="0.45">
      <c r="AC784" t="s">
        <v>19</v>
      </c>
      <c r="AD784" t="s">
        <v>1827</v>
      </c>
      <c r="AE784">
        <v>1.1304262412305226E-4</v>
      </c>
    </row>
    <row r="785" spans="29:31" x14ac:dyDescent="0.45">
      <c r="AC785" t="s">
        <v>19</v>
      </c>
      <c r="AD785" t="s">
        <v>1828</v>
      </c>
      <c r="AE785">
        <v>1.1317624774954962E-4</v>
      </c>
    </row>
    <row r="786" spans="29:31" x14ac:dyDescent="0.45">
      <c r="AC786" t="s">
        <v>19</v>
      </c>
      <c r="AD786" t="s">
        <v>1829</v>
      </c>
      <c r="AE786">
        <v>1.1367687402062865E-4</v>
      </c>
    </row>
    <row r="787" spans="29:31" x14ac:dyDescent="0.45">
      <c r="AC787" t="s">
        <v>19</v>
      </c>
      <c r="AD787" t="s">
        <v>1830</v>
      </c>
      <c r="AE787">
        <v>1.1374562116158648E-4</v>
      </c>
    </row>
    <row r="788" spans="29:31" x14ac:dyDescent="0.45">
      <c r="AC788" t="s">
        <v>19</v>
      </c>
      <c r="AD788" t="s">
        <v>1831</v>
      </c>
      <c r="AE788">
        <v>1.1377073741452325E-4</v>
      </c>
    </row>
    <row r="789" spans="29:31" x14ac:dyDescent="0.45">
      <c r="AC789" t="s">
        <v>19</v>
      </c>
      <c r="AD789" t="s">
        <v>1832</v>
      </c>
      <c r="AE789">
        <v>1.1379426239801022E-4</v>
      </c>
    </row>
    <row r="790" spans="29:31" x14ac:dyDescent="0.45">
      <c r="AC790" t="s">
        <v>19</v>
      </c>
      <c r="AD790" t="s">
        <v>1833</v>
      </c>
      <c r="AE790">
        <v>1.1384238754704483E-4</v>
      </c>
    </row>
    <row r="791" spans="29:31" x14ac:dyDescent="0.45">
      <c r="AC791" t="s">
        <v>19</v>
      </c>
      <c r="AD791" t="s">
        <v>1834</v>
      </c>
      <c r="AE791">
        <v>1.1410305468582838E-4</v>
      </c>
    </row>
    <row r="792" spans="29:31" x14ac:dyDescent="0.45">
      <c r="AC792" t="s">
        <v>19</v>
      </c>
      <c r="AD792" t="s">
        <v>1835</v>
      </c>
      <c r="AE792">
        <v>1.1416130804987431E-4</v>
      </c>
    </row>
    <row r="793" spans="29:31" x14ac:dyDescent="0.45">
      <c r="AC793" t="s">
        <v>19</v>
      </c>
      <c r="AD793" t="s">
        <v>1836</v>
      </c>
      <c r="AE793">
        <v>1.1412195638645458E-4</v>
      </c>
    </row>
    <row r="794" spans="29:31" x14ac:dyDescent="0.45">
      <c r="AC794" t="s">
        <v>19</v>
      </c>
      <c r="AD794" t="s">
        <v>1837</v>
      </c>
      <c r="AE794">
        <v>1.1409172226690915E-4</v>
      </c>
    </row>
    <row r="795" spans="29:31" x14ac:dyDescent="0.45">
      <c r="AC795" t="s">
        <v>19</v>
      </c>
      <c r="AD795" t="s">
        <v>1838</v>
      </c>
      <c r="AE795">
        <v>1.140494891155669E-4</v>
      </c>
    </row>
    <row r="796" spans="29:31" x14ac:dyDescent="0.45">
      <c r="AC796" t="s">
        <v>19</v>
      </c>
      <c r="AD796" t="s">
        <v>1839</v>
      </c>
      <c r="AE796">
        <v>1.1391820938596174E-4</v>
      </c>
    </row>
    <row r="797" spans="29:31" x14ac:dyDescent="0.45">
      <c r="AC797" t="s">
        <v>19</v>
      </c>
      <c r="AD797" t="s">
        <v>1840</v>
      </c>
      <c r="AE797">
        <v>1.1377802714889444E-4</v>
      </c>
    </row>
    <row r="798" spans="29:31" x14ac:dyDescent="0.45">
      <c r="AC798" t="s">
        <v>19</v>
      </c>
      <c r="AD798" t="s">
        <v>1841</v>
      </c>
      <c r="AE798">
        <v>1.1341560477989114E-4</v>
      </c>
    </row>
    <row r="799" spans="29:31" x14ac:dyDescent="0.45">
      <c r="AC799" t="s">
        <v>19</v>
      </c>
      <c r="AD799" t="s">
        <v>1842</v>
      </c>
      <c r="AE799">
        <v>1.13252822215909E-4</v>
      </c>
    </row>
    <row r="800" spans="29:31" x14ac:dyDescent="0.45">
      <c r="AC800" t="s">
        <v>19</v>
      </c>
      <c r="AD800" t="s">
        <v>1843</v>
      </c>
      <c r="AE800">
        <v>1.1265377377899824E-4</v>
      </c>
    </row>
    <row r="801" spans="29:31" x14ac:dyDescent="0.45">
      <c r="AC801" t="s">
        <v>19</v>
      </c>
      <c r="AD801" t="s">
        <v>1844</v>
      </c>
      <c r="AE801">
        <v>1.1235586233363383E-4</v>
      </c>
    </row>
    <row r="802" spans="29:31" x14ac:dyDescent="0.45">
      <c r="AC802" t="s">
        <v>19</v>
      </c>
      <c r="AD802" t="s">
        <v>1845</v>
      </c>
      <c r="AE802">
        <v>1.1205076867210429E-4</v>
      </c>
    </row>
    <row r="803" spans="29:31" x14ac:dyDescent="0.45">
      <c r="AC803" t="s">
        <v>19</v>
      </c>
      <c r="AD803" t="s">
        <v>1846</v>
      </c>
      <c r="AE803">
        <v>1.1196776461702225E-4</v>
      </c>
    </row>
    <row r="804" spans="29:31" x14ac:dyDescent="0.45">
      <c r="AC804" t="s">
        <v>19</v>
      </c>
      <c r="AD804" t="s">
        <v>1847</v>
      </c>
      <c r="AE804">
        <v>1.1193974537252176E-4</v>
      </c>
    </row>
    <row r="805" spans="29:31" x14ac:dyDescent="0.45">
      <c r="AC805" t="s">
        <v>19</v>
      </c>
      <c r="AD805" t="s">
        <v>1848</v>
      </c>
      <c r="AE805">
        <v>1.1214018081226779E-4</v>
      </c>
    </row>
    <row r="806" spans="29:31" x14ac:dyDescent="0.45">
      <c r="AC806" t="s">
        <v>19</v>
      </c>
      <c r="AD806" t="s">
        <v>1849</v>
      </c>
      <c r="AE806">
        <v>1.1249668967993752E-4</v>
      </c>
    </row>
    <row r="807" spans="29:31" x14ac:dyDescent="0.45">
      <c r="AC807" t="s">
        <v>19</v>
      </c>
      <c r="AD807" t="s">
        <v>1850</v>
      </c>
      <c r="AE807">
        <v>1.1265575211398982E-4</v>
      </c>
    </row>
    <row r="808" spans="29:31" x14ac:dyDescent="0.45">
      <c r="AC808" t="s">
        <v>19</v>
      </c>
      <c r="AD808" t="s">
        <v>1851</v>
      </c>
      <c r="AE808">
        <v>1.1302570075741767E-4</v>
      </c>
    </row>
    <row r="809" spans="29:31" x14ac:dyDescent="0.45">
      <c r="AC809" t="s">
        <v>19</v>
      </c>
      <c r="AD809" t="s">
        <v>1852</v>
      </c>
      <c r="AE809">
        <v>1.1316177579901331E-4</v>
      </c>
    </row>
    <row r="810" spans="29:31" x14ac:dyDescent="0.45">
      <c r="AC810" t="s">
        <v>19</v>
      </c>
      <c r="AD810" t="s">
        <v>1853</v>
      </c>
      <c r="AE810">
        <v>1.1362722211306792E-4</v>
      </c>
    </row>
    <row r="811" spans="29:31" x14ac:dyDescent="0.45">
      <c r="AC811" t="s">
        <v>19</v>
      </c>
      <c r="AD811" t="s">
        <v>1854</v>
      </c>
      <c r="AE811">
        <v>1.136230289030314E-4</v>
      </c>
    </row>
    <row r="812" spans="29:31" x14ac:dyDescent="0.45">
      <c r="AC812" t="s">
        <v>19</v>
      </c>
      <c r="AD812" t="s">
        <v>1855</v>
      </c>
      <c r="AE812">
        <v>1.1372254775456499E-4</v>
      </c>
    </row>
    <row r="813" spans="29:31" x14ac:dyDescent="0.45">
      <c r="AC813" t="s">
        <v>19</v>
      </c>
      <c r="AD813" t="s">
        <v>1856</v>
      </c>
      <c r="AE813">
        <v>1.1379426239801022E-4</v>
      </c>
    </row>
    <row r="814" spans="29:31" x14ac:dyDescent="0.45">
      <c r="AC814" t="s">
        <v>19</v>
      </c>
      <c r="AD814" t="s">
        <v>1857</v>
      </c>
      <c r="AE814">
        <v>1.1386642861792094E-4</v>
      </c>
    </row>
    <row r="815" spans="29:31" x14ac:dyDescent="0.45">
      <c r="AC815" t="s">
        <v>19</v>
      </c>
      <c r="AD815" t="s">
        <v>1858</v>
      </c>
      <c r="AE815">
        <v>1.1411980602233329E-4</v>
      </c>
    </row>
    <row r="816" spans="29:31" x14ac:dyDescent="0.45">
      <c r="AC816" t="s">
        <v>19</v>
      </c>
      <c r="AD816" t="s">
        <v>1859</v>
      </c>
      <c r="AE816">
        <v>1.141780593863792E-4</v>
      </c>
    </row>
    <row r="817" spans="29:31" x14ac:dyDescent="0.45">
      <c r="AC817" t="s">
        <v>19</v>
      </c>
      <c r="AD817" t="s">
        <v>1860</v>
      </c>
      <c r="AE817">
        <v>1.1433002561883123E-4</v>
      </c>
    </row>
    <row r="818" spans="29:31" x14ac:dyDescent="0.45">
      <c r="AC818" t="s">
        <v>19</v>
      </c>
      <c r="AD818" t="s">
        <v>1861</v>
      </c>
      <c r="AE818">
        <v>1.1434436854752026E-4</v>
      </c>
    </row>
    <row r="819" spans="29:31" x14ac:dyDescent="0.45">
      <c r="AC819" t="s">
        <v>19</v>
      </c>
      <c r="AD819" t="s">
        <v>1862</v>
      </c>
      <c r="AE819">
        <v>1.1432843434938146E-4</v>
      </c>
    </row>
    <row r="820" spans="29:31" x14ac:dyDescent="0.45">
      <c r="AC820" t="s">
        <v>19</v>
      </c>
      <c r="AD820" t="s">
        <v>1863</v>
      </c>
      <c r="AE820">
        <v>1.139894509493003E-4</v>
      </c>
    </row>
    <row r="821" spans="29:31" x14ac:dyDescent="0.45">
      <c r="AC821" t="s">
        <v>19</v>
      </c>
      <c r="AD821" t="s">
        <v>1864</v>
      </c>
      <c r="AE821">
        <v>1.1379264962491924E-4</v>
      </c>
    </row>
    <row r="822" spans="29:31" x14ac:dyDescent="0.45">
      <c r="AC822" t="s">
        <v>19</v>
      </c>
      <c r="AD822" t="s">
        <v>1865</v>
      </c>
      <c r="AE822">
        <v>1.1341037939507638E-4</v>
      </c>
    </row>
    <row r="823" spans="29:31" x14ac:dyDescent="0.45">
      <c r="AC823" t="s">
        <v>19</v>
      </c>
      <c r="AD823" t="s">
        <v>1866</v>
      </c>
      <c r="AE823">
        <v>1.1330677485171232E-4</v>
      </c>
    </row>
    <row r="824" spans="29:31" x14ac:dyDescent="0.45">
      <c r="AC824" t="s">
        <v>19</v>
      </c>
      <c r="AD824" t="s">
        <v>1867</v>
      </c>
      <c r="AE824">
        <v>1.1275374420699731E-4</v>
      </c>
    </row>
    <row r="825" spans="29:31" x14ac:dyDescent="0.45">
      <c r="AC825" t="s">
        <v>19</v>
      </c>
      <c r="AD825" t="s">
        <v>1868</v>
      </c>
      <c r="AE825">
        <v>1.124931630827786E-4</v>
      </c>
    </row>
    <row r="826" spans="29:31" x14ac:dyDescent="0.45">
      <c r="AC826" t="s">
        <v>19</v>
      </c>
      <c r="AD826" t="s">
        <v>1869</v>
      </c>
      <c r="AE826">
        <v>1.12210175164416E-4</v>
      </c>
    </row>
    <row r="827" spans="29:31" x14ac:dyDescent="0.45">
      <c r="AC827" t="s">
        <v>19</v>
      </c>
      <c r="AD827" t="s">
        <v>1870</v>
      </c>
      <c r="AE827">
        <v>1.1221432536717009E-4</v>
      </c>
    </row>
    <row r="828" spans="29:31" x14ac:dyDescent="0.45">
      <c r="AC828" t="s">
        <v>19</v>
      </c>
      <c r="AD828" t="s">
        <v>1871</v>
      </c>
      <c r="AE828">
        <v>1.1233321899943657E-4</v>
      </c>
    </row>
    <row r="829" spans="29:31" x14ac:dyDescent="0.45">
      <c r="AC829" t="s">
        <v>19</v>
      </c>
      <c r="AD829" t="s">
        <v>1872</v>
      </c>
      <c r="AE829">
        <v>1.1285661762656013E-4</v>
      </c>
    </row>
    <row r="830" spans="29:31" x14ac:dyDescent="0.45">
      <c r="AC830" t="s">
        <v>19</v>
      </c>
      <c r="AD830" t="s">
        <v>1873</v>
      </c>
      <c r="AE830">
        <v>1.1341231472278554E-4</v>
      </c>
    </row>
    <row r="831" spans="29:31" x14ac:dyDescent="0.45">
      <c r="AC831" t="s">
        <v>19</v>
      </c>
      <c r="AD831" t="s">
        <v>1874</v>
      </c>
      <c r="AE831">
        <v>1.1411273132437422E-4</v>
      </c>
    </row>
    <row r="832" spans="29:31" x14ac:dyDescent="0.45">
      <c r="AC832" t="s">
        <v>19</v>
      </c>
      <c r="AD832" t="s">
        <v>1875</v>
      </c>
      <c r="AE832">
        <v>1.1463931249039729E-4</v>
      </c>
    </row>
    <row r="833" spans="29:31" x14ac:dyDescent="0.45">
      <c r="AC833" t="s">
        <v>19</v>
      </c>
      <c r="AD833" t="s">
        <v>1876</v>
      </c>
      <c r="AE833">
        <v>1.1496055538647777E-4</v>
      </c>
    </row>
    <row r="834" spans="29:31" x14ac:dyDescent="0.45">
      <c r="AC834" t="s">
        <v>19</v>
      </c>
      <c r="AD834" t="s">
        <v>1877</v>
      </c>
      <c r="AE834">
        <v>1.1506136445648413E-4</v>
      </c>
    </row>
    <row r="835" spans="29:31" x14ac:dyDescent="0.45">
      <c r="AC835" t="s">
        <v>19</v>
      </c>
      <c r="AD835" t="s">
        <v>1878</v>
      </c>
      <c r="AE835">
        <v>1.1514215363652125E-4</v>
      </c>
    </row>
    <row r="836" spans="29:31" x14ac:dyDescent="0.45">
      <c r="AC836" t="s">
        <v>19</v>
      </c>
      <c r="AD836" t="s">
        <v>1879</v>
      </c>
      <c r="AE836">
        <v>1.1528960410431854E-4</v>
      </c>
    </row>
    <row r="837" spans="29:31" x14ac:dyDescent="0.45">
      <c r="AC837" t="s">
        <v>19</v>
      </c>
      <c r="AD837" t="s">
        <v>1880</v>
      </c>
      <c r="AE837">
        <v>1.153502443725391E-4</v>
      </c>
    </row>
    <row r="838" spans="29:31" x14ac:dyDescent="0.45">
      <c r="AC838" t="s">
        <v>19</v>
      </c>
      <c r="AD838" t="s">
        <v>1881</v>
      </c>
      <c r="AE838">
        <v>1.1552979977666735E-4</v>
      </c>
    </row>
    <row r="839" spans="29:31" x14ac:dyDescent="0.45">
      <c r="AC839" t="s">
        <v>19</v>
      </c>
      <c r="AD839" t="s">
        <v>1882</v>
      </c>
      <c r="AE839">
        <v>1.1554246542134179E-4</v>
      </c>
    </row>
    <row r="840" spans="29:31" x14ac:dyDescent="0.45">
      <c r="AC840" t="s">
        <v>19</v>
      </c>
      <c r="AD840" t="s">
        <v>1883</v>
      </c>
      <c r="AE840">
        <v>1.1562121175546368E-4</v>
      </c>
    </row>
    <row r="841" spans="29:31" x14ac:dyDescent="0.45">
      <c r="AC841" t="s">
        <v>19</v>
      </c>
      <c r="AD841" t="s">
        <v>1884</v>
      </c>
      <c r="AE841">
        <v>1.1557177488431506E-4</v>
      </c>
    </row>
    <row r="842" spans="29:31" x14ac:dyDescent="0.45">
      <c r="AC842" t="s">
        <v>19</v>
      </c>
      <c r="AD842" t="s">
        <v>1885</v>
      </c>
      <c r="AE842">
        <v>1.1559893398316704E-4</v>
      </c>
    </row>
    <row r="843" spans="29:31" x14ac:dyDescent="0.45">
      <c r="AC843" t="s">
        <v>19</v>
      </c>
      <c r="AD843" t="s">
        <v>363</v>
      </c>
      <c r="AE843">
        <v>2.0537094018741476E-2</v>
      </c>
    </row>
    <row r="844" spans="29:31" x14ac:dyDescent="0.45">
      <c r="AC844" t="s">
        <v>19</v>
      </c>
      <c r="AD844" t="s">
        <v>364</v>
      </c>
      <c r="AE844">
        <v>3.374769567246244E-3</v>
      </c>
    </row>
    <row r="845" spans="29:31" x14ac:dyDescent="0.45">
      <c r="AC845" t="s">
        <v>19</v>
      </c>
      <c r="AD845" t="s">
        <v>365</v>
      </c>
      <c r="AE845">
        <v>3.3675968986978124E-3</v>
      </c>
    </row>
    <row r="846" spans="29:31" x14ac:dyDescent="0.45">
      <c r="AC846" t="s">
        <v>19</v>
      </c>
      <c r="AD846" t="s">
        <v>366</v>
      </c>
      <c r="AE846">
        <v>2.3812222120691923E-2</v>
      </c>
    </row>
    <row r="847" spans="29:31" x14ac:dyDescent="0.45">
      <c r="AC847" t="s">
        <v>19</v>
      </c>
      <c r="AD847" t="s">
        <v>367</v>
      </c>
      <c r="AE847">
        <v>3.4430888287512351E-3</v>
      </c>
    </row>
    <row r="848" spans="29:31" x14ac:dyDescent="0.45">
      <c r="AC848" t="s">
        <v>19</v>
      </c>
      <c r="AD848" t="s">
        <v>368</v>
      </c>
      <c r="AE848">
        <v>3.4453248848827652E-3</v>
      </c>
    </row>
    <row r="849" spans="29:31" x14ac:dyDescent="0.45">
      <c r="AC849" t="s">
        <v>19</v>
      </c>
      <c r="AD849" t="s">
        <v>369</v>
      </c>
      <c r="AE849">
        <v>3.4476617070770192E-3</v>
      </c>
    </row>
    <row r="850" spans="29:31" x14ac:dyDescent="0.45">
      <c r="AC850" t="s">
        <v>19</v>
      </c>
      <c r="AD850" t="s">
        <v>370</v>
      </c>
      <c r="AE850">
        <v>2.0729579132258261E-2</v>
      </c>
    </row>
    <row r="851" spans="29:31" x14ac:dyDescent="0.45">
      <c r="AC851" t="s">
        <v>19</v>
      </c>
      <c r="AD851" t="s">
        <v>395</v>
      </c>
      <c r="AE851">
        <v>2.1225495681068917E-2</v>
      </c>
    </row>
    <row r="852" spans="29:31" x14ac:dyDescent="0.45">
      <c r="AC852" t="s">
        <v>19</v>
      </c>
      <c r="AD852" t="s">
        <v>396</v>
      </c>
      <c r="AE852">
        <v>3.4856379841406849E-3</v>
      </c>
    </row>
    <row r="853" spans="29:31" x14ac:dyDescent="0.45">
      <c r="AC853" t="s">
        <v>19</v>
      </c>
      <c r="AD853" t="s">
        <v>397</v>
      </c>
      <c r="AE853">
        <v>3.4796871739896157E-3</v>
      </c>
    </row>
    <row r="854" spans="29:31" x14ac:dyDescent="0.45">
      <c r="AC854" t="s">
        <v>19</v>
      </c>
      <c r="AD854" t="s">
        <v>398</v>
      </c>
      <c r="AE854">
        <v>2.4670641018587115E-2</v>
      </c>
    </row>
    <row r="855" spans="29:31" x14ac:dyDescent="0.45">
      <c r="AC855" t="s">
        <v>19</v>
      </c>
      <c r="AD855" t="s">
        <v>399</v>
      </c>
      <c r="AE855">
        <v>3.5550115906779894E-3</v>
      </c>
    </row>
    <row r="856" spans="29:31" x14ac:dyDescent="0.45">
      <c r="AC856" t="s">
        <v>19</v>
      </c>
      <c r="AD856" t="s">
        <v>400</v>
      </c>
      <c r="AE856">
        <v>3.5566551139758961E-3</v>
      </c>
    </row>
    <row r="857" spans="29:31" x14ac:dyDescent="0.45">
      <c r="AC857" t="s">
        <v>19</v>
      </c>
      <c r="AD857" t="s">
        <v>401</v>
      </c>
      <c r="AE857">
        <v>3.5562127625725043E-3</v>
      </c>
    </row>
    <row r="858" spans="29:31" x14ac:dyDescent="0.45">
      <c r="AC858" t="s">
        <v>19</v>
      </c>
      <c r="AD858" t="s">
        <v>402</v>
      </c>
      <c r="AE858">
        <v>2.1354870446106289E-2</v>
      </c>
    </row>
    <row r="859" spans="29:31" x14ac:dyDescent="0.45">
      <c r="AC859" t="s">
        <v>19</v>
      </c>
      <c r="AD859" t="s">
        <v>403</v>
      </c>
      <c r="AE859">
        <v>2.0641099640495167E-2</v>
      </c>
    </row>
    <row r="860" spans="29:31" x14ac:dyDescent="0.45">
      <c r="AC860" t="s">
        <v>19</v>
      </c>
      <c r="AD860" t="s">
        <v>404</v>
      </c>
      <c r="AE860">
        <v>3.3773964687221409E-3</v>
      </c>
    </row>
    <row r="861" spans="29:31" x14ac:dyDescent="0.45">
      <c r="AC861" t="s">
        <v>19</v>
      </c>
      <c r="AD861" t="s">
        <v>405</v>
      </c>
      <c r="AE861">
        <v>3.3692861984095418E-3</v>
      </c>
    </row>
    <row r="862" spans="29:31" x14ac:dyDescent="0.45">
      <c r="AC862" t="s">
        <v>19</v>
      </c>
      <c r="AD862" t="s">
        <v>406</v>
      </c>
      <c r="AE862">
        <v>2.3812920159528385E-2</v>
      </c>
    </row>
    <row r="863" spans="29:31" x14ac:dyDescent="0.45">
      <c r="AC863" t="s">
        <v>19</v>
      </c>
      <c r="AD863" t="s">
        <v>407</v>
      </c>
      <c r="AE863">
        <v>3.4517120635866503E-3</v>
      </c>
    </row>
    <row r="864" spans="29:31" x14ac:dyDescent="0.45">
      <c r="AC864" t="s">
        <v>19</v>
      </c>
      <c r="AD864" t="s">
        <v>408</v>
      </c>
      <c r="AE864">
        <v>3.4379976433229751E-3</v>
      </c>
    </row>
    <row r="865" spans="29:31" x14ac:dyDescent="0.45">
      <c r="AC865" t="s">
        <v>19</v>
      </c>
      <c r="AD865" t="s">
        <v>409</v>
      </c>
      <c r="AE865">
        <v>3.4407479160268313E-3</v>
      </c>
    </row>
    <row r="866" spans="29:31" x14ac:dyDescent="0.45">
      <c r="AC866" t="s">
        <v>19</v>
      </c>
      <c r="AD866" t="s">
        <v>410</v>
      </c>
      <c r="AE866">
        <v>2.0648476357095068E-2</v>
      </c>
    </row>
    <row r="867" spans="29:31" x14ac:dyDescent="0.45">
      <c r="AC867" t="s">
        <v>19</v>
      </c>
      <c r="AD867" t="s">
        <v>411</v>
      </c>
      <c r="AE867">
        <v>2.1350568589997714E-2</v>
      </c>
    </row>
    <row r="868" spans="29:31" x14ac:dyDescent="0.45">
      <c r="AC868" t="s">
        <v>19</v>
      </c>
      <c r="AD868" t="s">
        <v>412</v>
      </c>
      <c r="AE868">
        <v>3.4888134789849336E-3</v>
      </c>
    </row>
    <row r="869" spans="29:31" x14ac:dyDescent="0.45">
      <c r="AC869" t="s">
        <v>19</v>
      </c>
      <c r="AD869" t="s">
        <v>413</v>
      </c>
      <c r="AE869">
        <v>3.4791075524797672E-3</v>
      </c>
    </row>
    <row r="870" spans="29:31" x14ac:dyDescent="0.45">
      <c r="AC870" t="s">
        <v>19</v>
      </c>
      <c r="AD870" t="s">
        <v>414</v>
      </c>
      <c r="AE870">
        <v>2.4576792440163732E-2</v>
      </c>
    </row>
    <row r="871" spans="29:31" x14ac:dyDescent="0.45">
      <c r="AC871" t="s">
        <v>19</v>
      </c>
      <c r="AD871" t="s">
        <v>415</v>
      </c>
      <c r="AE871">
        <v>3.5564313347208405E-3</v>
      </c>
    </row>
    <row r="872" spans="29:31" x14ac:dyDescent="0.45">
      <c r="AC872" t="s">
        <v>19</v>
      </c>
      <c r="AD872" t="s">
        <v>416</v>
      </c>
      <c r="AE872">
        <v>3.5569994394180453E-3</v>
      </c>
    </row>
    <row r="873" spans="29:31" x14ac:dyDescent="0.45">
      <c r="AC873" t="s">
        <v>19</v>
      </c>
      <c r="AD873" t="s">
        <v>417</v>
      </c>
      <c r="AE873">
        <v>3.5630400057675383E-3</v>
      </c>
    </row>
    <row r="874" spans="29:31" x14ac:dyDescent="0.45">
      <c r="AC874" t="s">
        <v>19</v>
      </c>
      <c r="AD874" t="s">
        <v>418</v>
      </c>
      <c r="AE874">
        <v>2.1427648176889174E-2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2786EA-73BB-4A0C-986C-3AB8ED39BE62}">
  <dimension ref="A9:AN97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105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248</v>
      </c>
      <c r="L10" t="s">
        <v>30</v>
      </c>
      <c r="N10" t="s">
        <v>13</v>
      </c>
      <c r="O10" t="s">
        <v>122</v>
      </c>
      <c r="P10" t="s">
        <v>248</v>
      </c>
      <c r="Q10" t="s">
        <v>30</v>
      </c>
      <c r="S10" t="s">
        <v>13</v>
      </c>
      <c r="T10" t="s">
        <v>122</v>
      </c>
      <c r="U10" t="s">
        <v>248</v>
      </c>
      <c r="V10" t="s">
        <v>30</v>
      </c>
      <c r="X10" t="s">
        <v>421</v>
      </c>
      <c r="Y10" t="s">
        <v>248</v>
      </c>
      <c r="Z10" t="s">
        <v>122</v>
      </c>
      <c r="AA10" t="s">
        <v>13</v>
      </c>
      <c r="AC10" t="s">
        <v>13</v>
      </c>
      <c r="AD10" t="s">
        <v>122</v>
      </c>
      <c r="AE10" t="s">
        <v>248</v>
      </c>
      <c r="AG10" t="s">
        <v>13</v>
      </c>
      <c r="AH10" t="s">
        <v>122</v>
      </c>
      <c r="AI10" t="s">
        <v>427</v>
      </c>
      <c r="AK10" t="s">
        <v>47</v>
      </c>
      <c r="AL10" t="s">
        <v>122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1214</v>
      </c>
      <c r="F11" t="s">
        <v>154</v>
      </c>
      <c r="G11" t="s">
        <v>155</v>
      </c>
      <c r="I11" t="s">
        <v>249</v>
      </c>
      <c r="J11" t="s">
        <v>250</v>
      </c>
      <c r="K11">
        <v>0</v>
      </c>
      <c r="L11" t="s">
        <v>251</v>
      </c>
      <c r="N11" t="s">
        <v>419</v>
      </c>
      <c r="O11" t="s">
        <v>250</v>
      </c>
      <c r="P11">
        <v>2.1065016099604327E-2</v>
      </c>
      <c r="Q11" t="s">
        <v>251</v>
      </c>
      <c r="S11" t="s">
        <v>420</v>
      </c>
      <c r="T11" t="s">
        <v>250</v>
      </c>
      <c r="U11">
        <v>2.2141770498667824E-2</v>
      </c>
      <c r="V11" t="s">
        <v>251</v>
      </c>
      <c r="X11">
        <v>1.643835616438356E-2</v>
      </c>
      <c r="Y11">
        <v>3.5163960917882816E-3</v>
      </c>
      <c r="Z11" t="s">
        <v>250</v>
      </c>
      <c r="AA11" t="s">
        <v>25</v>
      </c>
      <c r="AC11" t="s">
        <v>22</v>
      </c>
      <c r="AD11" t="s">
        <v>250</v>
      </c>
      <c r="AE11">
        <v>1.9724969786847769E-2</v>
      </c>
      <c r="AG11" t="s">
        <v>97</v>
      </c>
      <c r="AH11" t="s">
        <v>250</v>
      </c>
      <c r="AI11">
        <v>0.12215700048798284</v>
      </c>
    </row>
    <row r="12" spans="1:40" x14ac:dyDescent="0.45">
      <c r="C12" t="s">
        <v>156</v>
      </c>
      <c r="D12" t="s">
        <v>155</v>
      </c>
      <c r="E12" t="s">
        <v>1215</v>
      </c>
      <c r="F12" t="s">
        <v>151</v>
      </c>
      <c r="G12" t="s">
        <v>155</v>
      </c>
      <c r="I12" t="s">
        <v>249</v>
      </c>
      <c r="J12" t="s">
        <v>252</v>
      </c>
      <c r="K12">
        <v>0</v>
      </c>
      <c r="L12" t="s">
        <v>251</v>
      </c>
      <c r="N12" t="s">
        <v>419</v>
      </c>
      <c r="O12" t="s">
        <v>252</v>
      </c>
      <c r="P12">
        <v>3.363593845333706E-3</v>
      </c>
      <c r="Q12" t="s">
        <v>251</v>
      </c>
      <c r="S12" t="s">
        <v>420</v>
      </c>
      <c r="T12" t="s">
        <v>252</v>
      </c>
      <c r="U12">
        <v>3.6528865788252006E-3</v>
      </c>
      <c r="V12" t="s">
        <v>251</v>
      </c>
      <c r="X12">
        <v>2.7397260273972603E-3</v>
      </c>
      <c r="Y12">
        <v>4.0573801059095556E-3</v>
      </c>
      <c r="Z12" t="s">
        <v>252</v>
      </c>
      <c r="AA12" t="s">
        <v>25</v>
      </c>
      <c r="AC12" t="s">
        <v>22</v>
      </c>
      <c r="AD12" t="s">
        <v>252</v>
      </c>
      <c r="AE12">
        <v>2.5456624696926665E-3</v>
      </c>
      <c r="AG12" t="s">
        <v>97</v>
      </c>
      <c r="AH12" t="s">
        <v>252</v>
      </c>
      <c r="AI12">
        <v>3.4534816630665377E-2</v>
      </c>
    </row>
    <row r="13" spans="1:40" x14ac:dyDescent="0.45">
      <c r="C13" t="s">
        <v>158</v>
      </c>
      <c r="D13" t="s">
        <v>159</v>
      </c>
      <c r="E13" t="s">
        <v>1216</v>
      </c>
      <c r="F13" t="s">
        <v>161</v>
      </c>
      <c r="G13" t="s">
        <v>155</v>
      </c>
      <c r="I13" t="s">
        <v>249</v>
      </c>
      <c r="J13" t="s">
        <v>253</v>
      </c>
      <c r="K13">
        <v>1.665991393340614E-4</v>
      </c>
      <c r="L13" t="s">
        <v>251</v>
      </c>
      <c r="N13" t="s">
        <v>419</v>
      </c>
      <c r="O13" t="s">
        <v>253</v>
      </c>
      <c r="P13">
        <v>3.3241896405385024E-3</v>
      </c>
      <c r="Q13" t="s">
        <v>251</v>
      </c>
      <c r="S13" t="s">
        <v>420</v>
      </c>
      <c r="T13" t="s">
        <v>253</v>
      </c>
      <c r="U13">
        <v>3.6831973917556093E-3</v>
      </c>
      <c r="V13" t="s">
        <v>251</v>
      </c>
      <c r="X13">
        <v>2.7397260273972603E-3</v>
      </c>
      <c r="Y13">
        <v>4.5744971782313605E-3</v>
      </c>
      <c r="Z13" t="s">
        <v>253</v>
      </c>
      <c r="AA13" t="s">
        <v>25</v>
      </c>
      <c r="AC13" t="s">
        <v>22</v>
      </c>
      <c r="AD13" t="s">
        <v>253</v>
      </c>
      <c r="AE13">
        <v>2.4218149978943769E-3</v>
      </c>
      <c r="AG13" t="s">
        <v>97</v>
      </c>
      <c r="AH13" t="s">
        <v>253</v>
      </c>
      <c r="AI13">
        <v>3.7864397603729838E-2</v>
      </c>
    </row>
    <row r="14" spans="1:40" x14ac:dyDescent="0.45">
      <c r="C14" t="s">
        <v>161</v>
      </c>
      <c r="D14" t="s">
        <v>162</v>
      </c>
      <c r="E14" t="s">
        <v>1217</v>
      </c>
      <c r="F14" t="s">
        <v>161</v>
      </c>
      <c r="G14" t="s">
        <v>155</v>
      </c>
      <c r="I14" t="s">
        <v>249</v>
      </c>
      <c r="J14" t="s">
        <v>254</v>
      </c>
      <c r="K14">
        <v>4.1113849383527003E-2</v>
      </c>
      <c r="L14" t="s">
        <v>251</v>
      </c>
      <c r="N14" t="s">
        <v>419</v>
      </c>
      <c r="O14" t="s">
        <v>254</v>
      </c>
      <c r="P14">
        <v>1.9728585042441356E-2</v>
      </c>
      <c r="Q14" t="s">
        <v>251</v>
      </c>
      <c r="S14" t="s">
        <v>420</v>
      </c>
      <c r="T14" t="s">
        <v>254</v>
      </c>
      <c r="U14">
        <v>2.5241051390180368E-2</v>
      </c>
      <c r="V14" t="s">
        <v>251</v>
      </c>
      <c r="X14">
        <v>1.9178082191780823E-2</v>
      </c>
      <c r="Y14">
        <v>2.432836934092435E-2</v>
      </c>
      <c r="Z14" t="s">
        <v>254</v>
      </c>
      <c r="AA14" t="s">
        <v>25</v>
      </c>
      <c r="AC14" t="s">
        <v>22</v>
      </c>
      <c r="AD14" t="s">
        <v>254</v>
      </c>
      <c r="AE14">
        <v>1.9552322700731942E-2</v>
      </c>
      <c r="AG14" t="s">
        <v>97</v>
      </c>
      <c r="AH14" t="s">
        <v>254</v>
      </c>
      <c r="AI14">
        <v>0.28777909376515121</v>
      </c>
    </row>
    <row r="15" spans="1:40" x14ac:dyDescent="0.45">
      <c r="C15" t="s">
        <v>165</v>
      </c>
      <c r="D15" t="s">
        <v>434</v>
      </c>
      <c r="E15" t="s">
        <v>1218</v>
      </c>
      <c r="F15" t="s">
        <v>171</v>
      </c>
      <c r="G15" t="s">
        <v>155</v>
      </c>
      <c r="I15" t="s">
        <v>249</v>
      </c>
      <c r="J15" t="s">
        <v>255</v>
      </c>
      <c r="K15">
        <v>6.3534859929338001E-3</v>
      </c>
      <c r="L15" t="s">
        <v>251</v>
      </c>
      <c r="N15" t="s">
        <v>419</v>
      </c>
      <c r="O15" t="s">
        <v>255</v>
      </c>
      <c r="P15">
        <v>2.6147350535697593E-3</v>
      </c>
      <c r="Q15" t="s">
        <v>251</v>
      </c>
      <c r="S15" t="s">
        <v>420</v>
      </c>
      <c r="T15" t="s">
        <v>255</v>
      </c>
      <c r="U15">
        <v>3.6259382523385667E-3</v>
      </c>
      <c r="V15" t="s">
        <v>251</v>
      </c>
      <c r="X15">
        <v>2.7397260273972603E-3</v>
      </c>
      <c r="Y15">
        <v>4.1369365785744487E-3</v>
      </c>
      <c r="Z15" t="s">
        <v>255</v>
      </c>
      <c r="AA15" t="s">
        <v>25</v>
      </c>
      <c r="AC15" t="s">
        <v>22</v>
      </c>
      <c r="AD15" t="s">
        <v>255</v>
      </c>
      <c r="AE15">
        <v>3.2990654998298519E-3</v>
      </c>
      <c r="AG15" t="s">
        <v>97</v>
      </c>
      <c r="AH15" t="s">
        <v>255</v>
      </c>
      <c r="AI15">
        <v>5.6747484745753418E-2</v>
      </c>
    </row>
    <row r="16" spans="1:40" x14ac:dyDescent="0.45">
      <c r="C16" t="s">
        <v>167</v>
      </c>
      <c r="E16" t="s">
        <v>1219</v>
      </c>
      <c r="G16" t="s">
        <v>155</v>
      </c>
      <c r="I16" t="s">
        <v>249</v>
      </c>
      <c r="J16" t="s">
        <v>256</v>
      </c>
      <c r="K16">
        <v>5.3716036532800004E-3</v>
      </c>
      <c r="L16" t="s">
        <v>251</v>
      </c>
      <c r="N16" t="s">
        <v>419</v>
      </c>
      <c r="O16" t="s">
        <v>256</v>
      </c>
      <c r="P16">
        <v>2.6613404618448192E-3</v>
      </c>
      <c r="Q16" t="s">
        <v>251</v>
      </c>
      <c r="S16" t="s">
        <v>420</v>
      </c>
      <c r="T16" t="s">
        <v>256</v>
      </c>
      <c r="U16">
        <v>3.5766498009789215E-3</v>
      </c>
      <c r="V16" t="s">
        <v>251</v>
      </c>
      <c r="X16">
        <v>2.7397260273972603E-3</v>
      </c>
      <c r="Y16">
        <v>5.3302836685478472E-3</v>
      </c>
      <c r="Z16" t="s">
        <v>256</v>
      </c>
      <c r="AA16" t="s">
        <v>25</v>
      </c>
      <c r="AC16" t="s">
        <v>22</v>
      </c>
      <c r="AD16" t="s">
        <v>256</v>
      </c>
      <c r="AE16">
        <v>3.2743013945390428E-3</v>
      </c>
      <c r="AG16" t="s">
        <v>97</v>
      </c>
      <c r="AH16" t="s">
        <v>256</v>
      </c>
      <c r="AI16">
        <v>3.7818816201273586E-2</v>
      </c>
    </row>
    <row r="17" spans="3:35" x14ac:dyDescent="0.45">
      <c r="C17" t="s">
        <v>169</v>
      </c>
      <c r="E17" t="s">
        <v>1220</v>
      </c>
      <c r="G17" t="s">
        <v>155</v>
      </c>
      <c r="I17" t="s">
        <v>249</v>
      </c>
      <c r="J17" t="s">
        <v>257</v>
      </c>
      <c r="K17">
        <v>3.0829494112457017E-3</v>
      </c>
      <c r="L17" t="s">
        <v>251</v>
      </c>
      <c r="N17" t="s">
        <v>419</v>
      </c>
      <c r="O17" t="s">
        <v>257</v>
      </c>
      <c r="P17">
        <v>2.8459521197923237E-3</v>
      </c>
      <c r="Q17" t="s">
        <v>251</v>
      </c>
      <c r="S17" t="s">
        <v>420</v>
      </c>
      <c r="T17" t="s">
        <v>257</v>
      </c>
      <c r="U17">
        <v>3.6623606279264443E-3</v>
      </c>
      <c r="V17" t="s">
        <v>251</v>
      </c>
      <c r="X17">
        <v>2.7397260273972603E-3</v>
      </c>
      <c r="Y17">
        <v>5.3302836685478472E-3</v>
      </c>
      <c r="Z17" t="s">
        <v>257</v>
      </c>
      <c r="AA17" t="s">
        <v>25</v>
      </c>
      <c r="AC17" t="s">
        <v>22</v>
      </c>
      <c r="AD17" t="s">
        <v>257</v>
      </c>
      <c r="AE17">
        <v>3.3162320851853884E-3</v>
      </c>
      <c r="AG17" t="s">
        <v>97</v>
      </c>
      <c r="AH17" t="s">
        <v>257</v>
      </c>
      <c r="AI17">
        <v>4.5027030631847875E-2</v>
      </c>
    </row>
    <row r="18" spans="3:35" x14ac:dyDescent="0.45">
      <c r="C18" t="s">
        <v>171</v>
      </c>
      <c r="E18" t="s">
        <v>1221</v>
      </c>
      <c r="G18" t="s">
        <v>155</v>
      </c>
      <c r="I18" t="s">
        <v>249</v>
      </c>
      <c r="J18" t="s">
        <v>258</v>
      </c>
      <c r="K18">
        <v>1.7875468304144084E-5</v>
      </c>
      <c r="L18" t="s">
        <v>251</v>
      </c>
      <c r="N18" t="s">
        <v>419</v>
      </c>
      <c r="O18" t="s">
        <v>258</v>
      </c>
      <c r="P18">
        <v>1.9783859448187637E-2</v>
      </c>
      <c r="Q18" t="s">
        <v>251</v>
      </c>
      <c r="S18" t="s">
        <v>420</v>
      </c>
      <c r="T18" t="s">
        <v>258</v>
      </c>
      <c r="U18">
        <v>2.4001103131540833E-2</v>
      </c>
      <c r="V18" t="s">
        <v>251</v>
      </c>
      <c r="X18">
        <v>1.643835616438356E-2</v>
      </c>
      <c r="Y18">
        <v>1.4479278025010568E-2</v>
      </c>
      <c r="Z18" t="s">
        <v>258</v>
      </c>
      <c r="AA18" t="s">
        <v>25</v>
      </c>
      <c r="AC18" t="s">
        <v>22</v>
      </c>
      <c r="AD18" t="s">
        <v>258</v>
      </c>
      <c r="AE18">
        <v>2.0331805884631578E-2</v>
      </c>
      <c r="AG18" t="s">
        <v>97</v>
      </c>
      <c r="AH18" t="s">
        <v>258</v>
      </c>
      <c r="AI18">
        <v>9.3357107283618568E-2</v>
      </c>
    </row>
    <row r="19" spans="3:35" x14ac:dyDescent="0.45">
      <c r="C19" t="s">
        <v>164</v>
      </c>
      <c r="E19" t="s">
        <v>1222</v>
      </c>
      <c r="G19" t="s">
        <v>155</v>
      </c>
      <c r="I19" t="s">
        <v>249</v>
      </c>
      <c r="J19" t="s">
        <v>1550</v>
      </c>
      <c r="K19">
        <v>0</v>
      </c>
      <c r="L19" t="s">
        <v>251</v>
      </c>
      <c r="N19" t="s">
        <v>419</v>
      </c>
      <c r="O19" t="s">
        <v>1550</v>
      </c>
      <c r="P19">
        <v>5.3938714192709032E-5</v>
      </c>
      <c r="Q19" t="s">
        <v>251</v>
      </c>
      <c r="S19" t="s">
        <v>420</v>
      </c>
      <c r="T19" t="s">
        <v>1550</v>
      </c>
      <c r="U19">
        <v>1.5189409187240001E-4</v>
      </c>
      <c r="V19" t="s">
        <v>251</v>
      </c>
      <c r="X19">
        <v>1.1415525114155251E-4</v>
      </c>
      <c r="Y19">
        <v>2.1546544680075254E-5</v>
      </c>
      <c r="Z19" t="s">
        <v>1550</v>
      </c>
      <c r="AA19" t="s">
        <v>25</v>
      </c>
      <c r="AC19" t="s">
        <v>22</v>
      </c>
      <c r="AD19" t="s">
        <v>1550</v>
      </c>
      <c r="AE19">
        <v>1.5644750349532561E-4</v>
      </c>
      <c r="AG19" t="s">
        <v>97</v>
      </c>
      <c r="AH19" t="s">
        <v>1550</v>
      </c>
      <c r="AI19">
        <v>0</v>
      </c>
    </row>
    <row r="20" spans="3:35" x14ac:dyDescent="0.45">
      <c r="C20" t="s">
        <v>174</v>
      </c>
      <c r="E20" t="s">
        <v>1223</v>
      </c>
      <c r="G20" t="s">
        <v>155</v>
      </c>
      <c r="I20" t="s">
        <v>249</v>
      </c>
      <c r="J20" t="s">
        <v>1551</v>
      </c>
      <c r="K20">
        <v>0</v>
      </c>
      <c r="L20" t="s">
        <v>251</v>
      </c>
      <c r="N20" t="s">
        <v>419</v>
      </c>
      <c r="O20" t="s">
        <v>1551</v>
      </c>
      <c r="P20">
        <v>5.3787806857719457E-5</v>
      </c>
      <c r="Q20" t="s">
        <v>251</v>
      </c>
      <c r="S20" t="s">
        <v>420</v>
      </c>
      <c r="T20" t="s">
        <v>1551</v>
      </c>
      <c r="U20">
        <v>1.44933320479E-4</v>
      </c>
      <c r="V20" t="s">
        <v>251</v>
      </c>
      <c r="X20">
        <v>1.1415525114155251E-4</v>
      </c>
      <c r="Y20">
        <v>1.4916838624667481E-5</v>
      </c>
      <c r="Z20" t="s">
        <v>1551</v>
      </c>
      <c r="AA20" t="s">
        <v>25</v>
      </c>
      <c r="AC20" t="s">
        <v>22</v>
      </c>
      <c r="AD20" t="s">
        <v>1551</v>
      </c>
      <c r="AE20">
        <v>1.5660357306348819E-4</v>
      </c>
      <c r="AG20" t="s">
        <v>97</v>
      </c>
      <c r="AH20" t="s">
        <v>1551</v>
      </c>
      <c r="AI20">
        <v>0</v>
      </c>
    </row>
    <row r="21" spans="3:35" x14ac:dyDescent="0.45">
      <c r="C21" t="s">
        <v>176</v>
      </c>
      <c r="E21" t="s">
        <v>1224</v>
      </c>
      <c r="G21" t="s">
        <v>155</v>
      </c>
      <c r="I21" t="s">
        <v>249</v>
      </c>
      <c r="J21" t="s">
        <v>1552</v>
      </c>
      <c r="K21">
        <v>0</v>
      </c>
      <c r="L21" t="s">
        <v>251</v>
      </c>
      <c r="N21" t="s">
        <v>419</v>
      </c>
      <c r="O21" t="s">
        <v>1552</v>
      </c>
      <c r="P21">
        <v>5.3579084975005598E-5</v>
      </c>
      <c r="Q21" t="s">
        <v>251</v>
      </c>
      <c r="S21" t="s">
        <v>420</v>
      </c>
      <c r="T21" t="s">
        <v>1552</v>
      </c>
      <c r="U21">
        <v>1.3802582483750001E-4</v>
      </c>
      <c r="V21" t="s">
        <v>251</v>
      </c>
      <c r="X21">
        <v>1.1415525114155251E-4</v>
      </c>
      <c r="Y21">
        <v>1.6574265138519424E-5</v>
      </c>
      <c r="Z21" t="s">
        <v>1552</v>
      </c>
      <c r="AA21" t="s">
        <v>25</v>
      </c>
      <c r="AC21" t="s">
        <v>22</v>
      </c>
      <c r="AD21" t="s">
        <v>1552</v>
      </c>
      <c r="AE21">
        <v>1.4947586254622397E-4</v>
      </c>
      <c r="AG21" t="s">
        <v>97</v>
      </c>
      <c r="AH21" t="s">
        <v>1552</v>
      </c>
      <c r="AI21">
        <v>0</v>
      </c>
    </row>
    <row r="22" spans="3:35" x14ac:dyDescent="0.45">
      <c r="C22" t="s">
        <v>178</v>
      </c>
      <c r="E22" t="s">
        <v>1225</v>
      </c>
      <c r="G22" t="s">
        <v>155</v>
      </c>
      <c r="I22" t="s">
        <v>249</v>
      </c>
      <c r="J22" t="s">
        <v>1553</v>
      </c>
      <c r="K22">
        <v>0</v>
      </c>
      <c r="L22" t="s">
        <v>251</v>
      </c>
      <c r="N22" t="s">
        <v>419</v>
      </c>
      <c r="O22" t="s">
        <v>1553</v>
      </c>
      <c r="P22">
        <v>5.2108837660575448E-5</v>
      </c>
      <c r="Q22" t="s">
        <v>251</v>
      </c>
      <c r="S22" t="s">
        <v>420</v>
      </c>
      <c r="T22" t="s">
        <v>1553</v>
      </c>
      <c r="U22">
        <v>1.3667770832670001E-4</v>
      </c>
      <c r="V22" t="s">
        <v>251</v>
      </c>
      <c r="X22">
        <v>1.1415525114155251E-4</v>
      </c>
      <c r="Y22">
        <v>1.4585353321897093E-5</v>
      </c>
      <c r="Z22" t="s">
        <v>1553</v>
      </c>
      <c r="AA22" t="s">
        <v>25</v>
      </c>
      <c r="AC22" t="s">
        <v>22</v>
      </c>
      <c r="AD22" t="s">
        <v>1553</v>
      </c>
      <c r="AE22">
        <v>1.4300391100082916E-4</v>
      </c>
      <c r="AG22" t="s">
        <v>97</v>
      </c>
      <c r="AH22" t="s">
        <v>1553</v>
      </c>
      <c r="AI22">
        <v>0</v>
      </c>
    </row>
    <row r="23" spans="3:35" x14ac:dyDescent="0.45">
      <c r="E23" t="s">
        <v>1226</v>
      </c>
      <c r="G23" t="s">
        <v>155</v>
      </c>
      <c r="I23" t="s">
        <v>249</v>
      </c>
      <c r="J23" t="s">
        <v>1554</v>
      </c>
      <c r="K23">
        <v>0</v>
      </c>
      <c r="L23" t="s">
        <v>251</v>
      </c>
      <c r="N23" t="s">
        <v>419</v>
      </c>
      <c r="O23" t="s">
        <v>1554</v>
      </c>
      <c r="P23">
        <v>5.0510820020050793E-5</v>
      </c>
      <c r="Q23" t="s">
        <v>251</v>
      </c>
      <c r="S23" t="s">
        <v>420</v>
      </c>
      <c r="T23" t="s">
        <v>1554</v>
      </c>
      <c r="U23">
        <v>1.3622100050970001E-4</v>
      </c>
      <c r="V23" t="s">
        <v>251</v>
      </c>
      <c r="X23">
        <v>1.1415525114155251E-4</v>
      </c>
      <c r="Y23">
        <v>2.1215059377304864E-5</v>
      </c>
      <c r="Z23" t="s">
        <v>1554</v>
      </c>
      <c r="AA23" t="s">
        <v>25</v>
      </c>
      <c r="AC23" t="s">
        <v>22</v>
      </c>
      <c r="AD23" t="s">
        <v>1554</v>
      </c>
      <c r="AE23">
        <v>1.3176343388049782E-4</v>
      </c>
      <c r="AG23" t="s">
        <v>97</v>
      </c>
      <c r="AH23" t="s">
        <v>1554</v>
      </c>
      <c r="AI23">
        <v>0</v>
      </c>
    </row>
    <row r="24" spans="3:35" x14ac:dyDescent="0.45">
      <c r="E24" t="s">
        <v>1227</v>
      </c>
      <c r="G24" t="s">
        <v>155</v>
      </c>
      <c r="I24" t="s">
        <v>249</v>
      </c>
      <c r="J24" t="s">
        <v>1555</v>
      </c>
      <c r="K24">
        <v>0</v>
      </c>
      <c r="L24" t="s">
        <v>251</v>
      </c>
      <c r="N24" t="s">
        <v>419</v>
      </c>
      <c r="O24" t="s">
        <v>1555</v>
      </c>
      <c r="P24">
        <v>5.0203288317081012E-5</v>
      </c>
      <c r="Q24" t="s">
        <v>251</v>
      </c>
      <c r="S24" t="s">
        <v>420</v>
      </c>
      <c r="T24" t="s">
        <v>1555</v>
      </c>
      <c r="U24">
        <v>1.3616220564419999E-4</v>
      </c>
      <c r="V24" t="s">
        <v>251</v>
      </c>
      <c r="X24">
        <v>1.1415525114155251E-4</v>
      </c>
      <c r="Y24">
        <v>5.7678442682047593E-5</v>
      </c>
      <c r="Z24" t="s">
        <v>1555</v>
      </c>
      <c r="AA24" t="s">
        <v>25</v>
      </c>
      <c r="AC24" t="s">
        <v>22</v>
      </c>
      <c r="AD24" t="s">
        <v>1555</v>
      </c>
      <c r="AE24">
        <v>1.2618468047904884E-4</v>
      </c>
      <c r="AG24" t="s">
        <v>97</v>
      </c>
      <c r="AH24" t="s">
        <v>1555</v>
      </c>
      <c r="AI24">
        <v>0</v>
      </c>
    </row>
    <row r="25" spans="3:35" x14ac:dyDescent="0.45">
      <c r="E25" t="s">
        <v>1228</v>
      </c>
      <c r="G25" t="s">
        <v>155</v>
      </c>
      <c r="I25" t="s">
        <v>249</v>
      </c>
      <c r="J25" t="s">
        <v>1556</v>
      </c>
      <c r="K25">
        <v>0</v>
      </c>
      <c r="L25" t="s">
        <v>251</v>
      </c>
      <c r="N25" t="s">
        <v>419</v>
      </c>
      <c r="O25" t="s">
        <v>1556</v>
      </c>
      <c r="P25">
        <v>5.1089398858672373E-5</v>
      </c>
      <c r="Q25" t="s">
        <v>251</v>
      </c>
      <c r="S25" t="s">
        <v>420</v>
      </c>
      <c r="T25" t="s">
        <v>1556</v>
      </c>
      <c r="U25">
        <v>1.4119821353200001E-4</v>
      </c>
      <c r="V25" t="s">
        <v>251</v>
      </c>
      <c r="X25">
        <v>1.1415525114155251E-4</v>
      </c>
      <c r="Y25">
        <v>1.6905750441289813E-4</v>
      </c>
      <c r="Z25" t="s">
        <v>1556</v>
      </c>
      <c r="AA25" t="s">
        <v>25</v>
      </c>
      <c r="AC25" t="s">
        <v>22</v>
      </c>
      <c r="AD25" t="s">
        <v>1556</v>
      </c>
      <c r="AE25">
        <v>1.0990275612868635E-4</v>
      </c>
      <c r="AG25" t="s">
        <v>97</v>
      </c>
      <c r="AH25" t="s">
        <v>1556</v>
      </c>
      <c r="AI25">
        <v>0</v>
      </c>
    </row>
    <row r="26" spans="3:35" x14ac:dyDescent="0.45">
      <c r="E26" t="s">
        <v>1229</v>
      </c>
      <c r="G26" t="s">
        <v>155</v>
      </c>
      <c r="I26" t="s">
        <v>249</v>
      </c>
      <c r="J26" t="s">
        <v>1557</v>
      </c>
      <c r="K26">
        <v>8.9715137368475652E-6</v>
      </c>
      <c r="L26" t="s">
        <v>251</v>
      </c>
      <c r="N26" t="s">
        <v>419</v>
      </c>
      <c r="O26" t="s">
        <v>1557</v>
      </c>
      <c r="P26">
        <v>5.3530502195391403E-5</v>
      </c>
      <c r="Q26" t="s">
        <v>251</v>
      </c>
      <c r="S26" t="s">
        <v>420</v>
      </c>
      <c r="T26" t="s">
        <v>1557</v>
      </c>
      <c r="U26">
        <v>1.4428098549419999E-4</v>
      </c>
      <c r="V26" t="s">
        <v>251</v>
      </c>
      <c r="X26">
        <v>1.1415525114155251E-4</v>
      </c>
      <c r="Y26">
        <v>1.9060404909297337E-4</v>
      </c>
      <c r="Z26" t="s">
        <v>1557</v>
      </c>
      <c r="AA26" t="s">
        <v>25</v>
      </c>
      <c r="AC26" t="s">
        <v>22</v>
      </c>
      <c r="AD26" t="s">
        <v>1557</v>
      </c>
      <c r="AE26">
        <v>1.0549092288303756E-4</v>
      </c>
      <c r="AG26" t="s">
        <v>97</v>
      </c>
      <c r="AH26" t="s">
        <v>1557</v>
      </c>
      <c r="AI26">
        <v>0</v>
      </c>
    </row>
    <row r="27" spans="3:35" x14ac:dyDescent="0.45">
      <c r="E27" t="s">
        <v>1230</v>
      </c>
      <c r="G27" t="s">
        <v>155</v>
      </c>
      <c r="I27" t="s">
        <v>249</v>
      </c>
      <c r="J27" t="s">
        <v>1558</v>
      </c>
      <c r="K27">
        <v>2.0103642588990001E-4</v>
      </c>
      <c r="L27" t="s">
        <v>251</v>
      </c>
      <c r="N27" t="s">
        <v>419</v>
      </c>
      <c r="O27" t="s">
        <v>1558</v>
      </c>
      <c r="P27">
        <v>4.9913285274511697E-5</v>
      </c>
      <c r="Q27" t="s">
        <v>251</v>
      </c>
      <c r="S27" t="s">
        <v>420</v>
      </c>
      <c r="T27" t="s">
        <v>1558</v>
      </c>
      <c r="U27">
        <v>1.382404473524E-4</v>
      </c>
      <c r="V27" t="s">
        <v>251</v>
      </c>
      <c r="X27">
        <v>1.1415525114155251E-4</v>
      </c>
      <c r="Y27">
        <v>1.4585353321897094E-4</v>
      </c>
      <c r="Z27" t="s">
        <v>1558</v>
      </c>
      <c r="AA27" t="s">
        <v>25</v>
      </c>
      <c r="AC27" t="s">
        <v>22</v>
      </c>
      <c r="AD27" t="s">
        <v>1558</v>
      </c>
      <c r="AE27">
        <v>1.0290550376327084E-4</v>
      </c>
      <c r="AG27" t="s">
        <v>97</v>
      </c>
      <c r="AH27" t="s">
        <v>1558</v>
      </c>
      <c r="AI27">
        <v>0</v>
      </c>
    </row>
    <row r="28" spans="3:35" x14ac:dyDescent="0.45">
      <c r="E28" t="s">
        <v>1231</v>
      </c>
      <c r="G28" t="s">
        <v>155</v>
      </c>
      <c r="I28" t="s">
        <v>249</v>
      </c>
      <c r="J28" t="s">
        <v>1559</v>
      </c>
      <c r="K28">
        <v>2.6934319366380002E-4</v>
      </c>
      <c r="L28" t="s">
        <v>251</v>
      </c>
      <c r="N28" t="s">
        <v>419</v>
      </c>
      <c r="O28" t="s">
        <v>1559</v>
      </c>
      <c r="P28">
        <v>3.8243569299931212E-5</v>
      </c>
      <c r="Q28" t="s">
        <v>251</v>
      </c>
      <c r="S28" t="s">
        <v>420</v>
      </c>
      <c r="T28" t="s">
        <v>1559</v>
      </c>
      <c r="U28">
        <v>1.268517223202E-4</v>
      </c>
      <c r="V28" t="s">
        <v>251</v>
      </c>
      <c r="X28">
        <v>1.1415525114155251E-4</v>
      </c>
      <c r="Y28">
        <v>1.4452759200788939E-4</v>
      </c>
      <c r="Z28" t="s">
        <v>1559</v>
      </c>
      <c r="AA28" t="s">
        <v>25</v>
      </c>
      <c r="AC28" t="s">
        <v>22</v>
      </c>
      <c r="AD28" t="s">
        <v>1559</v>
      </c>
      <c r="AE28">
        <v>1.0222920230123303E-4</v>
      </c>
      <c r="AG28" t="s">
        <v>97</v>
      </c>
      <c r="AH28" t="s">
        <v>1559</v>
      </c>
      <c r="AI28">
        <v>0</v>
      </c>
    </row>
    <row r="29" spans="3:35" x14ac:dyDescent="0.45">
      <c r="E29" t="s">
        <v>1232</v>
      </c>
      <c r="G29" t="s">
        <v>155</v>
      </c>
      <c r="I29" t="s">
        <v>249</v>
      </c>
      <c r="J29" t="s">
        <v>1560</v>
      </c>
      <c r="K29">
        <v>2.9458531699029999E-4</v>
      </c>
      <c r="L29" t="s">
        <v>251</v>
      </c>
      <c r="N29" t="s">
        <v>419</v>
      </c>
      <c r="O29" t="s">
        <v>1560</v>
      </c>
      <c r="P29">
        <v>3.061299149011873E-5</v>
      </c>
      <c r="Q29" t="s">
        <v>251</v>
      </c>
      <c r="S29" t="s">
        <v>420</v>
      </c>
      <c r="T29" t="s">
        <v>1560</v>
      </c>
      <c r="U29">
        <v>1.117587781055E-4</v>
      </c>
      <c r="V29" t="s">
        <v>251</v>
      </c>
      <c r="X29">
        <v>1.1415525114155251E-4</v>
      </c>
      <c r="Y29">
        <v>1.408812536774151E-4</v>
      </c>
      <c r="Z29" t="s">
        <v>1560</v>
      </c>
      <c r="AA29" t="s">
        <v>25</v>
      </c>
      <c r="AC29" t="s">
        <v>22</v>
      </c>
      <c r="AD29" t="s">
        <v>1560</v>
      </c>
      <c r="AE29">
        <v>1.0398358431873234E-4</v>
      </c>
      <c r="AG29" t="s">
        <v>97</v>
      </c>
      <c r="AH29" t="s">
        <v>1560</v>
      </c>
      <c r="AI29">
        <v>0</v>
      </c>
    </row>
    <row r="30" spans="3:35" x14ac:dyDescent="0.45">
      <c r="E30" t="s">
        <v>1233</v>
      </c>
      <c r="G30" t="s">
        <v>155</v>
      </c>
      <c r="I30" t="s">
        <v>249</v>
      </c>
      <c r="J30" t="s">
        <v>1561</v>
      </c>
      <c r="K30">
        <v>2.8612095217830002E-4</v>
      </c>
      <c r="L30" t="s">
        <v>251</v>
      </c>
      <c r="N30" t="s">
        <v>419</v>
      </c>
      <c r="O30" t="s">
        <v>1561</v>
      </c>
      <c r="P30">
        <v>2.6733272861149331E-5</v>
      </c>
      <c r="Q30" t="s">
        <v>251</v>
      </c>
      <c r="S30" t="s">
        <v>420</v>
      </c>
      <c r="T30" t="s">
        <v>1561</v>
      </c>
      <c r="U30">
        <v>9.5698717526542838E-5</v>
      </c>
      <c r="V30" t="s">
        <v>251</v>
      </c>
      <c r="X30">
        <v>1.1415525114155251E-4</v>
      </c>
      <c r="Y30">
        <v>1.4054976837464471E-4</v>
      </c>
      <c r="Z30" t="s">
        <v>1561</v>
      </c>
      <c r="AA30" t="s">
        <v>25</v>
      </c>
      <c r="AC30" t="s">
        <v>22</v>
      </c>
      <c r="AD30" t="s">
        <v>1561</v>
      </c>
      <c r="AE30">
        <v>1.158360675747303E-4</v>
      </c>
      <c r="AG30" t="s">
        <v>97</v>
      </c>
      <c r="AH30" t="s">
        <v>1561</v>
      </c>
      <c r="AI30">
        <v>0</v>
      </c>
    </row>
    <row r="31" spans="3:35" x14ac:dyDescent="0.45">
      <c r="E31" t="s">
        <v>1234</v>
      </c>
      <c r="G31" t="s">
        <v>155</v>
      </c>
      <c r="I31" t="s">
        <v>249</v>
      </c>
      <c r="J31" t="s">
        <v>1562</v>
      </c>
      <c r="K31">
        <v>2.4815211869710002E-4</v>
      </c>
      <c r="L31" t="s">
        <v>251</v>
      </c>
      <c r="N31" t="s">
        <v>419</v>
      </c>
      <c r="O31" t="s">
        <v>1562</v>
      </c>
      <c r="P31">
        <v>2.595053845824917E-5</v>
      </c>
      <c r="Q31" t="s">
        <v>251</v>
      </c>
      <c r="S31" t="s">
        <v>420</v>
      </c>
      <c r="T31" t="s">
        <v>1562</v>
      </c>
      <c r="U31">
        <v>8.4827052730599055E-5</v>
      </c>
      <c r="V31" t="s">
        <v>251</v>
      </c>
      <c r="X31">
        <v>1.1415525114155251E-4</v>
      </c>
      <c r="Y31">
        <v>1.4253868019126702E-4</v>
      </c>
      <c r="Z31" t="s">
        <v>1562</v>
      </c>
      <c r="AA31" t="s">
        <v>25</v>
      </c>
      <c r="AC31" t="s">
        <v>22</v>
      </c>
      <c r="AD31" t="s">
        <v>1562</v>
      </c>
      <c r="AE31">
        <v>1.3680328039700931E-4</v>
      </c>
      <c r="AG31" t="s">
        <v>97</v>
      </c>
      <c r="AH31" t="s">
        <v>1562</v>
      </c>
      <c r="AI31">
        <v>0</v>
      </c>
    </row>
    <row r="32" spans="3:35" x14ac:dyDescent="0.45">
      <c r="E32" t="s">
        <v>1235</v>
      </c>
      <c r="G32" t="s">
        <v>155</v>
      </c>
      <c r="I32" t="s">
        <v>249</v>
      </c>
      <c r="J32" t="s">
        <v>1563</v>
      </c>
      <c r="K32">
        <v>2.505408584135E-4</v>
      </c>
      <c r="L32" t="s">
        <v>251</v>
      </c>
      <c r="N32" t="s">
        <v>419</v>
      </c>
      <c r="O32" t="s">
        <v>1563</v>
      </c>
      <c r="P32">
        <v>2.6652996676477225E-5</v>
      </c>
      <c r="Q32" t="s">
        <v>251</v>
      </c>
      <c r="S32" t="s">
        <v>420</v>
      </c>
      <c r="T32" t="s">
        <v>1563</v>
      </c>
      <c r="U32">
        <v>7.9634766178388844E-5</v>
      </c>
      <c r="V32" t="s">
        <v>251</v>
      </c>
      <c r="X32">
        <v>1.1415525114155251E-4</v>
      </c>
      <c r="Y32">
        <v>1.4883690094390442E-4</v>
      </c>
      <c r="Z32" t="s">
        <v>1563</v>
      </c>
      <c r="AA32" t="s">
        <v>25</v>
      </c>
      <c r="AC32" t="s">
        <v>22</v>
      </c>
      <c r="AD32" t="s">
        <v>1563</v>
      </c>
      <c r="AE32">
        <v>1.5068146661208152E-4</v>
      </c>
      <c r="AG32" t="s">
        <v>97</v>
      </c>
      <c r="AH32" t="s">
        <v>1563</v>
      </c>
      <c r="AI32">
        <v>0</v>
      </c>
    </row>
    <row r="33" spans="5:35" x14ac:dyDescent="0.45">
      <c r="E33" t="s">
        <v>1236</v>
      </c>
      <c r="G33" t="s">
        <v>155</v>
      </c>
      <c r="I33" t="s">
        <v>249</v>
      </c>
      <c r="J33" t="s">
        <v>1564</v>
      </c>
      <c r="K33">
        <v>2.8156617607890002E-4</v>
      </c>
      <c r="L33" t="s">
        <v>251</v>
      </c>
      <c r="N33" t="s">
        <v>419</v>
      </c>
      <c r="O33" t="s">
        <v>1564</v>
      </c>
      <c r="P33">
        <v>2.7122296328874344E-5</v>
      </c>
      <c r="Q33" t="s">
        <v>251</v>
      </c>
      <c r="S33" t="s">
        <v>420</v>
      </c>
      <c r="T33" t="s">
        <v>1564</v>
      </c>
      <c r="U33">
        <v>7.5772310175330643E-5</v>
      </c>
      <c r="V33" t="s">
        <v>251</v>
      </c>
      <c r="X33">
        <v>1.1415525114155251E-4</v>
      </c>
      <c r="Y33">
        <v>1.5049432745775637E-4</v>
      </c>
      <c r="Z33" t="s">
        <v>1564</v>
      </c>
      <c r="AA33" t="s">
        <v>25</v>
      </c>
      <c r="AC33" t="s">
        <v>22</v>
      </c>
      <c r="AD33" t="s">
        <v>1564</v>
      </c>
      <c r="AE33">
        <v>1.5624474644950753E-4</v>
      </c>
      <c r="AG33" t="s">
        <v>97</v>
      </c>
      <c r="AH33" t="s">
        <v>1564</v>
      </c>
      <c r="AI33">
        <v>0</v>
      </c>
    </row>
    <row r="34" spans="5:35" x14ac:dyDescent="0.45">
      <c r="E34" t="s">
        <v>1237</v>
      </c>
      <c r="G34" t="s">
        <v>155</v>
      </c>
      <c r="I34" t="s">
        <v>249</v>
      </c>
      <c r="J34" t="s">
        <v>1565</v>
      </c>
      <c r="K34">
        <v>2.8388578977070001E-4</v>
      </c>
      <c r="L34" t="s">
        <v>251</v>
      </c>
      <c r="N34" t="s">
        <v>419</v>
      </c>
      <c r="O34" t="s">
        <v>1565</v>
      </c>
      <c r="P34">
        <v>2.0387112083404691E-5</v>
      </c>
      <c r="Q34" t="s">
        <v>251</v>
      </c>
      <c r="S34" t="s">
        <v>420</v>
      </c>
      <c r="T34" t="s">
        <v>1565</v>
      </c>
      <c r="U34">
        <v>7.7919375595031853E-5</v>
      </c>
      <c r="V34" t="s">
        <v>251</v>
      </c>
      <c r="X34">
        <v>1.1415525114155251E-4</v>
      </c>
      <c r="Y34">
        <v>1.7237235744060203E-4</v>
      </c>
      <c r="Z34" t="s">
        <v>1565</v>
      </c>
      <c r="AA34" t="s">
        <v>25</v>
      </c>
      <c r="AC34" t="s">
        <v>22</v>
      </c>
      <c r="AD34" t="s">
        <v>1565</v>
      </c>
      <c r="AE34">
        <v>1.4462996915117258E-4</v>
      </c>
      <c r="AG34" t="s">
        <v>97</v>
      </c>
      <c r="AH34" t="s">
        <v>1565</v>
      </c>
      <c r="AI34">
        <v>0</v>
      </c>
    </row>
    <row r="35" spans="5:35" x14ac:dyDescent="0.45">
      <c r="E35" t="s">
        <v>1238</v>
      </c>
      <c r="G35" t="s">
        <v>155</v>
      </c>
      <c r="I35" t="s">
        <v>249</v>
      </c>
      <c r="J35" t="s">
        <v>1566</v>
      </c>
      <c r="K35">
        <v>2.5164454223520002E-4</v>
      </c>
      <c r="L35" t="s">
        <v>251</v>
      </c>
      <c r="N35" t="s">
        <v>419</v>
      </c>
      <c r="O35" t="s">
        <v>1566</v>
      </c>
      <c r="P35">
        <v>2.289046765764316E-5</v>
      </c>
      <c r="Q35" t="s">
        <v>251</v>
      </c>
      <c r="S35" t="s">
        <v>420</v>
      </c>
      <c r="T35" t="s">
        <v>1566</v>
      </c>
      <c r="U35">
        <v>7.8520867173015145E-5</v>
      </c>
      <c r="V35" t="s">
        <v>251</v>
      </c>
      <c r="X35">
        <v>1.1415525114155251E-4</v>
      </c>
      <c r="Y35">
        <v>2.2209515285616027E-4</v>
      </c>
      <c r="Z35" t="s">
        <v>1566</v>
      </c>
      <c r="AA35" t="s">
        <v>25</v>
      </c>
      <c r="AC35" t="s">
        <v>22</v>
      </c>
      <c r="AD35" t="s">
        <v>1566</v>
      </c>
      <c r="AE35">
        <v>1.4190395402726626E-4</v>
      </c>
      <c r="AG35" t="s">
        <v>97</v>
      </c>
      <c r="AH35" t="s">
        <v>1566</v>
      </c>
      <c r="AI35">
        <v>0</v>
      </c>
    </row>
    <row r="36" spans="5:35" x14ac:dyDescent="0.45">
      <c r="E36" t="s">
        <v>1239</v>
      </c>
      <c r="G36" t="s">
        <v>155</v>
      </c>
      <c r="I36" t="s">
        <v>249</v>
      </c>
      <c r="J36" t="s">
        <v>1567</v>
      </c>
      <c r="K36">
        <v>1.7264717765719999E-4</v>
      </c>
      <c r="L36" t="s">
        <v>251</v>
      </c>
      <c r="N36" t="s">
        <v>419</v>
      </c>
      <c r="O36" t="s">
        <v>1567</v>
      </c>
      <c r="P36">
        <v>3.2788920908558834E-5</v>
      </c>
      <c r="Q36" t="s">
        <v>251</v>
      </c>
      <c r="S36" t="s">
        <v>420</v>
      </c>
      <c r="T36" t="s">
        <v>1567</v>
      </c>
      <c r="U36">
        <v>8.0782023659267999E-5</v>
      </c>
      <c r="V36" t="s">
        <v>251</v>
      </c>
      <c r="X36">
        <v>1.1415525114155251E-4</v>
      </c>
      <c r="Y36">
        <v>2.2209515285616027E-4</v>
      </c>
      <c r="Z36" t="s">
        <v>1567</v>
      </c>
      <c r="AA36" t="s">
        <v>25</v>
      </c>
      <c r="AC36" t="s">
        <v>22</v>
      </c>
      <c r="AD36" t="s">
        <v>1567</v>
      </c>
      <c r="AE36">
        <v>1.4506883144113405E-4</v>
      </c>
      <c r="AG36" t="s">
        <v>97</v>
      </c>
      <c r="AH36" t="s">
        <v>1567</v>
      </c>
      <c r="AI36">
        <v>0</v>
      </c>
    </row>
    <row r="37" spans="5:35" x14ac:dyDescent="0.45">
      <c r="E37" t="s">
        <v>1240</v>
      </c>
      <c r="G37" t="s">
        <v>155</v>
      </c>
      <c r="I37" t="s">
        <v>249</v>
      </c>
      <c r="J37" t="s">
        <v>1568</v>
      </c>
      <c r="K37">
        <v>2.6302112634128492E-7</v>
      </c>
      <c r="L37" t="s">
        <v>251</v>
      </c>
      <c r="N37" t="s">
        <v>419</v>
      </c>
      <c r="O37" t="s">
        <v>1568</v>
      </c>
      <c r="P37">
        <v>4.5773579241309997E-5</v>
      </c>
      <c r="Q37" t="s">
        <v>251</v>
      </c>
      <c r="S37" t="s">
        <v>420</v>
      </c>
      <c r="T37" t="s">
        <v>1568</v>
      </c>
      <c r="U37">
        <v>9.581996101089544E-5</v>
      </c>
      <c r="V37" t="s">
        <v>251</v>
      </c>
      <c r="X37">
        <v>1.1415525114155251E-4</v>
      </c>
      <c r="Y37">
        <v>1.7237235744060203E-4</v>
      </c>
      <c r="Z37" t="s">
        <v>1568</v>
      </c>
      <c r="AA37" t="s">
        <v>25</v>
      </c>
      <c r="AC37" t="s">
        <v>22</v>
      </c>
      <c r="AD37" t="s">
        <v>1568</v>
      </c>
      <c r="AE37">
        <v>1.463523368982796E-4</v>
      </c>
      <c r="AG37" t="s">
        <v>97</v>
      </c>
      <c r="AH37" t="s">
        <v>1568</v>
      </c>
      <c r="AI37">
        <v>0</v>
      </c>
    </row>
    <row r="38" spans="5:35" x14ac:dyDescent="0.45">
      <c r="E38" t="s">
        <v>1241</v>
      </c>
      <c r="G38" t="s">
        <v>155</v>
      </c>
      <c r="I38" t="s">
        <v>249</v>
      </c>
      <c r="J38" t="s">
        <v>1569</v>
      </c>
      <c r="K38">
        <v>0</v>
      </c>
      <c r="L38" t="s">
        <v>251</v>
      </c>
      <c r="N38" t="s">
        <v>419</v>
      </c>
      <c r="O38" t="s">
        <v>1569</v>
      </c>
      <c r="P38">
        <v>5.7084744565308047E-5</v>
      </c>
      <c r="Q38" t="s">
        <v>251</v>
      </c>
      <c r="S38" t="s">
        <v>420</v>
      </c>
      <c r="T38" t="s">
        <v>1569</v>
      </c>
      <c r="U38">
        <v>1.079822953097E-4</v>
      </c>
      <c r="V38" t="s">
        <v>251</v>
      </c>
      <c r="X38">
        <v>1.1415525114155251E-4</v>
      </c>
      <c r="Y38">
        <v>1.5579809230208258E-4</v>
      </c>
      <c r="Z38" t="s">
        <v>1569</v>
      </c>
      <c r="AA38" t="s">
        <v>25</v>
      </c>
      <c r="AC38" t="s">
        <v>22</v>
      </c>
      <c r="AD38" t="s">
        <v>1569</v>
      </c>
      <c r="AE38">
        <v>1.4736372105709038E-4</v>
      </c>
      <c r="AG38" t="s">
        <v>97</v>
      </c>
      <c r="AH38" t="s">
        <v>1569</v>
      </c>
      <c r="AI38">
        <v>0</v>
      </c>
    </row>
    <row r="39" spans="5:35" x14ac:dyDescent="0.45">
      <c r="E39" t="s">
        <v>1242</v>
      </c>
      <c r="G39" t="s">
        <v>155</v>
      </c>
      <c r="I39" t="s">
        <v>249</v>
      </c>
      <c r="J39" t="s">
        <v>1570</v>
      </c>
      <c r="K39">
        <v>0</v>
      </c>
      <c r="L39" t="s">
        <v>251</v>
      </c>
      <c r="N39" t="s">
        <v>419</v>
      </c>
      <c r="O39" t="s">
        <v>1570</v>
      </c>
      <c r="P39">
        <v>6.4234312716864497E-5</v>
      </c>
      <c r="Q39" t="s">
        <v>251</v>
      </c>
      <c r="S39" t="s">
        <v>420</v>
      </c>
      <c r="T39" t="s">
        <v>1570</v>
      </c>
      <c r="U39">
        <v>1.046376254567E-4</v>
      </c>
      <c r="V39" t="s">
        <v>251</v>
      </c>
      <c r="X39">
        <v>1.1415525114155251E-4</v>
      </c>
      <c r="Y39">
        <v>1.093901499142282E-4</v>
      </c>
      <c r="Z39" t="s">
        <v>1570</v>
      </c>
      <c r="AA39" t="s">
        <v>25</v>
      </c>
      <c r="AC39" t="s">
        <v>22</v>
      </c>
      <c r="AD39" t="s">
        <v>1570</v>
      </c>
      <c r="AE39">
        <v>1.4742881674022147E-4</v>
      </c>
      <c r="AG39" t="s">
        <v>97</v>
      </c>
      <c r="AH39" t="s">
        <v>1570</v>
      </c>
      <c r="AI39">
        <v>0</v>
      </c>
    </row>
    <row r="40" spans="5:35" x14ac:dyDescent="0.45">
      <c r="E40" t="s">
        <v>1243</v>
      </c>
      <c r="G40" t="s">
        <v>155</v>
      </c>
      <c r="I40" t="s">
        <v>249</v>
      </c>
      <c r="J40" t="s">
        <v>1571</v>
      </c>
      <c r="K40">
        <v>0</v>
      </c>
      <c r="L40" t="s">
        <v>251</v>
      </c>
      <c r="N40" t="s">
        <v>419</v>
      </c>
      <c r="O40" t="s">
        <v>1571</v>
      </c>
      <c r="P40">
        <v>6.7398647188366762E-5</v>
      </c>
      <c r="Q40" t="s">
        <v>251</v>
      </c>
      <c r="S40" t="s">
        <v>420</v>
      </c>
      <c r="T40" t="s">
        <v>1571</v>
      </c>
      <c r="U40">
        <v>9.8395455279471698E-5</v>
      </c>
      <c r="V40" t="s">
        <v>251</v>
      </c>
      <c r="X40">
        <v>1.1415525114155251E-4</v>
      </c>
      <c r="Y40">
        <v>7.9556472664893237E-5</v>
      </c>
      <c r="Z40" t="s">
        <v>1571</v>
      </c>
      <c r="AA40" t="s">
        <v>25</v>
      </c>
      <c r="AC40" t="s">
        <v>22</v>
      </c>
      <c r="AD40" t="s">
        <v>1571</v>
      </c>
      <c r="AE40">
        <v>1.4883370963927127E-4</v>
      </c>
      <c r="AG40" t="s">
        <v>97</v>
      </c>
      <c r="AH40" t="s">
        <v>1571</v>
      </c>
      <c r="AI40">
        <v>0</v>
      </c>
    </row>
    <row r="41" spans="5:35" x14ac:dyDescent="0.45">
      <c r="E41" t="s">
        <v>1244</v>
      </c>
      <c r="G41" t="s">
        <v>155</v>
      </c>
      <c r="I41" t="s">
        <v>249</v>
      </c>
      <c r="J41" t="s">
        <v>1572</v>
      </c>
      <c r="K41">
        <v>0</v>
      </c>
      <c r="L41" t="s">
        <v>251</v>
      </c>
      <c r="N41" t="s">
        <v>419</v>
      </c>
      <c r="O41" t="s">
        <v>1572</v>
      </c>
      <c r="P41">
        <v>7.0460510081615387E-5</v>
      </c>
      <c r="Q41" t="s">
        <v>251</v>
      </c>
      <c r="S41" t="s">
        <v>420</v>
      </c>
      <c r="T41" t="s">
        <v>1572</v>
      </c>
      <c r="U41">
        <v>9.3352426326252997E-5</v>
      </c>
      <c r="V41" t="s">
        <v>251</v>
      </c>
      <c r="X41">
        <v>1.1415525114155251E-4</v>
      </c>
      <c r="Y41">
        <v>5.6352501470966035E-5</v>
      </c>
      <c r="Z41" t="s">
        <v>1572</v>
      </c>
      <c r="AA41" t="s">
        <v>25</v>
      </c>
      <c r="AC41" t="s">
        <v>22</v>
      </c>
      <c r="AD41" t="s">
        <v>1572</v>
      </c>
      <c r="AE41">
        <v>1.5332717927442045E-4</v>
      </c>
      <c r="AG41" t="s">
        <v>97</v>
      </c>
      <c r="AH41" t="s">
        <v>1572</v>
      </c>
      <c r="AI41">
        <v>0</v>
      </c>
    </row>
    <row r="42" spans="5:35" x14ac:dyDescent="0.45">
      <c r="E42" t="s">
        <v>1245</v>
      </c>
      <c r="G42" t="s">
        <v>155</v>
      </c>
      <c r="I42" t="s">
        <v>249</v>
      </c>
      <c r="J42" t="s">
        <v>1573</v>
      </c>
      <c r="K42">
        <v>0</v>
      </c>
      <c r="L42" t="s">
        <v>251</v>
      </c>
      <c r="N42" t="s">
        <v>419</v>
      </c>
      <c r="O42" t="s">
        <v>1573</v>
      </c>
      <c r="P42">
        <v>7.0822288142789719E-5</v>
      </c>
      <c r="Q42" t="s">
        <v>251</v>
      </c>
      <c r="S42" t="s">
        <v>420</v>
      </c>
      <c r="T42" t="s">
        <v>1573</v>
      </c>
      <c r="U42">
        <v>8.750740427335969E-5</v>
      </c>
      <c r="V42" t="s">
        <v>251</v>
      </c>
      <c r="X42">
        <v>1.1415525114155251E-4</v>
      </c>
      <c r="Y42">
        <v>2.9833677249334962E-5</v>
      </c>
      <c r="Z42" t="s">
        <v>1573</v>
      </c>
      <c r="AA42" t="s">
        <v>25</v>
      </c>
      <c r="AC42" t="s">
        <v>22</v>
      </c>
      <c r="AD42" t="s">
        <v>1573</v>
      </c>
      <c r="AE42">
        <v>1.5782304997984909E-4</v>
      </c>
      <c r="AG42" t="s">
        <v>97</v>
      </c>
      <c r="AH42" t="s">
        <v>1573</v>
      </c>
      <c r="AI42">
        <v>0</v>
      </c>
    </row>
    <row r="43" spans="5:35" x14ac:dyDescent="0.45">
      <c r="E43" t="s">
        <v>1246</v>
      </c>
      <c r="G43" t="s">
        <v>155</v>
      </c>
      <c r="I43" t="s">
        <v>249</v>
      </c>
      <c r="J43" t="s">
        <v>1574</v>
      </c>
      <c r="K43">
        <v>0</v>
      </c>
      <c r="L43" t="s">
        <v>251</v>
      </c>
      <c r="N43" t="s">
        <v>419</v>
      </c>
      <c r="O43" t="s">
        <v>1574</v>
      </c>
      <c r="P43">
        <v>7.1620319512782506E-5</v>
      </c>
      <c r="Q43" t="s">
        <v>251</v>
      </c>
      <c r="S43" t="s">
        <v>420</v>
      </c>
      <c r="T43" t="s">
        <v>1574</v>
      </c>
      <c r="U43">
        <v>7.7895298210917493E-5</v>
      </c>
      <c r="V43" t="s">
        <v>251</v>
      </c>
      <c r="X43">
        <v>1.1415525114155251E-4</v>
      </c>
      <c r="Y43">
        <v>2.1546544680075254E-5</v>
      </c>
      <c r="Z43" t="s">
        <v>1574</v>
      </c>
      <c r="AA43" t="s">
        <v>25</v>
      </c>
      <c r="AC43" t="s">
        <v>22</v>
      </c>
      <c r="AD43" t="s">
        <v>1574</v>
      </c>
      <c r="AE43">
        <v>1.5822589621561917E-4</v>
      </c>
      <c r="AG43" t="s">
        <v>97</v>
      </c>
      <c r="AH43" t="s">
        <v>1574</v>
      </c>
      <c r="AI43">
        <v>0</v>
      </c>
    </row>
    <row r="44" spans="5:35" x14ac:dyDescent="0.45">
      <c r="E44" t="s">
        <v>1247</v>
      </c>
      <c r="G44" t="s">
        <v>155</v>
      </c>
      <c r="I44" t="s">
        <v>249</v>
      </c>
      <c r="J44" t="s">
        <v>1575</v>
      </c>
      <c r="K44">
        <v>0</v>
      </c>
      <c r="L44" t="s">
        <v>251</v>
      </c>
      <c r="N44" t="s">
        <v>419</v>
      </c>
      <c r="O44" t="s">
        <v>1575</v>
      </c>
      <c r="P44">
        <v>7.2628470676626062E-5</v>
      </c>
      <c r="Q44" t="s">
        <v>251</v>
      </c>
      <c r="S44" t="s">
        <v>420</v>
      </c>
      <c r="T44" t="s">
        <v>1575</v>
      </c>
      <c r="U44">
        <v>6.9176896778600031E-5</v>
      </c>
      <c r="V44" t="s">
        <v>251</v>
      </c>
      <c r="X44">
        <v>1.1415525114155251E-4</v>
      </c>
      <c r="Y44">
        <v>1.4916838624667481E-5</v>
      </c>
      <c r="Z44" t="s">
        <v>1575</v>
      </c>
      <c r="AA44" t="s">
        <v>25</v>
      </c>
      <c r="AC44" t="s">
        <v>22</v>
      </c>
      <c r="AD44" t="s">
        <v>1575</v>
      </c>
      <c r="AE44">
        <v>1.5718676635580165E-4</v>
      </c>
      <c r="AG44" t="s">
        <v>97</v>
      </c>
      <c r="AH44" t="s">
        <v>1575</v>
      </c>
      <c r="AI44">
        <v>0</v>
      </c>
    </row>
    <row r="45" spans="5:35" x14ac:dyDescent="0.45">
      <c r="E45" t="s">
        <v>1248</v>
      </c>
      <c r="G45" t="s">
        <v>155</v>
      </c>
      <c r="I45" t="s">
        <v>249</v>
      </c>
      <c r="J45" t="s">
        <v>1576</v>
      </c>
      <c r="K45">
        <v>0</v>
      </c>
      <c r="L45" t="s">
        <v>251</v>
      </c>
      <c r="N45" t="s">
        <v>419</v>
      </c>
      <c r="O45" t="s">
        <v>1576</v>
      </c>
      <c r="P45">
        <v>7.4658600057263226E-5</v>
      </c>
      <c r="Q45" t="s">
        <v>251</v>
      </c>
      <c r="S45" t="s">
        <v>420</v>
      </c>
      <c r="T45" t="s">
        <v>1576</v>
      </c>
      <c r="U45">
        <v>6.4693519857353317E-5</v>
      </c>
      <c r="V45" t="s">
        <v>251</v>
      </c>
      <c r="X45">
        <v>1.1415525114155251E-4</v>
      </c>
      <c r="Y45">
        <v>1.6574265138519424E-5</v>
      </c>
      <c r="Z45" t="s">
        <v>1576</v>
      </c>
      <c r="AA45" t="s">
        <v>25</v>
      </c>
      <c r="AC45" t="s">
        <v>22</v>
      </c>
      <c r="AD45" t="s">
        <v>1576</v>
      </c>
      <c r="AE45">
        <v>1.5070707802839538E-4</v>
      </c>
      <c r="AG45" t="s">
        <v>97</v>
      </c>
      <c r="AH45" t="s">
        <v>1576</v>
      </c>
      <c r="AI45">
        <v>0</v>
      </c>
    </row>
    <row r="46" spans="5:35" x14ac:dyDescent="0.45">
      <c r="E46" t="s">
        <v>1249</v>
      </c>
      <c r="G46" t="s">
        <v>155</v>
      </c>
      <c r="I46" t="s">
        <v>249</v>
      </c>
      <c r="J46" t="s">
        <v>1577</v>
      </c>
      <c r="K46">
        <v>0</v>
      </c>
      <c r="L46" t="s">
        <v>251</v>
      </c>
      <c r="N46" t="s">
        <v>419</v>
      </c>
      <c r="O46" t="s">
        <v>1577</v>
      </c>
      <c r="P46">
        <v>7.8603032588471451E-5</v>
      </c>
      <c r="Q46" t="s">
        <v>251</v>
      </c>
      <c r="S46" t="s">
        <v>420</v>
      </c>
      <c r="T46" t="s">
        <v>1577</v>
      </c>
      <c r="U46">
        <v>6.4323128308624861E-5</v>
      </c>
      <c r="V46" t="s">
        <v>251</v>
      </c>
      <c r="X46">
        <v>1.1415525114155251E-4</v>
      </c>
      <c r="Y46">
        <v>1.4585353321897093E-5</v>
      </c>
      <c r="Z46" t="s">
        <v>1577</v>
      </c>
      <c r="AA46" t="s">
        <v>25</v>
      </c>
      <c r="AC46" t="s">
        <v>22</v>
      </c>
      <c r="AD46" t="s">
        <v>1577</v>
      </c>
      <c r="AE46">
        <v>1.4352574360822405E-4</v>
      </c>
      <c r="AG46" t="s">
        <v>97</v>
      </c>
      <c r="AH46" t="s">
        <v>1577</v>
      </c>
      <c r="AI46">
        <v>0</v>
      </c>
    </row>
    <row r="47" spans="5:35" x14ac:dyDescent="0.45">
      <c r="E47" t="s">
        <v>1250</v>
      </c>
      <c r="G47" t="s">
        <v>155</v>
      </c>
      <c r="I47" t="s">
        <v>249</v>
      </c>
      <c r="J47" t="s">
        <v>1578</v>
      </c>
      <c r="K47">
        <v>0</v>
      </c>
      <c r="L47" t="s">
        <v>251</v>
      </c>
      <c r="N47" t="s">
        <v>419</v>
      </c>
      <c r="O47" t="s">
        <v>1578</v>
      </c>
      <c r="P47">
        <v>7.4539253491441744E-5</v>
      </c>
      <c r="Q47" t="s">
        <v>251</v>
      </c>
      <c r="S47" t="s">
        <v>420</v>
      </c>
      <c r="T47" t="s">
        <v>1578</v>
      </c>
      <c r="U47">
        <v>7.7833203155210006E-5</v>
      </c>
      <c r="V47" t="s">
        <v>251</v>
      </c>
      <c r="X47">
        <v>1.1415525114155251E-4</v>
      </c>
      <c r="Y47">
        <v>2.1215059377304864E-5</v>
      </c>
      <c r="Z47" t="s">
        <v>1578</v>
      </c>
      <c r="AA47" t="s">
        <v>25</v>
      </c>
      <c r="AC47" t="s">
        <v>22</v>
      </c>
      <c r="AD47" t="s">
        <v>1578</v>
      </c>
      <c r="AE47">
        <v>1.3225218507515395E-4</v>
      </c>
      <c r="AG47" t="s">
        <v>97</v>
      </c>
      <c r="AH47" t="s">
        <v>1578</v>
      </c>
      <c r="AI47">
        <v>0</v>
      </c>
    </row>
    <row r="48" spans="5:35" x14ac:dyDescent="0.45">
      <c r="E48" t="s">
        <v>1251</v>
      </c>
      <c r="G48" t="s">
        <v>155</v>
      </c>
      <c r="I48" t="s">
        <v>249</v>
      </c>
      <c r="J48" t="s">
        <v>1579</v>
      </c>
      <c r="K48">
        <v>0</v>
      </c>
      <c r="L48" t="s">
        <v>251</v>
      </c>
      <c r="N48" t="s">
        <v>419</v>
      </c>
      <c r="O48" t="s">
        <v>1579</v>
      </c>
      <c r="P48">
        <v>7.4780356144398829E-5</v>
      </c>
      <c r="Q48" t="s">
        <v>251</v>
      </c>
      <c r="S48" t="s">
        <v>420</v>
      </c>
      <c r="T48" t="s">
        <v>1579</v>
      </c>
      <c r="U48">
        <v>7.7200711924237667E-5</v>
      </c>
      <c r="V48" t="s">
        <v>251</v>
      </c>
      <c r="X48">
        <v>1.1415525114155251E-4</v>
      </c>
      <c r="Y48">
        <v>5.7678442682047593E-5</v>
      </c>
      <c r="Z48" t="s">
        <v>1579</v>
      </c>
      <c r="AA48" t="s">
        <v>25</v>
      </c>
      <c r="AC48" t="s">
        <v>22</v>
      </c>
      <c r="AD48" t="s">
        <v>1579</v>
      </c>
      <c r="AE48">
        <v>1.2618468047904884E-4</v>
      </c>
      <c r="AG48" t="s">
        <v>97</v>
      </c>
      <c r="AH48" t="s">
        <v>1579</v>
      </c>
      <c r="AI48">
        <v>0</v>
      </c>
    </row>
    <row r="49" spans="5:35" x14ac:dyDescent="0.45">
      <c r="E49" t="s">
        <v>1252</v>
      </c>
      <c r="G49" t="s">
        <v>155</v>
      </c>
      <c r="I49" t="s">
        <v>249</v>
      </c>
      <c r="J49" t="s">
        <v>1580</v>
      </c>
      <c r="K49">
        <v>0</v>
      </c>
      <c r="L49" t="s">
        <v>251</v>
      </c>
      <c r="N49" t="s">
        <v>419</v>
      </c>
      <c r="O49" t="s">
        <v>1580</v>
      </c>
      <c r="P49">
        <v>7.1852942558116913E-5</v>
      </c>
      <c r="Q49" t="s">
        <v>251</v>
      </c>
      <c r="S49" t="s">
        <v>420</v>
      </c>
      <c r="T49" t="s">
        <v>1580</v>
      </c>
      <c r="U49">
        <v>7.8134148624784362E-5</v>
      </c>
      <c r="V49" t="s">
        <v>251</v>
      </c>
      <c r="X49">
        <v>1.1415525114155251E-4</v>
      </c>
      <c r="Y49">
        <v>1.6905750441289813E-4</v>
      </c>
      <c r="Z49" t="s">
        <v>1580</v>
      </c>
      <c r="AA49" t="s">
        <v>25</v>
      </c>
      <c r="AC49" t="s">
        <v>22</v>
      </c>
      <c r="AD49" t="s">
        <v>1580</v>
      </c>
      <c r="AE49">
        <v>1.1094028527498425E-4</v>
      </c>
      <c r="AG49" t="s">
        <v>97</v>
      </c>
      <c r="AH49" t="s">
        <v>1580</v>
      </c>
      <c r="AI49">
        <v>0</v>
      </c>
    </row>
    <row r="50" spans="5:35" x14ac:dyDescent="0.45">
      <c r="E50" t="s">
        <v>1253</v>
      </c>
      <c r="G50" t="s">
        <v>155</v>
      </c>
      <c r="I50" t="s">
        <v>249</v>
      </c>
      <c r="J50" t="s">
        <v>1581</v>
      </c>
      <c r="K50">
        <v>1.0689792938195921E-5</v>
      </c>
      <c r="L50" t="s">
        <v>251</v>
      </c>
      <c r="N50" t="s">
        <v>419</v>
      </c>
      <c r="O50" t="s">
        <v>1581</v>
      </c>
      <c r="P50">
        <v>6.7052713010369355E-5</v>
      </c>
      <c r="Q50" t="s">
        <v>251</v>
      </c>
      <c r="S50" t="s">
        <v>420</v>
      </c>
      <c r="T50" t="s">
        <v>1581</v>
      </c>
      <c r="U50">
        <v>7.5884167593955716E-5</v>
      </c>
      <c r="V50" t="s">
        <v>251</v>
      </c>
      <c r="X50">
        <v>1.1415525114155251E-4</v>
      </c>
      <c r="Y50">
        <v>1.9060404909297337E-4</v>
      </c>
      <c r="Z50" t="s">
        <v>1581</v>
      </c>
      <c r="AA50" t="s">
        <v>25</v>
      </c>
      <c r="AC50" t="s">
        <v>22</v>
      </c>
      <c r="AD50" t="s">
        <v>1581</v>
      </c>
      <c r="AE50">
        <v>1.0652871881492205E-4</v>
      </c>
      <c r="AG50" t="s">
        <v>97</v>
      </c>
      <c r="AH50" t="s">
        <v>1581</v>
      </c>
      <c r="AI50">
        <v>0</v>
      </c>
    </row>
    <row r="51" spans="5:35" x14ac:dyDescent="0.45">
      <c r="E51" t="s">
        <v>1254</v>
      </c>
      <c r="G51" t="s">
        <v>155</v>
      </c>
      <c r="I51" t="s">
        <v>249</v>
      </c>
      <c r="J51" t="s">
        <v>1582</v>
      </c>
      <c r="K51">
        <v>1.3391958926789999E-4</v>
      </c>
      <c r="L51" t="s">
        <v>251</v>
      </c>
      <c r="N51" t="s">
        <v>419</v>
      </c>
      <c r="O51" t="s">
        <v>1582</v>
      </c>
      <c r="P51">
        <v>6.3090953104444523E-5</v>
      </c>
      <c r="Q51" t="s">
        <v>251</v>
      </c>
      <c r="S51" t="s">
        <v>420</v>
      </c>
      <c r="T51" t="s">
        <v>1582</v>
      </c>
      <c r="U51">
        <v>6.9970728950926757E-5</v>
      </c>
      <c r="V51" t="s">
        <v>251</v>
      </c>
      <c r="X51">
        <v>1.1415525114155251E-4</v>
      </c>
      <c r="Y51">
        <v>1.4585353321897094E-4</v>
      </c>
      <c r="Z51" t="s">
        <v>1582</v>
      </c>
      <c r="AA51" t="s">
        <v>25</v>
      </c>
      <c r="AC51" t="s">
        <v>22</v>
      </c>
      <c r="AD51" t="s">
        <v>1582</v>
      </c>
      <c r="AE51">
        <v>1.0290550376327085E-4</v>
      </c>
      <c r="AG51" t="s">
        <v>97</v>
      </c>
      <c r="AH51" t="s">
        <v>1582</v>
      </c>
      <c r="AI51">
        <v>0</v>
      </c>
    </row>
    <row r="52" spans="5:35" x14ac:dyDescent="0.45">
      <c r="E52" t="s">
        <v>1255</v>
      </c>
      <c r="G52" t="s">
        <v>155</v>
      </c>
      <c r="I52" t="s">
        <v>249</v>
      </c>
      <c r="J52" t="s">
        <v>1583</v>
      </c>
      <c r="K52">
        <v>2.0157887220390001E-4</v>
      </c>
      <c r="L52" t="s">
        <v>251</v>
      </c>
      <c r="N52" t="s">
        <v>419</v>
      </c>
      <c r="O52" t="s">
        <v>1583</v>
      </c>
      <c r="P52">
        <v>5.0827488137388176E-5</v>
      </c>
      <c r="Q52" t="s">
        <v>251</v>
      </c>
      <c r="S52" t="s">
        <v>420</v>
      </c>
      <c r="T52" t="s">
        <v>1583</v>
      </c>
      <c r="U52">
        <v>6.4430930353256069E-5</v>
      </c>
      <c r="V52" t="s">
        <v>251</v>
      </c>
      <c r="X52">
        <v>1.1415525114155251E-4</v>
      </c>
      <c r="Y52">
        <v>1.4452759200788939E-4</v>
      </c>
      <c r="Z52" t="s">
        <v>1583</v>
      </c>
      <c r="AA52" t="s">
        <v>25</v>
      </c>
      <c r="AC52" t="s">
        <v>22</v>
      </c>
      <c r="AD52" t="s">
        <v>1583</v>
      </c>
      <c r="AE52">
        <v>1.0222920230123303E-4</v>
      </c>
      <c r="AG52" t="s">
        <v>97</v>
      </c>
      <c r="AH52" t="s">
        <v>1583</v>
      </c>
      <c r="AI52">
        <v>0</v>
      </c>
    </row>
    <row r="53" spans="5:35" x14ac:dyDescent="0.45">
      <c r="E53" t="s">
        <v>1256</v>
      </c>
      <c r="G53" t="s">
        <v>155</v>
      </c>
      <c r="I53" t="s">
        <v>249</v>
      </c>
      <c r="J53" t="s">
        <v>1584</v>
      </c>
      <c r="K53">
        <v>2.374143005383E-4</v>
      </c>
      <c r="L53" t="s">
        <v>251</v>
      </c>
      <c r="N53" t="s">
        <v>419</v>
      </c>
      <c r="O53" t="s">
        <v>1584</v>
      </c>
      <c r="P53">
        <v>4.2186928936732907E-5</v>
      </c>
      <c r="Q53" t="s">
        <v>251</v>
      </c>
      <c r="S53" t="s">
        <v>420</v>
      </c>
      <c r="T53" t="s">
        <v>1584</v>
      </c>
      <c r="U53">
        <v>5.9917157654113752E-5</v>
      </c>
      <c r="V53" t="s">
        <v>251</v>
      </c>
      <c r="X53">
        <v>1.1415525114155251E-4</v>
      </c>
      <c r="Y53">
        <v>1.408812536774151E-4</v>
      </c>
      <c r="Z53" t="s">
        <v>1584</v>
      </c>
      <c r="AA53" t="s">
        <v>25</v>
      </c>
      <c r="AC53" t="s">
        <v>22</v>
      </c>
      <c r="AD53" t="s">
        <v>1584</v>
      </c>
      <c r="AE53">
        <v>1.0398358431873234E-4</v>
      </c>
      <c r="AG53" t="s">
        <v>97</v>
      </c>
      <c r="AH53" t="s">
        <v>1584</v>
      </c>
      <c r="AI53">
        <v>0</v>
      </c>
    </row>
    <row r="54" spans="5:35" x14ac:dyDescent="0.45">
      <c r="E54" t="s">
        <v>1257</v>
      </c>
      <c r="G54" t="s">
        <v>155</v>
      </c>
      <c r="I54" t="s">
        <v>249</v>
      </c>
      <c r="J54" t="s">
        <v>1585</v>
      </c>
      <c r="K54">
        <v>2.4063345339100001E-4</v>
      </c>
      <c r="L54" t="s">
        <v>251</v>
      </c>
      <c r="N54" t="s">
        <v>419</v>
      </c>
      <c r="O54" t="s">
        <v>1585</v>
      </c>
      <c r="P54">
        <v>3.623938533588444E-5</v>
      </c>
      <c r="Q54" t="s">
        <v>251</v>
      </c>
      <c r="S54" t="s">
        <v>420</v>
      </c>
      <c r="T54" t="s">
        <v>1585</v>
      </c>
      <c r="U54">
        <v>5.7105279017819486E-5</v>
      </c>
      <c r="V54" t="s">
        <v>251</v>
      </c>
      <c r="X54">
        <v>1.1415525114155251E-4</v>
      </c>
      <c r="Y54">
        <v>1.4054976837464471E-4</v>
      </c>
      <c r="Z54" t="s">
        <v>1585</v>
      </c>
      <c r="AA54" t="s">
        <v>25</v>
      </c>
      <c r="AC54" t="s">
        <v>22</v>
      </c>
      <c r="AD54" t="s">
        <v>1585</v>
      </c>
      <c r="AE54">
        <v>1.1570534263729497E-4</v>
      </c>
      <c r="AG54" t="s">
        <v>97</v>
      </c>
      <c r="AH54" t="s">
        <v>1585</v>
      </c>
      <c r="AI54">
        <v>0</v>
      </c>
    </row>
    <row r="55" spans="5:35" x14ac:dyDescent="0.45">
      <c r="E55" t="s">
        <v>1258</v>
      </c>
      <c r="G55" t="s">
        <v>155</v>
      </c>
      <c r="I55" t="s">
        <v>249</v>
      </c>
      <c r="J55" t="s">
        <v>1586</v>
      </c>
      <c r="K55">
        <v>2.1760736016869999E-4</v>
      </c>
      <c r="L55" t="s">
        <v>251</v>
      </c>
      <c r="N55" t="s">
        <v>419</v>
      </c>
      <c r="O55" t="s">
        <v>1586</v>
      </c>
      <c r="P55">
        <v>3.418471269393941E-5</v>
      </c>
      <c r="Q55" t="s">
        <v>251</v>
      </c>
      <c r="S55" t="s">
        <v>420</v>
      </c>
      <c r="T55" t="s">
        <v>1586</v>
      </c>
      <c r="U55">
        <v>5.4440730744978505E-5</v>
      </c>
      <c r="V55" t="s">
        <v>251</v>
      </c>
      <c r="X55">
        <v>1.1415525114155251E-4</v>
      </c>
      <c r="Y55">
        <v>1.4253868019126702E-4</v>
      </c>
      <c r="Z55" t="s">
        <v>1586</v>
      </c>
      <c r="AA55" t="s">
        <v>25</v>
      </c>
      <c r="AC55" t="s">
        <v>22</v>
      </c>
      <c r="AD55" t="s">
        <v>1586</v>
      </c>
      <c r="AE55">
        <v>1.3642764629107272E-4</v>
      </c>
      <c r="AG55" t="s">
        <v>97</v>
      </c>
      <c r="AH55" t="s">
        <v>1586</v>
      </c>
      <c r="AI55">
        <v>0</v>
      </c>
    </row>
    <row r="56" spans="5:35" x14ac:dyDescent="0.45">
      <c r="E56" t="s">
        <v>1259</v>
      </c>
      <c r="G56" t="s">
        <v>155</v>
      </c>
      <c r="I56" t="s">
        <v>249</v>
      </c>
      <c r="J56" t="s">
        <v>1587</v>
      </c>
      <c r="K56">
        <v>2.1342674356629999E-4</v>
      </c>
      <c r="L56" t="s">
        <v>251</v>
      </c>
      <c r="N56" t="s">
        <v>419</v>
      </c>
      <c r="O56" t="s">
        <v>1587</v>
      </c>
      <c r="P56">
        <v>3.5872485228089809E-5</v>
      </c>
      <c r="Q56" t="s">
        <v>251</v>
      </c>
      <c r="S56" t="s">
        <v>420</v>
      </c>
      <c r="T56" t="s">
        <v>1587</v>
      </c>
      <c r="U56">
        <v>6.0302242642553517E-5</v>
      </c>
      <c r="V56" t="s">
        <v>251</v>
      </c>
      <c r="X56">
        <v>1.1415525114155251E-4</v>
      </c>
      <c r="Y56">
        <v>1.4883690094390442E-4</v>
      </c>
      <c r="Z56" t="s">
        <v>1587</v>
      </c>
      <c r="AA56" t="s">
        <v>25</v>
      </c>
      <c r="AC56" t="s">
        <v>22</v>
      </c>
      <c r="AD56" t="s">
        <v>1587</v>
      </c>
      <c r="AE56">
        <v>1.5030556572055836E-4</v>
      </c>
      <c r="AG56" t="s">
        <v>97</v>
      </c>
      <c r="AH56" t="s">
        <v>1587</v>
      </c>
      <c r="AI56">
        <v>0</v>
      </c>
    </row>
    <row r="57" spans="5:35" x14ac:dyDescent="0.45">
      <c r="E57" t="s">
        <v>1260</v>
      </c>
      <c r="G57" t="s">
        <v>155</v>
      </c>
      <c r="I57" t="s">
        <v>249</v>
      </c>
      <c r="J57" t="s">
        <v>1588</v>
      </c>
      <c r="K57">
        <v>2.2969496555089999E-4</v>
      </c>
      <c r="L57" t="s">
        <v>251</v>
      </c>
      <c r="N57" t="s">
        <v>419</v>
      </c>
      <c r="O57" t="s">
        <v>1588</v>
      </c>
      <c r="P57">
        <v>3.9776932346700576E-5</v>
      </c>
      <c r="Q57" t="s">
        <v>251</v>
      </c>
      <c r="S57" t="s">
        <v>420</v>
      </c>
      <c r="T57" t="s">
        <v>1588</v>
      </c>
      <c r="U57">
        <v>7.6832076240955171E-5</v>
      </c>
      <c r="V57" t="s">
        <v>251</v>
      </c>
      <c r="X57">
        <v>1.1415525114155251E-4</v>
      </c>
      <c r="Y57">
        <v>1.5049432745775637E-4</v>
      </c>
      <c r="Z57" t="s">
        <v>1588</v>
      </c>
      <c r="AA57" t="s">
        <v>25</v>
      </c>
      <c r="AC57" t="s">
        <v>22</v>
      </c>
      <c r="AD57" t="s">
        <v>1588</v>
      </c>
      <c r="AE57">
        <v>1.5586884555798434E-4</v>
      </c>
      <c r="AG57" t="s">
        <v>97</v>
      </c>
      <c r="AH57" t="s">
        <v>1588</v>
      </c>
      <c r="AI57">
        <v>0</v>
      </c>
    </row>
    <row r="58" spans="5:35" x14ac:dyDescent="0.45">
      <c r="E58" t="s">
        <v>1261</v>
      </c>
      <c r="G58" t="s">
        <v>155</v>
      </c>
      <c r="I58" t="s">
        <v>249</v>
      </c>
      <c r="J58" t="s">
        <v>1589</v>
      </c>
      <c r="K58">
        <v>2.2247172127969999E-4</v>
      </c>
      <c r="L58" t="s">
        <v>251</v>
      </c>
      <c r="N58" t="s">
        <v>419</v>
      </c>
      <c r="O58" t="s">
        <v>1589</v>
      </c>
      <c r="P58">
        <v>4.4794624624759662E-5</v>
      </c>
      <c r="Q58" t="s">
        <v>251</v>
      </c>
      <c r="S58" t="s">
        <v>420</v>
      </c>
      <c r="T58" t="s">
        <v>1589</v>
      </c>
      <c r="U58">
        <v>1.1121664578400001E-4</v>
      </c>
      <c r="V58" t="s">
        <v>251</v>
      </c>
      <c r="X58">
        <v>1.1415525114155251E-4</v>
      </c>
      <c r="Y58">
        <v>1.7237235744060203E-4</v>
      </c>
      <c r="Z58" t="s">
        <v>1589</v>
      </c>
      <c r="AA58" t="s">
        <v>25</v>
      </c>
      <c r="AC58" t="s">
        <v>22</v>
      </c>
      <c r="AD58" t="s">
        <v>1589</v>
      </c>
      <c r="AE58">
        <v>1.4425433504523599E-4</v>
      </c>
      <c r="AG58" t="s">
        <v>97</v>
      </c>
      <c r="AH58" t="s">
        <v>1589</v>
      </c>
      <c r="AI58">
        <v>0</v>
      </c>
    </row>
    <row r="59" spans="5:35" x14ac:dyDescent="0.45">
      <c r="E59" t="s">
        <v>1262</v>
      </c>
      <c r="G59" t="s">
        <v>155</v>
      </c>
      <c r="I59" t="s">
        <v>249</v>
      </c>
      <c r="J59" t="s">
        <v>1590</v>
      </c>
      <c r="K59">
        <v>1.8531013270029999E-4</v>
      </c>
      <c r="L59" t="s">
        <v>251</v>
      </c>
      <c r="N59" t="s">
        <v>419</v>
      </c>
      <c r="O59" t="s">
        <v>1590</v>
      </c>
      <c r="P59">
        <v>5.5407387898197998E-5</v>
      </c>
      <c r="Q59" t="s">
        <v>251</v>
      </c>
      <c r="S59" t="s">
        <v>420</v>
      </c>
      <c r="T59" t="s">
        <v>1590</v>
      </c>
      <c r="U59">
        <v>1.468625058274E-4</v>
      </c>
      <c r="V59" t="s">
        <v>251</v>
      </c>
      <c r="X59">
        <v>1.1415525114155251E-4</v>
      </c>
      <c r="Y59">
        <v>2.2209515285616027E-4</v>
      </c>
      <c r="Z59" t="s">
        <v>1590</v>
      </c>
      <c r="AA59" t="s">
        <v>25</v>
      </c>
      <c r="AC59" t="s">
        <v>22</v>
      </c>
      <c r="AD59" t="s">
        <v>1590</v>
      </c>
      <c r="AE59">
        <v>1.4190395402726626E-4</v>
      </c>
      <c r="AG59" t="s">
        <v>97</v>
      </c>
      <c r="AH59" t="s">
        <v>1590</v>
      </c>
      <c r="AI59">
        <v>0</v>
      </c>
    </row>
    <row r="60" spans="5:35" x14ac:dyDescent="0.45">
      <c r="E60" t="s">
        <v>1263</v>
      </c>
      <c r="G60" t="s">
        <v>155</v>
      </c>
      <c r="I60" t="s">
        <v>249</v>
      </c>
      <c r="J60" t="s">
        <v>1591</v>
      </c>
      <c r="K60">
        <v>1.2186836108E-4</v>
      </c>
      <c r="L60" t="s">
        <v>251</v>
      </c>
      <c r="N60" t="s">
        <v>419</v>
      </c>
      <c r="O60" t="s">
        <v>1591</v>
      </c>
      <c r="P60">
        <v>7.7338795568422823E-5</v>
      </c>
      <c r="Q60" t="s">
        <v>251</v>
      </c>
      <c r="S60" t="s">
        <v>420</v>
      </c>
      <c r="T60" t="s">
        <v>1591</v>
      </c>
      <c r="U60">
        <v>1.587328694027E-4</v>
      </c>
      <c r="V60" t="s">
        <v>251</v>
      </c>
      <c r="X60">
        <v>1.1415525114155251E-4</v>
      </c>
      <c r="Y60">
        <v>2.2209515285616027E-4</v>
      </c>
      <c r="Z60" t="s">
        <v>1591</v>
      </c>
      <c r="AA60" t="s">
        <v>25</v>
      </c>
      <c r="AC60" t="s">
        <v>22</v>
      </c>
      <c r="AD60" t="s">
        <v>1591</v>
      </c>
      <c r="AE60">
        <v>1.4557305619981311E-4</v>
      </c>
      <c r="AG60" t="s">
        <v>97</v>
      </c>
      <c r="AH60" t="s">
        <v>1591</v>
      </c>
      <c r="AI60">
        <v>0</v>
      </c>
    </row>
    <row r="61" spans="5:35" x14ac:dyDescent="0.45">
      <c r="E61" t="s">
        <v>1264</v>
      </c>
      <c r="G61" t="s">
        <v>155</v>
      </c>
      <c r="I61" t="s">
        <v>249</v>
      </c>
      <c r="J61" t="s">
        <v>1592</v>
      </c>
      <c r="K61">
        <v>3.3791241085680262E-7</v>
      </c>
      <c r="L61" t="s">
        <v>251</v>
      </c>
      <c r="N61" t="s">
        <v>419</v>
      </c>
      <c r="O61" t="s">
        <v>1592</v>
      </c>
      <c r="P61">
        <v>9.3849923403821806E-5</v>
      </c>
      <c r="Q61" t="s">
        <v>251</v>
      </c>
      <c r="S61" t="s">
        <v>420</v>
      </c>
      <c r="T61" t="s">
        <v>1592</v>
      </c>
      <c r="U61">
        <v>1.7411119585390001E-4</v>
      </c>
      <c r="V61" t="s">
        <v>251</v>
      </c>
      <c r="X61">
        <v>1.1415525114155251E-4</v>
      </c>
      <c r="Y61">
        <v>1.7237235744060203E-4</v>
      </c>
      <c r="Z61" t="s">
        <v>1592</v>
      </c>
      <c r="AA61" t="s">
        <v>25</v>
      </c>
      <c r="AC61" t="s">
        <v>22</v>
      </c>
      <c r="AD61" t="s">
        <v>1592</v>
      </c>
      <c r="AE61">
        <v>1.4690538341930698E-4</v>
      </c>
      <c r="AG61" t="s">
        <v>97</v>
      </c>
      <c r="AH61" t="s">
        <v>1592</v>
      </c>
      <c r="AI61">
        <v>0</v>
      </c>
    </row>
    <row r="62" spans="5:35" x14ac:dyDescent="0.45">
      <c r="E62" t="s">
        <v>1265</v>
      </c>
      <c r="G62" t="s">
        <v>155</v>
      </c>
      <c r="I62" t="s">
        <v>249</v>
      </c>
      <c r="J62" t="s">
        <v>1593</v>
      </c>
      <c r="K62">
        <v>0</v>
      </c>
      <c r="L62" t="s">
        <v>251</v>
      </c>
      <c r="N62" t="s">
        <v>419</v>
      </c>
      <c r="O62" t="s">
        <v>1593</v>
      </c>
      <c r="P62">
        <v>1.069854383487E-4</v>
      </c>
      <c r="Q62" t="s">
        <v>251</v>
      </c>
      <c r="S62" t="s">
        <v>420</v>
      </c>
      <c r="T62" t="s">
        <v>1593</v>
      </c>
      <c r="U62">
        <v>1.8499503425949999E-4</v>
      </c>
      <c r="V62" t="s">
        <v>251</v>
      </c>
      <c r="X62">
        <v>1.1415525114155251E-4</v>
      </c>
      <c r="Y62">
        <v>1.5579809230208258E-4</v>
      </c>
      <c r="Z62" t="s">
        <v>1593</v>
      </c>
      <c r="AA62" t="s">
        <v>25</v>
      </c>
      <c r="AC62" t="s">
        <v>22</v>
      </c>
      <c r="AD62" t="s">
        <v>1593</v>
      </c>
      <c r="AE62">
        <v>1.4721111970155367E-4</v>
      </c>
      <c r="AG62" t="s">
        <v>97</v>
      </c>
      <c r="AH62" t="s">
        <v>1593</v>
      </c>
      <c r="AI62">
        <v>0</v>
      </c>
    </row>
    <row r="63" spans="5:35" x14ac:dyDescent="0.45">
      <c r="E63" t="s">
        <v>1266</v>
      </c>
      <c r="G63" t="s">
        <v>155</v>
      </c>
      <c r="I63" t="s">
        <v>249</v>
      </c>
      <c r="J63" t="s">
        <v>1594</v>
      </c>
      <c r="K63">
        <v>0</v>
      </c>
      <c r="L63" t="s">
        <v>251</v>
      </c>
      <c r="N63" t="s">
        <v>419</v>
      </c>
      <c r="O63" t="s">
        <v>1594</v>
      </c>
      <c r="P63">
        <v>1.158028257822E-4</v>
      </c>
      <c r="Q63" t="s">
        <v>251</v>
      </c>
      <c r="S63" t="s">
        <v>420</v>
      </c>
      <c r="T63" t="s">
        <v>1594</v>
      </c>
      <c r="U63">
        <v>1.8864063323990001E-4</v>
      </c>
      <c r="V63" t="s">
        <v>251</v>
      </c>
      <c r="X63">
        <v>1.1415525114155251E-4</v>
      </c>
      <c r="Y63">
        <v>1.093901499142282E-4</v>
      </c>
      <c r="Z63" t="s">
        <v>1594</v>
      </c>
      <c r="AA63" t="s">
        <v>25</v>
      </c>
      <c r="AC63" t="s">
        <v>22</v>
      </c>
      <c r="AD63" t="s">
        <v>1594</v>
      </c>
      <c r="AE63">
        <v>1.4757794988313238E-4</v>
      </c>
      <c r="AG63" t="s">
        <v>97</v>
      </c>
      <c r="AH63" t="s">
        <v>1594</v>
      </c>
      <c r="AI63">
        <v>0</v>
      </c>
    </row>
    <row r="64" spans="5:35" x14ac:dyDescent="0.45">
      <c r="E64" t="s">
        <v>1267</v>
      </c>
      <c r="G64" t="s">
        <v>155</v>
      </c>
      <c r="I64" t="s">
        <v>249</v>
      </c>
      <c r="J64" t="s">
        <v>1595</v>
      </c>
      <c r="K64">
        <v>0</v>
      </c>
      <c r="L64" t="s">
        <v>251</v>
      </c>
      <c r="N64" t="s">
        <v>419</v>
      </c>
      <c r="O64" t="s">
        <v>1595</v>
      </c>
      <c r="P64">
        <v>1.2390730059330001E-4</v>
      </c>
      <c r="Q64" t="s">
        <v>251</v>
      </c>
      <c r="S64" t="s">
        <v>420</v>
      </c>
      <c r="T64" t="s">
        <v>1595</v>
      </c>
      <c r="U64">
        <v>1.878521647292E-4</v>
      </c>
      <c r="V64" t="s">
        <v>251</v>
      </c>
      <c r="X64">
        <v>1.1415525114155251E-4</v>
      </c>
      <c r="Y64">
        <v>7.9556472664893237E-5</v>
      </c>
      <c r="Z64" t="s">
        <v>1595</v>
      </c>
      <c r="AA64" t="s">
        <v>25</v>
      </c>
      <c r="AC64" t="s">
        <v>22</v>
      </c>
      <c r="AD64" t="s">
        <v>1595</v>
      </c>
      <c r="AE64">
        <v>1.4830814203366395E-4</v>
      </c>
      <c r="AG64" t="s">
        <v>97</v>
      </c>
      <c r="AH64" t="s">
        <v>1595</v>
      </c>
      <c r="AI64">
        <v>0</v>
      </c>
    </row>
    <row r="65" spans="5:35" x14ac:dyDescent="0.45">
      <c r="E65" t="s">
        <v>1268</v>
      </c>
      <c r="G65" t="s">
        <v>155</v>
      </c>
      <c r="I65" t="s">
        <v>249</v>
      </c>
      <c r="J65" t="s">
        <v>1596</v>
      </c>
      <c r="K65">
        <v>0</v>
      </c>
      <c r="L65" t="s">
        <v>251</v>
      </c>
      <c r="N65" t="s">
        <v>419</v>
      </c>
      <c r="O65" t="s">
        <v>1596</v>
      </c>
      <c r="P65">
        <v>1.3393964697899999E-4</v>
      </c>
      <c r="Q65" t="s">
        <v>251</v>
      </c>
      <c r="S65" t="s">
        <v>420</v>
      </c>
      <c r="T65" t="s">
        <v>1596</v>
      </c>
      <c r="U65">
        <v>1.804933638596E-4</v>
      </c>
      <c r="V65" t="s">
        <v>251</v>
      </c>
      <c r="X65">
        <v>1.1415525114155251E-4</v>
      </c>
      <c r="Y65">
        <v>5.6352501470966035E-5</v>
      </c>
      <c r="Z65" t="s">
        <v>1596</v>
      </c>
      <c r="AA65" t="s">
        <v>25</v>
      </c>
      <c r="AC65" t="s">
        <v>22</v>
      </c>
      <c r="AD65" t="s">
        <v>1596</v>
      </c>
      <c r="AE65">
        <v>1.5338827317375249E-4</v>
      </c>
      <c r="AG65" t="s">
        <v>97</v>
      </c>
      <c r="AH65" t="s">
        <v>1596</v>
      </c>
      <c r="AI65">
        <v>0</v>
      </c>
    </row>
    <row r="66" spans="5:35" x14ac:dyDescent="0.45">
      <c r="E66" t="s">
        <v>1269</v>
      </c>
      <c r="G66" t="s">
        <v>155</v>
      </c>
      <c r="I66" t="s">
        <v>249</v>
      </c>
      <c r="J66" t="s">
        <v>1597</v>
      </c>
      <c r="K66">
        <v>0</v>
      </c>
      <c r="L66" t="s">
        <v>251</v>
      </c>
      <c r="N66" t="s">
        <v>419</v>
      </c>
      <c r="O66" t="s">
        <v>1597</v>
      </c>
      <c r="P66">
        <v>1.4247338339159999E-4</v>
      </c>
      <c r="Q66" t="s">
        <v>251</v>
      </c>
      <c r="S66" t="s">
        <v>420</v>
      </c>
      <c r="T66" t="s">
        <v>1597</v>
      </c>
      <c r="U66">
        <v>1.665805545866E-4</v>
      </c>
      <c r="V66" t="s">
        <v>251</v>
      </c>
      <c r="X66">
        <v>1.1415525114155251E-4</v>
      </c>
      <c r="Y66">
        <v>2.9833677249334962E-5</v>
      </c>
      <c r="Z66" t="s">
        <v>1597</v>
      </c>
      <c r="AA66" t="s">
        <v>25</v>
      </c>
      <c r="AC66" t="s">
        <v>22</v>
      </c>
      <c r="AD66" t="s">
        <v>1597</v>
      </c>
      <c r="AE66">
        <v>1.5797191633717337E-4</v>
      </c>
      <c r="AG66" t="s">
        <v>97</v>
      </c>
      <c r="AH66" t="s">
        <v>1597</v>
      </c>
      <c r="AI66">
        <v>0</v>
      </c>
    </row>
    <row r="67" spans="5:35" x14ac:dyDescent="0.45">
      <c r="E67" t="s">
        <v>1270</v>
      </c>
      <c r="G67" t="s">
        <v>155</v>
      </c>
      <c r="I67" t="s">
        <v>249</v>
      </c>
      <c r="J67" t="s">
        <v>1598</v>
      </c>
      <c r="K67">
        <v>0</v>
      </c>
      <c r="L67" t="s">
        <v>251</v>
      </c>
      <c r="N67" t="s">
        <v>419</v>
      </c>
      <c r="O67" t="s">
        <v>1598</v>
      </c>
      <c r="P67">
        <v>1.536637261818E-4</v>
      </c>
      <c r="Q67" t="s">
        <v>251</v>
      </c>
      <c r="S67" t="s">
        <v>420</v>
      </c>
      <c r="T67" t="s">
        <v>1598</v>
      </c>
      <c r="U67">
        <v>1.5057959772720001E-4</v>
      </c>
      <c r="V67" t="s">
        <v>251</v>
      </c>
      <c r="X67">
        <v>1.1415525114155251E-4</v>
      </c>
      <c r="Y67">
        <v>2.1546544680075254E-5</v>
      </c>
      <c r="Z67" t="s">
        <v>1598</v>
      </c>
      <c r="AA67" t="s">
        <v>25</v>
      </c>
      <c r="AC67" t="s">
        <v>22</v>
      </c>
      <c r="AD67" t="s">
        <v>1598</v>
      </c>
      <c r="AE67">
        <v>1.5837476257294348E-4</v>
      </c>
      <c r="AG67" t="s">
        <v>97</v>
      </c>
      <c r="AH67" t="s">
        <v>1598</v>
      </c>
      <c r="AI67">
        <v>0</v>
      </c>
    </row>
    <row r="68" spans="5:35" x14ac:dyDescent="0.45">
      <c r="E68" t="s">
        <v>1271</v>
      </c>
      <c r="G68" t="s">
        <v>155</v>
      </c>
      <c r="I68" t="s">
        <v>249</v>
      </c>
      <c r="J68" t="s">
        <v>1599</v>
      </c>
      <c r="K68">
        <v>0</v>
      </c>
      <c r="L68" t="s">
        <v>251</v>
      </c>
      <c r="N68" t="s">
        <v>419</v>
      </c>
      <c r="O68" t="s">
        <v>1599</v>
      </c>
      <c r="P68">
        <v>1.6080552458870001E-4</v>
      </c>
      <c r="Q68" t="s">
        <v>251</v>
      </c>
      <c r="S68" t="s">
        <v>420</v>
      </c>
      <c r="T68" t="s">
        <v>1599</v>
      </c>
      <c r="U68">
        <v>1.358920252564E-4</v>
      </c>
      <c r="V68" t="s">
        <v>251</v>
      </c>
      <c r="X68">
        <v>1.1415525114155251E-4</v>
      </c>
      <c r="Y68">
        <v>1.4916838624667481E-5</v>
      </c>
      <c r="Z68" t="s">
        <v>1599</v>
      </c>
      <c r="AA68" t="s">
        <v>25</v>
      </c>
      <c r="AC68" t="s">
        <v>22</v>
      </c>
      <c r="AD68" t="s">
        <v>1599</v>
      </c>
      <c r="AE68">
        <v>1.5692985183590326E-4</v>
      </c>
      <c r="AG68" t="s">
        <v>97</v>
      </c>
      <c r="AH68" t="s">
        <v>1599</v>
      </c>
      <c r="AI68">
        <v>0</v>
      </c>
    </row>
    <row r="69" spans="5:35" x14ac:dyDescent="0.45">
      <c r="E69" t="s">
        <v>1272</v>
      </c>
      <c r="G69" t="s">
        <v>155</v>
      </c>
      <c r="I69" t="s">
        <v>249</v>
      </c>
      <c r="J69" t="s">
        <v>1600</v>
      </c>
      <c r="K69">
        <v>0</v>
      </c>
      <c r="L69" t="s">
        <v>251</v>
      </c>
      <c r="N69" t="s">
        <v>419</v>
      </c>
      <c r="O69" t="s">
        <v>1600</v>
      </c>
      <c r="P69">
        <v>1.623480059142E-4</v>
      </c>
      <c r="Q69" t="s">
        <v>251</v>
      </c>
      <c r="S69" t="s">
        <v>420</v>
      </c>
      <c r="T69" t="s">
        <v>1600</v>
      </c>
      <c r="U69">
        <v>1.2512292192239999E-4</v>
      </c>
      <c r="V69" t="s">
        <v>251</v>
      </c>
      <c r="X69">
        <v>1.1415525114155251E-4</v>
      </c>
      <c r="Y69">
        <v>1.6574265138519424E-5</v>
      </c>
      <c r="Z69" t="s">
        <v>1600</v>
      </c>
      <c r="AA69" t="s">
        <v>25</v>
      </c>
      <c r="AC69" t="s">
        <v>22</v>
      </c>
      <c r="AD69" t="s">
        <v>1600</v>
      </c>
      <c r="AE69">
        <v>1.5086661580918383E-4</v>
      </c>
      <c r="AG69" t="s">
        <v>97</v>
      </c>
      <c r="AH69" t="s">
        <v>1600</v>
      </c>
      <c r="AI69">
        <v>0</v>
      </c>
    </row>
    <row r="70" spans="5:35" x14ac:dyDescent="0.45">
      <c r="E70" t="s">
        <v>1273</v>
      </c>
      <c r="G70" t="s">
        <v>155</v>
      </c>
      <c r="I70" t="s">
        <v>249</v>
      </c>
      <c r="J70" t="s">
        <v>1601</v>
      </c>
      <c r="K70">
        <v>0</v>
      </c>
      <c r="L70" t="s">
        <v>251</v>
      </c>
      <c r="N70" t="s">
        <v>419</v>
      </c>
      <c r="O70" t="s">
        <v>1601</v>
      </c>
      <c r="P70">
        <v>1.5651055751080001E-4</v>
      </c>
      <c r="Q70" t="s">
        <v>251</v>
      </c>
      <c r="S70" t="s">
        <v>420</v>
      </c>
      <c r="T70" t="s">
        <v>1601</v>
      </c>
      <c r="U70">
        <v>1.1690855380749999E-4</v>
      </c>
      <c r="V70" t="s">
        <v>251</v>
      </c>
      <c r="X70">
        <v>1.1415525114155251E-4</v>
      </c>
      <c r="Y70">
        <v>1.4585353321897093E-5</v>
      </c>
      <c r="Z70" t="s">
        <v>1601</v>
      </c>
      <c r="AA70" t="s">
        <v>25</v>
      </c>
      <c r="AC70" t="s">
        <v>22</v>
      </c>
      <c r="AD70" t="s">
        <v>1601</v>
      </c>
      <c r="AE70">
        <v>1.4303699241356789E-4</v>
      </c>
      <c r="AG70" t="s">
        <v>97</v>
      </c>
      <c r="AH70" t="s">
        <v>1601</v>
      </c>
      <c r="AI70">
        <v>0</v>
      </c>
    </row>
    <row r="71" spans="5:35" x14ac:dyDescent="0.45">
      <c r="E71" t="s">
        <v>1274</v>
      </c>
      <c r="G71" t="s">
        <v>155</v>
      </c>
      <c r="I71" t="s">
        <v>249</v>
      </c>
      <c r="J71" t="s">
        <v>1602</v>
      </c>
      <c r="K71">
        <v>0</v>
      </c>
      <c r="L71" t="s">
        <v>251</v>
      </c>
      <c r="N71" t="s">
        <v>419</v>
      </c>
      <c r="O71" t="s">
        <v>1602</v>
      </c>
      <c r="P71">
        <v>1.5056926786760001E-4</v>
      </c>
      <c r="Q71" t="s">
        <v>251</v>
      </c>
      <c r="S71" t="s">
        <v>420</v>
      </c>
      <c r="T71" t="s">
        <v>1602</v>
      </c>
      <c r="U71">
        <v>1.124364642099E-4</v>
      </c>
      <c r="V71" t="s">
        <v>251</v>
      </c>
      <c r="X71">
        <v>1.1415525114155251E-4</v>
      </c>
      <c r="Y71">
        <v>2.1215059377304864E-5</v>
      </c>
      <c r="Z71" t="s">
        <v>1602</v>
      </c>
      <c r="AA71" t="s">
        <v>25</v>
      </c>
      <c r="AC71" t="s">
        <v>22</v>
      </c>
      <c r="AD71" t="s">
        <v>1602</v>
      </c>
      <c r="AE71">
        <v>1.3205529731224113E-4</v>
      </c>
      <c r="AG71" t="s">
        <v>97</v>
      </c>
      <c r="AH71" t="s">
        <v>1602</v>
      </c>
      <c r="AI71">
        <v>0</v>
      </c>
    </row>
    <row r="72" spans="5:35" x14ac:dyDescent="0.45">
      <c r="E72" t="s">
        <v>1275</v>
      </c>
      <c r="G72" t="s">
        <v>155</v>
      </c>
      <c r="I72" t="s">
        <v>249</v>
      </c>
      <c r="J72" t="s">
        <v>1603</v>
      </c>
      <c r="K72">
        <v>0</v>
      </c>
      <c r="L72" t="s">
        <v>251</v>
      </c>
      <c r="N72" t="s">
        <v>419</v>
      </c>
      <c r="O72" t="s">
        <v>1603</v>
      </c>
      <c r="P72">
        <v>1.4500386822200001E-4</v>
      </c>
      <c r="Q72" t="s">
        <v>251</v>
      </c>
      <c r="S72" t="s">
        <v>420</v>
      </c>
      <c r="T72" t="s">
        <v>1603</v>
      </c>
      <c r="U72">
        <v>1.0502695234910001E-4</v>
      </c>
      <c r="V72" t="s">
        <v>251</v>
      </c>
      <c r="X72">
        <v>1.1415525114155251E-4</v>
      </c>
      <c r="Y72">
        <v>5.7678442682047593E-5</v>
      </c>
      <c r="Z72" t="s">
        <v>1603</v>
      </c>
      <c r="AA72" t="s">
        <v>25</v>
      </c>
      <c r="AC72" t="s">
        <v>22</v>
      </c>
      <c r="AD72" t="s">
        <v>1603</v>
      </c>
      <c r="AE72">
        <v>1.2618468047904884E-4</v>
      </c>
      <c r="AG72" t="s">
        <v>97</v>
      </c>
      <c r="AH72" t="s">
        <v>1603</v>
      </c>
      <c r="AI72">
        <v>0</v>
      </c>
    </row>
    <row r="73" spans="5:35" x14ac:dyDescent="0.45">
      <c r="E73" t="s">
        <v>1276</v>
      </c>
      <c r="G73" t="s">
        <v>155</v>
      </c>
      <c r="I73" t="s">
        <v>249</v>
      </c>
      <c r="J73" t="s">
        <v>1604</v>
      </c>
      <c r="K73">
        <v>0</v>
      </c>
      <c r="L73" t="s">
        <v>251</v>
      </c>
      <c r="N73" t="s">
        <v>419</v>
      </c>
      <c r="O73" t="s">
        <v>1604</v>
      </c>
      <c r="P73">
        <v>1.459925021056E-4</v>
      </c>
      <c r="Q73" t="s">
        <v>251</v>
      </c>
      <c r="S73" t="s">
        <v>420</v>
      </c>
      <c r="T73" t="s">
        <v>1604</v>
      </c>
      <c r="U73">
        <v>9.8449079038520241E-5</v>
      </c>
      <c r="V73" t="s">
        <v>251</v>
      </c>
      <c r="X73">
        <v>1.1415525114155251E-4</v>
      </c>
      <c r="Y73">
        <v>1.6905750441289813E-4</v>
      </c>
      <c r="Z73" t="s">
        <v>1604</v>
      </c>
      <c r="AA73" t="s">
        <v>25</v>
      </c>
      <c r="AC73" t="s">
        <v>22</v>
      </c>
      <c r="AD73" t="s">
        <v>1604</v>
      </c>
      <c r="AE73">
        <v>1.1094028527498424E-4</v>
      </c>
      <c r="AG73" t="s">
        <v>97</v>
      </c>
      <c r="AH73" t="s">
        <v>1604</v>
      </c>
      <c r="AI73">
        <v>0</v>
      </c>
    </row>
    <row r="74" spans="5:35" x14ac:dyDescent="0.45">
      <c r="E74" t="s">
        <v>1277</v>
      </c>
      <c r="G74" t="s">
        <v>155</v>
      </c>
      <c r="I74" t="s">
        <v>249</v>
      </c>
      <c r="J74" t="s">
        <v>1605</v>
      </c>
      <c r="K74">
        <v>9.5528747051839036E-7</v>
      </c>
      <c r="L74" t="s">
        <v>251</v>
      </c>
      <c r="N74" t="s">
        <v>419</v>
      </c>
      <c r="O74" t="s">
        <v>1605</v>
      </c>
      <c r="P74">
        <v>1.4879353782289999E-4</v>
      </c>
      <c r="Q74" t="s">
        <v>251</v>
      </c>
      <c r="S74" t="s">
        <v>420</v>
      </c>
      <c r="T74" t="s">
        <v>1605</v>
      </c>
      <c r="U74">
        <v>8.7524680541929326E-5</v>
      </c>
      <c r="V74" t="s">
        <v>251</v>
      </c>
      <c r="X74">
        <v>1.1415525114155251E-4</v>
      </c>
      <c r="Y74">
        <v>1.9060404909297337E-4</v>
      </c>
      <c r="Z74" t="s">
        <v>1605</v>
      </c>
      <c r="AA74" t="s">
        <v>25</v>
      </c>
      <c r="AC74" t="s">
        <v>22</v>
      </c>
      <c r="AD74" t="s">
        <v>1605</v>
      </c>
      <c r="AE74">
        <v>1.0652871881492205E-4</v>
      </c>
      <c r="AG74" t="s">
        <v>97</v>
      </c>
      <c r="AH74" t="s">
        <v>1605</v>
      </c>
      <c r="AI74">
        <v>0</v>
      </c>
    </row>
    <row r="75" spans="5:35" x14ac:dyDescent="0.45">
      <c r="E75" t="s">
        <v>1278</v>
      </c>
      <c r="G75" t="s">
        <v>155</v>
      </c>
      <c r="I75" t="s">
        <v>249</v>
      </c>
      <c r="J75" t="s">
        <v>1606</v>
      </c>
      <c r="K75">
        <v>7.4522595415313532E-5</v>
      </c>
      <c r="L75" t="s">
        <v>251</v>
      </c>
      <c r="N75" t="s">
        <v>419</v>
      </c>
      <c r="O75" t="s">
        <v>1606</v>
      </c>
      <c r="P75">
        <v>1.490718911825E-4</v>
      </c>
      <c r="Q75" t="s">
        <v>251</v>
      </c>
      <c r="S75" t="s">
        <v>420</v>
      </c>
      <c r="T75" t="s">
        <v>1606</v>
      </c>
      <c r="U75">
        <v>7.4511252550082998E-5</v>
      </c>
      <c r="V75" t="s">
        <v>251</v>
      </c>
      <c r="X75">
        <v>1.1415525114155251E-4</v>
      </c>
      <c r="Y75">
        <v>1.4585353321897094E-4</v>
      </c>
      <c r="Z75" t="s">
        <v>1606</v>
      </c>
      <c r="AA75" t="s">
        <v>25</v>
      </c>
      <c r="AC75" t="s">
        <v>22</v>
      </c>
      <c r="AD75" t="s">
        <v>1606</v>
      </c>
      <c r="AE75">
        <v>1.0290550376327085E-4</v>
      </c>
      <c r="AG75" t="s">
        <v>97</v>
      </c>
      <c r="AH75" t="s">
        <v>1606</v>
      </c>
      <c r="AI75">
        <v>0</v>
      </c>
    </row>
    <row r="76" spans="5:35" x14ac:dyDescent="0.45">
      <c r="E76" t="s">
        <v>1279</v>
      </c>
      <c r="G76" t="s">
        <v>155</v>
      </c>
      <c r="I76" t="s">
        <v>249</v>
      </c>
      <c r="J76" t="s">
        <v>1607</v>
      </c>
      <c r="K76">
        <v>1.158577187446E-4</v>
      </c>
      <c r="L76" t="s">
        <v>251</v>
      </c>
      <c r="N76" t="s">
        <v>419</v>
      </c>
      <c r="O76" t="s">
        <v>1607</v>
      </c>
      <c r="P76">
        <v>1.4440954792179999E-4</v>
      </c>
      <c r="Q76" t="s">
        <v>251</v>
      </c>
      <c r="S76" t="s">
        <v>420</v>
      </c>
      <c r="T76" t="s">
        <v>1607</v>
      </c>
      <c r="U76">
        <v>5.9646228819027363E-5</v>
      </c>
      <c r="V76" t="s">
        <v>251</v>
      </c>
      <c r="X76">
        <v>1.1415525114155251E-4</v>
      </c>
      <c r="Y76">
        <v>1.4452759200788939E-4</v>
      </c>
      <c r="Z76" t="s">
        <v>1607</v>
      </c>
      <c r="AA76" t="s">
        <v>25</v>
      </c>
      <c r="AC76" t="s">
        <v>22</v>
      </c>
      <c r="AD76" t="s">
        <v>1607</v>
      </c>
      <c r="AE76">
        <v>1.0222920230123303E-4</v>
      </c>
      <c r="AG76" t="s">
        <v>97</v>
      </c>
      <c r="AH76" t="s">
        <v>1607</v>
      </c>
      <c r="AI76">
        <v>0</v>
      </c>
    </row>
    <row r="77" spans="5:35" x14ac:dyDescent="0.45">
      <c r="E77" t="s">
        <v>1280</v>
      </c>
      <c r="G77" t="s">
        <v>155</v>
      </c>
      <c r="I77" t="s">
        <v>249</v>
      </c>
      <c r="J77" t="s">
        <v>1608</v>
      </c>
      <c r="K77">
        <v>1.435537784477E-4</v>
      </c>
      <c r="L77" t="s">
        <v>251</v>
      </c>
      <c r="N77" t="s">
        <v>419</v>
      </c>
      <c r="O77" t="s">
        <v>1608</v>
      </c>
      <c r="P77">
        <v>1.3962854212990001E-4</v>
      </c>
      <c r="Q77" t="s">
        <v>251</v>
      </c>
      <c r="S77" t="s">
        <v>420</v>
      </c>
      <c r="T77" t="s">
        <v>1608</v>
      </c>
      <c r="U77">
        <v>5.202722188674982E-5</v>
      </c>
      <c r="V77" t="s">
        <v>251</v>
      </c>
      <c r="X77">
        <v>1.1415525114155251E-4</v>
      </c>
      <c r="Y77">
        <v>1.408812536774151E-4</v>
      </c>
      <c r="Z77" t="s">
        <v>1608</v>
      </c>
      <c r="AA77" t="s">
        <v>25</v>
      </c>
      <c r="AC77" t="s">
        <v>22</v>
      </c>
      <c r="AD77" t="s">
        <v>1608</v>
      </c>
      <c r="AE77">
        <v>1.0398358431873234E-4</v>
      </c>
      <c r="AG77" t="s">
        <v>97</v>
      </c>
      <c r="AH77" t="s">
        <v>1608</v>
      </c>
      <c r="AI77">
        <v>0</v>
      </c>
    </row>
    <row r="78" spans="5:35" x14ac:dyDescent="0.45">
      <c r="E78" t="s">
        <v>1281</v>
      </c>
      <c r="G78" t="s">
        <v>155</v>
      </c>
      <c r="I78" t="s">
        <v>249</v>
      </c>
      <c r="J78" t="s">
        <v>1609</v>
      </c>
      <c r="K78">
        <v>1.431717386112E-4</v>
      </c>
      <c r="L78" t="s">
        <v>251</v>
      </c>
      <c r="N78" t="s">
        <v>419</v>
      </c>
      <c r="O78" t="s">
        <v>1609</v>
      </c>
      <c r="P78">
        <v>1.3330169413849999E-4</v>
      </c>
      <c r="Q78" t="s">
        <v>251</v>
      </c>
      <c r="S78" t="s">
        <v>420</v>
      </c>
      <c r="T78" t="s">
        <v>1609</v>
      </c>
      <c r="U78">
        <v>5.1450711383886318E-5</v>
      </c>
      <c r="V78" t="s">
        <v>251</v>
      </c>
      <c r="X78">
        <v>1.1415525114155251E-4</v>
      </c>
      <c r="Y78">
        <v>1.4054976837464471E-4</v>
      </c>
      <c r="Z78" t="s">
        <v>1609</v>
      </c>
      <c r="AA78" t="s">
        <v>25</v>
      </c>
      <c r="AC78" t="s">
        <v>22</v>
      </c>
      <c r="AD78" t="s">
        <v>1609</v>
      </c>
      <c r="AE78">
        <v>1.1570534263729497E-4</v>
      </c>
      <c r="AG78" t="s">
        <v>97</v>
      </c>
      <c r="AH78" t="s">
        <v>1609</v>
      </c>
      <c r="AI78">
        <v>0</v>
      </c>
    </row>
    <row r="79" spans="5:35" x14ac:dyDescent="0.45">
      <c r="E79" t="s">
        <v>1282</v>
      </c>
      <c r="G79" t="s">
        <v>155</v>
      </c>
      <c r="I79" t="s">
        <v>249</v>
      </c>
      <c r="J79" t="s">
        <v>1610</v>
      </c>
      <c r="K79">
        <v>1.5118407435780001E-4</v>
      </c>
      <c r="L79" t="s">
        <v>251</v>
      </c>
      <c r="N79" t="s">
        <v>419</v>
      </c>
      <c r="O79" t="s">
        <v>1610</v>
      </c>
      <c r="P79">
        <v>1.2647200861080001E-4</v>
      </c>
      <c r="Q79" t="s">
        <v>251</v>
      </c>
      <c r="S79" t="s">
        <v>420</v>
      </c>
      <c r="T79" t="s">
        <v>1610</v>
      </c>
      <c r="U79">
        <v>5.7770918232637872E-5</v>
      </c>
      <c r="V79" t="s">
        <v>251</v>
      </c>
      <c r="X79">
        <v>1.1415525114155251E-4</v>
      </c>
      <c r="Y79">
        <v>1.4253868019126702E-4</v>
      </c>
      <c r="Z79" t="s">
        <v>1610</v>
      </c>
      <c r="AA79" t="s">
        <v>25</v>
      </c>
      <c r="AC79" t="s">
        <v>22</v>
      </c>
      <c r="AD79" t="s">
        <v>1610</v>
      </c>
      <c r="AE79">
        <v>1.3642764629107272E-4</v>
      </c>
      <c r="AG79" t="s">
        <v>97</v>
      </c>
      <c r="AH79" t="s">
        <v>1610</v>
      </c>
      <c r="AI79">
        <v>0</v>
      </c>
    </row>
    <row r="80" spans="5:35" x14ac:dyDescent="0.45">
      <c r="E80" t="s">
        <v>1283</v>
      </c>
      <c r="G80" t="s">
        <v>155</v>
      </c>
      <c r="I80" t="s">
        <v>249</v>
      </c>
      <c r="J80" t="s">
        <v>1611</v>
      </c>
      <c r="K80">
        <v>1.3919360715390001E-4</v>
      </c>
      <c r="L80" t="s">
        <v>251</v>
      </c>
      <c r="N80" t="s">
        <v>419</v>
      </c>
      <c r="O80" t="s">
        <v>1611</v>
      </c>
      <c r="P80">
        <v>1.2187263867519999E-4</v>
      </c>
      <c r="Q80" t="s">
        <v>251</v>
      </c>
      <c r="S80" t="s">
        <v>420</v>
      </c>
      <c r="T80" t="s">
        <v>1611</v>
      </c>
      <c r="U80">
        <v>6.5531010126812359E-5</v>
      </c>
      <c r="V80" t="s">
        <v>251</v>
      </c>
      <c r="X80">
        <v>1.1415525114155251E-4</v>
      </c>
      <c r="Y80">
        <v>1.4883690094390442E-4</v>
      </c>
      <c r="Z80" t="s">
        <v>1611</v>
      </c>
      <c r="AA80" t="s">
        <v>25</v>
      </c>
      <c r="AC80" t="s">
        <v>22</v>
      </c>
      <c r="AD80" t="s">
        <v>1611</v>
      </c>
      <c r="AE80">
        <v>1.5030556572055836E-4</v>
      </c>
      <c r="AG80" t="s">
        <v>97</v>
      </c>
      <c r="AH80" t="s">
        <v>1611</v>
      </c>
      <c r="AI80">
        <v>0</v>
      </c>
    </row>
    <row r="81" spans="5:35" x14ac:dyDescent="0.45">
      <c r="E81" t="s">
        <v>1284</v>
      </c>
      <c r="G81" t="s">
        <v>155</v>
      </c>
      <c r="I81" t="s">
        <v>249</v>
      </c>
      <c r="J81" t="s">
        <v>1612</v>
      </c>
      <c r="K81">
        <v>1.4341960119129999E-4</v>
      </c>
      <c r="L81" t="s">
        <v>251</v>
      </c>
      <c r="N81" t="s">
        <v>419</v>
      </c>
      <c r="O81" t="s">
        <v>1612</v>
      </c>
      <c r="P81">
        <v>1.191210529929E-4</v>
      </c>
      <c r="Q81" t="s">
        <v>251</v>
      </c>
      <c r="S81" t="s">
        <v>420</v>
      </c>
      <c r="T81" t="s">
        <v>1612</v>
      </c>
      <c r="U81">
        <v>7.1511087814002503E-5</v>
      </c>
      <c r="V81" t="s">
        <v>251</v>
      </c>
      <c r="X81">
        <v>1.1415525114155251E-4</v>
      </c>
      <c r="Y81">
        <v>1.5049432745775637E-4</v>
      </c>
      <c r="Z81" t="s">
        <v>1612</v>
      </c>
      <c r="AA81" t="s">
        <v>25</v>
      </c>
      <c r="AC81" t="s">
        <v>22</v>
      </c>
      <c r="AD81" t="s">
        <v>1612</v>
      </c>
      <c r="AE81">
        <v>1.5586884555798434E-4</v>
      </c>
      <c r="AG81" t="s">
        <v>97</v>
      </c>
      <c r="AH81" t="s">
        <v>1612</v>
      </c>
      <c r="AI81">
        <v>0</v>
      </c>
    </row>
    <row r="82" spans="5:35" x14ac:dyDescent="0.45">
      <c r="E82" t="s">
        <v>1285</v>
      </c>
      <c r="G82" t="s">
        <v>155</v>
      </c>
      <c r="I82" t="s">
        <v>249</v>
      </c>
      <c r="J82" t="s">
        <v>1613</v>
      </c>
      <c r="K82">
        <v>1.3521154743620001E-4</v>
      </c>
      <c r="L82" t="s">
        <v>251</v>
      </c>
      <c r="N82" t="s">
        <v>419</v>
      </c>
      <c r="O82" t="s">
        <v>1613</v>
      </c>
      <c r="P82">
        <v>1.08871956081E-4</v>
      </c>
      <c r="Q82" t="s">
        <v>251</v>
      </c>
      <c r="S82" t="s">
        <v>420</v>
      </c>
      <c r="T82" t="s">
        <v>1613</v>
      </c>
      <c r="U82">
        <v>7.5205211890709862E-5</v>
      </c>
      <c r="V82" t="s">
        <v>251</v>
      </c>
      <c r="X82">
        <v>1.1415525114155251E-4</v>
      </c>
      <c r="Y82">
        <v>1.7237235744060203E-4</v>
      </c>
      <c r="Z82" t="s">
        <v>1613</v>
      </c>
      <c r="AA82" t="s">
        <v>25</v>
      </c>
      <c r="AC82" t="s">
        <v>22</v>
      </c>
      <c r="AD82" t="s">
        <v>1613</v>
      </c>
      <c r="AE82">
        <v>1.4425433504523599E-4</v>
      </c>
      <c r="AG82" t="s">
        <v>97</v>
      </c>
      <c r="AH82" t="s">
        <v>1613</v>
      </c>
      <c r="AI82">
        <v>0</v>
      </c>
    </row>
    <row r="83" spans="5:35" x14ac:dyDescent="0.45">
      <c r="E83" t="s">
        <v>1286</v>
      </c>
      <c r="G83" t="s">
        <v>155</v>
      </c>
      <c r="I83" t="s">
        <v>249</v>
      </c>
      <c r="J83" t="s">
        <v>1614</v>
      </c>
      <c r="K83">
        <v>1.075368598439E-4</v>
      </c>
      <c r="L83" t="s">
        <v>251</v>
      </c>
      <c r="N83" t="s">
        <v>419</v>
      </c>
      <c r="O83" t="s">
        <v>1614</v>
      </c>
      <c r="P83">
        <v>1.0762435884370001E-4</v>
      </c>
      <c r="Q83" t="s">
        <v>251</v>
      </c>
      <c r="S83" t="s">
        <v>420</v>
      </c>
      <c r="T83" t="s">
        <v>1614</v>
      </c>
      <c r="U83">
        <v>7.4938967583647353E-5</v>
      </c>
      <c r="V83" t="s">
        <v>251</v>
      </c>
      <c r="X83">
        <v>1.1415525114155251E-4</v>
      </c>
      <c r="Y83">
        <v>2.2209515285616027E-4</v>
      </c>
      <c r="Z83" t="s">
        <v>1614</v>
      </c>
      <c r="AA83" t="s">
        <v>25</v>
      </c>
      <c r="AC83" t="s">
        <v>22</v>
      </c>
      <c r="AD83" t="s">
        <v>1614</v>
      </c>
      <c r="AE83">
        <v>1.4240791200035874E-4</v>
      </c>
      <c r="AG83" t="s">
        <v>97</v>
      </c>
      <c r="AH83" t="s">
        <v>1614</v>
      </c>
      <c r="AI83">
        <v>0</v>
      </c>
    </row>
    <row r="84" spans="5:35" x14ac:dyDescent="0.45">
      <c r="E84" t="s">
        <v>1287</v>
      </c>
      <c r="G84" t="s">
        <v>155</v>
      </c>
      <c r="I84" t="s">
        <v>249</v>
      </c>
      <c r="J84" t="s">
        <v>1615</v>
      </c>
      <c r="K84">
        <v>6.7973264898094841E-5</v>
      </c>
      <c r="L84" t="s">
        <v>251</v>
      </c>
      <c r="N84" t="s">
        <v>419</v>
      </c>
      <c r="O84" t="s">
        <v>1615</v>
      </c>
      <c r="P84">
        <v>1.187302651892E-4</v>
      </c>
      <c r="Q84" t="s">
        <v>251</v>
      </c>
      <c r="S84" t="s">
        <v>420</v>
      </c>
      <c r="T84" t="s">
        <v>1615</v>
      </c>
      <c r="U84">
        <v>6.5692271583684883E-5</v>
      </c>
      <c r="V84" t="s">
        <v>251</v>
      </c>
      <c r="X84">
        <v>1.1415525114155251E-4</v>
      </c>
      <c r="Y84">
        <v>2.2209515285616027E-4</v>
      </c>
      <c r="Z84" t="s">
        <v>1615</v>
      </c>
      <c r="AA84" t="s">
        <v>25</v>
      </c>
      <c r="AC84" t="s">
        <v>22</v>
      </c>
      <c r="AD84" t="s">
        <v>1615</v>
      </c>
      <c r="AE84">
        <v>1.4557305619981311E-4</v>
      </c>
      <c r="AG84" t="s">
        <v>97</v>
      </c>
      <c r="AH84" t="s">
        <v>1615</v>
      </c>
      <c r="AI84">
        <v>0</v>
      </c>
    </row>
    <row r="85" spans="5:35" x14ac:dyDescent="0.45">
      <c r="E85" t="s">
        <v>1288</v>
      </c>
      <c r="G85" t="s">
        <v>155</v>
      </c>
      <c r="I85" t="s">
        <v>249</v>
      </c>
      <c r="J85" t="s">
        <v>1616</v>
      </c>
      <c r="K85">
        <v>7.2000304392057395E-7</v>
      </c>
      <c r="L85" t="s">
        <v>251</v>
      </c>
      <c r="N85" t="s">
        <v>419</v>
      </c>
      <c r="O85" t="s">
        <v>1616</v>
      </c>
      <c r="P85">
        <v>1.217836527827E-4</v>
      </c>
      <c r="Q85" t="s">
        <v>251</v>
      </c>
      <c r="S85" t="s">
        <v>420</v>
      </c>
      <c r="T85" t="s">
        <v>1616</v>
      </c>
      <c r="U85">
        <v>7.2243343726333359E-5</v>
      </c>
      <c r="V85" t="s">
        <v>251</v>
      </c>
      <c r="X85">
        <v>1.1415525114155251E-4</v>
      </c>
      <c r="Y85">
        <v>1.7237235744060203E-4</v>
      </c>
      <c r="Z85" t="s">
        <v>1616</v>
      </c>
      <c r="AA85" t="s">
        <v>25</v>
      </c>
      <c r="AC85" t="s">
        <v>22</v>
      </c>
      <c r="AD85" t="s">
        <v>1616</v>
      </c>
      <c r="AE85">
        <v>1.4685656165695869E-4</v>
      </c>
      <c r="AG85" t="s">
        <v>97</v>
      </c>
      <c r="AH85" t="s">
        <v>1616</v>
      </c>
      <c r="AI85">
        <v>0</v>
      </c>
    </row>
    <row r="86" spans="5:35" x14ac:dyDescent="0.45">
      <c r="E86" t="s">
        <v>1289</v>
      </c>
      <c r="G86" t="s">
        <v>155</v>
      </c>
      <c r="I86" t="s">
        <v>249</v>
      </c>
      <c r="J86" t="s">
        <v>1617</v>
      </c>
      <c r="K86">
        <v>0</v>
      </c>
      <c r="L86" t="s">
        <v>251</v>
      </c>
      <c r="N86" t="s">
        <v>419</v>
      </c>
      <c r="O86" t="s">
        <v>1617</v>
      </c>
      <c r="P86">
        <v>1.149054744209E-4</v>
      </c>
      <c r="Q86" t="s">
        <v>251</v>
      </c>
      <c r="S86" t="s">
        <v>420</v>
      </c>
      <c r="T86" t="s">
        <v>1617</v>
      </c>
      <c r="U86">
        <v>7.5720882924776138E-5</v>
      </c>
      <c r="V86" t="s">
        <v>251</v>
      </c>
      <c r="X86">
        <v>1.1415525114155251E-4</v>
      </c>
      <c r="Y86">
        <v>1.5579809230208258E-4</v>
      </c>
      <c r="Z86" t="s">
        <v>1617</v>
      </c>
      <c r="AA86" t="s">
        <v>25</v>
      </c>
      <c r="AC86" t="s">
        <v>22</v>
      </c>
      <c r="AD86" t="s">
        <v>1617</v>
      </c>
      <c r="AE86">
        <v>1.4736372105709038E-4</v>
      </c>
      <c r="AG86" t="s">
        <v>97</v>
      </c>
      <c r="AH86" t="s">
        <v>1617</v>
      </c>
      <c r="AI86">
        <v>0</v>
      </c>
    </row>
    <row r="87" spans="5:35" x14ac:dyDescent="0.45">
      <c r="E87" t="s">
        <v>1290</v>
      </c>
      <c r="G87" t="s">
        <v>155</v>
      </c>
      <c r="I87" t="s">
        <v>249</v>
      </c>
      <c r="J87" t="s">
        <v>1618</v>
      </c>
      <c r="K87">
        <v>0</v>
      </c>
      <c r="L87" t="s">
        <v>251</v>
      </c>
      <c r="N87" t="s">
        <v>419</v>
      </c>
      <c r="O87" t="s">
        <v>1618</v>
      </c>
      <c r="P87">
        <v>1.07277001821E-4</v>
      </c>
      <c r="Q87" t="s">
        <v>251</v>
      </c>
      <c r="S87" t="s">
        <v>420</v>
      </c>
      <c r="T87" t="s">
        <v>1618</v>
      </c>
      <c r="U87">
        <v>7.7813903017072774E-5</v>
      </c>
      <c r="V87" t="s">
        <v>251</v>
      </c>
      <c r="X87">
        <v>1.1415525114155251E-4</v>
      </c>
      <c r="Y87">
        <v>1.093901499142282E-4</v>
      </c>
      <c r="Z87" t="s">
        <v>1618</v>
      </c>
      <c r="AA87" t="s">
        <v>25</v>
      </c>
      <c r="AC87" t="s">
        <v>22</v>
      </c>
      <c r="AD87" t="s">
        <v>1618</v>
      </c>
      <c r="AE87">
        <v>1.4793090721420776E-4</v>
      </c>
      <c r="AG87" t="s">
        <v>97</v>
      </c>
      <c r="AH87" t="s">
        <v>1618</v>
      </c>
      <c r="AI87">
        <v>0</v>
      </c>
    </row>
    <row r="88" spans="5:35" x14ac:dyDescent="0.45">
      <c r="E88" t="s">
        <v>1291</v>
      </c>
      <c r="G88" t="s">
        <v>155</v>
      </c>
      <c r="I88" t="s">
        <v>249</v>
      </c>
      <c r="J88" t="s">
        <v>1619</v>
      </c>
      <c r="K88">
        <v>0</v>
      </c>
      <c r="L88" t="s">
        <v>251</v>
      </c>
      <c r="N88" t="s">
        <v>419</v>
      </c>
      <c r="O88" t="s">
        <v>1619</v>
      </c>
      <c r="P88">
        <v>1.0674755916150001E-4</v>
      </c>
      <c r="Q88" t="s">
        <v>251</v>
      </c>
      <c r="S88" t="s">
        <v>420</v>
      </c>
      <c r="T88" t="s">
        <v>1619</v>
      </c>
      <c r="U88">
        <v>7.9920188013883088E-5</v>
      </c>
      <c r="V88" t="s">
        <v>251</v>
      </c>
      <c r="X88">
        <v>1.1415525114155251E-4</v>
      </c>
      <c r="Y88">
        <v>7.9556472664893237E-5</v>
      </c>
      <c r="Z88" t="s">
        <v>1619</v>
      </c>
      <c r="AA88" t="s">
        <v>25</v>
      </c>
      <c r="AC88" t="s">
        <v>22</v>
      </c>
      <c r="AD88" t="s">
        <v>1619</v>
      </c>
      <c r="AE88">
        <v>1.490740834528003E-4</v>
      </c>
      <c r="AG88" t="s">
        <v>97</v>
      </c>
      <c r="AH88" t="s">
        <v>1619</v>
      </c>
      <c r="AI88">
        <v>0</v>
      </c>
    </row>
    <row r="89" spans="5:35" x14ac:dyDescent="0.45">
      <c r="E89" t="s">
        <v>1292</v>
      </c>
      <c r="G89" t="s">
        <v>155</v>
      </c>
      <c r="I89" t="s">
        <v>249</v>
      </c>
      <c r="J89" t="s">
        <v>1620</v>
      </c>
      <c r="K89">
        <v>0</v>
      </c>
      <c r="L89" t="s">
        <v>251</v>
      </c>
      <c r="N89" t="s">
        <v>419</v>
      </c>
      <c r="O89" t="s">
        <v>1620</v>
      </c>
      <c r="P89">
        <v>1.112962820821E-4</v>
      </c>
      <c r="Q89" t="s">
        <v>251</v>
      </c>
      <c r="S89" t="s">
        <v>420</v>
      </c>
      <c r="T89" t="s">
        <v>1620</v>
      </c>
      <c r="U89">
        <v>8.3977169393242135E-5</v>
      </c>
      <c r="V89" t="s">
        <v>251</v>
      </c>
      <c r="X89">
        <v>1.1415525114155251E-4</v>
      </c>
      <c r="Y89">
        <v>5.6352501470966035E-5</v>
      </c>
      <c r="Z89" t="s">
        <v>1620</v>
      </c>
      <c r="AA89" t="s">
        <v>25</v>
      </c>
      <c r="AC89" t="s">
        <v>22</v>
      </c>
      <c r="AD89" t="s">
        <v>1620</v>
      </c>
      <c r="AE89">
        <v>1.5332717927442045E-4</v>
      </c>
      <c r="AG89" t="s">
        <v>97</v>
      </c>
      <c r="AH89" t="s">
        <v>1620</v>
      </c>
      <c r="AI89">
        <v>0</v>
      </c>
    </row>
    <row r="90" spans="5:35" x14ac:dyDescent="0.45">
      <c r="E90" t="s">
        <v>1293</v>
      </c>
      <c r="G90" t="s">
        <v>155</v>
      </c>
      <c r="I90" t="s">
        <v>249</v>
      </c>
      <c r="J90" t="s">
        <v>1621</v>
      </c>
      <c r="K90">
        <v>0</v>
      </c>
      <c r="L90" t="s">
        <v>251</v>
      </c>
      <c r="N90" t="s">
        <v>419</v>
      </c>
      <c r="O90" t="s">
        <v>1621</v>
      </c>
      <c r="P90">
        <v>1.139074045641E-4</v>
      </c>
      <c r="Q90" t="s">
        <v>251</v>
      </c>
      <c r="S90" t="s">
        <v>420</v>
      </c>
      <c r="T90" t="s">
        <v>1621</v>
      </c>
      <c r="U90">
        <v>9.0021009835120847E-5</v>
      </c>
      <c r="V90" t="s">
        <v>251</v>
      </c>
      <c r="X90">
        <v>1.1415525114155251E-4</v>
      </c>
      <c r="Y90">
        <v>2.9833677249334962E-5</v>
      </c>
      <c r="Z90" t="s">
        <v>1621</v>
      </c>
      <c r="AA90" t="s">
        <v>25</v>
      </c>
      <c r="AC90" t="s">
        <v>22</v>
      </c>
      <c r="AD90" t="s">
        <v>1621</v>
      </c>
      <c r="AE90">
        <v>1.5782304997984909E-4</v>
      </c>
      <c r="AG90" t="s">
        <v>97</v>
      </c>
      <c r="AH90" t="s">
        <v>1621</v>
      </c>
      <c r="AI90">
        <v>0</v>
      </c>
    </row>
    <row r="91" spans="5:35" x14ac:dyDescent="0.45">
      <c r="E91" t="s">
        <v>1294</v>
      </c>
      <c r="G91" t="s">
        <v>155</v>
      </c>
      <c r="I91" t="s">
        <v>249</v>
      </c>
      <c r="J91" t="s">
        <v>1622</v>
      </c>
      <c r="K91">
        <v>0</v>
      </c>
      <c r="L91" t="s">
        <v>251</v>
      </c>
      <c r="N91" t="s">
        <v>419</v>
      </c>
      <c r="O91" t="s">
        <v>1622</v>
      </c>
      <c r="P91">
        <v>1.1867350815469999E-4</v>
      </c>
      <c r="Q91" t="s">
        <v>251</v>
      </c>
      <c r="S91" t="s">
        <v>420</v>
      </c>
      <c r="T91" t="s">
        <v>1622</v>
      </c>
      <c r="U91">
        <v>9.7163210093876315E-5</v>
      </c>
      <c r="V91" t="s">
        <v>251</v>
      </c>
      <c r="X91">
        <v>1.1415525114155251E-4</v>
      </c>
      <c r="Y91">
        <v>2.1546544680075254E-5</v>
      </c>
      <c r="Z91" t="s">
        <v>1622</v>
      </c>
      <c r="AA91" t="s">
        <v>25</v>
      </c>
      <c r="AC91" t="s">
        <v>22</v>
      </c>
      <c r="AD91" t="s">
        <v>1622</v>
      </c>
      <c r="AE91">
        <v>1.5822589621561917E-4</v>
      </c>
      <c r="AG91" t="s">
        <v>97</v>
      </c>
      <c r="AH91" t="s">
        <v>1622</v>
      </c>
      <c r="AI91">
        <v>0</v>
      </c>
    </row>
    <row r="92" spans="5:35" x14ac:dyDescent="0.45">
      <c r="E92" t="s">
        <v>1295</v>
      </c>
      <c r="G92" t="s">
        <v>155</v>
      </c>
      <c r="I92" t="s">
        <v>249</v>
      </c>
      <c r="J92" t="s">
        <v>1623</v>
      </c>
      <c r="K92">
        <v>0</v>
      </c>
      <c r="L92" t="s">
        <v>251</v>
      </c>
      <c r="N92" t="s">
        <v>419</v>
      </c>
      <c r="O92" t="s">
        <v>1623</v>
      </c>
      <c r="P92">
        <v>1.219581618206E-4</v>
      </c>
      <c r="Q92" t="s">
        <v>251</v>
      </c>
      <c r="S92" t="s">
        <v>420</v>
      </c>
      <c r="T92" t="s">
        <v>1623</v>
      </c>
      <c r="U92">
        <v>1.0282697233680001E-4</v>
      </c>
      <c r="V92" t="s">
        <v>251</v>
      </c>
      <c r="X92">
        <v>1.1415525114155251E-4</v>
      </c>
      <c r="Y92">
        <v>1.4916838624667481E-5</v>
      </c>
      <c r="Z92" t="s">
        <v>1623</v>
      </c>
      <c r="AA92" t="s">
        <v>25</v>
      </c>
      <c r="AC92" t="s">
        <v>22</v>
      </c>
      <c r="AD92" t="s">
        <v>1623</v>
      </c>
      <c r="AE92">
        <v>1.5726973667323508E-4</v>
      </c>
      <c r="AG92" t="s">
        <v>97</v>
      </c>
      <c r="AH92" t="s">
        <v>1623</v>
      </c>
      <c r="AI92">
        <v>0</v>
      </c>
    </row>
    <row r="93" spans="5:35" x14ac:dyDescent="0.45">
      <c r="E93" t="s">
        <v>1296</v>
      </c>
      <c r="G93" t="s">
        <v>155</v>
      </c>
      <c r="I93" t="s">
        <v>249</v>
      </c>
      <c r="J93" t="s">
        <v>1624</v>
      </c>
      <c r="K93">
        <v>0</v>
      </c>
      <c r="L93" t="s">
        <v>251</v>
      </c>
      <c r="N93" t="s">
        <v>419</v>
      </c>
      <c r="O93" t="s">
        <v>1624</v>
      </c>
      <c r="P93">
        <v>1.2386004761510001E-4</v>
      </c>
      <c r="Q93" t="s">
        <v>251</v>
      </c>
      <c r="S93" t="s">
        <v>420</v>
      </c>
      <c r="T93" t="s">
        <v>1624</v>
      </c>
      <c r="U93">
        <v>1.0695817702300001E-4</v>
      </c>
      <c r="V93" t="s">
        <v>251</v>
      </c>
      <c r="X93">
        <v>1.1415525114155251E-4</v>
      </c>
      <c r="Y93">
        <v>1.6574265138519424E-5</v>
      </c>
      <c r="Z93" t="s">
        <v>1624</v>
      </c>
      <c r="AA93" t="s">
        <v>25</v>
      </c>
      <c r="AC93" t="s">
        <v>22</v>
      </c>
      <c r="AD93" t="s">
        <v>1624</v>
      </c>
      <c r="AE93">
        <v>1.508159265477293E-4</v>
      </c>
      <c r="AG93" t="s">
        <v>97</v>
      </c>
      <c r="AH93" t="s">
        <v>1624</v>
      </c>
      <c r="AI93">
        <v>0</v>
      </c>
    </row>
    <row r="94" spans="5:35" x14ac:dyDescent="0.45">
      <c r="E94" t="s">
        <v>1297</v>
      </c>
      <c r="G94" t="s">
        <v>155</v>
      </c>
      <c r="I94" t="s">
        <v>249</v>
      </c>
      <c r="J94" t="s">
        <v>1625</v>
      </c>
      <c r="K94">
        <v>0</v>
      </c>
      <c r="L94" t="s">
        <v>251</v>
      </c>
      <c r="N94" t="s">
        <v>419</v>
      </c>
      <c r="O94" t="s">
        <v>1625</v>
      </c>
      <c r="P94">
        <v>1.3282717727669999E-4</v>
      </c>
      <c r="Q94" t="s">
        <v>251</v>
      </c>
      <c r="S94" t="s">
        <v>420</v>
      </c>
      <c r="T94" t="s">
        <v>1625</v>
      </c>
      <c r="U94">
        <v>1.048076243594E-4</v>
      </c>
      <c r="V94" t="s">
        <v>251</v>
      </c>
      <c r="X94">
        <v>1.1415525114155251E-4</v>
      </c>
      <c r="Y94">
        <v>1.4585353321897093E-5</v>
      </c>
      <c r="Z94" t="s">
        <v>1625</v>
      </c>
      <c r="AA94" t="s">
        <v>25</v>
      </c>
      <c r="AC94" t="s">
        <v>22</v>
      </c>
      <c r="AD94" t="s">
        <v>1625</v>
      </c>
      <c r="AE94">
        <v>1.4300391100082913E-4</v>
      </c>
      <c r="AG94" t="s">
        <v>97</v>
      </c>
      <c r="AH94" t="s">
        <v>1625</v>
      </c>
      <c r="AI94">
        <v>0</v>
      </c>
    </row>
    <row r="95" spans="5:35" x14ac:dyDescent="0.45">
      <c r="E95" t="s">
        <v>1298</v>
      </c>
      <c r="G95" t="s">
        <v>155</v>
      </c>
      <c r="I95" t="s">
        <v>249</v>
      </c>
      <c r="J95" t="s">
        <v>1626</v>
      </c>
      <c r="K95">
        <v>0</v>
      </c>
      <c r="L95" t="s">
        <v>251</v>
      </c>
      <c r="N95" t="s">
        <v>419</v>
      </c>
      <c r="O95" t="s">
        <v>1626</v>
      </c>
      <c r="P95">
        <v>1.2449225764330001E-4</v>
      </c>
      <c r="Q95" t="s">
        <v>251</v>
      </c>
      <c r="S95" t="s">
        <v>420</v>
      </c>
      <c r="T95" t="s">
        <v>1626</v>
      </c>
      <c r="U95">
        <v>1.01593990115E-4</v>
      </c>
      <c r="V95" t="s">
        <v>251</v>
      </c>
      <c r="X95">
        <v>1.1415525114155251E-4</v>
      </c>
      <c r="Y95">
        <v>2.1215059377304864E-5</v>
      </c>
      <c r="Z95" t="s">
        <v>1626</v>
      </c>
      <c r="AA95" t="s">
        <v>25</v>
      </c>
      <c r="AC95" t="s">
        <v>22</v>
      </c>
      <c r="AD95" t="s">
        <v>1626</v>
      </c>
      <c r="AE95">
        <v>1.317303524677591E-4</v>
      </c>
      <c r="AG95" t="s">
        <v>97</v>
      </c>
      <c r="AH95" t="s">
        <v>1626</v>
      </c>
      <c r="AI95">
        <v>0</v>
      </c>
    </row>
    <row r="96" spans="5:35" x14ac:dyDescent="0.45">
      <c r="E96" t="s">
        <v>1299</v>
      </c>
      <c r="G96" t="s">
        <v>155</v>
      </c>
      <c r="I96" t="s">
        <v>249</v>
      </c>
      <c r="J96" t="s">
        <v>1627</v>
      </c>
      <c r="K96">
        <v>0</v>
      </c>
      <c r="L96" t="s">
        <v>251</v>
      </c>
      <c r="N96" t="s">
        <v>419</v>
      </c>
      <c r="O96" t="s">
        <v>1627</v>
      </c>
      <c r="P96">
        <v>1.133600601699E-4</v>
      </c>
      <c r="Q96" t="s">
        <v>251</v>
      </c>
      <c r="S96" t="s">
        <v>420</v>
      </c>
      <c r="T96" t="s">
        <v>1627</v>
      </c>
      <c r="U96">
        <v>9.785766616452294E-5</v>
      </c>
      <c r="V96" t="s">
        <v>251</v>
      </c>
      <c r="X96">
        <v>1.1415525114155251E-4</v>
      </c>
      <c r="Y96">
        <v>5.7678442682047593E-5</v>
      </c>
      <c r="Z96" t="s">
        <v>1627</v>
      </c>
      <c r="AA96" t="s">
        <v>25</v>
      </c>
      <c r="AC96" t="s">
        <v>22</v>
      </c>
      <c r="AD96" t="s">
        <v>1627</v>
      </c>
      <c r="AE96">
        <v>1.2535604444706086E-4</v>
      </c>
      <c r="AG96" t="s">
        <v>97</v>
      </c>
      <c r="AH96" t="s">
        <v>1627</v>
      </c>
      <c r="AI96">
        <v>0</v>
      </c>
    </row>
    <row r="97" spans="5:35" x14ac:dyDescent="0.45">
      <c r="E97" t="s">
        <v>1300</v>
      </c>
      <c r="G97" t="s">
        <v>155</v>
      </c>
      <c r="I97" t="s">
        <v>249</v>
      </c>
      <c r="J97" t="s">
        <v>1628</v>
      </c>
      <c r="K97">
        <v>0</v>
      </c>
      <c r="L97" t="s">
        <v>251</v>
      </c>
      <c r="N97" t="s">
        <v>419</v>
      </c>
      <c r="O97" t="s">
        <v>1628</v>
      </c>
      <c r="P97">
        <v>9.9197720507093623E-5</v>
      </c>
      <c r="Q97" t="s">
        <v>251</v>
      </c>
      <c r="S97" t="s">
        <v>420</v>
      </c>
      <c r="T97" t="s">
        <v>1628</v>
      </c>
      <c r="U97">
        <v>9.6460708184292304E-5</v>
      </c>
      <c r="V97" t="s">
        <v>251</v>
      </c>
      <c r="X97">
        <v>1.1415525114155251E-4</v>
      </c>
      <c r="Y97">
        <v>1.6905750441289813E-4</v>
      </c>
      <c r="Z97" t="s">
        <v>1628</v>
      </c>
      <c r="AA97" t="s">
        <v>25</v>
      </c>
      <c r="AC97" t="s">
        <v>22</v>
      </c>
      <c r="AD97" t="s">
        <v>1628</v>
      </c>
      <c r="AE97">
        <v>1.1048915084803906E-4</v>
      </c>
      <c r="AG97" t="s">
        <v>97</v>
      </c>
      <c r="AH97" t="s">
        <v>1628</v>
      </c>
      <c r="AI97">
        <v>0</v>
      </c>
    </row>
    <row r="98" spans="5:35" x14ac:dyDescent="0.45">
      <c r="E98" t="s">
        <v>1301</v>
      </c>
      <c r="G98" t="s">
        <v>155</v>
      </c>
      <c r="I98" t="s">
        <v>249</v>
      </c>
      <c r="J98" t="s">
        <v>1629</v>
      </c>
      <c r="K98">
        <v>2.099393564358309E-6</v>
      </c>
      <c r="L98" t="s">
        <v>251</v>
      </c>
      <c r="N98" t="s">
        <v>419</v>
      </c>
      <c r="O98" t="s">
        <v>1629</v>
      </c>
      <c r="P98">
        <v>8.8018747797604597E-5</v>
      </c>
      <c r="Q98" t="s">
        <v>251</v>
      </c>
      <c r="S98" t="s">
        <v>420</v>
      </c>
      <c r="T98" t="s">
        <v>1629</v>
      </c>
      <c r="U98">
        <v>9.1659158974463094E-5</v>
      </c>
      <c r="V98" t="s">
        <v>251</v>
      </c>
      <c r="X98">
        <v>1.1415525114155251E-4</v>
      </c>
      <c r="Y98">
        <v>1.9060404909297337E-4</v>
      </c>
      <c r="Z98" t="s">
        <v>1629</v>
      </c>
      <c r="AA98" t="s">
        <v>25</v>
      </c>
      <c r="AC98" t="s">
        <v>22</v>
      </c>
      <c r="AD98" t="s">
        <v>1629</v>
      </c>
      <c r="AE98">
        <v>1.0566086530170349E-4</v>
      </c>
      <c r="AG98" t="s">
        <v>97</v>
      </c>
      <c r="AH98" t="s">
        <v>1629</v>
      </c>
      <c r="AI98">
        <v>0</v>
      </c>
    </row>
    <row r="99" spans="5:35" x14ac:dyDescent="0.45">
      <c r="E99" t="s">
        <v>1302</v>
      </c>
      <c r="G99" t="s">
        <v>155</v>
      </c>
      <c r="I99" t="s">
        <v>249</v>
      </c>
      <c r="J99" t="s">
        <v>1630</v>
      </c>
      <c r="K99">
        <v>7.3864937077296899E-5</v>
      </c>
      <c r="L99" t="s">
        <v>251</v>
      </c>
      <c r="N99" t="s">
        <v>419</v>
      </c>
      <c r="O99" t="s">
        <v>1630</v>
      </c>
      <c r="P99">
        <v>7.3008271415756586E-5</v>
      </c>
      <c r="Q99" t="s">
        <v>251</v>
      </c>
      <c r="S99" t="s">
        <v>420</v>
      </c>
      <c r="T99" t="s">
        <v>1630</v>
      </c>
      <c r="U99">
        <v>8.3658787171954848E-5</v>
      </c>
      <c r="V99" t="s">
        <v>251</v>
      </c>
      <c r="X99">
        <v>1.1415525114155251E-4</v>
      </c>
      <c r="Y99">
        <v>1.4585353321897094E-4</v>
      </c>
      <c r="Z99" t="s">
        <v>1630</v>
      </c>
      <c r="AA99" t="s">
        <v>25</v>
      </c>
      <c r="AC99" t="s">
        <v>22</v>
      </c>
      <c r="AD99" t="s">
        <v>1630</v>
      </c>
      <c r="AE99">
        <v>1.018138171428926E-4</v>
      </c>
      <c r="AG99" t="s">
        <v>97</v>
      </c>
      <c r="AH99" t="s">
        <v>1630</v>
      </c>
      <c r="AI99">
        <v>0</v>
      </c>
    </row>
    <row r="100" spans="5:35" x14ac:dyDescent="0.45">
      <c r="E100" t="s">
        <v>1303</v>
      </c>
      <c r="G100" t="s">
        <v>155</v>
      </c>
      <c r="I100" t="s">
        <v>249</v>
      </c>
      <c r="J100" t="s">
        <v>1631</v>
      </c>
      <c r="K100">
        <v>1.3070858933130001E-4</v>
      </c>
      <c r="L100" t="s">
        <v>251</v>
      </c>
      <c r="N100" t="s">
        <v>419</v>
      </c>
      <c r="O100" t="s">
        <v>1631</v>
      </c>
      <c r="P100">
        <v>5.328111293577255E-5</v>
      </c>
      <c r="Q100" t="s">
        <v>251</v>
      </c>
      <c r="S100" t="s">
        <v>420</v>
      </c>
      <c r="T100" t="s">
        <v>1631</v>
      </c>
      <c r="U100">
        <v>7.4333144950191737E-5</v>
      </c>
      <c r="V100" t="s">
        <v>251</v>
      </c>
      <c r="X100">
        <v>1.1415525114155251E-4</v>
      </c>
      <c r="Y100">
        <v>1.4452759200788939E-4</v>
      </c>
      <c r="Z100" t="s">
        <v>1631</v>
      </c>
      <c r="AA100" t="s">
        <v>25</v>
      </c>
      <c r="AC100" t="s">
        <v>22</v>
      </c>
      <c r="AD100" t="s">
        <v>1631</v>
      </c>
      <c r="AE100">
        <v>1.0113751568085479E-4</v>
      </c>
      <c r="AG100" t="s">
        <v>97</v>
      </c>
      <c r="AH100" t="s">
        <v>1631</v>
      </c>
      <c r="AI100">
        <v>0</v>
      </c>
    </row>
    <row r="101" spans="5:35" x14ac:dyDescent="0.45">
      <c r="E101" t="s">
        <v>1304</v>
      </c>
      <c r="G101" t="s">
        <v>155</v>
      </c>
      <c r="I101" t="s">
        <v>249</v>
      </c>
      <c r="J101" t="s">
        <v>1632</v>
      </c>
      <c r="K101">
        <v>1.6908211423220001E-4</v>
      </c>
      <c r="L101" t="s">
        <v>251</v>
      </c>
      <c r="N101" t="s">
        <v>419</v>
      </c>
      <c r="O101" t="s">
        <v>1632</v>
      </c>
      <c r="P101">
        <v>3.9022519108259708E-5</v>
      </c>
      <c r="Q101" t="s">
        <v>251</v>
      </c>
      <c r="S101" t="s">
        <v>420</v>
      </c>
      <c r="T101" t="s">
        <v>1632</v>
      </c>
      <c r="U101">
        <v>6.0867114877356656E-5</v>
      </c>
      <c r="V101" t="s">
        <v>251</v>
      </c>
      <c r="X101">
        <v>1.1415525114155251E-4</v>
      </c>
      <c r="Y101">
        <v>1.408812536774151E-4</v>
      </c>
      <c r="Z101" t="s">
        <v>1632</v>
      </c>
      <c r="AA101" t="s">
        <v>25</v>
      </c>
      <c r="AC101" t="s">
        <v>22</v>
      </c>
      <c r="AD101" t="s">
        <v>1632</v>
      </c>
      <c r="AE101">
        <v>1.0207019809161781E-4</v>
      </c>
      <c r="AG101" t="s">
        <v>97</v>
      </c>
      <c r="AH101" t="s">
        <v>1632</v>
      </c>
      <c r="AI101">
        <v>0</v>
      </c>
    </row>
    <row r="102" spans="5:35" x14ac:dyDescent="0.45">
      <c r="E102" t="s">
        <v>1305</v>
      </c>
      <c r="G102" t="s">
        <v>155</v>
      </c>
      <c r="I102" t="s">
        <v>249</v>
      </c>
      <c r="J102" t="s">
        <v>1633</v>
      </c>
      <c r="K102">
        <v>1.9801018784840001E-4</v>
      </c>
      <c r="L102" t="s">
        <v>251</v>
      </c>
      <c r="N102" t="s">
        <v>419</v>
      </c>
      <c r="O102" t="s">
        <v>1633</v>
      </c>
      <c r="P102">
        <v>3.3981935563518704E-5</v>
      </c>
      <c r="Q102" t="s">
        <v>251</v>
      </c>
      <c r="S102" t="s">
        <v>420</v>
      </c>
      <c r="T102" t="s">
        <v>1633</v>
      </c>
      <c r="U102">
        <v>4.8315114985726013E-5</v>
      </c>
      <c r="V102" t="s">
        <v>251</v>
      </c>
      <c r="X102">
        <v>1.1415525114155251E-4</v>
      </c>
      <c r="Y102">
        <v>1.4054976837464471E-4</v>
      </c>
      <c r="Z102" t="s">
        <v>1633</v>
      </c>
      <c r="AA102" t="s">
        <v>25</v>
      </c>
      <c r="AC102" t="s">
        <v>22</v>
      </c>
      <c r="AD102" t="s">
        <v>1633</v>
      </c>
      <c r="AE102">
        <v>1.139568299027009E-4</v>
      </c>
      <c r="AG102" t="s">
        <v>97</v>
      </c>
      <c r="AH102" t="s">
        <v>1633</v>
      </c>
      <c r="AI102">
        <v>0</v>
      </c>
    </row>
    <row r="103" spans="5:35" x14ac:dyDescent="0.45">
      <c r="E103" t="s">
        <v>1306</v>
      </c>
      <c r="G103" t="s">
        <v>155</v>
      </c>
      <c r="I103" t="s">
        <v>249</v>
      </c>
      <c r="J103" t="s">
        <v>1634</v>
      </c>
      <c r="K103">
        <v>1.7709552107020001E-4</v>
      </c>
      <c r="L103" t="s">
        <v>251</v>
      </c>
      <c r="N103" t="s">
        <v>419</v>
      </c>
      <c r="O103" t="s">
        <v>1634</v>
      </c>
      <c r="P103">
        <v>3.0005436273569376E-5</v>
      </c>
      <c r="Q103" t="s">
        <v>251</v>
      </c>
      <c r="S103" t="s">
        <v>420</v>
      </c>
      <c r="T103" t="s">
        <v>1634</v>
      </c>
      <c r="U103">
        <v>4.0008221816820161E-5</v>
      </c>
      <c r="V103" t="s">
        <v>251</v>
      </c>
      <c r="X103">
        <v>1.1415525114155251E-4</v>
      </c>
      <c r="Y103">
        <v>1.4253868019126702E-4</v>
      </c>
      <c r="Z103" t="s">
        <v>1634</v>
      </c>
      <c r="AA103" t="s">
        <v>25</v>
      </c>
      <c r="AC103" t="s">
        <v>22</v>
      </c>
      <c r="AD103" t="s">
        <v>1634</v>
      </c>
      <c r="AE103">
        <v>1.3494191735928231E-4</v>
      </c>
      <c r="AG103" t="s">
        <v>97</v>
      </c>
      <c r="AH103" t="s">
        <v>1634</v>
      </c>
      <c r="AI103">
        <v>0</v>
      </c>
    </row>
    <row r="104" spans="5:35" x14ac:dyDescent="0.45">
      <c r="E104" t="s">
        <v>1307</v>
      </c>
      <c r="G104" t="s">
        <v>155</v>
      </c>
      <c r="I104" t="s">
        <v>249</v>
      </c>
      <c r="J104" t="s">
        <v>1635</v>
      </c>
      <c r="K104">
        <v>1.7669405533530001E-4</v>
      </c>
      <c r="L104" t="s">
        <v>251</v>
      </c>
      <c r="N104" t="s">
        <v>419</v>
      </c>
      <c r="O104" t="s">
        <v>1635</v>
      </c>
      <c r="P104">
        <v>2.7154818675241291E-5</v>
      </c>
      <c r="Q104" t="s">
        <v>251</v>
      </c>
      <c r="S104" t="s">
        <v>420</v>
      </c>
      <c r="T104" t="s">
        <v>1635</v>
      </c>
      <c r="U104">
        <v>3.1949768117597815E-5</v>
      </c>
      <c r="V104" t="s">
        <v>251</v>
      </c>
      <c r="X104">
        <v>1.1415525114155251E-4</v>
      </c>
      <c r="Y104">
        <v>1.4883690094390442E-4</v>
      </c>
      <c r="Z104" t="s">
        <v>1635</v>
      </c>
      <c r="AA104" t="s">
        <v>25</v>
      </c>
      <c r="AC104" t="s">
        <v>22</v>
      </c>
      <c r="AD104" t="s">
        <v>1635</v>
      </c>
      <c r="AE104">
        <v>1.5030556572055836E-4</v>
      </c>
      <c r="AG104" t="s">
        <v>97</v>
      </c>
      <c r="AH104" t="s">
        <v>1635</v>
      </c>
      <c r="AI104">
        <v>0</v>
      </c>
    </row>
    <row r="105" spans="5:35" x14ac:dyDescent="0.45">
      <c r="E105" t="s">
        <v>1308</v>
      </c>
      <c r="G105" t="s">
        <v>155</v>
      </c>
      <c r="I105" t="s">
        <v>249</v>
      </c>
      <c r="J105" t="s">
        <v>1636</v>
      </c>
      <c r="K105">
        <v>1.7915535827119999E-4</v>
      </c>
      <c r="L105" t="s">
        <v>251</v>
      </c>
      <c r="N105" t="s">
        <v>419</v>
      </c>
      <c r="O105" t="s">
        <v>1636</v>
      </c>
      <c r="P105">
        <v>2.4733792157967703E-5</v>
      </c>
      <c r="Q105" t="s">
        <v>251</v>
      </c>
      <c r="S105" t="s">
        <v>420</v>
      </c>
      <c r="T105" t="s">
        <v>1636</v>
      </c>
      <c r="U105">
        <v>2.776458150170168E-5</v>
      </c>
      <c r="V105" t="s">
        <v>251</v>
      </c>
      <c r="X105">
        <v>1.1415525114155251E-4</v>
      </c>
      <c r="Y105">
        <v>1.5049432745775637E-4</v>
      </c>
      <c r="Z105" t="s">
        <v>1636</v>
      </c>
      <c r="AA105" t="s">
        <v>25</v>
      </c>
      <c r="AC105" t="s">
        <v>22</v>
      </c>
      <c r="AD105" t="s">
        <v>1636</v>
      </c>
      <c r="AE105">
        <v>1.5696186610629557E-4</v>
      </c>
      <c r="AG105" t="s">
        <v>97</v>
      </c>
      <c r="AH105" t="s">
        <v>1636</v>
      </c>
      <c r="AI105">
        <v>0</v>
      </c>
    </row>
    <row r="106" spans="5:35" x14ac:dyDescent="0.45">
      <c r="E106" t="s">
        <v>1309</v>
      </c>
      <c r="G106" t="s">
        <v>155</v>
      </c>
      <c r="I106" t="s">
        <v>249</v>
      </c>
      <c r="J106" t="s">
        <v>1637</v>
      </c>
      <c r="K106">
        <v>1.525309687005E-4</v>
      </c>
      <c r="L106" t="s">
        <v>251</v>
      </c>
      <c r="N106" t="s">
        <v>419</v>
      </c>
      <c r="O106" t="s">
        <v>1637</v>
      </c>
      <c r="P106">
        <v>2.1540025443686156E-5</v>
      </c>
      <c r="Q106" t="s">
        <v>251</v>
      </c>
      <c r="S106" t="s">
        <v>420</v>
      </c>
      <c r="T106" t="s">
        <v>1637</v>
      </c>
      <c r="U106">
        <v>2.827506470949283E-5</v>
      </c>
      <c r="V106" t="s">
        <v>251</v>
      </c>
      <c r="X106">
        <v>1.1415525114155251E-4</v>
      </c>
      <c r="Y106">
        <v>1.7237235744060203E-4</v>
      </c>
      <c r="Z106" t="s">
        <v>1637</v>
      </c>
      <c r="AA106" t="s">
        <v>25</v>
      </c>
      <c r="AC106" t="s">
        <v>22</v>
      </c>
      <c r="AD106" t="s">
        <v>1637</v>
      </c>
      <c r="AE106">
        <v>1.4608101595670465E-4</v>
      </c>
      <c r="AG106" t="s">
        <v>97</v>
      </c>
      <c r="AH106" t="s">
        <v>1637</v>
      </c>
      <c r="AI106">
        <v>0</v>
      </c>
    </row>
    <row r="107" spans="5:35" x14ac:dyDescent="0.45">
      <c r="E107" t="s">
        <v>1310</v>
      </c>
      <c r="G107" t="s">
        <v>155</v>
      </c>
      <c r="I107" t="s">
        <v>249</v>
      </c>
      <c r="J107" t="s">
        <v>1638</v>
      </c>
      <c r="K107">
        <v>1.088547267517E-4</v>
      </c>
      <c r="L107" t="s">
        <v>251</v>
      </c>
      <c r="N107" t="s">
        <v>419</v>
      </c>
      <c r="O107" t="s">
        <v>1638</v>
      </c>
      <c r="P107">
        <v>2.5940317751389679E-5</v>
      </c>
      <c r="Q107" t="s">
        <v>251</v>
      </c>
      <c r="S107" t="s">
        <v>420</v>
      </c>
      <c r="T107" t="s">
        <v>1638</v>
      </c>
      <c r="U107">
        <v>3.428826292687116E-5</v>
      </c>
      <c r="V107" t="s">
        <v>251</v>
      </c>
      <c r="X107">
        <v>1.1415525114155251E-4</v>
      </c>
      <c r="Y107">
        <v>2.2209515285616027E-4</v>
      </c>
      <c r="Z107" t="s">
        <v>1638</v>
      </c>
      <c r="AA107" t="s">
        <v>25</v>
      </c>
      <c r="AC107" t="s">
        <v>22</v>
      </c>
      <c r="AD107" t="s">
        <v>1638</v>
      </c>
      <c r="AE107">
        <v>1.4240791200035874E-4</v>
      </c>
      <c r="AG107" t="s">
        <v>97</v>
      </c>
      <c r="AH107" t="s">
        <v>1638</v>
      </c>
      <c r="AI107">
        <v>0</v>
      </c>
    </row>
    <row r="108" spans="5:35" x14ac:dyDescent="0.45">
      <c r="E108" t="s">
        <v>1311</v>
      </c>
      <c r="G108" t="s">
        <v>155</v>
      </c>
      <c r="I108" t="s">
        <v>249</v>
      </c>
      <c r="J108" t="s">
        <v>1639</v>
      </c>
      <c r="K108">
        <v>5.4399281255169774E-5</v>
      </c>
      <c r="L108" t="s">
        <v>251</v>
      </c>
      <c r="N108" t="s">
        <v>419</v>
      </c>
      <c r="O108" t="s">
        <v>1639</v>
      </c>
      <c r="P108">
        <v>4.256771337559008E-5</v>
      </c>
      <c r="Q108" t="s">
        <v>251</v>
      </c>
      <c r="S108" t="s">
        <v>420</v>
      </c>
      <c r="T108" t="s">
        <v>1639</v>
      </c>
      <c r="U108">
        <v>3.8783063101046901E-5</v>
      </c>
      <c r="V108" t="s">
        <v>251</v>
      </c>
      <c r="X108">
        <v>1.1415525114155251E-4</v>
      </c>
      <c r="Y108">
        <v>2.2209515285616027E-4</v>
      </c>
      <c r="Z108" t="s">
        <v>1639</v>
      </c>
      <c r="AA108" t="s">
        <v>25</v>
      </c>
      <c r="AC108" t="s">
        <v>22</v>
      </c>
      <c r="AD108" t="s">
        <v>1639</v>
      </c>
      <c r="AE108">
        <v>1.4561760939277576E-4</v>
      </c>
      <c r="AG108" t="s">
        <v>97</v>
      </c>
      <c r="AH108" t="s">
        <v>1639</v>
      </c>
      <c r="AI108">
        <v>0</v>
      </c>
    </row>
    <row r="109" spans="5:35" x14ac:dyDescent="0.45">
      <c r="E109" t="s">
        <v>1312</v>
      </c>
      <c r="G109" t="s">
        <v>155</v>
      </c>
      <c r="I109" t="s">
        <v>249</v>
      </c>
      <c r="J109" t="s">
        <v>1640</v>
      </c>
      <c r="K109">
        <v>2.3352567412892165E-7</v>
      </c>
      <c r="L109" t="s">
        <v>251</v>
      </c>
      <c r="N109" t="s">
        <v>419</v>
      </c>
      <c r="O109" t="s">
        <v>1640</v>
      </c>
      <c r="P109">
        <v>6.0558673183591931E-5</v>
      </c>
      <c r="Q109" t="s">
        <v>251</v>
      </c>
      <c r="S109" t="s">
        <v>420</v>
      </c>
      <c r="T109" t="s">
        <v>1640</v>
      </c>
      <c r="U109">
        <v>4.7164028668369759E-5</v>
      </c>
      <c r="V109" t="s">
        <v>251</v>
      </c>
      <c r="X109">
        <v>1.1415525114155251E-4</v>
      </c>
      <c r="Y109">
        <v>1.7237235744060203E-4</v>
      </c>
      <c r="Z109" t="s">
        <v>1640</v>
      </c>
      <c r="AA109" t="s">
        <v>25</v>
      </c>
      <c r="AC109" t="s">
        <v>22</v>
      </c>
      <c r="AD109" t="s">
        <v>1640</v>
      </c>
      <c r="AE109">
        <v>1.4670396030142194E-4</v>
      </c>
      <c r="AG109" t="s">
        <v>97</v>
      </c>
      <c r="AH109" t="s">
        <v>1640</v>
      </c>
      <c r="AI109">
        <v>0</v>
      </c>
    </row>
    <row r="110" spans="5:35" x14ac:dyDescent="0.45">
      <c r="E110" t="s">
        <v>1313</v>
      </c>
      <c r="G110" t="s">
        <v>155</v>
      </c>
      <c r="I110" t="s">
        <v>249</v>
      </c>
      <c r="J110" t="s">
        <v>1641</v>
      </c>
      <c r="K110">
        <v>0</v>
      </c>
      <c r="L110" t="s">
        <v>251</v>
      </c>
      <c r="N110" t="s">
        <v>419</v>
      </c>
      <c r="O110" t="s">
        <v>1641</v>
      </c>
      <c r="P110">
        <v>7.27632307860281E-5</v>
      </c>
      <c r="Q110" t="s">
        <v>251</v>
      </c>
      <c r="S110" t="s">
        <v>420</v>
      </c>
      <c r="T110" t="s">
        <v>1641</v>
      </c>
      <c r="U110">
        <v>5.5565377557316345E-5</v>
      </c>
      <c r="V110" t="s">
        <v>251</v>
      </c>
      <c r="X110">
        <v>1.1415525114155251E-4</v>
      </c>
      <c r="Y110">
        <v>1.5579809230208258E-4</v>
      </c>
      <c r="Z110" t="s">
        <v>1641</v>
      </c>
      <c r="AA110" t="s">
        <v>25</v>
      </c>
      <c r="AC110" t="s">
        <v>22</v>
      </c>
      <c r="AD110" t="s">
        <v>1641</v>
      </c>
      <c r="AE110">
        <v>1.4697074588802464E-4</v>
      </c>
      <c r="AG110" t="s">
        <v>97</v>
      </c>
      <c r="AH110" t="s">
        <v>1641</v>
      </c>
      <c r="AI110">
        <v>0</v>
      </c>
    </row>
    <row r="111" spans="5:35" x14ac:dyDescent="0.45">
      <c r="E111" t="s">
        <v>1314</v>
      </c>
      <c r="G111" t="s">
        <v>155</v>
      </c>
      <c r="I111" t="s">
        <v>249</v>
      </c>
      <c r="J111" t="s">
        <v>1642</v>
      </c>
      <c r="K111">
        <v>0</v>
      </c>
      <c r="L111" t="s">
        <v>251</v>
      </c>
      <c r="N111" t="s">
        <v>419</v>
      </c>
      <c r="O111" t="s">
        <v>1642</v>
      </c>
      <c r="P111">
        <v>7.9668085151246565E-5</v>
      </c>
      <c r="Q111" t="s">
        <v>251</v>
      </c>
      <c r="S111" t="s">
        <v>420</v>
      </c>
      <c r="T111" t="s">
        <v>1642</v>
      </c>
      <c r="U111">
        <v>7.1480276365112422E-5</v>
      </c>
      <c r="V111" t="s">
        <v>251</v>
      </c>
      <c r="X111">
        <v>1.1415525114155251E-4</v>
      </c>
      <c r="Y111">
        <v>1.093901499142282E-4</v>
      </c>
      <c r="Z111" t="s">
        <v>1642</v>
      </c>
      <c r="AA111" t="s">
        <v>25</v>
      </c>
      <c r="AC111" t="s">
        <v>22</v>
      </c>
      <c r="AD111" t="s">
        <v>1642</v>
      </c>
      <c r="AE111">
        <v>1.4705238227752507E-4</v>
      </c>
      <c r="AG111" t="s">
        <v>97</v>
      </c>
      <c r="AH111" t="s">
        <v>1642</v>
      </c>
      <c r="AI111">
        <v>0</v>
      </c>
    </row>
    <row r="112" spans="5:35" x14ac:dyDescent="0.45">
      <c r="E112" t="s">
        <v>1315</v>
      </c>
      <c r="G112" t="s">
        <v>155</v>
      </c>
      <c r="I112" t="s">
        <v>249</v>
      </c>
      <c r="J112" t="s">
        <v>1643</v>
      </c>
      <c r="K112">
        <v>0</v>
      </c>
      <c r="L112" t="s">
        <v>251</v>
      </c>
      <c r="N112" t="s">
        <v>419</v>
      </c>
      <c r="O112" t="s">
        <v>1643</v>
      </c>
      <c r="P112">
        <v>8.4684814666498978E-5</v>
      </c>
      <c r="Q112" t="s">
        <v>251</v>
      </c>
      <c r="S112" t="s">
        <v>420</v>
      </c>
      <c r="T112" t="s">
        <v>1643</v>
      </c>
      <c r="U112">
        <v>8.5981104323779693E-5</v>
      </c>
      <c r="V112" t="s">
        <v>251</v>
      </c>
      <c r="X112">
        <v>1.1415525114155251E-4</v>
      </c>
      <c r="Y112">
        <v>7.9556472664893237E-5</v>
      </c>
      <c r="Z112" t="s">
        <v>1643</v>
      </c>
      <c r="AA112" t="s">
        <v>25</v>
      </c>
      <c r="AC112" t="s">
        <v>22</v>
      </c>
      <c r="AD112" t="s">
        <v>1643</v>
      </c>
      <c r="AE112">
        <v>1.4801334396046797E-4</v>
      </c>
      <c r="AG112" t="s">
        <v>97</v>
      </c>
      <c r="AH112" t="s">
        <v>1643</v>
      </c>
      <c r="AI112">
        <v>0</v>
      </c>
    </row>
    <row r="113" spans="5:35" x14ac:dyDescent="0.45">
      <c r="E113" t="s">
        <v>1316</v>
      </c>
      <c r="G113" t="s">
        <v>155</v>
      </c>
      <c r="I113" t="s">
        <v>249</v>
      </c>
      <c r="J113" t="s">
        <v>1644</v>
      </c>
      <c r="K113">
        <v>0</v>
      </c>
      <c r="L113" t="s">
        <v>251</v>
      </c>
      <c r="N113" t="s">
        <v>419</v>
      </c>
      <c r="O113" t="s">
        <v>1644</v>
      </c>
      <c r="P113">
        <v>9.1496916291629275E-5</v>
      </c>
      <c r="Q113" t="s">
        <v>251</v>
      </c>
      <c r="S113" t="s">
        <v>420</v>
      </c>
      <c r="T113" t="s">
        <v>1644</v>
      </c>
      <c r="U113">
        <v>9.8518858489093515E-5</v>
      </c>
      <c r="V113" t="s">
        <v>251</v>
      </c>
      <c r="X113">
        <v>1.1415525114155251E-4</v>
      </c>
      <c r="Y113">
        <v>5.6352501470966035E-5</v>
      </c>
      <c r="Z113" t="s">
        <v>1644</v>
      </c>
      <c r="AA113" t="s">
        <v>25</v>
      </c>
      <c r="AC113" t="s">
        <v>22</v>
      </c>
      <c r="AD113" t="s">
        <v>1644</v>
      </c>
      <c r="AE113">
        <v>1.5338827317375249E-4</v>
      </c>
      <c r="AG113" t="s">
        <v>97</v>
      </c>
      <c r="AH113" t="s">
        <v>1644</v>
      </c>
      <c r="AI113">
        <v>0</v>
      </c>
    </row>
    <row r="114" spans="5:35" x14ac:dyDescent="0.45">
      <c r="E114" t="s">
        <v>1317</v>
      </c>
      <c r="G114" t="s">
        <v>155</v>
      </c>
      <c r="I114" t="s">
        <v>249</v>
      </c>
      <c r="J114" t="s">
        <v>1645</v>
      </c>
      <c r="K114">
        <v>0</v>
      </c>
      <c r="L114" t="s">
        <v>251</v>
      </c>
      <c r="N114" t="s">
        <v>419</v>
      </c>
      <c r="O114" t="s">
        <v>1645</v>
      </c>
      <c r="P114">
        <v>9.5829698994482555E-5</v>
      </c>
      <c r="Q114" t="s">
        <v>251</v>
      </c>
      <c r="S114" t="s">
        <v>420</v>
      </c>
      <c r="T114" t="s">
        <v>1645</v>
      </c>
      <c r="U114">
        <v>1.083101443614E-4</v>
      </c>
      <c r="V114" t="s">
        <v>251</v>
      </c>
      <c r="X114">
        <v>1.1415525114155251E-4</v>
      </c>
      <c r="Y114">
        <v>2.9833677249334962E-5</v>
      </c>
      <c r="Z114" t="s">
        <v>1645</v>
      </c>
      <c r="AA114" t="s">
        <v>25</v>
      </c>
      <c r="AC114" t="s">
        <v>22</v>
      </c>
      <c r="AD114" t="s">
        <v>1645</v>
      </c>
      <c r="AE114">
        <v>1.5797191633717337E-4</v>
      </c>
      <c r="AG114" t="s">
        <v>97</v>
      </c>
      <c r="AH114" t="s">
        <v>1645</v>
      </c>
      <c r="AI114">
        <v>0</v>
      </c>
    </row>
    <row r="115" spans="5:35" x14ac:dyDescent="0.45">
      <c r="E115" t="s">
        <v>1318</v>
      </c>
      <c r="G115" t="s">
        <v>155</v>
      </c>
      <c r="I115" t="s">
        <v>249</v>
      </c>
      <c r="J115" t="s">
        <v>1646</v>
      </c>
      <c r="K115">
        <v>0</v>
      </c>
      <c r="L115" t="s">
        <v>251</v>
      </c>
      <c r="N115" t="s">
        <v>419</v>
      </c>
      <c r="O115" t="s">
        <v>1646</v>
      </c>
      <c r="P115">
        <v>1.002995861188E-4</v>
      </c>
      <c r="Q115" t="s">
        <v>251</v>
      </c>
      <c r="S115" t="s">
        <v>420</v>
      </c>
      <c r="T115" t="s">
        <v>1646</v>
      </c>
      <c r="U115">
        <v>1.195229386335E-4</v>
      </c>
      <c r="V115" t="s">
        <v>251</v>
      </c>
      <c r="X115">
        <v>1.1415525114155251E-4</v>
      </c>
      <c r="Y115">
        <v>2.1546544680075254E-5</v>
      </c>
      <c r="Z115" t="s">
        <v>1646</v>
      </c>
      <c r="AA115" t="s">
        <v>25</v>
      </c>
      <c r="AC115" t="s">
        <v>22</v>
      </c>
      <c r="AD115" t="s">
        <v>1646</v>
      </c>
      <c r="AE115">
        <v>1.5837476257294348E-4</v>
      </c>
      <c r="AG115" t="s">
        <v>97</v>
      </c>
      <c r="AH115" t="s">
        <v>1646</v>
      </c>
      <c r="AI115">
        <v>0</v>
      </c>
    </row>
    <row r="116" spans="5:35" x14ac:dyDescent="0.45">
      <c r="E116" t="s">
        <v>1319</v>
      </c>
      <c r="G116" t="s">
        <v>155</v>
      </c>
      <c r="I116" t="s">
        <v>249</v>
      </c>
      <c r="J116" t="s">
        <v>1647</v>
      </c>
      <c r="K116">
        <v>0</v>
      </c>
      <c r="L116" t="s">
        <v>251</v>
      </c>
      <c r="N116" t="s">
        <v>419</v>
      </c>
      <c r="O116" t="s">
        <v>1647</v>
      </c>
      <c r="P116">
        <v>1.012025836572E-4</v>
      </c>
      <c r="Q116" t="s">
        <v>251</v>
      </c>
      <c r="S116" t="s">
        <v>420</v>
      </c>
      <c r="T116" t="s">
        <v>1647</v>
      </c>
      <c r="U116">
        <v>1.2574912796609999E-4</v>
      </c>
      <c r="V116" t="s">
        <v>251</v>
      </c>
      <c r="X116">
        <v>1.1415525114155251E-4</v>
      </c>
      <c r="Y116">
        <v>1.4916838624667481E-5</v>
      </c>
      <c r="Z116" t="s">
        <v>1647</v>
      </c>
      <c r="AA116" t="s">
        <v>25</v>
      </c>
      <c r="AC116" t="s">
        <v>22</v>
      </c>
      <c r="AD116" t="s">
        <v>1647</v>
      </c>
      <c r="AE116">
        <v>1.5692985183590326E-4</v>
      </c>
      <c r="AG116" t="s">
        <v>97</v>
      </c>
      <c r="AH116" t="s">
        <v>1647</v>
      </c>
      <c r="AI116">
        <v>0</v>
      </c>
    </row>
    <row r="117" spans="5:35" x14ac:dyDescent="0.45">
      <c r="E117" t="s">
        <v>1320</v>
      </c>
      <c r="G117" t="s">
        <v>155</v>
      </c>
      <c r="I117" t="s">
        <v>249</v>
      </c>
      <c r="J117" t="s">
        <v>1648</v>
      </c>
      <c r="K117">
        <v>0</v>
      </c>
      <c r="L117" t="s">
        <v>251</v>
      </c>
      <c r="N117" t="s">
        <v>419</v>
      </c>
      <c r="O117" t="s">
        <v>1648</v>
      </c>
      <c r="P117">
        <v>1.043337415626E-4</v>
      </c>
      <c r="Q117" t="s">
        <v>251</v>
      </c>
      <c r="S117" t="s">
        <v>420</v>
      </c>
      <c r="T117" t="s">
        <v>1648</v>
      </c>
      <c r="U117">
        <v>1.2474067777569999E-4</v>
      </c>
      <c r="V117" t="s">
        <v>251</v>
      </c>
      <c r="X117">
        <v>1.1415525114155251E-4</v>
      </c>
      <c r="Y117">
        <v>1.6574265138519424E-5</v>
      </c>
      <c r="Z117" t="s">
        <v>1648</v>
      </c>
      <c r="AA117" t="s">
        <v>25</v>
      </c>
      <c r="AC117" t="s">
        <v>22</v>
      </c>
      <c r="AD117" t="s">
        <v>1648</v>
      </c>
      <c r="AE117">
        <v>1.4947586254622397E-4</v>
      </c>
      <c r="AG117" t="s">
        <v>97</v>
      </c>
      <c r="AH117" t="s">
        <v>1648</v>
      </c>
      <c r="AI117">
        <v>0</v>
      </c>
    </row>
    <row r="118" spans="5:35" x14ac:dyDescent="0.45">
      <c r="E118" t="s">
        <v>1321</v>
      </c>
      <c r="G118" t="s">
        <v>155</v>
      </c>
      <c r="I118" t="s">
        <v>249</v>
      </c>
      <c r="J118" t="s">
        <v>1649</v>
      </c>
      <c r="K118">
        <v>0</v>
      </c>
      <c r="L118" t="s">
        <v>251</v>
      </c>
      <c r="N118" t="s">
        <v>419</v>
      </c>
      <c r="O118" t="s">
        <v>1649</v>
      </c>
      <c r="P118">
        <v>1.0797296924209999E-4</v>
      </c>
      <c r="Q118" t="s">
        <v>251</v>
      </c>
      <c r="S118" t="s">
        <v>420</v>
      </c>
      <c r="T118" t="s">
        <v>1649</v>
      </c>
      <c r="U118">
        <v>1.142919808369E-4</v>
      </c>
      <c r="V118" t="s">
        <v>251</v>
      </c>
      <c r="X118">
        <v>1.1415525114155251E-4</v>
      </c>
      <c r="Y118">
        <v>1.4585353321897093E-5</v>
      </c>
      <c r="Z118" t="s">
        <v>1649</v>
      </c>
      <c r="AA118" t="s">
        <v>25</v>
      </c>
      <c r="AC118" t="s">
        <v>22</v>
      </c>
      <c r="AD118" t="s">
        <v>1649</v>
      </c>
      <c r="AE118">
        <v>1.431458409329018E-4</v>
      </c>
      <c r="AG118" t="s">
        <v>97</v>
      </c>
      <c r="AH118" t="s">
        <v>1649</v>
      </c>
      <c r="AI118">
        <v>0</v>
      </c>
    </row>
    <row r="119" spans="5:35" x14ac:dyDescent="0.45">
      <c r="E119" t="s">
        <v>1322</v>
      </c>
      <c r="G119" t="s">
        <v>155</v>
      </c>
      <c r="I119" t="s">
        <v>249</v>
      </c>
      <c r="J119" t="s">
        <v>1650</v>
      </c>
      <c r="K119">
        <v>0</v>
      </c>
      <c r="L119" t="s">
        <v>251</v>
      </c>
      <c r="N119" t="s">
        <v>419</v>
      </c>
      <c r="O119" t="s">
        <v>1650</v>
      </c>
      <c r="P119">
        <v>1.073355236263E-4</v>
      </c>
      <c r="Q119" t="s">
        <v>251</v>
      </c>
      <c r="S119" t="s">
        <v>420</v>
      </c>
      <c r="T119" t="s">
        <v>1650</v>
      </c>
      <c r="U119">
        <v>1.077509694318E-4</v>
      </c>
      <c r="V119" t="s">
        <v>251</v>
      </c>
      <c r="X119">
        <v>1.1415525114155251E-4</v>
      </c>
      <c r="Y119">
        <v>2.1215059377304864E-5</v>
      </c>
      <c r="Z119" t="s">
        <v>1650</v>
      </c>
      <c r="AA119" t="s">
        <v>25</v>
      </c>
      <c r="AC119" t="s">
        <v>22</v>
      </c>
      <c r="AD119" t="s">
        <v>1650</v>
      </c>
      <c r="AE119">
        <v>1.317303524677591E-4</v>
      </c>
      <c r="AG119" t="s">
        <v>97</v>
      </c>
      <c r="AH119" t="s">
        <v>1650</v>
      </c>
      <c r="AI119">
        <v>0</v>
      </c>
    </row>
    <row r="120" spans="5:35" x14ac:dyDescent="0.45">
      <c r="E120" t="s">
        <v>1323</v>
      </c>
      <c r="G120" t="s">
        <v>155</v>
      </c>
      <c r="I120" t="s">
        <v>249</v>
      </c>
      <c r="J120" t="s">
        <v>1651</v>
      </c>
      <c r="K120">
        <v>0</v>
      </c>
      <c r="L120" t="s">
        <v>251</v>
      </c>
      <c r="N120" t="s">
        <v>419</v>
      </c>
      <c r="O120" t="s">
        <v>1651</v>
      </c>
      <c r="P120">
        <v>1.077228671832E-4</v>
      </c>
      <c r="Q120" t="s">
        <v>251</v>
      </c>
      <c r="S120" t="s">
        <v>420</v>
      </c>
      <c r="T120" t="s">
        <v>1651</v>
      </c>
      <c r="U120">
        <v>9.0053221809390977E-5</v>
      </c>
      <c r="V120" t="s">
        <v>251</v>
      </c>
      <c r="X120">
        <v>1.1415525114155251E-4</v>
      </c>
      <c r="Y120">
        <v>5.7678442682047593E-5</v>
      </c>
      <c r="Z120" t="s">
        <v>1651</v>
      </c>
      <c r="AA120" t="s">
        <v>25</v>
      </c>
      <c r="AC120" t="s">
        <v>22</v>
      </c>
      <c r="AD120" t="s">
        <v>1651</v>
      </c>
      <c r="AE120">
        <v>1.2532269624873554E-4</v>
      </c>
      <c r="AG120" t="s">
        <v>97</v>
      </c>
      <c r="AH120" t="s">
        <v>1651</v>
      </c>
      <c r="AI120">
        <v>0</v>
      </c>
    </row>
    <row r="121" spans="5:35" x14ac:dyDescent="0.45">
      <c r="E121" t="s">
        <v>1324</v>
      </c>
      <c r="G121" t="s">
        <v>155</v>
      </c>
      <c r="I121" t="s">
        <v>249</v>
      </c>
      <c r="J121" t="s">
        <v>1652</v>
      </c>
      <c r="K121">
        <v>0</v>
      </c>
      <c r="L121" t="s">
        <v>251</v>
      </c>
      <c r="N121" t="s">
        <v>419</v>
      </c>
      <c r="O121" t="s">
        <v>1652</v>
      </c>
      <c r="P121">
        <v>1.0925526177940001E-4</v>
      </c>
      <c r="Q121" t="s">
        <v>251</v>
      </c>
      <c r="S121" t="s">
        <v>420</v>
      </c>
      <c r="T121" t="s">
        <v>1652</v>
      </c>
      <c r="U121">
        <v>7.3028544731963997E-5</v>
      </c>
      <c r="V121" t="s">
        <v>251</v>
      </c>
      <c r="X121">
        <v>1.1415525114155251E-4</v>
      </c>
      <c r="Y121">
        <v>1.6905750441289813E-4</v>
      </c>
      <c r="Z121" t="s">
        <v>1652</v>
      </c>
      <c r="AA121" t="s">
        <v>25</v>
      </c>
      <c r="AC121" t="s">
        <v>22</v>
      </c>
      <c r="AD121" t="s">
        <v>1652</v>
      </c>
      <c r="AE121">
        <v>1.0696998217516291E-4</v>
      </c>
      <c r="AG121" t="s">
        <v>97</v>
      </c>
      <c r="AH121" t="s">
        <v>1652</v>
      </c>
      <c r="AI121">
        <v>0</v>
      </c>
    </row>
    <row r="122" spans="5:35" x14ac:dyDescent="0.45">
      <c r="E122" t="s">
        <v>1325</v>
      </c>
      <c r="G122" t="s">
        <v>155</v>
      </c>
      <c r="I122" t="s">
        <v>249</v>
      </c>
      <c r="J122" t="s">
        <v>1653</v>
      </c>
      <c r="K122">
        <v>1.212390143189913E-7</v>
      </c>
      <c r="L122" t="s">
        <v>251</v>
      </c>
      <c r="N122" t="s">
        <v>419</v>
      </c>
      <c r="O122" t="s">
        <v>1653</v>
      </c>
      <c r="P122">
        <v>1.1239768462110001E-4</v>
      </c>
      <c r="Q122" t="s">
        <v>251</v>
      </c>
      <c r="S122" t="s">
        <v>420</v>
      </c>
      <c r="T122" t="s">
        <v>1653</v>
      </c>
      <c r="U122">
        <v>5.8690204942453526E-5</v>
      </c>
      <c r="V122" t="s">
        <v>251</v>
      </c>
      <c r="X122">
        <v>1.1415525114155251E-4</v>
      </c>
      <c r="Y122">
        <v>1.9060404909297337E-4</v>
      </c>
      <c r="Z122" t="s">
        <v>1653</v>
      </c>
      <c r="AA122" t="s">
        <v>25</v>
      </c>
      <c r="AC122" t="s">
        <v>22</v>
      </c>
      <c r="AD122" t="s">
        <v>1653</v>
      </c>
      <c r="AE122">
        <v>1.0205579166994126E-4</v>
      </c>
      <c r="AG122" t="s">
        <v>97</v>
      </c>
      <c r="AH122" t="s">
        <v>1653</v>
      </c>
      <c r="AI122">
        <v>0</v>
      </c>
    </row>
    <row r="123" spans="5:35" x14ac:dyDescent="0.45">
      <c r="E123" t="s">
        <v>1326</v>
      </c>
      <c r="G123" t="s">
        <v>155</v>
      </c>
      <c r="I123" t="s">
        <v>249</v>
      </c>
      <c r="J123" t="s">
        <v>1654</v>
      </c>
      <c r="K123">
        <v>2.2128472104414307E-5</v>
      </c>
      <c r="L123" t="s">
        <v>251</v>
      </c>
      <c r="N123" t="s">
        <v>419</v>
      </c>
      <c r="O123" t="s">
        <v>1654</v>
      </c>
      <c r="P123">
        <v>1.112658062884E-4</v>
      </c>
      <c r="Q123" t="s">
        <v>251</v>
      </c>
      <c r="S123" t="s">
        <v>420</v>
      </c>
      <c r="T123" t="s">
        <v>1654</v>
      </c>
      <c r="U123">
        <v>4.7909048970600434E-5</v>
      </c>
      <c r="V123" t="s">
        <v>251</v>
      </c>
      <c r="X123">
        <v>1.1415525114155251E-4</v>
      </c>
      <c r="Y123">
        <v>1.4585353321897094E-4</v>
      </c>
      <c r="Z123" t="s">
        <v>1654</v>
      </c>
      <c r="AA123" t="s">
        <v>25</v>
      </c>
      <c r="AC123" t="s">
        <v>22</v>
      </c>
      <c r="AD123" t="s">
        <v>1654</v>
      </c>
      <c r="AE123">
        <v>1.0046094743323035E-4</v>
      </c>
      <c r="AG123" t="s">
        <v>97</v>
      </c>
      <c r="AH123" t="s">
        <v>1654</v>
      </c>
      <c r="AI123">
        <v>0</v>
      </c>
    </row>
    <row r="124" spans="5:35" x14ac:dyDescent="0.45">
      <c r="E124" t="s">
        <v>1327</v>
      </c>
      <c r="G124" t="s">
        <v>155</v>
      </c>
      <c r="I124" t="s">
        <v>249</v>
      </c>
      <c r="J124" t="s">
        <v>1655</v>
      </c>
      <c r="K124">
        <v>5.4448150898249738E-5</v>
      </c>
      <c r="L124" t="s">
        <v>251</v>
      </c>
      <c r="N124" t="s">
        <v>419</v>
      </c>
      <c r="O124" t="s">
        <v>1655</v>
      </c>
      <c r="P124">
        <v>8.9948913781227836E-5</v>
      </c>
      <c r="Q124" t="s">
        <v>251</v>
      </c>
      <c r="S124" t="s">
        <v>420</v>
      </c>
      <c r="T124" t="s">
        <v>1655</v>
      </c>
      <c r="U124">
        <v>3.9586391126175342E-5</v>
      </c>
      <c r="V124" t="s">
        <v>251</v>
      </c>
      <c r="X124">
        <v>1.1415525114155251E-4</v>
      </c>
      <c r="Y124">
        <v>1.4452759200788939E-4</v>
      </c>
      <c r="Z124" t="s">
        <v>1655</v>
      </c>
      <c r="AA124" t="s">
        <v>25</v>
      </c>
      <c r="AC124" t="s">
        <v>22</v>
      </c>
      <c r="AD124" t="s">
        <v>1655</v>
      </c>
      <c r="AE124">
        <v>9.9654454604930392E-5</v>
      </c>
      <c r="AG124" t="s">
        <v>97</v>
      </c>
      <c r="AH124" t="s">
        <v>1655</v>
      </c>
      <c r="AI124">
        <v>0</v>
      </c>
    </row>
    <row r="125" spans="5:35" x14ac:dyDescent="0.45">
      <c r="E125" t="s">
        <v>1328</v>
      </c>
      <c r="G125" t="s">
        <v>155</v>
      </c>
      <c r="I125" t="s">
        <v>249</v>
      </c>
      <c r="J125" t="s">
        <v>1656</v>
      </c>
      <c r="K125">
        <v>8.1424936122037619E-5</v>
      </c>
      <c r="L125" t="s">
        <v>251</v>
      </c>
      <c r="N125" t="s">
        <v>419</v>
      </c>
      <c r="O125" t="s">
        <v>1656</v>
      </c>
      <c r="P125">
        <v>7.6727591875486108E-5</v>
      </c>
      <c r="Q125" t="s">
        <v>251</v>
      </c>
      <c r="S125" t="s">
        <v>420</v>
      </c>
      <c r="T125" t="s">
        <v>1656</v>
      </c>
      <c r="U125">
        <v>2.9878873749176351E-5</v>
      </c>
      <c r="V125" t="s">
        <v>251</v>
      </c>
      <c r="X125">
        <v>1.1415525114155251E-4</v>
      </c>
      <c r="Y125">
        <v>1.408812536774151E-4</v>
      </c>
      <c r="Z125" t="s">
        <v>1656</v>
      </c>
      <c r="AA125" t="s">
        <v>25</v>
      </c>
      <c r="AC125" t="s">
        <v>22</v>
      </c>
      <c r="AD125" t="s">
        <v>1656</v>
      </c>
      <c r="AE125">
        <v>1.0108602606264048E-4</v>
      </c>
      <c r="AG125" t="s">
        <v>97</v>
      </c>
      <c r="AH125" t="s">
        <v>1656</v>
      </c>
      <c r="AI125">
        <v>0</v>
      </c>
    </row>
    <row r="126" spans="5:35" x14ac:dyDescent="0.45">
      <c r="E126" t="s">
        <v>1329</v>
      </c>
      <c r="G126" t="s">
        <v>155</v>
      </c>
      <c r="I126" t="s">
        <v>249</v>
      </c>
      <c r="J126" t="s">
        <v>1657</v>
      </c>
      <c r="K126">
        <v>1.09556578638E-4</v>
      </c>
      <c r="L126" t="s">
        <v>251</v>
      </c>
      <c r="N126" t="s">
        <v>419</v>
      </c>
      <c r="O126" t="s">
        <v>1657</v>
      </c>
      <c r="P126">
        <v>7.4337026579411269E-5</v>
      </c>
      <c r="Q126" t="s">
        <v>251</v>
      </c>
      <c r="S126" t="s">
        <v>420</v>
      </c>
      <c r="T126" t="s">
        <v>1657</v>
      </c>
      <c r="U126">
        <v>2.1849780841560637E-5</v>
      </c>
      <c r="V126" t="s">
        <v>251</v>
      </c>
      <c r="X126">
        <v>1.1415525114155251E-4</v>
      </c>
      <c r="Y126">
        <v>1.4054976837464471E-4</v>
      </c>
      <c r="Z126" t="s">
        <v>1657</v>
      </c>
      <c r="AA126" t="s">
        <v>25</v>
      </c>
      <c r="AC126" t="s">
        <v>22</v>
      </c>
      <c r="AD126" t="s">
        <v>1657</v>
      </c>
      <c r="AE126">
        <v>1.0448940979093106E-4</v>
      </c>
      <c r="AG126" t="s">
        <v>97</v>
      </c>
      <c r="AH126" t="s">
        <v>1657</v>
      </c>
      <c r="AI126">
        <v>0</v>
      </c>
    </row>
    <row r="127" spans="5:35" x14ac:dyDescent="0.45">
      <c r="E127" t="s">
        <v>1330</v>
      </c>
      <c r="G127" t="s">
        <v>155</v>
      </c>
      <c r="I127" t="s">
        <v>249</v>
      </c>
      <c r="J127" t="s">
        <v>1658</v>
      </c>
      <c r="K127">
        <v>1.2280904332270001E-4</v>
      </c>
      <c r="L127" t="s">
        <v>251</v>
      </c>
      <c r="N127" t="s">
        <v>419</v>
      </c>
      <c r="O127" t="s">
        <v>1658</v>
      </c>
      <c r="P127">
        <v>7.3436070694530409E-5</v>
      </c>
      <c r="Q127" t="s">
        <v>251</v>
      </c>
      <c r="S127" t="s">
        <v>420</v>
      </c>
      <c r="T127" t="s">
        <v>1658</v>
      </c>
      <c r="U127">
        <v>1.9299690715999963E-5</v>
      </c>
      <c r="V127" t="s">
        <v>251</v>
      </c>
      <c r="X127">
        <v>1.1415525114155251E-4</v>
      </c>
      <c r="Y127">
        <v>1.4253868019126702E-4</v>
      </c>
      <c r="Z127" t="s">
        <v>1658</v>
      </c>
      <c r="AA127" t="s">
        <v>25</v>
      </c>
      <c r="AC127" t="s">
        <v>22</v>
      </c>
      <c r="AD127" t="s">
        <v>1658</v>
      </c>
      <c r="AE127">
        <v>1.0925660143793461E-4</v>
      </c>
      <c r="AG127" t="s">
        <v>97</v>
      </c>
      <c r="AH127" t="s">
        <v>1658</v>
      </c>
      <c r="AI127">
        <v>0</v>
      </c>
    </row>
    <row r="128" spans="5:35" x14ac:dyDescent="0.45">
      <c r="E128" t="s">
        <v>1331</v>
      </c>
      <c r="G128" t="s">
        <v>155</v>
      </c>
      <c r="I128" t="s">
        <v>249</v>
      </c>
      <c r="J128" t="s">
        <v>1659</v>
      </c>
      <c r="K128">
        <v>1.190913008649E-4</v>
      </c>
      <c r="L128" t="s">
        <v>251</v>
      </c>
      <c r="N128" t="s">
        <v>419</v>
      </c>
      <c r="O128" t="s">
        <v>1659</v>
      </c>
      <c r="P128">
        <v>7.4386986611117974E-5</v>
      </c>
      <c r="Q128" t="s">
        <v>251</v>
      </c>
      <c r="S128" t="s">
        <v>420</v>
      </c>
      <c r="T128" t="s">
        <v>1659</v>
      </c>
      <c r="U128">
        <v>1.844523247306033E-5</v>
      </c>
      <c r="V128" t="s">
        <v>251</v>
      </c>
      <c r="X128">
        <v>1.1415525114155251E-4</v>
      </c>
      <c r="Y128">
        <v>1.4883690094390442E-4</v>
      </c>
      <c r="Z128" t="s">
        <v>1659</v>
      </c>
      <c r="AA128" t="s">
        <v>25</v>
      </c>
      <c r="AC128" t="s">
        <v>22</v>
      </c>
      <c r="AD128" t="s">
        <v>1659</v>
      </c>
      <c r="AE128">
        <v>1.1137141078293419E-4</v>
      </c>
      <c r="AG128" t="s">
        <v>97</v>
      </c>
      <c r="AH128" t="s">
        <v>1659</v>
      </c>
      <c r="AI128">
        <v>0</v>
      </c>
    </row>
    <row r="129" spans="5:35" x14ac:dyDescent="0.45">
      <c r="E129" t="s">
        <v>1332</v>
      </c>
      <c r="G129" t="s">
        <v>155</v>
      </c>
      <c r="I129" t="s">
        <v>249</v>
      </c>
      <c r="J129" t="s">
        <v>1660</v>
      </c>
      <c r="K129">
        <v>1.184750207126E-4</v>
      </c>
      <c r="L129" t="s">
        <v>251</v>
      </c>
      <c r="N129" t="s">
        <v>419</v>
      </c>
      <c r="O129" t="s">
        <v>1660</v>
      </c>
      <c r="P129">
        <v>7.4488885027572369E-5</v>
      </c>
      <c r="Q129" t="s">
        <v>251</v>
      </c>
      <c r="S129" t="s">
        <v>420</v>
      </c>
      <c r="T129" t="s">
        <v>1660</v>
      </c>
      <c r="U129">
        <v>1.9115130056976303E-5</v>
      </c>
      <c r="V129" t="s">
        <v>251</v>
      </c>
      <c r="X129">
        <v>1.1415525114155251E-4</v>
      </c>
      <c r="Y129">
        <v>1.5049432745775637E-4</v>
      </c>
      <c r="Z129" t="s">
        <v>1660</v>
      </c>
      <c r="AA129" t="s">
        <v>25</v>
      </c>
      <c r="AC129" t="s">
        <v>22</v>
      </c>
      <c r="AD129" t="s">
        <v>1660</v>
      </c>
      <c r="AE129">
        <v>1.1578991366824802E-4</v>
      </c>
      <c r="AG129" t="s">
        <v>97</v>
      </c>
      <c r="AH129" t="s">
        <v>1660</v>
      </c>
      <c r="AI129">
        <v>0</v>
      </c>
    </row>
    <row r="130" spans="5:35" x14ac:dyDescent="0.45">
      <c r="E130" t="s">
        <v>1333</v>
      </c>
      <c r="G130" t="s">
        <v>155</v>
      </c>
      <c r="I130" t="s">
        <v>249</v>
      </c>
      <c r="J130" t="s">
        <v>1661</v>
      </c>
      <c r="K130">
        <v>1.063761926233E-4</v>
      </c>
      <c r="L130" t="s">
        <v>251</v>
      </c>
      <c r="N130" t="s">
        <v>419</v>
      </c>
      <c r="O130" t="s">
        <v>1661</v>
      </c>
      <c r="P130">
        <v>6.0793939408582633E-5</v>
      </c>
      <c r="Q130" t="s">
        <v>251</v>
      </c>
      <c r="S130" t="s">
        <v>420</v>
      </c>
      <c r="T130" t="s">
        <v>1661</v>
      </c>
      <c r="U130">
        <v>1.9558969753774558E-5</v>
      </c>
      <c r="V130" t="s">
        <v>251</v>
      </c>
      <c r="X130">
        <v>1.1415525114155251E-4</v>
      </c>
      <c r="Y130">
        <v>1.7237235744060203E-4</v>
      </c>
      <c r="Z130" t="s">
        <v>1661</v>
      </c>
      <c r="AA130" t="s">
        <v>25</v>
      </c>
      <c r="AC130" t="s">
        <v>22</v>
      </c>
      <c r="AD130" t="s">
        <v>1661</v>
      </c>
      <c r="AE130">
        <v>1.189254446675895E-4</v>
      </c>
      <c r="AG130" t="s">
        <v>97</v>
      </c>
      <c r="AH130" t="s">
        <v>1661</v>
      </c>
      <c r="AI130">
        <v>0</v>
      </c>
    </row>
    <row r="131" spans="5:35" x14ac:dyDescent="0.45">
      <c r="E131" t="s">
        <v>1334</v>
      </c>
      <c r="G131" t="s">
        <v>155</v>
      </c>
      <c r="I131" t="s">
        <v>249</v>
      </c>
      <c r="J131" t="s">
        <v>1662</v>
      </c>
      <c r="K131">
        <v>8.8907288457598839E-5</v>
      </c>
      <c r="L131" t="s">
        <v>251</v>
      </c>
      <c r="N131" t="s">
        <v>419</v>
      </c>
      <c r="O131" t="s">
        <v>1662</v>
      </c>
      <c r="P131">
        <v>7.7914443121293293E-5</v>
      </c>
      <c r="Q131" t="s">
        <v>251</v>
      </c>
      <c r="S131" t="s">
        <v>420</v>
      </c>
      <c r="T131" t="s">
        <v>1662</v>
      </c>
      <c r="U131">
        <v>2.2645240477335183E-5</v>
      </c>
      <c r="V131" t="s">
        <v>251</v>
      </c>
      <c r="X131">
        <v>1.1415525114155251E-4</v>
      </c>
      <c r="Y131">
        <v>2.2209515285616027E-4</v>
      </c>
      <c r="Z131" t="s">
        <v>1662</v>
      </c>
      <c r="AA131" t="s">
        <v>25</v>
      </c>
      <c r="AC131" t="s">
        <v>22</v>
      </c>
      <c r="AD131" t="s">
        <v>1662</v>
      </c>
      <c r="AE131">
        <v>1.2078147199358446E-4</v>
      </c>
      <c r="AG131" t="s">
        <v>97</v>
      </c>
      <c r="AH131" t="s">
        <v>1662</v>
      </c>
      <c r="AI131">
        <v>0</v>
      </c>
    </row>
    <row r="132" spans="5:35" x14ac:dyDescent="0.45">
      <c r="E132" t="s">
        <v>1335</v>
      </c>
      <c r="G132" t="s">
        <v>155</v>
      </c>
      <c r="I132" t="s">
        <v>249</v>
      </c>
      <c r="J132" t="s">
        <v>1663</v>
      </c>
      <c r="K132">
        <v>6.8201763795488221E-5</v>
      </c>
      <c r="L132" t="s">
        <v>251</v>
      </c>
      <c r="N132" t="s">
        <v>419</v>
      </c>
      <c r="O132" t="s">
        <v>1663</v>
      </c>
      <c r="P132">
        <v>1.0593743243320001E-4</v>
      </c>
      <c r="Q132" t="s">
        <v>251</v>
      </c>
      <c r="S132" t="s">
        <v>420</v>
      </c>
      <c r="T132" t="s">
        <v>1663</v>
      </c>
      <c r="U132">
        <v>2.5065977483492743E-5</v>
      </c>
      <c r="V132" t="s">
        <v>251</v>
      </c>
      <c r="X132">
        <v>1.1415525114155251E-4</v>
      </c>
      <c r="Y132">
        <v>2.2209515285616027E-4</v>
      </c>
      <c r="Z132" t="s">
        <v>1663</v>
      </c>
      <c r="AA132" t="s">
        <v>25</v>
      </c>
      <c r="AC132" t="s">
        <v>22</v>
      </c>
      <c r="AD132" t="s">
        <v>1663</v>
      </c>
      <c r="AE132">
        <v>1.2161544373730448E-4</v>
      </c>
      <c r="AG132" t="s">
        <v>97</v>
      </c>
      <c r="AH132" t="s">
        <v>1663</v>
      </c>
      <c r="AI132">
        <v>0</v>
      </c>
    </row>
    <row r="133" spans="5:35" x14ac:dyDescent="0.45">
      <c r="E133" t="s">
        <v>1336</v>
      </c>
      <c r="G133" t="s">
        <v>155</v>
      </c>
      <c r="I133" t="s">
        <v>249</v>
      </c>
      <c r="J133" t="s">
        <v>1664</v>
      </c>
      <c r="K133">
        <v>1.6465420487932388E-6</v>
      </c>
      <c r="L133" t="s">
        <v>251</v>
      </c>
      <c r="N133" t="s">
        <v>419</v>
      </c>
      <c r="O133" t="s">
        <v>1664</v>
      </c>
      <c r="P133">
        <v>1.2281273916160001E-4</v>
      </c>
      <c r="Q133" t="s">
        <v>251</v>
      </c>
      <c r="S133" t="s">
        <v>420</v>
      </c>
      <c r="T133" t="s">
        <v>1664</v>
      </c>
      <c r="U133">
        <v>3.6253707828475405E-5</v>
      </c>
      <c r="V133" t="s">
        <v>251</v>
      </c>
      <c r="X133">
        <v>1.1415525114155251E-4</v>
      </c>
      <c r="Y133">
        <v>1.7237235744060203E-4</v>
      </c>
      <c r="Z133" t="s">
        <v>1664</v>
      </c>
      <c r="AA133" t="s">
        <v>25</v>
      </c>
      <c r="AC133" t="s">
        <v>22</v>
      </c>
      <c r="AD133" t="s">
        <v>1664</v>
      </c>
      <c r="AE133">
        <v>1.2328818936530338E-4</v>
      </c>
      <c r="AG133" t="s">
        <v>97</v>
      </c>
      <c r="AH133" t="s">
        <v>1664</v>
      </c>
      <c r="AI133">
        <v>0</v>
      </c>
    </row>
    <row r="134" spans="5:35" x14ac:dyDescent="0.45">
      <c r="E134" t="s">
        <v>1337</v>
      </c>
      <c r="G134" t="s">
        <v>155</v>
      </c>
      <c r="I134" t="s">
        <v>249</v>
      </c>
      <c r="J134" t="s">
        <v>1665</v>
      </c>
      <c r="K134">
        <v>0</v>
      </c>
      <c r="L134" t="s">
        <v>251</v>
      </c>
      <c r="N134" t="s">
        <v>419</v>
      </c>
      <c r="O134" t="s">
        <v>1665</v>
      </c>
      <c r="P134">
        <v>1.34615441357E-4</v>
      </c>
      <c r="Q134" t="s">
        <v>251</v>
      </c>
      <c r="S134" t="s">
        <v>420</v>
      </c>
      <c r="T134" t="s">
        <v>1665</v>
      </c>
      <c r="U134">
        <v>4.5925768949874977E-5</v>
      </c>
      <c r="V134" t="s">
        <v>251</v>
      </c>
      <c r="X134">
        <v>1.1415525114155251E-4</v>
      </c>
      <c r="Y134">
        <v>1.5579809230208258E-4</v>
      </c>
      <c r="Z134" t="s">
        <v>1665</v>
      </c>
      <c r="AA134" t="s">
        <v>25</v>
      </c>
      <c r="AC134" t="s">
        <v>22</v>
      </c>
      <c r="AD134" t="s">
        <v>1665</v>
      </c>
      <c r="AE134">
        <v>1.2389859478745036E-4</v>
      </c>
      <c r="AG134" t="s">
        <v>97</v>
      </c>
      <c r="AH134" t="s">
        <v>1665</v>
      </c>
      <c r="AI134">
        <v>0</v>
      </c>
    </row>
    <row r="135" spans="5:35" x14ac:dyDescent="0.45">
      <c r="E135" t="s">
        <v>1338</v>
      </c>
      <c r="G135" t="s">
        <v>155</v>
      </c>
      <c r="I135" t="s">
        <v>249</v>
      </c>
      <c r="J135" t="s">
        <v>1666</v>
      </c>
      <c r="K135">
        <v>0</v>
      </c>
      <c r="L135" t="s">
        <v>251</v>
      </c>
      <c r="N135" t="s">
        <v>419</v>
      </c>
      <c r="O135" t="s">
        <v>1666</v>
      </c>
      <c r="P135">
        <v>1.401329281822E-4</v>
      </c>
      <c r="Q135" t="s">
        <v>251</v>
      </c>
      <c r="S135" t="s">
        <v>420</v>
      </c>
      <c r="T135" t="s">
        <v>1666</v>
      </c>
      <c r="U135">
        <v>5.6798937570423209E-5</v>
      </c>
      <c r="V135" t="s">
        <v>251</v>
      </c>
      <c r="X135">
        <v>1.1415525114155251E-4</v>
      </c>
      <c r="Y135">
        <v>1.093901499142282E-4</v>
      </c>
      <c r="Z135" t="s">
        <v>1666</v>
      </c>
      <c r="AA135" t="s">
        <v>25</v>
      </c>
      <c r="AC135" t="s">
        <v>22</v>
      </c>
      <c r="AD135" t="s">
        <v>1666</v>
      </c>
      <c r="AE135">
        <v>1.2402745222577944E-4</v>
      </c>
      <c r="AG135" t="s">
        <v>97</v>
      </c>
      <c r="AH135" t="s">
        <v>1666</v>
      </c>
      <c r="AI135">
        <v>0</v>
      </c>
    </row>
    <row r="136" spans="5:35" x14ac:dyDescent="0.45">
      <c r="E136" t="s">
        <v>1339</v>
      </c>
      <c r="G136" t="s">
        <v>155</v>
      </c>
      <c r="I136" t="s">
        <v>249</v>
      </c>
      <c r="J136" t="s">
        <v>1667</v>
      </c>
      <c r="K136">
        <v>0</v>
      </c>
      <c r="L136" t="s">
        <v>251</v>
      </c>
      <c r="N136" t="s">
        <v>419</v>
      </c>
      <c r="O136" t="s">
        <v>1667</v>
      </c>
      <c r="P136">
        <v>1.413811993186E-4</v>
      </c>
      <c r="Q136" t="s">
        <v>251</v>
      </c>
      <c r="S136" t="s">
        <v>420</v>
      </c>
      <c r="T136" t="s">
        <v>1667</v>
      </c>
      <c r="U136">
        <v>7.1462903852174042E-5</v>
      </c>
      <c r="V136" t="s">
        <v>251</v>
      </c>
      <c r="X136">
        <v>1.1415525114155251E-4</v>
      </c>
      <c r="Y136">
        <v>7.9556472664893237E-5</v>
      </c>
      <c r="Z136" t="s">
        <v>1667</v>
      </c>
      <c r="AA136" t="s">
        <v>25</v>
      </c>
      <c r="AC136" t="s">
        <v>22</v>
      </c>
      <c r="AD136" t="s">
        <v>1667</v>
      </c>
      <c r="AE136">
        <v>1.2528321198191833E-4</v>
      </c>
      <c r="AG136" t="s">
        <v>97</v>
      </c>
      <c r="AH136" t="s">
        <v>1667</v>
      </c>
      <c r="AI136">
        <v>0</v>
      </c>
    </row>
    <row r="137" spans="5:35" x14ac:dyDescent="0.45">
      <c r="E137" t="s">
        <v>1340</v>
      </c>
      <c r="G137" t="s">
        <v>155</v>
      </c>
      <c r="I137" t="s">
        <v>249</v>
      </c>
      <c r="J137" t="s">
        <v>1668</v>
      </c>
      <c r="K137">
        <v>0</v>
      </c>
      <c r="L137" t="s">
        <v>251</v>
      </c>
      <c r="N137" t="s">
        <v>419</v>
      </c>
      <c r="O137" t="s">
        <v>1668</v>
      </c>
      <c r="P137">
        <v>1.4192466952599999E-4</v>
      </c>
      <c r="Q137" t="s">
        <v>251</v>
      </c>
      <c r="S137" t="s">
        <v>420</v>
      </c>
      <c r="T137" t="s">
        <v>1668</v>
      </c>
      <c r="U137">
        <v>8.5433086812055029E-5</v>
      </c>
      <c r="V137" t="s">
        <v>251</v>
      </c>
      <c r="X137">
        <v>1.1415525114155251E-4</v>
      </c>
      <c r="Y137">
        <v>5.6352501470966035E-5</v>
      </c>
      <c r="Z137" t="s">
        <v>1668</v>
      </c>
      <c r="AA137" t="s">
        <v>25</v>
      </c>
      <c r="AC137" t="s">
        <v>22</v>
      </c>
      <c r="AD137" t="s">
        <v>1668</v>
      </c>
      <c r="AE137">
        <v>1.3162497216105099E-4</v>
      </c>
      <c r="AG137" t="s">
        <v>97</v>
      </c>
      <c r="AH137" t="s">
        <v>1668</v>
      </c>
      <c r="AI137">
        <v>0</v>
      </c>
    </row>
    <row r="138" spans="5:35" x14ac:dyDescent="0.45">
      <c r="E138" t="s">
        <v>1341</v>
      </c>
      <c r="G138" t="s">
        <v>155</v>
      </c>
      <c r="I138" t="s">
        <v>249</v>
      </c>
      <c r="J138" t="s">
        <v>1669</v>
      </c>
      <c r="K138">
        <v>0</v>
      </c>
      <c r="L138" t="s">
        <v>251</v>
      </c>
      <c r="N138" t="s">
        <v>419</v>
      </c>
      <c r="O138" t="s">
        <v>1669</v>
      </c>
      <c r="P138">
        <v>1.4198899503880001E-4</v>
      </c>
      <c r="Q138" t="s">
        <v>251</v>
      </c>
      <c r="S138" t="s">
        <v>420</v>
      </c>
      <c r="T138" t="s">
        <v>1669</v>
      </c>
      <c r="U138">
        <v>1.007630139843E-4</v>
      </c>
      <c r="V138" t="s">
        <v>251</v>
      </c>
      <c r="X138">
        <v>1.1415525114155251E-4</v>
      </c>
      <c r="Y138">
        <v>2.9833677249334962E-5</v>
      </c>
      <c r="Z138" t="s">
        <v>1669</v>
      </c>
      <c r="AA138" t="s">
        <v>25</v>
      </c>
      <c r="AC138" t="s">
        <v>22</v>
      </c>
      <c r="AD138" t="s">
        <v>1669</v>
      </c>
      <c r="AE138">
        <v>1.3880550622446253E-4</v>
      </c>
      <c r="AG138" t="s">
        <v>97</v>
      </c>
      <c r="AH138" t="s">
        <v>1669</v>
      </c>
      <c r="AI138">
        <v>0</v>
      </c>
    </row>
    <row r="139" spans="5:35" x14ac:dyDescent="0.45">
      <c r="E139" t="s">
        <v>1342</v>
      </c>
      <c r="G139" t="s">
        <v>155</v>
      </c>
      <c r="I139" t="s">
        <v>249</v>
      </c>
      <c r="J139" t="s">
        <v>1670</v>
      </c>
      <c r="K139">
        <v>0</v>
      </c>
      <c r="L139" t="s">
        <v>251</v>
      </c>
      <c r="N139" t="s">
        <v>419</v>
      </c>
      <c r="O139" t="s">
        <v>1670</v>
      </c>
      <c r="P139">
        <v>1.3948857226930001E-4</v>
      </c>
      <c r="Q139" t="s">
        <v>251</v>
      </c>
      <c r="S139" t="s">
        <v>420</v>
      </c>
      <c r="T139" t="s">
        <v>1670</v>
      </c>
      <c r="U139">
        <v>1.106220829622E-4</v>
      </c>
      <c r="V139" t="s">
        <v>251</v>
      </c>
      <c r="X139">
        <v>1.1415525114155251E-4</v>
      </c>
      <c r="Y139">
        <v>2.1546544680075254E-5</v>
      </c>
      <c r="Z139" t="s">
        <v>1670</v>
      </c>
      <c r="AA139" t="s">
        <v>25</v>
      </c>
      <c r="AC139" t="s">
        <v>22</v>
      </c>
      <c r="AD139" t="s">
        <v>1670</v>
      </c>
      <c r="AE139">
        <v>1.385331181405412E-4</v>
      </c>
      <c r="AG139" t="s">
        <v>97</v>
      </c>
      <c r="AH139" t="s">
        <v>1670</v>
      </c>
      <c r="AI139">
        <v>0</v>
      </c>
    </row>
    <row r="140" spans="5:35" x14ac:dyDescent="0.45">
      <c r="E140" t="s">
        <v>1343</v>
      </c>
      <c r="G140" t="s">
        <v>155</v>
      </c>
      <c r="I140" t="s">
        <v>249</v>
      </c>
      <c r="J140" t="s">
        <v>1671</v>
      </c>
      <c r="K140">
        <v>0</v>
      </c>
      <c r="L140" t="s">
        <v>251</v>
      </c>
      <c r="N140" t="s">
        <v>419</v>
      </c>
      <c r="O140" t="s">
        <v>1671</v>
      </c>
      <c r="P140">
        <v>1.3723761423070001E-4</v>
      </c>
      <c r="Q140" t="s">
        <v>251</v>
      </c>
      <c r="S140" t="s">
        <v>420</v>
      </c>
      <c r="T140" t="s">
        <v>1671</v>
      </c>
      <c r="U140">
        <v>1.113605240281E-4</v>
      </c>
      <c r="V140" t="s">
        <v>251</v>
      </c>
      <c r="X140">
        <v>1.1415525114155251E-4</v>
      </c>
      <c r="Y140">
        <v>1.4916838624667481E-5</v>
      </c>
      <c r="Z140" t="s">
        <v>1671</v>
      </c>
      <c r="AA140" t="s">
        <v>25</v>
      </c>
      <c r="AC140" t="s">
        <v>22</v>
      </c>
      <c r="AD140" t="s">
        <v>1671</v>
      </c>
      <c r="AE140">
        <v>1.3803983159091281E-4</v>
      </c>
      <c r="AG140" t="s">
        <v>97</v>
      </c>
      <c r="AH140" t="s">
        <v>1671</v>
      </c>
      <c r="AI140">
        <v>0</v>
      </c>
    </row>
    <row r="141" spans="5:35" x14ac:dyDescent="0.45">
      <c r="E141" t="s">
        <v>1344</v>
      </c>
      <c r="G141" t="s">
        <v>155</v>
      </c>
      <c r="I141" t="s">
        <v>249</v>
      </c>
      <c r="J141" t="s">
        <v>1672</v>
      </c>
      <c r="K141">
        <v>0</v>
      </c>
      <c r="L141" t="s">
        <v>251</v>
      </c>
      <c r="N141" t="s">
        <v>419</v>
      </c>
      <c r="O141" t="s">
        <v>1672</v>
      </c>
      <c r="P141">
        <v>1.3794713433439999E-4</v>
      </c>
      <c r="Q141" t="s">
        <v>251</v>
      </c>
      <c r="S141" t="s">
        <v>420</v>
      </c>
      <c r="T141" t="s">
        <v>1672</v>
      </c>
      <c r="U141">
        <v>1.1180954025919999E-4</v>
      </c>
      <c r="V141" t="s">
        <v>251</v>
      </c>
      <c r="X141">
        <v>1.1415525114155251E-4</v>
      </c>
      <c r="Y141">
        <v>1.6574265138519424E-5</v>
      </c>
      <c r="Z141" t="s">
        <v>1672</v>
      </c>
      <c r="AA141" t="s">
        <v>25</v>
      </c>
      <c r="AC141" t="s">
        <v>22</v>
      </c>
      <c r="AD141" t="s">
        <v>1672</v>
      </c>
      <c r="AE141">
        <v>1.3240265214599787E-4</v>
      </c>
      <c r="AG141" t="s">
        <v>97</v>
      </c>
      <c r="AH141" t="s">
        <v>1672</v>
      </c>
      <c r="AI141">
        <v>0</v>
      </c>
    </row>
    <row r="142" spans="5:35" x14ac:dyDescent="0.45">
      <c r="E142" t="s">
        <v>1345</v>
      </c>
      <c r="G142" t="s">
        <v>155</v>
      </c>
      <c r="I142" t="s">
        <v>249</v>
      </c>
      <c r="J142" t="s">
        <v>1673</v>
      </c>
      <c r="K142">
        <v>0</v>
      </c>
      <c r="L142" t="s">
        <v>251</v>
      </c>
      <c r="N142" t="s">
        <v>419</v>
      </c>
      <c r="O142" t="s">
        <v>1673</v>
      </c>
      <c r="P142">
        <v>1.3901584324639999E-4</v>
      </c>
      <c r="Q142" t="s">
        <v>251</v>
      </c>
      <c r="S142" t="s">
        <v>420</v>
      </c>
      <c r="T142" t="s">
        <v>1673</v>
      </c>
      <c r="U142">
        <v>1.1246743666660001E-4</v>
      </c>
      <c r="V142" t="s">
        <v>251</v>
      </c>
      <c r="X142">
        <v>1.1415525114155251E-4</v>
      </c>
      <c r="Y142">
        <v>1.4585353321897093E-5</v>
      </c>
      <c r="Z142" t="s">
        <v>1673</v>
      </c>
      <c r="AA142" t="s">
        <v>25</v>
      </c>
      <c r="AC142" t="s">
        <v>22</v>
      </c>
      <c r="AD142" t="s">
        <v>1673</v>
      </c>
      <c r="AE142">
        <v>1.2914226549212633E-4</v>
      </c>
      <c r="AG142" t="s">
        <v>97</v>
      </c>
      <c r="AH142" t="s">
        <v>1673</v>
      </c>
      <c r="AI142">
        <v>0</v>
      </c>
    </row>
    <row r="143" spans="5:35" x14ac:dyDescent="0.45">
      <c r="E143" t="s">
        <v>1346</v>
      </c>
      <c r="G143" t="s">
        <v>155</v>
      </c>
      <c r="I143" t="s">
        <v>249</v>
      </c>
      <c r="J143" t="s">
        <v>1674</v>
      </c>
      <c r="K143">
        <v>0</v>
      </c>
      <c r="L143" t="s">
        <v>251</v>
      </c>
      <c r="N143" t="s">
        <v>419</v>
      </c>
      <c r="O143" t="s">
        <v>1674</v>
      </c>
      <c r="P143">
        <v>1.3611216010139999E-4</v>
      </c>
      <c r="Q143" t="s">
        <v>251</v>
      </c>
      <c r="S143" t="s">
        <v>420</v>
      </c>
      <c r="T143" t="s">
        <v>1674</v>
      </c>
      <c r="U143">
        <v>1.2751720586899999E-4</v>
      </c>
      <c r="V143" t="s">
        <v>251</v>
      </c>
      <c r="X143">
        <v>1.1415525114155251E-4</v>
      </c>
      <c r="Y143">
        <v>2.1215059377304864E-5</v>
      </c>
      <c r="Z143" t="s">
        <v>1674</v>
      </c>
      <c r="AA143" t="s">
        <v>25</v>
      </c>
      <c r="AC143" t="s">
        <v>22</v>
      </c>
      <c r="AD143" t="s">
        <v>1674</v>
      </c>
      <c r="AE143">
        <v>1.2535711158940727E-4</v>
      </c>
      <c r="AG143" t="s">
        <v>97</v>
      </c>
      <c r="AH143" t="s">
        <v>1674</v>
      </c>
      <c r="AI143">
        <v>0</v>
      </c>
    </row>
    <row r="144" spans="5:35" x14ac:dyDescent="0.45">
      <c r="E144" t="s">
        <v>1347</v>
      </c>
      <c r="G144" t="s">
        <v>155</v>
      </c>
      <c r="I144" t="s">
        <v>249</v>
      </c>
      <c r="J144" t="s">
        <v>1675</v>
      </c>
      <c r="K144">
        <v>0</v>
      </c>
      <c r="L144" t="s">
        <v>251</v>
      </c>
      <c r="N144" t="s">
        <v>419</v>
      </c>
      <c r="O144" t="s">
        <v>1675</v>
      </c>
      <c r="P144">
        <v>1.3436755350859999E-4</v>
      </c>
      <c r="Q144" t="s">
        <v>251</v>
      </c>
      <c r="S144" t="s">
        <v>420</v>
      </c>
      <c r="T144" t="s">
        <v>1675</v>
      </c>
      <c r="U144">
        <v>1.207405045578E-4</v>
      </c>
      <c r="V144" t="s">
        <v>251</v>
      </c>
      <c r="X144">
        <v>1.1415525114155251E-4</v>
      </c>
      <c r="Y144">
        <v>5.7678442682047593E-5</v>
      </c>
      <c r="Z144" t="s">
        <v>1675</v>
      </c>
      <c r="AA144" t="s">
        <v>25</v>
      </c>
      <c r="AC144" t="s">
        <v>22</v>
      </c>
      <c r="AD144" t="s">
        <v>1675</v>
      </c>
      <c r="AE144">
        <v>1.1826995248130668E-4</v>
      </c>
      <c r="AG144" t="s">
        <v>97</v>
      </c>
      <c r="AH144" t="s">
        <v>1675</v>
      </c>
      <c r="AI144">
        <v>0</v>
      </c>
    </row>
    <row r="145" spans="5:35" x14ac:dyDescent="0.45">
      <c r="E145" t="s">
        <v>1348</v>
      </c>
      <c r="G145" t="s">
        <v>155</v>
      </c>
      <c r="I145" t="s">
        <v>249</v>
      </c>
      <c r="J145" t="s">
        <v>1676</v>
      </c>
      <c r="K145">
        <v>0</v>
      </c>
      <c r="L145" t="s">
        <v>251</v>
      </c>
      <c r="N145" t="s">
        <v>419</v>
      </c>
      <c r="O145" t="s">
        <v>1676</v>
      </c>
      <c r="P145">
        <v>1.3336037715900001E-4</v>
      </c>
      <c r="Q145" t="s">
        <v>251</v>
      </c>
      <c r="S145" t="s">
        <v>420</v>
      </c>
      <c r="T145" t="s">
        <v>1676</v>
      </c>
      <c r="U145">
        <v>1.164430754402E-4</v>
      </c>
      <c r="V145" t="s">
        <v>251</v>
      </c>
      <c r="X145">
        <v>1.1415525114155251E-4</v>
      </c>
      <c r="Y145">
        <v>1.6905750441289813E-4</v>
      </c>
      <c r="Z145" t="s">
        <v>1676</v>
      </c>
      <c r="AA145" t="s">
        <v>25</v>
      </c>
      <c r="AC145" t="s">
        <v>22</v>
      </c>
      <c r="AD145" t="s">
        <v>1676</v>
      </c>
      <c r="AE145">
        <v>1.0696998217516291E-4</v>
      </c>
      <c r="AG145" t="s">
        <v>97</v>
      </c>
      <c r="AH145" t="s">
        <v>1676</v>
      </c>
      <c r="AI145">
        <v>0</v>
      </c>
    </row>
    <row r="146" spans="5:35" x14ac:dyDescent="0.45">
      <c r="E146" t="s">
        <v>1349</v>
      </c>
      <c r="G146" t="s">
        <v>155</v>
      </c>
      <c r="I146" t="s">
        <v>249</v>
      </c>
      <c r="J146" t="s">
        <v>1677</v>
      </c>
      <c r="K146">
        <v>5.7881397943015986E-6</v>
      </c>
      <c r="L146" t="s">
        <v>251</v>
      </c>
      <c r="N146" t="s">
        <v>419</v>
      </c>
      <c r="O146" t="s">
        <v>1677</v>
      </c>
      <c r="P146">
        <v>1.327306918221E-4</v>
      </c>
      <c r="Q146" t="s">
        <v>251</v>
      </c>
      <c r="S146" t="s">
        <v>420</v>
      </c>
      <c r="T146" t="s">
        <v>1677</v>
      </c>
      <c r="U146">
        <v>1.160325169269E-4</v>
      </c>
      <c r="V146" t="s">
        <v>251</v>
      </c>
      <c r="X146">
        <v>1.1415525114155251E-4</v>
      </c>
      <c r="Y146">
        <v>1.9060404909297337E-4</v>
      </c>
      <c r="Z146" t="s">
        <v>1677</v>
      </c>
      <c r="AA146" t="s">
        <v>25</v>
      </c>
      <c r="AC146" t="s">
        <v>22</v>
      </c>
      <c r="AD146" t="s">
        <v>1677</v>
      </c>
      <c r="AE146">
        <v>1.0205579166994126E-4</v>
      </c>
      <c r="AG146" t="s">
        <v>97</v>
      </c>
      <c r="AH146" t="s">
        <v>1677</v>
      </c>
      <c r="AI146">
        <v>0</v>
      </c>
    </row>
    <row r="147" spans="5:35" x14ac:dyDescent="0.45">
      <c r="E147" t="s">
        <v>1350</v>
      </c>
      <c r="G147" t="s">
        <v>155</v>
      </c>
      <c r="I147" t="s">
        <v>249</v>
      </c>
      <c r="J147" t="s">
        <v>1678</v>
      </c>
      <c r="K147">
        <v>8.7277614669981876E-5</v>
      </c>
      <c r="L147" t="s">
        <v>251</v>
      </c>
      <c r="N147" t="s">
        <v>419</v>
      </c>
      <c r="O147" t="s">
        <v>1678</v>
      </c>
      <c r="P147">
        <v>1.294544132309E-4</v>
      </c>
      <c r="Q147" t="s">
        <v>251</v>
      </c>
      <c r="S147" t="s">
        <v>420</v>
      </c>
      <c r="T147" t="s">
        <v>1678</v>
      </c>
      <c r="U147">
        <v>1.093577535133E-4</v>
      </c>
      <c r="V147" t="s">
        <v>251</v>
      </c>
      <c r="X147">
        <v>1.1415525114155251E-4</v>
      </c>
      <c r="Y147">
        <v>1.4585353321897094E-4</v>
      </c>
      <c r="Z147" t="s">
        <v>1678</v>
      </c>
      <c r="AA147" t="s">
        <v>25</v>
      </c>
      <c r="AC147" t="s">
        <v>22</v>
      </c>
      <c r="AD147" t="s">
        <v>1678</v>
      </c>
      <c r="AE147">
        <v>1.0020723434037119E-4</v>
      </c>
      <c r="AG147" t="s">
        <v>97</v>
      </c>
      <c r="AH147" t="s">
        <v>1678</v>
      </c>
      <c r="AI147">
        <v>0</v>
      </c>
    </row>
    <row r="148" spans="5:35" x14ac:dyDescent="0.45">
      <c r="E148" t="s">
        <v>1351</v>
      </c>
      <c r="G148" t="s">
        <v>155</v>
      </c>
      <c r="I148" t="s">
        <v>249</v>
      </c>
      <c r="J148" t="s">
        <v>1679</v>
      </c>
      <c r="K148">
        <v>1.344466261654E-4</v>
      </c>
      <c r="L148" t="s">
        <v>251</v>
      </c>
      <c r="N148" t="s">
        <v>419</v>
      </c>
      <c r="O148" t="s">
        <v>1679</v>
      </c>
      <c r="P148">
        <v>1.2334302471679999E-4</v>
      </c>
      <c r="Q148" t="s">
        <v>251</v>
      </c>
      <c r="S148" t="s">
        <v>420</v>
      </c>
      <c r="T148" t="s">
        <v>1679</v>
      </c>
      <c r="U148">
        <v>1.108024322557E-4</v>
      </c>
      <c r="V148" t="s">
        <v>251</v>
      </c>
      <c r="X148">
        <v>1.1415525114155251E-4</v>
      </c>
      <c r="Y148">
        <v>1.4452759200788939E-4</v>
      </c>
      <c r="Z148" t="s">
        <v>1679</v>
      </c>
      <c r="AA148" t="s">
        <v>25</v>
      </c>
      <c r="AC148" t="s">
        <v>22</v>
      </c>
      <c r="AD148" t="s">
        <v>1679</v>
      </c>
      <c r="AE148">
        <v>9.9592827134425179E-5</v>
      </c>
      <c r="AG148" t="s">
        <v>97</v>
      </c>
      <c r="AH148" t="s">
        <v>1679</v>
      </c>
      <c r="AI148">
        <v>0</v>
      </c>
    </row>
    <row r="149" spans="5:35" x14ac:dyDescent="0.45">
      <c r="E149" t="s">
        <v>1352</v>
      </c>
      <c r="G149" t="s">
        <v>155</v>
      </c>
      <c r="I149" t="s">
        <v>249</v>
      </c>
      <c r="J149" t="s">
        <v>1680</v>
      </c>
      <c r="K149">
        <v>1.8341150530450001E-4</v>
      </c>
      <c r="L149" t="s">
        <v>251</v>
      </c>
      <c r="N149" t="s">
        <v>419</v>
      </c>
      <c r="O149" t="s">
        <v>1680</v>
      </c>
      <c r="P149">
        <v>1.1964949732330001E-4</v>
      </c>
      <c r="Q149" t="s">
        <v>251</v>
      </c>
      <c r="S149" t="s">
        <v>420</v>
      </c>
      <c r="T149" t="s">
        <v>1680</v>
      </c>
      <c r="U149">
        <v>1.131226062749E-4</v>
      </c>
      <c r="V149" t="s">
        <v>251</v>
      </c>
      <c r="X149">
        <v>1.1415525114155251E-4</v>
      </c>
      <c r="Y149">
        <v>1.408812536774151E-4</v>
      </c>
      <c r="Z149" t="s">
        <v>1680</v>
      </c>
      <c r="AA149" t="s">
        <v>25</v>
      </c>
      <c r="AC149" t="s">
        <v>22</v>
      </c>
      <c r="AD149" t="s">
        <v>1680</v>
      </c>
      <c r="AE149">
        <v>9.9659790316662458E-5</v>
      </c>
      <c r="AG149" t="s">
        <v>97</v>
      </c>
      <c r="AH149" t="s">
        <v>1680</v>
      </c>
      <c r="AI149">
        <v>0</v>
      </c>
    </row>
    <row r="150" spans="5:35" x14ac:dyDescent="0.45">
      <c r="E150" t="s">
        <v>1353</v>
      </c>
      <c r="G150" t="s">
        <v>155</v>
      </c>
      <c r="I150" t="s">
        <v>249</v>
      </c>
      <c r="J150" t="s">
        <v>1681</v>
      </c>
      <c r="K150">
        <v>2.1304066087800001E-4</v>
      </c>
      <c r="L150" t="s">
        <v>251</v>
      </c>
      <c r="N150" t="s">
        <v>419</v>
      </c>
      <c r="O150" t="s">
        <v>1681</v>
      </c>
      <c r="P150">
        <v>1.195717032286E-4</v>
      </c>
      <c r="Q150" t="s">
        <v>251</v>
      </c>
      <c r="S150" t="s">
        <v>420</v>
      </c>
      <c r="T150" t="s">
        <v>1681</v>
      </c>
      <c r="U150">
        <v>1.146344504503E-4</v>
      </c>
      <c r="V150" t="s">
        <v>251</v>
      </c>
      <c r="X150">
        <v>1.1415525114155251E-4</v>
      </c>
      <c r="Y150">
        <v>1.4054976837464471E-4</v>
      </c>
      <c r="Z150" t="s">
        <v>1681</v>
      </c>
      <c r="AA150" t="s">
        <v>25</v>
      </c>
      <c r="AC150" t="s">
        <v>22</v>
      </c>
      <c r="AD150" t="s">
        <v>1681</v>
      </c>
      <c r="AE150">
        <v>1.0336917711278633E-4</v>
      </c>
      <c r="AG150" t="s">
        <v>97</v>
      </c>
      <c r="AH150" t="s">
        <v>1681</v>
      </c>
      <c r="AI150">
        <v>0</v>
      </c>
    </row>
    <row r="151" spans="5:35" x14ac:dyDescent="0.45">
      <c r="E151" t="s">
        <v>1354</v>
      </c>
      <c r="G151" t="s">
        <v>155</v>
      </c>
      <c r="I151" t="s">
        <v>249</v>
      </c>
      <c r="J151" t="s">
        <v>1682</v>
      </c>
      <c r="K151">
        <v>1.9429569317789999E-4</v>
      </c>
      <c r="L151" t="s">
        <v>251</v>
      </c>
      <c r="N151" t="s">
        <v>419</v>
      </c>
      <c r="O151" t="s">
        <v>1682</v>
      </c>
      <c r="P151">
        <v>1.18509455226E-4</v>
      </c>
      <c r="Q151" t="s">
        <v>251</v>
      </c>
      <c r="S151" t="s">
        <v>420</v>
      </c>
      <c r="T151" t="s">
        <v>1682</v>
      </c>
      <c r="U151">
        <v>1.064559520205E-4</v>
      </c>
      <c r="V151" t="s">
        <v>251</v>
      </c>
      <c r="X151">
        <v>1.1415525114155251E-4</v>
      </c>
      <c r="Y151">
        <v>1.4253868019126702E-4</v>
      </c>
      <c r="Z151" t="s">
        <v>1682</v>
      </c>
      <c r="AA151" t="s">
        <v>25</v>
      </c>
      <c r="AC151" t="s">
        <v>22</v>
      </c>
      <c r="AD151" t="s">
        <v>1682</v>
      </c>
      <c r="AE151">
        <v>1.0828603547387401E-4</v>
      </c>
      <c r="AG151" t="s">
        <v>97</v>
      </c>
      <c r="AH151" t="s">
        <v>1682</v>
      </c>
      <c r="AI151">
        <v>0</v>
      </c>
    </row>
    <row r="152" spans="5:35" x14ac:dyDescent="0.45">
      <c r="E152" t="s">
        <v>1355</v>
      </c>
      <c r="G152" t="s">
        <v>155</v>
      </c>
      <c r="I152" t="s">
        <v>249</v>
      </c>
      <c r="J152" t="s">
        <v>1683</v>
      </c>
      <c r="K152">
        <v>1.9559631257790001E-4</v>
      </c>
      <c r="L152" t="s">
        <v>251</v>
      </c>
      <c r="N152" t="s">
        <v>419</v>
      </c>
      <c r="O152" t="s">
        <v>1683</v>
      </c>
      <c r="P152">
        <v>1.1793609941919999E-4</v>
      </c>
      <c r="Q152" t="s">
        <v>251</v>
      </c>
      <c r="S152" t="s">
        <v>420</v>
      </c>
      <c r="T152" t="s">
        <v>1683</v>
      </c>
      <c r="U152">
        <v>1.006045204806E-4</v>
      </c>
      <c r="V152" t="s">
        <v>251</v>
      </c>
      <c r="X152">
        <v>1.1415525114155251E-4</v>
      </c>
      <c r="Y152">
        <v>1.4883690094390442E-4</v>
      </c>
      <c r="Z152" t="s">
        <v>1683</v>
      </c>
      <c r="AA152" t="s">
        <v>25</v>
      </c>
      <c r="AC152" t="s">
        <v>22</v>
      </c>
      <c r="AD152" t="s">
        <v>1683</v>
      </c>
      <c r="AE152">
        <v>1.1039897731976735E-4</v>
      </c>
      <c r="AG152" t="s">
        <v>97</v>
      </c>
      <c r="AH152" t="s">
        <v>1683</v>
      </c>
      <c r="AI152">
        <v>0</v>
      </c>
    </row>
    <row r="153" spans="5:35" x14ac:dyDescent="0.45">
      <c r="E153" t="s">
        <v>1356</v>
      </c>
      <c r="G153" t="s">
        <v>155</v>
      </c>
      <c r="I153" t="s">
        <v>249</v>
      </c>
      <c r="J153" t="s">
        <v>1684</v>
      </c>
      <c r="K153">
        <v>2.038705382285E-4</v>
      </c>
      <c r="L153" t="s">
        <v>251</v>
      </c>
      <c r="N153" t="s">
        <v>419</v>
      </c>
      <c r="O153" t="s">
        <v>1684</v>
      </c>
      <c r="P153">
        <v>1.145871018018E-4</v>
      </c>
      <c r="Q153" t="s">
        <v>251</v>
      </c>
      <c r="S153" t="s">
        <v>420</v>
      </c>
      <c r="T153" t="s">
        <v>1684</v>
      </c>
      <c r="U153">
        <v>9.3076635888895103E-5</v>
      </c>
      <c r="V153" t="s">
        <v>251</v>
      </c>
      <c r="X153">
        <v>1.1415525114155251E-4</v>
      </c>
      <c r="Y153">
        <v>1.5049432745775637E-4</v>
      </c>
      <c r="Z153" t="s">
        <v>1684</v>
      </c>
      <c r="AA153" t="s">
        <v>25</v>
      </c>
      <c r="AC153" t="s">
        <v>22</v>
      </c>
      <c r="AD153" t="s">
        <v>1684</v>
      </c>
      <c r="AE153">
        <v>1.1671565965375937E-4</v>
      </c>
      <c r="AG153" t="s">
        <v>97</v>
      </c>
      <c r="AH153" t="s">
        <v>1684</v>
      </c>
      <c r="AI153">
        <v>0</v>
      </c>
    </row>
    <row r="154" spans="5:35" x14ac:dyDescent="0.45">
      <c r="E154" t="s">
        <v>1357</v>
      </c>
      <c r="G154" t="s">
        <v>155</v>
      </c>
      <c r="I154" t="s">
        <v>249</v>
      </c>
      <c r="J154" t="s">
        <v>1685</v>
      </c>
      <c r="K154">
        <v>2.0245321676139999E-4</v>
      </c>
      <c r="L154" t="s">
        <v>251</v>
      </c>
      <c r="N154" t="s">
        <v>419</v>
      </c>
      <c r="O154" t="s">
        <v>1685</v>
      </c>
      <c r="P154">
        <v>1.03674557985E-4</v>
      </c>
      <c r="Q154" t="s">
        <v>251</v>
      </c>
      <c r="S154" t="s">
        <v>420</v>
      </c>
      <c r="T154" t="s">
        <v>1685</v>
      </c>
      <c r="U154">
        <v>8.7818039699341489E-5</v>
      </c>
      <c r="V154" t="s">
        <v>251</v>
      </c>
      <c r="X154">
        <v>1.1415525114155251E-4</v>
      </c>
      <c r="Y154">
        <v>1.7237235744060203E-4</v>
      </c>
      <c r="Z154" t="s">
        <v>1685</v>
      </c>
      <c r="AA154" t="s">
        <v>25</v>
      </c>
      <c r="AC154" t="s">
        <v>22</v>
      </c>
      <c r="AD154" t="s">
        <v>1685</v>
      </c>
      <c r="AE154">
        <v>1.1713931516528446E-4</v>
      </c>
      <c r="AG154" t="s">
        <v>97</v>
      </c>
      <c r="AH154" t="s">
        <v>1685</v>
      </c>
      <c r="AI154">
        <v>0</v>
      </c>
    </row>
    <row r="155" spans="5:35" x14ac:dyDescent="0.45">
      <c r="E155" t="s">
        <v>1358</v>
      </c>
      <c r="G155" t="s">
        <v>155</v>
      </c>
      <c r="I155" t="s">
        <v>249</v>
      </c>
      <c r="J155" t="s">
        <v>1686</v>
      </c>
      <c r="K155">
        <v>1.8104477006450001E-4</v>
      </c>
      <c r="L155" t="s">
        <v>251</v>
      </c>
      <c r="N155" t="s">
        <v>419</v>
      </c>
      <c r="O155" t="s">
        <v>1686</v>
      </c>
      <c r="P155">
        <v>9.9062535236728956E-5</v>
      </c>
      <c r="Q155" t="s">
        <v>251</v>
      </c>
      <c r="S155" t="s">
        <v>420</v>
      </c>
      <c r="T155" t="s">
        <v>1686</v>
      </c>
      <c r="U155">
        <v>8.1641284240269762E-5</v>
      </c>
      <c r="V155" t="s">
        <v>251</v>
      </c>
      <c r="X155">
        <v>1.1415525114155251E-4</v>
      </c>
      <c r="Y155">
        <v>2.2209515285616027E-4</v>
      </c>
      <c r="Z155" t="s">
        <v>1686</v>
      </c>
      <c r="AA155" t="s">
        <v>25</v>
      </c>
      <c r="AC155" t="s">
        <v>22</v>
      </c>
      <c r="AD155" t="s">
        <v>1686</v>
      </c>
      <c r="AE155">
        <v>1.2097275725917859E-4</v>
      </c>
      <c r="AG155" t="s">
        <v>97</v>
      </c>
      <c r="AH155" t="s">
        <v>1686</v>
      </c>
      <c r="AI155">
        <v>0</v>
      </c>
    </row>
    <row r="156" spans="5:35" x14ac:dyDescent="0.45">
      <c r="E156" t="s">
        <v>1359</v>
      </c>
      <c r="G156" t="s">
        <v>155</v>
      </c>
      <c r="I156" t="s">
        <v>249</v>
      </c>
      <c r="J156" t="s">
        <v>1687</v>
      </c>
      <c r="K156">
        <v>1.270488739352E-4</v>
      </c>
      <c r="L156" t="s">
        <v>251</v>
      </c>
      <c r="N156" t="s">
        <v>419</v>
      </c>
      <c r="O156" t="s">
        <v>1687</v>
      </c>
      <c r="P156">
        <v>1.0234922617519999E-4</v>
      </c>
      <c r="Q156" t="s">
        <v>251</v>
      </c>
      <c r="S156" t="s">
        <v>420</v>
      </c>
      <c r="T156" t="s">
        <v>1687</v>
      </c>
      <c r="U156">
        <v>9.5911677267853965E-5</v>
      </c>
      <c r="V156" t="s">
        <v>251</v>
      </c>
      <c r="X156">
        <v>1.1415525114155251E-4</v>
      </c>
      <c r="Y156">
        <v>2.2209515285616027E-4</v>
      </c>
      <c r="Z156" t="s">
        <v>1687</v>
      </c>
      <c r="AA156" t="s">
        <v>25</v>
      </c>
      <c r="AC156" t="s">
        <v>22</v>
      </c>
      <c r="AD156" t="s">
        <v>1687</v>
      </c>
      <c r="AE156">
        <v>1.2168587513216759E-4</v>
      </c>
      <c r="AG156" t="s">
        <v>97</v>
      </c>
      <c r="AH156" t="s">
        <v>1687</v>
      </c>
      <c r="AI156">
        <v>0</v>
      </c>
    </row>
    <row r="157" spans="5:35" x14ac:dyDescent="0.45">
      <c r="E157" t="s">
        <v>1360</v>
      </c>
      <c r="G157" t="s">
        <v>155</v>
      </c>
      <c r="I157" t="s">
        <v>249</v>
      </c>
      <c r="J157" t="s">
        <v>1688</v>
      </c>
      <c r="K157">
        <v>1.5727622758033494E-6</v>
      </c>
      <c r="L157" t="s">
        <v>251</v>
      </c>
      <c r="N157" t="s">
        <v>419</v>
      </c>
      <c r="O157" t="s">
        <v>1688</v>
      </c>
      <c r="P157">
        <v>1.076136168188E-4</v>
      </c>
      <c r="Q157" t="s">
        <v>251</v>
      </c>
      <c r="S157" t="s">
        <v>420</v>
      </c>
      <c r="T157" t="s">
        <v>1688</v>
      </c>
      <c r="U157">
        <v>1.178860810615E-4</v>
      </c>
      <c r="V157" t="s">
        <v>251</v>
      </c>
      <c r="X157">
        <v>1.1415525114155251E-4</v>
      </c>
      <c r="Y157">
        <v>1.7237235744060203E-4</v>
      </c>
      <c r="Z157" t="s">
        <v>1688</v>
      </c>
      <c r="AA157" t="s">
        <v>25</v>
      </c>
      <c r="AC157" t="s">
        <v>22</v>
      </c>
      <c r="AD157" t="s">
        <v>1688</v>
      </c>
      <c r="AE157">
        <v>1.2274688141008651E-4</v>
      </c>
      <c r="AG157" t="s">
        <v>97</v>
      </c>
      <c r="AH157" t="s">
        <v>1688</v>
      </c>
      <c r="AI157">
        <v>0</v>
      </c>
    </row>
    <row r="158" spans="5:35" x14ac:dyDescent="0.45">
      <c r="E158" t="s">
        <v>1361</v>
      </c>
      <c r="G158" t="s">
        <v>155</v>
      </c>
      <c r="I158" t="s">
        <v>249</v>
      </c>
      <c r="J158" t="s">
        <v>1689</v>
      </c>
      <c r="K158">
        <v>0</v>
      </c>
      <c r="L158" t="s">
        <v>251</v>
      </c>
      <c r="N158" t="s">
        <v>419</v>
      </c>
      <c r="O158" t="s">
        <v>1689</v>
      </c>
      <c r="P158">
        <v>1.121447883682E-4</v>
      </c>
      <c r="Q158" t="s">
        <v>251</v>
      </c>
      <c r="S158" t="s">
        <v>420</v>
      </c>
      <c r="T158" t="s">
        <v>1689</v>
      </c>
      <c r="U158">
        <v>1.3368071713110001E-4</v>
      </c>
      <c r="V158" t="s">
        <v>251</v>
      </c>
      <c r="X158">
        <v>1.1415525114155251E-4</v>
      </c>
      <c r="Y158">
        <v>1.5579809230208258E-4</v>
      </c>
      <c r="Z158" t="s">
        <v>1689</v>
      </c>
      <c r="AA158" t="s">
        <v>25</v>
      </c>
      <c r="AC158" t="s">
        <v>22</v>
      </c>
      <c r="AD158" t="s">
        <v>1689</v>
      </c>
      <c r="AE158">
        <v>1.2268765500986068E-4</v>
      </c>
      <c r="AG158" t="s">
        <v>97</v>
      </c>
      <c r="AH158" t="s">
        <v>1689</v>
      </c>
      <c r="AI158">
        <v>0</v>
      </c>
    </row>
    <row r="159" spans="5:35" x14ac:dyDescent="0.45">
      <c r="E159" t="s">
        <v>1362</v>
      </c>
      <c r="G159" t="s">
        <v>155</v>
      </c>
      <c r="I159" t="s">
        <v>249</v>
      </c>
      <c r="J159" t="s">
        <v>1690</v>
      </c>
      <c r="K159">
        <v>0</v>
      </c>
      <c r="L159" t="s">
        <v>251</v>
      </c>
      <c r="N159" t="s">
        <v>419</v>
      </c>
      <c r="O159" t="s">
        <v>1690</v>
      </c>
      <c r="P159">
        <v>1.156475001537E-4</v>
      </c>
      <c r="Q159" t="s">
        <v>251</v>
      </c>
      <c r="S159" t="s">
        <v>420</v>
      </c>
      <c r="T159" t="s">
        <v>1690</v>
      </c>
      <c r="U159">
        <v>1.368136627762E-4</v>
      </c>
      <c r="V159" t="s">
        <v>251</v>
      </c>
      <c r="X159">
        <v>1.1415525114155251E-4</v>
      </c>
      <c r="Y159">
        <v>1.093901499142282E-4</v>
      </c>
      <c r="Z159" t="s">
        <v>1690</v>
      </c>
      <c r="AA159" t="s">
        <v>25</v>
      </c>
      <c r="AC159" t="s">
        <v>22</v>
      </c>
      <c r="AD159" t="s">
        <v>1690</v>
      </c>
      <c r="AE159">
        <v>1.2296858023255335E-4</v>
      </c>
      <c r="AG159" t="s">
        <v>97</v>
      </c>
      <c r="AH159" t="s">
        <v>1690</v>
      </c>
      <c r="AI159">
        <v>0</v>
      </c>
    </row>
    <row r="160" spans="5:35" x14ac:dyDescent="0.45">
      <c r="E160" t="s">
        <v>1363</v>
      </c>
      <c r="G160" t="s">
        <v>155</v>
      </c>
      <c r="I160" t="s">
        <v>249</v>
      </c>
      <c r="J160" t="s">
        <v>1691</v>
      </c>
      <c r="K160">
        <v>0</v>
      </c>
      <c r="L160" t="s">
        <v>251</v>
      </c>
      <c r="N160" t="s">
        <v>419</v>
      </c>
      <c r="O160" t="s">
        <v>1691</v>
      </c>
      <c r="P160">
        <v>1.176832461607E-4</v>
      </c>
      <c r="Q160" t="s">
        <v>251</v>
      </c>
      <c r="S160" t="s">
        <v>420</v>
      </c>
      <c r="T160" t="s">
        <v>1691</v>
      </c>
      <c r="U160">
        <v>1.3515966514669999E-4</v>
      </c>
      <c r="V160" t="s">
        <v>251</v>
      </c>
      <c r="X160">
        <v>1.1415525114155251E-4</v>
      </c>
      <c r="Y160">
        <v>7.9556472664893237E-5</v>
      </c>
      <c r="Z160" t="s">
        <v>1691</v>
      </c>
      <c r="AA160" t="s">
        <v>25</v>
      </c>
      <c r="AC160" t="s">
        <v>22</v>
      </c>
      <c r="AD160" t="s">
        <v>1691</v>
      </c>
      <c r="AE160">
        <v>1.2422433998869224E-4</v>
      </c>
      <c r="AG160" t="s">
        <v>97</v>
      </c>
      <c r="AH160" t="s">
        <v>1691</v>
      </c>
      <c r="AI160">
        <v>0</v>
      </c>
    </row>
    <row r="161" spans="5:35" x14ac:dyDescent="0.45">
      <c r="E161" t="s">
        <v>1364</v>
      </c>
      <c r="G161" t="s">
        <v>155</v>
      </c>
      <c r="I161" t="s">
        <v>249</v>
      </c>
      <c r="J161" t="s">
        <v>1692</v>
      </c>
      <c r="K161">
        <v>0</v>
      </c>
      <c r="L161" t="s">
        <v>251</v>
      </c>
      <c r="N161" t="s">
        <v>419</v>
      </c>
      <c r="O161" t="s">
        <v>1692</v>
      </c>
      <c r="P161">
        <v>1.187624072868E-4</v>
      </c>
      <c r="Q161" t="s">
        <v>251</v>
      </c>
      <c r="S161" t="s">
        <v>420</v>
      </c>
      <c r="T161" t="s">
        <v>1692</v>
      </c>
      <c r="U161">
        <v>1.378403362618E-4</v>
      </c>
      <c r="V161" t="s">
        <v>251</v>
      </c>
      <c r="X161">
        <v>1.1415525114155251E-4</v>
      </c>
      <c r="Y161">
        <v>5.6352501470966035E-5</v>
      </c>
      <c r="Z161" t="s">
        <v>1692</v>
      </c>
      <c r="AA161" t="s">
        <v>25</v>
      </c>
      <c r="AC161" t="s">
        <v>22</v>
      </c>
      <c r="AD161" t="s">
        <v>1692</v>
      </c>
      <c r="AE161">
        <v>1.2940264822465056E-4</v>
      </c>
      <c r="AG161" t="s">
        <v>97</v>
      </c>
      <c r="AH161" t="s">
        <v>1692</v>
      </c>
      <c r="AI161">
        <v>0</v>
      </c>
    </row>
    <row r="162" spans="5:35" x14ac:dyDescent="0.45">
      <c r="E162" t="s">
        <v>1365</v>
      </c>
      <c r="G162" t="s">
        <v>155</v>
      </c>
      <c r="I162" t="s">
        <v>249</v>
      </c>
      <c r="J162" t="s">
        <v>1693</v>
      </c>
      <c r="K162">
        <v>0</v>
      </c>
      <c r="L162" t="s">
        <v>251</v>
      </c>
      <c r="N162" t="s">
        <v>419</v>
      </c>
      <c r="O162" t="s">
        <v>1693</v>
      </c>
      <c r="P162">
        <v>1.187257150816E-4</v>
      </c>
      <c r="Q162" t="s">
        <v>251</v>
      </c>
      <c r="S162" t="s">
        <v>420</v>
      </c>
      <c r="T162" t="s">
        <v>1693</v>
      </c>
      <c r="U162">
        <v>1.4079763028069999E-4</v>
      </c>
      <c r="V162" t="s">
        <v>251</v>
      </c>
      <c r="X162">
        <v>1.1415525114155251E-4</v>
      </c>
      <c r="Y162">
        <v>2.9833677249334962E-5</v>
      </c>
      <c r="Z162" t="s">
        <v>1693</v>
      </c>
      <c r="AA162" t="s">
        <v>25</v>
      </c>
      <c r="AC162" t="s">
        <v>22</v>
      </c>
      <c r="AD162" t="s">
        <v>1693</v>
      </c>
      <c r="AE162">
        <v>1.3799581196912336E-4</v>
      </c>
      <c r="AG162" t="s">
        <v>97</v>
      </c>
      <c r="AH162" t="s">
        <v>1693</v>
      </c>
      <c r="AI162">
        <v>0</v>
      </c>
    </row>
    <row r="163" spans="5:35" x14ac:dyDescent="0.45">
      <c r="E163" t="s">
        <v>1366</v>
      </c>
      <c r="G163" t="s">
        <v>155</v>
      </c>
      <c r="I163" t="s">
        <v>249</v>
      </c>
      <c r="J163" t="s">
        <v>1694</v>
      </c>
      <c r="K163">
        <v>0</v>
      </c>
      <c r="L163" t="s">
        <v>251</v>
      </c>
      <c r="N163" t="s">
        <v>419</v>
      </c>
      <c r="O163" t="s">
        <v>1694</v>
      </c>
      <c r="P163">
        <v>1.18875207633E-4</v>
      </c>
      <c r="Q163" t="s">
        <v>251</v>
      </c>
      <c r="S163" t="s">
        <v>420</v>
      </c>
      <c r="T163" t="s">
        <v>1694</v>
      </c>
      <c r="U163">
        <v>1.372294760584E-4</v>
      </c>
      <c r="V163" t="s">
        <v>251</v>
      </c>
      <c r="X163">
        <v>1.1415525114155251E-4</v>
      </c>
      <c r="Y163">
        <v>2.1546544680075254E-5</v>
      </c>
      <c r="Z163" t="s">
        <v>1694</v>
      </c>
      <c r="AA163" t="s">
        <v>25</v>
      </c>
      <c r="AC163" t="s">
        <v>22</v>
      </c>
      <c r="AD163" t="s">
        <v>1694</v>
      </c>
      <c r="AE163">
        <v>1.3731924372149893E-4</v>
      </c>
      <c r="AG163" t="s">
        <v>97</v>
      </c>
      <c r="AH163" t="s">
        <v>1694</v>
      </c>
      <c r="AI163">
        <v>0</v>
      </c>
    </row>
    <row r="164" spans="5:35" x14ac:dyDescent="0.45">
      <c r="E164" t="s">
        <v>1367</v>
      </c>
      <c r="G164" t="s">
        <v>155</v>
      </c>
      <c r="I164" t="s">
        <v>249</v>
      </c>
      <c r="J164" t="s">
        <v>1695</v>
      </c>
      <c r="K164">
        <v>0</v>
      </c>
      <c r="L164" t="s">
        <v>251</v>
      </c>
      <c r="N164" t="s">
        <v>419</v>
      </c>
      <c r="O164" t="s">
        <v>1695</v>
      </c>
      <c r="P164">
        <v>1.212556913389E-4</v>
      </c>
      <c r="Q164" t="s">
        <v>251</v>
      </c>
      <c r="S164" t="s">
        <v>420</v>
      </c>
      <c r="T164" t="s">
        <v>1695</v>
      </c>
      <c r="U164">
        <v>1.3105800609600001E-4</v>
      </c>
      <c r="V164" t="s">
        <v>251</v>
      </c>
      <c r="X164">
        <v>1.1415525114155251E-4</v>
      </c>
      <c r="Y164">
        <v>1.4916838624667481E-5</v>
      </c>
      <c r="Z164" t="s">
        <v>1695</v>
      </c>
      <c r="AA164" t="s">
        <v>25</v>
      </c>
      <c r="AC164" t="s">
        <v>22</v>
      </c>
      <c r="AD164" t="s">
        <v>1695</v>
      </c>
      <c r="AE164">
        <v>1.3712155560182632E-4</v>
      </c>
      <c r="AG164" t="s">
        <v>97</v>
      </c>
      <c r="AH164" t="s">
        <v>1695</v>
      </c>
      <c r="AI164">
        <v>0</v>
      </c>
    </row>
    <row r="165" spans="5:35" x14ac:dyDescent="0.45">
      <c r="E165" t="s">
        <v>1368</v>
      </c>
      <c r="G165" t="s">
        <v>155</v>
      </c>
      <c r="I165" t="s">
        <v>249</v>
      </c>
      <c r="J165" t="s">
        <v>1696</v>
      </c>
      <c r="K165">
        <v>0</v>
      </c>
      <c r="L165" t="s">
        <v>251</v>
      </c>
      <c r="N165" t="s">
        <v>419</v>
      </c>
      <c r="O165" t="s">
        <v>1696</v>
      </c>
      <c r="P165">
        <v>1.21329051747E-4</v>
      </c>
      <c r="Q165" t="s">
        <v>251</v>
      </c>
      <c r="S165" t="s">
        <v>420</v>
      </c>
      <c r="T165" t="s">
        <v>1696</v>
      </c>
      <c r="U165">
        <v>1.188668013385E-4</v>
      </c>
      <c r="V165" t="s">
        <v>251</v>
      </c>
      <c r="X165">
        <v>1.1415525114155251E-4</v>
      </c>
      <c r="Y165">
        <v>1.6574265138519424E-5</v>
      </c>
      <c r="Z165" t="s">
        <v>1696</v>
      </c>
      <c r="AA165" t="s">
        <v>25</v>
      </c>
      <c r="AC165" t="s">
        <v>22</v>
      </c>
      <c r="AD165" t="s">
        <v>1696</v>
      </c>
      <c r="AE165">
        <v>1.3043083987541735E-4</v>
      </c>
      <c r="AG165" t="s">
        <v>97</v>
      </c>
      <c r="AH165" t="s">
        <v>1696</v>
      </c>
      <c r="AI165">
        <v>0</v>
      </c>
    </row>
    <row r="166" spans="5:35" x14ac:dyDescent="0.45">
      <c r="E166" t="s">
        <v>1369</v>
      </c>
      <c r="G166" t="s">
        <v>155</v>
      </c>
      <c r="I166" t="s">
        <v>249</v>
      </c>
      <c r="J166" t="s">
        <v>1697</v>
      </c>
      <c r="K166">
        <v>0</v>
      </c>
      <c r="L166" t="s">
        <v>251</v>
      </c>
      <c r="N166" t="s">
        <v>419</v>
      </c>
      <c r="O166" t="s">
        <v>1697</v>
      </c>
      <c r="P166">
        <v>1.284780399901E-4</v>
      </c>
      <c r="Q166" t="s">
        <v>251</v>
      </c>
      <c r="S166" t="s">
        <v>420</v>
      </c>
      <c r="T166" t="s">
        <v>1697</v>
      </c>
      <c r="U166">
        <v>9.7756140465919038E-5</v>
      </c>
      <c r="V166" t="s">
        <v>251</v>
      </c>
      <c r="X166">
        <v>1.1415525114155251E-4</v>
      </c>
      <c r="Y166">
        <v>1.4585353321897093E-5</v>
      </c>
      <c r="Z166" t="s">
        <v>1697</v>
      </c>
      <c r="AA166" t="s">
        <v>25</v>
      </c>
      <c r="AC166" t="s">
        <v>22</v>
      </c>
      <c r="AD166" t="s">
        <v>1697</v>
      </c>
      <c r="AE166">
        <v>1.2711469503394585E-4</v>
      </c>
      <c r="AG166" t="s">
        <v>97</v>
      </c>
      <c r="AH166" t="s">
        <v>1697</v>
      </c>
      <c r="AI166">
        <v>0</v>
      </c>
    </row>
    <row r="167" spans="5:35" x14ac:dyDescent="0.45">
      <c r="E167" t="s">
        <v>1370</v>
      </c>
      <c r="G167" t="s">
        <v>155</v>
      </c>
      <c r="I167" t="s">
        <v>249</v>
      </c>
      <c r="J167" t="s">
        <v>1698</v>
      </c>
      <c r="K167">
        <v>0</v>
      </c>
      <c r="L167" t="s">
        <v>251</v>
      </c>
      <c r="N167" t="s">
        <v>419</v>
      </c>
      <c r="O167" t="s">
        <v>1698</v>
      </c>
      <c r="P167">
        <v>1.1806819920689999E-4</v>
      </c>
      <c r="Q167" t="s">
        <v>251</v>
      </c>
      <c r="S167" t="s">
        <v>420</v>
      </c>
      <c r="T167" t="s">
        <v>1698</v>
      </c>
      <c r="U167">
        <v>7.3392703781983068E-5</v>
      </c>
      <c r="V167" t="s">
        <v>251</v>
      </c>
      <c r="X167">
        <v>1.1415525114155251E-4</v>
      </c>
      <c r="Y167">
        <v>2.1215059377304864E-5</v>
      </c>
      <c r="Z167" t="s">
        <v>1698</v>
      </c>
      <c r="AA167" t="s">
        <v>25</v>
      </c>
      <c r="AC167" t="s">
        <v>22</v>
      </c>
      <c r="AD167" t="s">
        <v>1698</v>
      </c>
      <c r="AE167">
        <v>1.2360433028542757E-4</v>
      </c>
      <c r="AG167" t="s">
        <v>97</v>
      </c>
      <c r="AH167" t="s">
        <v>1698</v>
      </c>
      <c r="AI167">
        <v>0</v>
      </c>
    </row>
    <row r="168" spans="5:35" x14ac:dyDescent="0.45">
      <c r="E168" t="s">
        <v>1371</v>
      </c>
      <c r="G168" t="s">
        <v>155</v>
      </c>
      <c r="I168" t="s">
        <v>249</v>
      </c>
      <c r="J168" t="s">
        <v>1699</v>
      </c>
      <c r="K168">
        <v>0</v>
      </c>
      <c r="L168" t="s">
        <v>251</v>
      </c>
      <c r="N168" t="s">
        <v>419</v>
      </c>
      <c r="O168" t="s">
        <v>1699</v>
      </c>
      <c r="P168">
        <v>1.092227314114E-4</v>
      </c>
      <c r="Q168" t="s">
        <v>251</v>
      </c>
      <c r="S168" t="s">
        <v>420</v>
      </c>
      <c r="T168" t="s">
        <v>1699</v>
      </c>
      <c r="U168">
        <v>6.0995943542733692E-5</v>
      </c>
      <c r="V168" t="s">
        <v>251</v>
      </c>
      <c r="X168">
        <v>1.1415525114155251E-4</v>
      </c>
      <c r="Y168">
        <v>5.7678442682047593E-5</v>
      </c>
      <c r="Z168" t="s">
        <v>1699</v>
      </c>
      <c r="AA168" t="s">
        <v>25</v>
      </c>
      <c r="AC168" t="s">
        <v>22</v>
      </c>
      <c r="AD168" t="s">
        <v>1699</v>
      </c>
      <c r="AE168">
        <v>1.1480147306988504E-4</v>
      </c>
      <c r="AG168" t="s">
        <v>97</v>
      </c>
      <c r="AH168" t="s">
        <v>1699</v>
      </c>
      <c r="AI168">
        <v>0</v>
      </c>
    </row>
    <row r="169" spans="5:35" x14ac:dyDescent="0.45">
      <c r="E169" t="s">
        <v>1372</v>
      </c>
      <c r="G169" t="s">
        <v>155</v>
      </c>
      <c r="I169" t="s">
        <v>249</v>
      </c>
      <c r="J169" t="s">
        <v>1700</v>
      </c>
      <c r="K169">
        <v>0</v>
      </c>
      <c r="L169" t="s">
        <v>251</v>
      </c>
      <c r="N169" t="s">
        <v>419</v>
      </c>
      <c r="O169" t="s">
        <v>1700</v>
      </c>
      <c r="P169">
        <v>1.070899240456E-4</v>
      </c>
      <c r="Q169" t="s">
        <v>251</v>
      </c>
      <c r="S169" t="s">
        <v>420</v>
      </c>
      <c r="T169" t="s">
        <v>1700</v>
      </c>
      <c r="U169">
        <v>5.3182173852455903E-5</v>
      </c>
      <c r="V169" t="s">
        <v>251</v>
      </c>
      <c r="X169">
        <v>1.1415525114155251E-4</v>
      </c>
      <c r="Y169">
        <v>1.6905750441289813E-4</v>
      </c>
      <c r="Z169" t="s">
        <v>1700</v>
      </c>
      <c r="AA169" t="s">
        <v>25</v>
      </c>
      <c r="AC169" t="s">
        <v>22</v>
      </c>
      <c r="AD169" t="s">
        <v>1700</v>
      </c>
      <c r="AE169">
        <v>1.0769190397250981E-4</v>
      </c>
      <c r="AG169" t="s">
        <v>97</v>
      </c>
      <c r="AH169" t="s">
        <v>1700</v>
      </c>
      <c r="AI169">
        <v>0</v>
      </c>
    </row>
    <row r="170" spans="5:35" x14ac:dyDescent="0.45">
      <c r="E170" t="s">
        <v>1373</v>
      </c>
      <c r="G170" t="s">
        <v>155</v>
      </c>
      <c r="I170" t="s">
        <v>249</v>
      </c>
      <c r="J170" t="s">
        <v>1701</v>
      </c>
      <c r="K170">
        <v>5.8434893973917015E-6</v>
      </c>
      <c r="L170" t="s">
        <v>251</v>
      </c>
      <c r="N170" t="s">
        <v>419</v>
      </c>
      <c r="O170" t="s">
        <v>1701</v>
      </c>
      <c r="P170">
        <v>1.064369345247E-4</v>
      </c>
      <c r="Q170" t="s">
        <v>251</v>
      </c>
      <c r="S170" t="s">
        <v>420</v>
      </c>
      <c r="T170" t="s">
        <v>1701</v>
      </c>
      <c r="U170">
        <v>4.8298475174549519E-5</v>
      </c>
      <c r="V170" t="s">
        <v>251</v>
      </c>
      <c r="X170">
        <v>1.1415525114155251E-4</v>
      </c>
      <c r="Y170">
        <v>1.9060404909297337E-4</v>
      </c>
      <c r="Z170" t="s">
        <v>1701</v>
      </c>
      <c r="AA170" t="s">
        <v>25</v>
      </c>
      <c r="AC170" t="s">
        <v>22</v>
      </c>
      <c r="AD170" t="s">
        <v>1701</v>
      </c>
      <c r="AE170">
        <v>1.0193307030010404E-4</v>
      </c>
      <c r="AG170" t="s">
        <v>97</v>
      </c>
      <c r="AH170" t="s">
        <v>1701</v>
      </c>
      <c r="AI170">
        <v>0</v>
      </c>
    </row>
    <row r="171" spans="5:35" x14ac:dyDescent="0.45">
      <c r="E171" t="s">
        <v>1374</v>
      </c>
      <c r="G171" t="s">
        <v>155</v>
      </c>
      <c r="I171" t="s">
        <v>249</v>
      </c>
      <c r="J171" t="s">
        <v>1702</v>
      </c>
      <c r="K171">
        <v>1.4370336228240001E-4</v>
      </c>
      <c r="L171" t="s">
        <v>251</v>
      </c>
      <c r="N171" t="s">
        <v>419</v>
      </c>
      <c r="O171" t="s">
        <v>1702</v>
      </c>
      <c r="P171">
        <v>1.0456417973170001E-4</v>
      </c>
      <c r="Q171" t="s">
        <v>251</v>
      </c>
      <c r="S171" t="s">
        <v>420</v>
      </c>
      <c r="T171" t="s">
        <v>1702</v>
      </c>
      <c r="U171">
        <v>4.6543762906532989E-5</v>
      </c>
      <c r="V171" t="s">
        <v>251</v>
      </c>
      <c r="X171">
        <v>1.1415525114155251E-4</v>
      </c>
      <c r="Y171">
        <v>1.4585353321897094E-4</v>
      </c>
      <c r="Z171" t="s">
        <v>1702</v>
      </c>
      <c r="AA171" t="s">
        <v>25</v>
      </c>
      <c r="AC171" t="s">
        <v>22</v>
      </c>
      <c r="AD171" t="s">
        <v>1702</v>
      </c>
      <c r="AE171">
        <v>9.8032665023972616E-5</v>
      </c>
      <c r="AG171" t="s">
        <v>97</v>
      </c>
      <c r="AH171" t="s">
        <v>1702</v>
      </c>
      <c r="AI171">
        <v>0</v>
      </c>
    </row>
    <row r="172" spans="5:35" x14ac:dyDescent="0.45">
      <c r="E172" t="s">
        <v>1375</v>
      </c>
      <c r="G172" t="s">
        <v>155</v>
      </c>
      <c r="I172" t="s">
        <v>249</v>
      </c>
      <c r="J172" t="s">
        <v>1703</v>
      </c>
      <c r="K172">
        <v>2.1054258952490001E-4</v>
      </c>
      <c r="L172" t="s">
        <v>251</v>
      </c>
      <c r="N172" t="s">
        <v>419</v>
      </c>
      <c r="O172" t="s">
        <v>1703</v>
      </c>
      <c r="P172">
        <v>1.006938174062E-4</v>
      </c>
      <c r="Q172" t="s">
        <v>251</v>
      </c>
      <c r="S172" t="s">
        <v>420</v>
      </c>
      <c r="T172" t="s">
        <v>1703</v>
      </c>
      <c r="U172">
        <v>4.8756081736854629E-5</v>
      </c>
      <c r="V172" t="s">
        <v>251</v>
      </c>
      <c r="X172">
        <v>1.1415525114155251E-4</v>
      </c>
      <c r="Y172">
        <v>1.4452759200788939E-4</v>
      </c>
      <c r="Z172" t="s">
        <v>1703</v>
      </c>
      <c r="AA172" t="s">
        <v>25</v>
      </c>
      <c r="AC172" t="s">
        <v>22</v>
      </c>
      <c r="AD172" t="s">
        <v>1703</v>
      </c>
      <c r="AE172">
        <v>9.7356363561934783E-5</v>
      </c>
      <c r="AG172" t="s">
        <v>97</v>
      </c>
      <c r="AH172" t="s">
        <v>1703</v>
      </c>
      <c r="AI172">
        <v>0</v>
      </c>
    </row>
    <row r="173" spans="5:35" x14ac:dyDescent="0.45">
      <c r="E173" t="s">
        <v>1376</v>
      </c>
      <c r="G173" t="s">
        <v>155</v>
      </c>
      <c r="I173" t="s">
        <v>249</v>
      </c>
      <c r="J173" t="s">
        <v>1704</v>
      </c>
      <c r="K173">
        <v>2.4679854233039999E-4</v>
      </c>
      <c r="L173" t="s">
        <v>251</v>
      </c>
      <c r="N173" t="s">
        <v>419</v>
      </c>
      <c r="O173" t="s">
        <v>1704</v>
      </c>
      <c r="P173">
        <v>1.018423748452E-4</v>
      </c>
      <c r="Q173" t="s">
        <v>251</v>
      </c>
      <c r="S173" t="s">
        <v>420</v>
      </c>
      <c r="T173" t="s">
        <v>1704</v>
      </c>
      <c r="U173">
        <v>5.0346379508530147E-5</v>
      </c>
      <c r="V173" t="s">
        <v>251</v>
      </c>
      <c r="X173">
        <v>1.1415525114155251E-4</v>
      </c>
      <c r="Y173">
        <v>1.408812536774151E-4</v>
      </c>
      <c r="Z173" t="s">
        <v>1704</v>
      </c>
      <c r="AA173" t="s">
        <v>25</v>
      </c>
      <c r="AC173" t="s">
        <v>22</v>
      </c>
      <c r="AD173" t="s">
        <v>1704</v>
      </c>
      <c r="AE173">
        <v>9.8809811437746282E-5</v>
      </c>
      <c r="AG173" t="s">
        <v>97</v>
      </c>
      <c r="AH173" t="s">
        <v>1704</v>
      </c>
      <c r="AI173">
        <v>0</v>
      </c>
    </row>
    <row r="174" spans="5:35" x14ac:dyDescent="0.45">
      <c r="E174" t="s">
        <v>1377</v>
      </c>
      <c r="G174" t="s">
        <v>155</v>
      </c>
      <c r="I174" t="s">
        <v>249</v>
      </c>
      <c r="J174" t="s">
        <v>1705</v>
      </c>
      <c r="K174">
        <v>2.5118296717099999E-4</v>
      </c>
      <c r="L174" t="s">
        <v>251</v>
      </c>
      <c r="N174" t="s">
        <v>419</v>
      </c>
      <c r="O174" t="s">
        <v>1705</v>
      </c>
      <c r="P174">
        <v>1.1001808916550001E-4</v>
      </c>
      <c r="Q174" t="s">
        <v>251</v>
      </c>
      <c r="S174" t="s">
        <v>420</v>
      </c>
      <c r="T174" t="s">
        <v>1705</v>
      </c>
      <c r="U174">
        <v>5.0157245488797762E-5</v>
      </c>
      <c r="V174" t="s">
        <v>251</v>
      </c>
      <c r="X174">
        <v>1.1415525114155251E-4</v>
      </c>
      <c r="Y174">
        <v>1.4054976837464471E-4</v>
      </c>
      <c r="Z174" t="s">
        <v>1705</v>
      </c>
      <c r="AA174" t="s">
        <v>25</v>
      </c>
      <c r="AC174" t="s">
        <v>22</v>
      </c>
      <c r="AD174" t="s">
        <v>1705</v>
      </c>
      <c r="AE174">
        <v>1.1179479950887267E-4</v>
      </c>
      <c r="AG174" t="s">
        <v>97</v>
      </c>
      <c r="AH174" t="s">
        <v>1705</v>
      </c>
      <c r="AI174">
        <v>0</v>
      </c>
    </row>
    <row r="175" spans="5:35" x14ac:dyDescent="0.45">
      <c r="E175" t="s">
        <v>1378</v>
      </c>
      <c r="G175" t="s">
        <v>155</v>
      </c>
      <c r="I175" t="s">
        <v>249</v>
      </c>
      <c r="J175" t="s">
        <v>1706</v>
      </c>
      <c r="K175">
        <v>2.3057628280270001E-4</v>
      </c>
      <c r="L175" t="s">
        <v>251</v>
      </c>
      <c r="N175" t="s">
        <v>419</v>
      </c>
      <c r="O175" t="s">
        <v>1706</v>
      </c>
      <c r="P175">
        <v>1.1632401989119999E-4</v>
      </c>
      <c r="Q175" t="s">
        <v>251</v>
      </c>
      <c r="S175" t="s">
        <v>420</v>
      </c>
      <c r="T175" t="s">
        <v>1706</v>
      </c>
      <c r="U175">
        <v>4.8700918176559507E-5</v>
      </c>
      <c r="V175" t="s">
        <v>251</v>
      </c>
      <c r="X175">
        <v>1.1415525114155251E-4</v>
      </c>
      <c r="Y175">
        <v>1.4253868019126702E-4</v>
      </c>
      <c r="Z175" t="s">
        <v>1706</v>
      </c>
      <c r="AA175" t="s">
        <v>25</v>
      </c>
      <c r="AC175" t="s">
        <v>22</v>
      </c>
      <c r="AD175" t="s">
        <v>1706</v>
      </c>
      <c r="AE175">
        <v>1.3787015595783351E-4</v>
      </c>
      <c r="AG175" t="s">
        <v>97</v>
      </c>
      <c r="AH175" t="s">
        <v>1706</v>
      </c>
      <c r="AI175">
        <v>0</v>
      </c>
    </row>
    <row r="176" spans="5:35" x14ac:dyDescent="0.45">
      <c r="E176" t="s">
        <v>1379</v>
      </c>
      <c r="G176" t="s">
        <v>155</v>
      </c>
      <c r="I176" t="s">
        <v>249</v>
      </c>
      <c r="J176" t="s">
        <v>1707</v>
      </c>
      <c r="K176">
        <v>2.281129130507E-4</v>
      </c>
      <c r="L176" t="s">
        <v>251</v>
      </c>
      <c r="N176" t="s">
        <v>419</v>
      </c>
      <c r="O176" t="s">
        <v>1707</v>
      </c>
      <c r="P176">
        <v>1.2109068879960001E-4</v>
      </c>
      <c r="Q176" t="s">
        <v>251</v>
      </c>
      <c r="S176" t="s">
        <v>420</v>
      </c>
      <c r="T176" t="s">
        <v>1707</v>
      </c>
      <c r="U176">
        <v>4.6149941589172248E-5</v>
      </c>
      <c r="V176" t="s">
        <v>251</v>
      </c>
      <c r="X176">
        <v>1.1415525114155251E-4</v>
      </c>
      <c r="Y176">
        <v>1.4883690094390442E-4</v>
      </c>
      <c r="Z176" t="s">
        <v>1707</v>
      </c>
      <c r="AA176" t="s">
        <v>25</v>
      </c>
      <c r="AC176" t="s">
        <v>22</v>
      </c>
      <c r="AD176" t="s">
        <v>1707</v>
      </c>
      <c r="AE176">
        <v>1.5001663693026764E-4</v>
      </c>
      <c r="AG176" t="s">
        <v>97</v>
      </c>
      <c r="AH176" t="s">
        <v>1707</v>
      </c>
      <c r="AI176">
        <v>0</v>
      </c>
    </row>
    <row r="177" spans="5:35" x14ac:dyDescent="0.45">
      <c r="E177" t="s">
        <v>1380</v>
      </c>
      <c r="G177" t="s">
        <v>155</v>
      </c>
      <c r="I177" t="s">
        <v>249</v>
      </c>
      <c r="J177" t="s">
        <v>1708</v>
      </c>
      <c r="K177">
        <v>2.4873498383199999E-4</v>
      </c>
      <c r="L177" t="s">
        <v>251</v>
      </c>
      <c r="N177" t="s">
        <v>419</v>
      </c>
      <c r="O177" t="s">
        <v>1708</v>
      </c>
      <c r="P177">
        <v>1.2383148774220001E-4</v>
      </c>
      <c r="Q177" t="s">
        <v>251</v>
      </c>
      <c r="S177" t="s">
        <v>420</v>
      </c>
      <c r="T177" t="s">
        <v>1708</v>
      </c>
      <c r="U177">
        <v>4.3223568090615086E-5</v>
      </c>
      <c r="V177" t="s">
        <v>251</v>
      </c>
      <c r="X177">
        <v>1.1415525114155251E-4</v>
      </c>
      <c r="Y177">
        <v>1.5049432745775637E-4</v>
      </c>
      <c r="Z177" t="s">
        <v>1708</v>
      </c>
      <c r="AA177" t="s">
        <v>25</v>
      </c>
      <c r="AC177" t="s">
        <v>22</v>
      </c>
      <c r="AD177" t="s">
        <v>1708</v>
      </c>
      <c r="AE177">
        <v>1.5484012033604435E-4</v>
      </c>
      <c r="AG177" t="s">
        <v>97</v>
      </c>
      <c r="AH177" t="s">
        <v>1708</v>
      </c>
      <c r="AI177">
        <v>0</v>
      </c>
    </row>
    <row r="178" spans="5:35" x14ac:dyDescent="0.45">
      <c r="E178" t="s">
        <v>1381</v>
      </c>
      <c r="G178" t="s">
        <v>155</v>
      </c>
      <c r="I178" t="s">
        <v>249</v>
      </c>
      <c r="J178" t="s">
        <v>1709</v>
      </c>
      <c r="K178">
        <v>2.4572371960689999E-4</v>
      </c>
      <c r="L178" t="s">
        <v>251</v>
      </c>
      <c r="N178" t="s">
        <v>419</v>
      </c>
      <c r="O178" t="s">
        <v>1709</v>
      </c>
      <c r="P178">
        <v>1.26426090076E-4</v>
      </c>
      <c r="Q178" t="s">
        <v>251</v>
      </c>
      <c r="S178" t="s">
        <v>420</v>
      </c>
      <c r="T178" t="s">
        <v>1709</v>
      </c>
      <c r="U178">
        <v>4.1205502180828642E-5</v>
      </c>
      <c r="V178" t="s">
        <v>251</v>
      </c>
      <c r="X178">
        <v>1.1415525114155251E-4</v>
      </c>
      <c r="Y178">
        <v>1.7237235744060203E-4</v>
      </c>
      <c r="Z178" t="s">
        <v>1709</v>
      </c>
      <c r="AA178" t="s">
        <v>25</v>
      </c>
      <c r="AC178" t="s">
        <v>22</v>
      </c>
      <c r="AD178" t="s">
        <v>1709</v>
      </c>
      <c r="AE178">
        <v>1.4347852255939536E-4</v>
      </c>
      <c r="AG178" t="s">
        <v>97</v>
      </c>
      <c r="AH178" t="s">
        <v>1709</v>
      </c>
      <c r="AI178">
        <v>0</v>
      </c>
    </row>
    <row r="179" spans="5:35" x14ac:dyDescent="0.45">
      <c r="E179" t="s">
        <v>460</v>
      </c>
      <c r="G179" t="s">
        <v>159</v>
      </c>
      <c r="I179" t="s">
        <v>249</v>
      </c>
      <c r="J179" t="s">
        <v>1710</v>
      </c>
      <c r="K179">
        <v>2.098328675206E-4</v>
      </c>
      <c r="L179" t="s">
        <v>251</v>
      </c>
      <c r="N179" t="s">
        <v>419</v>
      </c>
      <c r="O179" t="s">
        <v>1710</v>
      </c>
      <c r="P179">
        <v>1.3294178826439999E-4</v>
      </c>
      <c r="Q179" t="s">
        <v>251</v>
      </c>
      <c r="S179" t="s">
        <v>420</v>
      </c>
      <c r="T179" t="s">
        <v>1710</v>
      </c>
      <c r="U179">
        <v>4.0640045899168923E-5</v>
      </c>
      <c r="V179" t="s">
        <v>251</v>
      </c>
      <c r="X179">
        <v>1.1415525114155251E-4</v>
      </c>
      <c r="Y179">
        <v>2.2209515285616027E-4</v>
      </c>
      <c r="Z179" t="s">
        <v>1710</v>
      </c>
      <c r="AA179" t="s">
        <v>25</v>
      </c>
      <c r="AC179" t="s">
        <v>22</v>
      </c>
      <c r="AD179" t="s">
        <v>1710</v>
      </c>
      <c r="AE179">
        <v>1.4189034796234951E-4</v>
      </c>
      <c r="AG179" t="s">
        <v>97</v>
      </c>
      <c r="AH179" t="s">
        <v>1710</v>
      </c>
      <c r="AI179">
        <v>0</v>
      </c>
    </row>
    <row r="180" spans="5:35" x14ac:dyDescent="0.45">
      <c r="E180" t="s">
        <v>461</v>
      </c>
      <c r="G180" t="s">
        <v>159</v>
      </c>
      <c r="I180" t="s">
        <v>249</v>
      </c>
      <c r="J180" t="s">
        <v>1711</v>
      </c>
      <c r="K180">
        <v>1.440730855955E-4</v>
      </c>
      <c r="L180" t="s">
        <v>251</v>
      </c>
      <c r="N180" t="s">
        <v>419</v>
      </c>
      <c r="O180" t="s">
        <v>1711</v>
      </c>
      <c r="P180">
        <v>1.3970616273629999E-4</v>
      </c>
      <c r="Q180" t="s">
        <v>251</v>
      </c>
      <c r="S180" t="s">
        <v>420</v>
      </c>
      <c r="T180" t="s">
        <v>1711</v>
      </c>
      <c r="U180">
        <v>3.8410949588374451E-5</v>
      </c>
      <c r="V180" t="s">
        <v>251</v>
      </c>
      <c r="X180">
        <v>1.1415525114155251E-4</v>
      </c>
      <c r="Y180">
        <v>2.2209515285616027E-4</v>
      </c>
      <c r="Z180" t="s">
        <v>1711</v>
      </c>
      <c r="AA180" t="s">
        <v>25</v>
      </c>
      <c r="AC180" t="s">
        <v>22</v>
      </c>
      <c r="AD180" t="s">
        <v>1711</v>
      </c>
      <c r="AE180">
        <v>1.4455313490223102E-4</v>
      </c>
      <c r="AG180" t="s">
        <v>97</v>
      </c>
      <c r="AH180" t="s">
        <v>1711</v>
      </c>
      <c r="AI180">
        <v>0</v>
      </c>
    </row>
    <row r="181" spans="5:35" x14ac:dyDescent="0.45">
      <c r="E181" t="s">
        <v>462</v>
      </c>
      <c r="G181" t="s">
        <v>159</v>
      </c>
      <c r="I181" t="s">
        <v>249</v>
      </c>
      <c r="J181" t="s">
        <v>1712</v>
      </c>
      <c r="K181">
        <v>2.7904482579282164E-6</v>
      </c>
      <c r="L181" t="s">
        <v>251</v>
      </c>
      <c r="N181" t="s">
        <v>419</v>
      </c>
      <c r="O181" t="s">
        <v>1712</v>
      </c>
      <c r="P181">
        <v>1.463822054741E-4</v>
      </c>
      <c r="Q181" t="s">
        <v>251</v>
      </c>
      <c r="S181" t="s">
        <v>420</v>
      </c>
      <c r="T181" t="s">
        <v>1712</v>
      </c>
      <c r="U181">
        <v>4.8158125960625118E-5</v>
      </c>
      <c r="V181" t="s">
        <v>251</v>
      </c>
      <c r="X181">
        <v>1.1415525114155251E-4</v>
      </c>
      <c r="Y181">
        <v>1.7237235744060203E-4</v>
      </c>
      <c r="Z181" t="s">
        <v>1712</v>
      </c>
      <c r="AA181" t="s">
        <v>25</v>
      </c>
      <c r="AC181" t="s">
        <v>22</v>
      </c>
      <c r="AD181" t="s">
        <v>1712</v>
      </c>
      <c r="AE181">
        <v>1.456186765351222E-4</v>
      </c>
      <c r="AG181" t="s">
        <v>97</v>
      </c>
      <c r="AH181" t="s">
        <v>1712</v>
      </c>
      <c r="AI181">
        <v>0</v>
      </c>
    </row>
    <row r="182" spans="5:35" x14ac:dyDescent="0.45">
      <c r="E182" t="s">
        <v>463</v>
      </c>
      <c r="G182" t="s">
        <v>159</v>
      </c>
      <c r="I182" t="s">
        <v>249</v>
      </c>
      <c r="J182" t="s">
        <v>1713</v>
      </c>
      <c r="K182">
        <v>0</v>
      </c>
      <c r="L182" t="s">
        <v>251</v>
      </c>
      <c r="N182" t="s">
        <v>419</v>
      </c>
      <c r="O182" t="s">
        <v>1713</v>
      </c>
      <c r="P182">
        <v>1.513422980671E-4</v>
      </c>
      <c r="Q182" t="s">
        <v>251</v>
      </c>
      <c r="S182" t="s">
        <v>420</v>
      </c>
      <c r="T182" t="s">
        <v>1713</v>
      </c>
      <c r="U182">
        <v>6.0167073936179656E-5</v>
      </c>
      <c r="V182" t="s">
        <v>251</v>
      </c>
      <c r="X182">
        <v>1.1415525114155251E-4</v>
      </c>
      <c r="Y182">
        <v>1.5579809230208258E-4</v>
      </c>
      <c r="Z182" t="s">
        <v>1713</v>
      </c>
      <c r="AA182" t="s">
        <v>25</v>
      </c>
      <c r="AC182" t="s">
        <v>22</v>
      </c>
      <c r="AD182" t="s">
        <v>1713</v>
      </c>
      <c r="AE182">
        <v>1.4599137599960614E-4</v>
      </c>
      <c r="AG182" t="s">
        <v>97</v>
      </c>
      <c r="AH182" t="s">
        <v>1713</v>
      </c>
      <c r="AI182">
        <v>0</v>
      </c>
    </row>
    <row r="183" spans="5:35" x14ac:dyDescent="0.45">
      <c r="E183" t="s">
        <v>464</v>
      </c>
      <c r="G183" t="s">
        <v>159</v>
      </c>
      <c r="I183" t="s">
        <v>249</v>
      </c>
      <c r="J183" t="s">
        <v>1714</v>
      </c>
      <c r="K183">
        <v>0</v>
      </c>
      <c r="L183" t="s">
        <v>251</v>
      </c>
      <c r="N183" t="s">
        <v>419</v>
      </c>
      <c r="O183" t="s">
        <v>1714</v>
      </c>
      <c r="P183">
        <v>1.553082920622E-4</v>
      </c>
      <c r="Q183" t="s">
        <v>251</v>
      </c>
      <c r="S183" t="s">
        <v>420</v>
      </c>
      <c r="T183" t="s">
        <v>1714</v>
      </c>
      <c r="U183">
        <v>7.3124627337070854E-5</v>
      </c>
      <c r="V183" t="s">
        <v>251</v>
      </c>
      <c r="X183">
        <v>1.1415525114155251E-4</v>
      </c>
      <c r="Y183">
        <v>1.093901499142282E-4</v>
      </c>
      <c r="Z183" t="s">
        <v>1714</v>
      </c>
      <c r="AA183" t="s">
        <v>25</v>
      </c>
      <c r="AC183" t="s">
        <v>22</v>
      </c>
      <c r="AD183" t="s">
        <v>1714</v>
      </c>
      <c r="AE183">
        <v>1.4659831320912729E-4</v>
      </c>
      <c r="AG183" t="s">
        <v>97</v>
      </c>
      <c r="AH183" t="s">
        <v>1714</v>
      </c>
      <c r="AI183">
        <v>0</v>
      </c>
    </row>
    <row r="184" spans="5:35" x14ac:dyDescent="0.45">
      <c r="E184" t="s">
        <v>465</v>
      </c>
      <c r="G184" t="s">
        <v>159</v>
      </c>
      <c r="I184" t="s">
        <v>249</v>
      </c>
      <c r="J184" t="s">
        <v>1715</v>
      </c>
      <c r="K184">
        <v>0</v>
      </c>
      <c r="L184" t="s">
        <v>251</v>
      </c>
      <c r="N184" t="s">
        <v>419</v>
      </c>
      <c r="O184" t="s">
        <v>1715</v>
      </c>
      <c r="P184">
        <v>1.5880999429709999E-4</v>
      </c>
      <c r="Q184" t="s">
        <v>251</v>
      </c>
      <c r="S184" t="s">
        <v>420</v>
      </c>
      <c r="T184" t="s">
        <v>1715</v>
      </c>
      <c r="U184">
        <v>8.5375438584176194E-5</v>
      </c>
      <c r="V184" t="s">
        <v>251</v>
      </c>
      <c r="X184">
        <v>1.1415525114155251E-4</v>
      </c>
      <c r="Y184">
        <v>7.9556472664893237E-5</v>
      </c>
      <c r="Z184" t="s">
        <v>1715</v>
      </c>
      <c r="AA184" t="s">
        <v>25</v>
      </c>
      <c r="AC184" t="s">
        <v>22</v>
      </c>
      <c r="AD184" t="s">
        <v>1715</v>
      </c>
      <c r="AE184">
        <v>1.4730075965865217E-4</v>
      </c>
      <c r="AG184" t="s">
        <v>97</v>
      </c>
      <c r="AH184" t="s">
        <v>1715</v>
      </c>
      <c r="AI184">
        <v>0</v>
      </c>
    </row>
    <row r="185" spans="5:35" x14ac:dyDescent="0.45">
      <c r="E185" t="s">
        <v>466</v>
      </c>
      <c r="G185" t="s">
        <v>159</v>
      </c>
      <c r="I185" t="s">
        <v>249</v>
      </c>
      <c r="J185" t="s">
        <v>1716</v>
      </c>
      <c r="K185">
        <v>0</v>
      </c>
      <c r="L185" t="s">
        <v>251</v>
      </c>
      <c r="N185" t="s">
        <v>419</v>
      </c>
      <c r="O185" t="s">
        <v>1716</v>
      </c>
      <c r="P185">
        <v>1.5995951079889999E-4</v>
      </c>
      <c r="Q185" t="s">
        <v>251</v>
      </c>
      <c r="S185" t="s">
        <v>420</v>
      </c>
      <c r="T185" t="s">
        <v>1716</v>
      </c>
      <c r="U185">
        <v>9.6370913974176914E-5</v>
      </c>
      <c r="V185" t="s">
        <v>251</v>
      </c>
      <c r="X185">
        <v>1.1415525114155251E-4</v>
      </c>
      <c r="Y185">
        <v>5.6352501470966035E-5</v>
      </c>
      <c r="Z185" t="s">
        <v>1716</v>
      </c>
      <c r="AA185" t="s">
        <v>25</v>
      </c>
      <c r="AC185" t="s">
        <v>22</v>
      </c>
      <c r="AD185" t="s">
        <v>1716</v>
      </c>
      <c r="AE185">
        <v>1.5062250699744234E-4</v>
      </c>
      <c r="AG185" t="s">
        <v>97</v>
      </c>
      <c r="AH185" t="s">
        <v>1716</v>
      </c>
      <c r="AI185">
        <v>0</v>
      </c>
    </row>
    <row r="186" spans="5:35" x14ac:dyDescent="0.45">
      <c r="E186" t="s">
        <v>467</v>
      </c>
      <c r="G186" t="s">
        <v>159</v>
      </c>
      <c r="I186" t="s">
        <v>249</v>
      </c>
      <c r="J186" t="s">
        <v>1717</v>
      </c>
      <c r="K186">
        <v>0</v>
      </c>
      <c r="L186" t="s">
        <v>251</v>
      </c>
      <c r="N186" t="s">
        <v>419</v>
      </c>
      <c r="O186" t="s">
        <v>1717</v>
      </c>
      <c r="P186">
        <v>1.570619218241E-4</v>
      </c>
      <c r="Q186" t="s">
        <v>251</v>
      </c>
      <c r="S186" t="s">
        <v>420</v>
      </c>
      <c r="T186" t="s">
        <v>1717</v>
      </c>
      <c r="U186">
        <v>1.0881178014600001E-4</v>
      </c>
      <c r="V186" t="s">
        <v>251</v>
      </c>
      <c r="X186">
        <v>1.1415525114155251E-4</v>
      </c>
      <c r="Y186">
        <v>2.9833677249334962E-5</v>
      </c>
      <c r="Z186" t="s">
        <v>1717</v>
      </c>
      <c r="AA186" t="s">
        <v>25</v>
      </c>
      <c r="AC186" t="s">
        <v>22</v>
      </c>
      <c r="AD186" t="s">
        <v>1717</v>
      </c>
      <c r="AE186">
        <v>1.5613002864726838E-4</v>
      </c>
      <c r="AG186" t="s">
        <v>97</v>
      </c>
      <c r="AH186" t="s">
        <v>1717</v>
      </c>
      <c r="AI186">
        <v>0</v>
      </c>
    </row>
    <row r="187" spans="5:35" x14ac:dyDescent="0.45">
      <c r="E187" t="s">
        <v>468</v>
      </c>
      <c r="G187" t="s">
        <v>159</v>
      </c>
      <c r="I187" t="s">
        <v>249</v>
      </c>
      <c r="J187" t="s">
        <v>259</v>
      </c>
      <c r="K187">
        <v>0</v>
      </c>
      <c r="L187" t="s">
        <v>251</v>
      </c>
      <c r="N187" t="s">
        <v>419</v>
      </c>
      <c r="O187" t="s">
        <v>259</v>
      </c>
      <c r="P187">
        <v>2.3481304814210565E-2</v>
      </c>
      <c r="Q187" t="s">
        <v>251</v>
      </c>
      <c r="S187" t="s">
        <v>420</v>
      </c>
      <c r="T187" t="s">
        <v>259</v>
      </c>
      <c r="U187">
        <v>1.9754903091872038E-2</v>
      </c>
      <c r="V187" t="s">
        <v>251</v>
      </c>
      <c r="X187">
        <v>1.9178082191780823E-2</v>
      </c>
      <c r="Y187">
        <v>4.1024621070863279E-3</v>
      </c>
      <c r="Z187" t="s">
        <v>259</v>
      </c>
      <c r="AA187" t="s">
        <v>25</v>
      </c>
      <c r="AC187" t="s">
        <v>22</v>
      </c>
      <c r="AD187" t="s">
        <v>259</v>
      </c>
      <c r="AE187">
        <v>2.2896086115652619E-2</v>
      </c>
      <c r="AG187" t="s">
        <v>97</v>
      </c>
      <c r="AH187" t="s">
        <v>259</v>
      </c>
      <c r="AI187">
        <v>0.12864077698193355</v>
      </c>
    </row>
    <row r="188" spans="5:35" x14ac:dyDescent="0.45">
      <c r="E188" t="s">
        <v>469</v>
      </c>
      <c r="G188" t="s">
        <v>159</v>
      </c>
      <c r="I188" t="s">
        <v>249</v>
      </c>
      <c r="J188" t="s">
        <v>260</v>
      </c>
      <c r="K188">
        <v>0</v>
      </c>
      <c r="L188" t="s">
        <v>251</v>
      </c>
      <c r="N188" t="s">
        <v>419</v>
      </c>
      <c r="O188" t="s">
        <v>260</v>
      </c>
      <c r="P188">
        <v>3.7740954442265625E-3</v>
      </c>
      <c r="Q188" t="s">
        <v>251</v>
      </c>
      <c r="S188" t="s">
        <v>420</v>
      </c>
      <c r="T188" t="s">
        <v>260</v>
      </c>
      <c r="U188">
        <v>3.2951224764679998E-3</v>
      </c>
      <c r="V188" t="s">
        <v>251</v>
      </c>
      <c r="X188">
        <v>3.1963470319634705E-3</v>
      </c>
      <c r="Y188">
        <v>4.7336101235611484E-3</v>
      </c>
      <c r="Z188" t="s">
        <v>260</v>
      </c>
      <c r="AA188" t="s">
        <v>25</v>
      </c>
      <c r="AC188" t="s">
        <v>22</v>
      </c>
      <c r="AD188" t="s">
        <v>260</v>
      </c>
      <c r="AE188">
        <v>2.9647089268274645E-3</v>
      </c>
      <c r="AG188" t="s">
        <v>97</v>
      </c>
      <c r="AH188" t="s">
        <v>260</v>
      </c>
      <c r="AI188">
        <v>3.3859865116665055E-2</v>
      </c>
    </row>
    <row r="189" spans="5:35" x14ac:dyDescent="0.45">
      <c r="E189" t="s">
        <v>470</v>
      </c>
      <c r="G189" t="s">
        <v>159</v>
      </c>
      <c r="I189" t="s">
        <v>249</v>
      </c>
      <c r="J189" t="s">
        <v>261</v>
      </c>
      <c r="K189">
        <v>1.4992998855750718E-3</v>
      </c>
      <c r="L189" t="s">
        <v>251</v>
      </c>
      <c r="N189" t="s">
        <v>419</v>
      </c>
      <c r="O189" t="s">
        <v>261</v>
      </c>
      <c r="P189">
        <v>3.6923333232428317E-3</v>
      </c>
      <c r="Q189" t="s">
        <v>251</v>
      </c>
      <c r="S189" t="s">
        <v>420</v>
      </c>
      <c r="T189" t="s">
        <v>261</v>
      </c>
      <c r="U189">
        <v>3.3367695807182242E-3</v>
      </c>
      <c r="V189" t="s">
        <v>251</v>
      </c>
      <c r="X189">
        <v>3.1963470319634705E-3</v>
      </c>
      <c r="Y189">
        <v>5.3369133746032542E-3</v>
      </c>
      <c r="Z189" t="s">
        <v>261</v>
      </c>
      <c r="AA189" t="s">
        <v>25</v>
      </c>
      <c r="AC189" t="s">
        <v>22</v>
      </c>
      <c r="AD189" t="s">
        <v>261</v>
      </c>
      <c r="AE189">
        <v>2.8542655632568538E-3</v>
      </c>
      <c r="AG189" t="s">
        <v>97</v>
      </c>
      <c r="AH189" t="s">
        <v>261</v>
      </c>
      <c r="AI189">
        <v>3.8486308157986038E-2</v>
      </c>
    </row>
    <row r="190" spans="5:35" x14ac:dyDescent="0.45">
      <c r="E190" t="s">
        <v>471</v>
      </c>
      <c r="G190" t="s">
        <v>159</v>
      </c>
      <c r="I190" t="s">
        <v>249</v>
      </c>
      <c r="J190" t="s">
        <v>262</v>
      </c>
      <c r="K190">
        <v>5.1766651636087666E-2</v>
      </c>
      <c r="L190" t="s">
        <v>251</v>
      </c>
      <c r="N190" t="s">
        <v>419</v>
      </c>
      <c r="O190" t="s">
        <v>262</v>
      </c>
      <c r="P190">
        <v>2.2324505427612603E-2</v>
      </c>
      <c r="Q190" t="s">
        <v>251</v>
      </c>
      <c r="S190" t="s">
        <v>420</v>
      </c>
      <c r="T190" t="s">
        <v>262</v>
      </c>
      <c r="U190">
        <v>2.2551272067444204E-2</v>
      </c>
      <c r="V190" t="s">
        <v>251</v>
      </c>
      <c r="X190">
        <v>2.2374429223744292E-2</v>
      </c>
      <c r="Y190">
        <v>2.8383097564411743E-2</v>
      </c>
      <c r="Z190" t="s">
        <v>262</v>
      </c>
      <c r="AA190" t="s">
        <v>25</v>
      </c>
      <c r="AC190" t="s">
        <v>22</v>
      </c>
      <c r="AD190" t="s">
        <v>262</v>
      </c>
      <c r="AE190">
        <v>2.2611760915675246E-2</v>
      </c>
      <c r="AG190" t="s">
        <v>97</v>
      </c>
      <c r="AH190" t="s">
        <v>262</v>
      </c>
      <c r="AI190">
        <v>0.25495227960040112</v>
      </c>
    </row>
    <row r="191" spans="5:35" x14ac:dyDescent="0.45">
      <c r="E191" t="s">
        <v>472</v>
      </c>
      <c r="G191" t="s">
        <v>159</v>
      </c>
      <c r="I191" t="s">
        <v>249</v>
      </c>
      <c r="J191" t="s">
        <v>263</v>
      </c>
      <c r="K191">
        <v>7.7527070420746998E-3</v>
      </c>
      <c r="L191" t="s">
        <v>251</v>
      </c>
      <c r="N191" t="s">
        <v>419</v>
      </c>
      <c r="O191" t="s">
        <v>263</v>
      </c>
      <c r="P191">
        <v>3.1634338998694418E-3</v>
      </c>
      <c r="Q191" t="s">
        <v>251</v>
      </c>
      <c r="S191" t="s">
        <v>420</v>
      </c>
      <c r="T191" t="s">
        <v>263</v>
      </c>
      <c r="U191">
        <v>3.2777538177060517E-3</v>
      </c>
      <c r="V191" t="s">
        <v>251</v>
      </c>
      <c r="X191">
        <v>3.1963470319634705E-3</v>
      </c>
      <c r="Y191">
        <v>4.8264260083368555E-3</v>
      </c>
      <c r="Z191" t="s">
        <v>263</v>
      </c>
      <c r="AA191" t="s">
        <v>25</v>
      </c>
      <c r="AC191" t="s">
        <v>22</v>
      </c>
      <c r="AD191" t="s">
        <v>263</v>
      </c>
      <c r="AE191">
        <v>3.7331394554868057E-3</v>
      </c>
      <c r="AG191" t="s">
        <v>97</v>
      </c>
      <c r="AH191" t="s">
        <v>263</v>
      </c>
      <c r="AI191">
        <v>6.1402087948880135E-2</v>
      </c>
    </row>
    <row r="192" spans="5:35" x14ac:dyDescent="0.45">
      <c r="E192" t="s">
        <v>473</v>
      </c>
      <c r="G192" t="s">
        <v>159</v>
      </c>
      <c r="I192" t="s">
        <v>249</v>
      </c>
      <c r="J192" t="s">
        <v>264</v>
      </c>
      <c r="K192">
        <v>6.9369952756191998E-3</v>
      </c>
      <c r="L192" t="s">
        <v>251</v>
      </c>
      <c r="N192" t="s">
        <v>419</v>
      </c>
      <c r="O192" t="s">
        <v>264</v>
      </c>
      <c r="P192">
        <v>3.1287299784836832E-3</v>
      </c>
      <c r="Q192" t="s">
        <v>251</v>
      </c>
      <c r="S192" t="s">
        <v>420</v>
      </c>
      <c r="T192" t="s">
        <v>264</v>
      </c>
      <c r="U192">
        <v>3.207477124844925E-3</v>
      </c>
      <c r="V192" t="s">
        <v>251</v>
      </c>
      <c r="X192">
        <v>3.1963470319634705E-3</v>
      </c>
      <c r="Y192">
        <v>6.2186642799724884E-3</v>
      </c>
      <c r="Z192" t="s">
        <v>264</v>
      </c>
      <c r="AA192" t="s">
        <v>25</v>
      </c>
      <c r="AC192" t="s">
        <v>22</v>
      </c>
      <c r="AD192" t="s">
        <v>264</v>
      </c>
      <c r="AE192">
        <v>3.7572688778670866E-3</v>
      </c>
      <c r="AG192" t="s">
        <v>97</v>
      </c>
      <c r="AH192" t="s">
        <v>264</v>
      </c>
      <c r="AI192">
        <v>4.131887142725077E-2</v>
      </c>
    </row>
    <row r="193" spans="5:35" x14ac:dyDescent="0.45">
      <c r="E193" t="s">
        <v>474</v>
      </c>
      <c r="G193" t="s">
        <v>159</v>
      </c>
      <c r="I193" t="s">
        <v>249</v>
      </c>
      <c r="J193" t="s">
        <v>265</v>
      </c>
      <c r="K193">
        <v>5.2681138919458571E-3</v>
      </c>
      <c r="L193" t="s">
        <v>251</v>
      </c>
      <c r="N193" t="s">
        <v>419</v>
      </c>
      <c r="O193" t="s">
        <v>265</v>
      </c>
      <c r="P193">
        <v>3.195747205006759E-3</v>
      </c>
      <c r="Q193" t="s">
        <v>251</v>
      </c>
      <c r="S193" t="s">
        <v>420</v>
      </c>
      <c r="T193" t="s">
        <v>265</v>
      </c>
      <c r="U193">
        <v>3.2125535585024651E-3</v>
      </c>
      <c r="V193" t="s">
        <v>251</v>
      </c>
      <c r="X193">
        <v>3.1963470319634705E-3</v>
      </c>
      <c r="Y193">
        <v>6.2186642799724884E-3</v>
      </c>
      <c r="Z193" t="s">
        <v>265</v>
      </c>
      <c r="AA193" t="s">
        <v>25</v>
      </c>
      <c r="AC193" t="s">
        <v>22</v>
      </c>
      <c r="AD193" t="s">
        <v>265</v>
      </c>
      <c r="AE193">
        <v>3.8128013648607842E-3</v>
      </c>
      <c r="AG193" t="s">
        <v>97</v>
      </c>
      <c r="AH193" t="s">
        <v>265</v>
      </c>
      <c r="AI193">
        <v>4.7685309383565633E-2</v>
      </c>
    </row>
    <row r="194" spans="5:35" x14ac:dyDescent="0.45">
      <c r="E194" t="s">
        <v>475</v>
      </c>
      <c r="G194" t="s">
        <v>159</v>
      </c>
      <c r="I194" t="s">
        <v>249</v>
      </c>
      <c r="J194" t="s">
        <v>266</v>
      </c>
      <c r="K194">
        <v>1.4233024215025481E-3</v>
      </c>
      <c r="L194" t="s">
        <v>251</v>
      </c>
      <c r="N194" t="s">
        <v>419</v>
      </c>
      <c r="O194" t="s">
        <v>266</v>
      </c>
      <c r="P194">
        <v>2.2390086492101429E-2</v>
      </c>
      <c r="Q194" t="s">
        <v>251</v>
      </c>
      <c r="S194" t="s">
        <v>420</v>
      </c>
      <c r="T194" t="s">
        <v>266</v>
      </c>
      <c r="U194">
        <v>2.1220689791239932E-2</v>
      </c>
      <c r="V194" t="s">
        <v>251</v>
      </c>
      <c r="X194">
        <v>1.9178082191780823E-2</v>
      </c>
      <c r="Y194">
        <v>1.6892491029178995E-2</v>
      </c>
      <c r="Z194" t="s">
        <v>266</v>
      </c>
      <c r="AA194" t="s">
        <v>25</v>
      </c>
      <c r="AC194" t="s">
        <v>22</v>
      </c>
      <c r="AD194" t="s">
        <v>266</v>
      </c>
      <c r="AE194">
        <v>2.3465842218325692E-2</v>
      </c>
      <c r="AG194" t="s">
        <v>97</v>
      </c>
      <c r="AH194" t="s">
        <v>266</v>
      </c>
      <c r="AI194">
        <v>0.10329064660861342</v>
      </c>
    </row>
    <row r="195" spans="5:35" x14ac:dyDescent="0.45">
      <c r="E195" t="s">
        <v>476</v>
      </c>
      <c r="G195" t="s">
        <v>159</v>
      </c>
      <c r="I195" t="s">
        <v>249</v>
      </c>
      <c r="J195" t="s">
        <v>267</v>
      </c>
      <c r="K195">
        <v>0</v>
      </c>
      <c r="L195" t="s">
        <v>251</v>
      </c>
      <c r="N195" t="s">
        <v>419</v>
      </c>
      <c r="O195" t="s">
        <v>267</v>
      </c>
      <c r="P195">
        <v>2.3696513651476212E-2</v>
      </c>
      <c r="Q195" t="s">
        <v>251</v>
      </c>
      <c r="S195" t="s">
        <v>420</v>
      </c>
      <c r="T195" t="s">
        <v>267</v>
      </c>
      <c r="U195">
        <v>2.2481855357132385E-2</v>
      </c>
      <c r="V195" t="s">
        <v>251</v>
      </c>
      <c r="X195">
        <v>2.1232876712328767E-2</v>
      </c>
      <c r="Y195">
        <v>4.5420116185598634E-3</v>
      </c>
      <c r="Z195" t="s">
        <v>267</v>
      </c>
      <c r="AA195" t="s">
        <v>25</v>
      </c>
      <c r="AC195" t="s">
        <v>22</v>
      </c>
      <c r="AD195" t="s">
        <v>267</v>
      </c>
      <c r="AE195">
        <v>2.2591121974294134E-2</v>
      </c>
      <c r="AG195" t="s">
        <v>97</v>
      </c>
      <c r="AH195" t="s">
        <v>267</v>
      </c>
      <c r="AI195">
        <v>0.19029896922146872</v>
      </c>
    </row>
    <row r="196" spans="5:35" x14ac:dyDescent="0.45">
      <c r="E196" t="s">
        <v>477</v>
      </c>
      <c r="G196" t="s">
        <v>159</v>
      </c>
      <c r="I196" t="s">
        <v>249</v>
      </c>
      <c r="J196" t="s">
        <v>268</v>
      </c>
      <c r="K196">
        <v>3.098396949005206E-4</v>
      </c>
      <c r="L196" t="s">
        <v>251</v>
      </c>
      <c r="N196" t="s">
        <v>419</v>
      </c>
      <c r="O196" t="s">
        <v>268</v>
      </c>
      <c r="P196">
        <v>3.8857602971645077E-3</v>
      </c>
      <c r="Q196" t="s">
        <v>251</v>
      </c>
      <c r="S196" t="s">
        <v>420</v>
      </c>
      <c r="T196" t="s">
        <v>268</v>
      </c>
      <c r="U196">
        <v>3.5880290938523677E-3</v>
      </c>
      <c r="V196" t="s">
        <v>251</v>
      </c>
      <c r="X196">
        <v>3.5388127853881279E-3</v>
      </c>
      <c r="Y196">
        <v>5.240782636799844E-3</v>
      </c>
      <c r="Z196" t="s">
        <v>268</v>
      </c>
      <c r="AA196" t="s">
        <v>25</v>
      </c>
      <c r="AC196" t="s">
        <v>22</v>
      </c>
      <c r="AD196" t="s">
        <v>268</v>
      </c>
      <c r="AE196">
        <v>2.8899980794006869E-3</v>
      </c>
      <c r="AG196" t="s">
        <v>97</v>
      </c>
      <c r="AH196" t="s">
        <v>268</v>
      </c>
      <c r="AI196">
        <v>5.7731845492582368E-2</v>
      </c>
    </row>
    <row r="197" spans="5:35" x14ac:dyDescent="0.45">
      <c r="E197" t="s">
        <v>478</v>
      </c>
      <c r="G197" t="s">
        <v>159</v>
      </c>
      <c r="I197" t="s">
        <v>249</v>
      </c>
      <c r="J197" t="s">
        <v>269</v>
      </c>
      <c r="K197">
        <v>4.6947273088958604E-3</v>
      </c>
      <c r="L197" t="s">
        <v>251</v>
      </c>
      <c r="N197" t="s">
        <v>419</v>
      </c>
      <c r="O197" t="s">
        <v>269</v>
      </c>
      <c r="P197">
        <v>3.6912018004516918E-3</v>
      </c>
      <c r="Q197" t="s">
        <v>251</v>
      </c>
      <c r="S197" t="s">
        <v>420</v>
      </c>
      <c r="T197" t="s">
        <v>269</v>
      </c>
      <c r="U197">
        <v>3.6183869490340197E-3</v>
      </c>
      <c r="V197" t="s">
        <v>251</v>
      </c>
      <c r="X197">
        <v>3.5388127853881279E-3</v>
      </c>
      <c r="Y197">
        <v>5.9087255218821738E-3</v>
      </c>
      <c r="Z197" t="s">
        <v>269</v>
      </c>
      <c r="AA197" t="s">
        <v>25</v>
      </c>
      <c r="AC197" t="s">
        <v>22</v>
      </c>
      <c r="AD197" t="s">
        <v>269</v>
      </c>
      <c r="AE197">
        <v>2.8130355065919548E-3</v>
      </c>
      <c r="AG197" t="s">
        <v>97</v>
      </c>
      <c r="AH197" t="s">
        <v>269</v>
      </c>
      <c r="AI197">
        <v>4.5896852839682145E-2</v>
      </c>
    </row>
    <row r="198" spans="5:35" x14ac:dyDescent="0.45">
      <c r="E198" t="s">
        <v>479</v>
      </c>
      <c r="G198" t="s">
        <v>159</v>
      </c>
      <c r="I198" t="s">
        <v>249</v>
      </c>
      <c r="J198" t="s">
        <v>270</v>
      </c>
      <c r="K198">
        <v>6.0680554667195602E-2</v>
      </c>
      <c r="L198" t="s">
        <v>251</v>
      </c>
      <c r="N198" t="s">
        <v>419</v>
      </c>
      <c r="O198" t="s">
        <v>270</v>
      </c>
      <c r="P198">
        <v>2.3114177176220312E-2</v>
      </c>
      <c r="Q198" t="s">
        <v>251</v>
      </c>
      <c r="S198" t="s">
        <v>420</v>
      </c>
      <c r="T198" t="s">
        <v>270</v>
      </c>
      <c r="U198">
        <v>2.3473608931984646E-2</v>
      </c>
      <c r="V198" t="s">
        <v>251</v>
      </c>
      <c r="X198">
        <v>2.4771689497716895E-2</v>
      </c>
      <c r="Y198">
        <v>3.1424143732027281E-2</v>
      </c>
      <c r="Z198" t="s">
        <v>270</v>
      </c>
      <c r="AA198" t="s">
        <v>25</v>
      </c>
      <c r="AC198" t="s">
        <v>22</v>
      </c>
      <c r="AD198" t="s">
        <v>270</v>
      </c>
      <c r="AE198">
        <v>2.3828142970877594E-2</v>
      </c>
      <c r="AG198" t="s">
        <v>97</v>
      </c>
      <c r="AH198" t="s">
        <v>270</v>
      </c>
      <c r="AI198">
        <v>0.25131970288420269</v>
      </c>
    </row>
    <row r="199" spans="5:35" x14ac:dyDescent="0.45">
      <c r="E199" t="s">
        <v>480</v>
      </c>
      <c r="G199" t="s">
        <v>159</v>
      </c>
      <c r="I199" t="s">
        <v>249</v>
      </c>
      <c r="J199" t="s">
        <v>271</v>
      </c>
      <c r="K199">
        <v>8.5743995904747003E-3</v>
      </c>
      <c r="L199" t="s">
        <v>251</v>
      </c>
      <c r="N199" t="s">
        <v>419</v>
      </c>
      <c r="O199" t="s">
        <v>271</v>
      </c>
      <c r="P199">
        <v>3.3965600826528692E-3</v>
      </c>
      <c r="Q199" t="s">
        <v>251</v>
      </c>
      <c r="S199" t="s">
        <v>420</v>
      </c>
      <c r="T199" t="s">
        <v>271</v>
      </c>
      <c r="U199">
        <v>3.5377034987083399E-3</v>
      </c>
      <c r="V199" t="s">
        <v>251</v>
      </c>
      <c r="X199">
        <v>3.5388127853881279E-3</v>
      </c>
      <c r="Y199">
        <v>5.3435430806586613E-3</v>
      </c>
      <c r="Z199" t="s">
        <v>271</v>
      </c>
      <c r="AA199" t="s">
        <v>25</v>
      </c>
      <c r="AC199" t="s">
        <v>22</v>
      </c>
      <c r="AD199" t="s">
        <v>271</v>
      </c>
      <c r="AE199">
        <v>3.864010379669026E-3</v>
      </c>
      <c r="AG199" t="s">
        <v>97</v>
      </c>
      <c r="AH199" t="s">
        <v>271</v>
      </c>
      <c r="AI199">
        <v>7.296282269468457E-2</v>
      </c>
    </row>
    <row r="200" spans="5:35" x14ac:dyDescent="0.45">
      <c r="E200" t="s">
        <v>481</v>
      </c>
      <c r="G200" t="s">
        <v>159</v>
      </c>
      <c r="I200" t="s">
        <v>249</v>
      </c>
      <c r="J200" t="s">
        <v>272</v>
      </c>
      <c r="K200">
        <v>7.7274077237577E-3</v>
      </c>
      <c r="L200" t="s">
        <v>251</v>
      </c>
      <c r="N200" t="s">
        <v>419</v>
      </c>
      <c r="O200" t="s">
        <v>272</v>
      </c>
      <c r="P200">
        <v>3.3435607283967025E-3</v>
      </c>
      <c r="Q200" t="s">
        <v>251</v>
      </c>
      <c r="S200" t="s">
        <v>420</v>
      </c>
      <c r="T200" t="s">
        <v>272</v>
      </c>
      <c r="U200">
        <v>3.4445733437099288E-3</v>
      </c>
      <c r="V200" t="s">
        <v>251</v>
      </c>
      <c r="X200">
        <v>3.5388127853881279E-3</v>
      </c>
      <c r="Y200">
        <v>6.8849497385409693E-3</v>
      </c>
      <c r="Z200" t="s">
        <v>272</v>
      </c>
      <c r="AA200" t="s">
        <v>25</v>
      </c>
      <c r="AC200" t="s">
        <v>22</v>
      </c>
      <c r="AD200" t="s">
        <v>272</v>
      </c>
      <c r="AE200">
        <v>3.9253617270921153E-3</v>
      </c>
      <c r="AG200" t="s">
        <v>97</v>
      </c>
      <c r="AH200" t="s">
        <v>272</v>
      </c>
      <c r="AI200">
        <v>6.5117229720367042E-2</v>
      </c>
    </row>
    <row r="201" spans="5:35" x14ac:dyDescent="0.45">
      <c r="E201" t="s">
        <v>482</v>
      </c>
      <c r="G201" t="s">
        <v>159</v>
      </c>
      <c r="I201" t="s">
        <v>249</v>
      </c>
      <c r="J201" t="s">
        <v>273</v>
      </c>
      <c r="K201">
        <v>6.1223491736783998E-3</v>
      </c>
      <c r="L201" t="s">
        <v>251</v>
      </c>
      <c r="N201" t="s">
        <v>419</v>
      </c>
      <c r="O201" t="s">
        <v>273</v>
      </c>
      <c r="P201">
        <v>3.3132880062322922E-3</v>
      </c>
      <c r="Q201" t="s">
        <v>251</v>
      </c>
      <c r="S201" t="s">
        <v>420</v>
      </c>
      <c r="T201" t="s">
        <v>273</v>
      </c>
      <c r="U201">
        <v>3.498821357711757E-3</v>
      </c>
      <c r="V201" t="s">
        <v>251</v>
      </c>
      <c r="X201">
        <v>3.5388127853881279E-3</v>
      </c>
      <c r="Y201">
        <v>6.8849497385409693E-3</v>
      </c>
      <c r="Z201" t="s">
        <v>273</v>
      </c>
      <c r="AA201" t="s">
        <v>25</v>
      </c>
      <c r="AC201" t="s">
        <v>22</v>
      </c>
      <c r="AD201" t="s">
        <v>273</v>
      </c>
      <c r="AE201">
        <v>3.9481492179717845E-3</v>
      </c>
      <c r="AG201" t="s">
        <v>97</v>
      </c>
      <c r="AH201" t="s">
        <v>273</v>
      </c>
      <c r="AI201">
        <v>6.4590164827822427E-2</v>
      </c>
    </row>
    <row r="202" spans="5:35" x14ac:dyDescent="0.45">
      <c r="E202" t="s">
        <v>483</v>
      </c>
      <c r="G202" t="s">
        <v>159</v>
      </c>
      <c r="I202" t="s">
        <v>249</v>
      </c>
      <c r="J202" t="s">
        <v>274</v>
      </c>
      <c r="K202">
        <v>3.3081446193830759E-3</v>
      </c>
      <c r="L202" t="s">
        <v>251</v>
      </c>
      <c r="N202" t="s">
        <v>419</v>
      </c>
      <c r="O202" t="s">
        <v>274</v>
      </c>
      <c r="P202">
        <v>2.387487882341412E-2</v>
      </c>
      <c r="Q202" t="s">
        <v>251</v>
      </c>
      <c r="S202" t="s">
        <v>420</v>
      </c>
      <c r="T202" t="s">
        <v>274</v>
      </c>
      <c r="U202">
        <v>2.5380273552431849E-2</v>
      </c>
      <c r="V202" t="s">
        <v>251</v>
      </c>
      <c r="X202">
        <v>2.1232876712328767E-2</v>
      </c>
      <c r="Y202">
        <v>1.8702400782305319E-2</v>
      </c>
      <c r="Z202" t="s">
        <v>274</v>
      </c>
      <c r="AA202" t="s">
        <v>25</v>
      </c>
      <c r="AC202" t="s">
        <v>22</v>
      </c>
      <c r="AD202" t="s">
        <v>274</v>
      </c>
      <c r="AE202">
        <v>2.3949252428938625E-2</v>
      </c>
      <c r="AG202" t="s">
        <v>97</v>
      </c>
      <c r="AH202" t="s">
        <v>274</v>
      </c>
      <c r="AI202">
        <v>0.10463476900940427</v>
      </c>
    </row>
    <row r="203" spans="5:35" x14ac:dyDescent="0.45">
      <c r="E203" t="s">
        <v>192</v>
      </c>
      <c r="G203" t="s">
        <v>162</v>
      </c>
      <c r="I203" t="s">
        <v>249</v>
      </c>
      <c r="J203" t="s">
        <v>299</v>
      </c>
      <c r="K203">
        <v>3.9643991682068213E-8</v>
      </c>
      <c r="L203" t="s">
        <v>251</v>
      </c>
      <c r="N203" t="s">
        <v>419</v>
      </c>
      <c r="O203" t="s">
        <v>299</v>
      </c>
      <c r="P203">
        <v>2.3227455011944086E-2</v>
      </c>
      <c r="Q203" t="s">
        <v>251</v>
      </c>
      <c r="S203" t="s">
        <v>420</v>
      </c>
      <c r="T203" t="s">
        <v>299</v>
      </c>
      <c r="U203">
        <v>2.4404730251666975E-2</v>
      </c>
      <c r="V203" t="s">
        <v>251</v>
      </c>
      <c r="X203">
        <v>1.9178082191780823E-2</v>
      </c>
      <c r="Y203">
        <v>4.1024621070863279E-3</v>
      </c>
      <c r="Z203" t="s">
        <v>299</v>
      </c>
      <c r="AA203" t="s">
        <v>25</v>
      </c>
      <c r="AC203" t="s">
        <v>22</v>
      </c>
      <c r="AD203" t="s">
        <v>299</v>
      </c>
      <c r="AE203">
        <v>1.8322350903224757E-2</v>
      </c>
      <c r="AG203" t="s">
        <v>97</v>
      </c>
      <c r="AH203" t="s">
        <v>299</v>
      </c>
      <c r="AI203">
        <v>0.19841472818441153</v>
      </c>
    </row>
    <row r="204" spans="5:35" x14ac:dyDescent="0.45">
      <c r="E204" t="s">
        <v>193</v>
      </c>
      <c r="G204" t="s">
        <v>162</v>
      </c>
      <c r="I204" t="s">
        <v>249</v>
      </c>
      <c r="J204" t="s">
        <v>300</v>
      </c>
      <c r="K204">
        <v>2.767027801024662E-3</v>
      </c>
      <c r="L204" t="s">
        <v>251</v>
      </c>
      <c r="N204" t="s">
        <v>419</v>
      </c>
      <c r="O204" t="s">
        <v>300</v>
      </c>
      <c r="P204">
        <v>3.6088236770704316E-3</v>
      </c>
      <c r="Q204" t="s">
        <v>251</v>
      </c>
      <c r="S204" t="s">
        <v>420</v>
      </c>
      <c r="T204" t="s">
        <v>300</v>
      </c>
      <c r="U204">
        <v>3.8851413490768225E-3</v>
      </c>
      <c r="V204" t="s">
        <v>251</v>
      </c>
      <c r="X204">
        <v>3.1963470319634705E-3</v>
      </c>
      <c r="Y204">
        <v>4.7336101235611484E-3</v>
      </c>
      <c r="Z204" t="s">
        <v>300</v>
      </c>
      <c r="AA204" t="s">
        <v>25</v>
      </c>
      <c r="AC204" t="s">
        <v>22</v>
      </c>
      <c r="AD204" t="s">
        <v>300</v>
      </c>
      <c r="AE204">
        <v>2.4322509722594044E-3</v>
      </c>
      <c r="AG204" t="s">
        <v>97</v>
      </c>
      <c r="AH204" t="s">
        <v>300</v>
      </c>
      <c r="AI204">
        <v>4.6441304411715345E-2</v>
      </c>
    </row>
    <row r="205" spans="5:35" x14ac:dyDescent="0.45">
      <c r="E205" t="s">
        <v>194</v>
      </c>
      <c r="G205" t="s">
        <v>162</v>
      </c>
      <c r="I205" t="s">
        <v>249</v>
      </c>
      <c r="J205" t="s">
        <v>301</v>
      </c>
      <c r="K205">
        <v>5.8480494899226998E-3</v>
      </c>
      <c r="L205" t="s">
        <v>251</v>
      </c>
      <c r="N205" t="s">
        <v>419</v>
      </c>
      <c r="O205" t="s">
        <v>301</v>
      </c>
      <c r="P205">
        <v>3.226142081794323E-3</v>
      </c>
      <c r="Q205" t="s">
        <v>251</v>
      </c>
      <c r="S205" t="s">
        <v>420</v>
      </c>
      <c r="T205" t="s">
        <v>301</v>
      </c>
      <c r="U205">
        <v>3.8191498806996018E-3</v>
      </c>
      <c r="V205" t="s">
        <v>251</v>
      </c>
      <c r="X205">
        <v>3.1963470319634705E-3</v>
      </c>
      <c r="Y205">
        <v>5.3369133746032542E-3</v>
      </c>
      <c r="Z205" t="s">
        <v>301</v>
      </c>
      <c r="AA205" t="s">
        <v>25</v>
      </c>
      <c r="AC205" t="s">
        <v>22</v>
      </c>
      <c r="AD205" t="s">
        <v>301</v>
      </c>
      <c r="AE205">
        <v>2.3697228336138111E-3</v>
      </c>
      <c r="AG205" t="s">
        <v>97</v>
      </c>
      <c r="AH205" t="s">
        <v>301</v>
      </c>
      <c r="AI205">
        <v>4.6648891180381735E-2</v>
      </c>
    </row>
    <row r="206" spans="5:35" x14ac:dyDescent="0.45">
      <c r="E206" t="s">
        <v>195</v>
      </c>
      <c r="G206" t="s">
        <v>162</v>
      </c>
      <c r="I206" t="s">
        <v>249</v>
      </c>
      <c r="J206" t="s">
        <v>302</v>
      </c>
      <c r="K206">
        <v>5.8546414410567099E-2</v>
      </c>
      <c r="L206" t="s">
        <v>251</v>
      </c>
      <c r="N206" t="s">
        <v>419</v>
      </c>
      <c r="O206" t="s">
        <v>302</v>
      </c>
      <c r="P206">
        <v>2.2267743731607639E-2</v>
      </c>
      <c r="Q206" t="s">
        <v>251</v>
      </c>
      <c r="S206" t="s">
        <v>420</v>
      </c>
      <c r="T206" t="s">
        <v>302</v>
      </c>
      <c r="U206">
        <v>2.4124729428657232E-2</v>
      </c>
      <c r="V206" t="s">
        <v>251</v>
      </c>
      <c r="X206">
        <v>2.2374429223744292E-2</v>
      </c>
      <c r="Y206">
        <v>2.8383097564411743E-2</v>
      </c>
      <c r="Z206" t="s">
        <v>302</v>
      </c>
      <c r="AA206" t="s">
        <v>25</v>
      </c>
      <c r="AC206" t="s">
        <v>22</v>
      </c>
      <c r="AD206" t="s">
        <v>302</v>
      </c>
      <c r="AE206">
        <v>2.052939775719495E-2</v>
      </c>
      <c r="AG206" t="s">
        <v>97</v>
      </c>
      <c r="AH206" t="s">
        <v>302</v>
      </c>
      <c r="AI206">
        <v>0.27604259076687065</v>
      </c>
    </row>
    <row r="207" spans="5:35" x14ac:dyDescent="0.45">
      <c r="E207" t="s">
        <v>196</v>
      </c>
      <c r="G207" t="s">
        <v>162</v>
      </c>
      <c r="I207" t="s">
        <v>249</v>
      </c>
      <c r="J207" t="s">
        <v>303</v>
      </c>
      <c r="K207">
        <v>8.0886771143542004E-3</v>
      </c>
      <c r="L207" t="s">
        <v>251</v>
      </c>
      <c r="N207" t="s">
        <v>419</v>
      </c>
      <c r="O207" t="s">
        <v>303</v>
      </c>
      <c r="P207">
        <v>3.3248023625072854E-3</v>
      </c>
      <c r="Q207" t="s">
        <v>251</v>
      </c>
      <c r="S207" t="s">
        <v>420</v>
      </c>
      <c r="T207" t="s">
        <v>303</v>
      </c>
      <c r="U207">
        <v>3.5931122300488236E-3</v>
      </c>
      <c r="V207" t="s">
        <v>251</v>
      </c>
      <c r="X207">
        <v>3.1963470319634705E-3</v>
      </c>
      <c r="Y207">
        <v>4.8264260083368555E-3</v>
      </c>
      <c r="Z207" t="s">
        <v>303</v>
      </c>
      <c r="AA207" t="s">
        <v>25</v>
      </c>
      <c r="AC207" t="s">
        <v>22</v>
      </c>
      <c r="AD207" t="s">
        <v>303</v>
      </c>
      <c r="AE207">
        <v>3.2392554953144565E-3</v>
      </c>
      <c r="AG207" t="s">
        <v>97</v>
      </c>
      <c r="AH207" t="s">
        <v>303</v>
      </c>
      <c r="AI207">
        <v>7.7046195288739128E-2</v>
      </c>
    </row>
    <row r="208" spans="5:35" x14ac:dyDescent="0.45">
      <c r="E208" t="s">
        <v>197</v>
      </c>
      <c r="G208" t="s">
        <v>162</v>
      </c>
      <c r="I208" t="s">
        <v>249</v>
      </c>
      <c r="J208" t="s">
        <v>304</v>
      </c>
      <c r="K208">
        <v>7.3338343467336999E-3</v>
      </c>
      <c r="L208" t="s">
        <v>251</v>
      </c>
      <c r="N208" t="s">
        <v>419</v>
      </c>
      <c r="O208" t="s">
        <v>304</v>
      </c>
      <c r="P208">
        <v>3.2868405848095294E-3</v>
      </c>
      <c r="Q208" t="s">
        <v>251</v>
      </c>
      <c r="S208" t="s">
        <v>420</v>
      </c>
      <c r="T208" t="s">
        <v>304</v>
      </c>
      <c r="U208">
        <v>3.4202455305985106E-3</v>
      </c>
      <c r="V208" t="s">
        <v>251</v>
      </c>
      <c r="X208">
        <v>3.1963470319634705E-3</v>
      </c>
      <c r="Y208">
        <v>6.2186642799724884E-3</v>
      </c>
      <c r="Z208" t="s">
        <v>304</v>
      </c>
      <c r="AA208" t="s">
        <v>25</v>
      </c>
      <c r="AC208" t="s">
        <v>22</v>
      </c>
      <c r="AD208" t="s">
        <v>304</v>
      </c>
      <c r="AE208">
        <v>3.2983236916873993E-3</v>
      </c>
      <c r="AG208" t="s">
        <v>97</v>
      </c>
      <c r="AH208" t="s">
        <v>304</v>
      </c>
      <c r="AI208">
        <v>8.6830072945970338E-2</v>
      </c>
    </row>
    <row r="209" spans="5:35" x14ac:dyDescent="0.45">
      <c r="E209" t="s">
        <v>198</v>
      </c>
      <c r="G209" t="s">
        <v>162</v>
      </c>
      <c r="I209" t="s">
        <v>249</v>
      </c>
      <c r="J209" t="s">
        <v>305</v>
      </c>
      <c r="K209">
        <v>6.1344512612505004E-3</v>
      </c>
      <c r="L209" t="s">
        <v>251</v>
      </c>
      <c r="N209" t="s">
        <v>419</v>
      </c>
      <c r="O209" t="s">
        <v>305</v>
      </c>
      <c r="P209">
        <v>3.228190721853244E-3</v>
      </c>
      <c r="Q209" t="s">
        <v>251</v>
      </c>
      <c r="S209" t="s">
        <v>420</v>
      </c>
      <c r="T209" t="s">
        <v>305</v>
      </c>
      <c r="U209">
        <v>3.4254345970690468E-3</v>
      </c>
      <c r="V209" t="s">
        <v>251</v>
      </c>
      <c r="X209">
        <v>3.1963470319634705E-3</v>
      </c>
      <c r="Y209">
        <v>6.2186642799724884E-3</v>
      </c>
      <c r="Z209" t="s">
        <v>305</v>
      </c>
      <c r="AA209" t="s">
        <v>25</v>
      </c>
      <c r="AC209" t="s">
        <v>22</v>
      </c>
      <c r="AD209" t="s">
        <v>305</v>
      </c>
      <c r="AE209">
        <v>3.252829812746388E-3</v>
      </c>
      <c r="AG209" t="s">
        <v>97</v>
      </c>
      <c r="AH209" t="s">
        <v>305</v>
      </c>
      <c r="AI209">
        <v>9.2132414329941348E-2</v>
      </c>
    </row>
    <row r="210" spans="5:35" x14ac:dyDescent="0.45">
      <c r="E210" t="s">
        <v>199</v>
      </c>
      <c r="G210" t="s">
        <v>162</v>
      </c>
      <c r="I210" t="s">
        <v>249</v>
      </c>
      <c r="J210" t="s">
        <v>306</v>
      </c>
      <c r="K210">
        <v>4.7266540999642672E-3</v>
      </c>
      <c r="L210" t="s">
        <v>251</v>
      </c>
      <c r="N210" t="s">
        <v>419</v>
      </c>
      <c r="O210" t="s">
        <v>306</v>
      </c>
      <c r="P210">
        <v>2.3409400742817318E-2</v>
      </c>
      <c r="Q210" t="s">
        <v>251</v>
      </c>
      <c r="S210" t="s">
        <v>420</v>
      </c>
      <c r="T210" t="s">
        <v>306</v>
      </c>
      <c r="U210">
        <v>2.2842935852607622E-2</v>
      </c>
      <c r="V210" t="s">
        <v>251</v>
      </c>
      <c r="X210">
        <v>1.9178082191780823E-2</v>
      </c>
      <c r="Y210">
        <v>1.6892491029178995E-2</v>
      </c>
      <c r="Z210" t="s">
        <v>306</v>
      </c>
      <c r="AA210" t="s">
        <v>25</v>
      </c>
      <c r="AC210" t="s">
        <v>22</v>
      </c>
      <c r="AD210" t="s">
        <v>306</v>
      </c>
      <c r="AE210">
        <v>1.9715248055158549E-2</v>
      </c>
      <c r="AG210" t="s">
        <v>97</v>
      </c>
      <c r="AH210" t="s">
        <v>306</v>
      </c>
      <c r="AI210">
        <v>0.11435019986613582</v>
      </c>
    </row>
    <row r="211" spans="5:35" x14ac:dyDescent="0.45">
      <c r="E211" t="s">
        <v>200</v>
      </c>
      <c r="G211" t="s">
        <v>162</v>
      </c>
      <c r="I211" t="s">
        <v>249</v>
      </c>
      <c r="J211" t="s">
        <v>1888</v>
      </c>
      <c r="K211">
        <v>0</v>
      </c>
      <c r="L211" t="s">
        <v>251</v>
      </c>
      <c r="N211" t="s">
        <v>419</v>
      </c>
      <c r="O211" t="s">
        <v>1888</v>
      </c>
      <c r="P211">
        <v>2.3493038919190001E-4</v>
      </c>
      <c r="Q211" t="s">
        <v>251</v>
      </c>
      <c r="S211" t="s">
        <v>420</v>
      </c>
      <c r="T211" t="s">
        <v>1888</v>
      </c>
      <c r="U211">
        <v>8.044167253484388E-5</v>
      </c>
      <c r="V211" t="s">
        <v>251</v>
      </c>
      <c r="X211">
        <v>1.1415525114155251E-4</v>
      </c>
      <c r="Y211">
        <v>2.1546544680075254E-5</v>
      </c>
      <c r="Z211" t="s">
        <v>1888</v>
      </c>
      <c r="AA211" t="s">
        <v>25</v>
      </c>
      <c r="AC211" t="s">
        <v>22</v>
      </c>
      <c r="AD211" t="s">
        <v>1888</v>
      </c>
      <c r="AE211">
        <v>1.1539885322344985E-4</v>
      </c>
      <c r="AG211" t="s">
        <v>97</v>
      </c>
      <c r="AH211" t="s">
        <v>1888</v>
      </c>
      <c r="AI211">
        <v>0</v>
      </c>
    </row>
    <row r="212" spans="5:35" x14ac:dyDescent="0.45">
      <c r="E212" t="s">
        <v>201</v>
      </c>
      <c r="G212" t="s">
        <v>162</v>
      </c>
      <c r="I212" t="s">
        <v>249</v>
      </c>
      <c r="J212" t="s">
        <v>1889</v>
      </c>
      <c r="K212">
        <v>0</v>
      </c>
      <c r="L212" t="s">
        <v>251</v>
      </c>
      <c r="N212" t="s">
        <v>419</v>
      </c>
      <c r="O212" t="s">
        <v>1889</v>
      </c>
      <c r="P212">
        <v>2.2892331688490001E-4</v>
      </c>
      <c r="Q212" t="s">
        <v>251</v>
      </c>
      <c r="S212" t="s">
        <v>420</v>
      </c>
      <c r="T212" t="s">
        <v>1889</v>
      </c>
      <c r="U212">
        <v>8.0233431373059807E-5</v>
      </c>
      <c r="V212" t="s">
        <v>251</v>
      </c>
      <c r="X212">
        <v>1.1415525114155251E-4</v>
      </c>
      <c r="Y212">
        <v>1.4916838624667481E-5</v>
      </c>
      <c r="Z212" t="s">
        <v>1889</v>
      </c>
      <c r="AA212" t="s">
        <v>25</v>
      </c>
      <c r="AC212" t="s">
        <v>22</v>
      </c>
      <c r="AD212" t="s">
        <v>1889</v>
      </c>
      <c r="AE212">
        <v>1.1367595190516965E-4</v>
      </c>
      <c r="AG212" t="s">
        <v>97</v>
      </c>
      <c r="AH212" t="s">
        <v>1889</v>
      </c>
      <c r="AI212">
        <v>0</v>
      </c>
    </row>
    <row r="213" spans="5:35" x14ac:dyDescent="0.45">
      <c r="E213" t="s">
        <v>202</v>
      </c>
      <c r="G213" t="s">
        <v>162</v>
      </c>
      <c r="I213" t="s">
        <v>249</v>
      </c>
      <c r="J213" t="s">
        <v>1890</v>
      </c>
      <c r="K213">
        <v>0</v>
      </c>
      <c r="L213" t="s">
        <v>251</v>
      </c>
      <c r="N213" t="s">
        <v>419</v>
      </c>
      <c r="O213" t="s">
        <v>1890</v>
      </c>
      <c r="P213">
        <v>2.2137859299630001E-4</v>
      </c>
      <c r="Q213" t="s">
        <v>251</v>
      </c>
      <c r="S213" t="s">
        <v>420</v>
      </c>
      <c r="T213" t="s">
        <v>1890</v>
      </c>
      <c r="U213">
        <v>7.9001091815929545E-5</v>
      </c>
      <c r="V213" t="s">
        <v>251</v>
      </c>
      <c r="X213">
        <v>1.1415525114155251E-4</v>
      </c>
      <c r="Y213">
        <v>1.6574265138519424E-5</v>
      </c>
      <c r="Z213" t="s">
        <v>1890</v>
      </c>
      <c r="AA213" t="s">
        <v>25</v>
      </c>
      <c r="AC213" t="s">
        <v>22</v>
      </c>
      <c r="AD213" t="s">
        <v>1890</v>
      </c>
      <c r="AE213">
        <v>1.0962614670054074E-4</v>
      </c>
      <c r="AG213" t="s">
        <v>97</v>
      </c>
      <c r="AH213" t="s">
        <v>1890</v>
      </c>
      <c r="AI213">
        <v>0</v>
      </c>
    </row>
    <row r="214" spans="5:35" x14ac:dyDescent="0.45">
      <c r="E214" t="s">
        <v>203</v>
      </c>
      <c r="G214" t="s">
        <v>162</v>
      </c>
      <c r="I214" t="s">
        <v>249</v>
      </c>
      <c r="J214" t="s">
        <v>1891</v>
      </c>
      <c r="K214">
        <v>0</v>
      </c>
      <c r="L214" t="s">
        <v>251</v>
      </c>
      <c r="N214" t="s">
        <v>419</v>
      </c>
      <c r="O214" t="s">
        <v>1891</v>
      </c>
      <c r="P214">
        <v>2.1512732549610001E-4</v>
      </c>
      <c r="Q214" t="s">
        <v>251</v>
      </c>
      <c r="S214" t="s">
        <v>420</v>
      </c>
      <c r="T214" t="s">
        <v>1891</v>
      </c>
      <c r="U214">
        <v>7.0877680701019103E-5</v>
      </c>
      <c r="V214" t="s">
        <v>251</v>
      </c>
      <c r="X214">
        <v>1.1415525114155251E-4</v>
      </c>
      <c r="Y214">
        <v>1.4585353321897093E-5</v>
      </c>
      <c r="Z214" t="s">
        <v>1891</v>
      </c>
      <c r="AA214" t="s">
        <v>25</v>
      </c>
      <c r="AC214" t="s">
        <v>22</v>
      </c>
      <c r="AD214" t="s">
        <v>1891</v>
      </c>
      <c r="AE214">
        <v>1.0312991766676511E-4</v>
      </c>
      <c r="AG214" t="s">
        <v>97</v>
      </c>
      <c r="AH214" t="s">
        <v>1891</v>
      </c>
      <c r="AI214">
        <v>0</v>
      </c>
    </row>
    <row r="215" spans="5:35" x14ac:dyDescent="0.45">
      <c r="E215" t="s">
        <v>204</v>
      </c>
      <c r="G215" t="s">
        <v>162</v>
      </c>
      <c r="I215" t="s">
        <v>249</v>
      </c>
      <c r="J215" t="s">
        <v>1892</v>
      </c>
      <c r="K215">
        <v>0</v>
      </c>
      <c r="L215" t="s">
        <v>251</v>
      </c>
      <c r="N215" t="s">
        <v>419</v>
      </c>
      <c r="O215" t="s">
        <v>1892</v>
      </c>
      <c r="P215">
        <v>2.1515994265190001E-4</v>
      </c>
      <c r="Q215" t="s">
        <v>251</v>
      </c>
      <c r="S215" t="s">
        <v>420</v>
      </c>
      <c r="T215" t="s">
        <v>1892</v>
      </c>
      <c r="U215">
        <v>4.6776613748816818E-5</v>
      </c>
      <c r="V215" t="s">
        <v>251</v>
      </c>
      <c r="X215">
        <v>1.1415525114155251E-4</v>
      </c>
      <c r="Y215">
        <v>2.1215059377304864E-5</v>
      </c>
      <c r="Z215" t="s">
        <v>1892</v>
      </c>
      <c r="AA215" t="s">
        <v>25</v>
      </c>
      <c r="AC215" t="s">
        <v>22</v>
      </c>
      <c r="AD215" t="s">
        <v>1892</v>
      </c>
      <c r="AE215">
        <v>9.6784689275006606E-5</v>
      </c>
      <c r="AG215" t="s">
        <v>97</v>
      </c>
      <c r="AH215" t="s">
        <v>1892</v>
      </c>
      <c r="AI215">
        <v>0</v>
      </c>
    </row>
    <row r="216" spans="5:35" x14ac:dyDescent="0.45">
      <c r="E216" t="s">
        <v>205</v>
      </c>
      <c r="G216" t="s">
        <v>162</v>
      </c>
      <c r="I216" t="s">
        <v>249</v>
      </c>
      <c r="J216" t="s">
        <v>1893</v>
      </c>
      <c r="K216">
        <v>0</v>
      </c>
      <c r="L216" t="s">
        <v>251</v>
      </c>
      <c r="N216" t="s">
        <v>419</v>
      </c>
      <c r="O216" t="s">
        <v>1893</v>
      </c>
      <c r="P216">
        <v>2.1885980596819999E-4</v>
      </c>
      <c r="Q216" t="s">
        <v>251</v>
      </c>
      <c r="S216" t="s">
        <v>420</v>
      </c>
      <c r="T216" t="s">
        <v>1893</v>
      </c>
      <c r="U216">
        <v>4.0467513077573629E-5</v>
      </c>
      <c r="V216" t="s">
        <v>251</v>
      </c>
      <c r="X216">
        <v>1.1415525114155251E-4</v>
      </c>
      <c r="Y216">
        <v>5.7678442682047593E-5</v>
      </c>
      <c r="Z216" t="s">
        <v>1893</v>
      </c>
      <c r="AA216" t="s">
        <v>25</v>
      </c>
      <c r="AC216" t="s">
        <v>22</v>
      </c>
      <c r="AD216" t="s">
        <v>1893</v>
      </c>
      <c r="AE216">
        <v>8.9694061954280165E-5</v>
      </c>
      <c r="AG216" t="s">
        <v>97</v>
      </c>
      <c r="AH216" t="s">
        <v>1893</v>
      </c>
      <c r="AI216">
        <v>0</v>
      </c>
    </row>
    <row r="217" spans="5:35" x14ac:dyDescent="0.45">
      <c r="E217" t="s">
        <v>206</v>
      </c>
      <c r="G217" t="s">
        <v>162</v>
      </c>
      <c r="I217" t="s">
        <v>249</v>
      </c>
      <c r="J217" t="s">
        <v>1894</v>
      </c>
      <c r="K217">
        <v>9.3273071981662316E-5</v>
      </c>
      <c r="L217" t="s">
        <v>251</v>
      </c>
      <c r="N217" t="s">
        <v>419</v>
      </c>
      <c r="O217" t="s">
        <v>1894</v>
      </c>
      <c r="P217">
        <v>2.189835309227E-4</v>
      </c>
      <c r="Q217" t="s">
        <v>251</v>
      </c>
      <c r="S217" t="s">
        <v>420</v>
      </c>
      <c r="T217" t="s">
        <v>1894</v>
      </c>
      <c r="U217">
        <v>3.5024633699657177E-5</v>
      </c>
      <c r="V217" t="s">
        <v>251</v>
      </c>
      <c r="X217">
        <v>1.1415525114155251E-4</v>
      </c>
      <c r="Y217">
        <v>1.6905750441289813E-4</v>
      </c>
      <c r="Z217" t="s">
        <v>1894</v>
      </c>
      <c r="AA217" t="s">
        <v>25</v>
      </c>
      <c r="AC217" t="s">
        <v>22</v>
      </c>
      <c r="AD217" t="s">
        <v>1894</v>
      </c>
      <c r="AE217">
        <v>8.6093256891903573E-5</v>
      </c>
      <c r="AG217" t="s">
        <v>97</v>
      </c>
      <c r="AH217" t="s">
        <v>1894</v>
      </c>
      <c r="AI217">
        <v>0</v>
      </c>
    </row>
    <row r="218" spans="5:35" x14ac:dyDescent="0.45">
      <c r="E218" t="s">
        <v>207</v>
      </c>
      <c r="G218" t="s">
        <v>162</v>
      </c>
      <c r="I218" t="s">
        <v>249</v>
      </c>
      <c r="J218" t="s">
        <v>1895</v>
      </c>
      <c r="K218">
        <v>2.1942770732790001E-4</v>
      </c>
      <c r="L218" t="s">
        <v>251</v>
      </c>
      <c r="N218" t="s">
        <v>419</v>
      </c>
      <c r="O218" t="s">
        <v>1895</v>
      </c>
      <c r="P218">
        <v>2.1178561949870001E-4</v>
      </c>
      <c r="Q218" t="s">
        <v>251</v>
      </c>
      <c r="S218" t="s">
        <v>420</v>
      </c>
      <c r="T218" t="s">
        <v>1895</v>
      </c>
      <c r="U218">
        <v>2.7447322642200601E-5</v>
      </c>
      <c r="V218" t="s">
        <v>251</v>
      </c>
      <c r="X218">
        <v>1.1415525114155251E-4</v>
      </c>
      <c r="Y218">
        <v>1.9060404909297337E-4</v>
      </c>
      <c r="Z218" t="s">
        <v>1895</v>
      </c>
      <c r="AA218" t="s">
        <v>25</v>
      </c>
      <c r="AC218" t="s">
        <v>22</v>
      </c>
      <c r="AD218" t="s">
        <v>1895</v>
      </c>
      <c r="AE218">
        <v>8.2932914833008065E-5</v>
      </c>
      <c r="AG218" t="s">
        <v>97</v>
      </c>
      <c r="AH218" t="s">
        <v>1895</v>
      </c>
      <c r="AI218">
        <v>0</v>
      </c>
    </row>
    <row r="219" spans="5:35" x14ac:dyDescent="0.45">
      <c r="E219" t="s">
        <v>208</v>
      </c>
      <c r="G219" t="s">
        <v>162</v>
      </c>
      <c r="I219" t="s">
        <v>249</v>
      </c>
      <c r="J219" t="s">
        <v>1896</v>
      </c>
      <c r="K219">
        <v>2.7558663415999999E-4</v>
      </c>
      <c r="L219" t="s">
        <v>251</v>
      </c>
      <c r="N219" t="s">
        <v>419</v>
      </c>
      <c r="O219" t="s">
        <v>1896</v>
      </c>
      <c r="P219">
        <v>2.1350925838699999E-4</v>
      </c>
      <c r="Q219" t="s">
        <v>251</v>
      </c>
      <c r="S219" t="s">
        <v>420</v>
      </c>
      <c r="T219" t="s">
        <v>1896</v>
      </c>
      <c r="U219">
        <v>2.6959303255329743E-5</v>
      </c>
      <c r="V219" t="s">
        <v>251</v>
      </c>
      <c r="X219">
        <v>1.1415525114155251E-4</v>
      </c>
      <c r="Y219">
        <v>1.4585353321897094E-4</v>
      </c>
      <c r="Z219" t="s">
        <v>1896</v>
      </c>
      <c r="AA219" t="s">
        <v>25</v>
      </c>
      <c r="AC219" t="s">
        <v>22</v>
      </c>
      <c r="AD219" t="s">
        <v>1896</v>
      </c>
      <c r="AE219">
        <v>8.261944176874988E-5</v>
      </c>
      <c r="AG219" t="s">
        <v>97</v>
      </c>
      <c r="AH219" t="s">
        <v>1896</v>
      </c>
      <c r="AI219">
        <v>0</v>
      </c>
    </row>
    <row r="220" spans="5:35" x14ac:dyDescent="0.45">
      <c r="E220" t="s">
        <v>209</v>
      </c>
      <c r="G220" t="s">
        <v>162</v>
      </c>
      <c r="I220" t="s">
        <v>249</v>
      </c>
      <c r="J220" t="s">
        <v>1897</v>
      </c>
      <c r="K220">
        <v>3.0429572739150001E-4</v>
      </c>
      <c r="L220" t="s">
        <v>251</v>
      </c>
      <c r="N220" t="s">
        <v>419</v>
      </c>
      <c r="O220" t="s">
        <v>1897</v>
      </c>
      <c r="P220">
        <v>2.188955611501E-4</v>
      </c>
      <c r="Q220" t="s">
        <v>251</v>
      </c>
      <c r="S220" t="s">
        <v>420</v>
      </c>
      <c r="T220" t="s">
        <v>1897</v>
      </c>
      <c r="U220">
        <v>3.2149599749168365E-5</v>
      </c>
      <c r="V220" t="s">
        <v>251</v>
      </c>
      <c r="X220">
        <v>1.1415525114155251E-4</v>
      </c>
      <c r="Y220">
        <v>1.4452759200788939E-4</v>
      </c>
      <c r="Z220" t="s">
        <v>1897</v>
      </c>
      <c r="AA220" t="s">
        <v>25</v>
      </c>
      <c r="AC220" t="s">
        <v>22</v>
      </c>
      <c r="AD220" t="s">
        <v>1897</v>
      </c>
      <c r="AE220">
        <v>8.2919308768091319E-5</v>
      </c>
      <c r="AG220" t="s">
        <v>97</v>
      </c>
      <c r="AH220" t="s">
        <v>1897</v>
      </c>
      <c r="AI220">
        <v>0</v>
      </c>
    </row>
    <row r="221" spans="5:35" x14ac:dyDescent="0.45">
      <c r="E221" t="s">
        <v>210</v>
      </c>
      <c r="G221" t="s">
        <v>162</v>
      </c>
      <c r="I221" t="s">
        <v>249</v>
      </c>
      <c r="J221" t="s">
        <v>1898</v>
      </c>
      <c r="K221">
        <v>3.172126903631E-4</v>
      </c>
      <c r="L221" t="s">
        <v>251</v>
      </c>
      <c r="N221" t="s">
        <v>419</v>
      </c>
      <c r="O221" t="s">
        <v>1898</v>
      </c>
      <c r="P221">
        <v>2.191696843887E-4</v>
      </c>
      <c r="Q221" t="s">
        <v>251</v>
      </c>
      <c r="S221" t="s">
        <v>420</v>
      </c>
      <c r="T221" t="s">
        <v>1898</v>
      </c>
      <c r="U221">
        <v>3.6985284126304209E-5</v>
      </c>
      <c r="V221" t="s">
        <v>251</v>
      </c>
      <c r="X221">
        <v>1.1415525114155251E-4</v>
      </c>
      <c r="Y221">
        <v>1.408812536774151E-4</v>
      </c>
      <c r="Z221" t="s">
        <v>1898</v>
      </c>
      <c r="AA221" t="s">
        <v>25</v>
      </c>
      <c r="AC221" t="s">
        <v>22</v>
      </c>
      <c r="AD221" t="s">
        <v>1898</v>
      </c>
      <c r="AE221">
        <v>8.6770091925114613E-5</v>
      </c>
      <c r="AG221" t="s">
        <v>97</v>
      </c>
      <c r="AH221" t="s">
        <v>1898</v>
      </c>
      <c r="AI221">
        <v>0</v>
      </c>
    </row>
    <row r="222" spans="5:35" x14ac:dyDescent="0.45">
      <c r="E222" t="s">
        <v>211</v>
      </c>
      <c r="G222" t="s">
        <v>162</v>
      </c>
      <c r="I222" t="s">
        <v>249</v>
      </c>
      <c r="J222" t="s">
        <v>1899</v>
      </c>
      <c r="K222">
        <v>3.185744806266E-4</v>
      </c>
      <c r="L222" t="s">
        <v>251</v>
      </c>
      <c r="N222" t="s">
        <v>419</v>
      </c>
      <c r="O222" t="s">
        <v>1899</v>
      </c>
      <c r="P222">
        <v>2.1389704810020001E-4</v>
      </c>
      <c r="Q222" t="s">
        <v>251</v>
      </c>
      <c r="S222" t="s">
        <v>420</v>
      </c>
      <c r="T222" t="s">
        <v>1899</v>
      </c>
      <c r="U222">
        <v>4.1080356565471749E-5</v>
      </c>
      <c r="V222" t="s">
        <v>251</v>
      </c>
      <c r="X222">
        <v>1.1415525114155251E-4</v>
      </c>
      <c r="Y222">
        <v>1.4054976837464471E-4</v>
      </c>
      <c r="Z222" t="s">
        <v>1899</v>
      </c>
      <c r="AA222" t="s">
        <v>25</v>
      </c>
      <c r="AC222" t="s">
        <v>22</v>
      </c>
      <c r="AD222" t="s">
        <v>1899</v>
      </c>
      <c r="AE222">
        <v>9.0479211935651902E-5</v>
      </c>
      <c r="AG222" t="s">
        <v>97</v>
      </c>
      <c r="AH222" t="s">
        <v>1899</v>
      </c>
      <c r="AI222">
        <v>0</v>
      </c>
    </row>
    <row r="223" spans="5:35" x14ac:dyDescent="0.45">
      <c r="E223" t="s">
        <v>212</v>
      </c>
      <c r="G223" t="s">
        <v>162</v>
      </c>
      <c r="I223" t="s">
        <v>249</v>
      </c>
      <c r="J223" t="s">
        <v>1900</v>
      </c>
      <c r="K223">
        <v>3.074454565856E-4</v>
      </c>
      <c r="L223" t="s">
        <v>251</v>
      </c>
      <c r="N223" t="s">
        <v>419</v>
      </c>
      <c r="O223" t="s">
        <v>1900</v>
      </c>
      <c r="P223">
        <v>2.088474391161E-4</v>
      </c>
      <c r="Q223" t="s">
        <v>251</v>
      </c>
      <c r="S223" t="s">
        <v>420</v>
      </c>
      <c r="T223" t="s">
        <v>1900</v>
      </c>
      <c r="U223">
        <v>4.4422998077102129E-5</v>
      </c>
      <c r="V223" t="s">
        <v>251</v>
      </c>
      <c r="X223">
        <v>1.1415525114155251E-4</v>
      </c>
      <c r="Y223">
        <v>1.4253868019126702E-4</v>
      </c>
      <c r="Z223" t="s">
        <v>1900</v>
      </c>
      <c r="AA223" t="s">
        <v>25</v>
      </c>
      <c r="AC223" t="s">
        <v>22</v>
      </c>
      <c r="AD223" t="s">
        <v>1900</v>
      </c>
      <c r="AE223">
        <v>9.455756319804729E-5</v>
      </c>
      <c r="AG223" t="s">
        <v>97</v>
      </c>
      <c r="AH223" t="s">
        <v>1900</v>
      </c>
      <c r="AI223">
        <v>0</v>
      </c>
    </row>
    <row r="224" spans="5:35" x14ac:dyDescent="0.45">
      <c r="E224" t="s">
        <v>213</v>
      </c>
      <c r="G224" t="s">
        <v>162</v>
      </c>
      <c r="I224" t="s">
        <v>249</v>
      </c>
      <c r="J224" t="s">
        <v>1901</v>
      </c>
      <c r="K224">
        <v>3.0957452367060001E-4</v>
      </c>
      <c r="L224" t="s">
        <v>251</v>
      </c>
      <c r="N224" t="s">
        <v>419</v>
      </c>
      <c r="O224" t="s">
        <v>1901</v>
      </c>
      <c r="P224">
        <v>2.044065062088E-4</v>
      </c>
      <c r="Q224" t="s">
        <v>251</v>
      </c>
      <c r="S224" t="s">
        <v>420</v>
      </c>
      <c r="T224" t="s">
        <v>1901</v>
      </c>
      <c r="U224">
        <v>5.2378760846553443E-5</v>
      </c>
      <c r="V224" t="s">
        <v>251</v>
      </c>
      <c r="X224">
        <v>1.1415525114155251E-4</v>
      </c>
      <c r="Y224">
        <v>1.4883690094390442E-4</v>
      </c>
      <c r="Z224" t="s">
        <v>1901</v>
      </c>
      <c r="AA224" t="s">
        <v>25</v>
      </c>
      <c r="AC224" t="s">
        <v>22</v>
      </c>
      <c r="AD224" t="s">
        <v>1901</v>
      </c>
      <c r="AE224">
        <v>9.9938628479823648E-5</v>
      </c>
      <c r="AG224" t="s">
        <v>97</v>
      </c>
      <c r="AH224" t="s">
        <v>1901</v>
      </c>
      <c r="AI224">
        <v>0</v>
      </c>
    </row>
    <row r="225" spans="5:35" x14ac:dyDescent="0.45">
      <c r="E225" t="s">
        <v>214</v>
      </c>
      <c r="G225" t="s">
        <v>162</v>
      </c>
      <c r="I225" t="s">
        <v>249</v>
      </c>
      <c r="J225" t="s">
        <v>1902</v>
      </c>
      <c r="K225">
        <v>3.112724176205E-4</v>
      </c>
      <c r="L225" t="s">
        <v>251</v>
      </c>
      <c r="N225" t="s">
        <v>419</v>
      </c>
      <c r="O225" t="s">
        <v>1902</v>
      </c>
      <c r="P225">
        <v>2.0119636818880001E-4</v>
      </c>
      <c r="Q225" t="s">
        <v>251</v>
      </c>
      <c r="S225" t="s">
        <v>420</v>
      </c>
      <c r="T225" t="s">
        <v>1902</v>
      </c>
      <c r="U225">
        <v>6.4442399729834089E-5</v>
      </c>
      <c r="V225" t="s">
        <v>251</v>
      </c>
      <c r="X225">
        <v>1.1415525114155251E-4</v>
      </c>
      <c r="Y225">
        <v>1.5049432745775637E-4</v>
      </c>
      <c r="Z225" t="s">
        <v>1902</v>
      </c>
      <c r="AA225" t="s">
        <v>25</v>
      </c>
      <c r="AC225" t="s">
        <v>22</v>
      </c>
      <c r="AD225" t="s">
        <v>1902</v>
      </c>
      <c r="AE225">
        <v>1.0426055498278733E-4</v>
      </c>
      <c r="AG225" t="s">
        <v>97</v>
      </c>
      <c r="AH225" t="s">
        <v>1902</v>
      </c>
      <c r="AI225">
        <v>0</v>
      </c>
    </row>
    <row r="226" spans="5:35" x14ac:dyDescent="0.45">
      <c r="E226" t="s">
        <v>215</v>
      </c>
      <c r="G226" t="s">
        <v>162</v>
      </c>
      <c r="I226" t="s">
        <v>249</v>
      </c>
      <c r="J226" t="s">
        <v>1903</v>
      </c>
      <c r="K226">
        <v>3.0151812767080001E-4</v>
      </c>
      <c r="L226" t="s">
        <v>251</v>
      </c>
      <c r="N226" t="s">
        <v>419</v>
      </c>
      <c r="O226" t="s">
        <v>1903</v>
      </c>
      <c r="P226">
        <v>1.8667299638259999E-4</v>
      </c>
      <c r="Q226" t="s">
        <v>251</v>
      </c>
      <c r="S226" t="s">
        <v>420</v>
      </c>
      <c r="T226" t="s">
        <v>1903</v>
      </c>
      <c r="U226">
        <v>7.8374928051028013E-5</v>
      </c>
      <c r="V226" t="s">
        <v>251</v>
      </c>
      <c r="X226">
        <v>1.1415525114155251E-4</v>
      </c>
      <c r="Y226">
        <v>1.7237235744060203E-4</v>
      </c>
      <c r="Z226" t="s">
        <v>1903</v>
      </c>
      <c r="AA226" t="s">
        <v>25</v>
      </c>
      <c r="AC226" t="s">
        <v>22</v>
      </c>
      <c r="AD226" t="s">
        <v>1903</v>
      </c>
      <c r="AE226">
        <v>1.0154921306614413E-4</v>
      </c>
      <c r="AG226" t="s">
        <v>97</v>
      </c>
      <c r="AH226" t="s">
        <v>1903</v>
      </c>
      <c r="AI226">
        <v>0</v>
      </c>
    </row>
    <row r="227" spans="5:35" x14ac:dyDescent="0.45">
      <c r="E227" t="s">
        <v>1382</v>
      </c>
      <c r="G227" t="s">
        <v>434</v>
      </c>
      <c r="I227" t="s">
        <v>249</v>
      </c>
      <c r="J227" t="s">
        <v>1904</v>
      </c>
      <c r="K227">
        <v>2.777182897345E-4</v>
      </c>
      <c r="L227" t="s">
        <v>251</v>
      </c>
      <c r="N227" t="s">
        <v>419</v>
      </c>
      <c r="O227" t="s">
        <v>1904</v>
      </c>
      <c r="P227">
        <v>1.9029927747259999E-4</v>
      </c>
      <c r="Q227" t="s">
        <v>251</v>
      </c>
      <c r="S227" t="s">
        <v>420</v>
      </c>
      <c r="T227" t="s">
        <v>1904</v>
      </c>
      <c r="U227">
        <v>1.046781073155E-4</v>
      </c>
      <c r="V227" t="s">
        <v>251</v>
      </c>
      <c r="X227">
        <v>1.1415525114155251E-4</v>
      </c>
      <c r="Y227">
        <v>2.2209515285616027E-4</v>
      </c>
      <c r="Z227" t="s">
        <v>1904</v>
      </c>
      <c r="AA227" t="s">
        <v>25</v>
      </c>
      <c r="AC227" t="s">
        <v>22</v>
      </c>
      <c r="AD227" t="s">
        <v>1904</v>
      </c>
      <c r="AE227">
        <v>1.0348340856901366E-4</v>
      </c>
      <c r="AG227" t="s">
        <v>97</v>
      </c>
      <c r="AH227" t="s">
        <v>1904</v>
      </c>
      <c r="AI227">
        <v>0</v>
      </c>
    </row>
    <row r="228" spans="5:35" x14ac:dyDescent="0.45">
      <c r="E228" t="s">
        <v>1383</v>
      </c>
      <c r="G228" t="s">
        <v>434</v>
      </c>
      <c r="I228" t="s">
        <v>249</v>
      </c>
      <c r="J228" t="s">
        <v>1905</v>
      </c>
      <c r="K228">
        <v>2.4058516585659999E-4</v>
      </c>
      <c r="L228" t="s">
        <v>251</v>
      </c>
      <c r="N228" t="s">
        <v>419</v>
      </c>
      <c r="O228" t="s">
        <v>1905</v>
      </c>
      <c r="P228">
        <v>2.032456176804E-4</v>
      </c>
      <c r="Q228" t="s">
        <v>251</v>
      </c>
      <c r="S228" t="s">
        <v>420</v>
      </c>
      <c r="T228" t="s">
        <v>1905</v>
      </c>
      <c r="U228">
        <v>1.3573255525170001E-4</v>
      </c>
      <c r="V228" t="s">
        <v>251</v>
      </c>
      <c r="X228">
        <v>1.1415525114155251E-4</v>
      </c>
      <c r="Y228">
        <v>2.2209515285616027E-4</v>
      </c>
      <c r="Z228" t="s">
        <v>1905</v>
      </c>
      <c r="AA228" t="s">
        <v>25</v>
      </c>
      <c r="AC228" t="s">
        <v>22</v>
      </c>
      <c r="AD228" t="s">
        <v>1905</v>
      </c>
      <c r="AE228">
        <v>1.0199661249487684E-4</v>
      </c>
      <c r="AG228" t="s">
        <v>97</v>
      </c>
      <c r="AH228" t="s">
        <v>1905</v>
      </c>
      <c r="AI228">
        <v>0</v>
      </c>
    </row>
    <row r="229" spans="5:35" x14ac:dyDescent="0.45">
      <c r="E229" t="s">
        <v>1384</v>
      </c>
      <c r="G229" t="s">
        <v>434</v>
      </c>
      <c r="I229" t="s">
        <v>249</v>
      </c>
      <c r="J229" t="s">
        <v>1906</v>
      </c>
      <c r="K229">
        <v>1.701087369657E-4</v>
      </c>
      <c r="L229" t="s">
        <v>251</v>
      </c>
      <c r="N229" t="s">
        <v>419</v>
      </c>
      <c r="O229" t="s">
        <v>1906</v>
      </c>
      <c r="P229">
        <v>2.1021856436329999E-4</v>
      </c>
      <c r="Q229" t="s">
        <v>251</v>
      </c>
      <c r="S229" t="s">
        <v>420</v>
      </c>
      <c r="T229" t="s">
        <v>1906</v>
      </c>
      <c r="U229">
        <v>1.5203605931759999E-4</v>
      </c>
      <c r="V229" t="s">
        <v>251</v>
      </c>
      <c r="X229">
        <v>1.1415525114155251E-4</v>
      </c>
      <c r="Y229">
        <v>1.7237235744060203E-4</v>
      </c>
      <c r="Z229" t="s">
        <v>1906</v>
      </c>
      <c r="AA229" t="s">
        <v>25</v>
      </c>
      <c r="AC229" t="s">
        <v>22</v>
      </c>
      <c r="AD229" t="s">
        <v>1906</v>
      </c>
      <c r="AE229">
        <v>1.0030812651726841E-4</v>
      </c>
      <c r="AG229" t="s">
        <v>97</v>
      </c>
      <c r="AH229" t="s">
        <v>1906</v>
      </c>
      <c r="AI229">
        <v>0</v>
      </c>
    </row>
    <row r="230" spans="5:35" x14ac:dyDescent="0.45">
      <c r="E230" t="s">
        <v>1385</v>
      </c>
      <c r="G230" t="s">
        <v>434</v>
      </c>
      <c r="I230" t="s">
        <v>249</v>
      </c>
      <c r="J230" t="s">
        <v>1907</v>
      </c>
      <c r="K230">
        <v>1.2877948726459341E-5</v>
      </c>
      <c r="L230" t="s">
        <v>251</v>
      </c>
      <c r="N230" t="s">
        <v>419</v>
      </c>
      <c r="O230" t="s">
        <v>1907</v>
      </c>
      <c r="P230">
        <v>2.104902895961E-4</v>
      </c>
      <c r="Q230" t="s">
        <v>251</v>
      </c>
      <c r="S230" t="s">
        <v>420</v>
      </c>
      <c r="T230" t="s">
        <v>1907</v>
      </c>
      <c r="U230">
        <v>1.644334996835E-4</v>
      </c>
      <c r="V230" t="s">
        <v>251</v>
      </c>
      <c r="X230">
        <v>1.1415525114155251E-4</v>
      </c>
      <c r="Y230">
        <v>1.5579809230208258E-4</v>
      </c>
      <c r="Z230" t="s">
        <v>1907</v>
      </c>
      <c r="AA230" t="s">
        <v>25</v>
      </c>
      <c r="AC230" t="s">
        <v>22</v>
      </c>
      <c r="AD230" t="s">
        <v>1907</v>
      </c>
      <c r="AE230">
        <v>1.010601950859014E-4</v>
      </c>
      <c r="AG230" t="s">
        <v>97</v>
      </c>
      <c r="AH230" t="s">
        <v>1907</v>
      </c>
      <c r="AI230">
        <v>0</v>
      </c>
    </row>
    <row r="231" spans="5:35" x14ac:dyDescent="0.45">
      <c r="E231" t="s">
        <v>1386</v>
      </c>
      <c r="G231" t="s">
        <v>434</v>
      </c>
      <c r="I231" t="s">
        <v>249</v>
      </c>
      <c r="J231" t="s">
        <v>1908</v>
      </c>
      <c r="K231">
        <v>0</v>
      </c>
      <c r="L231" t="s">
        <v>251</v>
      </c>
      <c r="N231" t="s">
        <v>419</v>
      </c>
      <c r="O231" t="s">
        <v>1908</v>
      </c>
      <c r="P231">
        <v>2.08989427334E-4</v>
      </c>
      <c r="Q231" t="s">
        <v>251</v>
      </c>
      <c r="S231" t="s">
        <v>420</v>
      </c>
      <c r="T231" t="s">
        <v>1908</v>
      </c>
      <c r="U231">
        <v>1.8039538616409999E-4</v>
      </c>
      <c r="V231" t="s">
        <v>251</v>
      </c>
      <c r="X231">
        <v>1.1415525114155251E-4</v>
      </c>
      <c r="Y231">
        <v>1.093901499142282E-4</v>
      </c>
      <c r="Z231" t="s">
        <v>1908</v>
      </c>
      <c r="AA231" t="s">
        <v>25</v>
      </c>
      <c r="AC231" t="s">
        <v>22</v>
      </c>
      <c r="AD231" t="s">
        <v>1908</v>
      </c>
      <c r="AE231">
        <v>1.0234530125656658E-4</v>
      </c>
      <c r="AG231" t="s">
        <v>97</v>
      </c>
      <c r="AH231" t="s">
        <v>1908</v>
      </c>
      <c r="AI231">
        <v>0</v>
      </c>
    </row>
    <row r="232" spans="5:35" x14ac:dyDescent="0.45">
      <c r="E232" t="s">
        <v>1387</v>
      </c>
      <c r="G232" t="s">
        <v>434</v>
      </c>
      <c r="I232" t="s">
        <v>249</v>
      </c>
      <c r="J232" t="s">
        <v>1909</v>
      </c>
      <c r="K232">
        <v>0</v>
      </c>
      <c r="L232" t="s">
        <v>251</v>
      </c>
      <c r="N232" t="s">
        <v>419</v>
      </c>
      <c r="O232" t="s">
        <v>1909</v>
      </c>
      <c r="P232">
        <v>2.066782047945E-4</v>
      </c>
      <c r="Q232" t="s">
        <v>251</v>
      </c>
      <c r="S232" t="s">
        <v>420</v>
      </c>
      <c r="T232" t="s">
        <v>1909</v>
      </c>
      <c r="U232">
        <v>1.959155792597E-4</v>
      </c>
      <c r="V232" t="s">
        <v>251</v>
      </c>
      <c r="X232">
        <v>1.1415525114155251E-4</v>
      </c>
      <c r="Y232">
        <v>7.9556472664893237E-5</v>
      </c>
      <c r="Z232" t="s">
        <v>1909</v>
      </c>
      <c r="AA232" t="s">
        <v>25</v>
      </c>
      <c r="AC232" t="s">
        <v>22</v>
      </c>
      <c r="AD232" t="s">
        <v>1909</v>
      </c>
      <c r="AE232">
        <v>1.0549630581993101E-4</v>
      </c>
      <c r="AG232" t="s">
        <v>97</v>
      </c>
      <c r="AH232" t="s">
        <v>1909</v>
      </c>
      <c r="AI232">
        <v>0</v>
      </c>
    </row>
    <row r="233" spans="5:35" x14ac:dyDescent="0.45">
      <c r="E233" t="s">
        <v>1388</v>
      </c>
      <c r="G233" t="s">
        <v>434</v>
      </c>
      <c r="I233" t="s">
        <v>249</v>
      </c>
      <c r="J233" t="s">
        <v>1910</v>
      </c>
      <c r="K233">
        <v>0</v>
      </c>
      <c r="L233" t="s">
        <v>251</v>
      </c>
      <c r="N233" t="s">
        <v>419</v>
      </c>
      <c r="O233" t="s">
        <v>1910</v>
      </c>
      <c r="P233">
        <v>2.030816796164E-4</v>
      </c>
      <c r="Q233" t="s">
        <v>251</v>
      </c>
      <c r="S233" t="s">
        <v>420</v>
      </c>
      <c r="T233" t="s">
        <v>1910</v>
      </c>
      <c r="U233">
        <v>2.090312600511E-4</v>
      </c>
      <c r="V233" t="s">
        <v>251</v>
      </c>
      <c r="X233">
        <v>1.1415525114155251E-4</v>
      </c>
      <c r="Y233">
        <v>5.6352501470966035E-5</v>
      </c>
      <c r="Z233" t="s">
        <v>1910</v>
      </c>
      <c r="AA233" t="s">
        <v>25</v>
      </c>
      <c r="AC233" t="s">
        <v>22</v>
      </c>
      <c r="AD233" t="s">
        <v>1910</v>
      </c>
      <c r="AE233">
        <v>1.0856087185323616E-4</v>
      </c>
      <c r="AG233" t="s">
        <v>97</v>
      </c>
      <c r="AH233" t="s">
        <v>1910</v>
      </c>
      <c r="AI233">
        <v>0</v>
      </c>
    </row>
    <row r="234" spans="5:35" x14ac:dyDescent="0.45">
      <c r="E234" t="s">
        <v>1389</v>
      </c>
      <c r="G234" t="s">
        <v>434</v>
      </c>
      <c r="I234" t="s">
        <v>249</v>
      </c>
      <c r="J234" t="s">
        <v>1911</v>
      </c>
      <c r="K234">
        <v>0</v>
      </c>
      <c r="L234" t="s">
        <v>251</v>
      </c>
      <c r="N234" t="s">
        <v>419</v>
      </c>
      <c r="O234" t="s">
        <v>1911</v>
      </c>
      <c r="P234">
        <v>2.0183275366090001E-4</v>
      </c>
      <c r="Q234" t="s">
        <v>251</v>
      </c>
      <c r="S234" t="s">
        <v>420</v>
      </c>
      <c r="T234" t="s">
        <v>1911</v>
      </c>
      <c r="U234">
        <v>2.1579829327359999E-4</v>
      </c>
      <c r="V234" t="s">
        <v>251</v>
      </c>
      <c r="X234">
        <v>1.1415525114155251E-4</v>
      </c>
      <c r="Y234">
        <v>2.9833677249334962E-5</v>
      </c>
      <c r="Z234" t="s">
        <v>1911</v>
      </c>
      <c r="AA234" t="s">
        <v>25</v>
      </c>
      <c r="AC234" t="s">
        <v>22</v>
      </c>
      <c r="AD234" t="s">
        <v>1911</v>
      </c>
      <c r="AE234">
        <v>1.0843068048697405E-4</v>
      </c>
      <c r="AG234" t="s">
        <v>97</v>
      </c>
      <c r="AH234" t="s">
        <v>1911</v>
      </c>
      <c r="AI234">
        <v>0</v>
      </c>
    </row>
    <row r="235" spans="5:35" x14ac:dyDescent="0.45">
      <c r="E235" t="s">
        <v>1390</v>
      </c>
      <c r="G235" t="s">
        <v>434</v>
      </c>
      <c r="I235" t="s">
        <v>249</v>
      </c>
      <c r="J235" t="s">
        <v>1912</v>
      </c>
      <c r="K235">
        <v>0</v>
      </c>
      <c r="L235" t="s">
        <v>251</v>
      </c>
      <c r="N235" t="s">
        <v>419</v>
      </c>
      <c r="O235" t="s">
        <v>1912</v>
      </c>
      <c r="P235">
        <v>2.068316457713E-4</v>
      </c>
      <c r="Q235" t="s">
        <v>251</v>
      </c>
      <c r="S235" t="s">
        <v>420</v>
      </c>
      <c r="T235" t="s">
        <v>1912</v>
      </c>
      <c r="U235">
        <v>1.1250938837329999E-4</v>
      </c>
      <c r="V235" t="s">
        <v>251</v>
      </c>
      <c r="X235">
        <v>1.1415525114155251E-4</v>
      </c>
      <c r="Y235">
        <v>2.1546544680075254E-5</v>
      </c>
      <c r="Z235" t="s">
        <v>1912</v>
      </c>
      <c r="AA235" t="s">
        <v>25</v>
      </c>
      <c r="AC235" t="s">
        <v>22</v>
      </c>
      <c r="AD235" t="s">
        <v>1912</v>
      </c>
      <c r="AE235">
        <v>1.2214692785097843E-4</v>
      </c>
      <c r="AG235" t="s">
        <v>97</v>
      </c>
      <c r="AH235" t="s">
        <v>1912</v>
      </c>
      <c r="AI235">
        <v>0</v>
      </c>
    </row>
    <row r="236" spans="5:35" x14ac:dyDescent="0.45">
      <c r="E236" t="s">
        <v>1391</v>
      </c>
      <c r="G236" t="s">
        <v>434</v>
      </c>
      <c r="I236" t="s">
        <v>249</v>
      </c>
      <c r="J236" t="s">
        <v>1913</v>
      </c>
      <c r="K236">
        <v>0</v>
      </c>
      <c r="L236" t="s">
        <v>251</v>
      </c>
      <c r="N236" t="s">
        <v>419</v>
      </c>
      <c r="O236" t="s">
        <v>1913</v>
      </c>
      <c r="P236">
        <v>2.133698696153E-4</v>
      </c>
      <c r="Q236" t="s">
        <v>251</v>
      </c>
      <c r="S236" t="s">
        <v>420</v>
      </c>
      <c r="T236" t="s">
        <v>1913</v>
      </c>
      <c r="U236">
        <v>1.304557357375E-4</v>
      </c>
      <c r="V236" t="s">
        <v>251</v>
      </c>
      <c r="X236">
        <v>1.1415525114155251E-4</v>
      </c>
      <c r="Y236">
        <v>1.4916838624667481E-5</v>
      </c>
      <c r="Z236" t="s">
        <v>1913</v>
      </c>
      <c r="AA236" t="s">
        <v>25</v>
      </c>
      <c r="AC236" t="s">
        <v>22</v>
      </c>
      <c r="AD236" t="s">
        <v>1913</v>
      </c>
      <c r="AE236">
        <v>1.1885826192492701E-4</v>
      </c>
      <c r="AG236" t="s">
        <v>97</v>
      </c>
      <c r="AH236" t="s">
        <v>1913</v>
      </c>
      <c r="AI236">
        <v>0</v>
      </c>
    </row>
    <row r="237" spans="5:35" x14ac:dyDescent="0.45">
      <c r="E237" t="s">
        <v>1392</v>
      </c>
      <c r="G237" t="s">
        <v>434</v>
      </c>
      <c r="I237" t="s">
        <v>249</v>
      </c>
      <c r="J237" t="s">
        <v>1914</v>
      </c>
      <c r="K237">
        <v>0</v>
      </c>
      <c r="L237" t="s">
        <v>251</v>
      </c>
      <c r="N237" t="s">
        <v>419</v>
      </c>
      <c r="O237" t="s">
        <v>1914</v>
      </c>
      <c r="P237">
        <v>2.1944319048419999E-4</v>
      </c>
      <c r="Q237" t="s">
        <v>251</v>
      </c>
      <c r="S237" t="s">
        <v>420</v>
      </c>
      <c r="T237" t="s">
        <v>1914</v>
      </c>
      <c r="U237">
        <v>1.502871849535E-4</v>
      </c>
      <c r="V237" t="s">
        <v>251</v>
      </c>
      <c r="X237">
        <v>1.1415525114155251E-4</v>
      </c>
      <c r="Y237">
        <v>1.6574265138519424E-5</v>
      </c>
      <c r="Z237" t="s">
        <v>1914</v>
      </c>
      <c r="AA237" t="s">
        <v>25</v>
      </c>
      <c r="AC237" t="s">
        <v>22</v>
      </c>
      <c r="AD237" t="s">
        <v>1914</v>
      </c>
      <c r="AE237">
        <v>1.1552050745094068E-4</v>
      </c>
      <c r="AG237" t="s">
        <v>97</v>
      </c>
      <c r="AH237" t="s">
        <v>1914</v>
      </c>
      <c r="AI237">
        <v>0</v>
      </c>
    </row>
    <row r="238" spans="5:35" x14ac:dyDescent="0.45">
      <c r="E238" t="s">
        <v>1393</v>
      </c>
      <c r="G238" t="s">
        <v>434</v>
      </c>
      <c r="I238" t="s">
        <v>249</v>
      </c>
      <c r="J238" t="s">
        <v>1915</v>
      </c>
      <c r="K238">
        <v>0</v>
      </c>
      <c r="L238" t="s">
        <v>251</v>
      </c>
      <c r="N238" t="s">
        <v>419</v>
      </c>
      <c r="O238" t="s">
        <v>1915</v>
      </c>
      <c r="P238">
        <v>2.2475508567009999E-4</v>
      </c>
      <c r="Q238" t="s">
        <v>251</v>
      </c>
      <c r="S238" t="s">
        <v>420</v>
      </c>
      <c r="T238" t="s">
        <v>1915</v>
      </c>
      <c r="U238">
        <v>1.587642643081E-4</v>
      </c>
      <c r="V238" t="s">
        <v>251</v>
      </c>
      <c r="X238">
        <v>1.1415525114155251E-4</v>
      </c>
      <c r="Y238">
        <v>1.4585353321897093E-5</v>
      </c>
      <c r="Z238" t="s">
        <v>1915</v>
      </c>
      <c r="AA238" t="s">
        <v>25</v>
      </c>
      <c r="AC238" t="s">
        <v>22</v>
      </c>
      <c r="AD238" t="s">
        <v>1915</v>
      </c>
      <c r="AE238">
        <v>1.067816787761828E-4</v>
      </c>
      <c r="AG238" t="s">
        <v>97</v>
      </c>
      <c r="AH238" t="s">
        <v>1915</v>
      </c>
      <c r="AI238">
        <v>0</v>
      </c>
    </row>
    <row r="239" spans="5:35" x14ac:dyDescent="0.45">
      <c r="E239" t="s">
        <v>1394</v>
      </c>
      <c r="G239" t="s">
        <v>434</v>
      </c>
      <c r="I239" t="s">
        <v>249</v>
      </c>
      <c r="J239" t="s">
        <v>1916</v>
      </c>
      <c r="K239">
        <v>0</v>
      </c>
      <c r="L239" t="s">
        <v>251</v>
      </c>
      <c r="N239" t="s">
        <v>419</v>
      </c>
      <c r="O239" t="s">
        <v>1916</v>
      </c>
      <c r="P239">
        <v>2.234836509721E-4</v>
      </c>
      <c r="Q239" t="s">
        <v>251</v>
      </c>
      <c r="S239" t="s">
        <v>420</v>
      </c>
      <c r="T239" t="s">
        <v>1916</v>
      </c>
      <c r="U239">
        <v>1.6646227910649999E-4</v>
      </c>
      <c r="V239" t="s">
        <v>251</v>
      </c>
      <c r="X239">
        <v>1.1415525114155251E-4</v>
      </c>
      <c r="Y239">
        <v>2.1215059377304864E-5</v>
      </c>
      <c r="Z239" t="s">
        <v>1916</v>
      </c>
      <c r="AA239" t="s">
        <v>25</v>
      </c>
      <c r="AC239" t="s">
        <v>22</v>
      </c>
      <c r="AD239" t="s">
        <v>1916</v>
      </c>
      <c r="AE239">
        <v>9.9979713460160484E-5</v>
      </c>
      <c r="AG239" t="s">
        <v>97</v>
      </c>
      <c r="AH239" t="s">
        <v>1916</v>
      </c>
      <c r="AI239">
        <v>0</v>
      </c>
    </row>
    <row r="240" spans="5:35" x14ac:dyDescent="0.45">
      <c r="E240" t="s">
        <v>1395</v>
      </c>
      <c r="G240" t="s">
        <v>434</v>
      </c>
      <c r="I240" t="s">
        <v>249</v>
      </c>
      <c r="J240" t="s">
        <v>1917</v>
      </c>
      <c r="K240">
        <v>0</v>
      </c>
      <c r="L240" t="s">
        <v>251</v>
      </c>
      <c r="N240" t="s">
        <v>419</v>
      </c>
      <c r="O240" t="s">
        <v>1917</v>
      </c>
      <c r="P240">
        <v>2.1938177183149999E-4</v>
      </c>
      <c r="Q240" t="s">
        <v>251</v>
      </c>
      <c r="S240" t="s">
        <v>420</v>
      </c>
      <c r="T240" t="s">
        <v>1917</v>
      </c>
      <c r="U240">
        <v>1.6025301685510001E-4</v>
      </c>
      <c r="V240" t="s">
        <v>251</v>
      </c>
      <c r="X240">
        <v>1.1415525114155251E-4</v>
      </c>
      <c r="Y240">
        <v>5.7678442682047593E-5</v>
      </c>
      <c r="Z240" t="s">
        <v>1917</v>
      </c>
      <c r="AA240" t="s">
        <v>25</v>
      </c>
      <c r="AC240" t="s">
        <v>22</v>
      </c>
      <c r="AD240" t="s">
        <v>1917</v>
      </c>
      <c r="AE240">
        <v>8.9553732735727143E-5</v>
      </c>
      <c r="AG240" t="s">
        <v>97</v>
      </c>
      <c r="AH240" t="s">
        <v>1917</v>
      </c>
      <c r="AI240">
        <v>0</v>
      </c>
    </row>
    <row r="241" spans="5:35" x14ac:dyDescent="0.45">
      <c r="E241" t="s">
        <v>1396</v>
      </c>
      <c r="G241" t="s">
        <v>434</v>
      </c>
      <c r="I241" t="s">
        <v>249</v>
      </c>
      <c r="J241" t="s">
        <v>1918</v>
      </c>
      <c r="K241">
        <v>1.2327990374899999E-4</v>
      </c>
      <c r="L241" t="s">
        <v>251</v>
      </c>
      <c r="N241" t="s">
        <v>419</v>
      </c>
      <c r="O241" t="s">
        <v>1918</v>
      </c>
      <c r="P241">
        <v>2.184024983387E-4</v>
      </c>
      <c r="Q241" t="s">
        <v>251</v>
      </c>
      <c r="S241" t="s">
        <v>420</v>
      </c>
      <c r="T241" t="s">
        <v>1918</v>
      </c>
      <c r="U241">
        <v>1.5925918946229999E-4</v>
      </c>
      <c r="V241" t="s">
        <v>251</v>
      </c>
      <c r="X241">
        <v>1.1415525114155251E-4</v>
      </c>
      <c r="Y241">
        <v>1.6905750441289813E-4</v>
      </c>
      <c r="Z241" t="s">
        <v>1918</v>
      </c>
      <c r="AA241" t="s">
        <v>25</v>
      </c>
      <c r="AC241" t="s">
        <v>22</v>
      </c>
      <c r="AD241" t="s">
        <v>1918</v>
      </c>
      <c r="AE241">
        <v>8.5841944869323848E-5</v>
      </c>
      <c r="AG241" t="s">
        <v>97</v>
      </c>
      <c r="AH241" t="s">
        <v>1918</v>
      </c>
      <c r="AI241">
        <v>0</v>
      </c>
    </row>
    <row r="242" spans="5:35" x14ac:dyDescent="0.45">
      <c r="E242" t="s">
        <v>1397</v>
      </c>
      <c r="G242" t="s">
        <v>434</v>
      </c>
      <c r="I242" t="s">
        <v>249</v>
      </c>
      <c r="J242" t="s">
        <v>1919</v>
      </c>
      <c r="K242">
        <v>2.4446832970629999E-4</v>
      </c>
      <c r="L242" t="s">
        <v>251</v>
      </c>
      <c r="N242" t="s">
        <v>419</v>
      </c>
      <c r="O242" t="s">
        <v>1919</v>
      </c>
      <c r="P242">
        <v>2.200284218404E-4</v>
      </c>
      <c r="Q242" t="s">
        <v>251</v>
      </c>
      <c r="S242" t="s">
        <v>420</v>
      </c>
      <c r="T242" t="s">
        <v>1919</v>
      </c>
      <c r="U242">
        <v>1.5040828189889999E-4</v>
      </c>
      <c r="V242" t="s">
        <v>251</v>
      </c>
      <c r="X242">
        <v>1.1415525114155251E-4</v>
      </c>
      <c r="Y242">
        <v>1.9060404909297337E-4</v>
      </c>
      <c r="Z242" t="s">
        <v>1919</v>
      </c>
      <c r="AA242" t="s">
        <v>25</v>
      </c>
      <c r="AC242" t="s">
        <v>22</v>
      </c>
      <c r="AD242" t="s">
        <v>1919</v>
      </c>
      <c r="AE242">
        <v>8.3815441553489772E-5</v>
      </c>
      <c r="AG242" t="s">
        <v>97</v>
      </c>
      <c r="AH242" t="s">
        <v>1919</v>
      </c>
      <c r="AI242">
        <v>0</v>
      </c>
    </row>
    <row r="243" spans="5:35" x14ac:dyDescent="0.45">
      <c r="E243" t="s">
        <v>1398</v>
      </c>
      <c r="G243" t="s">
        <v>434</v>
      </c>
      <c r="I243" t="s">
        <v>249</v>
      </c>
      <c r="J243" t="s">
        <v>1920</v>
      </c>
      <c r="K243">
        <v>3.0162575190050001E-4</v>
      </c>
      <c r="L243" t="s">
        <v>251</v>
      </c>
      <c r="N243" t="s">
        <v>419</v>
      </c>
      <c r="O243" t="s">
        <v>1920</v>
      </c>
      <c r="P243">
        <v>2.2126800327719999E-4</v>
      </c>
      <c r="Q243" t="s">
        <v>251</v>
      </c>
      <c r="S243" t="s">
        <v>420</v>
      </c>
      <c r="T243" t="s">
        <v>1920</v>
      </c>
      <c r="U243">
        <v>1.5810325552510001E-4</v>
      </c>
      <c r="V243" t="s">
        <v>251</v>
      </c>
      <c r="X243">
        <v>1.1415525114155251E-4</v>
      </c>
      <c r="Y243">
        <v>1.4585353321897094E-4</v>
      </c>
      <c r="Z243" t="s">
        <v>1920</v>
      </c>
      <c r="AA243" t="s">
        <v>25</v>
      </c>
      <c r="AC243" t="s">
        <v>22</v>
      </c>
      <c r="AD243" t="s">
        <v>1920</v>
      </c>
      <c r="AE243">
        <v>8.4655015794528454E-5</v>
      </c>
      <c r="AG243" t="s">
        <v>97</v>
      </c>
      <c r="AH243" t="s">
        <v>1920</v>
      </c>
      <c r="AI243">
        <v>0</v>
      </c>
    </row>
    <row r="244" spans="5:35" x14ac:dyDescent="0.45">
      <c r="E244" t="s">
        <v>1399</v>
      </c>
      <c r="G244" t="s">
        <v>434</v>
      </c>
      <c r="I244" t="s">
        <v>249</v>
      </c>
      <c r="J244" t="s">
        <v>1921</v>
      </c>
      <c r="K244">
        <v>3.3075384530070002E-4</v>
      </c>
      <c r="L244" t="s">
        <v>251</v>
      </c>
      <c r="N244" t="s">
        <v>419</v>
      </c>
      <c r="O244" t="s">
        <v>1921</v>
      </c>
      <c r="P244">
        <v>2.2379674208360001E-4</v>
      </c>
      <c r="Q244" t="s">
        <v>251</v>
      </c>
      <c r="S244" t="s">
        <v>420</v>
      </c>
      <c r="T244" t="s">
        <v>1921</v>
      </c>
      <c r="U244">
        <v>1.7375501173459999E-4</v>
      </c>
      <c r="V244" t="s">
        <v>251</v>
      </c>
      <c r="X244">
        <v>1.1415525114155251E-4</v>
      </c>
      <c r="Y244">
        <v>1.4452759200788939E-4</v>
      </c>
      <c r="Z244" t="s">
        <v>1921</v>
      </c>
      <c r="AA244" t="s">
        <v>25</v>
      </c>
      <c r="AC244" t="s">
        <v>22</v>
      </c>
      <c r="AD244" t="s">
        <v>1921</v>
      </c>
      <c r="AE244">
        <v>8.6084986538718892E-5</v>
      </c>
      <c r="AG244" t="s">
        <v>97</v>
      </c>
      <c r="AH244" t="s">
        <v>1921</v>
      </c>
      <c r="AI244">
        <v>0</v>
      </c>
    </row>
    <row r="245" spans="5:35" x14ac:dyDescent="0.45">
      <c r="E245" t="s">
        <v>1400</v>
      </c>
      <c r="G245" t="s">
        <v>434</v>
      </c>
      <c r="I245" t="s">
        <v>249</v>
      </c>
      <c r="J245" t="s">
        <v>1922</v>
      </c>
      <c r="K245">
        <v>3.4405373539710002E-4</v>
      </c>
      <c r="L245" t="s">
        <v>251</v>
      </c>
      <c r="N245" t="s">
        <v>419</v>
      </c>
      <c r="O245" t="s">
        <v>1922</v>
      </c>
      <c r="P245">
        <v>2.236389553603E-4</v>
      </c>
      <c r="Q245" t="s">
        <v>251</v>
      </c>
      <c r="S245" t="s">
        <v>420</v>
      </c>
      <c r="T245" t="s">
        <v>1922</v>
      </c>
      <c r="U245">
        <v>1.6571625308049999E-4</v>
      </c>
      <c r="V245" t="s">
        <v>251</v>
      </c>
      <c r="X245">
        <v>1.1415525114155251E-4</v>
      </c>
      <c r="Y245">
        <v>1.408812536774151E-4</v>
      </c>
      <c r="Z245" t="s">
        <v>1922</v>
      </c>
      <c r="AA245" t="s">
        <v>25</v>
      </c>
      <c r="AC245" t="s">
        <v>22</v>
      </c>
      <c r="AD245" t="s">
        <v>1922</v>
      </c>
      <c r="AE245">
        <v>9.6653964337571274E-5</v>
      </c>
      <c r="AG245" t="s">
        <v>97</v>
      </c>
      <c r="AH245" t="s">
        <v>1922</v>
      </c>
      <c r="AI245">
        <v>0</v>
      </c>
    </row>
    <row r="246" spans="5:35" x14ac:dyDescent="0.45">
      <c r="E246" t="s">
        <v>1401</v>
      </c>
      <c r="G246" t="s">
        <v>434</v>
      </c>
      <c r="I246" t="s">
        <v>249</v>
      </c>
      <c r="J246" t="s">
        <v>1923</v>
      </c>
      <c r="K246">
        <v>3.4326780085729998E-4</v>
      </c>
      <c r="L246" t="s">
        <v>251</v>
      </c>
      <c r="N246" t="s">
        <v>419</v>
      </c>
      <c r="O246" t="s">
        <v>1923</v>
      </c>
      <c r="P246">
        <v>2.223601436964E-4</v>
      </c>
      <c r="Q246" t="s">
        <v>251</v>
      </c>
      <c r="S246" t="s">
        <v>420</v>
      </c>
      <c r="T246" t="s">
        <v>1923</v>
      </c>
      <c r="U246">
        <v>1.4991196910819999E-4</v>
      </c>
      <c r="V246" t="s">
        <v>251</v>
      </c>
      <c r="X246">
        <v>1.1415525114155251E-4</v>
      </c>
      <c r="Y246">
        <v>1.4054976837464471E-4</v>
      </c>
      <c r="Z246" t="s">
        <v>1923</v>
      </c>
      <c r="AA246" t="s">
        <v>25</v>
      </c>
      <c r="AC246" t="s">
        <v>22</v>
      </c>
      <c r="AD246" t="s">
        <v>1923</v>
      </c>
      <c r="AE246">
        <v>1.0768741584269895E-4</v>
      </c>
      <c r="AG246" t="s">
        <v>97</v>
      </c>
      <c r="AH246" t="s">
        <v>1923</v>
      </c>
      <c r="AI246">
        <v>0</v>
      </c>
    </row>
    <row r="247" spans="5:35" x14ac:dyDescent="0.45">
      <c r="E247" t="s">
        <v>1402</v>
      </c>
      <c r="G247" t="s">
        <v>434</v>
      </c>
      <c r="I247" t="s">
        <v>249</v>
      </c>
      <c r="J247" t="s">
        <v>1924</v>
      </c>
      <c r="K247">
        <v>3.3037400184009999E-4</v>
      </c>
      <c r="L247" t="s">
        <v>251</v>
      </c>
      <c r="N247" t="s">
        <v>419</v>
      </c>
      <c r="O247" t="s">
        <v>1924</v>
      </c>
      <c r="P247">
        <v>2.2135443955769999E-4</v>
      </c>
      <c r="Q247" t="s">
        <v>251</v>
      </c>
      <c r="S247" t="s">
        <v>420</v>
      </c>
      <c r="T247" t="s">
        <v>1924</v>
      </c>
      <c r="U247">
        <v>1.4440057610470001E-4</v>
      </c>
      <c r="V247" t="s">
        <v>251</v>
      </c>
      <c r="X247">
        <v>1.1415525114155251E-4</v>
      </c>
      <c r="Y247">
        <v>1.4253868019126702E-4</v>
      </c>
      <c r="Z247" t="s">
        <v>1924</v>
      </c>
      <c r="AA247" t="s">
        <v>25</v>
      </c>
      <c r="AC247" t="s">
        <v>22</v>
      </c>
      <c r="AD247" t="s">
        <v>1924</v>
      </c>
      <c r="AE247">
        <v>1.1842820355932346E-4</v>
      </c>
      <c r="AG247" t="s">
        <v>97</v>
      </c>
      <c r="AH247" t="s">
        <v>1924</v>
      </c>
      <c r="AI247">
        <v>0</v>
      </c>
    </row>
    <row r="248" spans="5:35" x14ac:dyDescent="0.45">
      <c r="E248" t="s">
        <v>1403</v>
      </c>
      <c r="G248" t="s">
        <v>434</v>
      </c>
      <c r="I248" t="s">
        <v>249</v>
      </c>
      <c r="J248" t="s">
        <v>1925</v>
      </c>
      <c r="K248">
        <v>3.3262692613489998E-4</v>
      </c>
      <c r="L248" t="s">
        <v>251</v>
      </c>
      <c r="N248" t="s">
        <v>419</v>
      </c>
      <c r="O248" t="s">
        <v>1925</v>
      </c>
      <c r="P248">
        <v>2.2362515325169999E-4</v>
      </c>
      <c r="Q248" t="s">
        <v>251</v>
      </c>
      <c r="S248" t="s">
        <v>420</v>
      </c>
      <c r="T248" t="s">
        <v>1925</v>
      </c>
      <c r="U248">
        <v>1.5011201062369999E-4</v>
      </c>
      <c r="V248" t="s">
        <v>251</v>
      </c>
      <c r="X248">
        <v>1.1415525114155251E-4</v>
      </c>
      <c r="Y248">
        <v>1.4883690094390442E-4</v>
      </c>
      <c r="Z248" t="s">
        <v>1925</v>
      </c>
      <c r="AA248" t="s">
        <v>25</v>
      </c>
      <c r="AC248" t="s">
        <v>22</v>
      </c>
      <c r="AD248" t="s">
        <v>1925</v>
      </c>
      <c r="AE248">
        <v>1.2651740933070378E-4</v>
      </c>
      <c r="AG248" t="s">
        <v>97</v>
      </c>
      <c r="AH248" t="s">
        <v>1925</v>
      </c>
      <c r="AI248">
        <v>0</v>
      </c>
    </row>
    <row r="249" spans="5:35" x14ac:dyDescent="0.45">
      <c r="E249" t="s">
        <v>1404</v>
      </c>
      <c r="G249" t="s">
        <v>434</v>
      </c>
      <c r="I249" t="s">
        <v>249</v>
      </c>
      <c r="J249" t="s">
        <v>1926</v>
      </c>
      <c r="K249">
        <v>3.3162910556639997E-4</v>
      </c>
      <c r="L249" t="s">
        <v>251</v>
      </c>
      <c r="N249" t="s">
        <v>419</v>
      </c>
      <c r="O249" t="s">
        <v>1926</v>
      </c>
      <c r="P249">
        <v>2.258250843121E-4</v>
      </c>
      <c r="Q249" t="s">
        <v>251</v>
      </c>
      <c r="S249" t="s">
        <v>420</v>
      </c>
      <c r="T249" t="s">
        <v>1926</v>
      </c>
      <c r="U249">
        <v>1.6118714076679999E-4</v>
      </c>
      <c r="V249" t="s">
        <v>251</v>
      </c>
      <c r="X249">
        <v>1.1415525114155251E-4</v>
      </c>
      <c r="Y249">
        <v>1.5049432745775637E-4</v>
      </c>
      <c r="Z249" t="s">
        <v>1926</v>
      </c>
      <c r="AA249" t="s">
        <v>25</v>
      </c>
      <c r="AC249" t="s">
        <v>22</v>
      </c>
      <c r="AD249" t="s">
        <v>1926</v>
      </c>
      <c r="AE249">
        <v>1.2196631400884841E-4</v>
      </c>
      <c r="AG249" t="s">
        <v>97</v>
      </c>
      <c r="AH249" t="s">
        <v>1926</v>
      </c>
      <c r="AI249">
        <v>0</v>
      </c>
    </row>
    <row r="250" spans="5:35" x14ac:dyDescent="0.45">
      <c r="E250" t="s">
        <v>1405</v>
      </c>
      <c r="G250" t="s">
        <v>434</v>
      </c>
      <c r="I250" t="s">
        <v>249</v>
      </c>
      <c r="J250" t="s">
        <v>1927</v>
      </c>
      <c r="K250">
        <v>3.1947068534269999E-4</v>
      </c>
      <c r="L250" t="s">
        <v>251</v>
      </c>
      <c r="N250" t="s">
        <v>419</v>
      </c>
      <c r="O250" t="s">
        <v>1927</v>
      </c>
      <c r="P250">
        <v>2.1961672345450001E-4</v>
      </c>
      <c r="Q250" t="s">
        <v>251</v>
      </c>
      <c r="S250" t="s">
        <v>420</v>
      </c>
      <c r="T250" t="s">
        <v>1927</v>
      </c>
      <c r="U250">
        <v>1.86352687676E-4</v>
      </c>
      <c r="V250" t="s">
        <v>251</v>
      </c>
      <c r="X250">
        <v>1.1415525114155251E-4</v>
      </c>
      <c r="Y250">
        <v>1.7237235744060203E-4</v>
      </c>
      <c r="Z250" t="s">
        <v>1927</v>
      </c>
      <c r="AA250" t="s">
        <v>25</v>
      </c>
      <c r="AC250" t="s">
        <v>22</v>
      </c>
      <c r="AD250" t="s">
        <v>1927</v>
      </c>
      <c r="AE250">
        <v>1.2007080241603627E-4</v>
      </c>
      <c r="AG250" t="s">
        <v>97</v>
      </c>
      <c r="AH250" t="s">
        <v>1927</v>
      </c>
      <c r="AI250">
        <v>0</v>
      </c>
    </row>
    <row r="251" spans="5:35" x14ac:dyDescent="0.45">
      <c r="E251" t="s">
        <v>1406</v>
      </c>
      <c r="G251" t="s">
        <v>434</v>
      </c>
      <c r="I251" t="s">
        <v>249</v>
      </c>
      <c r="J251" t="s">
        <v>1928</v>
      </c>
      <c r="K251">
        <v>2.9464130636330002E-4</v>
      </c>
      <c r="L251" t="s">
        <v>251</v>
      </c>
      <c r="N251" t="s">
        <v>419</v>
      </c>
      <c r="O251" t="s">
        <v>1928</v>
      </c>
      <c r="P251">
        <v>2.161053250759E-4</v>
      </c>
      <c r="Q251" t="s">
        <v>251</v>
      </c>
      <c r="S251" t="s">
        <v>420</v>
      </c>
      <c r="T251" t="s">
        <v>1928</v>
      </c>
      <c r="U251">
        <v>1.9113431457799999E-4</v>
      </c>
      <c r="V251" t="s">
        <v>251</v>
      </c>
      <c r="X251">
        <v>1.1415525114155251E-4</v>
      </c>
      <c r="Y251">
        <v>2.2209515285616027E-4</v>
      </c>
      <c r="Z251" t="s">
        <v>1928</v>
      </c>
      <c r="AA251" t="s">
        <v>25</v>
      </c>
      <c r="AC251" t="s">
        <v>22</v>
      </c>
      <c r="AD251" t="s">
        <v>1928</v>
      </c>
      <c r="AE251">
        <v>1.1999316781033487E-4</v>
      </c>
      <c r="AG251" t="s">
        <v>97</v>
      </c>
      <c r="AH251" t="s">
        <v>1928</v>
      </c>
      <c r="AI251">
        <v>0</v>
      </c>
    </row>
    <row r="252" spans="5:35" x14ac:dyDescent="0.45">
      <c r="E252" t="s">
        <v>1407</v>
      </c>
      <c r="G252" t="s">
        <v>434</v>
      </c>
      <c r="I252" t="s">
        <v>249</v>
      </c>
      <c r="J252" t="s">
        <v>1929</v>
      </c>
      <c r="K252">
        <v>2.5377261493689999E-4</v>
      </c>
      <c r="L252" t="s">
        <v>251</v>
      </c>
      <c r="N252" t="s">
        <v>419</v>
      </c>
      <c r="O252" t="s">
        <v>1929</v>
      </c>
      <c r="P252">
        <v>2.1293151189600001E-4</v>
      </c>
      <c r="Q252" t="s">
        <v>251</v>
      </c>
      <c r="S252" t="s">
        <v>420</v>
      </c>
      <c r="T252" t="s">
        <v>1929</v>
      </c>
      <c r="U252">
        <v>2.031951628682E-4</v>
      </c>
      <c r="V252" t="s">
        <v>251</v>
      </c>
      <c r="X252">
        <v>1.1415525114155251E-4</v>
      </c>
      <c r="Y252">
        <v>2.2209515285616027E-4</v>
      </c>
      <c r="Z252" t="s">
        <v>1929</v>
      </c>
      <c r="AA252" t="s">
        <v>25</v>
      </c>
      <c r="AC252" t="s">
        <v>22</v>
      </c>
      <c r="AD252" t="s">
        <v>1929</v>
      </c>
      <c r="AE252">
        <v>1.1943531914874865E-4</v>
      </c>
      <c r="AG252" t="s">
        <v>97</v>
      </c>
      <c r="AH252" t="s">
        <v>1929</v>
      </c>
      <c r="AI252">
        <v>0</v>
      </c>
    </row>
    <row r="253" spans="5:35" x14ac:dyDescent="0.45">
      <c r="E253" t="s">
        <v>1408</v>
      </c>
      <c r="G253" t="s">
        <v>434</v>
      </c>
      <c r="I253" t="s">
        <v>249</v>
      </c>
      <c r="J253" t="s">
        <v>1930</v>
      </c>
      <c r="K253">
        <v>1.8316235416300001E-4</v>
      </c>
      <c r="L253" t="s">
        <v>251</v>
      </c>
      <c r="N253" t="s">
        <v>419</v>
      </c>
      <c r="O253" t="s">
        <v>1930</v>
      </c>
      <c r="P253">
        <v>2.0227875475170001E-4</v>
      </c>
      <c r="Q253" t="s">
        <v>251</v>
      </c>
      <c r="S253" t="s">
        <v>420</v>
      </c>
      <c r="T253" t="s">
        <v>1930</v>
      </c>
      <c r="U253">
        <v>2.191540996744E-4</v>
      </c>
      <c r="V253" t="s">
        <v>251</v>
      </c>
      <c r="X253">
        <v>1.1415525114155251E-4</v>
      </c>
      <c r="Y253">
        <v>1.7237235744060203E-4</v>
      </c>
      <c r="Z253" t="s">
        <v>1930</v>
      </c>
      <c r="AA253" t="s">
        <v>25</v>
      </c>
      <c r="AC253" t="s">
        <v>22</v>
      </c>
      <c r="AD253" t="s">
        <v>1930</v>
      </c>
      <c r="AE253">
        <v>1.1980801861323259E-4</v>
      </c>
      <c r="AG253" t="s">
        <v>97</v>
      </c>
      <c r="AH253" t="s">
        <v>1930</v>
      </c>
      <c r="AI253">
        <v>0</v>
      </c>
    </row>
    <row r="254" spans="5:35" x14ac:dyDescent="0.45">
      <c r="E254" t="s">
        <v>1409</v>
      </c>
      <c r="G254" t="s">
        <v>434</v>
      </c>
      <c r="I254" t="s">
        <v>249</v>
      </c>
      <c r="J254" t="s">
        <v>1931</v>
      </c>
      <c r="K254">
        <v>2.4065670480551817E-5</v>
      </c>
      <c r="L254" t="s">
        <v>251</v>
      </c>
      <c r="N254" t="s">
        <v>419</v>
      </c>
      <c r="O254" t="s">
        <v>1931</v>
      </c>
      <c r="P254">
        <v>1.8793857495269999E-4</v>
      </c>
      <c r="Q254" t="s">
        <v>251</v>
      </c>
      <c r="S254" t="s">
        <v>420</v>
      </c>
      <c r="T254" t="s">
        <v>1931</v>
      </c>
      <c r="U254">
        <v>2.354482632242E-4</v>
      </c>
      <c r="V254" t="s">
        <v>251</v>
      </c>
      <c r="X254">
        <v>1.1415525114155251E-4</v>
      </c>
      <c r="Y254">
        <v>1.5579809230208258E-4</v>
      </c>
      <c r="Z254" t="s">
        <v>1931</v>
      </c>
      <c r="AA254" t="s">
        <v>25</v>
      </c>
      <c r="AC254" t="s">
        <v>22</v>
      </c>
      <c r="AD254" t="s">
        <v>1931</v>
      </c>
      <c r="AE254">
        <v>1.1964154440719253E-4</v>
      </c>
      <c r="AG254" t="s">
        <v>97</v>
      </c>
      <c r="AH254" t="s">
        <v>1931</v>
      </c>
      <c r="AI254">
        <v>0</v>
      </c>
    </row>
    <row r="255" spans="5:35" x14ac:dyDescent="0.45">
      <c r="E255" t="s">
        <v>1410</v>
      </c>
      <c r="G255" t="s">
        <v>434</v>
      </c>
      <c r="I255" t="s">
        <v>249</v>
      </c>
      <c r="J255" t="s">
        <v>1932</v>
      </c>
      <c r="K255">
        <v>0</v>
      </c>
      <c r="L255" t="s">
        <v>251</v>
      </c>
      <c r="N255" t="s">
        <v>419</v>
      </c>
      <c r="O255" t="s">
        <v>1932</v>
      </c>
      <c r="P255">
        <v>1.739003567882E-4</v>
      </c>
      <c r="Q255" t="s">
        <v>251</v>
      </c>
      <c r="S255" t="s">
        <v>420</v>
      </c>
      <c r="T255" t="s">
        <v>1932</v>
      </c>
      <c r="U255">
        <v>2.5028129366659997E-4</v>
      </c>
      <c r="V255" t="s">
        <v>251</v>
      </c>
      <c r="X255">
        <v>1.1415525114155251E-4</v>
      </c>
      <c r="Y255">
        <v>1.093901499142282E-4</v>
      </c>
      <c r="Z255" t="s">
        <v>1932</v>
      </c>
      <c r="AA255" t="s">
        <v>25</v>
      </c>
      <c r="AC255" t="s">
        <v>22</v>
      </c>
      <c r="AD255" t="s">
        <v>1932</v>
      </c>
      <c r="AE255">
        <v>1.1980561754295318E-4</v>
      </c>
      <c r="AG255" t="s">
        <v>97</v>
      </c>
      <c r="AH255" t="s">
        <v>1932</v>
      </c>
      <c r="AI255">
        <v>0</v>
      </c>
    </row>
    <row r="256" spans="5:35" x14ac:dyDescent="0.45">
      <c r="E256" t="s">
        <v>1411</v>
      </c>
      <c r="G256" t="s">
        <v>434</v>
      </c>
      <c r="I256" t="s">
        <v>249</v>
      </c>
      <c r="J256" t="s">
        <v>1933</v>
      </c>
      <c r="K256">
        <v>0</v>
      </c>
      <c r="L256" t="s">
        <v>251</v>
      </c>
      <c r="N256" t="s">
        <v>419</v>
      </c>
      <c r="O256" t="s">
        <v>1933</v>
      </c>
      <c r="P256">
        <v>1.6339823653330001E-4</v>
      </c>
      <c r="Q256" t="s">
        <v>251</v>
      </c>
      <c r="S256" t="s">
        <v>420</v>
      </c>
      <c r="T256" t="s">
        <v>1933</v>
      </c>
      <c r="U256">
        <v>2.5910852710629999E-4</v>
      </c>
      <c r="V256" t="s">
        <v>251</v>
      </c>
      <c r="X256">
        <v>1.1415525114155251E-4</v>
      </c>
      <c r="Y256">
        <v>7.9556472664893237E-5</v>
      </c>
      <c r="Z256" t="s">
        <v>1933</v>
      </c>
      <c r="AA256" t="s">
        <v>25</v>
      </c>
      <c r="AC256" t="s">
        <v>22</v>
      </c>
      <c r="AD256" t="s">
        <v>1933</v>
      </c>
      <c r="AE256">
        <v>1.2017404843805149E-4</v>
      </c>
      <c r="AG256" t="s">
        <v>97</v>
      </c>
      <c r="AH256" t="s">
        <v>1933</v>
      </c>
      <c r="AI256">
        <v>0</v>
      </c>
    </row>
    <row r="257" spans="5:35" x14ac:dyDescent="0.45">
      <c r="E257" t="s">
        <v>1412</v>
      </c>
      <c r="G257" t="s">
        <v>434</v>
      </c>
      <c r="I257" t="s">
        <v>249</v>
      </c>
      <c r="J257" t="s">
        <v>1934</v>
      </c>
      <c r="K257">
        <v>0</v>
      </c>
      <c r="L257" t="s">
        <v>251</v>
      </c>
      <c r="N257" t="s">
        <v>419</v>
      </c>
      <c r="O257" t="s">
        <v>1934</v>
      </c>
      <c r="P257">
        <v>1.5808852878660001E-4</v>
      </c>
      <c r="Q257" t="s">
        <v>251</v>
      </c>
      <c r="S257" t="s">
        <v>420</v>
      </c>
      <c r="T257" t="s">
        <v>1934</v>
      </c>
      <c r="U257">
        <v>2.6379380446880002E-4</v>
      </c>
      <c r="V257" t="s">
        <v>251</v>
      </c>
      <c r="X257">
        <v>1.1415525114155251E-4</v>
      </c>
      <c r="Y257">
        <v>5.6352501470966035E-5</v>
      </c>
      <c r="Z257" t="s">
        <v>1934</v>
      </c>
      <c r="AA257" t="s">
        <v>25</v>
      </c>
      <c r="AC257" t="s">
        <v>22</v>
      </c>
      <c r="AD257" t="s">
        <v>1934</v>
      </c>
      <c r="AE257">
        <v>1.2011722310810513E-4</v>
      </c>
      <c r="AG257" t="s">
        <v>97</v>
      </c>
      <c r="AH257" t="s">
        <v>1934</v>
      </c>
      <c r="AI257">
        <v>0</v>
      </c>
    </row>
    <row r="258" spans="5:35" x14ac:dyDescent="0.45">
      <c r="E258" t="s">
        <v>1413</v>
      </c>
      <c r="G258" t="s">
        <v>434</v>
      </c>
      <c r="I258" t="s">
        <v>249</v>
      </c>
      <c r="J258" t="s">
        <v>1935</v>
      </c>
      <c r="K258">
        <v>0</v>
      </c>
      <c r="L258" t="s">
        <v>251</v>
      </c>
      <c r="N258" t="s">
        <v>419</v>
      </c>
      <c r="O258" t="s">
        <v>1935</v>
      </c>
      <c r="P258">
        <v>1.5942046812069999E-4</v>
      </c>
      <c r="Q258" t="s">
        <v>251</v>
      </c>
      <c r="S258" t="s">
        <v>420</v>
      </c>
      <c r="T258" t="s">
        <v>1935</v>
      </c>
      <c r="U258">
        <v>2.6760112112930002E-4</v>
      </c>
      <c r="V258" t="s">
        <v>251</v>
      </c>
      <c r="X258">
        <v>1.1415525114155251E-4</v>
      </c>
      <c r="Y258">
        <v>2.9833677249334962E-5</v>
      </c>
      <c r="Z258" t="s">
        <v>1935</v>
      </c>
      <c r="AA258" t="s">
        <v>25</v>
      </c>
      <c r="AC258" t="s">
        <v>22</v>
      </c>
      <c r="AD258" t="s">
        <v>1935</v>
      </c>
      <c r="AE258">
        <v>1.2083274205137355E-4</v>
      </c>
      <c r="AG258" t="s">
        <v>97</v>
      </c>
      <c r="AH258" t="s">
        <v>1935</v>
      </c>
      <c r="AI258">
        <v>0</v>
      </c>
    </row>
    <row r="259" spans="5:35" x14ac:dyDescent="0.45">
      <c r="E259" t="s">
        <v>1414</v>
      </c>
      <c r="G259" t="s">
        <v>434</v>
      </c>
      <c r="I259" t="s">
        <v>249</v>
      </c>
      <c r="J259" t="s">
        <v>331</v>
      </c>
      <c r="K259">
        <v>4.9335144791813233E-4</v>
      </c>
      <c r="L259" t="s">
        <v>251</v>
      </c>
      <c r="N259" t="s">
        <v>419</v>
      </c>
      <c r="O259" t="s">
        <v>331</v>
      </c>
      <c r="P259">
        <v>2.3619791243746632E-2</v>
      </c>
      <c r="Q259" t="s">
        <v>251</v>
      </c>
      <c r="S259" t="s">
        <v>420</v>
      </c>
      <c r="T259" t="s">
        <v>331</v>
      </c>
      <c r="U259">
        <v>2.2043322523336625E-2</v>
      </c>
      <c r="V259" t="s">
        <v>251</v>
      </c>
      <c r="X259">
        <v>2.1232876712328767E-2</v>
      </c>
      <c r="Y259">
        <v>4.5420116185598634E-3</v>
      </c>
      <c r="Z259" t="s">
        <v>331</v>
      </c>
      <c r="AA259" t="s">
        <v>25</v>
      </c>
      <c r="AC259" t="s">
        <v>22</v>
      </c>
      <c r="AD259" t="s">
        <v>331</v>
      </c>
      <c r="AE259">
        <v>1.9690617990117655E-2</v>
      </c>
      <c r="AG259" t="s">
        <v>97</v>
      </c>
      <c r="AH259" t="s">
        <v>331</v>
      </c>
      <c r="AI259">
        <v>0.14699788631802058</v>
      </c>
    </row>
    <row r="260" spans="5:35" x14ac:dyDescent="0.45">
      <c r="E260" t="s">
        <v>1415</v>
      </c>
      <c r="G260" t="s">
        <v>434</v>
      </c>
      <c r="I260" t="s">
        <v>249</v>
      </c>
      <c r="J260" t="s">
        <v>332</v>
      </c>
      <c r="K260">
        <v>4.3764532232293662E-3</v>
      </c>
      <c r="L260" t="s">
        <v>251</v>
      </c>
      <c r="N260" t="s">
        <v>419</v>
      </c>
      <c r="O260" t="s">
        <v>332</v>
      </c>
      <c r="P260">
        <v>3.4246522466074075E-3</v>
      </c>
      <c r="Q260" t="s">
        <v>251</v>
      </c>
      <c r="S260" t="s">
        <v>420</v>
      </c>
      <c r="T260" t="s">
        <v>332</v>
      </c>
      <c r="U260">
        <v>3.4398434511848245E-3</v>
      </c>
      <c r="V260" t="s">
        <v>251</v>
      </c>
      <c r="X260">
        <v>3.5388127853881279E-3</v>
      </c>
      <c r="Y260">
        <v>5.240782636799844E-3</v>
      </c>
      <c r="Z260" t="s">
        <v>332</v>
      </c>
      <c r="AA260" t="s">
        <v>25</v>
      </c>
      <c r="AC260" t="s">
        <v>22</v>
      </c>
      <c r="AD260" t="s">
        <v>332</v>
      </c>
      <c r="AE260">
        <v>2.6456368637571403E-3</v>
      </c>
      <c r="AG260" t="s">
        <v>97</v>
      </c>
      <c r="AH260" t="s">
        <v>332</v>
      </c>
      <c r="AI260">
        <v>3.7687404662287927E-2</v>
      </c>
    </row>
    <row r="261" spans="5:35" x14ac:dyDescent="0.45">
      <c r="E261" t="s">
        <v>1416</v>
      </c>
      <c r="G261" t="s">
        <v>434</v>
      </c>
      <c r="I261" t="s">
        <v>249</v>
      </c>
      <c r="J261" t="s">
        <v>333</v>
      </c>
      <c r="K261">
        <v>6.5776751073149996E-3</v>
      </c>
      <c r="L261" t="s">
        <v>251</v>
      </c>
      <c r="N261" t="s">
        <v>419</v>
      </c>
      <c r="O261" t="s">
        <v>333</v>
      </c>
      <c r="P261">
        <v>3.173072011760042E-3</v>
      </c>
      <c r="Q261" t="s">
        <v>251</v>
      </c>
      <c r="S261" t="s">
        <v>420</v>
      </c>
      <c r="T261" t="s">
        <v>333</v>
      </c>
      <c r="U261">
        <v>3.4487992132888889E-3</v>
      </c>
      <c r="V261" t="s">
        <v>251</v>
      </c>
      <c r="X261">
        <v>3.5388127853881279E-3</v>
      </c>
      <c r="Y261">
        <v>5.9087255218821738E-3</v>
      </c>
      <c r="Z261" t="s">
        <v>333</v>
      </c>
      <c r="AA261" t="s">
        <v>25</v>
      </c>
      <c r="AC261" t="s">
        <v>22</v>
      </c>
      <c r="AD261" t="s">
        <v>333</v>
      </c>
      <c r="AE261">
        <v>2.5681020358651455E-3</v>
      </c>
      <c r="AG261" t="s">
        <v>97</v>
      </c>
      <c r="AH261" t="s">
        <v>333</v>
      </c>
      <c r="AI261">
        <v>2.836679987744839E-2</v>
      </c>
    </row>
    <row r="262" spans="5:35" x14ac:dyDescent="0.45">
      <c r="E262" t="s">
        <v>1417</v>
      </c>
      <c r="G262" t="s">
        <v>434</v>
      </c>
      <c r="I262" t="s">
        <v>249</v>
      </c>
      <c r="J262" t="s">
        <v>334</v>
      </c>
      <c r="K262">
        <v>6.3579767558584299E-2</v>
      </c>
      <c r="L262" t="s">
        <v>251</v>
      </c>
      <c r="N262" t="s">
        <v>419</v>
      </c>
      <c r="O262" t="s">
        <v>334</v>
      </c>
      <c r="P262">
        <v>2.3592593292150223E-2</v>
      </c>
      <c r="Q262" t="s">
        <v>251</v>
      </c>
      <c r="S262" t="s">
        <v>420</v>
      </c>
      <c r="T262" t="s">
        <v>334</v>
      </c>
      <c r="U262">
        <v>2.3343586610834285E-2</v>
      </c>
      <c r="V262" t="s">
        <v>251</v>
      </c>
      <c r="X262">
        <v>2.4771689497716895E-2</v>
      </c>
      <c r="Y262">
        <v>3.1424143732027281E-2</v>
      </c>
      <c r="Z262" t="s">
        <v>334</v>
      </c>
      <c r="AA262" t="s">
        <v>25</v>
      </c>
      <c r="AC262" t="s">
        <v>22</v>
      </c>
      <c r="AD262" t="s">
        <v>334</v>
      </c>
      <c r="AE262">
        <v>2.1583667654061441E-2</v>
      </c>
      <c r="AG262" t="s">
        <v>97</v>
      </c>
      <c r="AH262" t="s">
        <v>334</v>
      </c>
      <c r="AI262">
        <v>0.21092089255818691</v>
      </c>
    </row>
    <row r="263" spans="5:35" x14ac:dyDescent="0.45">
      <c r="E263" t="s">
        <v>1418</v>
      </c>
      <c r="G263" t="s">
        <v>434</v>
      </c>
      <c r="I263" t="s">
        <v>249</v>
      </c>
      <c r="J263" t="s">
        <v>335</v>
      </c>
      <c r="K263">
        <v>8.5853735167836995E-3</v>
      </c>
      <c r="L263" t="s">
        <v>251</v>
      </c>
      <c r="N263" t="s">
        <v>419</v>
      </c>
      <c r="O263" t="s">
        <v>335</v>
      </c>
      <c r="P263">
        <v>3.5208185497496692E-3</v>
      </c>
      <c r="Q263" t="s">
        <v>251</v>
      </c>
      <c r="S263" t="s">
        <v>420</v>
      </c>
      <c r="T263" t="s">
        <v>335</v>
      </c>
      <c r="U263">
        <v>3.6820393775627205E-3</v>
      </c>
      <c r="V263" t="s">
        <v>251</v>
      </c>
      <c r="X263">
        <v>3.5388127853881279E-3</v>
      </c>
      <c r="Y263">
        <v>5.3435430806586613E-3</v>
      </c>
      <c r="Z263" t="s">
        <v>335</v>
      </c>
      <c r="AA263" t="s">
        <v>25</v>
      </c>
      <c r="AC263" t="s">
        <v>22</v>
      </c>
      <c r="AD263" t="s">
        <v>335</v>
      </c>
      <c r="AE263">
        <v>3.5276761669721327E-3</v>
      </c>
      <c r="AG263" t="s">
        <v>97</v>
      </c>
      <c r="AH263" t="s">
        <v>335</v>
      </c>
      <c r="AI263">
        <v>4.8412946255800948E-2</v>
      </c>
    </row>
    <row r="264" spans="5:35" x14ac:dyDescent="0.45">
      <c r="E264" t="s">
        <v>1419</v>
      </c>
      <c r="G264" t="s">
        <v>434</v>
      </c>
      <c r="I264" t="s">
        <v>249</v>
      </c>
      <c r="J264" t="s">
        <v>336</v>
      </c>
      <c r="K264">
        <v>7.7224142138008003E-3</v>
      </c>
      <c r="L264" t="s">
        <v>251</v>
      </c>
      <c r="N264" t="s">
        <v>419</v>
      </c>
      <c r="O264" t="s">
        <v>336</v>
      </c>
      <c r="P264">
        <v>3.5198585800589751E-3</v>
      </c>
      <c r="Q264" t="s">
        <v>251</v>
      </c>
      <c r="S264" t="s">
        <v>420</v>
      </c>
      <c r="T264" t="s">
        <v>336</v>
      </c>
      <c r="U264">
        <v>3.6434575328003469E-3</v>
      </c>
      <c r="V264" t="s">
        <v>251</v>
      </c>
      <c r="X264">
        <v>3.5388127853881279E-3</v>
      </c>
      <c r="Y264">
        <v>6.8849497385409693E-3</v>
      </c>
      <c r="Z264" t="s">
        <v>336</v>
      </c>
      <c r="AA264" t="s">
        <v>25</v>
      </c>
      <c r="AC264" t="s">
        <v>22</v>
      </c>
      <c r="AD264" t="s">
        <v>336</v>
      </c>
      <c r="AE264">
        <v>3.5353409168752282E-3</v>
      </c>
      <c r="AG264" t="s">
        <v>97</v>
      </c>
      <c r="AH264" t="s">
        <v>336</v>
      </c>
      <c r="AI264">
        <v>5.2748421298292492E-2</v>
      </c>
    </row>
    <row r="265" spans="5:35" x14ac:dyDescent="0.45">
      <c r="E265" t="s">
        <v>1420</v>
      </c>
      <c r="G265" t="s">
        <v>434</v>
      </c>
      <c r="I265" t="s">
        <v>249</v>
      </c>
      <c r="J265" t="s">
        <v>337</v>
      </c>
      <c r="K265">
        <v>6.4833732845173001E-3</v>
      </c>
      <c r="L265" t="s">
        <v>251</v>
      </c>
      <c r="N265" t="s">
        <v>419</v>
      </c>
      <c r="O265" t="s">
        <v>337</v>
      </c>
      <c r="P265">
        <v>3.4614343159606415E-3</v>
      </c>
      <c r="Q265" t="s">
        <v>251</v>
      </c>
      <c r="S265" t="s">
        <v>420</v>
      </c>
      <c r="T265" t="s">
        <v>337</v>
      </c>
      <c r="U265">
        <v>3.6810394552026686E-3</v>
      </c>
      <c r="V265" t="s">
        <v>251</v>
      </c>
      <c r="X265">
        <v>3.5388127853881279E-3</v>
      </c>
      <c r="Y265">
        <v>6.8849497385409693E-3</v>
      </c>
      <c r="Z265" t="s">
        <v>337</v>
      </c>
      <c r="AA265" t="s">
        <v>25</v>
      </c>
      <c r="AC265" t="s">
        <v>22</v>
      </c>
      <c r="AD265" t="s">
        <v>337</v>
      </c>
      <c r="AE265">
        <v>3.540813222827623E-3</v>
      </c>
      <c r="AG265" t="s">
        <v>97</v>
      </c>
      <c r="AH265" t="s">
        <v>337</v>
      </c>
      <c r="AI265">
        <v>5.7215910366320788E-2</v>
      </c>
    </row>
    <row r="266" spans="5:35" x14ac:dyDescent="0.45">
      <c r="E266" t="s">
        <v>1421</v>
      </c>
      <c r="G266" t="s">
        <v>434</v>
      </c>
      <c r="I266" t="s">
        <v>249</v>
      </c>
      <c r="J266" t="s">
        <v>338</v>
      </c>
      <c r="K266">
        <v>6.4179318594734976E-3</v>
      </c>
      <c r="L266" t="s">
        <v>251</v>
      </c>
      <c r="N266" t="s">
        <v>419</v>
      </c>
      <c r="O266" t="s">
        <v>338</v>
      </c>
      <c r="P266">
        <v>2.4570720173719644E-2</v>
      </c>
      <c r="Q266" t="s">
        <v>251</v>
      </c>
      <c r="S266" t="s">
        <v>420</v>
      </c>
      <c r="T266" t="s">
        <v>338</v>
      </c>
      <c r="U266">
        <v>2.4641906355335301E-2</v>
      </c>
      <c r="V266" t="s">
        <v>251</v>
      </c>
      <c r="X266">
        <v>2.1232876712328767E-2</v>
      </c>
      <c r="Y266">
        <v>1.8702400782305319E-2</v>
      </c>
      <c r="Z266" t="s">
        <v>338</v>
      </c>
      <c r="AA266" t="s">
        <v>25</v>
      </c>
      <c r="AC266" t="s">
        <v>22</v>
      </c>
      <c r="AD266" t="s">
        <v>338</v>
      </c>
      <c r="AE266">
        <v>2.1518813976932626E-2</v>
      </c>
      <c r="AG266" t="s">
        <v>97</v>
      </c>
      <c r="AH266" t="s">
        <v>338</v>
      </c>
      <c r="AI266">
        <v>8.0073275109394881E-2</v>
      </c>
    </row>
    <row r="267" spans="5:35" x14ac:dyDescent="0.45">
      <c r="E267" t="s">
        <v>1422</v>
      </c>
      <c r="G267" t="s">
        <v>434</v>
      </c>
      <c r="I267" t="s">
        <v>249</v>
      </c>
      <c r="J267" t="s">
        <v>339</v>
      </c>
      <c r="K267">
        <v>8.9620492023086194E-4</v>
      </c>
      <c r="L267" t="s">
        <v>251</v>
      </c>
      <c r="N267" t="s">
        <v>419</v>
      </c>
      <c r="O267" t="s">
        <v>339</v>
      </c>
      <c r="P267">
        <v>2.1638010353090851E-2</v>
      </c>
      <c r="Q267" t="s">
        <v>251</v>
      </c>
      <c r="S267" t="s">
        <v>420</v>
      </c>
      <c r="T267" t="s">
        <v>339</v>
      </c>
      <c r="U267">
        <v>1.46554772617355E-2</v>
      </c>
      <c r="V267" t="s">
        <v>251</v>
      </c>
      <c r="X267">
        <v>2.0547945205479451E-2</v>
      </c>
      <c r="Y267">
        <v>4.3954951147353507E-3</v>
      </c>
      <c r="Z267" t="s">
        <v>339</v>
      </c>
      <c r="AA267" t="s">
        <v>25</v>
      </c>
      <c r="AC267" t="s">
        <v>22</v>
      </c>
      <c r="AD267" t="s">
        <v>339</v>
      </c>
      <c r="AE267">
        <v>1.9260500610045455E-2</v>
      </c>
      <c r="AG267" t="s">
        <v>97</v>
      </c>
      <c r="AH267" t="s">
        <v>339</v>
      </c>
      <c r="AI267">
        <v>0.14272160879684503</v>
      </c>
    </row>
    <row r="268" spans="5:35" x14ac:dyDescent="0.45">
      <c r="E268" t="s">
        <v>1423</v>
      </c>
      <c r="G268" t="s">
        <v>434</v>
      </c>
      <c r="I268" t="s">
        <v>249</v>
      </c>
      <c r="J268" t="s">
        <v>340</v>
      </c>
      <c r="K268">
        <v>4.2189396573354999E-3</v>
      </c>
      <c r="L268" t="s">
        <v>251</v>
      </c>
      <c r="N268" t="s">
        <v>419</v>
      </c>
      <c r="O268" t="s">
        <v>340</v>
      </c>
      <c r="P268">
        <v>2.932390726346185E-3</v>
      </c>
      <c r="Q268" t="s">
        <v>251</v>
      </c>
      <c r="S268" t="s">
        <v>420</v>
      </c>
      <c r="T268" t="s">
        <v>340</v>
      </c>
      <c r="U268">
        <v>2.0274377563429028E-3</v>
      </c>
      <c r="V268" t="s">
        <v>251</v>
      </c>
      <c r="X268">
        <v>3.4246575342465752E-3</v>
      </c>
      <c r="Y268">
        <v>5.0717251323869452E-3</v>
      </c>
      <c r="Z268" t="s">
        <v>340</v>
      </c>
      <c r="AA268" t="s">
        <v>25</v>
      </c>
      <c r="AC268" t="s">
        <v>22</v>
      </c>
      <c r="AD268" t="s">
        <v>340</v>
      </c>
      <c r="AE268">
        <v>2.6497103592723766E-3</v>
      </c>
      <c r="AG268" t="s">
        <v>97</v>
      </c>
      <c r="AH268" t="s">
        <v>340</v>
      </c>
      <c r="AI268">
        <v>6.8326103573197461E-2</v>
      </c>
    </row>
    <row r="269" spans="5:35" x14ac:dyDescent="0.45">
      <c r="E269" t="s">
        <v>1424</v>
      </c>
      <c r="G269" t="s">
        <v>434</v>
      </c>
      <c r="I269" t="s">
        <v>249</v>
      </c>
      <c r="J269" t="s">
        <v>341</v>
      </c>
      <c r="K269">
        <v>6.1886482059352998E-3</v>
      </c>
      <c r="L269" t="s">
        <v>251</v>
      </c>
      <c r="N269" t="s">
        <v>419</v>
      </c>
      <c r="O269" t="s">
        <v>341</v>
      </c>
      <c r="P269">
        <v>2.645260723797086E-3</v>
      </c>
      <c r="Q269" t="s">
        <v>251</v>
      </c>
      <c r="S269" t="s">
        <v>420</v>
      </c>
      <c r="T269" t="s">
        <v>341</v>
      </c>
      <c r="U269">
        <v>2.0224615995105386E-3</v>
      </c>
      <c r="V269" t="s">
        <v>251</v>
      </c>
      <c r="X269">
        <v>3.4246575342465752E-3</v>
      </c>
      <c r="Y269">
        <v>5.7181214727892006E-3</v>
      </c>
      <c r="Z269" t="s">
        <v>341</v>
      </c>
      <c r="AA269" t="s">
        <v>25</v>
      </c>
      <c r="AC269" t="s">
        <v>22</v>
      </c>
      <c r="AD269" t="s">
        <v>341</v>
      </c>
      <c r="AE269">
        <v>2.5584782257930265E-3</v>
      </c>
      <c r="AG269" t="s">
        <v>97</v>
      </c>
      <c r="AH269" t="s">
        <v>341</v>
      </c>
      <c r="AI269">
        <v>6.3283153241070034E-2</v>
      </c>
    </row>
    <row r="270" spans="5:35" x14ac:dyDescent="0.45">
      <c r="E270" t="s">
        <v>1425</v>
      </c>
      <c r="G270" t="s">
        <v>434</v>
      </c>
      <c r="I270" t="s">
        <v>249</v>
      </c>
      <c r="J270" t="s">
        <v>342</v>
      </c>
      <c r="K270">
        <v>5.9391656967384999E-2</v>
      </c>
      <c r="L270" t="s">
        <v>251</v>
      </c>
      <c r="N270" t="s">
        <v>419</v>
      </c>
      <c r="O270" t="s">
        <v>342</v>
      </c>
      <c r="P270">
        <v>2.0186747215789343E-2</v>
      </c>
      <c r="Q270" t="s">
        <v>251</v>
      </c>
      <c r="S270" t="s">
        <v>420</v>
      </c>
      <c r="T270" t="s">
        <v>342</v>
      </c>
      <c r="U270">
        <v>1.5028412364267944E-2</v>
      </c>
      <c r="V270" t="s">
        <v>251</v>
      </c>
      <c r="X270">
        <v>2.3972602739726026E-2</v>
      </c>
      <c r="Y270">
        <v>3.0410461676155433E-2</v>
      </c>
      <c r="Z270" t="s">
        <v>342</v>
      </c>
      <c r="AA270" t="s">
        <v>25</v>
      </c>
      <c r="AC270" t="s">
        <v>22</v>
      </c>
      <c r="AD270" t="s">
        <v>342</v>
      </c>
      <c r="AE270">
        <v>2.0666995204675419E-2</v>
      </c>
      <c r="AG270" t="s">
        <v>97</v>
      </c>
      <c r="AH270" t="s">
        <v>342</v>
      </c>
      <c r="AI270">
        <v>0.19022521607323695</v>
      </c>
    </row>
    <row r="271" spans="5:35" x14ac:dyDescent="0.45">
      <c r="E271" t="s">
        <v>1426</v>
      </c>
      <c r="G271" t="s">
        <v>434</v>
      </c>
      <c r="I271" t="s">
        <v>249</v>
      </c>
      <c r="J271" t="s">
        <v>343</v>
      </c>
      <c r="K271">
        <v>7.9800602970408006E-3</v>
      </c>
      <c r="L271" t="s">
        <v>251</v>
      </c>
      <c r="N271" t="s">
        <v>419</v>
      </c>
      <c r="O271" t="s">
        <v>343</v>
      </c>
      <c r="P271">
        <v>3.0852712538663382E-3</v>
      </c>
      <c r="Q271" t="s">
        <v>251</v>
      </c>
      <c r="S271" t="s">
        <v>420</v>
      </c>
      <c r="T271" t="s">
        <v>343</v>
      </c>
      <c r="U271">
        <v>2.547697763517483E-3</v>
      </c>
      <c r="V271" t="s">
        <v>251</v>
      </c>
      <c r="X271">
        <v>3.4246575342465752E-3</v>
      </c>
      <c r="Y271">
        <v>5.1711707232180593E-3</v>
      </c>
      <c r="Z271" t="s">
        <v>343</v>
      </c>
      <c r="AA271" t="s">
        <v>25</v>
      </c>
      <c r="AC271" t="s">
        <v>22</v>
      </c>
      <c r="AD271" t="s">
        <v>343</v>
      </c>
      <c r="AE271">
        <v>3.4028927577294411E-3</v>
      </c>
      <c r="AG271" t="s">
        <v>97</v>
      </c>
      <c r="AH271" t="s">
        <v>343</v>
      </c>
      <c r="AI271">
        <v>6.2489829878334291E-2</v>
      </c>
    </row>
    <row r="272" spans="5:35" x14ac:dyDescent="0.45">
      <c r="E272" t="s">
        <v>1427</v>
      </c>
      <c r="G272" t="s">
        <v>434</v>
      </c>
      <c r="I272" t="s">
        <v>249</v>
      </c>
      <c r="J272" t="s">
        <v>344</v>
      </c>
      <c r="K272">
        <v>7.1260513681538004E-3</v>
      </c>
      <c r="L272" t="s">
        <v>251</v>
      </c>
      <c r="N272" t="s">
        <v>419</v>
      </c>
      <c r="O272" t="s">
        <v>344</v>
      </c>
      <c r="P272">
        <v>3.1615154664669859E-3</v>
      </c>
      <c r="Q272" t="s">
        <v>251</v>
      </c>
      <c r="S272" t="s">
        <v>420</v>
      </c>
      <c r="T272" t="s">
        <v>344</v>
      </c>
      <c r="U272">
        <v>2.4478011458801108E-3</v>
      </c>
      <c r="V272" t="s">
        <v>251</v>
      </c>
      <c r="X272">
        <v>3.4246575342465752E-3</v>
      </c>
      <c r="Y272">
        <v>6.662854585684809E-3</v>
      </c>
      <c r="Z272" t="s">
        <v>344</v>
      </c>
      <c r="AA272" t="s">
        <v>25</v>
      </c>
      <c r="AC272" t="s">
        <v>22</v>
      </c>
      <c r="AD272" t="s">
        <v>344</v>
      </c>
      <c r="AE272">
        <v>3.4198347096210586E-3</v>
      </c>
      <c r="AG272" t="s">
        <v>97</v>
      </c>
      <c r="AH272" t="s">
        <v>344</v>
      </c>
      <c r="AI272">
        <v>7.1290983808581343E-2</v>
      </c>
    </row>
    <row r="273" spans="5:35" x14ac:dyDescent="0.45">
      <c r="E273" t="s">
        <v>1428</v>
      </c>
      <c r="G273" t="s">
        <v>434</v>
      </c>
      <c r="I273" t="s">
        <v>249</v>
      </c>
      <c r="J273" t="s">
        <v>345</v>
      </c>
      <c r="K273">
        <v>5.97267425403E-3</v>
      </c>
      <c r="L273" t="s">
        <v>251</v>
      </c>
      <c r="N273" t="s">
        <v>419</v>
      </c>
      <c r="O273" t="s">
        <v>345</v>
      </c>
      <c r="P273">
        <v>3.1609198927553899E-3</v>
      </c>
      <c r="Q273" t="s">
        <v>251</v>
      </c>
      <c r="S273" t="s">
        <v>420</v>
      </c>
      <c r="T273" t="s">
        <v>345</v>
      </c>
      <c r="U273">
        <v>2.4219064195414191E-3</v>
      </c>
      <c r="V273" t="s">
        <v>251</v>
      </c>
      <c r="X273">
        <v>3.4246575342465752E-3</v>
      </c>
      <c r="Y273">
        <v>6.662854585684809E-3</v>
      </c>
      <c r="Z273" t="s">
        <v>345</v>
      </c>
      <c r="AA273" t="s">
        <v>25</v>
      </c>
      <c r="AC273" t="s">
        <v>22</v>
      </c>
      <c r="AD273" t="s">
        <v>345</v>
      </c>
      <c r="AE273">
        <v>3.4450851650362443E-3</v>
      </c>
      <c r="AG273" t="s">
        <v>97</v>
      </c>
      <c r="AH273" t="s">
        <v>345</v>
      </c>
      <c r="AI273">
        <v>7.9933885841087848E-2</v>
      </c>
    </row>
    <row r="274" spans="5:35" x14ac:dyDescent="0.45">
      <c r="E274" t="s">
        <v>1429</v>
      </c>
      <c r="G274" t="s">
        <v>434</v>
      </c>
      <c r="I274" t="s">
        <v>249</v>
      </c>
      <c r="J274" t="s">
        <v>346</v>
      </c>
      <c r="K274">
        <v>6.6998443253581154E-3</v>
      </c>
      <c r="L274" t="s">
        <v>251</v>
      </c>
      <c r="N274" t="s">
        <v>419</v>
      </c>
      <c r="O274" t="s">
        <v>346</v>
      </c>
      <c r="P274">
        <v>2.1552171110743049E-2</v>
      </c>
      <c r="Q274" t="s">
        <v>251</v>
      </c>
      <c r="S274" t="s">
        <v>420</v>
      </c>
      <c r="T274" t="s">
        <v>346</v>
      </c>
      <c r="U274">
        <v>1.5920745316699014E-2</v>
      </c>
      <c r="V274" t="s">
        <v>251</v>
      </c>
      <c r="X274">
        <v>2.0547945205479451E-2</v>
      </c>
      <c r="Y274">
        <v>1.8099097531263209E-2</v>
      </c>
      <c r="Z274" t="s">
        <v>346</v>
      </c>
      <c r="AA274" t="s">
        <v>25</v>
      </c>
      <c r="AC274" t="s">
        <v>22</v>
      </c>
      <c r="AD274" t="s">
        <v>346</v>
      </c>
      <c r="AE274">
        <v>2.1050393923406293E-2</v>
      </c>
      <c r="AG274" t="s">
        <v>97</v>
      </c>
      <c r="AH274" t="s">
        <v>346</v>
      </c>
      <c r="AI274">
        <v>0.12607735122688024</v>
      </c>
    </row>
    <row r="275" spans="5:35" x14ac:dyDescent="0.45">
      <c r="E275" t="s">
        <v>1430</v>
      </c>
      <c r="G275" t="s">
        <v>434</v>
      </c>
      <c r="I275" t="s">
        <v>249</v>
      </c>
      <c r="J275" t="s">
        <v>347</v>
      </c>
      <c r="K275">
        <v>2.6851131546107499E-4</v>
      </c>
      <c r="L275" t="s">
        <v>251</v>
      </c>
      <c r="N275" t="s">
        <v>419</v>
      </c>
      <c r="O275" t="s">
        <v>347</v>
      </c>
      <c r="P275">
        <v>1.7906356699202514E-2</v>
      </c>
      <c r="Q275" t="s">
        <v>251</v>
      </c>
      <c r="S275" t="s">
        <v>420</v>
      </c>
      <c r="T275" t="s">
        <v>347</v>
      </c>
      <c r="U275">
        <v>1.6784868353445087E-2</v>
      </c>
      <c r="V275" t="s">
        <v>251</v>
      </c>
      <c r="X275">
        <v>2.1232876712328767E-2</v>
      </c>
      <c r="Y275">
        <v>4.5420116185598634E-3</v>
      </c>
      <c r="Z275" t="s">
        <v>347</v>
      </c>
      <c r="AA275" t="s">
        <v>25</v>
      </c>
      <c r="AC275" t="s">
        <v>22</v>
      </c>
      <c r="AD275" t="s">
        <v>347</v>
      </c>
      <c r="AE275">
        <v>2.1060695450919414E-2</v>
      </c>
      <c r="AG275" t="s">
        <v>97</v>
      </c>
      <c r="AH275" t="s">
        <v>347</v>
      </c>
      <c r="AI275">
        <v>0.2315021641066155</v>
      </c>
    </row>
    <row r="276" spans="5:35" x14ac:dyDescent="0.45">
      <c r="E276" t="s">
        <v>1431</v>
      </c>
      <c r="G276" t="s">
        <v>434</v>
      </c>
      <c r="I276" t="s">
        <v>249</v>
      </c>
      <c r="J276" t="s">
        <v>348</v>
      </c>
      <c r="K276">
        <v>3.2204031164093181E-3</v>
      </c>
      <c r="L276" t="s">
        <v>251</v>
      </c>
      <c r="N276" t="s">
        <v>419</v>
      </c>
      <c r="O276" t="s">
        <v>348</v>
      </c>
      <c r="P276">
        <v>2.1598997955974584E-3</v>
      </c>
      <c r="Q276" t="s">
        <v>251</v>
      </c>
      <c r="S276" t="s">
        <v>420</v>
      </c>
      <c r="T276" t="s">
        <v>348</v>
      </c>
      <c r="U276">
        <v>2.4552076392760176E-3</v>
      </c>
      <c r="V276" t="s">
        <v>251</v>
      </c>
      <c r="X276">
        <v>3.5388127853881279E-3</v>
      </c>
      <c r="Y276">
        <v>5.240782636799844E-3</v>
      </c>
      <c r="Z276" t="s">
        <v>348</v>
      </c>
      <c r="AA276" t="s">
        <v>25</v>
      </c>
      <c r="AC276" t="s">
        <v>22</v>
      </c>
      <c r="AD276" t="s">
        <v>348</v>
      </c>
      <c r="AE276">
        <v>2.8922928243539656E-3</v>
      </c>
      <c r="AG276" t="s">
        <v>97</v>
      </c>
      <c r="AH276" t="s">
        <v>348</v>
      </c>
      <c r="AI276">
        <v>5.6133928654755527E-2</v>
      </c>
    </row>
    <row r="277" spans="5:35" x14ac:dyDescent="0.45">
      <c r="E277" t="s">
        <v>1432</v>
      </c>
      <c r="G277" t="s">
        <v>434</v>
      </c>
      <c r="I277" t="s">
        <v>249</v>
      </c>
      <c r="J277" t="s">
        <v>349</v>
      </c>
      <c r="K277">
        <v>5.2350618749991001E-3</v>
      </c>
      <c r="L277" t="s">
        <v>251</v>
      </c>
      <c r="N277" t="s">
        <v>419</v>
      </c>
      <c r="O277" t="s">
        <v>349</v>
      </c>
      <c r="P277">
        <v>1.8496526274653208E-3</v>
      </c>
      <c r="Q277" t="s">
        <v>251</v>
      </c>
      <c r="S277" t="s">
        <v>420</v>
      </c>
      <c r="T277" t="s">
        <v>349</v>
      </c>
      <c r="U277">
        <v>2.3873461693071727E-3</v>
      </c>
      <c r="V277" t="s">
        <v>251</v>
      </c>
      <c r="X277">
        <v>3.5388127853881279E-3</v>
      </c>
      <c r="Y277">
        <v>5.9087255218821738E-3</v>
      </c>
      <c r="Z277" t="s">
        <v>349</v>
      </c>
      <c r="AA277" t="s">
        <v>25</v>
      </c>
      <c r="AC277" t="s">
        <v>22</v>
      </c>
      <c r="AD277" t="s">
        <v>349</v>
      </c>
      <c r="AE277">
        <v>2.7751816886173938E-3</v>
      </c>
      <c r="AG277" t="s">
        <v>97</v>
      </c>
      <c r="AH277" t="s">
        <v>349</v>
      </c>
      <c r="AI277">
        <v>5.9458371844419711E-2</v>
      </c>
    </row>
    <row r="278" spans="5:35" x14ac:dyDescent="0.45">
      <c r="E278" t="s">
        <v>1433</v>
      </c>
      <c r="G278" t="s">
        <v>434</v>
      </c>
      <c r="I278" t="s">
        <v>249</v>
      </c>
      <c r="J278" t="s">
        <v>350</v>
      </c>
      <c r="K278">
        <v>5.4726961163533497E-2</v>
      </c>
      <c r="L278" t="s">
        <v>251</v>
      </c>
      <c r="N278" t="s">
        <v>419</v>
      </c>
      <c r="O278" t="s">
        <v>350</v>
      </c>
      <c r="P278">
        <v>1.3394753685262772E-2</v>
      </c>
      <c r="Q278" t="s">
        <v>251</v>
      </c>
      <c r="S278" t="s">
        <v>420</v>
      </c>
      <c r="T278" t="s">
        <v>350</v>
      </c>
      <c r="U278">
        <v>1.5760182629451346E-2</v>
      </c>
      <c r="V278" t="s">
        <v>251</v>
      </c>
      <c r="X278">
        <v>2.4771689497716895E-2</v>
      </c>
      <c r="Y278">
        <v>3.1424143732027281E-2</v>
      </c>
      <c r="Z278" t="s">
        <v>350</v>
      </c>
      <c r="AA278" t="s">
        <v>25</v>
      </c>
      <c r="AC278" t="s">
        <v>22</v>
      </c>
      <c r="AD278" t="s">
        <v>350</v>
      </c>
      <c r="AE278">
        <v>2.2015949371621827E-2</v>
      </c>
      <c r="AG278" t="s">
        <v>97</v>
      </c>
      <c r="AH278" t="s">
        <v>350</v>
      </c>
      <c r="AI278">
        <v>0.20573239206764882</v>
      </c>
    </row>
    <row r="279" spans="5:35" x14ac:dyDescent="0.45">
      <c r="E279" t="s">
        <v>1434</v>
      </c>
      <c r="G279" t="s">
        <v>434</v>
      </c>
      <c r="I279" t="s">
        <v>249</v>
      </c>
      <c r="J279" t="s">
        <v>351</v>
      </c>
      <c r="K279">
        <v>7.1083135960544001E-3</v>
      </c>
      <c r="L279" t="s">
        <v>251</v>
      </c>
      <c r="N279" t="s">
        <v>419</v>
      </c>
      <c r="O279" t="s">
        <v>351</v>
      </c>
      <c r="P279">
        <v>2.0138639294259761E-3</v>
      </c>
      <c r="Q279" t="s">
        <v>251</v>
      </c>
      <c r="S279" t="s">
        <v>420</v>
      </c>
      <c r="T279" t="s">
        <v>351</v>
      </c>
      <c r="U279">
        <v>2.6066075866898052E-3</v>
      </c>
      <c r="V279" t="s">
        <v>251</v>
      </c>
      <c r="X279">
        <v>3.5388127853881279E-3</v>
      </c>
      <c r="Y279">
        <v>5.3435430806586613E-3</v>
      </c>
      <c r="Z279" t="s">
        <v>351</v>
      </c>
      <c r="AA279" t="s">
        <v>25</v>
      </c>
      <c r="AC279" t="s">
        <v>22</v>
      </c>
      <c r="AD279" t="s">
        <v>351</v>
      </c>
      <c r="AE279">
        <v>3.7274002743161584E-3</v>
      </c>
      <c r="AG279" t="s">
        <v>97</v>
      </c>
      <c r="AH279" t="s">
        <v>351</v>
      </c>
      <c r="AI279">
        <v>7.3142236951218909E-2</v>
      </c>
    </row>
    <row r="280" spans="5:35" x14ac:dyDescent="0.45">
      <c r="E280" t="s">
        <v>1435</v>
      </c>
      <c r="G280" t="s">
        <v>434</v>
      </c>
      <c r="I280" t="s">
        <v>249</v>
      </c>
      <c r="J280" t="s">
        <v>352</v>
      </c>
      <c r="K280">
        <v>6.1891237235557998E-3</v>
      </c>
      <c r="L280" t="s">
        <v>251</v>
      </c>
      <c r="N280" t="s">
        <v>419</v>
      </c>
      <c r="O280" t="s">
        <v>352</v>
      </c>
      <c r="P280">
        <v>2.0792526059573023E-3</v>
      </c>
      <c r="Q280" t="s">
        <v>251</v>
      </c>
      <c r="S280" t="s">
        <v>420</v>
      </c>
      <c r="T280" t="s">
        <v>352</v>
      </c>
      <c r="U280">
        <v>2.5679852482390691E-3</v>
      </c>
      <c r="V280" t="s">
        <v>251</v>
      </c>
      <c r="X280">
        <v>3.5388127853881279E-3</v>
      </c>
      <c r="Y280">
        <v>6.8849497385409693E-3</v>
      </c>
      <c r="Z280" t="s">
        <v>352</v>
      </c>
      <c r="AA280" t="s">
        <v>25</v>
      </c>
      <c r="AC280" t="s">
        <v>22</v>
      </c>
      <c r="AD280" t="s">
        <v>352</v>
      </c>
      <c r="AE280">
        <v>3.785287944468385E-3</v>
      </c>
      <c r="AG280" t="s">
        <v>97</v>
      </c>
      <c r="AH280" t="s">
        <v>352</v>
      </c>
      <c r="AI280">
        <v>0.1053933651502823</v>
      </c>
    </row>
    <row r="281" spans="5:35" x14ac:dyDescent="0.45">
      <c r="E281" t="s">
        <v>1436</v>
      </c>
      <c r="G281" t="s">
        <v>434</v>
      </c>
      <c r="I281" t="s">
        <v>249</v>
      </c>
      <c r="J281" t="s">
        <v>353</v>
      </c>
      <c r="K281">
        <v>4.9659416849278997E-3</v>
      </c>
      <c r="L281" t="s">
        <v>251</v>
      </c>
      <c r="N281" t="s">
        <v>419</v>
      </c>
      <c r="O281" t="s">
        <v>353</v>
      </c>
      <c r="P281">
        <v>2.1234054464425787E-3</v>
      </c>
      <c r="Q281" t="s">
        <v>251</v>
      </c>
      <c r="S281" t="s">
        <v>420</v>
      </c>
      <c r="T281" t="s">
        <v>353</v>
      </c>
      <c r="U281">
        <v>2.5660690043538253E-3</v>
      </c>
      <c r="V281" t="s">
        <v>251</v>
      </c>
      <c r="X281">
        <v>3.5388127853881279E-3</v>
      </c>
      <c r="Y281">
        <v>6.8849497385409693E-3</v>
      </c>
      <c r="Z281" t="s">
        <v>353</v>
      </c>
      <c r="AA281" t="s">
        <v>25</v>
      </c>
      <c r="AC281" t="s">
        <v>22</v>
      </c>
      <c r="AD281" t="s">
        <v>353</v>
      </c>
      <c r="AE281">
        <v>3.843480283760511E-3</v>
      </c>
      <c r="AG281" t="s">
        <v>97</v>
      </c>
      <c r="AH281" t="s">
        <v>353</v>
      </c>
      <c r="AI281">
        <v>0.10499916203418347</v>
      </c>
    </row>
    <row r="282" spans="5:35" x14ac:dyDescent="0.45">
      <c r="E282" t="s">
        <v>1437</v>
      </c>
      <c r="G282" t="s">
        <v>434</v>
      </c>
      <c r="I282" t="s">
        <v>249</v>
      </c>
      <c r="J282" t="s">
        <v>354</v>
      </c>
      <c r="K282">
        <v>5.2532482843577442E-3</v>
      </c>
      <c r="L282" t="s">
        <v>251</v>
      </c>
      <c r="N282" t="s">
        <v>419</v>
      </c>
      <c r="O282" t="s">
        <v>354</v>
      </c>
      <c r="P282">
        <v>1.8305678872793222E-2</v>
      </c>
      <c r="Q282" t="s">
        <v>251</v>
      </c>
      <c r="S282" t="s">
        <v>420</v>
      </c>
      <c r="T282" t="s">
        <v>354</v>
      </c>
      <c r="U282">
        <v>1.6816073507230526E-2</v>
      </c>
      <c r="V282" t="s">
        <v>251</v>
      </c>
      <c r="X282">
        <v>2.1232876712328767E-2</v>
      </c>
      <c r="Y282">
        <v>1.8702400782305319E-2</v>
      </c>
      <c r="Z282" t="s">
        <v>354</v>
      </c>
      <c r="AA282" t="s">
        <v>25</v>
      </c>
      <c r="AC282" t="s">
        <v>22</v>
      </c>
      <c r="AD282" t="s">
        <v>354</v>
      </c>
      <c r="AE282">
        <v>2.3704335456036028E-2</v>
      </c>
      <c r="AG282" t="s">
        <v>97</v>
      </c>
      <c r="AH282" t="s">
        <v>354</v>
      </c>
      <c r="AI282">
        <v>0.13820527616738598</v>
      </c>
    </row>
    <row r="283" spans="5:35" x14ac:dyDescent="0.45">
      <c r="E283" t="s">
        <v>1438</v>
      </c>
      <c r="G283" t="s">
        <v>434</v>
      </c>
      <c r="I283" t="s">
        <v>249</v>
      </c>
      <c r="J283" t="s">
        <v>355</v>
      </c>
      <c r="K283">
        <v>2.783153874109351E-8</v>
      </c>
      <c r="L283" t="s">
        <v>251</v>
      </c>
      <c r="N283" t="s">
        <v>419</v>
      </c>
      <c r="O283" t="s">
        <v>355</v>
      </c>
      <c r="P283">
        <v>1.4164250450188402E-2</v>
      </c>
      <c r="Q283" t="s">
        <v>251</v>
      </c>
      <c r="S283" t="s">
        <v>420</v>
      </c>
      <c r="T283" t="s">
        <v>355</v>
      </c>
      <c r="U283">
        <v>1.2075360381105288E-2</v>
      </c>
      <c r="V283" t="s">
        <v>251</v>
      </c>
      <c r="X283">
        <v>1.643835616438356E-2</v>
      </c>
      <c r="Y283">
        <v>3.5163960917882816E-3</v>
      </c>
      <c r="Z283" t="s">
        <v>355</v>
      </c>
      <c r="AA283" t="s">
        <v>25</v>
      </c>
      <c r="AC283" t="s">
        <v>22</v>
      </c>
      <c r="AD283" t="s">
        <v>355</v>
      </c>
      <c r="AE283">
        <v>1.5962806175765107E-2</v>
      </c>
      <c r="AG283" t="s">
        <v>97</v>
      </c>
      <c r="AH283" t="s">
        <v>355</v>
      </c>
      <c r="AI283">
        <v>0.19871719364854723</v>
      </c>
    </row>
    <row r="284" spans="5:35" x14ac:dyDescent="0.45">
      <c r="E284" t="s">
        <v>1439</v>
      </c>
      <c r="G284" t="s">
        <v>434</v>
      </c>
      <c r="I284" t="s">
        <v>249</v>
      </c>
      <c r="J284" t="s">
        <v>356</v>
      </c>
      <c r="K284">
        <v>1.9935145364901358E-3</v>
      </c>
      <c r="L284" t="s">
        <v>251</v>
      </c>
      <c r="N284" t="s">
        <v>419</v>
      </c>
      <c r="O284" t="s">
        <v>356</v>
      </c>
      <c r="P284">
        <v>1.7587477616985299E-3</v>
      </c>
      <c r="Q284" t="s">
        <v>251</v>
      </c>
      <c r="S284" t="s">
        <v>420</v>
      </c>
      <c r="T284" t="s">
        <v>356</v>
      </c>
      <c r="U284">
        <v>1.8040948615603482E-3</v>
      </c>
      <c r="V284" t="s">
        <v>251</v>
      </c>
      <c r="X284">
        <v>2.7397260273972603E-3</v>
      </c>
      <c r="Y284">
        <v>4.0573801059095556E-3</v>
      </c>
      <c r="Z284" t="s">
        <v>356</v>
      </c>
      <c r="AA284" t="s">
        <v>25</v>
      </c>
      <c r="AC284" t="s">
        <v>22</v>
      </c>
      <c r="AD284" t="s">
        <v>356</v>
      </c>
      <c r="AE284">
        <v>2.1664721191718066E-3</v>
      </c>
      <c r="AG284" t="s">
        <v>97</v>
      </c>
      <c r="AH284" t="s">
        <v>356</v>
      </c>
      <c r="AI284">
        <v>7.6525173651976086E-2</v>
      </c>
    </row>
    <row r="285" spans="5:35" x14ac:dyDescent="0.45">
      <c r="E285" t="s">
        <v>1440</v>
      </c>
      <c r="G285" t="s">
        <v>434</v>
      </c>
      <c r="I285" t="s">
        <v>249</v>
      </c>
      <c r="J285" t="s">
        <v>357</v>
      </c>
      <c r="K285">
        <v>4.2098765308232998E-3</v>
      </c>
      <c r="L285" t="s">
        <v>251</v>
      </c>
      <c r="N285" t="s">
        <v>419</v>
      </c>
      <c r="O285" t="s">
        <v>357</v>
      </c>
      <c r="P285">
        <v>1.3478832340488775E-3</v>
      </c>
      <c r="Q285" t="s">
        <v>251</v>
      </c>
      <c r="S285" t="s">
        <v>420</v>
      </c>
      <c r="T285" t="s">
        <v>357</v>
      </c>
      <c r="U285">
        <v>1.7497308383131974E-3</v>
      </c>
      <c r="V285" t="s">
        <v>251</v>
      </c>
      <c r="X285">
        <v>2.7397260273972603E-3</v>
      </c>
      <c r="Y285">
        <v>4.5744971782313605E-3</v>
      </c>
      <c r="Z285" t="s">
        <v>357</v>
      </c>
      <c r="AA285" t="s">
        <v>25</v>
      </c>
      <c r="AC285" t="s">
        <v>22</v>
      </c>
      <c r="AD285" t="s">
        <v>357</v>
      </c>
      <c r="AE285">
        <v>2.0815721415904714E-3</v>
      </c>
      <c r="AG285" t="s">
        <v>97</v>
      </c>
      <c r="AH285" t="s">
        <v>357</v>
      </c>
      <c r="AI285">
        <v>7.0562054785460626E-2</v>
      </c>
    </row>
    <row r="286" spans="5:35" x14ac:dyDescent="0.45">
      <c r="E286" t="s">
        <v>1441</v>
      </c>
      <c r="G286" t="s">
        <v>434</v>
      </c>
      <c r="I286" t="s">
        <v>249</v>
      </c>
      <c r="J286" t="s">
        <v>358</v>
      </c>
      <c r="K286">
        <v>4.3415388325834997E-2</v>
      </c>
      <c r="L286" t="s">
        <v>251</v>
      </c>
      <c r="N286" t="s">
        <v>419</v>
      </c>
      <c r="O286" t="s">
        <v>358</v>
      </c>
      <c r="P286">
        <v>8.9062852458890538E-3</v>
      </c>
      <c r="Q286" t="s">
        <v>251</v>
      </c>
      <c r="S286" t="s">
        <v>420</v>
      </c>
      <c r="T286" t="s">
        <v>358</v>
      </c>
      <c r="U286">
        <v>1.0921220693447749E-2</v>
      </c>
      <c r="V286" t="s">
        <v>251</v>
      </c>
      <c r="X286">
        <v>1.9178082191780823E-2</v>
      </c>
      <c r="Y286">
        <v>2.432836934092435E-2</v>
      </c>
      <c r="Z286" t="s">
        <v>358</v>
      </c>
      <c r="AA286" t="s">
        <v>25</v>
      </c>
      <c r="AC286" t="s">
        <v>22</v>
      </c>
      <c r="AD286" t="s">
        <v>358</v>
      </c>
      <c r="AE286">
        <v>1.6689820655286878E-2</v>
      </c>
      <c r="AG286" t="s">
        <v>97</v>
      </c>
      <c r="AH286" t="s">
        <v>358</v>
      </c>
      <c r="AI286">
        <v>0.19522214532047544</v>
      </c>
    </row>
    <row r="287" spans="5:35" x14ac:dyDescent="0.45">
      <c r="E287" t="s">
        <v>1442</v>
      </c>
      <c r="G287" t="s">
        <v>434</v>
      </c>
      <c r="I287" t="s">
        <v>249</v>
      </c>
      <c r="J287" t="s">
        <v>359</v>
      </c>
      <c r="K287">
        <v>5.6760604491219004E-3</v>
      </c>
      <c r="L287" t="s">
        <v>251</v>
      </c>
      <c r="N287" t="s">
        <v>419</v>
      </c>
      <c r="O287" t="s">
        <v>359</v>
      </c>
      <c r="P287">
        <v>1.3967369617692755E-3</v>
      </c>
      <c r="Q287" t="s">
        <v>251</v>
      </c>
      <c r="S287" t="s">
        <v>420</v>
      </c>
      <c r="T287" t="s">
        <v>359</v>
      </c>
      <c r="U287">
        <v>1.6698004859993308E-3</v>
      </c>
      <c r="V287" t="s">
        <v>251</v>
      </c>
      <c r="X287">
        <v>2.7397260273972603E-3</v>
      </c>
      <c r="Y287">
        <v>4.1369365785744487E-3</v>
      </c>
      <c r="Z287" t="s">
        <v>359</v>
      </c>
      <c r="AA287" t="s">
        <v>25</v>
      </c>
      <c r="AC287" t="s">
        <v>22</v>
      </c>
      <c r="AD287" t="s">
        <v>359</v>
      </c>
      <c r="AE287">
        <v>2.8178192577955835E-3</v>
      </c>
      <c r="AG287" t="s">
        <v>97</v>
      </c>
      <c r="AH287" t="s">
        <v>359</v>
      </c>
      <c r="AI287">
        <v>6.5769738742955441E-2</v>
      </c>
    </row>
    <row r="288" spans="5:35" x14ac:dyDescent="0.45">
      <c r="E288" t="s">
        <v>1443</v>
      </c>
      <c r="G288" t="s">
        <v>434</v>
      </c>
      <c r="I288" t="s">
        <v>249</v>
      </c>
      <c r="J288" t="s">
        <v>360</v>
      </c>
      <c r="K288">
        <v>5.0027989786051996E-3</v>
      </c>
      <c r="L288" t="s">
        <v>251</v>
      </c>
      <c r="N288" t="s">
        <v>419</v>
      </c>
      <c r="O288" t="s">
        <v>360</v>
      </c>
      <c r="P288">
        <v>1.4616656200652071E-3</v>
      </c>
      <c r="Q288" t="s">
        <v>251</v>
      </c>
      <c r="S288" t="s">
        <v>420</v>
      </c>
      <c r="T288" t="s">
        <v>360</v>
      </c>
      <c r="U288">
        <v>1.657836556294955E-3</v>
      </c>
      <c r="V288" t="s">
        <v>251</v>
      </c>
      <c r="X288">
        <v>2.7397260273972603E-3</v>
      </c>
      <c r="Y288">
        <v>5.3302836685478472E-3</v>
      </c>
      <c r="Z288" t="s">
        <v>360</v>
      </c>
      <c r="AA288" t="s">
        <v>25</v>
      </c>
      <c r="AC288" t="s">
        <v>22</v>
      </c>
      <c r="AD288" t="s">
        <v>360</v>
      </c>
      <c r="AE288">
        <v>2.8460064889480907E-3</v>
      </c>
      <c r="AG288" t="s">
        <v>97</v>
      </c>
      <c r="AH288" t="s">
        <v>360</v>
      </c>
      <c r="AI288">
        <v>7.7407765215722568E-2</v>
      </c>
    </row>
    <row r="289" spans="5:35" x14ac:dyDescent="0.45">
      <c r="E289" t="s">
        <v>1444</v>
      </c>
      <c r="G289" t="s">
        <v>434</v>
      </c>
      <c r="I289" t="s">
        <v>249</v>
      </c>
      <c r="J289" t="s">
        <v>361</v>
      </c>
      <c r="K289">
        <v>4.0273690256751003E-3</v>
      </c>
      <c r="L289" t="s">
        <v>251</v>
      </c>
      <c r="N289" t="s">
        <v>419</v>
      </c>
      <c r="O289" t="s">
        <v>361</v>
      </c>
      <c r="P289">
        <v>1.566741884158672E-3</v>
      </c>
      <c r="Q289" t="s">
        <v>251</v>
      </c>
      <c r="S289" t="s">
        <v>420</v>
      </c>
      <c r="T289" t="s">
        <v>361</v>
      </c>
      <c r="U289">
        <v>1.63251344586157E-3</v>
      </c>
      <c r="V289" t="s">
        <v>251</v>
      </c>
      <c r="X289">
        <v>2.7397260273972603E-3</v>
      </c>
      <c r="Y289">
        <v>5.3302836685478472E-3</v>
      </c>
      <c r="Z289" t="s">
        <v>361</v>
      </c>
      <c r="AA289" t="s">
        <v>25</v>
      </c>
      <c r="AC289" t="s">
        <v>22</v>
      </c>
      <c r="AD289" t="s">
        <v>361</v>
      </c>
      <c r="AE289">
        <v>2.8807545112463323E-3</v>
      </c>
      <c r="AG289" t="s">
        <v>97</v>
      </c>
      <c r="AH289" t="s">
        <v>361</v>
      </c>
      <c r="AI289">
        <v>0.11506212398767879</v>
      </c>
    </row>
    <row r="290" spans="5:35" x14ac:dyDescent="0.45">
      <c r="E290" t="s">
        <v>1445</v>
      </c>
      <c r="G290" t="s">
        <v>434</v>
      </c>
      <c r="I290" t="s">
        <v>249</v>
      </c>
      <c r="J290" t="s">
        <v>362</v>
      </c>
      <c r="K290">
        <v>3.5094276443878958E-3</v>
      </c>
      <c r="L290" t="s">
        <v>251</v>
      </c>
      <c r="N290" t="s">
        <v>419</v>
      </c>
      <c r="O290" t="s">
        <v>362</v>
      </c>
      <c r="P290">
        <v>1.5786553314274792E-2</v>
      </c>
      <c r="Q290" t="s">
        <v>251</v>
      </c>
      <c r="S290" t="s">
        <v>420</v>
      </c>
      <c r="T290" t="s">
        <v>362</v>
      </c>
      <c r="U290">
        <v>1.1874208734315281E-2</v>
      </c>
      <c r="V290" t="s">
        <v>251</v>
      </c>
      <c r="X290">
        <v>1.643835616438356E-2</v>
      </c>
      <c r="Y290">
        <v>1.4479278025010568E-2</v>
      </c>
      <c r="Z290" t="s">
        <v>362</v>
      </c>
      <c r="AA290" t="s">
        <v>25</v>
      </c>
      <c r="AC290" t="s">
        <v>22</v>
      </c>
      <c r="AD290" t="s">
        <v>362</v>
      </c>
      <c r="AE290">
        <v>1.7915416820535487E-2</v>
      </c>
      <c r="AG290" t="s">
        <v>97</v>
      </c>
      <c r="AH290" t="s">
        <v>362</v>
      </c>
      <c r="AI290">
        <v>0.15652421443333853</v>
      </c>
    </row>
    <row r="291" spans="5:35" x14ac:dyDescent="0.45">
      <c r="E291" t="s">
        <v>1446</v>
      </c>
      <c r="G291" t="s">
        <v>434</v>
      </c>
      <c r="I291" t="s">
        <v>249</v>
      </c>
      <c r="J291" t="s">
        <v>1936</v>
      </c>
      <c r="K291">
        <v>0</v>
      </c>
      <c r="L291" t="s">
        <v>251</v>
      </c>
      <c r="N291" t="s">
        <v>419</v>
      </c>
      <c r="O291" t="s">
        <v>1936</v>
      </c>
      <c r="P291">
        <v>9.6844181028371882E-5</v>
      </c>
      <c r="Q291" t="s">
        <v>251</v>
      </c>
      <c r="S291" t="s">
        <v>420</v>
      </c>
      <c r="T291" t="s">
        <v>1936</v>
      </c>
      <c r="U291">
        <v>6.2313799934846076E-5</v>
      </c>
      <c r="V291" t="s">
        <v>251</v>
      </c>
      <c r="X291">
        <v>1.1415525114155251E-4</v>
      </c>
      <c r="Y291">
        <v>2.1546544680075254E-5</v>
      </c>
      <c r="Z291" t="s">
        <v>1936</v>
      </c>
      <c r="AA291" t="s">
        <v>25</v>
      </c>
      <c r="AC291" t="s">
        <v>22</v>
      </c>
      <c r="AD291" t="s">
        <v>1936</v>
      </c>
      <c r="AE291">
        <v>1.2400603186993634E-4</v>
      </c>
      <c r="AG291" t="s">
        <v>97</v>
      </c>
      <c r="AH291" t="s">
        <v>1936</v>
      </c>
      <c r="AI291">
        <v>0</v>
      </c>
    </row>
    <row r="292" spans="5:35" x14ac:dyDescent="0.45">
      <c r="E292" t="s">
        <v>1447</v>
      </c>
      <c r="G292" t="s">
        <v>434</v>
      </c>
      <c r="I292" t="s">
        <v>249</v>
      </c>
      <c r="J292" t="s">
        <v>1937</v>
      </c>
      <c r="K292">
        <v>0</v>
      </c>
      <c r="L292" t="s">
        <v>251</v>
      </c>
      <c r="N292" t="s">
        <v>419</v>
      </c>
      <c r="O292" t="s">
        <v>1937</v>
      </c>
      <c r="P292">
        <v>1.043180555861E-4</v>
      </c>
      <c r="Q292" t="s">
        <v>251</v>
      </c>
      <c r="S292" t="s">
        <v>420</v>
      </c>
      <c r="T292" t="s">
        <v>1937</v>
      </c>
      <c r="U292">
        <v>5.3536973273867577E-5</v>
      </c>
      <c r="V292" t="s">
        <v>251</v>
      </c>
      <c r="X292">
        <v>1.1415525114155251E-4</v>
      </c>
      <c r="Y292">
        <v>1.4916838624667481E-5</v>
      </c>
      <c r="Z292" t="s">
        <v>1937</v>
      </c>
      <c r="AA292" t="s">
        <v>25</v>
      </c>
      <c r="AC292" t="s">
        <v>22</v>
      </c>
      <c r="AD292" t="s">
        <v>1937</v>
      </c>
      <c r="AE292">
        <v>1.1999330986184521E-4</v>
      </c>
      <c r="AG292" t="s">
        <v>97</v>
      </c>
      <c r="AH292" t="s">
        <v>1937</v>
      </c>
      <c r="AI292">
        <v>0</v>
      </c>
    </row>
    <row r="293" spans="5:35" x14ac:dyDescent="0.45">
      <c r="E293" t="s">
        <v>1448</v>
      </c>
      <c r="G293" t="s">
        <v>434</v>
      </c>
      <c r="I293" t="s">
        <v>249</v>
      </c>
      <c r="J293" t="s">
        <v>1938</v>
      </c>
      <c r="K293">
        <v>0</v>
      </c>
      <c r="L293" t="s">
        <v>251</v>
      </c>
      <c r="N293" t="s">
        <v>419</v>
      </c>
      <c r="O293" t="s">
        <v>1938</v>
      </c>
      <c r="P293">
        <v>1.098554654394E-4</v>
      </c>
      <c r="Q293" t="s">
        <v>251</v>
      </c>
      <c r="S293" t="s">
        <v>420</v>
      </c>
      <c r="T293" t="s">
        <v>1938</v>
      </c>
      <c r="U293">
        <v>4.8616995067648366E-5</v>
      </c>
      <c r="V293" t="s">
        <v>251</v>
      </c>
      <c r="X293">
        <v>1.1415525114155251E-4</v>
      </c>
      <c r="Y293">
        <v>1.6574265138519424E-5</v>
      </c>
      <c r="Z293" t="s">
        <v>1938</v>
      </c>
      <c r="AA293" t="s">
        <v>25</v>
      </c>
      <c r="AC293" t="s">
        <v>22</v>
      </c>
      <c r="AD293" t="s">
        <v>1938</v>
      </c>
      <c r="AE293">
        <v>1.1625110843856922E-4</v>
      </c>
      <c r="AG293" t="s">
        <v>97</v>
      </c>
      <c r="AH293" t="s">
        <v>1938</v>
      </c>
      <c r="AI293">
        <v>0</v>
      </c>
    </row>
    <row r="294" spans="5:35" x14ac:dyDescent="0.45">
      <c r="E294" t="s">
        <v>1449</v>
      </c>
      <c r="G294" t="s">
        <v>434</v>
      </c>
      <c r="I294" t="s">
        <v>249</v>
      </c>
      <c r="J294" t="s">
        <v>1939</v>
      </c>
      <c r="K294">
        <v>0</v>
      </c>
      <c r="L294" t="s">
        <v>251</v>
      </c>
      <c r="N294" t="s">
        <v>419</v>
      </c>
      <c r="O294" t="s">
        <v>1939</v>
      </c>
      <c r="P294">
        <v>8.985841175695097E-5</v>
      </c>
      <c r="Q294" t="s">
        <v>251</v>
      </c>
      <c r="S294" t="s">
        <v>420</v>
      </c>
      <c r="T294" t="s">
        <v>1939</v>
      </c>
      <c r="U294">
        <v>4.1480794866788047E-5</v>
      </c>
      <c r="V294" t="s">
        <v>251</v>
      </c>
      <c r="X294">
        <v>1.1415525114155251E-4</v>
      </c>
      <c r="Y294">
        <v>1.4585353321897093E-5</v>
      </c>
      <c r="Z294" t="s">
        <v>1939</v>
      </c>
      <c r="AA294" t="s">
        <v>25</v>
      </c>
      <c r="AC294" t="s">
        <v>22</v>
      </c>
      <c r="AD294" t="s">
        <v>1939</v>
      </c>
      <c r="AE294">
        <v>1.0691174540836862E-4</v>
      </c>
      <c r="AG294" t="s">
        <v>97</v>
      </c>
      <c r="AH294" t="s">
        <v>1939</v>
      </c>
      <c r="AI294">
        <v>0</v>
      </c>
    </row>
    <row r="295" spans="5:35" x14ac:dyDescent="0.45">
      <c r="E295" t="s">
        <v>1450</v>
      </c>
      <c r="G295" t="s">
        <v>434</v>
      </c>
      <c r="I295" t="s">
        <v>249</v>
      </c>
      <c r="J295" t="s">
        <v>1940</v>
      </c>
      <c r="K295">
        <v>0</v>
      </c>
      <c r="L295" t="s">
        <v>251</v>
      </c>
      <c r="N295" t="s">
        <v>419</v>
      </c>
      <c r="O295" t="s">
        <v>1940</v>
      </c>
      <c r="P295">
        <v>8.8780092079639107E-5</v>
      </c>
      <c r="Q295" t="s">
        <v>251</v>
      </c>
      <c r="S295" t="s">
        <v>420</v>
      </c>
      <c r="T295" t="s">
        <v>1940</v>
      </c>
      <c r="U295">
        <v>3.6770669844652533E-5</v>
      </c>
      <c r="V295" t="s">
        <v>251</v>
      </c>
      <c r="X295">
        <v>1.1415525114155251E-4</v>
      </c>
      <c r="Y295">
        <v>2.1215059377304864E-5</v>
      </c>
      <c r="Z295" t="s">
        <v>1940</v>
      </c>
      <c r="AA295" t="s">
        <v>25</v>
      </c>
      <c r="AC295" t="s">
        <v>22</v>
      </c>
      <c r="AD295" t="s">
        <v>1940</v>
      </c>
      <c r="AE295">
        <v>1.0216456268036028E-4</v>
      </c>
      <c r="AG295" t="s">
        <v>97</v>
      </c>
      <c r="AH295" t="s">
        <v>1940</v>
      </c>
      <c r="AI295">
        <v>0</v>
      </c>
    </row>
    <row r="296" spans="5:35" x14ac:dyDescent="0.45">
      <c r="E296" t="s">
        <v>1451</v>
      </c>
      <c r="G296" t="s">
        <v>434</v>
      </c>
      <c r="I296" t="s">
        <v>249</v>
      </c>
      <c r="J296" t="s">
        <v>1941</v>
      </c>
      <c r="K296">
        <v>0</v>
      </c>
      <c r="L296" t="s">
        <v>251</v>
      </c>
      <c r="N296" t="s">
        <v>419</v>
      </c>
      <c r="O296" t="s">
        <v>1941</v>
      </c>
      <c r="P296">
        <v>8.9722372813314568E-5</v>
      </c>
      <c r="Q296" t="s">
        <v>251</v>
      </c>
      <c r="S296" t="s">
        <v>420</v>
      </c>
      <c r="T296" t="s">
        <v>1941</v>
      </c>
      <c r="U296">
        <v>2.7444716432114555E-5</v>
      </c>
      <c r="V296" t="s">
        <v>251</v>
      </c>
      <c r="X296">
        <v>1.1415525114155251E-4</v>
      </c>
      <c r="Y296">
        <v>5.7678442682047593E-5</v>
      </c>
      <c r="Z296" t="s">
        <v>1941</v>
      </c>
      <c r="AA296" t="s">
        <v>25</v>
      </c>
      <c r="AC296" t="s">
        <v>22</v>
      </c>
      <c r="AD296" t="s">
        <v>1941</v>
      </c>
      <c r="AE296">
        <v>9.1791939073247497E-5</v>
      </c>
      <c r="AG296" t="s">
        <v>97</v>
      </c>
      <c r="AH296" t="s">
        <v>1941</v>
      </c>
      <c r="AI296">
        <v>0</v>
      </c>
    </row>
    <row r="297" spans="5:35" x14ac:dyDescent="0.45">
      <c r="E297" t="s">
        <v>1452</v>
      </c>
      <c r="G297" t="s">
        <v>434</v>
      </c>
      <c r="I297" t="s">
        <v>249</v>
      </c>
      <c r="J297" t="s">
        <v>1942</v>
      </c>
      <c r="K297">
        <v>8.4663399126350255E-5</v>
      </c>
      <c r="L297" t="s">
        <v>251</v>
      </c>
      <c r="N297" t="s">
        <v>419</v>
      </c>
      <c r="O297" t="s">
        <v>1942</v>
      </c>
      <c r="P297">
        <v>8.3236674071569206E-5</v>
      </c>
      <c r="Q297" t="s">
        <v>251</v>
      </c>
      <c r="S297" t="s">
        <v>420</v>
      </c>
      <c r="T297" t="s">
        <v>1942</v>
      </c>
      <c r="U297">
        <v>2.529598325784679E-5</v>
      </c>
      <c r="V297" t="s">
        <v>251</v>
      </c>
      <c r="X297">
        <v>1.1415525114155251E-4</v>
      </c>
      <c r="Y297">
        <v>1.6905750441289813E-4</v>
      </c>
      <c r="Z297" t="s">
        <v>1942</v>
      </c>
      <c r="AA297" t="s">
        <v>25</v>
      </c>
      <c r="AC297" t="s">
        <v>22</v>
      </c>
      <c r="AD297" t="s">
        <v>1942</v>
      </c>
      <c r="AE297">
        <v>8.9152896050573614E-5</v>
      </c>
      <c r="AG297" t="s">
        <v>97</v>
      </c>
      <c r="AH297" t="s">
        <v>1942</v>
      </c>
      <c r="AI297">
        <v>0</v>
      </c>
    </row>
    <row r="298" spans="5:35" x14ac:dyDescent="0.45">
      <c r="E298" t="s">
        <v>1453</v>
      </c>
      <c r="G298" t="s">
        <v>434</v>
      </c>
      <c r="I298" t="s">
        <v>249</v>
      </c>
      <c r="J298" t="s">
        <v>1943</v>
      </c>
      <c r="K298">
        <v>1.517040092044E-4</v>
      </c>
      <c r="L298" t="s">
        <v>251</v>
      </c>
      <c r="N298" t="s">
        <v>419</v>
      </c>
      <c r="O298" t="s">
        <v>1943</v>
      </c>
      <c r="P298">
        <v>6.4857734410474213E-5</v>
      </c>
      <c r="Q298" t="s">
        <v>251</v>
      </c>
      <c r="S298" t="s">
        <v>420</v>
      </c>
      <c r="T298" t="s">
        <v>1943</v>
      </c>
      <c r="U298">
        <v>2.3691760699846549E-5</v>
      </c>
      <c r="V298" t="s">
        <v>251</v>
      </c>
      <c r="X298">
        <v>1.1415525114155251E-4</v>
      </c>
      <c r="Y298">
        <v>1.9060404909297337E-4</v>
      </c>
      <c r="Z298" t="s">
        <v>1943</v>
      </c>
      <c r="AA298" t="s">
        <v>25</v>
      </c>
      <c r="AC298" t="s">
        <v>22</v>
      </c>
      <c r="AD298" t="s">
        <v>1943</v>
      </c>
      <c r="AE298">
        <v>8.6280949210795597E-5</v>
      </c>
      <c r="AG298" t="s">
        <v>97</v>
      </c>
      <c r="AH298" t="s">
        <v>1943</v>
      </c>
      <c r="AI298">
        <v>0</v>
      </c>
    </row>
    <row r="299" spans="5:35" x14ac:dyDescent="0.45">
      <c r="E299" t="s">
        <v>1454</v>
      </c>
      <c r="G299" t="s">
        <v>434</v>
      </c>
      <c r="I299" t="s">
        <v>249</v>
      </c>
      <c r="J299" t="s">
        <v>1944</v>
      </c>
      <c r="K299">
        <v>2.054889541421E-4</v>
      </c>
      <c r="L299" t="s">
        <v>251</v>
      </c>
      <c r="N299" t="s">
        <v>419</v>
      </c>
      <c r="O299" t="s">
        <v>1944</v>
      </c>
      <c r="P299">
        <v>6.5480975660760153E-5</v>
      </c>
      <c r="Q299" t="s">
        <v>251</v>
      </c>
      <c r="S299" t="s">
        <v>420</v>
      </c>
      <c r="T299" t="s">
        <v>1944</v>
      </c>
      <c r="U299">
        <v>2.1658472031991905E-5</v>
      </c>
      <c r="V299" t="s">
        <v>251</v>
      </c>
      <c r="X299">
        <v>1.1415525114155251E-4</v>
      </c>
      <c r="Y299">
        <v>1.4585353321897094E-4</v>
      </c>
      <c r="Z299" t="s">
        <v>1944</v>
      </c>
      <c r="AA299" t="s">
        <v>25</v>
      </c>
      <c r="AC299" t="s">
        <v>22</v>
      </c>
      <c r="AD299" t="s">
        <v>1944</v>
      </c>
      <c r="AE299">
        <v>8.5676413071553902E-5</v>
      </c>
      <c r="AG299" t="s">
        <v>97</v>
      </c>
      <c r="AH299" t="s">
        <v>1944</v>
      </c>
      <c r="AI299">
        <v>0</v>
      </c>
    </row>
    <row r="300" spans="5:35" x14ac:dyDescent="0.45">
      <c r="E300" t="s">
        <v>1455</v>
      </c>
      <c r="G300" t="s">
        <v>434</v>
      </c>
      <c r="I300" t="s">
        <v>249</v>
      </c>
      <c r="J300" t="s">
        <v>1945</v>
      </c>
      <c r="K300">
        <v>2.4044242436990001E-4</v>
      </c>
      <c r="L300" t="s">
        <v>251</v>
      </c>
      <c r="N300" t="s">
        <v>419</v>
      </c>
      <c r="O300" t="s">
        <v>1945</v>
      </c>
      <c r="P300">
        <v>6.5906363126610367E-5</v>
      </c>
      <c r="Q300" t="s">
        <v>251</v>
      </c>
      <c r="S300" t="s">
        <v>420</v>
      </c>
      <c r="T300" t="s">
        <v>1945</v>
      </c>
      <c r="U300">
        <v>2.2870049065463467E-5</v>
      </c>
      <c r="V300" t="s">
        <v>251</v>
      </c>
      <c r="X300">
        <v>1.1415525114155251E-4</v>
      </c>
      <c r="Y300">
        <v>1.4452759200788939E-4</v>
      </c>
      <c r="Z300" t="s">
        <v>1945</v>
      </c>
      <c r="AA300" t="s">
        <v>25</v>
      </c>
      <c r="AC300" t="s">
        <v>22</v>
      </c>
      <c r="AD300" t="s">
        <v>1945</v>
      </c>
      <c r="AE300">
        <v>8.6451425200634728E-5</v>
      </c>
      <c r="AG300" t="s">
        <v>97</v>
      </c>
      <c r="AH300" t="s">
        <v>1945</v>
      </c>
      <c r="AI300">
        <v>0</v>
      </c>
    </row>
    <row r="301" spans="5:35" x14ac:dyDescent="0.45">
      <c r="E301" t="s">
        <v>1456</v>
      </c>
      <c r="G301" t="s">
        <v>434</v>
      </c>
      <c r="I301" t="s">
        <v>249</v>
      </c>
      <c r="J301" t="s">
        <v>1946</v>
      </c>
      <c r="K301">
        <v>2.6319640429580001E-4</v>
      </c>
      <c r="L301" t="s">
        <v>251</v>
      </c>
      <c r="N301" t="s">
        <v>419</v>
      </c>
      <c r="O301" t="s">
        <v>1946</v>
      </c>
      <c r="P301">
        <v>6.0950123685433868E-5</v>
      </c>
      <c r="Q301" t="s">
        <v>251</v>
      </c>
      <c r="S301" t="s">
        <v>420</v>
      </c>
      <c r="T301" t="s">
        <v>1946</v>
      </c>
      <c r="U301">
        <v>2.5763469787068029E-5</v>
      </c>
      <c r="V301" t="s">
        <v>251</v>
      </c>
      <c r="X301">
        <v>1.1415525114155251E-4</v>
      </c>
      <c r="Y301">
        <v>1.408812536774151E-4</v>
      </c>
      <c r="Z301" t="s">
        <v>1946</v>
      </c>
      <c r="AA301" t="s">
        <v>25</v>
      </c>
      <c r="AC301" t="s">
        <v>22</v>
      </c>
      <c r="AD301" t="s">
        <v>1946</v>
      </c>
      <c r="AE301">
        <v>9.359514285309509E-5</v>
      </c>
      <c r="AG301" t="s">
        <v>97</v>
      </c>
      <c r="AH301" t="s">
        <v>1946</v>
      </c>
      <c r="AI301">
        <v>0</v>
      </c>
    </row>
    <row r="302" spans="5:35" x14ac:dyDescent="0.45">
      <c r="E302" t="s">
        <v>1457</v>
      </c>
      <c r="G302" t="s">
        <v>434</v>
      </c>
      <c r="I302" t="s">
        <v>249</v>
      </c>
      <c r="J302" t="s">
        <v>1947</v>
      </c>
      <c r="K302">
        <v>2.5687314947540001E-4</v>
      </c>
      <c r="L302" t="s">
        <v>251</v>
      </c>
      <c r="N302" t="s">
        <v>419</v>
      </c>
      <c r="O302" t="s">
        <v>1947</v>
      </c>
      <c r="P302">
        <v>5.8927167879740125E-5</v>
      </c>
      <c r="Q302" t="s">
        <v>251</v>
      </c>
      <c r="S302" t="s">
        <v>420</v>
      </c>
      <c r="T302" t="s">
        <v>1947</v>
      </c>
      <c r="U302">
        <v>2.6743937493982684E-5</v>
      </c>
      <c r="V302" t="s">
        <v>251</v>
      </c>
      <c r="X302">
        <v>1.1415525114155251E-4</v>
      </c>
      <c r="Y302">
        <v>1.4054976837464471E-4</v>
      </c>
      <c r="Z302" t="s">
        <v>1947</v>
      </c>
      <c r="AA302" t="s">
        <v>25</v>
      </c>
      <c r="AC302" t="s">
        <v>22</v>
      </c>
      <c r="AD302" t="s">
        <v>1947</v>
      </c>
      <c r="AE302">
        <v>1.0202209917711444E-4</v>
      </c>
      <c r="AG302" t="s">
        <v>97</v>
      </c>
      <c r="AH302" t="s">
        <v>1947</v>
      </c>
      <c r="AI302">
        <v>0</v>
      </c>
    </row>
    <row r="303" spans="5:35" x14ac:dyDescent="0.45">
      <c r="E303" t="s">
        <v>1458</v>
      </c>
      <c r="G303" t="s">
        <v>434</v>
      </c>
      <c r="I303" t="s">
        <v>249</v>
      </c>
      <c r="J303" t="s">
        <v>1948</v>
      </c>
      <c r="K303">
        <v>2.5951206440700002E-4</v>
      </c>
      <c r="L303" t="s">
        <v>251</v>
      </c>
      <c r="N303" t="s">
        <v>419</v>
      </c>
      <c r="O303" t="s">
        <v>1948</v>
      </c>
      <c r="P303">
        <v>6.0085207238797302E-5</v>
      </c>
      <c r="Q303" t="s">
        <v>251</v>
      </c>
      <c r="S303" t="s">
        <v>420</v>
      </c>
      <c r="T303" t="s">
        <v>1948</v>
      </c>
      <c r="U303">
        <v>3.0695352056639439E-5</v>
      </c>
      <c r="V303" t="s">
        <v>251</v>
      </c>
      <c r="X303">
        <v>1.1415525114155251E-4</v>
      </c>
      <c r="Y303">
        <v>1.4253868019126702E-4</v>
      </c>
      <c r="Z303" t="s">
        <v>1948</v>
      </c>
      <c r="AA303" t="s">
        <v>25</v>
      </c>
      <c r="AC303" t="s">
        <v>22</v>
      </c>
      <c r="AD303" t="s">
        <v>1948</v>
      </c>
      <c r="AE303">
        <v>1.1000165607240106E-4</v>
      </c>
      <c r="AG303" t="s">
        <v>97</v>
      </c>
      <c r="AH303" t="s">
        <v>1948</v>
      </c>
      <c r="AI303">
        <v>0</v>
      </c>
    </row>
    <row r="304" spans="5:35" x14ac:dyDescent="0.45">
      <c r="E304" t="s">
        <v>1459</v>
      </c>
      <c r="G304" t="s">
        <v>434</v>
      </c>
      <c r="I304" t="s">
        <v>249</v>
      </c>
      <c r="J304" t="s">
        <v>1949</v>
      </c>
      <c r="K304">
        <v>2.6204777980039999E-4</v>
      </c>
      <c r="L304" t="s">
        <v>251</v>
      </c>
      <c r="N304" t="s">
        <v>419</v>
      </c>
      <c r="O304" t="s">
        <v>1949</v>
      </c>
      <c r="P304">
        <v>6.275432394552358E-5</v>
      </c>
      <c r="Q304" t="s">
        <v>251</v>
      </c>
      <c r="S304" t="s">
        <v>420</v>
      </c>
      <c r="T304" t="s">
        <v>1949</v>
      </c>
      <c r="U304">
        <v>3.6290498219355318E-5</v>
      </c>
      <c r="V304" t="s">
        <v>251</v>
      </c>
      <c r="X304">
        <v>1.1415525114155251E-4</v>
      </c>
      <c r="Y304">
        <v>1.4883690094390442E-4</v>
      </c>
      <c r="Z304" t="s">
        <v>1949</v>
      </c>
      <c r="AA304" t="s">
        <v>25</v>
      </c>
      <c r="AC304" t="s">
        <v>22</v>
      </c>
      <c r="AD304" t="s">
        <v>1949</v>
      </c>
      <c r="AE304">
        <v>1.1734706362833307E-4</v>
      </c>
      <c r="AG304" t="s">
        <v>97</v>
      </c>
      <c r="AH304" t="s">
        <v>1949</v>
      </c>
      <c r="AI304">
        <v>0</v>
      </c>
    </row>
    <row r="305" spans="5:35" x14ac:dyDescent="0.45">
      <c r="E305" t="s">
        <v>1460</v>
      </c>
      <c r="G305" t="s">
        <v>434</v>
      </c>
      <c r="I305" t="s">
        <v>249</v>
      </c>
      <c r="J305" t="s">
        <v>1950</v>
      </c>
      <c r="K305">
        <v>2.4903533487750001E-4</v>
      </c>
      <c r="L305" t="s">
        <v>251</v>
      </c>
      <c r="N305" t="s">
        <v>419</v>
      </c>
      <c r="O305" t="s">
        <v>1950</v>
      </c>
      <c r="P305">
        <v>6.5568125342781571E-5</v>
      </c>
      <c r="Q305" t="s">
        <v>251</v>
      </c>
      <c r="S305" t="s">
        <v>420</v>
      </c>
      <c r="T305" t="s">
        <v>1950</v>
      </c>
      <c r="U305">
        <v>4.4709917087668368E-5</v>
      </c>
      <c r="V305" t="s">
        <v>251</v>
      </c>
      <c r="X305">
        <v>1.1415525114155251E-4</v>
      </c>
      <c r="Y305">
        <v>1.5049432745775637E-4</v>
      </c>
      <c r="Z305" t="s">
        <v>1950</v>
      </c>
      <c r="AA305" t="s">
        <v>25</v>
      </c>
      <c r="AC305" t="s">
        <v>22</v>
      </c>
      <c r="AD305" t="s">
        <v>1950</v>
      </c>
      <c r="AE305">
        <v>1.1992207811022229E-4</v>
      </c>
      <c r="AG305" t="s">
        <v>97</v>
      </c>
      <c r="AH305" t="s">
        <v>1950</v>
      </c>
      <c r="AI305">
        <v>0</v>
      </c>
    </row>
    <row r="306" spans="5:35" x14ac:dyDescent="0.45">
      <c r="E306" t="s">
        <v>1461</v>
      </c>
      <c r="G306" t="s">
        <v>434</v>
      </c>
      <c r="I306" t="s">
        <v>249</v>
      </c>
      <c r="J306" t="s">
        <v>1951</v>
      </c>
      <c r="K306">
        <v>2.3531253590640001E-4</v>
      </c>
      <c r="L306" t="s">
        <v>251</v>
      </c>
      <c r="N306" t="s">
        <v>419</v>
      </c>
      <c r="O306" t="s">
        <v>1951</v>
      </c>
      <c r="P306">
        <v>6.1485882289779645E-5</v>
      </c>
      <c r="Q306" t="s">
        <v>251</v>
      </c>
      <c r="S306" t="s">
        <v>420</v>
      </c>
      <c r="T306" t="s">
        <v>1951</v>
      </c>
      <c r="U306">
        <v>5.3608665013446097E-5</v>
      </c>
      <c r="V306" t="s">
        <v>251</v>
      </c>
      <c r="X306">
        <v>1.1415525114155251E-4</v>
      </c>
      <c r="Y306">
        <v>1.7237235744060203E-4</v>
      </c>
      <c r="Z306" t="s">
        <v>1951</v>
      </c>
      <c r="AA306" t="s">
        <v>25</v>
      </c>
      <c r="AC306" t="s">
        <v>22</v>
      </c>
      <c r="AD306" t="s">
        <v>1951</v>
      </c>
      <c r="AE306">
        <v>1.208622305174102E-4</v>
      </c>
      <c r="AG306" t="s">
        <v>97</v>
      </c>
      <c r="AH306" t="s">
        <v>1951</v>
      </c>
      <c r="AI306">
        <v>0</v>
      </c>
    </row>
    <row r="307" spans="5:35" x14ac:dyDescent="0.45">
      <c r="E307" t="s">
        <v>1462</v>
      </c>
      <c r="G307" t="s">
        <v>434</v>
      </c>
      <c r="I307" t="s">
        <v>249</v>
      </c>
      <c r="J307" t="s">
        <v>1952</v>
      </c>
      <c r="K307">
        <v>2.04028980694E-4</v>
      </c>
      <c r="L307" t="s">
        <v>251</v>
      </c>
      <c r="N307" t="s">
        <v>419</v>
      </c>
      <c r="O307" t="s">
        <v>1952</v>
      </c>
      <c r="P307">
        <v>6.3447565314843715E-5</v>
      </c>
      <c r="Q307" t="s">
        <v>251</v>
      </c>
      <c r="S307" t="s">
        <v>420</v>
      </c>
      <c r="T307" t="s">
        <v>1952</v>
      </c>
      <c r="U307">
        <v>4.5373451661933583E-5</v>
      </c>
      <c r="V307" t="s">
        <v>251</v>
      </c>
      <c r="X307">
        <v>1.1415525114155251E-4</v>
      </c>
      <c r="Y307">
        <v>2.2209515285616027E-4</v>
      </c>
      <c r="Z307" t="s">
        <v>1952</v>
      </c>
      <c r="AA307" t="s">
        <v>25</v>
      </c>
      <c r="AC307" t="s">
        <v>22</v>
      </c>
      <c r="AD307" t="s">
        <v>1952</v>
      </c>
      <c r="AE307">
        <v>1.2113648610043775E-4</v>
      </c>
      <c r="AG307" t="s">
        <v>97</v>
      </c>
      <c r="AH307" t="s">
        <v>1952</v>
      </c>
      <c r="AI307">
        <v>0</v>
      </c>
    </row>
    <row r="308" spans="5:35" x14ac:dyDescent="0.45">
      <c r="E308" t="s">
        <v>1463</v>
      </c>
      <c r="G308" t="s">
        <v>434</v>
      </c>
      <c r="I308" t="s">
        <v>249</v>
      </c>
      <c r="J308" t="s">
        <v>1953</v>
      </c>
      <c r="K308">
        <v>1.676830174515E-4</v>
      </c>
      <c r="L308" t="s">
        <v>251</v>
      </c>
      <c r="N308" t="s">
        <v>419</v>
      </c>
      <c r="O308" t="s">
        <v>1953</v>
      </c>
      <c r="P308">
        <v>6.1857048599531762E-5</v>
      </c>
      <c r="Q308" t="s">
        <v>251</v>
      </c>
      <c r="S308" t="s">
        <v>420</v>
      </c>
      <c r="T308" t="s">
        <v>1953</v>
      </c>
      <c r="U308">
        <v>4.8675952066818968E-5</v>
      </c>
      <c r="V308" t="s">
        <v>251</v>
      </c>
      <c r="X308">
        <v>1.1415525114155251E-4</v>
      </c>
      <c r="Y308">
        <v>2.2209515285616027E-4</v>
      </c>
      <c r="Z308" t="s">
        <v>1953</v>
      </c>
      <c r="AA308" t="s">
        <v>25</v>
      </c>
      <c r="AC308" t="s">
        <v>22</v>
      </c>
      <c r="AD308" t="s">
        <v>1953</v>
      </c>
      <c r="AE308">
        <v>1.2305200661224511E-4</v>
      </c>
      <c r="AG308" t="s">
        <v>97</v>
      </c>
      <c r="AH308" t="s">
        <v>1953</v>
      </c>
      <c r="AI308">
        <v>0</v>
      </c>
    </row>
    <row r="309" spans="5:35" x14ac:dyDescent="0.45">
      <c r="E309" t="s">
        <v>1464</v>
      </c>
      <c r="G309" t="s">
        <v>434</v>
      </c>
      <c r="I309" t="s">
        <v>249</v>
      </c>
      <c r="J309" t="s">
        <v>1954</v>
      </c>
      <c r="K309">
        <v>1.143283145296E-4</v>
      </c>
      <c r="L309" t="s">
        <v>251</v>
      </c>
      <c r="N309" t="s">
        <v>419</v>
      </c>
      <c r="O309" t="s">
        <v>1954</v>
      </c>
      <c r="P309">
        <v>5.7093473390805909E-5</v>
      </c>
      <c r="Q309" t="s">
        <v>251</v>
      </c>
      <c r="S309" t="s">
        <v>420</v>
      </c>
      <c r="T309" t="s">
        <v>1954</v>
      </c>
      <c r="U309">
        <v>5.4026074954219203E-5</v>
      </c>
      <c r="V309" t="s">
        <v>251</v>
      </c>
      <c r="X309">
        <v>1.1415525114155251E-4</v>
      </c>
      <c r="Y309">
        <v>1.7237235744060203E-4</v>
      </c>
      <c r="Z309" t="s">
        <v>1954</v>
      </c>
      <c r="AA309" t="s">
        <v>25</v>
      </c>
      <c r="AC309" t="s">
        <v>22</v>
      </c>
      <c r="AD309" t="s">
        <v>1954</v>
      </c>
      <c r="AE309">
        <v>1.2441981631475713E-4</v>
      </c>
      <c r="AG309" t="s">
        <v>97</v>
      </c>
      <c r="AH309" t="s">
        <v>1954</v>
      </c>
      <c r="AI309">
        <v>0</v>
      </c>
    </row>
    <row r="310" spans="5:35" x14ac:dyDescent="0.45">
      <c r="E310" t="s">
        <v>1465</v>
      </c>
      <c r="G310" t="s">
        <v>434</v>
      </c>
      <c r="I310" t="s">
        <v>249</v>
      </c>
      <c r="J310" t="s">
        <v>1955</v>
      </c>
      <c r="K310">
        <v>5.3061522974531891E-5</v>
      </c>
      <c r="L310" t="s">
        <v>251</v>
      </c>
      <c r="N310" t="s">
        <v>419</v>
      </c>
      <c r="O310" t="s">
        <v>1955</v>
      </c>
      <c r="P310">
        <v>5.9426150163752143E-5</v>
      </c>
      <c r="Q310" t="s">
        <v>251</v>
      </c>
      <c r="S310" t="s">
        <v>420</v>
      </c>
      <c r="T310" t="s">
        <v>1955</v>
      </c>
      <c r="U310">
        <v>5.598030663320366E-5</v>
      </c>
      <c r="V310" t="s">
        <v>251</v>
      </c>
      <c r="X310">
        <v>1.1415525114155251E-4</v>
      </c>
      <c r="Y310">
        <v>1.5579809230208258E-4</v>
      </c>
      <c r="Z310" t="s">
        <v>1955</v>
      </c>
      <c r="AA310" t="s">
        <v>25</v>
      </c>
      <c r="AC310" t="s">
        <v>22</v>
      </c>
      <c r="AD310" t="s">
        <v>1955</v>
      </c>
      <c r="AE310">
        <v>1.2511479276785715E-4</v>
      </c>
      <c r="AG310" t="s">
        <v>97</v>
      </c>
      <c r="AH310" t="s">
        <v>1955</v>
      </c>
      <c r="AI310">
        <v>0</v>
      </c>
    </row>
    <row r="311" spans="5:35" x14ac:dyDescent="0.45">
      <c r="E311" t="s">
        <v>1466</v>
      </c>
      <c r="G311" t="s">
        <v>434</v>
      </c>
      <c r="I311" t="s">
        <v>249</v>
      </c>
      <c r="J311" t="s">
        <v>1956</v>
      </c>
      <c r="K311">
        <v>0</v>
      </c>
      <c r="L311" t="s">
        <v>251</v>
      </c>
      <c r="N311" t="s">
        <v>419</v>
      </c>
      <c r="O311" t="s">
        <v>1956</v>
      </c>
      <c r="P311">
        <v>6.1341337456991124E-5</v>
      </c>
      <c r="Q311" t="s">
        <v>251</v>
      </c>
      <c r="S311" t="s">
        <v>420</v>
      </c>
      <c r="T311" t="s">
        <v>1956</v>
      </c>
      <c r="U311">
        <v>5.7940544237125199E-5</v>
      </c>
      <c r="V311" t="s">
        <v>251</v>
      </c>
      <c r="X311">
        <v>1.1415525114155251E-4</v>
      </c>
      <c r="Y311">
        <v>1.093901499142282E-4</v>
      </c>
      <c r="Z311" t="s">
        <v>1956</v>
      </c>
      <c r="AA311" t="s">
        <v>25</v>
      </c>
      <c r="AC311" t="s">
        <v>22</v>
      </c>
      <c r="AD311" t="s">
        <v>1956</v>
      </c>
      <c r="AE311">
        <v>1.2681074874189047E-4</v>
      </c>
      <c r="AG311" t="s">
        <v>97</v>
      </c>
      <c r="AH311" t="s">
        <v>1956</v>
      </c>
      <c r="AI311">
        <v>0</v>
      </c>
    </row>
    <row r="312" spans="5:35" x14ac:dyDescent="0.45">
      <c r="E312" t="s">
        <v>1467</v>
      </c>
      <c r="G312" t="s">
        <v>434</v>
      </c>
      <c r="I312" t="s">
        <v>249</v>
      </c>
      <c r="J312" t="s">
        <v>1957</v>
      </c>
      <c r="K312">
        <v>0</v>
      </c>
      <c r="L312" t="s">
        <v>251</v>
      </c>
      <c r="N312" t="s">
        <v>419</v>
      </c>
      <c r="O312" t="s">
        <v>1957</v>
      </c>
      <c r="P312">
        <v>6.2487632511878133E-5</v>
      </c>
      <c r="Q312" t="s">
        <v>251</v>
      </c>
      <c r="S312" t="s">
        <v>420</v>
      </c>
      <c r="T312" t="s">
        <v>1957</v>
      </c>
      <c r="U312">
        <v>5.8176821709925722E-5</v>
      </c>
      <c r="V312" t="s">
        <v>251</v>
      </c>
      <c r="X312">
        <v>1.1415525114155251E-4</v>
      </c>
      <c r="Y312">
        <v>7.9556472664893237E-5</v>
      </c>
      <c r="Z312" t="s">
        <v>1957</v>
      </c>
      <c r="AA312" t="s">
        <v>25</v>
      </c>
      <c r="AC312" t="s">
        <v>22</v>
      </c>
      <c r="AD312" t="s">
        <v>1957</v>
      </c>
      <c r="AE312">
        <v>1.2721092712179451E-4</v>
      </c>
      <c r="AG312" t="s">
        <v>97</v>
      </c>
      <c r="AH312" t="s">
        <v>1957</v>
      </c>
      <c r="AI312">
        <v>0</v>
      </c>
    </row>
    <row r="313" spans="5:35" x14ac:dyDescent="0.45">
      <c r="E313" t="s">
        <v>1468</v>
      </c>
      <c r="G313" t="s">
        <v>434</v>
      </c>
      <c r="I313" t="s">
        <v>249</v>
      </c>
      <c r="J313" t="s">
        <v>1958</v>
      </c>
      <c r="K313">
        <v>0</v>
      </c>
      <c r="L313" t="s">
        <v>251</v>
      </c>
      <c r="N313" t="s">
        <v>419</v>
      </c>
      <c r="O313" t="s">
        <v>1958</v>
      </c>
      <c r="P313">
        <v>6.0655860501585536E-5</v>
      </c>
      <c r="Q313" t="s">
        <v>251</v>
      </c>
      <c r="S313" t="s">
        <v>420</v>
      </c>
      <c r="T313" t="s">
        <v>1958</v>
      </c>
      <c r="U313">
        <v>5.8970473612124927E-5</v>
      </c>
      <c r="V313" t="s">
        <v>251</v>
      </c>
      <c r="X313">
        <v>1.1415525114155251E-4</v>
      </c>
      <c r="Y313">
        <v>5.6352501470966035E-5</v>
      </c>
      <c r="Z313" t="s">
        <v>1958</v>
      </c>
      <c r="AA313" t="s">
        <v>25</v>
      </c>
      <c r="AC313" t="s">
        <v>22</v>
      </c>
      <c r="AD313" t="s">
        <v>1958</v>
      </c>
      <c r="AE313">
        <v>1.2705805898067119E-4</v>
      </c>
      <c r="AG313" t="s">
        <v>97</v>
      </c>
      <c r="AH313" t="s">
        <v>1958</v>
      </c>
      <c r="AI313">
        <v>0</v>
      </c>
    </row>
    <row r="314" spans="5:35" x14ac:dyDescent="0.45">
      <c r="E314" t="s">
        <v>1469</v>
      </c>
      <c r="G314" t="s">
        <v>434</v>
      </c>
      <c r="I314" t="s">
        <v>249</v>
      </c>
      <c r="J314" t="s">
        <v>1959</v>
      </c>
      <c r="K314">
        <v>0</v>
      </c>
      <c r="L314" t="s">
        <v>251</v>
      </c>
      <c r="N314" t="s">
        <v>419</v>
      </c>
      <c r="O314" t="s">
        <v>1959</v>
      </c>
      <c r="P314">
        <v>5.4658061467258689E-5</v>
      </c>
      <c r="Q314" t="s">
        <v>251</v>
      </c>
      <c r="S314" t="s">
        <v>420</v>
      </c>
      <c r="T314" t="s">
        <v>1959</v>
      </c>
      <c r="U314">
        <v>6.1125210538190352E-5</v>
      </c>
      <c r="V314" t="s">
        <v>251</v>
      </c>
      <c r="X314">
        <v>1.1415525114155251E-4</v>
      </c>
      <c r="Y314">
        <v>2.9833677249334962E-5</v>
      </c>
      <c r="Z314" t="s">
        <v>1959</v>
      </c>
      <c r="AA314" t="s">
        <v>25</v>
      </c>
      <c r="AC314" t="s">
        <v>22</v>
      </c>
      <c r="AD314" t="s">
        <v>1959</v>
      </c>
      <c r="AE314">
        <v>1.2780826005019796E-4</v>
      </c>
      <c r="AG314" t="s">
        <v>97</v>
      </c>
      <c r="AH314" t="s">
        <v>1959</v>
      </c>
      <c r="AI314">
        <v>0</v>
      </c>
    </row>
    <row r="315" spans="5:35" x14ac:dyDescent="0.45">
      <c r="E315" t="s">
        <v>1470</v>
      </c>
      <c r="G315" t="s">
        <v>434</v>
      </c>
      <c r="I315" t="s">
        <v>249</v>
      </c>
      <c r="J315" t="s">
        <v>1960</v>
      </c>
      <c r="K315">
        <v>0</v>
      </c>
      <c r="L315" t="s">
        <v>251</v>
      </c>
      <c r="N315" t="s">
        <v>419</v>
      </c>
      <c r="O315" t="s">
        <v>1960</v>
      </c>
      <c r="P315">
        <v>4.7530693429745936E-5</v>
      </c>
      <c r="Q315" t="s">
        <v>251</v>
      </c>
      <c r="S315" t="s">
        <v>420</v>
      </c>
      <c r="T315" t="s">
        <v>1960</v>
      </c>
      <c r="U315">
        <v>6.2657573485985635E-5</v>
      </c>
      <c r="V315" t="s">
        <v>251</v>
      </c>
      <c r="X315">
        <v>1.1415525114155251E-4</v>
      </c>
      <c r="Y315">
        <v>2.1546544680075254E-5</v>
      </c>
      <c r="Z315" t="s">
        <v>1960</v>
      </c>
      <c r="AA315" t="s">
        <v>25</v>
      </c>
      <c r="AC315" t="s">
        <v>22</v>
      </c>
      <c r="AD315" t="s">
        <v>1960</v>
      </c>
      <c r="AE315">
        <v>1.2516121345992602E-4</v>
      </c>
      <c r="AG315" t="s">
        <v>97</v>
      </c>
      <c r="AH315" t="s">
        <v>1960</v>
      </c>
      <c r="AI315">
        <v>0</v>
      </c>
    </row>
    <row r="316" spans="5:35" x14ac:dyDescent="0.45">
      <c r="E316" t="s">
        <v>1471</v>
      </c>
      <c r="G316" t="s">
        <v>434</v>
      </c>
      <c r="I316" t="s">
        <v>249</v>
      </c>
      <c r="J316" t="s">
        <v>1961</v>
      </c>
      <c r="K316">
        <v>0</v>
      </c>
      <c r="L316" t="s">
        <v>251</v>
      </c>
      <c r="N316" t="s">
        <v>419</v>
      </c>
      <c r="O316" t="s">
        <v>1961</v>
      </c>
      <c r="P316">
        <v>4.4403142135130002E-5</v>
      </c>
      <c r="Q316" t="s">
        <v>251</v>
      </c>
      <c r="S316" t="s">
        <v>420</v>
      </c>
      <c r="T316" t="s">
        <v>1961</v>
      </c>
      <c r="U316">
        <v>6.3859156257081845E-5</v>
      </c>
      <c r="V316" t="s">
        <v>251</v>
      </c>
      <c r="X316">
        <v>1.1415525114155251E-4</v>
      </c>
      <c r="Y316">
        <v>1.4916838624667481E-5</v>
      </c>
      <c r="Z316" t="s">
        <v>1961</v>
      </c>
      <c r="AA316" t="s">
        <v>25</v>
      </c>
      <c r="AC316" t="s">
        <v>22</v>
      </c>
      <c r="AD316" t="s">
        <v>1961</v>
      </c>
      <c r="AE316">
        <v>1.2251816865345311E-4</v>
      </c>
      <c r="AG316" t="s">
        <v>97</v>
      </c>
      <c r="AH316" t="s">
        <v>1961</v>
      </c>
      <c r="AI316">
        <v>0</v>
      </c>
    </row>
    <row r="317" spans="5:35" x14ac:dyDescent="0.45">
      <c r="E317" t="s">
        <v>1472</v>
      </c>
      <c r="G317" t="s">
        <v>434</v>
      </c>
      <c r="I317" t="s">
        <v>249</v>
      </c>
      <c r="J317" t="s">
        <v>1962</v>
      </c>
      <c r="K317">
        <v>0</v>
      </c>
      <c r="L317" t="s">
        <v>251</v>
      </c>
      <c r="N317" t="s">
        <v>419</v>
      </c>
      <c r="O317" t="s">
        <v>1962</v>
      </c>
      <c r="P317">
        <v>4.2501665598155454E-5</v>
      </c>
      <c r="Q317" t="s">
        <v>251</v>
      </c>
      <c r="S317" t="s">
        <v>420</v>
      </c>
      <c r="T317" t="s">
        <v>1962</v>
      </c>
      <c r="U317">
        <v>6.3302121325041822E-5</v>
      </c>
      <c r="V317" t="s">
        <v>251</v>
      </c>
      <c r="X317">
        <v>1.1415525114155251E-4</v>
      </c>
      <c r="Y317">
        <v>1.6574265138519424E-5</v>
      </c>
      <c r="Z317" t="s">
        <v>1962</v>
      </c>
      <c r="AA317" t="s">
        <v>25</v>
      </c>
      <c r="AC317" t="s">
        <v>22</v>
      </c>
      <c r="AD317" t="s">
        <v>1962</v>
      </c>
      <c r="AE317">
        <v>1.1938957407936329E-4</v>
      </c>
      <c r="AG317" t="s">
        <v>97</v>
      </c>
      <c r="AH317" t="s">
        <v>1962</v>
      </c>
      <c r="AI317">
        <v>0</v>
      </c>
    </row>
    <row r="318" spans="5:35" x14ac:dyDescent="0.45">
      <c r="E318" t="s">
        <v>1473</v>
      </c>
      <c r="G318" t="s">
        <v>434</v>
      </c>
      <c r="I318" t="s">
        <v>249</v>
      </c>
      <c r="J318" t="s">
        <v>1963</v>
      </c>
      <c r="K318">
        <v>0</v>
      </c>
      <c r="L318" t="s">
        <v>251</v>
      </c>
      <c r="N318" t="s">
        <v>419</v>
      </c>
      <c r="O318" t="s">
        <v>1963</v>
      </c>
      <c r="P318">
        <v>3.6330609432421465E-5</v>
      </c>
      <c r="Q318" t="s">
        <v>251</v>
      </c>
      <c r="S318" t="s">
        <v>420</v>
      </c>
      <c r="T318" t="s">
        <v>1963</v>
      </c>
      <c r="U318">
        <v>6.7596035308725217E-5</v>
      </c>
      <c r="V318" t="s">
        <v>251</v>
      </c>
      <c r="X318">
        <v>1.1415525114155251E-4</v>
      </c>
      <c r="Y318">
        <v>1.4585353321897093E-5</v>
      </c>
      <c r="Z318" t="s">
        <v>1963</v>
      </c>
      <c r="AA318" t="s">
        <v>25</v>
      </c>
      <c r="AC318" t="s">
        <v>22</v>
      </c>
      <c r="AD318" t="s">
        <v>1963</v>
      </c>
      <c r="AE318">
        <v>1.075424265350974E-4</v>
      </c>
      <c r="AG318" t="s">
        <v>97</v>
      </c>
      <c r="AH318" t="s">
        <v>1963</v>
      </c>
      <c r="AI318">
        <v>0</v>
      </c>
    </row>
    <row r="319" spans="5:35" x14ac:dyDescent="0.45">
      <c r="E319" t="s">
        <v>1474</v>
      </c>
      <c r="G319" t="s">
        <v>434</v>
      </c>
      <c r="I319" t="s">
        <v>249</v>
      </c>
      <c r="J319" t="s">
        <v>1964</v>
      </c>
      <c r="K319">
        <v>0</v>
      </c>
      <c r="L319" t="s">
        <v>251</v>
      </c>
      <c r="N319" t="s">
        <v>419</v>
      </c>
      <c r="O319" t="s">
        <v>1964</v>
      </c>
      <c r="P319">
        <v>3.00880645721313E-5</v>
      </c>
      <c r="Q319" t="s">
        <v>251</v>
      </c>
      <c r="S319" t="s">
        <v>420</v>
      </c>
      <c r="T319" t="s">
        <v>1964</v>
      </c>
      <c r="U319">
        <v>7.2031622754989763E-5</v>
      </c>
      <c r="V319" t="s">
        <v>251</v>
      </c>
      <c r="X319">
        <v>1.1415525114155251E-4</v>
      </c>
      <c r="Y319">
        <v>2.1215059377304864E-5</v>
      </c>
      <c r="Z319" t="s">
        <v>1964</v>
      </c>
      <c r="AA319" t="s">
        <v>25</v>
      </c>
      <c r="AC319" t="s">
        <v>22</v>
      </c>
      <c r="AD319" t="s">
        <v>1964</v>
      </c>
      <c r="AE319">
        <v>1.01820942844816E-4</v>
      </c>
      <c r="AG319" t="s">
        <v>97</v>
      </c>
      <c r="AH319" t="s">
        <v>1964</v>
      </c>
      <c r="AI319">
        <v>0</v>
      </c>
    </row>
    <row r="320" spans="5:35" x14ac:dyDescent="0.45">
      <c r="E320" t="s">
        <v>1475</v>
      </c>
      <c r="G320" t="s">
        <v>434</v>
      </c>
      <c r="I320" t="s">
        <v>249</v>
      </c>
      <c r="J320" t="s">
        <v>1965</v>
      </c>
      <c r="K320">
        <v>0</v>
      </c>
      <c r="L320" t="s">
        <v>251</v>
      </c>
      <c r="N320" t="s">
        <v>419</v>
      </c>
      <c r="O320" t="s">
        <v>1965</v>
      </c>
      <c r="P320">
        <v>2.8374993224248723E-5</v>
      </c>
      <c r="Q320" t="s">
        <v>251</v>
      </c>
      <c r="S320" t="s">
        <v>420</v>
      </c>
      <c r="T320" t="s">
        <v>1965</v>
      </c>
      <c r="U320">
        <v>7.3043391515712793E-5</v>
      </c>
      <c r="V320" t="s">
        <v>251</v>
      </c>
      <c r="X320">
        <v>1.1415525114155251E-4</v>
      </c>
      <c r="Y320">
        <v>5.7678442682047593E-5</v>
      </c>
      <c r="Z320" t="s">
        <v>1965</v>
      </c>
      <c r="AA320" t="s">
        <v>25</v>
      </c>
      <c r="AC320" t="s">
        <v>22</v>
      </c>
      <c r="AD320" t="s">
        <v>1965</v>
      </c>
      <c r="AE320">
        <v>9.3599944993653949E-5</v>
      </c>
      <c r="AG320" t="s">
        <v>97</v>
      </c>
      <c r="AH320" t="s">
        <v>1965</v>
      </c>
      <c r="AI320">
        <v>0</v>
      </c>
    </row>
    <row r="321" spans="5:35" x14ac:dyDescent="0.45">
      <c r="E321" t="s">
        <v>1476</v>
      </c>
      <c r="G321" t="s">
        <v>434</v>
      </c>
      <c r="I321" t="s">
        <v>249</v>
      </c>
      <c r="J321" t="s">
        <v>1966</v>
      </c>
      <c r="K321">
        <v>1.0163058916E-4</v>
      </c>
      <c r="L321" t="s">
        <v>251</v>
      </c>
      <c r="N321" t="s">
        <v>419</v>
      </c>
      <c r="O321" t="s">
        <v>1966</v>
      </c>
      <c r="P321">
        <v>2.6900237700224795E-5</v>
      </c>
      <c r="Q321" t="s">
        <v>251</v>
      </c>
      <c r="S321" t="s">
        <v>420</v>
      </c>
      <c r="T321" t="s">
        <v>1966</v>
      </c>
      <c r="U321">
        <v>8.2609731122972841E-5</v>
      </c>
      <c r="V321" t="s">
        <v>251</v>
      </c>
      <c r="X321">
        <v>1.1415525114155251E-4</v>
      </c>
      <c r="Y321">
        <v>1.6905750441289813E-4</v>
      </c>
      <c r="Z321" t="s">
        <v>1966</v>
      </c>
      <c r="AA321" t="s">
        <v>25</v>
      </c>
      <c r="AC321" t="s">
        <v>22</v>
      </c>
      <c r="AD321" t="s">
        <v>1966</v>
      </c>
      <c r="AE321">
        <v>9.0029553488150076E-5</v>
      </c>
      <c r="AG321" t="s">
        <v>97</v>
      </c>
      <c r="AH321" t="s">
        <v>1966</v>
      </c>
      <c r="AI321">
        <v>0</v>
      </c>
    </row>
    <row r="322" spans="5:35" x14ac:dyDescent="0.45">
      <c r="E322" t="s">
        <v>1477</v>
      </c>
      <c r="G322" t="s">
        <v>434</v>
      </c>
      <c r="I322" t="s">
        <v>249</v>
      </c>
      <c r="J322" t="s">
        <v>1967</v>
      </c>
      <c r="K322">
        <v>1.78202247974E-4</v>
      </c>
      <c r="L322" t="s">
        <v>251</v>
      </c>
      <c r="N322" t="s">
        <v>419</v>
      </c>
      <c r="O322" t="s">
        <v>1967</v>
      </c>
      <c r="P322">
        <v>2.1593875177996312E-5</v>
      </c>
      <c r="Q322" t="s">
        <v>251</v>
      </c>
      <c r="S322" t="s">
        <v>420</v>
      </c>
      <c r="T322" t="s">
        <v>1967</v>
      </c>
      <c r="U322">
        <v>8.0339877733849827E-5</v>
      </c>
      <c r="V322" t="s">
        <v>251</v>
      </c>
      <c r="X322">
        <v>1.1415525114155251E-4</v>
      </c>
      <c r="Y322">
        <v>1.9060404909297337E-4</v>
      </c>
      <c r="Z322" t="s">
        <v>1967</v>
      </c>
      <c r="AA322" t="s">
        <v>25</v>
      </c>
      <c r="AC322" t="s">
        <v>22</v>
      </c>
      <c r="AD322" t="s">
        <v>1967</v>
      </c>
      <c r="AE322">
        <v>8.6302558843310428E-5</v>
      </c>
      <c r="AG322" t="s">
        <v>97</v>
      </c>
      <c r="AH322" t="s">
        <v>1967</v>
      </c>
      <c r="AI322">
        <v>0</v>
      </c>
    </row>
    <row r="323" spans="5:35" x14ac:dyDescent="0.45">
      <c r="E323" t="s">
        <v>1478</v>
      </c>
      <c r="G323" t="s">
        <v>434</v>
      </c>
      <c r="I323" t="s">
        <v>249</v>
      </c>
      <c r="J323" t="s">
        <v>1968</v>
      </c>
      <c r="K323">
        <v>2.306447633629E-4</v>
      </c>
      <c r="L323" t="s">
        <v>251</v>
      </c>
      <c r="N323" t="s">
        <v>419</v>
      </c>
      <c r="O323" t="s">
        <v>1968</v>
      </c>
      <c r="P323">
        <v>1.9505314617011324E-5</v>
      </c>
      <c r="Q323" t="s">
        <v>251</v>
      </c>
      <c r="S323" t="s">
        <v>420</v>
      </c>
      <c r="T323" t="s">
        <v>1968</v>
      </c>
      <c r="U323">
        <v>7.9697476511616345E-5</v>
      </c>
      <c r="V323" t="s">
        <v>251</v>
      </c>
      <c r="X323">
        <v>1.1415525114155251E-4</v>
      </c>
      <c r="Y323">
        <v>1.4585353321897094E-4</v>
      </c>
      <c r="Z323" t="s">
        <v>1968</v>
      </c>
      <c r="AA323" t="s">
        <v>25</v>
      </c>
      <c r="AC323" t="s">
        <v>22</v>
      </c>
      <c r="AD323" t="s">
        <v>1968</v>
      </c>
      <c r="AE323">
        <v>8.5782326949435163E-5</v>
      </c>
      <c r="AG323" t="s">
        <v>97</v>
      </c>
      <c r="AH323" t="s">
        <v>1968</v>
      </c>
      <c r="AI323">
        <v>0</v>
      </c>
    </row>
    <row r="324" spans="5:35" x14ac:dyDescent="0.45">
      <c r="E324" t="s">
        <v>1479</v>
      </c>
      <c r="G324" t="s">
        <v>434</v>
      </c>
      <c r="I324" t="s">
        <v>249</v>
      </c>
      <c r="J324" t="s">
        <v>1969</v>
      </c>
      <c r="K324">
        <v>2.642752124771E-4</v>
      </c>
      <c r="L324" t="s">
        <v>251</v>
      </c>
      <c r="N324" t="s">
        <v>419</v>
      </c>
      <c r="O324" t="s">
        <v>1969</v>
      </c>
      <c r="P324">
        <v>1.9327218548947616E-5</v>
      </c>
      <c r="Q324" t="s">
        <v>251</v>
      </c>
      <c r="S324" t="s">
        <v>420</v>
      </c>
      <c r="T324" t="s">
        <v>1969</v>
      </c>
      <c r="U324">
        <v>7.9713124192277231E-5</v>
      </c>
      <c r="V324" t="s">
        <v>251</v>
      </c>
      <c r="X324">
        <v>1.1415525114155251E-4</v>
      </c>
      <c r="Y324">
        <v>1.4452759200788939E-4</v>
      </c>
      <c r="Z324" t="s">
        <v>1969</v>
      </c>
      <c r="AA324" t="s">
        <v>25</v>
      </c>
      <c r="AC324" t="s">
        <v>22</v>
      </c>
      <c r="AD324" t="s">
        <v>1969</v>
      </c>
      <c r="AE324">
        <v>8.6938042110598049E-5</v>
      </c>
      <c r="AG324" t="s">
        <v>97</v>
      </c>
      <c r="AH324" t="s">
        <v>1969</v>
      </c>
      <c r="AI324">
        <v>0</v>
      </c>
    </row>
    <row r="325" spans="5:35" x14ac:dyDescent="0.45">
      <c r="E325" t="s">
        <v>1480</v>
      </c>
      <c r="G325" t="s">
        <v>434</v>
      </c>
      <c r="I325" t="s">
        <v>249</v>
      </c>
      <c r="J325" t="s">
        <v>1970</v>
      </c>
      <c r="K325">
        <v>2.8214638786300001E-4</v>
      </c>
      <c r="L325" t="s">
        <v>251</v>
      </c>
      <c r="N325" t="s">
        <v>419</v>
      </c>
      <c r="O325" t="s">
        <v>1970</v>
      </c>
      <c r="P325">
        <v>1.9042828962580842E-5</v>
      </c>
      <c r="Q325" t="s">
        <v>251</v>
      </c>
      <c r="S325" t="s">
        <v>420</v>
      </c>
      <c r="T325" t="s">
        <v>1970</v>
      </c>
      <c r="U325">
        <v>7.3184376222044074E-5</v>
      </c>
      <c r="V325" t="s">
        <v>251</v>
      </c>
      <c r="X325">
        <v>1.1415525114155251E-4</v>
      </c>
      <c r="Y325">
        <v>1.408812536774151E-4</v>
      </c>
      <c r="Z325" t="s">
        <v>1970</v>
      </c>
      <c r="AA325" t="s">
        <v>25</v>
      </c>
      <c r="AC325" t="s">
        <v>22</v>
      </c>
      <c r="AD325" t="s">
        <v>1970</v>
      </c>
      <c r="AE325">
        <v>9.4400835324635245E-5</v>
      </c>
      <c r="AG325" t="s">
        <v>97</v>
      </c>
      <c r="AH325" t="s">
        <v>1970</v>
      </c>
      <c r="AI325">
        <v>0</v>
      </c>
    </row>
    <row r="326" spans="5:35" x14ac:dyDescent="0.45">
      <c r="E326" t="s">
        <v>1481</v>
      </c>
      <c r="G326" t="s">
        <v>434</v>
      </c>
      <c r="I326" t="s">
        <v>249</v>
      </c>
      <c r="J326" t="s">
        <v>1971</v>
      </c>
      <c r="K326">
        <v>2.8336255016959998E-4</v>
      </c>
      <c r="L326" t="s">
        <v>251</v>
      </c>
      <c r="N326" t="s">
        <v>419</v>
      </c>
      <c r="O326" t="s">
        <v>1971</v>
      </c>
      <c r="P326">
        <v>1.8412483094829825E-5</v>
      </c>
      <c r="Q326" t="s">
        <v>251</v>
      </c>
      <c r="S326" t="s">
        <v>420</v>
      </c>
      <c r="T326" t="s">
        <v>1971</v>
      </c>
      <c r="U326">
        <v>6.8983954233984771E-5</v>
      </c>
      <c r="V326" t="s">
        <v>251</v>
      </c>
      <c r="X326">
        <v>1.1415525114155251E-4</v>
      </c>
      <c r="Y326">
        <v>1.4054976837464471E-4</v>
      </c>
      <c r="Z326" t="s">
        <v>1971</v>
      </c>
      <c r="AA326" t="s">
        <v>25</v>
      </c>
      <c r="AC326" t="s">
        <v>22</v>
      </c>
      <c r="AD326" t="s">
        <v>1971</v>
      </c>
      <c r="AE326">
        <v>1.0129510845362209E-4</v>
      </c>
      <c r="AG326" t="s">
        <v>97</v>
      </c>
      <c r="AH326" t="s">
        <v>1971</v>
      </c>
      <c r="AI326">
        <v>0</v>
      </c>
    </row>
    <row r="327" spans="5:35" x14ac:dyDescent="0.45">
      <c r="E327" t="s">
        <v>1482</v>
      </c>
      <c r="G327" t="s">
        <v>434</v>
      </c>
      <c r="I327" t="s">
        <v>249</v>
      </c>
      <c r="J327" t="s">
        <v>1972</v>
      </c>
      <c r="K327">
        <v>2.7345386071989997E-4</v>
      </c>
      <c r="L327" t="s">
        <v>251</v>
      </c>
      <c r="N327" t="s">
        <v>419</v>
      </c>
      <c r="O327" t="s">
        <v>1972</v>
      </c>
      <c r="P327">
        <v>1.8325757378152451E-5</v>
      </c>
      <c r="Q327" t="s">
        <v>251</v>
      </c>
      <c r="S327" t="s">
        <v>420</v>
      </c>
      <c r="T327" t="s">
        <v>1972</v>
      </c>
      <c r="U327">
        <v>6.9707158432464524E-5</v>
      </c>
      <c r="V327" t="s">
        <v>251</v>
      </c>
      <c r="X327">
        <v>1.1415525114155251E-4</v>
      </c>
      <c r="Y327">
        <v>1.4253868019126702E-4</v>
      </c>
      <c r="Z327" t="s">
        <v>1972</v>
      </c>
      <c r="AA327" t="s">
        <v>25</v>
      </c>
      <c r="AC327" t="s">
        <v>22</v>
      </c>
      <c r="AD327" t="s">
        <v>1972</v>
      </c>
      <c r="AE327">
        <v>1.0952704451383486E-4</v>
      </c>
      <c r="AG327" t="s">
        <v>97</v>
      </c>
      <c r="AH327" t="s">
        <v>1972</v>
      </c>
      <c r="AI327">
        <v>0</v>
      </c>
    </row>
    <row r="328" spans="5:35" x14ac:dyDescent="0.45">
      <c r="E328" t="s">
        <v>1483</v>
      </c>
      <c r="G328" t="s">
        <v>434</v>
      </c>
      <c r="I328" t="s">
        <v>249</v>
      </c>
      <c r="J328" t="s">
        <v>1973</v>
      </c>
      <c r="K328">
        <v>2.716332764567E-4</v>
      </c>
      <c r="L328" t="s">
        <v>251</v>
      </c>
      <c r="N328" t="s">
        <v>419</v>
      </c>
      <c r="O328" t="s">
        <v>1973</v>
      </c>
      <c r="P328">
        <v>2.0095914808845321E-5</v>
      </c>
      <c r="Q328" t="s">
        <v>251</v>
      </c>
      <c r="S328" t="s">
        <v>420</v>
      </c>
      <c r="T328" t="s">
        <v>1973</v>
      </c>
      <c r="U328">
        <v>6.9546774729013677E-5</v>
      </c>
      <c r="V328" t="s">
        <v>251</v>
      </c>
      <c r="X328">
        <v>1.1415525114155251E-4</v>
      </c>
      <c r="Y328">
        <v>1.4883690094390442E-4</v>
      </c>
      <c r="Z328" t="s">
        <v>1973</v>
      </c>
      <c r="AA328" t="s">
        <v>25</v>
      </c>
      <c r="AC328" t="s">
        <v>22</v>
      </c>
      <c r="AD328" t="s">
        <v>1973</v>
      </c>
      <c r="AE328">
        <v>1.1657151792807902E-4</v>
      </c>
      <c r="AG328" t="s">
        <v>97</v>
      </c>
      <c r="AH328" t="s">
        <v>1973</v>
      </c>
      <c r="AI328">
        <v>0</v>
      </c>
    </row>
    <row r="329" spans="5:35" x14ac:dyDescent="0.45">
      <c r="E329" t="s">
        <v>1484</v>
      </c>
      <c r="G329" t="s">
        <v>434</v>
      </c>
      <c r="I329" t="s">
        <v>249</v>
      </c>
      <c r="J329" t="s">
        <v>1974</v>
      </c>
      <c r="K329">
        <v>2.6530794360449998E-4</v>
      </c>
      <c r="L329" t="s">
        <v>251</v>
      </c>
      <c r="N329" t="s">
        <v>419</v>
      </c>
      <c r="O329" t="s">
        <v>1974</v>
      </c>
      <c r="P329">
        <v>2.4287912544274571E-5</v>
      </c>
      <c r="Q329" t="s">
        <v>251</v>
      </c>
      <c r="S329" t="s">
        <v>420</v>
      </c>
      <c r="T329" t="s">
        <v>1974</v>
      </c>
      <c r="U329">
        <v>6.5788009716721488E-5</v>
      </c>
      <c r="V329" t="s">
        <v>251</v>
      </c>
      <c r="X329">
        <v>1.1415525114155251E-4</v>
      </c>
      <c r="Y329">
        <v>1.5049432745775637E-4</v>
      </c>
      <c r="Z329" t="s">
        <v>1974</v>
      </c>
      <c r="AA329" t="s">
        <v>25</v>
      </c>
      <c r="AC329" t="s">
        <v>22</v>
      </c>
      <c r="AD329" t="s">
        <v>1974</v>
      </c>
      <c r="AE329">
        <v>1.2004559983681933E-4</v>
      </c>
      <c r="AG329" t="s">
        <v>97</v>
      </c>
      <c r="AH329" t="s">
        <v>1974</v>
      </c>
      <c r="AI329">
        <v>0</v>
      </c>
    </row>
    <row r="330" spans="5:35" x14ac:dyDescent="0.45">
      <c r="E330" t="s">
        <v>1485</v>
      </c>
      <c r="G330" t="s">
        <v>434</v>
      </c>
      <c r="I330" t="s">
        <v>249</v>
      </c>
      <c r="J330" t="s">
        <v>1975</v>
      </c>
      <c r="K330">
        <v>2.5320417896460001E-4</v>
      </c>
      <c r="L330" t="s">
        <v>251</v>
      </c>
      <c r="N330" t="s">
        <v>419</v>
      </c>
      <c r="O330" t="s">
        <v>1975</v>
      </c>
      <c r="P330">
        <v>3.5482996832812241E-5</v>
      </c>
      <c r="Q330" t="s">
        <v>251</v>
      </c>
      <c r="S330" t="s">
        <v>420</v>
      </c>
      <c r="T330" t="s">
        <v>1975</v>
      </c>
      <c r="U330">
        <v>6.5555776646565261E-5</v>
      </c>
      <c r="V330" t="s">
        <v>251</v>
      </c>
      <c r="X330">
        <v>1.1415525114155251E-4</v>
      </c>
      <c r="Y330">
        <v>1.7237235744060203E-4</v>
      </c>
      <c r="Z330" t="s">
        <v>1975</v>
      </c>
      <c r="AA330" t="s">
        <v>25</v>
      </c>
      <c r="AC330" t="s">
        <v>22</v>
      </c>
      <c r="AD330" t="s">
        <v>1975</v>
      </c>
      <c r="AE330">
        <v>1.2129629066681276E-4</v>
      </c>
      <c r="AG330" t="s">
        <v>97</v>
      </c>
      <c r="AH330" t="s">
        <v>1975</v>
      </c>
      <c r="AI330">
        <v>0</v>
      </c>
    </row>
    <row r="331" spans="5:35" x14ac:dyDescent="0.45">
      <c r="E331" t="s">
        <v>1486</v>
      </c>
      <c r="G331" t="s">
        <v>434</v>
      </c>
      <c r="I331" t="s">
        <v>249</v>
      </c>
      <c r="J331" t="s">
        <v>1976</v>
      </c>
      <c r="K331">
        <v>2.2520982027939999E-4</v>
      </c>
      <c r="L331" t="s">
        <v>251</v>
      </c>
      <c r="N331" t="s">
        <v>419</v>
      </c>
      <c r="O331" t="s">
        <v>1976</v>
      </c>
      <c r="P331">
        <v>5.002533516388367E-5</v>
      </c>
      <c r="Q331" t="s">
        <v>251</v>
      </c>
      <c r="S331" t="s">
        <v>420</v>
      </c>
      <c r="T331" t="s">
        <v>1976</v>
      </c>
      <c r="U331">
        <v>6.1393603932287616E-5</v>
      </c>
      <c r="V331" t="s">
        <v>251</v>
      </c>
      <c r="X331">
        <v>1.1415525114155251E-4</v>
      </c>
      <c r="Y331">
        <v>2.2209515285616027E-4</v>
      </c>
      <c r="Z331" t="s">
        <v>1976</v>
      </c>
      <c r="AA331" t="s">
        <v>25</v>
      </c>
      <c r="AC331" t="s">
        <v>22</v>
      </c>
      <c r="AD331" t="s">
        <v>1976</v>
      </c>
      <c r="AE331">
        <v>1.222986041156791E-4</v>
      </c>
      <c r="AG331" t="s">
        <v>97</v>
      </c>
      <c r="AH331" t="s">
        <v>1976</v>
      </c>
      <c r="AI331">
        <v>0</v>
      </c>
    </row>
    <row r="332" spans="5:35" x14ac:dyDescent="0.45">
      <c r="E332" t="s">
        <v>1487</v>
      </c>
      <c r="G332" t="s">
        <v>434</v>
      </c>
      <c r="I332" t="s">
        <v>249</v>
      </c>
      <c r="J332" t="s">
        <v>1977</v>
      </c>
      <c r="K332">
        <v>1.9090504298230001E-4</v>
      </c>
      <c r="L332" t="s">
        <v>251</v>
      </c>
      <c r="N332" t="s">
        <v>419</v>
      </c>
      <c r="O332" t="s">
        <v>1977</v>
      </c>
      <c r="P332">
        <v>5.3188627028668645E-5</v>
      </c>
      <c r="Q332" t="s">
        <v>251</v>
      </c>
      <c r="S332" t="s">
        <v>420</v>
      </c>
      <c r="T332" t="s">
        <v>1977</v>
      </c>
      <c r="U332">
        <v>6.6264298011856608E-5</v>
      </c>
      <c r="V332" t="s">
        <v>251</v>
      </c>
      <c r="X332">
        <v>1.1415525114155251E-4</v>
      </c>
      <c r="Y332">
        <v>2.2209515285616027E-4</v>
      </c>
      <c r="Z332" t="s">
        <v>1977</v>
      </c>
      <c r="AA332" t="s">
        <v>25</v>
      </c>
      <c r="AC332" t="s">
        <v>22</v>
      </c>
      <c r="AD332" t="s">
        <v>1977</v>
      </c>
      <c r="AE332">
        <v>1.2358931278366294E-4</v>
      </c>
      <c r="AG332" t="s">
        <v>97</v>
      </c>
      <c r="AH332" t="s">
        <v>1977</v>
      </c>
      <c r="AI332">
        <v>0</v>
      </c>
    </row>
    <row r="333" spans="5:35" x14ac:dyDescent="0.45">
      <c r="E333" t="s">
        <v>1488</v>
      </c>
      <c r="G333" t="s">
        <v>434</v>
      </c>
      <c r="I333" t="s">
        <v>249</v>
      </c>
      <c r="J333" t="s">
        <v>1978</v>
      </c>
      <c r="K333">
        <v>1.4000997733059999E-4</v>
      </c>
      <c r="L333" t="s">
        <v>251</v>
      </c>
      <c r="N333" t="s">
        <v>419</v>
      </c>
      <c r="O333" t="s">
        <v>1978</v>
      </c>
      <c r="P333">
        <v>4.860215114314377E-5</v>
      </c>
      <c r="Q333" t="s">
        <v>251</v>
      </c>
      <c r="S333" t="s">
        <v>420</v>
      </c>
      <c r="T333" t="s">
        <v>1978</v>
      </c>
      <c r="U333">
        <v>7.2326748801324737E-5</v>
      </c>
      <c r="V333" t="s">
        <v>251</v>
      </c>
      <c r="X333">
        <v>1.1415525114155251E-4</v>
      </c>
      <c r="Y333">
        <v>1.7237235744060203E-4</v>
      </c>
      <c r="Z333" t="s">
        <v>1978</v>
      </c>
      <c r="AA333" t="s">
        <v>25</v>
      </c>
      <c r="AC333" t="s">
        <v>22</v>
      </c>
      <c r="AD333" t="s">
        <v>1978</v>
      </c>
      <c r="AE333">
        <v>1.2483573504427074E-4</v>
      </c>
      <c r="AG333" t="s">
        <v>97</v>
      </c>
      <c r="AH333" t="s">
        <v>1978</v>
      </c>
      <c r="AI333">
        <v>0</v>
      </c>
    </row>
    <row r="334" spans="5:35" x14ac:dyDescent="0.45">
      <c r="E334" t="s">
        <v>1489</v>
      </c>
      <c r="G334" t="s">
        <v>434</v>
      </c>
      <c r="I334" t="s">
        <v>249</v>
      </c>
      <c r="J334" t="s">
        <v>1979</v>
      </c>
      <c r="K334">
        <v>5.968874178115173E-5</v>
      </c>
      <c r="L334" t="s">
        <v>251</v>
      </c>
      <c r="N334" t="s">
        <v>419</v>
      </c>
      <c r="O334" t="s">
        <v>1979</v>
      </c>
      <c r="P334">
        <v>5.35680885108783E-5</v>
      </c>
      <c r="Q334" t="s">
        <v>251</v>
      </c>
      <c r="S334" t="s">
        <v>420</v>
      </c>
      <c r="T334" t="s">
        <v>1979</v>
      </c>
      <c r="U334">
        <v>7.3195546733357541E-5</v>
      </c>
      <c r="V334" t="s">
        <v>251</v>
      </c>
      <c r="X334">
        <v>1.1415525114155251E-4</v>
      </c>
      <c r="Y334">
        <v>1.5579809230208258E-4</v>
      </c>
      <c r="Z334" t="s">
        <v>1979</v>
      </c>
      <c r="AA334" t="s">
        <v>25</v>
      </c>
      <c r="AC334" t="s">
        <v>22</v>
      </c>
      <c r="AD334" t="s">
        <v>1979</v>
      </c>
      <c r="AE334">
        <v>1.2488028823723338E-4</v>
      </c>
      <c r="AG334" t="s">
        <v>97</v>
      </c>
      <c r="AH334" t="s">
        <v>1979</v>
      </c>
      <c r="AI334">
        <v>0</v>
      </c>
    </row>
    <row r="335" spans="5:35" x14ac:dyDescent="0.45">
      <c r="E335" t="s">
        <v>1490</v>
      </c>
      <c r="G335" t="s">
        <v>434</v>
      </c>
      <c r="I335" t="s">
        <v>249</v>
      </c>
      <c r="J335" t="s">
        <v>1980</v>
      </c>
      <c r="K335">
        <v>0</v>
      </c>
      <c r="L335" t="s">
        <v>251</v>
      </c>
      <c r="N335" t="s">
        <v>419</v>
      </c>
      <c r="O335" t="s">
        <v>1980</v>
      </c>
      <c r="P335">
        <v>6.3019590223727248E-5</v>
      </c>
      <c r="Q335" t="s">
        <v>251</v>
      </c>
      <c r="S335" t="s">
        <v>420</v>
      </c>
      <c r="T335" t="s">
        <v>1980</v>
      </c>
      <c r="U335">
        <v>7.6634576455701788E-5</v>
      </c>
      <c r="V335" t="s">
        <v>251</v>
      </c>
      <c r="X335">
        <v>1.1415525114155251E-4</v>
      </c>
      <c r="Y335">
        <v>1.093901499142282E-4</v>
      </c>
      <c r="Z335" t="s">
        <v>1980</v>
      </c>
      <c r="AA335" t="s">
        <v>25</v>
      </c>
      <c r="AC335" t="s">
        <v>22</v>
      </c>
      <c r="AD335" t="s">
        <v>1980</v>
      </c>
      <c r="AE335">
        <v>1.251788213086418E-4</v>
      </c>
      <c r="AG335" t="s">
        <v>97</v>
      </c>
      <c r="AH335" t="s">
        <v>1980</v>
      </c>
      <c r="AI335">
        <v>0</v>
      </c>
    </row>
    <row r="336" spans="5:35" x14ac:dyDescent="0.45">
      <c r="E336" t="s">
        <v>1491</v>
      </c>
      <c r="G336" t="s">
        <v>434</v>
      </c>
      <c r="I336" t="s">
        <v>249</v>
      </c>
      <c r="J336" t="s">
        <v>1981</v>
      </c>
      <c r="K336">
        <v>0</v>
      </c>
      <c r="L336" t="s">
        <v>251</v>
      </c>
      <c r="N336" t="s">
        <v>419</v>
      </c>
      <c r="O336" t="s">
        <v>1981</v>
      </c>
      <c r="P336">
        <v>6.916449380595193E-5</v>
      </c>
      <c r="Q336" t="s">
        <v>251</v>
      </c>
      <c r="S336" t="s">
        <v>420</v>
      </c>
      <c r="T336" t="s">
        <v>1981</v>
      </c>
      <c r="U336">
        <v>7.7530676937012722E-5</v>
      </c>
      <c r="V336" t="s">
        <v>251</v>
      </c>
      <c r="X336">
        <v>1.1415525114155251E-4</v>
      </c>
      <c r="Y336">
        <v>7.9556472664893237E-5</v>
      </c>
      <c r="Z336" t="s">
        <v>1981</v>
      </c>
      <c r="AA336" t="s">
        <v>25</v>
      </c>
      <c r="AC336" t="s">
        <v>22</v>
      </c>
      <c r="AD336" t="s">
        <v>1981</v>
      </c>
      <c r="AE336">
        <v>1.2705352362569894E-4</v>
      </c>
      <c r="AG336" t="s">
        <v>97</v>
      </c>
      <c r="AH336" t="s">
        <v>1981</v>
      </c>
      <c r="AI336">
        <v>0</v>
      </c>
    </row>
    <row r="337" spans="5:35" x14ac:dyDescent="0.45">
      <c r="E337" t="s">
        <v>1492</v>
      </c>
      <c r="G337" t="s">
        <v>434</v>
      </c>
      <c r="I337" t="s">
        <v>249</v>
      </c>
      <c r="J337" t="s">
        <v>1982</v>
      </c>
      <c r="K337">
        <v>0</v>
      </c>
      <c r="L337" t="s">
        <v>251</v>
      </c>
      <c r="N337" t="s">
        <v>419</v>
      </c>
      <c r="O337" t="s">
        <v>1982</v>
      </c>
      <c r="P337">
        <v>7.5039006320154196E-5</v>
      </c>
      <c r="Q337" t="s">
        <v>251</v>
      </c>
      <c r="S337" t="s">
        <v>420</v>
      </c>
      <c r="T337" t="s">
        <v>1982</v>
      </c>
      <c r="U337">
        <v>7.6854672188035139E-5</v>
      </c>
      <c r="V337" t="s">
        <v>251</v>
      </c>
      <c r="X337">
        <v>1.1415525114155251E-4</v>
      </c>
      <c r="Y337">
        <v>5.6352501470966035E-5</v>
      </c>
      <c r="Z337" t="s">
        <v>1982</v>
      </c>
      <c r="AA337" t="s">
        <v>25</v>
      </c>
      <c r="AC337" t="s">
        <v>22</v>
      </c>
      <c r="AD337" t="s">
        <v>1982</v>
      </c>
      <c r="AE337">
        <v>1.2493604642483332E-4</v>
      </c>
      <c r="AG337" t="s">
        <v>97</v>
      </c>
      <c r="AH337" t="s">
        <v>1982</v>
      </c>
      <c r="AI337">
        <v>0</v>
      </c>
    </row>
    <row r="338" spans="5:35" x14ac:dyDescent="0.45">
      <c r="E338" t="s">
        <v>1493</v>
      </c>
      <c r="G338" t="s">
        <v>434</v>
      </c>
      <c r="I338" t="s">
        <v>249</v>
      </c>
      <c r="J338" t="s">
        <v>1983</v>
      </c>
      <c r="K338">
        <v>0</v>
      </c>
      <c r="L338" t="s">
        <v>251</v>
      </c>
      <c r="N338" t="s">
        <v>419</v>
      </c>
      <c r="O338" t="s">
        <v>1983</v>
      </c>
      <c r="P338">
        <v>7.9293681700999159E-5</v>
      </c>
      <c r="Q338" t="s">
        <v>251</v>
      </c>
      <c r="S338" t="s">
        <v>420</v>
      </c>
      <c r="T338" t="s">
        <v>1983</v>
      </c>
      <c r="U338">
        <v>7.2636344542828513E-5</v>
      </c>
      <c r="V338" t="s">
        <v>251</v>
      </c>
      <c r="X338">
        <v>1.1415525114155251E-4</v>
      </c>
      <c r="Y338">
        <v>2.9833677249334962E-5</v>
      </c>
      <c r="Z338" t="s">
        <v>1983</v>
      </c>
      <c r="AA338" t="s">
        <v>25</v>
      </c>
      <c r="AC338" t="s">
        <v>22</v>
      </c>
      <c r="AD338" t="s">
        <v>1983</v>
      </c>
      <c r="AE338">
        <v>1.2584365099045571E-4</v>
      </c>
      <c r="AG338" t="s">
        <v>97</v>
      </c>
      <c r="AH338" t="s">
        <v>1983</v>
      </c>
      <c r="AI338">
        <v>0</v>
      </c>
    </row>
    <row r="339" spans="5:35" x14ac:dyDescent="0.45">
      <c r="E339" t="s">
        <v>1494</v>
      </c>
      <c r="G339" t="s">
        <v>434</v>
      </c>
      <c r="I339" t="s">
        <v>249</v>
      </c>
      <c r="J339" t="s">
        <v>1984</v>
      </c>
      <c r="K339">
        <v>0</v>
      </c>
      <c r="L339" t="s">
        <v>251</v>
      </c>
      <c r="N339" t="s">
        <v>419</v>
      </c>
      <c r="O339" t="s">
        <v>1984</v>
      </c>
      <c r="P339">
        <v>7.9789682146319782E-5</v>
      </c>
      <c r="Q339" t="s">
        <v>251</v>
      </c>
      <c r="S339" t="s">
        <v>420</v>
      </c>
      <c r="T339" t="s">
        <v>1984</v>
      </c>
      <c r="U339">
        <v>6.6637986530826776E-5</v>
      </c>
      <c r="V339" t="s">
        <v>251</v>
      </c>
      <c r="X339">
        <v>1.1415525114155251E-4</v>
      </c>
      <c r="Y339">
        <v>2.1546544680075254E-5</v>
      </c>
      <c r="Z339" t="s">
        <v>1984</v>
      </c>
      <c r="AA339" t="s">
        <v>25</v>
      </c>
      <c r="AC339" t="s">
        <v>22</v>
      </c>
      <c r="AD339" t="s">
        <v>1984</v>
      </c>
      <c r="AE339">
        <v>1.2449051449520685E-4</v>
      </c>
      <c r="AG339" t="s">
        <v>97</v>
      </c>
      <c r="AH339" t="s">
        <v>1984</v>
      </c>
      <c r="AI339">
        <v>0</v>
      </c>
    </row>
    <row r="340" spans="5:35" x14ac:dyDescent="0.45">
      <c r="E340" t="s">
        <v>1495</v>
      </c>
      <c r="G340" t="s">
        <v>434</v>
      </c>
      <c r="I340" t="s">
        <v>249</v>
      </c>
      <c r="J340" t="s">
        <v>1985</v>
      </c>
      <c r="K340">
        <v>0</v>
      </c>
      <c r="L340" t="s">
        <v>251</v>
      </c>
      <c r="N340" t="s">
        <v>419</v>
      </c>
      <c r="O340" t="s">
        <v>1985</v>
      </c>
      <c r="P340">
        <v>7.5490126577616875E-5</v>
      </c>
      <c r="Q340" t="s">
        <v>251</v>
      </c>
      <c r="S340" t="s">
        <v>420</v>
      </c>
      <c r="T340" t="s">
        <v>1985</v>
      </c>
      <c r="U340">
        <v>5.9820572898181572E-5</v>
      </c>
      <c r="V340" t="s">
        <v>251</v>
      </c>
      <c r="X340">
        <v>1.1415525114155251E-4</v>
      </c>
      <c r="Y340">
        <v>1.4916838624667481E-5</v>
      </c>
      <c r="Z340" t="s">
        <v>1985</v>
      </c>
      <c r="AA340" t="s">
        <v>25</v>
      </c>
      <c r="AC340" t="s">
        <v>22</v>
      </c>
      <c r="AD340" t="s">
        <v>1985</v>
      </c>
      <c r="AE340">
        <v>1.2147583736659638E-4</v>
      </c>
      <c r="AG340" t="s">
        <v>97</v>
      </c>
      <c r="AH340" t="s">
        <v>1985</v>
      </c>
      <c r="AI340">
        <v>0</v>
      </c>
    </row>
    <row r="341" spans="5:35" x14ac:dyDescent="0.45">
      <c r="E341" t="s">
        <v>1496</v>
      </c>
      <c r="G341" t="s">
        <v>434</v>
      </c>
      <c r="I341" t="s">
        <v>249</v>
      </c>
      <c r="J341" t="s">
        <v>1986</v>
      </c>
      <c r="K341">
        <v>0</v>
      </c>
      <c r="L341" t="s">
        <v>251</v>
      </c>
      <c r="N341" t="s">
        <v>419</v>
      </c>
      <c r="O341" t="s">
        <v>1986</v>
      </c>
      <c r="P341">
        <v>6.8270661239765073E-5</v>
      </c>
      <c r="Q341" t="s">
        <v>251</v>
      </c>
      <c r="S341" t="s">
        <v>420</v>
      </c>
      <c r="T341" t="s">
        <v>1986</v>
      </c>
      <c r="U341">
        <v>5.5395090156767943E-5</v>
      </c>
      <c r="V341" t="s">
        <v>251</v>
      </c>
      <c r="X341">
        <v>1.1415525114155251E-4</v>
      </c>
      <c r="Y341">
        <v>1.6574265138519424E-5</v>
      </c>
      <c r="Z341" t="s">
        <v>1986</v>
      </c>
      <c r="AA341" t="s">
        <v>25</v>
      </c>
      <c r="AC341" t="s">
        <v>22</v>
      </c>
      <c r="AD341" t="s">
        <v>1986</v>
      </c>
      <c r="AE341">
        <v>1.1866018228559153E-4</v>
      </c>
      <c r="AG341" t="s">
        <v>97</v>
      </c>
      <c r="AH341" t="s">
        <v>1986</v>
      </c>
      <c r="AI341">
        <v>0</v>
      </c>
    </row>
    <row r="342" spans="5:35" x14ac:dyDescent="0.45">
      <c r="E342" t="s">
        <v>1497</v>
      </c>
      <c r="G342" t="s">
        <v>434</v>
      </c>
      <c r="I342" t="s">
        <v>249</v>
      </c>
      <c r="J342" t="s">
        <v>1987</v>
      </c>
      <c r="K342">
        <v>0</v>
      </c>
      <c r="L342" t="s">
        <v>251</v>
      </c>
      <c r="N342" t="s">
        <v>419</v>
      </c>
      <c r="O342" t="s">
        <v>1987</v>
      </c>
      <c r="P342">
        <v>4.1773711699366827E-5</v>
      </c>
      <c r="Q342" t="s">
        <v>251</v>
      </c>
      <c r="S342" t="s">
        <v>420</v>
      </c>
      <c r="T342" t="s">
        <v>1987</v>
      </c>
      <c r="U342">
        <v>4.9463359670830571E-5</v>
      </c>
      <c r="V342" t="s">
        <v>251</v>
      </c>
      <c r="X342">
        <v>1.1415525114155251E-4</v>
      </c>
      <c r="Y342">
        <v>1.4585353321897093E-5</v>
      </c>
      <c r="Z342" t="s">
        <v>1987</v>
      </c>
      <c r="AA342" t="s">
        <v>25</v>
      </c>
      <c r="AC342" t="s">
        <v>22</v>
      </c>
      <c r="AD342" t="s">
        <v>1987</v>
      </c>
      <c r="AE342">
        <v>1.075424265350974E-4</v>
      </c>
      <c r="AG342" t="s">
        <v>97</v>
      </c>
      <c r="AH342" t="s">
        <v>1987</v>
      </c>
      <c r="AI342">
        <v>0</v>
      </c>
    </row>
    <row r="343" spans="5:35" x14ac:dyDescent="0.45">
      <c r="E343" t="s">
        <v>1498</v>
      </c>
      <c r="G343" t="s">
        <v>434</v>
      </c>
      <c r="I343" t="s">
        <v>249</v>
      </c>
      <c r="J343" t="s">
        <v>1988</v>
      </c>
      <c r="K343">
        <v>0</v>
      </c>
      <c r="L343" t="s">
        <v>251</v>
      </c>
      <c r="N343" t="s">
        <v>419</v>
      </c>
      <c r="O343" t="s">
        <v>1988</v>
      </c>
      <c r="P343">
        <v>3.7081838782275468E-5</v>
      </c>
      <c r="Q343" t="s">
        <v>251</v>
      </c>
      <c r="S343" t="s">
        <v>420</v>
      </c>
      <c r="T343" t="s">
        <v>1988</v>
      </c>
      <c r="U343">
        <v>4.2876643285328909E-5</v>
      </c>
      <c r="V343" t="s">
        <v>251</v>
      </c>
      <c r="X343">
        <v>1.1415525114155251E-4</v>
      </c>
      <c r="Y343">
        <v>2.1215059377304864E-5</v>
      </c>
      <c r="Z343" t="s">
        <v>1988</v>
      </c>
      <c r="AA343" t="s">
        <v>25</v>
      </c>
      <c r="AC343" t="s">
        <v>22</v>
      </c>
      <c r="AD343" t="s">
        <v>1988</v>
      </c>
      <c r="AE343">
        <v>1.0175611394727155E-4</v>
      </c>
      <c r="AG343" t="s">
        <v>97</v>
      </c>
      <c r="AH343" t="s">
        <v>1988</v>
      </c>
      <c r="AI343">
        <v>0</v>
      </c>
    </row>
    <row r="344" spans="5:35" x14ac:dyDescent="0.45">
      <c r="E344" t="s">
        <v>1499</v>
      </c>
      <c r="G344" t="s">
        <v>434</v>
      </c>
      <c r="I344" t="s">
        <v>249</v>
      </c>
      <c r="J344" t="s">
        <v>1989</v>
      </c>
      <c r="K344">
        <v>0</v>
      </c>
      <c r="L344" t="s">
        <v>251</v>
      </c>
      <c r="N344" t="s">
        <v>419</v>
      </c>
      <c r="O344" t="s">
        <v>1989</v>
      </c>
      <c r="P344">
        <v>3.9810609079125507E-5</v>
      </c>
      <c r="Q344" t="s">
        <v>251</v>
      </c>
      <c r="S344" t="s">
        <v>420</v>
      </c>
      <c r="T344" t="s">
        <v>1989</v>
      </c>
      <c r="U344">
        <v>2.9299128391702721E-5</v>
      </c>
      <c r="V344" t="s">
        <v>251</v>
      </c>
      <c r="X344">
        <v>1.1415525114155251E-4</v>
      </c>
      <c r="Y344">
        <v>5.7678442682047593E-5</v>
      </c>
      <c r="Z344" t="s">
        <v>1989</v>
      </c>
      <c r="AA344" t="s">
        <v>25</v>
      </c>
      <c r="AC344" t="s">
        <v>22</v>
      </c>
      <c r="AD344" t="s">
        <v>1989</v>
      </c>
      <c r="AE344">
        <v>9.3759482774442366E-5</v>
      </c>
      <c r="AG344" t="s">
        <v>97</v>
      </c>
      <c r="AH344" t="s">
        <v>1989</v>
      </c>
      <c r="AI344">
        <v>0</v>
      </c>
    </row>
    <row r="345" spans="5:35" x14ac:dyDescent="0.45">
      <c r="E345" t="s">
        <v>1500</v>
      </c>
      <c r="G345" t="s">
        <v>434</v>
      </c>
      <c r="I345" t="s">
        <v>249</v>
      </c>
      <c r="J345" t="s">
        <v>1990</v>
      </c>
      <c r="K345">
        <v>1.2383375292529999E-4</v>
      </c>
      <c r="L345" t="s">
        <v>251</v>
      </c>
      <c r="N345" t="s">
        <v>419</v>
      </c>
      <c r="O345" t="s">
        <v>1990</v>
      </c>
      <c r="P345">
        <v>3.8282781954406801E-5</v>
      </c>
      <c r="Q345" t="s">
        <v>251</v>
      </c>
      <c r="S345" t="s">
        <v>420</v>
      </c>
      <c r="T345" t="s">
        <v>1990</v>
      </c>
      <c r="U345">
        <v>2.283373471946896E-5</v>
      </c>
      <c r="V345" t="s">
        <v>251</v>
      </c>
      <c r="X345">
        <v>1.1415525114155251E-4</v>
      </c>
      <c r="Y345">
        <v>1.6905750441289813E-4</v>
      </c>
      <c r="Z345" t="s">
        <v>1990</v>
      </c>
      <c r="AA345" t="s">
        <v>25</v>
      </c>
      <c r="AC345" t="s">
        <v>22</v>
      </c>
      <c r="AD345" t="s">
        <v>1990</v>
      </c>
      <c r="AE345">
        <v>9.0367037255202474E-5</v>
      </c>
      <c r="AG345" t="s">
        <v>97</v>
      </c>
      <c r="AH345" t="s">
        <v>1990</v>
      </c>
      <c r="AI345">
        <v>0</v>
      </c>
    </row>
    <row r="346" spans="5:35" x14ac:dyDescent="0.45">
      <c r="E346" t="s">
        <v>1501</v>
      </c>
      <c r="G346" t="s">
        <v>434</v>
      </c>
      <c r="I346" t="s">
        <v>249</v>
      </c>
      <c r="J346" t="s">
        <v>1991</v>
      </c>
      <c r="K346">
        <v>2.083832661648E-4</v>
      </c>
      <c r="L346" t="s">
        <v>251</v>
      </c>
      <c r="N346" t="s">
        <v>419</v>
      </c>
      <c r="O346" t="s">
        <v>1991</v>
      </c>
      <c r="P346">
        <v>2.895857088688095E-5</v>
      </c>
      <c r="Q346" t="s">
        <v>251</v>
      </c>
      <c r="S346" t="s">
        <v>420</v>
      </c>
      <c r="T346" t="s">
        <v>1991</v>
      </c>
      <c r="U346">
        <v>1.9712590216943889E-5</v>
      </c>
      <c r="V346" t="s">
        <v>251</v>
      </c>
      <c r="X346">
        <v>1.1415525114155251E-4</v>
      </c>
      <c r="Y346">
        <v>1.9060404909297337E-4</v>
      </c>
      <c r="Z346" t="s">
        <v>1991</v>
      </c>
      <c r="AA346" t="s">
        <v>25</v>
      </c>
      <c r="AC346" t="s">
        <v>22</v>
      </c>
      <c r="AD346" t="s">
        <v>1991</v>
      </c>
      <c r="AE346">
        <v>8.6898557843780846E-5</v>
      </c>
      <c r="AG346" t="s">
        <v>97</v>
      </c>
      <c r="AH346" t="s">
        <v>1991</v>
      </c>
      <c r="AI346">
        <v>0</v>
      </c>
    </row>
    <row r="347" spans="5:35" x14ac:dyDescent="0.45">
      <c r="E347" t="s">
        <v>1502</v>
      </c>
      <c r="G347" t="s">
        <v>434</v>
      </c>
      <c r="I347" t="s">
        <v>249</v>
      </c>
      <c r="J347" t="s">
        <v>1992</v>
      </c>
      <c r="K347">
        <v>2.5580270988120001E-4</v>
      </c>
      <c r="L347" t="s">
        <v>251</v>
      </c>
      <c r="N347" t="s">
        <v>419</v>
      </c>
      <c r="O347" t="s">
        <v>1992</v>
      </c>
      <c r="P347">
        <v>2.4922185121193609E-5</v>
      </c>
      <c r="Q347" t="s">
        <v>251</v>
      </c>
      <c r="S347" t="s">
        <v>420</v>
      </c>
      <c r="T347" t="s">
        <v>1992</v>
      </c>
      <c r="U347">
        <v>1.8035982608723743E-5</v>
      </c>
      <c r="V347" t="s">
        <v>251</v>
      </c>
      <c r="X347">
        <v>1.1415525114155251E-4</v>
      </c>
      <c r="Y347">
        <v>1.4585353321897094E-4</v>
      </c>
      <c r="Z347" t="s">
        <v>1992</v>
      </c>
      <c r="AA347" t="s">
        <v>25</v>
      </c>
      <c r="AC347" t="s">
        <v>22</v>
      </c>
      <c r="AD347" t="s">
        <v>1992</v>
      </c>
      <c r="AE347">
        <v>8.6722212571036471E-5</v>
      </c>
      <c r="AG347" t="s">
        <v>97</v>
      </c>
      <c r="AH347" t="s">
        <v>1992</v>
      </c>
      <c r="AI347">
        <v>0</v>
      </c>
    </row>
    <row r="348" spans="5:35" x14ac:dyDescent="0.45">
      <c r="E348" t="s">
        <v>1503</v>
      </c>
      <c r="G348" t="s">
        <v>434</v>
      </c>
      <c r="I348" t="s">
        <v>249</v>
      </c>
      <c r="J348" t="s">
        <v>1993</v>
      </c>
      <c r="K348">
        <v>2.8350012493990001E-4</v>
      </c>
      <c r="L348" t="s">
        <v>251</v>
      </c>
      <c r="N348" t="s">
        <v>419</v>
      </c>
      <c r="O348" t="s">
        <v>1993</v>
      </c>
      <c r="P348">
        <v>2.071559006029797E-5</v>
      </c>
      <c r="Q348" t="s">
        <v>251</v>
      </c>
      <c r="S348" t="s">
        <v>420</v>
      </c>
      <c r="T348" t="s">
        <v>1993</v>
      </c>
      <c r="U348">
        <v>1.6957077913638229E-5</v>
      </c>
      <c r="V348" t="s">
        <v>251</v>
      </c>
      <c r="X348">
        <v>1.1415525114155251E-4</v>
      </c>
      <c r="Y348">
        <v>1.4452759200788939E-4</v>
      </c>
      <c r="Z348" t="s">
        <v>1993</v>
      </c>
      <c r="AA348" t="s">
        <v>25</v>
      </c>
      <c r="AC348" t="s">
        <v>22</v>
      </c>
      <c r="AD348" t="s">
        <v>1993</v>
      </c>
      <c r="AE348">
        <v>8.6938042110598049E-5</v>
      </c>
      <c r="AG348" t="s">
        <v>97</v>
      </c>
      <c r="AH348" t="s">
        <v>1993</v>
      </c>
      <c r="AI348">
        <v>0</v>
      </c>
    </row>
    <row r="349" spans="5:35" x14ac:dyDescent="0.45">
      <c r="E349" t="s">
        <v>1504</v>
      </c>
      <c r="G349" t="s">
        <v>434</v>
      </c>
      <c r="I349" t="s">
        <v>249</v>
      </c>
      <c r="J349" t="s">
        <v>1994</v>
      </c>
      <c r="K349">
        <v>2.9706900793179998E-4</v>
      </c>
      <c r="L349" t="s">
        <v>251</v>
      </c>
      <c r="N349" t="s">
        <v>419</v>
      </c>
      <c r="O349" t="s">
        <v>1994</v>
      </c>
      <c r="P349">
        <v>1.4337771087354846E-5</v>
      </c>
      <c r="Q349" t="s">
        <v>251</v>
      </c>
      <c r="S349" t="s">
        <v>420</v>
      </c>
      <c r="T349" t="s">
        <v>1994</v>
      </c>
      <c r="U349">
        <v>1.7869875458696444E-5</v>
      </c>
      <c r="V349" t="s">
        <v>251</v>
      </c>
      <c r="X349">
        <v>1.1415525114155251E-4</v>
      </c>
      <c r="Y349">
        <v>1.408812536774151E-4</v>
      </c>
      <c r="Z349" t="s">
        <v>1994</v>
      </c>
      <c r="AA349" t="s">
        <v>25</v>
      </c>
      <c r="AC349" t="s">
        <v>22</v>
      </c>
      <c r="AD349" t="s">
        <v>1994</v>
      </c>
      <c r="AE349">
        <v>9.3701056730976378E-5</v>
      </c>
      <c r="AG349" t="s">
        <v>97</v>
      </c>
      <c r="AH349" t="s">
        <v>1994</v>
      </c>
      <c r="AI349">
        <v>0</v>
      </c>
    </row>
    <row r="350" spans="5:35" x14ac:dyDescent="0.45">
      <c r="E350" t="s">
        <v>1505</v>
      </c>
      <c r="G350" t="s">
        <v>434</v>
      </c>
      <c r="I350" t="s">
        <v>249</v>
      </c>
      <c r="J350" t="s">
        <v>1995</v>
      </c>
      <c r="K350">
        <v>2.9768227043899998E-4</v>
      </c>
      <c r="L350" t="s">
        <v>251</v>
      </c>
      <c r="N350" t="s">
        <v>419</v>
      </c>
      <c r="O350" t="s">
        <v>1995</v>
      </c>
      <c r="P350">
        <v>1.13127239044717E-5</v>
      </c>
      <c r="Q350" t="s">
        <v>251</v>
      </c>
      <c r="S350" t="s">
        <v>420</v>
      </c>
      <c r="T350" t="s">
        <v>1995</v>
      </c>
      <c r="U350">
        <v>2.2752947002768533E-5</v>
      </c>
      <c r="V350" t="s">
        <v>251</v>
      </c>
      <c r="X350">
        <v>1.1415525114155251E-4</v>
      </c>
      <c r="Y350">
        <v>1.4054976837464471E-4</v>
      </c>
      <c r="Z350" t="s">
        <v>1995</v>
      </c>
      <c r="AA350" t="s">
        <v>25</v>
      </c>
      <c r="AC350" t="s">
        <v>22</v>
      </c>
      <c r="AD350" t="s">
        <v>1995</v>
      </c>
      <c r="AE350">
        <v>1.0083730438701186E-4</v>
      </c>
      <c r="AG350" t="s">
        <v>97</v>
      </c>
      <c r="AH350" t="s">
        <v>1995</v>
      </c>
      <c r="AI350">
        <v>0</v>
      </c>
    </row>
    <row r="351" spans="5:35" x14ac:dyDescent="0.45">
      <c r="E351" t="s">
        <v>1506</v>
      </c>
      <c r="G351" t="s">
        <v>434</v>
      </c>
      <c r="I351" t="s">
        <v>249</v>
      </c>
      <c r="J351" t="s">
        <v>1996</v>
      </c>
      <c r="K351">
        <v>2.8975888460749998E-4</v>
      </c>
      <c r="L351" t="s">
        <v>251</v>
      </c>
      <c r="N351" t="s">
        <v>419</v>
      </c>
      <c r="O351" t="s">
        <v>1996</v>
      </c>
      <c r="P351">
        <v>1.1568796952630338E-5</v>
      </c>
      <c r="Q351" t="s">
        <v>251</v>
      </c>
      <c r="S351" t="s">
        <v>420</v>
      </c>
      <c r="T351" t="s">
        <v>1996</v>
      </c>
      <c r="U351">
        <v>2.847998277335034E-5</v>
      </c>
      <c r="V351" t="s">
        <v>251</v>
      </c>
      <c r="X351">
        <v>1.1415525114155251E-4</v>
      </c>
      <c r="Y351">
        <v>1.4253868019126702E-4</v>
      </c>
      <c r="Z351" t="s">
        <v>1996</v>
      </c>
      <c r="AA351" t="s">
        <v>25</v>
      </c>
      <c r="AC351" t="s">
        <v>22</v>
      </c>
      <c r="AD351" t="s">
        <v>1996</v>
      </c>
      <c r="AE351">
        <v>1.090156165443175E-4</v>
      </c>
      <c r="AG351" t="s">
        <v>97</v>
      </c>
      <c r="AH351" t="s">
        <v>1996</v>
      </c>
      <c r="AI351">
        <v>0</v>
      </c>
    </row>
    <row r="352" spans="5:35" x14ac:dyDescent="0.45">
      <c r="E352" t="s">
        <v>1507</v>
      </c>
      <c r="G352" t="s">
        <v>434</v>
      </c>
      <c r="I352" t="s">
        <v>249</v>
      </c>
      <c r="J352" t="s">
        <v>1997</v>
      </c>
      <c r="K352">
        <v>2.8765498301360003E-4</v>
      </c>
      <c r="L352" t="s">
        <v>251</v>
      </c>
      <c r="N352" t="s">
        <v>419</v>
      </c>
      <c r="O352" t="s">
        <v>1997</v>
      </c>
      <c r="P352">
        <v>1.2133998948651928E-5</v>
      </c>
      <c r="Q352" t="s">
        <v>251</v>
      </c>
      <c r="S352" t="s">
        <v>420</v>
      </c>
      <c r="T352" t="s">
        <v>1997</v>
      </c>
      <c r="U352">
        <v>3.4466292385272222E-5</v>
      </c>
      <c r="V352" t="s">
        <v>251</v>
      </c>
      <c r="X352">
        <v>1.1415525114155251E-4</v>
      </c>
      <c r="Y352">
        <v>1.4883690094390442E-4</v>
      </c>
      <c r="Z352" t="s">
        <v>1997</v>
      </c>
      <c r="AA352" t="s">
        <v>25</v>
      </c>
      <c r="AC352" t="s">
        <v>22</v>
      </c>
      <c r="AD352" t="s">
        <v>1997</v>
      </c>
      <c r="AE352">
        <v>1.1606008995856167E-4</v>
      </c>
      <c r="AG352" t="s">
        <v>97</v>
      </c>
      <c r="AH352" t="s">
        <v>1997</v>
      </c>
      <c r="AI352">
        <v>0</v>
      </c>
    </row>
    <row r="353" spans="5:35" x14ac:dyDescent="0.45">
      <c r="E353" t="s">
        <v>1508</v>
      </c>
      <c r="G353" t="s">
        <v>434</v>
      </c>
      <c r="I353" t="s">
        <v>249</v>
      </c>
      <c r="J353" t="s">
        <v>1998</v>
      </c>
      <c r="K353">
        <v>2.8861591370910001E-4</v>
      </c>
      <c r="L353" t="s">
        <v>251</v>
      </c>
      <c r="N353" t="s">
        <v>419</v>
      </c>
      <c r="O353" t="s">
        <v>1998</v>
      </c>
      <c r="P353">
        <v>1.3336946922011525E-5</v>
      </c>
      <c r="Q353" t="s">
        <v>251</v>
      </c>
      <c r="S353" t="s">
        <v>420</v>
      </c>
      <c r="T353" t="s">
        <v>1998</v>
      </c>
      <c r="U353">
        <v>4.3213347503559268E-5</v>
      </c>
      <c r="V353" t="s">
        <v>251</v>
      </c>
      <c r="X353">
        <v>1.1415525114155251E-4</v>
      </c>
      <c r="Y353">
        <v>1.5049432745775637E-4</v>
      </c>
      <c r="Z353" t="s">
        <v>1998</v>
      </c>
      <c r="AA353" t="s">
        <v>25</v>
      </c>
      <c r="AC353" t="s">
        <v>22</v>
      </c>
      <c r="AD353" t="s">
        <v>1998</v>
      </c>
      <c r="AE353">
        <v>1.2004559983681933E-4</v>
      </c>
      <c r="AG353" t="s">
        <v>97</v>
      </c>
      <c r="AH353" t="s">
        <v>1998</v>
      </c>
      <c r="AI353">
        <v>0</v>
      </c>
    </row>
    <row r="354" spans="5:35" x14ac:dyDescent="0.45">
      <c r="E354" t="s">
        <v>1509</v>
      </c>
      <c r="G354" t="s">
        <v>434</v>
      </c>
      <c r="I354" t="s">
        <v>249</v>
      </c>
      <c r="J354" t="s">
        <v>1999</v>
      </c>
      <c r="K354">
        <v>2.7248763912870002E-4</v>
      </c>
      <c r="L354" t="s">
        <v>251</v>
      </c>
      <c r="N354" t="s">
        <v>419</v>
      </c>
      <c r="O354" t="s">
        <v>1999</v>
      </c>
      <c r="P354">
        <v>1.5099206210410129E-5</v>
      </c>
      <c r="Q354" t="s">
        <v>251</v>
      </c>
      <c r="S354" t="s">
        <v>420</v>
      </c>
      <c r="T354" t="s">
        <v>1999</v>
      </c>
      <c r="U354">
        <v>4.6870615929163883E-5</v>
      </c>
      <c r="V354" t="s">
        <v>251</v>
      </c>
      <c r="X354">
        <v>1.1415525114155251E-4</v>
      </c>
      <c r="Y354">
        <v>1.7237235744060203E-4</v>
      </c>
      <c r="Z354" t="s">
        <v>1999</v>
      </c>
      <c r="AA354" t="s">
        <v>25</v>
      </c>
      <c r="AC354" t="s">
        <v>22</v>
      </c>
      <c r="AD354" t="s">
        <v>1999</v>
      </c>
      <c r="AE354">
        <v>1.2129629066681276E-4</v>
      </c>
      <c r="AG354" t="s">
        <v>97</v>
      </c>
      <c r="AH354" t="s">
        <v>1999</v>
      </c>
      <c r="AI354">
        <v>0</v>
      </c>
    </row>
    <row r="355" spans="5:35" x14ac:dyDescent="0.45">
      <c r="E355" t="s">
        <v>1510</v>
      </c>
      <c r="G355" t="s">
        <v>434</v>
      </c>
      <c r="I355" t="s">
        <v>249</v>
      </c>
      <c r="J355" t="s">
        <v>2000</v>
      </c>
      <c r="K355">
        <v>2.510195375014E-4</v>
      </c>
      <c r="L355" t="s">
        <v>251</v>
      </c>
      <c r="N355" t="s">
        <v>419</v>
      </c>
      <c r="O355" t="s">
        <v>2000</v>
      </c>
      <c r="P355">
        <v>2.014841290660502E-5</v>
      </c>
      <c r="Q355" t="s">
        <v>251</v>
      </c>
      <c r="S355" t="s">
        <v>420</v>
      </c>
      <c r="T355" t="s">
        <v>2000</v>
      </c>
      <c r="U355">
        <v>4.1596429374324479E-5</v>
      </c>
      <c r="V355" t="s">
        <v>251</v>
      </c>
      <c r="X355">
        <v>1.1415525114155251E-4</v>
      </c>
      <c r="Y355">
        <v>2.2209515285616027E-4</v>
      </c>
      <c r="Z355" t="s">
        <v>2000</v>
      </c>
      <c r="AA355" t="s">
        <v>25</v>
      </c>
      <c r="AC355" t="s">
        <v>22</v>
      </c>
      <c r="AD355" t="s">
        <v>2000</v>
      </c>
      <c r="AE355">
        <v>1.222986041156791E-4</v>
      </c>
      <c r="AG355" t="s">
        <v>97</v>
      </c>
      <c r="AH355" t="s">
        <v>2000</v>
      </c>
      <c r="AI355">
        <v>0</v>
      </c>
    </row>
    <row r="356" spans="5:35" x14ac:dyDescent="0.45">
      <c r="E356" t="s">
        <v>1511</v>
      </c>
      <c r="G356" t="s">
        <v>434</v>
      </c>
      <c r="I356" t="s">
        <v>249</v>
      </c>
      <c r="J356" t="s">
        <v>2001</v>
      </c>
      <c r="K356">
        <v>2.151990565591E-4</v>
      </c>
      <c r="L356" t="s">
        <v>251</v>
      </c>
      <c r="N356" t="s">
        <v>419</v>
      </c>
      <c r="O356" t="s">
        <v>2001</v>
      </c>
      <c r="P356">
        <v>2.254843583595678E-5</v>
      </c>
      <c r="Q356" t="s">
        <v>251</v>
      </c>
      <c r="S356" t="s">
        <v>420</v>
      </c>
      <c r="T356" t="s">
        <v>2001</v>
      </c>
      <c r="U356">
        <v>3.8505871255295765E-5</v>
      </c>
      <c r="V356" t="s">
        <v>251</v>
      </c>
      <c r="X356">
        <v>1.1415525114155251E-4</v>
      </c>
      <c r="Y356">
        <v>2.2209515285616027E-4</v>
      </c>
      <c r="Z356" t="s">
        <v>2001</v>
      </c>
      <c r="AA356" t="s">
        <v>25</v>
      </c>
      <c r="AC356" t="s">
        <v>22</v>
      </c>
      <c r="AD356" t="s">
        <v>2001</v>
      </c>
      <c r="AE356">
        <v>1.2358931278366294E-4</v>
      </c>
      <c r="AG356" t="s">
        <v>97</v>
      </c>
      <c r="AH356" t="s">
        <v>2001</v>
      </c>
      <c r="AI356">
        <v>0</v>
      </c>
    </row>
    <row r="357" spans="5:35" x14ac:dyDescent="0.45">
      <c r="E357" t="s">
        <v>1512</v>
      </c>
      <c r="G357" t="s">
        <v>434</v>
      </c>
      <c r="I357" t="s">
        <v>249</v>
      </c>
      <c r="J357" t="s">
        <v>2002</v>
      </c>
      <c r="K357">
        <v>1.61215686912E-4</v>
      </c>
      <c r="L357" t="s">
        <v>251</v>
      </c>
      <c r="N357" t="s">
        <v>419</v>
      </c>
      <c r="O357" t="s">
        <v>2002</v>
      </c>
      <c r="P357">
        <v>2.6836447993092589E-5</v>
      </c>
      <c r="Q357" t="s">
        <v>251</v>
      </c>
      <c r="S357" t="s">
        <v>420</v>
      </c>
      <c r="T357" t="s">
        <v>2002</v>
      </c>
      <c r="U357">
        <v>3.884247365183318E-5</v>
      </c>
      <c r="V357" t="s">
        <v>251</v>
      </c>
      <c r="X357">
        <v>1.1415525114155251E-4</v>
      </c>
      <c r="Y357">
        <v>1.7237235744060203E-4</v>
      </c>
      <c r="Z357" t="s">
        <v>2002</v>
      </c>
      <c r="AA357" t="s">
        <v>25</v>
      </c>
      <c r="AC357" t="s">
        <v>22</v>
      </c>
      <c r="AD357" t="s">
        <v>2002</v>
      </c>
      <c r="AE357">
        <v>1.2483573504427074E-4</v>
      </c>
      <c r="AG357" t="s">
        <v>97</v>
      </c>
      <c r="AH357" t="s">
        <v>2002</v>
      </c>
      <c r="AI357">
        <v>0</v>
      </c>
    </row>
    <row r="358" spans="5:35" x14ac:dyDescent="0.45">
      <c r="E358" t="s">
        <v>1513</v>
      </c>
      <c r="G358" t="s">
        <v>434</v>
      </c>
      <c r="I358" t="s">
        <v>249</v>
      </c>
      <c r="J358" t="s">
        <v>2003</v>
      </c>
      <c r="K358">
        <v>6.8567815947427906E-5</v>
      </c>
      <c r="L358" t="s">
        <v>251</v>
      </c>
      <c r="N358" t="s">
        <v>419</v>
      </c>
      <c r="O358" t="s">
        <v>2003</v>
      </c>
      <c r="P358">
        <v>3.3606436068921854E-5</v>
      </c>
      <c r="Q358" t="s">
        <v>251</v>
      </c>
      <c r="S358" t="s">
        <v>420</v>
      </c>
      <c r="T358" t="s">
        <v>2003</v>
      </c>
      <c r="U358">
        <v>3.9490074922044097E-5</v>
      </c>
      <c r="V358" t="s">
        <v>251</v>
      </c>
      <c r="X358">
        <v>1.1415525114155251E-4</v>
      </c>
      <c r="Y358">
        <v>1.5579809230208258E-4</v>
      </c>
      <c r="Z358" t="s">
        <v>2003</v>
      </c>
      <c r="AA358" t="s">
        <v>25</v>
      </c>
      <c r="AC358" t="s">
        <v>22</v>
      </c>
      <c r="AD358" t="s">
        <v>2003</v>
      </c>
      <c r="AE358">
        <v>1.2681074874189047E-4</v>
      </c>
      <c r="AG358" t="s">
        <v>97</v>
      </c>
      <c r="AH358" t="s">
        <v>2003</v>
      </c>
      <c r="AI358">
        <v>0</v>
      </c>
    </row>
    <row r="359" spans="5:35" x14ac:dyDescent="0.45">
      <c r="E359" t="s">
        <v>1514</v>
      </c>
      <c r="G359" t="s">
        <v>434</v>
      </c>
      <c r="I359" t="s">
        <v>249</v>
      </c>
      <c r="J359" t="s">
        <v>2004</v>
      </c>
      <c r="K359">
        <v>0</v>
      </c>
      <c r="L359" t="s">
        <v>251</v>
      </c>
      <c r="N359" t="s">
        <v>419</v>
      </c>
      <c r="O359" t="s">
        <v>2004</v>
      </c>
      <c r="P359">
        <v>4.2529005488406291E-5</v>
      </c>
      <c r="Q359" t="s">
        <v>251</v>
      </c>
      <c r="S359" t="s">
        <v>420</v>
      </c>
      <c r="T359" t="s">
        <v>2004</v>
      </c>
      <c r="U359">
        <v>4.2321216894277322E-5</v>
      </c>
      <c r="V359" t="s">
        <v>251</v>
      </c>
      <c r="X359">
        <v>1.1415525114155251E-4</v>
      </c>
      <c r="Y359">
        <v>1.093901499142282E-4</v>
      </c>
      <c r="Z359" t="s">
        <v>2004</v>
      </c>
      <c r="AA359" t="s">
        <v>25</v>
      </c>
      <c r="AC359" t="s">
        <v>22</v>
      </c>
      <c r="AD359" t="s">
        <v>2004</v>
      </c>
      <c r="AE359">
        <v>1.2675899233808956E-4</v>
      </c>
      <c r="AG359" t="s">
        <v>97</v>
      </c>
      <c r="AH359" t="s">
        <v>2004</v>
      </c>
      <c r="AI359">
        <v>0</v>
      </c>
    </row>
    <row r="360" spans="5:35" x14ac:dyDescent="0.45">
      <c r="E360" t="s">
        <v>1515</v>
      </c>
      <c r="G360" t="s">
        <v>434</v>
      </c>
      <c r="I360" t="s">
        <v>249</v>
      </c>
      <c r="J360" t="s">
        <v>2005</v>
      </c>
      <c r="K360">
        <v>0</v>
      </c>
      <c r="L360" t="s">
        <v>251</v>
      </c>
      <c r="N360" t="s">
        <v>419</v>
      </c>
      <c r="O360" t="s">
        <v>2005</v>
      </c>
      <c r="P360">
        <v>4.7135870873388982E-5</v>
      </c>
      <c r="Q360" t="s">
        <v>251</v>
      </c>
      <c r="S360" t="s">
        <v>420</v>
      </c>
      <c r="T360" t="s">
        <v>2005</v>
      </c>
      <c r="U360">
        <v>5.0165732575164049E-5</v>
      </c>
      <c r="V360" t="s">
        <v>251</v>
      </c>
      <c r="X360">
        <v>1.1415525114155251E-4</v>
      </c>
      <c r="Y360">
        <v>7.9556472664893237E-5</v>
      </c>
      <c r="Z360" t="s">
        <v>2005</v>
      </c>
      <c r="AA360" t="s">
        <v>25</v>
      </c>
      <c r="AC360" t="s">
        <v>22</v>
      </c>
      <c r="AD360" t="s">
        <v>2005</v>
      </c>
      <c r="AE360">
        <v>1.2705352362569892E-4</v>
      </c>
      <c r="AG360" t="s">
        <v>97</v>
      </c>
      <c r="AH360" t="s">
        <v>2005</v>
      </c>
      <c r="AI360">
        <v>0</v>
      </c>
    </row>
    <row r="361" spans="5:35" x14ac:dyDescent="0.45">
      <c r="E361" t="s">
        <v>1516</v>
      </c>
      <c r="G361" t="s">
        <v>434</v>
      </c>
      <c r="I361" t="s">
        <v>249</v>
      </c>
      <c r="J361" t="s">
        <v>2006</v>
      </c>
      <c r="K361">
        <v>0</v>
      </c>
      <c r="L361" t="s">
        <v>251</v>
      </c>
      <c r="N361" t="s">
        <v>419</v>
      </c>
      <c r="O361" t="s">
        <v>2006</v>
      </c>
      <c r="P361">
        <v>4.8407411292016482E-5</v>
      </c>
      <c r="Q361" t="s">
        <v>251</v>
      </c>
      <c r="S361" t="s">
        <v>420</v>
      </c>
      <c r="T361" t="s">
        <v>2006</v>
      </c>
      <c r="U361">
        <v>5.7347778419208613E-5</v>
      </c>
      <c r="V361" t="s">
        <v>251</v>
      </c>
      <c r="X361">
        <v>1.1415525114155251E-4</v>
      </c>
      <c r="Y361">
        <v>5.6352501470966035E-5</v>
      </c>
      <c r="Z361" t="s">
        <v>2006</v>
      </c>
      <c r="AA361" t="s">
        <v>25</v>
      </c>
      <c r="AC361" t="s">
        <v>22</v>
      </c>
      <c r="AD361" t="s">
        <v>2006</v>
      </c>
      <c r="AE361">
        <v>1.2452012769531974E-4</v>
      </c>
      <c r="AG361" t="s">
        <v>97</v>
      </c>
      <c r="AH361" t="s">
        <v>2006</v>
      </c>
      <c r="AI361">
        <v>0</v>
      </c>
    </row>
    <row r="362" spans="5:35" x14ac:dyDescent="0.45">
      <c r="E362" t="s">
        <v>1517</v>
      </c>
      <c r="G362" t="s">
        <v>434</v>
      </c>
      <c r="I362" t="s">
        <v>249</v>
      </c>
      <c r="J362" t="s">
        <v>2007</v>
      </c>
      <c r="K362">
        <v>0</v>
      </c>
      <c r="L362" t="s">
        <v>251</v>
      </c>
      <c r="N362" t="s">
        <v>419</v>
      </c>
      <c r="O362" t="s">
        <v>2007</v>
      </c>
      <c r="P362">
        <v>4.6868883388343046E-5</v>
      </c>
      <c r="Q362" t="s">
        <v>251</v>
      </c>
      <c r="S362" t="s">
        <v>420</v>
      </c>
      <c r="T362" t="s">
        <v>2007</v>
      </c>
      <c r="U362">
        <v>5.6292128961204727E-5</v>
      </c>
      <c r="V362" t="s">
        <v>251</v>
      </c>
      <c r="X362">
        <v>1.1415525114155251E-4</v>
      </c>
      <c r="Y362">
        <v>2.9833677249334962E-5</v>
      </c>
      <c r="Z362" t="s">
        <v>2007</v>
      </c>
      <c r="AA362" t="s">
        <v>25</v>
      </c>
      <c r="AC362" t="s">
        <v>22</v>
      </c>
      <c r="AD362" t="s">
        <v>2007</v>
      </c>
      <c r="AE362">
        <v>1.254277322609421E-4</v>
      </c>
      <c r="AG362" t="s">
        <v>97</v>
      </c>
      <c r="AH362" t="s">
        <v>2007</v>
      </c>
      <c r="AI362">
        <v>0</v>
      </c>
    </row>
    <row r="363" spans="5:35" x14ac:dyDescent="0.45">
      <c r="E363" t="s">
        <v>1518</v>
      </c>
      <c r="G363" t="s">
        <v>434</v>
      </c>
      <c r="I363" t="s">
        <v>249</v>
      </c>
      <c r="J363" t="s">
        <v>2008</v>
      </c>
      <c r="K363">
        <v>0</v>
      </c>
      <c r="L363" t="s">
        <v>251</v>
      </c>
      <c r="N363" t="s">
        <v>419</v>
      </c>
      <c r="O363" t="s">
        <v>2008</v>
      </c>
      <c r="P363">
        <v>4.474629470308606E-5</v>
      </c>
      <c r="Q363" t="s">
        <v>251</v>
      </c>
      <c r="S363" t="s">
        <v>420</v>
      </c>
      <c r="T363" t="s">
        <v>2008</v>
      </c>
      <c r="U363">
        <v>6.001342362072858E-5</v>
      </c>
      <c r="V363" t="s">
        <v>251</v>
      </c>
      <c r="X363">
        <v>1.1415525114155251E-4</v>
      </c>
      <c r="Y363">
        <v>2.1546544680075254E-5</v>
      </c>
      <c r="Z363" t="s">
        <v>2008</v>
      </c>
      <c r="AA363" t="s">
        <v>25</v>
      </c>
      <c r="AC363" t="s">
        <v>22</v>
      </c>
      <c r="AD363" t="s">
        <v>2008</v>
      </c>
      <c r="AE363">
        <v>1.2400603186993634E-4</v>
      </c>
      <c r="AG363" t="s">
        <v>97</v>
      </c>
      <c r="AH363" t="s">
        <v>2008</v>
      </c>
      <c r="AI363">
        <v>0</v>
      </c>
    </row>
    <row r="364" spans="5:35" x14ac:dyDescent="0.45">
      <c r="E364" t="s">
        <v>1519</v>
      </c>
      <c r="G364" t="s">
        <v>434</v>
      </c>
      <c r="I364" t="s">
        <v>249</v>
      </c>
      <c r="J364" t="s">
        <v>2009</v>
      </c>
      <c r="K364">
        <v>0</v>
      </c>
      <c r="L364" t="s">
        <v>251</v>
      </c>
      <c r="N364" t="s">
        <v>419</v>
      </c>
      <c r="O364" t="s">
        <v>2009</v>
      </c>
      <c r="P364">
        <v>4.3439246542043815E-5</v>
      </c>
      <c r="Q364" t="s">
        <v>251</v>
      </c>
      <c r="S364" t="s">
        <v>420</v>
      </c>
      <c r="T364" t="s">
        <v>2009</v>
      </c>
      <c r="U364">
        <v>6.334181581219139E-5</v>
      </c>
      <c r="V364" t="s">
        <v>251</v>
      </c>
      <c r="X364">
        <v>1.1415525114155251E-4</v>
      </c>
      <c r="Y364">
        <v>1.4916838624667481E-5</v>
      </c>
      <c r="Z364" t="s">
        <v>2009</v>
      </c>
      <c r="AA364" t="s">
        <v>25</v>
      </c>
      <c r="AC364" t="s">
        <v>22</v>
      </c>
      <c r="AD364" t="s">
        <v>2009</v>
      </c>
      <c r="AE364">
        <v>1.2147583736659638E-4</v>
      </c>
      <c r="AG364" t="s">
        <v>97</v>
      </c>
      <c r="AH364" t="s">
        <v>2009</v>
      </c>
      <c r="AI364">
        <v>0</v>
      </c>
    </row>
    <row r="365" spans="5:35" x14ac:dyDescent="0.45">
      <c r="E365" t="s">
        <v>1520</v>
      </c>
      <c r="G365" t="s">
        <v>434</v>
      </c>
      <c r="I365" t="s">
        <v>249</v>
      </c>
      <c r="J365" t="s">
        <v>2010</v>
      </c>
      <c r="K365">
        <v>0</v>
      </c>
      <c r="L365" t="s">
        <v>251</v>
      </c>
      <c r="N365" t="s">
        <v>419</v>
      </c>
      <c r="O365" t="s">
        <v>2010</v>
      </c>
      <c r="P365">
        <v>4.0385285193210594E-5</v>
      </c>
      <c r="Q365" t="s">
        <v>251</v>
      </c>
      <c r="S365" t="s">
        <v>420</v>
      </c>
      <c r="T365" t="s">
        <v>2010</v>
      </c>
      <c r="U365">
        <v>6.7371292190598203E-5</v>
      </c>
      <c r="V365" t="s">
        <v>251</v>
      </c>
      <c r="X365">
        <v>1.1415525114155251E-4</v>
      </c>
      <c r="Y365">
        <v>1.6574265138519424E-5</v>
      </c>
      <c r="Z365" t="s">
        <v>2010</v>
      </c>
      <c r="AA365" t="s">
        <v>25</v>
      </c>
      <c r="AC365" t="s">
        <v>22</v>
      </c>
      <c r="AD365" t="s">
        <v>2010</v>
      </c>
      <c r="AE365">
        <v>1.1746551642878467E-4</v>
      </c>
      <c r="AG365" t="s">
        <v>97</v>
      </c>
      <c r="AH365" t="s">
        <v>2010</v>
      </c>
      <c r="AI365">
        <v>0</v>
      </c>
    </row>
    <row r="366" spans="5:35" x14ac:dyDescent="0.45">
      <c r="E366" t="s">
        <v>1521</v>
      </c>
      <c r="G366" t="s">
        <v>434</v>
      </c>
      <c r="I366" t="s">
        <v>249</v>
      </c>
      <c r="J366" t="s">
        <v>2011</v>
      </c>
      <c r="K366">
        <v>0</v>
      </c>
      <c r="L366" t="s">
        <v>251</v>
      </c>
      <c r="N366" t="s">
        <v>419</v>
      </c>
      <c r="O366" t="s">
        <v>2011</v>
      </c>
      <c r="P366">
        <v>3.1125797293389883E-5</v>
      </c>
      <c r="Q366" t="s">
        <v>251</v>
      </c>
      <c r="S366" t="s">
        <v>420</v>
      </c>
      <c r="T366" t="s">
        <v>2011</v>
      </c>
      <c r="U366">
        <v>7.0851269670599344E-5</v>
      </c>
      <c r="V366" t="s">
        <v>251</v>
      </c>
      <c r="X366">
        <v>1.1415525114155251E-4</v>
      </c>
      <c r="Y366">
        <v>1.4585353321897093E-5</v>
      </c>
      <c r="Z366" t="s">
        <v>2011</v>
      </c>
      <c r="AA366" t="s">
        <v>25</v>
      </c>
      <c r="AC366" t="s">
        <v>22</v>
      </c>
      <c r="AD366" t="s">
        <v>2011</v>
      </c>
      <c r="AE366">
        <v>1.0743357801576351E-4</v>
      </c>
      <c r="AG366" t="s">
        <v>97</v>
      </c>
      <c r="AH366" t="s">
        <v>2011</v>
      </c>
      <c r="AI366">
        <v>0</v>
      </c>
    </row>
    <row r="367" spans="5:35" x14ac:dyDescent="0.45">
      <c r="E367" t="s">
        <v>1522</v>
      </c>
      <c r="G367" t="s">
        <v>434</v>
      </c>
      <c r="I367" t="s">
        <v>249</v>
      </c>
      <c r="J367" t="s">
        <v>2012</v>
      </c>
      <c r="K367">
        <v>0</v>
      </c>
      <c r="L367" t="s">
        <v>251</v>
      </c>
      <c r="N367" t="s">
        <v>419</v>
      </c>
      <c r="O367" t="s">
        <v>2012</v>
      </c>
      <c r="P367">
        <v>2.9946394260347081E-5</v>
      </c>
      <c r="Q367" t="s">
        <v>251</v>
      </c>
      <c r="S367" t="s">
        <v>420</v>
      </c>
      <c r="T367" t="s">
        <v>2012</v>
      </c>
      <c r="U367">
        <v>6.85312481460864E-5</v>
      </c>
      <c r="V367" t="s">
        <v>251</v>
      </c>
      <c r="X367">
        <v>1.1415525114155251E-4</v>
      </c>
      <c r="Y367">
        <v>2.1215059377304864E-5</v>
      </c>
      <c r="Z367" t="s">
        <v>2012</v>
      </c>
      <c r="AA367" t="s">
        <v>25</v>
      </c>
      <c r="AC367" t="s">
        <v>22</v>
      </c>
      <c r="AD367" t="s">
        <v>2012</v>
      </c>
      <c r="AE367">
        <v>1.018188085601232E-4</v>
      </c>
      <c r="AG367" t="s">
        <v>97</v>
      </c>
      <c r="AH367" t="s">
        <v>2012</v>
      </c>
      <c r="AI367">
        <v>0</v>
      </c>
    </row>
    <row r="368" spans="5:35" x14ac:dyDescent="0.45">
      <c r="E368" t="s">
        <v>1523</v>
      </c>
      <c r="G368" t="s">
        <v>434</v>
      </c>
      <c r="I368" t="s">
        <v>249</v>
      </c>
      <c r="J368" t="s">
        <v>2013</v>
      </c>
      <c r="K368">
        <v>0</v>
      </c>
      <c r="L368" t="s">
        <v>251</v>
      </c>
      <c r="N368" t="s">
        <v>419</v>
      </c>
      <c r="O368" t="s">
        <v>2013</v>
      </c>
      <c r="P368">
        <v>3.226913363076141E-5</v>
      </c>
      <c r="Q368" t="s">
        <v>251</v>
      </c>
      <c r="S368" t="s">
        <v>420</v>
      </c>
      <c r="T368" t="s">
        <v>2013</v>
      </c>
      <c r="U368">
        <v>6.918882964876496E-5</v>
      </c>
      <c r="V368" t="s">
        <v>251</v>
      </c>
      <c r="X368">
        <v>1.1415525114155251E-4</v>
      </c>
      <c r="Y368">
        <v>5.7678442682047593E-5</v>
      </c>
      <c r="Z368" t="s">
        <v>2013</v>
      </c>
      <c r="AA368" t="s">
        <v>25</v>
      </c>
      <c r="AC368" t="s">
        <v>22</v>
      </c>
      <c r="AD368" t="s">
        <v>2013</v>
      </c>
      <c r="AE368">
        <v>9.3380380455879939E-5</v>
      </c>
      <c r="AG368" t="s">
        <v>97</v>
      </c>
      <c r="AH368" t="s">
        <v>2013</v>
      </c>
      <c r="AI368">
        <v>0</v>
      </c>
    </row>
    <row r="369" spans="5:35" x14ac:dyDescent="0.45">
      <c r="E369" t="s">
        <v>1524</v>
      </c>
      <c r="G369" t="s">
        <v>434</v>
      </c>
      <c r="I369" t="s">
        <v>249</v>
      </c>
      <c r="J369" t="s">
        <v>2014</v>
      </c>
      <c r="K369">
        <v>1.2352872479429999E-4</v>
      </c>
      <c r="L369" t="s">
        <v>251</v>
      </c>
      <c r="N369" t="s">
        <v>419</v>
      </c>
      <c r="O369" t="s">
        <v>2014</v>
      </c>
      <c r="P369">
        <v>2.9943461949890532E-5</v>
      </c>
      <c r="Q369" t="s">
        <v>251</v>
      </c>
      <c r="S369" t="s">
        <v>420</v>
      </c>
      <c r="T369" t="s">
        <v>2014</v>
      </c>
      <c r="U369">
        <v>7.9829682000587715E-5</v>
      </c>
      <c r="V369" t="s">
        <v>251</v>
      </c>
      <c r="X369">
        <v>1.1415525114155251E-4</v>
      </c>
      <c r="Y369">
        <v>1.6905750441289813E-4</v>
      </c>
      <c r="Z369" t="s">
        <v>2014</v>
      </c>
      <c r="AA369" t="s">
        <v>25</v>
      </c>
      <c r="AC369" t="s">
        <v>22</v>
      </c>
      <c r="AD369" t="s">
        <v>2014</v>
      </c>
      <c r="AE369">
        <v>8.9433821273266254E-5</v>
      </c>
      <c r="AG369" t="s">
        <v>97</v>
      </c>
      <c r="AH369" t="s">
        <v>2014</v>
      </c>
      <c r="AI369">
        <v>0</v>
      </c>
    </row>
    <row r="370" spans="5:35" x14ac:dyDescent="0.45">
      <c r="E370" t="s">
        <v>1525</v>
      </c>
      <c r="G370" t="s">
        <v>434</v>
      </c>
      <c r="I370" t="s">
        <v>249</v>
      </c>
      <c r="J370" t="s">
        <v>2015</v>
      </c>
      <c r="K370">
        <v>2.086320077031E-4</v>
      </c>
      <c r="L370" t="s">
        <v>251</v>
      </c>
      <c r="N370" t="s">
        <v>419</v>
      </c>
      <c r="O370" t="s">
        <v>2015</v>
      </c>
      <c r="P370">
        <v>2.4742857710518479E-5</v>
      </c>
      <c r="Q370" t="s">
        <v>251</v>
      </c>
      <c r="S370" t="s">
        <v>420</v>
      </c>
      <c r="T370" t="s">
        <v>2015</v>
      </c>
      <c r="U370">
        <v>9.8433871656036139E-5</v>
      </c>
      <c r="V370" t="s">
        <v>251</v>
      </c>
      <c r="X370">
        <v>1.1415525114155251E-4</v>
      </c>
      <c r="Y370">
        <v>1.9060404909297337E-4</v>
      </c>
      <c r="Z370" t="s">
        <v>2015</v>
      </c>
      <c r="AA370" t="s">
        <v>25</v>
      </c>
      <c r="AC370" t="s">
        <v>22</v>
      </c>
      <c r="AD370" t="s">
        <v>2015</v>
      </c>
      <c r="AE370">
        <v>8.5922922953574795E-5</v>
      </c>
      <c r="AG370" t="s">
        <v>97</v>
      </c>
      <c r="AH370" t="s">
        <v>2015</v>
      </c>
      <c r="AI370">
        <v>0</v>
      </c>
    </row>
    <row r="371" spans="5:35" x14ac:dyDescent="0.45">
      <c r="E371" t="s">
        <v>1526</v>
      </c>
      <c r="G371" t="s">
        <v>434</v>
      </c>
      <c r="I371" t="s">
        <v>249</v>
      </c>
      <c r="J371" t="s">
        <v>2016</v>
      </c>
      <c r="K371">
        <v>2.5668491061529999E-4</v>
      </c>
      <c r="L371" t="s">
        <v>251</v>
      </c>
      <c r="N371" t="s">
        <v>419</v>
      </c>
      <c r="O371" t="s">
        <v>2016</v>
      </c>
      <c r="P371">
        <v>2.6107275194100597E-5</v>
      </c>
      <c r="Q371" t="s">
        <v>251</v>
      </c>
      <c r="S371" t="s">
        <v>420</v>
      </c>
      <c r="T371" t="s">
        <v>2016</v>
      </c>
      <c r="U371">
        <v>1.2998140927679999E-4</v>
      </c>
      <c r="V371" t="s">
        <v>251</v>
      </c>
      <c r="X371">
        <v>1.1415525114155251E-4</v>
      </c>
      <c r="Y371">
        <v>1.4585353321897094E-4</v>
      </c>
      <c r="Z371" t="s">
        <v>2016</v>
      </c>
      <c r="AA371" t="s">
        <v>25</v>
      </c>
      <c r="AC371" t="s">
        <v>22</v>
      </c>
      <c r="AD371" t="s">
        <v>2016</v>
      </c>
      <c r="AE371">
        <v>8.572069947892995E-5</v>
      </c>
      <c r="AG371" t="s">
        <v>97</v>
      </c>
      <c r="AH371" t="s">
        <v>2016</v>
      </c>
      <c r="AI371">
        <v>0</v>
      </c>
    </row>
    <row r="372" spans="5:35" x14ac:dyDescent="0.45">
      <c r="E372" t="s">
        <v>1527</v>
      </c>
      <c r="G372" t="s">
        <v>434</v>
      </c>
      <c r="I372" t="s">
        <v>249</v>
      </c>
      <c r="J372" t="s">
        <v>2017</v>
      </c>
      <c r="K372">
        <v>2.849006263398E-4</v>
      </c>
      <c r="L372" t="s">
        <v>251</v>
      </c>
      <c r="N372" t="s">
        <v>419</v>
      </c>
      <c r="O372" t="s">
        <v>2017</v>
      </c>
      <c r="P372">
        <v>2.6054149917102741E-5</v>
      </c>
      <c r="Q372" t="s">
        <v>251</v>
      </c>
      <c r="S372" t="s">
        <v>420</v>
      </c>
      <c r="T372" t="s">
        <v>2017</v>
      </c>
      <c r="U372">
        <v>1.530167407378E-4</v>
      </c>
      <c r="V372" t="s">
        <v>251</v>
      </c>
      <c r="X372">
        <v>1.1415525114155251E-4</v>
      </c>
      <c r="Y372">
        <v>1.4452759200788939E-4</v>
      </c>
      <c r="Z372" t="s">
        <v>2017</v>
      </c>
      <c r="AA372" t="s">
        <v>25</v>
      </c>
      <c r="AC372" t="s">
        <v>22</v>
      </c>
      <c r="AD372" t="s">
        <v>2017</v>
      </c>
      <c r="AE372">
        <v>8.7449470080115413E-5</v>
      </c>
      <c r="AG372" t="s">
        <v>97</v>
      </c>
      <c r="AH372" t="s">
        <v>2017</v>
      </c>
      <c r="AI372">
        <v>0</v>
      </c>
    </row>
    <row r="373" spans="5:35" x14ac:dyDescent="0.45">
      <c r="E373" t="s">
        <v>1528</v>
      </c>
      <c r="G373" t="s">
        <v>434</v>
      </c>
      <c r="I373" t="s">
        <v>249</v>
      </c>
      <c r="J373" t="s">
        <v>2018</v>
      </c>
      <c r="K373">
        <v>2.9842006387390002E-4</v>
      </c>
      <c r="L373" t="s">
        <v>251</v>
      </c>
      <c r="N373" t="s">
        <v>419</v>
      </c>
      <c r="O373" t="s">
        <v>2018</v>
      </c>
      <c r="P373">
        <v>2.543662817206796E-5</v>
      </c>
      <c r="Q373" t="s">
        <v>251</v>
      </c>
      <c r="S373" t="s">
        <v>420</v>
      </c>
      <c r="T373" t="s">
        <v>2018</v>
      </c>
      <c r="U373">
        <v>1.559700590908E-4</v>
      </c>
      <c r="V373" t="s">
        <v>251</v>
      </c>
      <c r="X373">
        <v>1.1415525114155251E-4</v>
      </c>
      <c r="Y373">
        <v>1.408812536774151E-4</v>
      </c>
      <c r="Z373" t="s">
        <v>2018</v>
      </c>
      <c r="AA373" t="s">
        <v>25</v>
      </c>
      <c r="AC373" t="s">
        <v>22</v>
      </c>
      <c r="AD373" t="s">
        <v>2018</v>
      </c>
      <c r="AE373">
        <v>9.3943031258025023E-5</v>
      </c>
      <c r="AG373" t="s">
        <v>97</v>
      </c>
      <c r="AH373" t="s">
        <v>2018</v>
      </c>
      <c r="AI373">
        <v>0</v>
      </c>
    </row>
    <row r="374" spans="5:35" x14ac:dyDescent="0.45">
      <c r="E374" t="s">
        <v>1529</v>
      </c>
      <c r="G374" t="s">
        <v>434</v>
      </c>
      <c r="I374" t="s">
        <v>249</v>
      </c>
      <c r="J374" t="s">
        <v>2019</v>
      </c>
      <c r="K374">
        <v>2.9945321675240003E-4</v>
      </c>
      <c r="L374" t="s">
        <v>251</v>
      </c>
      <c r="N374" t="s">
        <v>419</v>
      </c>
      <c r="O374" t="s">
        <v>2019</v>
      </c>
      <c r="P374">
        <v>2.5012486781739348E-5</v>
      </c>
      <c r="Q374" t="s">
        <v>251</v>
      </c>
      <c r="S374" t="s">
        <v>420</v>
      </c>
      <c r="T374" t="s">
        <v>2019</v>
      </c>
      <c r="U374">
        <v>1.4117962619170001E-4</v>
      </c>
      <c r="V374" t="s">
        <v>251</v>
      </c>
      <c r="X374">
        <v>1.1415525114155251E-4</v>
      </c>
      <c r="Y374">
        <v>1.4054976837464471E-4</v>
      </c>
      <c r="Z374" t="s">
        <v>2019</v>
      </c>
      <c r="AA374" t="s">
        <v>25</v>
      </c>
      <c r="AC374" t="s">
        <v>22</v>
      </c>
      <c r="AD374" t="s">
        <v>2019</v>
      </c>
      <c r="AE374">
        <v>1.0129510845362209E-4</v>
      </c>
      <c r="AG374" t="s">
        <v>97</v>
      </c>
      <c r="AH374" t="s">
        <v>2019</v>
      </c>
      <c r="AI374">
        <v>0</v>
      </c>
    </row>
    <row r="375" spans="5:35" x14ac:dyDescent="0.45">
      <c r="E375" t="s">
        <v>1530</v>
      </c>
      <c r="G375" t="s">
        <v>434</v>
      </c>
      <c r="I375" t="s">
        <v>249</v>
      </c>
      <c r="J375" t="s">
        <v>2020</v>
      </c>
      <c r="K375">
        <v>2.9260944524850001E-4</v>
      </c>
      <c r="L375" t="s">
        <v>251</v>
      </c>
      <c r="N375" t="s">
        <v>419</v>
      </c>
      <c r="O375" t="s">
        <v>2020</v>
      </c>
      <c r="P375">
        <v>2.6921721050455267E-5</v>
      </c>
      <c r="Q375" t="s">
        <v>251</v>
      </c>
      <c r="S375" t="s">
        <v>420</v>
      </c>
      <c r="T375" t="s">
        <v>2020</v>
      </c>
      <c r="U375">
        <v>1.3026417464070001E-4</v>
      </c>
      <c r="V375" t="s">
        <v>251</v>
      </c>
      <c r="X375">
        <v>1.1415525114155251E-4</v>
      </c>
      <c r="Y375">
        <v>1.4253868019126702E-4</v>
      </c>
      <c r="Z375" t="s">
        <v>2020</v>
      </c>
      <c r="AA375" t="s">
        <v>25</v>
      </c>
      <c r="AC375" t="s">
        <v>22</v>
      </c>
      <c r="AD375" t="s">
        <v>2020</v>
      </c>
      <c r="AE375">
        <v>1.0952704451383486E-4</v>
      </c>
      <c r="AG375" t="s">
        <v>97</v>
      </c>
      <c r="AH375" t="s">
        <v>2020</v>
      </c>
      <c r="AI375">
        <v>0</v>
      </c>
    </row>
    <row r="376" spans="5:35" x14ac:dyDescent="0.45">
      <c r="E376" t="s">
        <v>1531</v>
      </c>
      <c r="G376" t="s">
        <v>434</v>
      </c>
      <c r="I376" t="s">
        <v>249</v>
      </c>
      <c r="J376" t="s">
        <v>2021</v>
      </c>
      <c r="K376">
        <v>2.9062179833310001E-4</v>
      </c>
      <c r="L376" t="s">
        <v>251</v>
      </c>
      <c r="N376" t="s">
        <v>419</v>
      </c>
      <c r="O376" t="s">
        <v>2021</v>
      </c>
      <c r="P376">
        <v>2.8137792715131037E-5</v>
      </c>
      <c r="Q376" t="s">
        <v>251</v>
      </c>
      <c r="S376" t="s">
        <v>420</v>
      </c>
      <c r="T376" t="s">
        <v>2021</v>
      </c>
      <c r="U376">
        <v>1.185900983158E-4</v>
      </c>
      <c r="V376" t="s">
        <v>251</v>
      </c>
      <c r="X376">
        <v>1.1415525114155251E-4</v>
      </c>
      <c r="Y376">
        <v>1.4883690094390442E-4</v>
      </c>
      <c r="Z376" t="s">
        <v>2021</v>
      </c>
      <c r="AA376" t="s">
        <v>25</v>
      </c>
      <c r="AC376" t="s">
        <v>22</v>
      </c>
      <c r="AD376" t="s">
        <v>2021</v>
      </c>
      <c r="AE376">
        <v>1.1606008995856167E-4</v>
      </c>
      <c r="AG376" t="s">
        <v>97</v>
      </c>
      <c r="AH376" t="s">
        <v>2021</v>
      </c>
      <c r="AI376">
        <v>0</v>
      </c>
    </row>
    <row r="377" spans="5:35" x14ac:dyDescent="0.45">
      <c r="E377" t="s">
        <v>1532</v>
      </c>
      <c r="G377" t="s">
        <v>434</v>
      </c>
      <c r="I377" t="s">
        <v>249</v>
      </c>
      <c r="J377" t="s">
        <v>2022</v>
      </c>
      <c r="K377">
        <v>2.7850020683389999E-4</v>
      </c>
      <c r="L377" t="s">
        <v>251</v>
      </c>
      <c r="N377" t="s">
        <v>419</v>
      </c>
      <c r="O377" t="s">
        <v>2022</v>
      </c>
      <c r="P377">
        <v>2.8211532196142697E-5</v>
      </c>
      <c r="Q377" t="s">
        <v>251</v>
      </c>
      <c r="S377" t="s">
        <v>420</v>
      </c>
      <c r="T377" t="s">
        <v>2022</v>
      </c>
      <c r="U377">
        <v>1.07879942991E-4</v>
      </c>
      <c r="V377" t="s">
        <v>251</v>
      </c>
      <c r="X377">
        <v>1.1415525114155251E-4</v>
      </c>
      <c r="Y377">
        <v>1.5049432745775637E-4</v>
      </c>
      <c r="Z377" t="s">
        <v>2022</v>
      </c>
      <c r="AA377" t="s">
        <v>25</v>
      </c>
      <c r="AC377" t="s">
        <v>22</v>
      </c>
      <c r="AD377" t="s">
        <v>2022</v>
      </c>
      <c r="AE377">
        <v>1.2004559983681933E-4</v>
      </c>
      <c r="AG377" t="s">
        <v>97</v>
      </c>
      <c r="AH377" t="s">
        <v>2022</v>
      </c>
      <c r="AI377">
        <v>0</v>
      </c>
    </row>
    <row r="378" spans="5:35" x14ac:dyDescent="0.45">
      <c r="E378" t="s">
        <v>1533</v>
      </c>
      <c r="G378" t="s">
        <v>434</v>
      </c>
      <c r="I378" t="s">
        <v>249</v>
      </c>
      <c r="J378" t="s">
        <v>2023</v>
      </c>
      <c r="K378">
        <v>2.6545310861309998E-4</v>
      </c>
      <c r="L378" t="s">
        <v>251</v>
      </c>
      <c r="N378" t="s">
        <v>419</v>
      </c>
      <c r="O378" t="s">
        <v>2023</v>
      </c>
      <c r="P378">
        <v>3.094938573718234E-5</v>
      </c>
      <c r="Q378" t="s">
        <v>251</v>
      </c>
      <c r="S378" t="s">
        <v>420</v>
      </c>
      <c r="T378" t="s">
        <v>2023</v>
      </c>
      <c r="U378">
        <v>9.9970064981154524E-5</v>
      </c>
      <c r="V378" t="s">
        <v>251</v>
      </c>
      <c r="X378">
        <v>1.1415525114155251E-4</v>
      </c>
      <c r="Y378">
        <v>1.7237235744060203E-4</v>
      </c>
      <c r="Z378" t="s">
        <v>2023</v>
      </c>
      <c r="AA378" t="s">
        <v>25</v>
      </c>
      <c r="AC378" t="s">
        <v>22</v>
      </c>
      <c r="AD378" t="s">
        <v>2023</v>
      </c>
      <c r="AE378">
        <v>1.2179971506873205E-4</v>
      </c>
      <c r="AG378" t="s">
        <v>97</v>
      </c>
      <c r="AH378" t="s">
        <v>2023</v>
      </c>
      <c r="AI378">
        <v>0</v>
      </c>
    </row>
    <row r="379" spans="5:35" x14ac:dyDescent="0.45">
      <c r="E379" t="s">
        <v>1534</v>
      </c>
      <c r="G379" t="s">
        <v>434</v>
      </c>
      <c r="I379" t="s">
        <v>249</v>
      </c>
      <c r="J379" t="s">
        <v>2024</v>
      </c>
      <c r="K379">
        <v>2.363134427412E-4</v>
      </c>
      <c r="L379" t="s">
        <v>251</v>
      </c>
      <c r="N379" t="s">
        <v>419</v>
      </c>
      <c r="O379" t="s">
        <v>2024</v>
      </c>
      <c r="P379">
        <v>3.2471177056233744E-5</v>
      </c>
      <c r="Q379" t="s">
        <v>251</v>
      </c>
      <c r="S379" t="s">
        <v>420</v>
      </c>
      <c r="T379" t="s">
        <v>2024</v>
      </c>
      <c r="U379">
        <v>7.4855016096677011E-5</v>
      </c>
      <c r="V379" t="s">
        <v>251</v>
      </c>
      <c r="X379">
        <v>1.1415525114155251E-4</v>
      </c>
      <c r="Y379">
        <v>2.2209515285616027E-4</v>
      </c>
      <c r="Z379" t="s">
        <v>2024</v>
      </c>
      <c r="AA379" t="s">
        <v>25</v>
      </c>
      <c r="AC379" t="s">
        <v>22</v>
      </c>
      <c r="AD379" t="s">
        <v>2024</v>
      </c>
      <c r="AE379">
        <v>1.2358931278366294E-4</v>
      </c>
      <c r="AG379" t="s">
        <v>97</v>
      </c>
      <c r="AH379" t="s">
        <v>2024</v>
      </c>
      <c r="AI379">
        <v>0</v>
      </c>
    </row>
    <row r="380" spans="5:35" x14ac:dyDescent="0.45">
      <c r="E380" t="s">
        <v>1535</v>
      </c>
      <c r="G380" t="s">
        <v>434</v>
      </c>
      <c r="I380" t="s">
        <v>249</v>
      </c>
      <c r="J380" t="s">
        <v>2025</v>
      </c>
      <c r="K380">
        <v>1.9783834576320001E-4</v>
      </c>
      <c r="L380" t="s">
        <v>251</v>
      </c>
      <c r="N380" t="s">
        <v>419</v>
      </c>
      <c r="O380" t="s">
        <v>2025</v>
      </c>
      <c r="P380">
        <v>3.2326508956059598E-5</v>
      </c>
      <c r="Q380" t="s">
        <v>251</v>
      </c>
      <c r="S380" t="s">
        <v>420</v>
      </c>
      <c r="T380" t="s">
        <v>2025</v>
      </c>
      <c r="U380">
        <v>6.8876655028818508E-5</v>
      </c>
      <c r="V380" t="s">
        <v>251</v>
      </c>
      <c r="X380">
        <v>1.1415525114155251E-4</v>
      </c>
      <c r="Y380">
        <v>2.2209515285616027E-4</v>
      </c>
      <c r="Z380" t="s">
        <v>2025</v>
      </c>
      <c r="AA380" t="s">
        <v>25</v>
      </c>
      <c r="AC380" t="s">
        <v>22</v>
      </c>
      <c r="AD380" t="s">
        <v>2025</v>
      </c>
      <c r="AE380">
        <v>1.2476290257912819E-4</v>
      </c>
      <c r="AG380" t="s">
        <v>97</v>
      </c>
      <c r="AH380" t="s">
        <v>2025</v>
      </c>
      <c r="AI380">
        <v>0</v>
      </c>
    </row>
    <row r="381" spans="5:35" x14ac:dyDescent="0.45">
      <c r="E381" t="s">
        <v>1536</v>
      </c>
      <c r="G381" t="s">
        <v>434</v>
      </c>
      <c r="I381" t="s">
        <v>249</v>
      </c>
      <c r="J381" t="s">
        <v>2026</v>
      </c>
      <c r="K381">
        <v>1.396862053191E-4</v>
      </c>
      <c r="L381" t="s">
        <v>251</v>
      </c>
      <c r="N381" t="s">
        <v>419</v>
      </c>
      <c r="O381" t="s">
        <v>2026</v>
      </c>
      <c r="P381">
        <v>3.4578846996158194E-5</v>
      </c>
      <c r="Q381" t="s">
        <v>251</v>
      </c>
      <c r="S381" t="s">
        <v>420</v>
      </c>
      <c r="T381" t="s">
        <v>2026</v>
      </c>
      <c r="U381">
        <v>7.3577459620427767E-5</v>
      </c>
      <c r="V381" t="s">
        <v>251</v>
      </c>
      <c r="X381">
        <v>1.1415525114155251E-4</v>
      </c>
      <c r="Y381">
        <v>1.7237235744060203E-4</v>
      </c>
      <c r="Z381" t="s">
        <v>2026</v>
      </c>
      <c r="AA381" t="s">
        <v>25</v>
      </c>
      <c r="AC381" t="s">
        <v>22</v>
      </c>
      <c r="AD381" t="s">
        <v>2026</v>
      </c>
      <c r="AE381">
        <v>1.2726508459587487E-4</v>
      </c>
      <c r="AG381" t="s">
        <v>97</v>
      </c>
      <c r="AH381" t="s">
        <v>2026</v>
      </c>
      <c r="AI381">
        <v>0</v>
      </c>
    </row>
    <row r="382" spans="5:35" x14ac:dyDescent="0.45">
      <c r="E382" t="s">
        <v>1537</v>
      </c>
      <c r="G382" t="s">
        <v>434</v>
      </c>
      <c r="I382" t="s">
        <v>249</v>
      </c>
      <c r="J382" t="s">
        <v>2027</v>
      </c>
      <c r="K382">
        <v>5.8653037858682737E-5</v>
      </c>
      <c r="L382" t="s">
        <v>251</v>
      </c>
      <c r="N382" t="s">
        <v>419</v>
      </c>
      <c r="O382" t="s">
        <v>2027</v>
      </c>
      <c r="P382">
        <v>4.2102754510945399E-5</v>
      </c>
      <c r="Q382" t="s">
        <v>251</v>
      </c>
      <c r="S382" t="s">
        <v>420</v>
      </c>
      <c r="T382" t="s">
        <v>2027</v>
      </c>
      <c r="U382">
        <v>7.4569640218439173E-5</v>
      </c>
      <c r="V382" t="s">
        <v>251</v>
      </c>
      <c r="X382">
        <v>1.1415525114155251E-4</v>
      </c>
      <c r="Y382">
        <v>1.5579809230208258E-4</v>
      </c>
      <c r="Z382" t="s">
        <v>2027</v>
      </c>
      <c r="AA382" t="s">
        <v>25</v>
      </c>
      <c r="AC382" t="s">
        <v>22</v>
      </c>
      <c r="AD382" t="s">
        <v>2027</v>
      </c>
      <c r="AE382">
        <v>1.2783573896561805E-4</v>
      </c>
      <c r="AG382" t="s">
        <v>97</v>
      </c>
      <c r="AH382" t="s">
        <v>2027</v>
      </c>
      <c r="AI382">
        <v>0</v>
      </c>
    </row>
    <row r="383" spans="5:35" x14ac:dyDescent="0.45">
      <c r="E383" t="s">
        <v>1538</v>
      </c>
      <c r="G383" t="s">
        <v>434</v>
      </c>
      <c r="I383" t="s">
        <v>249</v>
      </c>
      <c r="J383" t="s">
        <v>2028</v>
      </c>
      <c r="K383">
        <v>0</v>
      </c>
      <c r="L383" t="s">
        <v>251</v>
      </c>
      <c r="N383" t="s">
        <v>419</v>
      </c>
      <c r="O383" t="s">
        <v>2028</v>
      </c>
      <c r="P383">
        <v>5.1070718677202077E-5</v>
      </c>
      <c r="Q383" t="s">
        <v>251</v>
      </c>
      <c r="S383" t="s">
        <v>420</v>
      </c>
      <c r="T383" t="s">
        <v>2028</v>
      </c>
      <c r="U383">
        <v>7.5389514851821813E-5</v>
      </c>
      <c r="V383" t="s">
        <v>251</v>
      </c>
      <c r="X383">
        <v>1.1415525114155251E-4</v>
      </c>
      <c r="Y383">
        <v>1.093901499142282E-4</v>
      </c>
      <c r="Z383" t="s">
        <v>2028</v>
      </c>
      <c r="AA383" t="s">
        <v>25</v>
      </c>
      <c r="AC383" t="s">
        <v>22</v>
      </c>
      <c r="AD383" t="s">
        <v>2028</v>
      </c>
      <c r="AE383">
        <v>1.2829621088809428E-4</v>
      </c>
      <c r="AG383" t="s">
        <v>97</v>
      </c>
      <c r="AH383" t="s">
        <v>2028</v>
      </c>
      <c r="AI383">
        <v>0</v>
      </c>
    </row>
    <row r="384" spans="5:35" x14ac:dyDescent="0.45">
      <c r="E384" t="s">
        <v>1539</v>
      </c>
      <c r="G384" t="s">
        <v>434</v>
      </c>
      <c r="I384" t="s">
        <v>249</v>
      </c>
      <c r="J384" t="s">
        <v>2029</v>
      </c>
      <c r="K384">
        <v>0</v>
      </c>
      <c r="L384" t="s">
        <v>251</v>
      </c>
      <c r="N384" t="s">
        <v>419</v>
      </c>
      <c r="O384" t="s">
        <v>2029</v>
      </c>
      <c r="P384">
        <v>5.6455821053043432E-5</v>
      </c>
      <c r="Q384" t="s">
        <v>251</v>
      </c>
      <c r="S384" t="s">
        <v>420</v>
      </c>
      <c r="T384" t="s">
        <v>2029</v>
      </c>
      <c r="U384">
        <v>7.4907984638596873E-5</v>
      </c>
      <c r="V384" t="s">
        <v>251</v>
      </c>
      <c r="X384">
        <v>1.1415525114155251E-4</v>
      </c>
      <c r="Y384">
        <v>7.9556472664893237E-5</v>
      </c>
      <c r="Z384" t="s">
        <v>2029</v>
      </c>
      <c r="AA384" t="s">
        <v>25</v>
      </c>
      <c r="AC384" t="s">
        <v>22</v>
      </c>
      <c r="AD384" t="s">
        <v>2029</v>
      </c>
      <c r="AE384">
        <v>1.2778158149153769E-4</v>
      </c>
      <c r="AG384" t="s">
        <v>97</v>
      </c>
      <c r="AH384" t="s">
        <v>2029</v>
      </c>
      <c r="AI384">
        <v>0</v>
      </c>
    </row>
    <row r="385" spans="5:35" x14ac:dyDescent="0.45">
      <c r="E385" t="s">
        <v>1540</v>
      </c>
      <c r="G385" t="s">
        <v>434</v>
      </c>
      <c r="I385" t="s">
        <v>249</v>
      </c>
      <c r="J385" t="s">
        <v>2030</v>
      </c>
      <c r="K385">
        <v>0</v>
      </c>
      <c r="L385" t="s">
        <v>251</v>
      </c>
      <c r="N385" t="s">
        <v>419</v>
      </c>
      <c r="O385" t="s">
        <v>2030</v>
      </c>
      <c r="P385">
        <v>5.70977949498072E-5</v>
      </c>
      <c r="Q385" t="s">
        <v>251</v>
      </c>
      <c r="S385" t="s">
        <v>420</v>
      </c>
      <c r="T385" t="s">
        <v>2030</v>
      </c>
      <c r="U385">
        <v>7.2633859052389669E-5</v>
      </c>
      <c r="V385" t="s">
        <v>251</v>
      </c>
      <c r="X385">
        <v>1.1415525114155251E-4</v>
      </c>
      <c r="Y385">
        <v>5.6352501470966035E-5</v>
      </c>
      <c r="Z385" t="s">
        <v>2030</v>
      </c>
      <c r="AA385" t="s">
        <v>25</v>
      </c>
      <c r="AC385" t="s">
        <v>22</v>
      </c>
      <c r="AD385" t="s">
        <v>2030</v>
      </c>
      <c r="AE385">
        <v>1.2705805898067119E-4</v>
      </c>
      <c r="AG385" t="s">
        <v>97</v>
      </c>
      <c r="AH385" t="s">
        <v>2030</v>
      </c>
      <c r="AI385">
        <v>0</v>
      </c>
    </row>
    <row r="386" spans="5:35" x14ac:dyDescent="0.45">
      <c r="E386" t="s">
        <v>1541</v>
      </c>
      <c r="G386" t="s">
        <v>434</v>
      </c>
      <c r="I386" t="s">
        <v>249</v>
      </c>
      <c r="J386" t="s">
        <v>2031</v>
      </c>
      <c r="K386">
        <v>0</v>
      </c>
      <c r="L386" t="s">
        <v>251</v>
      </c>
      <c r="N386" t="s">
        <v>419</v>
      </c>
      <c r="O386" t="s">
        <v>2031</v>
      </c>
      <c r="P386">
        <v>5.8845808474145951E-5</v>
      </c>
      <c r="Q386" t="s">
        <v>251</v>
      </c>
      <c r="S386" t="s">
        <v>420</v>
      </c>
      <c r="T386" t="s">
        <v>2031</v>
      </c>
      <c r="U386">
        <v>6.9973518268354626E-5</v>
      </c>
      <c r="V386" t="s">
        <v>251</v>
      </c>
      <c r="X386">
        <v>1.1415525114155251E-4</v>
      </c>
      <c r="Y386">
        <v>2.9833677249334962E-5</v>
      </c>
      <c r="Z386" t="s">
        <v>2031</v>
      </c>
      <c r="AA386" t="s">
        <v>25</v>
      </c>
      <c r="AC386" t="s">
        <v>22</v>
      </c>
      <c r="AD386" t="s">
        <v>2031</v>
      </c>
      <c r="AE386">
        <v>1.2796566354629355E-4</v>
      </c>
      <c r="AG386" t="s">
        <v>97</v>
      </c>
      <c r="AH386" t="s">
        <v>2031</v>
      </c>
      <c r="AI386">
        <v>0</v>
      </c>
    </row>
    <row r="387" spans="5:35" x14ac:dyDescent="0.45">
      <c r="E387" t="s">
        <v>1542</v>
      </c>
      <c r="G387" t="s">
        <v>434</v>
      </c>
      <c r="I387" t="s">
        <v>249</v>
      </c>
      <c r="J387" t="s">
        <v>2032</v>
      </c>
      <c r="K387">
        <v>0</v>
      </c>
      <c r="L387" t="s">
        <v>251</v>
      </c>
      <c r="N387" t="s">
        <v>419</v>
      </c>
      <c r="O387" t="s">
        <v>2032</v>
      </c>
      <c r="P387">
        <v>5.7463239701371431E-5</v>
      </c>
      <c r="Q387" t="s">
        <v>251</v>
      </c>
      <c r="S387" t="s">
        <v>420</v>
      </c>
      <c r="T387" t="s">
        <v>2032</v>
      </c>
      <c r="U387">
        <v>6.885124815836954E-5</v>
      </c>
      <c r="V387" t="s">
        <v>251</v>
      </c>
      <c r="X387">
        <v>1.1415525114155251E-4</v>
      </c>
      <c r="Y387">
        <v>2.1546544680075254E-5</v>
      </c>
      <c r="Z387" t="s">
        <v>2032</v>
      </c>
      <c r="AA387" t="s">
        <v>25</v>
      </c>
      <c r="AC387" t="s">
        <v>22</v>
      </c>
      <c r="AD387" t="s">
        <v>2032</v>
      </c>
      <c r="AE387">
        <v>1.2509718491914137E-4</v>
      </c>
      <c r="AG387" t="s">
        <v>97</v>
      </c>
      <c r="AH387" t="s">
        <v>2032</v>
      </c>
      <c r="AI387">
        <v>0</v>
      </c>
    </row>
    <row r="388" spans="5:35" x14ac:dyDescent="0.45">
      <c r="E388" t="s">
        <v>1543</v>
      </c>
      <c r="G388" t="s">
        <v>434</v>
      </c>
      <c r="I388" t="s">
        <v>249</v>
      </c>
      <c r="J388" t="s">
        <v>2033</v>
      </c>
      <c r="K388">
        <v>0</v>
      </c>
      <c r="L388" t="s">
        <v>251</v>
      </c>
      <c r="N388" t="s">
        <v>419</v>
      </c>
      <c r="O388" t="s">
        <v>2033</v>
      </c>
      <c r="P388">
        <v>5.6675666885982968E-5</v>
      </c>
      <c r="Q388" t="s">
        <v>251</v>
      </c>
      <c r="S388" t="s">
        <v>420</v>
      </c>
      <c r="T388" t="s">
        <v>2033</v>
      </c>
      <c r="U388">
        <v>6.8353088179185512E-5</v>
      </c>
      <c r="V388" t="s">
        <v>251</v>
      </c>
      <c r="X388">
        <v>1.1415525114155251E-4</v>
      </c>
      <c r="Y388">
        <v>1.4916838624667481E-5</v>
      </c>
      <c r="Z388" t="s">
        <v>2033</v>
      </c>
      <c r="AA388" t="s">
        <v>25</v>
      </c>
      <c r="AC388" t="s">
        <v>22</v>
      </c>
      <c r="AD388" t="s">
        <v>2033</v>
      </c>
      <c r="AE388">
        <v>1.2293382059738012E-4</v>
      </c>
      <c r="AG388" t="s">
        <v>97</v>
      </c>
      <c r="AH388" t="s">
        <v>2033</v>
      </c>
      <c r="AI388">
        <v>0</v>
      </c>
    </row>
    <row r="389" spans="5:35" x14ac:dyDescent="0.45">
      <c r="E389" t="s">
        <v>1544</v>
      </c>
      <c r="G389" t="s">
        <v>434</v>
      </c>
      <c r="I389" t="s">
        <v>249</v>
      </c>
      <c r="J389" t="s">
        <v>2034</v>
      </c>
      <c r="K389">
        <v>0</v>
      </c>
      <c r="L389" t="s">
        <v>251</v>
      </c>
      <c r="N389" t="s">
        <v>419</v>
      </c>
      <c r="O389" t="s">
        <v>2034</v>
      </c>
      <c r="P389">
        <v>5.7394322980311183E-5</v>
      </c>
      <c r="Q389" t="s">
        <v>251</v>
      </c>
      <c r="S389" t="s">
        <v>420</v>
      </c>
      <c r="T389" t="s">
        <v>2034</v>
      </c>
      <c r="U389">
        <v>6.4381630923966235E-5</v>
      </c>
      <c r="V389" t="s">
        <v>251</v>
      </c>
      <c r="X389">
        <v>1.1415525114155251E-4</v>
      </c>
      <c r="Y389">
        <v>1.6574265138519424E-5</v>
      </c>
      <c r="Z389" t="s">
        <v>2034</v>
      </c>
      <c r="AA389" t="s">
        <v>25</v>
      </c>
      <c r="AC389" t="s">
        <v>22</v>
      </c>
      <c r="AD389" t="s">
        <v>2034</v>
      </c>
      <c r="AE389">
        <v>1.1987405670463381E-4</v>
      </c>
      <c r="AG389" t="s">
        <v>97</v>
      </c>
      <c r="AH389" t="s">
        <v>2034</v>
      </c>
      <c r="AI389">
        <v>0</v>
      </c>
    </row>
    <row r="390" spans="5:35" x14ac:dyDescent="0.45">
      <c r="E390" t="s">
        <v>1545</v>
      </c>
      <c r="G390" t="s">
        <v>434</v>
      </c>
      <c r="I390" t="s">
        <v>249</v>
      </c>
      <c r="J390" t="s">
        <v>2035</v>
      </c>
      <c r="K390">
        <v>0</v>
      </c>
      <c r="L390" t="s">
        <v>251</v>
      </c>
      <c r="N390" t="s">
        <v>419</v>
      </c>
      <c r="O390" t="s">
        <v>2035</v>
      </c>
      <c r="P390">
        <v>5.2825538245469777E-5</v>
      </c>
      <c r="Q390" t="s">
        <v>251</v>
      </c>
      <c r="S390" t="s">
        <v>420</v>
      </c>
      <c r="T390" t="s">
        <v>2035</v>
      </c>
      <c r="U390">
        <v>5.7353622393067468E-5</v>
      </c>
      <c r="V390" t="s">
        <v>251</v>
      </c>
      <c r="X390">
        <v>1.1415525114155251E-4</v>
      </c>
      <c r="Y390">
        <v>1.4585353321897093E-5</v>
      </c>
      <c r="Z390" t="s">
        <v>2035</v>
      </c>
      <c r="AA390" t="s">
        <v>25</v>
      </c>
      <c r="AC390" t="s">
        <v>22</v>
      </c>
      <c r="AD390" t="s">
        <v>2035</v>
      </c>
      <c r="AE390">
        <v>1.0875683452531289E-4</v>
      </c>
      <c r="AG390" t="s">
        <v>97</v>
      </c>
      <c r="AH390" t="s">
        <v>2035</v>
      </c>
      <c r="AI390">
        <v>0</v>
      </c>
    </row>
    <row r="391" spans="5:35" x14ac:dyDescent="0.45">
      <c r="E391" t="s">
        <v>1546</v>
      </c>
      <c r="G391" t="s">
        <v>434</v>
      </c>
      <c r="I391" t="s">
        <v>249</v>
      </c>
      <c r="J391" t="s">
        <v>2036</v>
      </c>
      <c r="K391">
        <v>0</v>
      </c>
      <c r="L391" t="s">
        <v>251</v>
      </c>
      <c r="N391" t="s">
        <v>419</v>
      </c>
      <c r="O391" t="s">
        <v>2036</v>
      </c>
      <c r="P391">
        <v>4.6874076661185218E-5</v>
      </c>
      <c r="Q391" t="s">
        <v>251</v>
      </c>
      <c r="S391" t="s">
        <v>420</v>
      </c>
      <c r="T391" t="s">
        <v>2036</v>
      </c>
      <c r="U391">
        <v>4.3869275782555554E-5</v>
      </c>
      <c r="V391" t="s">
        <v>251</v>
      </c>
      <c r="X391">
        <v>1.1415525114155251E-4</v>
      </c>
      <c r="Y391">
        <v>2.1215059377304864E-5</v>
      </c>
      <c r="Z391" t="s">
        <v>2036</v>
      </c>
      <c r="AA391" t="s">
        <v>25</v>
      </c>
      <c r="AC391" t="s">
        <v>22</v>
      </c>
      <c r="AD391" t="s">
        <v>2036</v>
      </c>
      <c r="AE391">
        <v>1.0246122825266246E-4</v>
      </c>
      <c r="AG391" t="s">
        <v>97</v>
      </c>
      <c r="AH391" t="s">
        <v>2036</v>
      </c>
      <c r="AI391">
        <v>0</v>
      </c>
    </row>
    <row r="392" spans="5:35" x14ac:dyDescent="0.45">
      <c r="E392" t="s">
        <v>1547</v>
      </c>
      <c r="G392" t="s">
        <v>434</v>
      </c>
      <c r="I392" t="s">
        <v>249</v>
      </c>
      <c r="J392" t="s">
        <v>2037</v>
      </c>
      <c r="K392">
        <v>0</v>
      </c>
      <c r="L392" t="s">
        <v>251</v>
      </c>
      <c r="N392" t="s">
        <v>419</v>
      </c>
      <c r="O392" t="s">
        <v>2037</v>
      </c>
      <c r="P392">
        <v>4.6749634194806827E-5</v>
      </c>
      <c r="Q392" t="s">
        <v>251</v>
      </c>
      <c r="S392" t="s">
        <v>420</v>
      </c>
      <c r="T392" t="s">
        <v>2037</v>
      </c>
      <c r="U392">
        <v>3.8887237356795103E-5</v>
      </c>
      <c r="V392" t="s">
        <v>251</v>
      </c>
      <c r="X392">
        <v>1.1415525114155251E-4</v>
      </c>
      <c r="Y392">
        <v>5.7678442682047593E-5</v>
      </c>
      <c r="Z392" t="s">
        <v>2037</v>
      </c>
      <c r="AA392" t="s">
        <v>25</v>
      </c>
      <c r="AC392" t="s">
        <v>22</v>
      </c>
      <c r="AD392" t="s">
        <v>2037</v>
      </c>
      <c r="AE392">
        <v>9.3824044886400195E-5</v>
      </c>
      <c r="AG392" t="s">
        <v>97</v>
      </c>
      <c r="AH392" t="s">
        <v>2037</v>
      </c>
      <c r="AI392">
        <v>0</v>
      </c>
    </row>
    <row r="393" spans="5:35" x14ac:dyDescent="0.45">
      <c r="E393" t="s">
        <v>1548</v>
      </c>
      <c r="G393" t="s">
        <v>434</v>
      </c>
      <c r="I393" t="s">
        <v>249</v>
      </c>
      <c r="J393" t="s">
        <v>2038</v>
      </c>
      <c r="K393">
        <v>1.05165366302E-4</v>
      </c>
      <c r="L393" t="s">
        <v>251</v>
      </c>
      <c r="N393" t="s">
        <v>419</v>
      </c>
      <c r="O393" t="s">
        <v>2038</v>
      </c>
      <c r="P393">
        <v>4.1314098299136278E-5</v>
      </c>
      <c r="Q393" t="s">
        <v>251</v>
      </c>
      <c r="S393" t="s">
        <v>420</v>
      </c>
      <c r="T393" t="s">
        <v>2038</v>
      </c>
      <c r="U393">
        <v>3.3190318991200403E-5</v>
      </c>
      <c r="V393" t="s">
        <v>251</v>
      </c>
      <c r="X393">
        <v>1.1415525114155251E-4</v>
      </c>
      <c r="Y393">
        <v>1.6905750441289813E-4</v>
      </c>
      <c r="Z393" t="s">
        <v>2038</v>
      </c>
      <c r="AA393" t="s">
        <v>25</v>
      </c>
      <c r="AC393" t="s">
        <v>22</v>
      </c>
      <c r="AD393" t="s">
        <v>2038</v>
      </c>
      <c r="AE393">
        <v>8.9619237255955127E-5</v>
      </c>
      <c r="AG393" t="s">
        <v>97</v>
      </c>
      <c r="AH393" t="s">
        <v>2038</v>
      </c>
      <c r="AI393">
        <v>0</v>
      </c>
    </row>
    <row r="394" spans="5:35" x14ac:dyDescent="0.45">
      <c r="E394" t="s">
        <v>1549</v>
      </c>
      <c r="G394" t="s">
        <v>434</v>
      </c>
      <c r="I394" t="s">
        <v>249</v>
      </c>
      <c r="J394" t="s">
        <v>2039</v>
      </c>
      <c r="K394">
        <v>1.8835318950089999E-4</v>
      </c>
      <c r="L394" t="s">
        <v>251</v>
      </c>
      <c r="N394" t="s">
        <v>419</v>
      </c>
      <c r="O394" t="s">
        <v>2039</v>
      </c>
      <c r="P394">
        <v>2.8306845608169529E-5</v>
      </c>
      <c r="Q394" t="s">
        <v>251</v>
      </c>
      <c r="S394" t="s">
        <v>420</v>
      </c>
      <c r="T394" t="s">
        <v>2039</v>
      </c>
      <c r="U394">
        <v>2.8919802324109811E-5</v>
      </c>
      <c r="V394" t="s">
        <v>251</v>
      </c>
      <c r="X394">
        <v>1.1415525114155251E-4</v>
      </c>
      <c r="Y394">
        <v>1.9060404909297337E-4</v>
      </c>
      <c r="Z394" t="s">
        <v>2039</v>
      </c>
      <c r="AA394" t="s">
        <v>25</v>
      </c>
      <c r="AC394" t="s">
        <v>22</v>
      </c>
      <c r="AD394" t="s">
        <v>2039</v>
      </c>
      <c r="AE394">
        <v>8.5496599586183691E-5</v>
      </c>
      <c r="AG394" t="s">
        <v>97</v>
      </c>
      <c r="AH394" t="s">
        <v>2039</v>
      </c>
      <c r="AI394">
        <v>0</v>
      </c>
    </row>
    <row r="395" spans="5:35" x14ac:dyDescent="0.45">
      <c r="E395" t="s">
        <v>240</v>
      </c>
      <c r="G395" t="s">
        <v>152</v>
      </c>
      <c r="I395" t="s">
        <v>249</v>
      </c>
      <c r="J395" t="s">
        <v>2040</v>
      </c>
      <c r="K395">
        <v>2.390326328219E-4</v>
      </c>
      <c r="L395" t="s">
        <v>251</v>
      </c>
      <c r="N395" t="s">
        <v>419</v>
      </c>
      <c r="O395" t="s">
        <v>2040</v>
      </c>
      <c r="P395">
        <v>2.5597447190632041E-5</v>
      </c>
      <c r="Q395" t="s">
        <v>251</v>
      </c>
      <c r="S395" t="s">
        <v>420</v>
      </c>
      <c r="T395" t="s">
        <v>2040</v>
      </c>
      <c r="U395">
        <v>2.7393770030315665E-5</v>
      </c>
      <c r="V395" t="s">
        <v>251</v>
      </c>
      <c r="X395">
        <v>1.1415525114155251E-4</v>
      </c>
      <c r="Y395">
        <v>1.4585353321897094E-4</v>
      </c>
      <c r="Z395" t="s">
        <v>2040</v>
      </c>
      <c r="AA395" t="s">
        <v>25</v>
      </c>
      <c r="AC395" t="s">
        <v>22</v>
      </c>
      <c r="AD395" t="s">
        <v>2040</v>
      </c>
      <c r="AE395">
        <v>8.4743997446377485E-5</v>
      </c>
      <c r="AG395" t="s">
        <v>97</v>
      </c>
      <c r="AH395" t="s">
        <v>2040</v>
      </c>
      <c r="AI395">
        <v>0</v>
      </c>
    </row>
    <row r="396" spans="5:35" x14ac:dyDescent="0.45">
      <c r="E396" t="s">
        <v>241</v>
      </c>
      <c r="G396" t="s">
        <v>152</v>
      </c>
      <c r="I396" t="s">
        <v>249</v>
      </c>
      <c r="J396" t="s">
        <v>2041</v>
      </c>
      <c r="K396">
        <v>2.7199473474309998E-4</v>
      </c>
      <c r="L396" t="s">
        <v>251</v>
      </c>
      <c r="N396" t="s">
        <v>419</v>
      </c>
      <c r="O396" t="s">
        <v>2041</v>
      </c>
      <c r="P396">
        <v>2.7218603401973321E-5</v>
      </c>
      <c r="Q396" t="s">
        <v>251</v>
      </c>
      <c r="S396" t="s">
        <v>420</v>
      </c>
      <c r="T396" t="s">
        <v>2041</v>
      </c>
      <c r="U396">
        <v>2.4854329223126879E-5</v>
      </c>
      <c r="V396" t="s">
        <v>251</v>
      </c>
      <c r="X396">
        <v>1.1415525114155251E-4</v>
      </c>
      <c r="Y396">
        <v>1.4452759200788939E-4</v>
      </c>
      <c r="Z396" t="s">
        <v>2041</v>
      </c>
      <c r="AA396" t="s">
        <v>25</v>
      </c>
      <c r="AC396" t="s">
        <v>22</v>
      </c>
      <c r="AD396" t="s">
        <v>2041</v>
      </c>
      <c r="AE396">
        <v>8.4083703119535808E-5</v>
      </c>
      <c r="AG396" t="s">
        <v>97</v>
      </c>
      <c r="AH396" t="s">
        <v>2041</v>
      </c>
      <c r="AI396">
        <v>0</v>
      </c>
    </row>
    <row r="397" spans="5:35" x14ac:dyDescent="0.45">
      <c r="E397" t="s">
        <v>242</v>
      </c>
      <c r="G397" t="s">
        <v>152</v>
      </c>
      <c r="I397" t="s">
        <v>249</v>
      </c>
      <c r="J397" t="s">
        <v>2042</v>
      </c>
      <c r="K397">
        <v>2.872234125098E-4</v>
      </c>
      <c r="L397" t="s">
        <v>251</v>
      </c>
      <c r="N397" t="s">
        <v>419</v>
      </c>
      <c r="O397" t="s">
        <v>2042</v>
      </c>
      <c r="P397">
        <v>3.0316788714476317E-5</v>
      </c>
      <c r="Q397" t="s">
        <v>251</v>
      </c>
      <c r="S397" t="s">
        <v>420</v>
      </c>
      <c r="T397" t="s">
        <v>2042</v>
      </c>
      <c r="U397">
        <v>2.3520756599414659E-5</v>
      </c>
      <c r="V397" t="s">
        <v>251</v>
      </c>
      <c r="X397">
        <v>1.1415525114155251E-4</v>
      </c>
      <c r="Y397">
        <v>1.408812536774151E-4</v>
      </c>
      <c r="Z397" t="s">
        <v>2042</v>
      </c>
      <c r="AA397" t="s">
        <v>25</v>
      </c>
      <c r="AC397" t="s">
        <v>22</v>
      </c>
      <c r="AD397" t="s">
        <v>2042</v>
      </c>
      <c r="AE397">
        <v>8.6277214212583165E-5</v>
      </c>
      <c r="AG397" t="s">
        <v>97</v>
      </c>
      <c r="AH397" t="s">
        <v>2042</v>
      </c>
      <c r="AI397">
        <v>0</v>
      </c>
    </row>
    <row r="398" spans="5:35" x14ac:dyDescent="0.45">
      <c r="E398" t="s">
        <v>243</v>
      </c>
      <c r="G398" t="s">
        <v>152</v>
      </c>
      <c r="I398" t="s">
        <v>249</v>
      </c>
      <c r="J398" t="s">
        <v>2043</v>
      </c>
      <c r="K398">
        <v>2.9347492163370002E-4</v>
      </c>
      <c r="L398" t="s">
        <v>251</v>
      </c>
      <c r="N398" t="s">
        <v>419</v>
      </c>
      <c r="O398" t="s">
        <v>2043</v>
      </c>
      <c r="P398">
        <v>3.3415646654196679E-5</v>
      </c>
      <c r="Q398" t="s">
        <v>251</v>
      </c>
      <c r="S398" t="s">
        <v>420</v>
      </c>
      <c r="T398" t="s">
        <v>2043</v>
      </c>
      <c r="U398">
        <v>2.536315130267188E-5</v>
      </c>
      <c r="V398" t="s">
        <v>251</v>
      </c>
      <c r="X398">
        <v>1.1415525114155251E-4</v>
      </c>
      <c r="Y398">
        <v>1.4054976837464471E-4</v>
      </c>
      <c r="Z398" t="s">
        <v>2043</v>
      </c>
      <c r="AA398" t="s">
        <v>25</v>
      </c>
      <c r="AC398" t="s">
        <v>22</v>
      </c>
      <c r="AD398" t="s">
        <v>2043</v>
      </c>
      <c r="AE398">
        <v>8.9391935936169642E-5</v>
      </c>
      <c r="AG398" t="s">
        <v>97</v>
      </c>
      <c r="AH398" t="s">
        <v>2043</v>
      </c>
      <c r="AI398">
        <v>0</v>
      </c>
    </row>
    <row r="399" spans="5:35" x14ac:dyDescent="0.45">
      <c r="E399" t="s">
        <v>244</v>
      </c>
      <c r="G399" t="s">
        <v>152</v>
      </c>
      <c r="I399" t="s">
        <v>249</v>
      </c>
      <c r="J399" t="s">
        <v>2044</v>
      </c>
      <c r="K399">
        <v>2.789173251634E-4</v>
      </c>
      <c r="L399" t="s">
        <v>251</v>
      </c>
      <c r="N399" t="s">
        <v>419</v>
      </c>
      <c r="O399" t="s">
        <v>2044</v>
      </c>
      <c r="P399">
        <v>3.4406782165196058E-5</v>
      </c>
      <c r="Q399" t="s">
        <v>251</v>
      </c>
      <c r="S399" t="s">
        <v>420</v>
      </c>
      <c r="T399" t="s">
        <v>2044</v>
      </c>
      <c r="U399">
        <v>3.1664954056190299E-5</v>
      </c>
      <c r="V399" t="s">
        <v>251</v>
      </c>
      <c r="X399">
        <v>1.1415525114155251E-4</v>
      </c>
      <c r="Y399">
        <v>1.4253868019126702E-4</v>
      </c>
      <c r="Z399" t="s">
        <v>2044</v>
      </c>
      <c r="AA399" t="s">
        <v>25</v>
      </c>
      <c r="AC399" t="s">
        <v>22</v>
      </c>
      <c r="AD399" t="s">
        <v>2044</v>
      </c>
      <c r="AE399">
        <v>9.2390339143997324E-5</v>
      </c>
      <c r="AG399" t="s">
        <v>97</v>
      </c>
      <c r="AH399" t="s">
        <v>2044</v>
      </c>
      <c r="AI399">
        <v>0</v>
      </c>
    </row>
    <row r="400" spans="5:35" x14ac:dyDescent="0.45">
      <c r="E400" t="s">
        <v>245</v>
      </c>
      <c r="G400" t="s">
        <v>152</v>
      </c>
      <c r="I400" t="s">
        <v>249</v>
      </c>
      <c r="J400" t="s">
        <v>2045</v>
      </c>
      <c r="K400">
        <v>2.8245003301899998E-4</v>
      </c>
      <c r="L400" t="s">
        <v>251</v>
      </c>
      <c r="N400" t="s">
        <v>419</v>
      </c>
      <c r="O400" t="s">
        <v>2045</v>
      </c>
      <c r="P400">
        <v>3.6133580230749184E-5</v>
      </c>
      <c r="Q400" t="s">
        <v>251</v>
      </c>
      <c r="S400" t="s">
        <v>420</v>
      </c>
      <c r="T400" t="s">
        <v>2045</v>
      </c>
      <c r="U400">
        <v>4.2533324043920976E-5</v>
      </c>
      <c r="V400" t="s">
        <v>251</v>
      </c>
      <c r="X400">
        <v>1.1415525114155251E-4</v>
      </c>
      <c r="Y400">
        <v>1.4883690094390442E-4</v>
      </c>
      <c r="Z400" t="s">
        <v>2045</v>
      </c>
      <c r="AA400" t="s">
        <v>25</v>
      </c>
      <c r="AC400" t="s">
        <v>22</v>
      </c>
      <c r="AD400" t="s">
        <v>2045</v>
      </c>
      <c r="AE400">
        <v>9.6250726582138322E-5</v>
      </c>
      <c r="AG400" t="s">
        <v>97</v>
      </c>
      <c r="AH400" t="s">
        <v>2045</v>
      </c>
      <c r="AI400">
        <v>0</v>
      </c>
    </row>
    <row r="401" spans="5:35" x14ac:dyDescent="0.45">
      <c r="E401" t="s">
        <v>246</v>
      </c>
      <c r="G401" t="s">
        <v>152</v>
      </c>
      <c r="I401" t="s">
        <v>249</v>
      </c>
      <c r="J401" t="s">
        <v>2046</v>
      </c>
      <c r="K401">
        <v>2.7452533410539999E-4</v>
      </c>
      <c r="L401" t="s">
        <v>251</v>
      </c>
      <c r="N401" t="s">
        <v>419</v>
      </c>
      <c r="O401" t="s">
        <v>2046</v>
      </c>
      <c r="P401">
        <v>3.845792597273954E-5</v>
      </c>
      <c r="Q401" t="s">
        <v>251</v>
      </c>
      <c r="S401" t="s">
        <v>420</v>
      </c>
      <c r="T401" t="s">
        <v>2046</v>
      </c>
      <c r="U401">
        <v>5.5457865657505003E-5</v>
      </c>
      <c r="V401" t="s">
        <v>251</v>
      </c>
      <c r="X401">
        <v>1.1415525114155251E-4</v>
      </c>
      <c r="Y401">
        <v>1.5049432745775637E-4</v>
      </c>
      <c r="Z401" t="s">
        <v>2046</v>
      </c>
      <c r="AA401" t="s">
        <v>25</v>
      </c>
      <c r="AC401" t="s">
        <v>22</v>
      </c>
      <c r="AD401" t="s">
        <v>2046</v>
      </c>
      <c r="AE401">
        <v>9.7908532217287479E-5</v>
      </c>
      <c r="AG401" t="s">
        <v>97</v>
      </c>
      <c r="AH401" t="s">
        <v>2046</v>
      </c>
      <c r="AI401">
        <v>0</v>
      </c>
    </row>
    <row r="402" spans="5:35" x14ac:dyDescent="0.45">
      <c r="E402" t="s">
        <v>247</v>
      </c>
      <c r="G402" t="s">
        <v>152</v>
      </c>
      <c r="I402" t="s">
        <v>249</v>
      </c>
      <c r="J402" t="s">
        <v>2047</v>
      </c>
      <c r="K402">
        <v>2.5593789502399998E-4</v>
      </c>
      <c r="L402" t="s">
        <v>251</v>
      </c>
      <c r="N402" t="s">
        <v>419</v>
      </c>
      <c r="O402" t="s">
        <v>2047</v>
      </c>
      <c r="P402">
        <v>3.523869341824042E-5</v>
      </c>
      <c r="Q402" t="s">
        <v>251</v>
      </c>
      <c r="S402" t="s">
        <v>420</v>
      </c>
      <c r="T402" t="s">
        <v>2047</v>
      </c>
      <c r="U402">
        <v>6.5427488892209331E-5</v>
      </c>
      <c r="V402" t="s">
        <v>251</v>
      </c>
      <c r="X402">
        <v>1.1415525114155251E-4</v>
      </c>
      <c r="Y402">
        <v>1.7237235744060203E-4</v>
      </c>
      <c r="Z402" t="s">
        <v>2047</v>
      </c>
      <c r="AA402" t="s">
        <v>25</v>
      </c>
      <c r="AC402" t="s">
        <v>22</v>
      </c>
      <c r="AD402" t="s">
        <v>2047</v>
      </c>
      <c r="AE402">
        <v>1.0411956745898483E-4</v>
      </c>
      <c r="AG402" t="s">
        <v>97</v>
      </c>
      <c r="AH402" t="s">
        <v>2047</v>
      </c>
      <c r="AI402">
        <v>0</v>
      </c>
    </row>
    <row r="403" spans="5:35" x14ac:dyDescent="0.45">
      <c r="I403" t="s">
        <v>249</v>
      </c>
      <c r="J403" t="s">
        <v>2048</v>
      </c>
      <c r="K403">
        <v>2.2522436303440001E-4</v>
      </c>
      <c r="L403" t="s">
        <v>251</v>
      </c>
      <c r="N403" t="s">
        <v>419</v>
      </c>
      <c r="O403" t="s">
        <v>2048</v>
      </c>
      <c r="P403">
        <v>4.3268746544071563E-5</v>
      </c>
      <c r="Q403" t="s">
        <v>251</v>
      </c>
      <c r="S403" t="s">
        <v>420</v>
      </c>
      <c r="T403" t="s">
        <v>2048</v>
      </c>
      <c r="U403">
        <v>6.0765703643131383E-5</v>
      </c>
      <c r="V403" t="s">
        <v>251</v>
      </c>
      <c r="X403">
        <v>1.1415525114155251E-4</v>
      </c>
      <c r="Y403">
        <v>2.2209515285616027E-4</v>
      </c>
      <c r="Z403" t="s">
        <v>2048</v>
      </c>
      <c r="AA403" t="s">
        <v>25</v>
      </c>
      <c r="AC403" t="s">
        <v>22</v>
      </c>
      <c r="AD403" t="s">
        <v>2048</v>
      </c>
      <c r="AE403">
        <v>1.0497248097935365E-4</v>
      </c>
      <c r="AG403" t="s">
        <v>97</v>
      </c>
      <c r="AH403" t="s">
        <v>2048</v>
      </c>
      <c r="AI403">
        <v>0</v>
      </c>
    </row>
    <row r="404" spans="5:35" x14ac:dyDescent="0.45">
      <c r="I404" t="s">
        <v>249</v>
      </c>
      <c r="J404" t="s">
        <v>2049</v>
      </c>
      <c r="K404">
        <v>1.8817496294009999E-4</v>
      </c>
      <c r="L404" t="s">
        <v>251</v>
      </c>
      <c r="N404" t="s">
        <v>419</v>
      </c>
      <c r="O404" t="s">
        <v>2049</v>
      </c>
      <c r="P404">
        <v>5.3043410949013554E-5</v>
      </c>
      <c r="Q404" t="s">
        <v>251</v>
      </c>
      <c r="S404" t="s">
        <v>420</v>
      </c>
      <c r="T404" t="s">
        <v>2049</v>
      </c>
      <c r="U404">
        <v>5.8623904497190848E-5</v>
      </c>
      <c r="V404" t="s">
        <v>251</v>
      </c>
      <c r="X404">
        <v>1.1415525114155251E-4</v>
      </c>
      <c r="Y404">
        <v>2.2209515285616027E-4</v>
      </c>
      <c r="Z404" t="s">
        <v>2049</v>
      </c>
      <c r="AA404" t="s">
        <v>25</v>
      </c>
      <c r="AC404" t="s">
        <v>22</v>
      </c>
      <c r="AD404" t="s">
        <v>2049</v>
      </c>
      <c r="AE404">
        <v>1.052840865445056E-4</v>
      </c>
      <c r="AG404" t="s">
        <v>97</v>
      </c>
      <c r="AH404" t="s">
        <v>2049</v>
      </c>
      <c r="AI404">
        <v>0</v>
      </c>
    </row>
    <row r="405" spans="5:35" x14ac:dyDescent="0.45">
      <c r="I405" t="s">
        <v>249</v>
      </c>
      <c r="J405" t="s">
        <v>2050</v>
      </c>
      <c r="K405">
        <v>1.31317519375E-4</v>
      </c>
      <c r="L405" t="s">
        <v>251</v>
      </c>
      <c r="N405" t="s">
        <v>419</v>
      </c>
      <c r="O405" t="s">
        <v>2050</v>
      </c>
      <c r="P405">
        <v>6.255279945641095E-5</v>
      </c>
      <c r="Q405" t="s">
        <v>251</v>
      </c>
      <c r="S405" t="s">
        <v>420</v>
      </c>
      <c r="T405" t="s">
        <v>2050</v>
      </c>
      <c r="U405">
        <v>6.2468764753046316E-5</v>
      </c>
      <c r="V405" t="s">
        <v>251</v>
      </c>
      <c r="X405">
        <v>1.1415525114155251E-4</v>
      </c>
      <c r="Y405">
        <v>1.7237235744060203E-4</v>
      </c>
      <c r="Z405" t="s">
        <v>2050</v>
      </c>
      <c r="AA405" t="s">
        <v>25</v>
      </c>
      <c r="AC405" t="s">
        <v>22</v>
      </c>
      <c r="AD405" t="s">
        <v>2050</v>
      </c>
      <c r="AE405">
        <v>1.0557594997624897E-4</v>
      </c>
      <c r="AG405" t="s">
        <v>97</v>
      </c>
      <c r="AH405" t="s">
        <v>2050</v>
      </c>
      <c r="AI405">
        <v>0</v>
      </c>
    </row>
    <row r="406" spans="5:35" x14ac:dyDescent="0.45">
      <c r="I406" t="s">
        <v>249</v>
      </c>
      <c r="J406" t="s">
        <v>2051</v>
      </c>
      <c r="K406">
        <v>4.7713271795498633E-5</v>
      </c>
      <c r="L406" t="s">
        <v>251</v>
      </c>
      <c r="N406" t="s">
        <v>419</v>
      </c>
      <c r="O406" t="s">
        <v>2051</v>
      </c>
      <c r="P406">
        <v>7.6899170400726105E-5</v>
      </c>
      <c r="Q406" t="s">
        <v>251</v>
      </c>
      <c r="S406" t="s">
        <v>420</v>
      </c>
      <c r="T406" t="s">
        <v>2051</v>
      </c>
      <c r="U406">
        <v>6.4517911270836343E-5</v>
      </c>
      <c r="V406" t="s">
        <v>251</v>
      </c>
      <c r="X406">
        <v>1.1415525114155251E-4</v>
      </c>
      <c r="Y406">
        <v>1.5579809230208258E-4</v>
      </c>
      <c r="Z406" t="s">
        <v>2051</v>
      </c>
      <c r="AA406" t="s">
        <v>25</v>
      </c>
      <c r="AC406" t="s">
        <v>22</v>
      </c>
      <c r="AD406" t="s">
        <v>2051</v>
      </c>
      <c r="AE406">
        <v>1.0617301611906579E-4</v>
      </c>
      <c r="AG406" t="s">
        <v>97</v>
      </c>
      <c r="AH406" t="s">
        <v>2051</v>
      </c>
      <c r="AI406">
        <v>0</v>
      </c>
    </row>
    <row r="407" spans="5:35" x14ac:dyDescent="0.45">
      <c r="I407" t="s">
        <v>249</v>
      </c>
      <c r="J407" t="s">
        <v>2052</v>
      </c>
      <c r="K407">
        <v>0</v>
      </c>
      <c r="L407" t="s">
        <v>251</v>
      </c>
      <c r="N407" t="s">
        <v>419</v>
      </c>
      <c r="O407" t="s">
        <v>2052</v>
      </c>
      <c r="P407">
        <v>8.7675612531737669E-5</v>
      </c>
      <c r="Q407" t="s">
        <v>251</v>
      </c>
      <c r="S407" t="s">
        <v>420</v>
      </c>
      <c r="T407" t="s">
        <v>2052</v>
      </c>
      <c r="U407">
        <v>6.1964292122271771E-5</v>
      </c>
      <c r="V407" t="s">
        <v>251</v>
      </c>
      <c r="X407">
        <v>1.1415525114155251E-4</v>
      </c>
      <c r="Y407">
        <v>1.093901499142282E-4</v>
      </c>
      <c r="Z407" t="s">
        <v>2052</v>
      </c>
      <c r="AA407" t="s">
        <v>25</v>
      </c>
      <c r="AC407" t="s">
        <v>22</v>
      </c>
      <c r="AD407" t="s">
        <v>2052</v>
      </c>
      <c r="AE407">
        <v>1.0940699099986365E-4</v>
      </c>
      <c r="AG407" t="s">
        <v>97</v>
      </c>
      <c r="AH407" t="s">
        <v>2052</v>
      </c>
      <c r="AI407">
        <v>0</v>
      </c>
    </row>
    <row r="408" spans="5:35" x14ac:dyDescent="0.45">
      <c r="I408" t="s">
        <v>249</v>
      </c>
      <c r="J408" t="s">
        <v>2053</v>
      </c>
      <c r="K408">
        <v>0</v>
      </c>
      <c r="L408" t="s">
        <v>251</v>
      </c>
      <c r="N408" t="s">
        <v>419</v>
      </c>
      <c r="O408" t="s">
        <v>2053</v>
      </c>
      <c r="P408">
        <v>9.5142554637814807E-5</v>
      </c>
      <c r="Q408" t="s">
        <v>251</v>
      </c>
      <c r="S408" t="s">
        <v>420</v>
      </c>
      <c r="T408" t="s">
        <v>2053</v>
      </c>
      <c r="U408">
        <v>5.8635438588802392E-5</v>
      </c>
      <c r="V408" t="s">
        <v>251</v>
      </c>
      <c r="X408">
        <v>1.1415525114155251E-4</v>
      </c>
      <c r="Y408">
        <v>7.9556472664893237E-5</v>
      </c>
      <c r="Z408" t="s">
        <v>2053</v>
      </c>
      <c r="AA408" t="s">
        <v>25</v>
      </c>
      <c r="AC408" t="s">
        <v>22</v>
      </c>
      <c r="AD408" t="s">
        <v>2053</v>
      </c>
      <c r="AE408">
        <v>1.1012971315397036E-4</v>
      </c>
      <c r="AG408" t="s">
        <v>97</v>
      </c>
      <c r="AH408" t="s">
        <v>2053</v>
      </c>
      <c r="AI408">
        <v>0</v>
      </c>
    </row>
    <row r="409" spans="5:35" x14ac:dyDescent="0.45">
      <c r="I409" t="s">
        <v>249</v>
      </c>
      <c r="J409" t="s">
        <v>2054</v>
      </c>
      <c r="K409">
        <v>0</v>
      </c>
      <c r="L409" t="s">
        <v>251</v>
      </c>
      <c r="N409" t="s">
        <v>419</v>
      </c>
      <c r="O409" t="s">
        <v>2054</v>
      </c>
      <c r="P409">
        <v>9.6631670602258636E-5</v>
      </c>
      <c r="Q409" t="s">
        <v>251</v>
      </c>
      <c r="S409" t="s">
        <v>420</v>
      </c>
      <c r="T409" t="s">
        <v>2054</v>
      </c>
      <c r="U409">
        <v>5.9009594365778088E-5</v>
      </c>
      <c r="V409" t="s">
        <v>251</v>
      </c>
      <c r="X409">
        <v>1.1415525114155251E-4</v>
      </c>
      <c r="Y409">
        <v>5.6352501470966035E-5</v>
      </c>
      <c r="Z409" t="s">
        <v>2054</v>
      </c>
      <c r="AA409" t="s">
        <v>25</v>
      </c>
      <c r="AC409" t="s">
        <v>22</v>
      </c>
      <c r="AD409" t="s">
        <v>2054</v>
      </c>
      <c r="AE409">
        <v>1.0964149553048743E-4</v>
      </c>
      <c r="AG409" t="s">
        <v>97</v>
      </c>
      <c r="AH409" t="s">
        <v>2054</v>
      </c>
      <c r="AI409">
        <v>0</v>
      </c>
    </row>
    <row r="410" spans="5:35" x14ac:dyDescent="0.45">
      <c r="I410" t="s">
        <v>249</v>
      </c>
      <c r="J410" t="s">
        <v>2055</v>
      </c>
      <c r="K410">
        <v>0</v>
      </c>
      <c r="L410" t="s">
        <v>251</v>
      </c>
      <c r="N410" t="s">
        <v>419</v>
      </c>
      <c r="O410" t="s">
        <v>2055</v>
      </c>
      <c r="P410">
        <v>9.1551947996215062E-5</v>
      </c>
      <c r="Q410" t="s">
        <v>251</v>
      </c>
      <c r="S410" t="s">
        <v>420</v>
      </c>
      <c r="T410" t="s">
        <v>2055</v>
      </c>
      <c r="U410">
        <v>5.4263589384577647E-5</v>
      </c>
      <c r="V410" t="s">
        <v>251</v>
      </c>
      <c r="X410">
        <v>1.1415525114155251E-4</v>
      </c>
      <c r="Y410">
        <v>2.9833677249334962E-5</v>
      </c>
      <c r="Z410" t="s">
        <v>2055</v>
      </c>
      <c r="AA410" t="s">
        <v>25</v>
      </c>
      <c r="AC410" t="s">
        <v>22</v>
      </c>
      <c r="AD410" t="s">
        <v>2055</v>
      </c>
      <c r="AE410">
        <v>1.0926639499572404E-4</v>
      </c>
      <c r="AG410" t="s">
        <v>97</v>
      </c>
      <c r="AH410" t="s">
        <v>2055</v>
      </c>
      <c r="AI410">
        <v>0</v>
      </c>
    </row>
    <row r="411" spans="5:35" x14ac:dyDescent="0.45">
      <c r="I411" t="s">
        <v>249</v>
      </c>
      <c r="J411" t="s">
        <v>2056</v>
      </c>
      <c r="K411">
        <v>0</v>
      </c>
      <c r="L411" t="s">
        <v>251</v>
      </c>
      <c r="N411" t="s">
        <v>419</v>
      </c>
      <c r="O411" t="s">
        <v>2056</v>
      </c>
      <c r="P411">
        <v>7.9203105060372071E-5</v>
      </c>
      <c r="Q411" t="s">
        <v>251</v>
      </c>
      <c r="S411" t="s">
        <v>420</v>
      </c>
      <c r="T411" t="s">
        <v>2056</v>
      </c>
      <c r="U411">
        <v>4.8033036418379298E-5</v>
      </c>
      <c r="V411" t="s">
        <v>251</v>
      </c>
      <c r="X411">
        <v>1.1415525114155251E-4</v>
      </c>
      <c r="Y411">
        <v>2.1546544680075254E-5</v>
      </c>
      <c r="Z411" t="s">
        <v>2056</v>
      </c>
      <c r="AA411" t="s">
        <v>25</v>
      </c>
      <c r="AC411" t="s">
        <v>22</v>
      </c>
      <c r="AD411" t="s">
        <v>2056</v>
      </c>
      <c r="AE411">
        <v>1.0874242810363635E-4</v>
      </c>
      <c r="AG411" t="s">
        <v>97</v>
      </c>
      <c r="AH411" t="s">
        <v>2056</v>
      </c>
      <c r="AI411">
        <v>0</v>
      </c>
    </row>
    <row r="412" spans="5:35" x14ac:dyDescent="0.45">
      <c r="I412" t="s">
        <v>249</v>
      </c>
      <c r="J412" t="s">
        <v>2057</v>
      </c>
      <c r="K412">
        <v>0</v>
      </c>
      <c r="L412" t="s">
        <v>251</v>
      </c>
      <c r="N412" t="s">
        <v>419</v>
      </c>
      <c r="O412" t="s">
        <v>2057</v>
      </c>
      <c r="P412">
        <v>6.9653323092209418E-5</v>
      </c>
      <c r="Q412" t="s">
        <v>251</v>
      </c>
      <c r="S412" t="s">
        <v>420</v>
      </c>
      <c r="T412" t="s">
        <v>2057</v>
      </c>
      <c r="U412">
        <v>4.4847911917245255E-5</v>
      </c>
      <c r="V412" t="s">
        <v>251</v>
      </c>
      <c r="X412">
        <v>1.1415525114155251E-4</v>
      </c>
      <c r="Y412">
        <v>1.4916838624667481E-5</v>
      </c>
      <c r="Z412" t="s">
        <v>2057</v>
      </c>
      <c r="AA412" t="s">
        <v>25</v>
      </c>
      <c r="AC412" t="s">
        <v>22</v>
      </c>
      <c r="AD412" t="s">
        <v>2057</v>
      </c>
      <c r="AE412">
        <v>1.071137020974269E-4</v>
      </c>
      <c r="AG412" t="s">
        <v>97</v>
      </c>
      <c r="AH412" t="s">
        <v>2057</v>
      </c>
      <c r="AI412">
        <v>0</v>
      </c>
    </row>
    <row r="413" spans="5:35" x14ac:dyDescent="0.45">
      <c r="I413" t="s">
        <v>249</v>
      </c>
      <c r="J413" t="s">
        <v>2058</v>
      </c>
      <c r="K413">
        <v>0</v>
      </c>
      <c r="L413" t="s">
        <v>251</v>
      </c>
      <c r="N413" t="s">
        <v>419</v>
      </c>
      <c r="O413" t="s">
        <v>2058</v>
      </c>
      <c r="P413">
        <v>6.4272580448269281E-5</v>
      </c>
      <c r="Q413" t="s">
        <v>251</v>
      </c>
      <c r="S413" t="s">
        <v>420</v>
      </c>
      <c r="T413" t="s">
        <v>2058</v>
      </c>
      <c r="U413">
        <v>4.3564372601549818E-5</v>
      </c>
      <c r="V413" t="s">
        <v>251</v>
      </c>
      <c r="X413">
        <v>1.1415525114155251E-4</v>
      </c>
      <c r="Y413">
        <v>1.6574265138519424E-5</v>
      </c>
      <c r="Z413" t="s">
        <v>2058</v>
      </c>
      <c r="AA413" t="s">
        <v>25</v>
      </c>
      <c r="AC413" t="s">
        <v>22</v>
      </c>
      <c r="AD413" t="s">
        <v>2058</v>
      </c>
      <c r="AE413">
        <v>1.0537452685836391E-4</v>
      </c>
      <c r="AG413" t="s">
        <v>97</v>
      </c>
      <c r="AH413" t="s">
        <v>2058</v>
      </c>
      <c r="AI413">
        <v>0</v>
      </c>
    </row>
    <row r="414" spans="5:35" x14ac:dyDescent="0.45">
      <c r="I414" t="s">
        <v>249</v>
      </c>
      <c r="J414" t="s">
        <v>2059</v>
      </c>
      <c r="K414">
        <v>0</v>
      </c>
      <c r="L414" t="s">
        <v>251</v>
      </c>
      <c r="N414" t="s">
        <v>419</v>
      </c>
      <c r="O414" t="s">
        <v>2059</v>
      </c>
      <c r="P414">
        <v>5.4069151769467714E-5</v>
      </c>
      <c r="Q414" t="s">
        <v>251</v>
      </c>
      <c r="S414" t="s">
        <v>420</v>
      </c>
      <c r="T414" t="s">
        <v>2059</v>
      </c>
      <c r="U414">
        <v>4.3593630671109765E-5</v>
      </c>
      <c r="V414" t="s">
        <v>251</v>
      </c>
      <c r="X414">
        <v>1.1415525114155251E-4</v>
      </c>
      <c r="Y414">
        <v>1.4585353321897093E-5</v>
      </c>
      <c r="Z414" t="s">
        <v>2059</v>
      </c>
      <c r="AA414" t="s">
        <v>25</v>
      </c>
      <c r="AC414" t="s">
        <v>22</v>
      </c>
      <c r="AD414" t="s">
        <v>2059</v>
      </c>
      <c r="AE414">
        <v>1.0087812258176206E-4</v>
      </c>
      <c r="AG414" t="s">
        <v>97</v>
      </c>
      <c r="AH414" t="s">
        <v>2059</v>
      </c>
      <c r="AI414">
        <v>0</v>
      </c>
    </row>
    <row r="415" spans="5:35" x14ac:dyDescent="0.45">
      <c r="I415" t="s">
        <v>249</v>
      </c>
      <c r="J415" t="s">
        <v>2060</v>
      </c>
      <c r="K415">
        <v>0</v>
      </c>
      <c r="L415" t="s">
        <v>251</v>
      </c>
      <c r="N415" t="s">
        <v>419</v>
      </c>
      <c r="O415" t="s">
        <v>2060</v>
      </c>
      <c r="P415">
        <v>4.9320568860105873E-5</v>
      </c>
      <c r="Q415" t="s">
        <v>251</v>
      </c>
      <c r="S415" t="s">
        <v>420</v>
      </c>
      <c r="T415" t="s">
        <v>2060</v>
      </c>
      <c r="U415">
        <v>3.4793531531774863E-5</v>
      </c>
      <c r="V415" t="s">
        <v>251</v>
      </c>
      <c r="X415">
        <v>1.1415525114155251E-4</v>
      </c>
      <c r="Y415">
        <v>2.1215059377304864E-5</v>
      </c>
      <c r="Z415" t="s">
        <v>2060</v>
      </c>
      <c r="AA415" t="s">
        <v>25</v>
      </c>
      <c r="AC415" t="s">
        <v>22</v>
      </c>
      <c r="AD415" t="s">
        <v>2060</v>
      </c>
      <c r="AE415">
        <v>9.885855569117967E-5</v>
      </c>
      <c r="AG415" t="s">
        <v>97</v>
      </c>
      <c r="AH415" t="s">
        <v>2060</v>
      </c>
      <c r="AI415">
        <v>0</v>
      </c>
    </row>
    <row r="416" spans="5:35" x14ac:dyDescent="0.45">
      <c r="I416" t="s">
        <v>249</v>
      </c>
      <c r="J416" t="s">
        <v>2061</v>
      </c>
      <c r="K416">
        <v>0</v>
      </c>
      <c r="L416" t="s">
        <v>251</v>
      </c>
      <c r="N416" t="s">
        <v>419</v>
      </c>
      <c r="O416" t="s">
        <v>2061</v>
      </c>
      <c r="P416">
        <v>4.6091543464189934E-5</v>
      </c>
      <c r="Q416" t="s">
        <v>251</v>
      </c>
      <c r="S416" t="s">
        <v>420</v>
      </c>
      <c r="T416" t="s">
        <v>2061</v>
      </c>
      <c r="U416">
        <v>3.0480350346881199E-5</v>
      </c>
      <c r="V416" t="s">
        <v>251</v>
      </c>
      <c r="X416">
        <v>1.1415525114155251E-4</v>
      </c>
      <c r="Y416">
        <v>5.7678442682047593E-5</v>
      </c>
      <c r="Z416" t="s">
        <v>2061</v>
      </c>
      <c r="AA416" t="s">
        <v>25</v>
      </c>
      <c r="AC416" t="s">
        <v>22</v>
      </c>
      <c r="AD416" t="s">
        <v>2061</v>
      </c>
      <c r="AE416">
        <v>9.142644281960179E-5</v>
      </c>
      <c r="AG416" t="s">
        <v>97</v>
      </c>
      <c r="AH416" t="s">
        <v>2061</v>
      </c>
      <c r="AI416">
        <v>0</v>
      </c>
    </row>
    <row r="417" spans="9:35" x14ac:dyDescent="0.45">
      <c r="I417" t="s">
        <v>249</v>
      </c>
      <c r="J417" t="s">
        <v>2062</v>
      </c>
      <c r="K417">
        <v>1.045049716151E-4</v>
      </c>
      <c r="L417" t="s">
        <v>251</v>
      </c>
      <c r="N417" t="s">
        <v>419</v>
      </c>
      <c r="O417" t="s">
        <v>2062</v>
      </c>
      <c r="P417">
        <v>4.2299601616408651E-5</v>
      </c>
      <c r="Q417" t="s">
        <v>251</v>
      </c>
      <c r="S417" t="s">
        <v>420</v>
      </c>
      <c r="T417" t="s">
        <v>2062</v>
      </c>
      <c r="U417">
        <v>2.9262203279535679E-5</v>
      </c>
      <c r="V417" t="s">
        <v>251</v>
      </c>
      <c r="X417">
        <v>1.1415525114155251E-4</v>
      </c>
      <c r="Y417">
        <v>1.6905750441289813E-4</v>
      </c>
      <c r="Z417" t="s">
        <v>2062</v>
      </c>
      <c r="AA417" t="s">
        <v>25</v>
      </c>
      <c r="AC417" t="s">
        <v>22</v>
      </c>
      <c r="AD417" t="s">
        <v>2062</v>
      </c>
      <c r="AE417">
        <v>8.7730395302808054E-5</v>
      </c>
      <c r="AG417" t="s">
        <v>97</v>
      </c>
      <c r="AH417" t="s">
        <v>2062</v>
      </c>
      <c r="AI417">
        <v>0</v>
      </c>
    </row>
    <row r="418" spans="9:35" x14ac:dyDescent="0.45">
      <c r="I418" t="s">
        <v>249</v>
      </c>
      <c r="J418" t="s">
        <v>2063</v>
      </c>
      <c r="K418">
        <v>1.788524188448E-4</v>
      </c>
      <c r="L418" t="s">
        <v>251</v>
      </c>
      <c r="N418" t="s">
        <v>419</v>
      </c>
      <c r="O418" t="s">
        <v>2063</v>
      </c>
      <c r="P418">
        <v>3.0066994106458559E-5</v>
      </c>
      <c r="Q418" t="s">
        <v>251</v>
      </c>
      <c r="S418" t="s">
        <v>420</v>
      </c>
      <c r="T418" t="s">
        <v>2063</v>
      </c>
      <c r="U418">
        <v>2.4962040570846625E-5</v>
      </c>
      <c r="V418" t="s">
        <v>251</v>
      </c>
      <c r="X418">
        <v>1.1415525114155251E-4</v>
      </c>
      <c r="Y418">
        <v>1.9060404909297337E-4</v>
      </c>
      <c r="Z418" t="s">
        <v>2063</v>
      </c>
      <c r="AA418" t="s">
        <v>25</v>
      </c>
      <c r="AC418" t="s">
        <v>22</v>
      </c>
      <c r="AD418" t="s">
        <v>2063</v>
      </c>
      <c r="AE418">
        <v>8.3945241400089002E-5</v>
      </c>
      <c r="AG418" t="s">
        <v>97</v>
      </c>
      <c r="AH418" t="s">
        <v>2063</v>
      </c>
      <c r="AI418">
        <v>0</v>
      </c>
    </row>
    <row r="419" spans="9:35" x14ac:dyDescent="0.45">
      <c r="I419" t="s">
        <v>249</v>
      </c>
      <c r="J419" t="s">
        <v>2064</v>
      </c>
      <c r="K419">
        <v>2.280502696261E-4</v>
      </c>
      <c r="L419" t="s">
        <v>251</v>
      </c>
      <c r="N419" t="s">
        <v>419</v>
      </c>
      <c r="O419" t="s">
        <v>2064</v>
      </c>
      <c r="P419">
        <v>2.8417488376708329E-5</v>
      </c>
      <c r="Q419" t="s">
        <v>251</v>
      </c>
      <c r="S419" t="s">
        <v>420</v>
      </c>
      <c r="T419" t="s">
        <v>2064</v>
      </c>
      <c r="U419">
        <v>1.8766210375929764E-5</v>
      </c>
      <c r="V419" t="s">
        <v>251</v>
      </c>
      <c r="X419">
        <v>1.1415525114155251E-4</v>
      </c>
      <c r="Y419">
        <v>1.4585353321897094E-4</v>
      </c>
      <c r="Z419" t="s">
        <v>2064</v>
      </c>
      <c r="AA419" t="s">
        <v>25</v>
      </c>
      <c r="AC419" t="s">
        <v>22</v>
      </c>
      <c r="AD419" t="s">
        <v>2064</v>
      </c>
      <c r="AE419">
        <v>8.2915449035802602E-5</v>
      </c>
      <c r="AG419" t="s">
        <v>97</v>
      </c>
      <c r="AH419" t="s">
        <v>2064</v>
      </c>
      <c r="AI419">
        <v>0</v>
      </c>
    </row>
    <row r="420" spans="9:35" x14ac:dyDescent="0.45">
      <c r="I420" t="s">
        <v>249</v>
      </c>
      <c r="J420" t="s">
        <v>2065</v>
      </c>
      <c r="K420">
        <v>2.628766775252E-4</v>
      </c>
      <c r="L420" t="s">
        <v>251</v>
      </c>
      <c r="N420" t="s">
        <v>419</v>
      </c>
      <c r="O420" t="s">
        <v>2065</v>
      </c>
      <c r="P420">
        <v>2.8635774661946257E-5</v>
      </c>
      <c r="Q420" t="s">
        <v>251</v>
      </c>
      <c r="S420" t="s">
        <v>420</v>
      </c>
      <c r="T420" t="s">
        <v>2065</v>
      </c>
      <c r="U420">
        <v>1.4065963127971324E-5</v>
      </c>
      <c r="V420" t="s">
        <v>251</v>
      </c>
      <c r="X420">
        <v>1.1415525114155251E-4</v>
      </c>
      <c r="Y420">
        <v>1.4452759200788939E-4</v>
      </c>
      <c r="Z420" t="s">
        <v>2065</v>
      </c>
      <c r="AA420" t="s">
        <v>25</v>
      </c>
      <c r="AC420" t="s">
        <v>22</v>
      </c>
      <c r="AD420" t="s">
        <v>2065</v>
      </c>
      <c r="AE420">
        <v>8.2567827416459293E-5</v>
      </c>
      <c r="AG420" t="s">
        <v>97</v>
      </c>
      <c r="AH420" t="s">
        <v>2065</v>
      </c>
      <c r="AI420">
        <v>0</v>
      </c>
    </row>
    <row r="421" spans="9:35" x14ac:dyDescent="0.45">
      <c r="I421" t="s">
        <v>249</v>
      </c>
      <c r="J421" t="s">
        <v>2066</v>
      </c>
      <c r="K421">
        <v>2.797475182709E-4</v>
      </c>
      <c r="L421" t="s">
        <v>251</v>
      </c>
      <c r="N421" t="s">
        <v>419</v>
      </c>
      <c r="O421" t="s">
        <v>2066</v>
      </c>
      <c r="P421">
        <v>2.6245763318722487E-5</v>
      </c>
      <c r="Q421" t="s">
        <v>251</v>
      </c>
      <c r="S421" t="s">
        <v>420</v>
      </c>
      <c r="T421" t="s">
        <v>2066</v>
      </c>
      <c r="U421">
        <v>1.2012223580630797E-5</v>
      </c>
      <c r="V421" t="s">
        <v>251</v>
      </c>
      <c r="X421">
        <v>1.1415525114155251E-4</v>
      </c>
      <c r="Y421">
        <v>1.408812536774151E-4</v>
      </c>
      <c r="Z421" t="s">
        <v>2066</v>
      </c>
      <c r="AA421" t="s">
        <v>25</v>
      </c>
      <c r="AC421" t="s">
        <v>22</v>
      </c>
      <c r="AD421" t="s">
        <v>2066</v>
      </c>
      <c r="AE421">
        <v>8.5054535869183014E-5</v>
      </c>
      <c r="AG421" t="s">
        <v>97</v>
      </c>
      <c r="AH421" t="s">
        <v>2066</v>
      </c>
      <c r="AI421">
        <v>0</v>
      </c>
    </row>
    <row r="422" spans="9:35" x14ac:dyDescent="0.45">
      <c r="I422" t="s">
        <v>249</v>
      </c>
      <c r="J422" t="s">
        <v>2067</v>
      </c>
      <c r="K422">
        <v>2.8857457065620002E-4</v>
      </c>
      <c r="L422" t="s">
        <v>251</v>
      </c>
      <c r="N422" t="s">
        <v>419</v>
      </c>
      <c r="O422" t="s">
        <v>2067</v>
      </c>
      <c r="P422">
        <v>2.2818231956797849E-5</v>
      </c>
      <c r="Q422" t="s">
        <v>251</v>
      </c>
      <c r="S422" t="s">
        <v>420</v>
      </c>
      <c r="T422" t="s">
        <v>2067</v>
      </c>
      <c r="U422">
        <v>1.2331284508486688E-5</v>
      </c>
      <c r="V422" t="s">
        <v>251</v>
      </c>
      <c r="X422">
        <v>1.1415525114155251E-4</v>
      </c>
      <c r="Y422">
        <v>1.4054976837464471E-4</v>
      </c>
      <c r="Z422" t="s">
        <v>2067</v>
      </c>
      <c r="AA422" t="s">
        <v>25</v>
      </c>
      <c r="AC422" t="s">
        <v>22</v>
      </c>
      <c r="AD422" t="s">
        <v>2067</v>
      </c>
      <c r="AE422">
        <v>8.9477574109469109E-5</v>
      </c>
      <c r="AG422" t="s">
        <v>97</v>
      </c>
      <c r="AH422" t="s">
        <v>2067</v>
      </c>
      <c r="AI422">
        <v>0</v>
      </c>
    </row>
    <row r="423" spans="9:35" x14ac:dyDescent="0.45">
      <c r="I423" t="s">
        <v>249</v>
      </c>
      <c r="J423" t="s">
        <v>2068</v>
      </c>
      <c r="K423">
        <v>2.684815575612E-4</v>
      </c>
      <c r="L423" t="s">
        <v>251</v>
      </c>
      <c r="N423" t="s">
        <v>419</v>
      </c>
      <c r="O423" t="s">
        <v>2068</v>
      </c>
      <c r="P423">
        <v>1.9240017161727177E-5</v>
      </c>
      <c r="Q423" t="s">
        <v>251</v>
      </c>
      <c r="S423" t="s">
        <v>420</v>
      </c>
      <c r="T423" t="s">
        <v>2068</v>
      </c>
      <c r="U423">
        <v>1.5674942997581838E-5</v>
      </c>
      <c r="V423" t="s">
        <v>251</v>
      </c>
      <c r="X423">
        <v>1.1415525114155251E-4</v>
      </c>
      <c r="Y423">
        <v>1.4253868019126702E-4</v>
      </c>
      <c r="Z423" t="s">
        <v>2068</v>
      </c>
      <c r="AA423" t="s">
        <v>25</v>
      </c>
      <c r="AC423" t="s">
        <v>22</v>
      </c>
      <c r="AD423" t="s">
        <v>2068</v>
      </c>
      <c r="AE423">
        <v>9.1450987093569236E-5</v>
      </c>
      <c r="AG423" t="s">
        <v>97</v>
      </c>
      <c r="AH423" t="s">
        <v>2068</v>
      </c>
      <c r="AI423">
        <v>0</v>
      </c>
    </row>
    <row r="424" spans="9:35" x14ac:dyDescent="0.45">
      <c r="I424" t="s">
        <v>249</v>
      </c>
      <c r="J424" t="s">
        <v>2069</v>
      </c>
      <c r="K424">
        <v>2.7101034120490002E-4</v>
      </c>
      <c r="L424" t="s">
        <v>251</v>
      </c>
      <c r="N424" t="s">
        <v>419</v>
      </c>
      <c r="O424" t="s">
        <v>2069</v>
      </c>
      <c r="P424">
        <v>1.6748879883610019E-5</v>
      </c>
      <c r="Q424" t="s">
        <v>251</v>
      </c>
      <c r="S424" t="s">
        <v>420</v>
      </c>
      <c r="T424" t="s">
        <v>2069</v>
      </c>
      <c r="U424">
        <v>2.0749881921282545E-5</v>
      </c>
      <c r="V424" t="s">
        <v>251</v>
      </c>
      <c r="X424">
        <v>1.1415525114155251E-4</v>
      </c>
      <c r="Y424">
        <v>1.4883690094390442E-4</v>
      </c>
      <c r="Z424" t="s">
        <v>2069</v>
      </c>
      <c r="AA424" t="s">
        <v>25</v>
      </c>
      <c r="AC424" t="s">
        <v>22</v>
      </c>
      <c r="AD424" t="s">
        <v>2069</v>
      </c>
      <c r="AE424">
        <v>9.6040766325482003E-5</v>
      </c>
      <c r="AG424" t="s">
        <v>97</v>
      </c>
      <c r="AH424" t="s">
        <v>2069</v>
      </c>
      <c r="AI424">
        <v>0</v>
      </c>
    </row>
    <row r="425" spans="9:35" x14ac:dyDescent="0.45">
      <c r="I425" t="s">
        <v>249</v>
      </c>
      <c r="J425" t="s">
        <v>2070</v>
      </c>
      <c r="K425">
        <v>2.6544209295580002E-4</v>
      </c>
      <c r="L425" t="s">
        <v>251</v>
      </c>
      <c r="N425" t="s">
        <v>419</v>
      </c>
      <c r="O425" t="s">
        <v>2070</v>
      </c>
      <c r="P425">
        <v>1.4107767481358384E-5</v>
      </c>
      <c r="Q425" t="s">
        <v>251</v>
      </c>
      <c r="S425" t="s">
        <v>420</v>
      </c>
      <c r="T425" t="s">
        <v>2070</v>
      </c>
      <c r="U425">
        <v>2.7485037013159178E-5</v>
      </c>
      <c r="V425" t="s">
        <v>251</v>
      </c>
      <c r="X425">
        <v>1.1415525114155251E-4</v>
      </c>
      <c r="Y425">
        <v>1.5049432745775637E-4</v>
      </c>
      <c r="Z425" t="s">
        <v>2070</v>
      </c>
      <c r="AA425" t="s">
        <v>25</v>
      </c>
      <c r="AC425" t="s">
        <v>22</v>
      </c>
      <c r="AD425" t="s">
        <v>2070</v>
      </c>
      <c r="AE425">
        <v>9.7728985517503864E-5</v>
      </c>
      <c r="AG425" t="s">
        <v>97</v>
      </c>
      <c r="AH425" t="s">
        <v>2070</v>
      </c>
      <c r="AI425">
        <v>0</v>
      </c>
    </row>
    <row r="426" spans="9:35" x14ac:dyDescent="0.45">
      <c r="I426" t="s">
        <v>249</v>
      </c>
      <c r="J426" t="s">
        <v>2071</v>
      </c>
      <c r="K426">
        <v>2.565316553078E-4</v>
      </c>
      <c r="L426" t="s">
        <v>251</v>
      </c>
      <c r="N426" t="s">
        <v>419</v>
      </c>
      <c r="O426" t="s">
        <v>2071</v>
      </c>
      <c r="P426">
        <v>1.7349756786414015E-5</v>
      </c>
      <c r="Q426" t="s">
        <v>251</v>
      </c>
      <c r="S426" t="s">
        <v>420</v>
      </c>
      <c r="T426" t="s">
        <v>2071</v>
      </c>
      <c r="U426">
        <v>3.3217421558256555E-5</v>
      </c>
      <c r="V426" t="s">
        <v>251</v>
      </c>
      <c r="X426">
        <v>1.1415525114155251E-4</v>
      </c>
      <c r="Y426">
        <v>1.7237235744060203E-4</v>
      </c>
      <c r="Z426" t="s">
        <v>2071</v>
      </c>
      <c r="AA426" t="s">
        <v>25</v>
      </c>
      <c r="AC426" t="s">
        <v>22</v>
      </c>
      <c r="AD426" t="s">
        <v>2071</v>
      </c>
      <c r="AE426">
        <v>1.0350355953951921E-4</v>
      </c>
      <c r="AG426" t="s">
        <v>97</v>
      </c>
      <c r="AH426" t="s">
        <v>2071</v>
      </c>
      <c r="AI426">
        <v>0</v>
      </c>
    </row>
    <row r="427" spans="9:35" x14ac:dyDescent="0.45">
      <c r="I427" t="s">
        <v>249</v>
      </c>
      <c r="J427" t="s">
        <v>2072</v>
      </c>
      <c r="K427">
        <v>2.3399486529359999E-4</v>
      </c>
      <c r="L427" t="s">
        <v>251</v>
      </c>
      <c r="N427" t="s">
        <v>419</v>
      </c>
      <c r="O427" t="s">
        <v>2072</v>
      </c>
      <c r="P427">
        <v>1.6873266378399088E-5</v>
      </c>
      <c r="Q427" t="s">
        <v>251</v>
      </c>
      <c r="S427" t="s">
        <v>420</v>
      </c>
      <c r="T427" t="s">
        <v>2072</v>
      </c>
      <c r="U427">
        <v>3.7770931846240049E-5</v>
      </c>
      <c r="V427" t="s">
        <v>251</v>
      </c>
      <c r="X427">
        <v>1.1415525114155251E-4</v>
      </c>
      <c r="Y427">
        <v>2.2209515285616027E-4</v>
      </c>
      <c r="Z427" t="s">
        <v>2072</v>
      </c>
      <c r="AA427" t="s">
        <v>25</v>
      </c>
      <c r="AC427" t="s">
        <v>22</v>
      </c>
      <c r="AD427" t="s">
        <v>2072</v>
      </c>
      <c r="AE427">
        <v>1.0345153635013168E-4</v>
      </c>
      <c r="AG427" t="s">
        <v>97</v>
      </c>
      <c r="AH427" t="s">
        <v>2072</v>
      </c>
      <c r="AI427">
        <v>0</v>
      </c>
    </row>
    <row r="428" spans="9:35" x14ac:dyDescent="0.45">
      <c r="I428" t="s">
        <v>249</v>
      </c>
      <c r="J428" t="s">
        <v>2073</v>
      </c>
      <c r="K428">
        <v>1.9492463584280001E-4</v>
      </c>
      <c r="L428" t="s">
        <v>251</v>
      </c>
      <c r="N428" t="s">
        <v>419</v>
      </c>
      <c r="O428" t="s">
        <v>2073</v>
      </c>
      <c r="P428">
        <v>1.8106648087263237E-5</v>
      </c>
      <c r="Q428" t="s">
        <v>251</v>
      </c>
      <c r="S428" t="s">
        <v>420</v>
      </c>
      <c r="T428" t="s">
        <v>2073</v>
      </c>
      <c r="U428">
        <v>3.9341034010174649E-5</v>
      </c>
      <c r="V428" t="s">
        <v>251</v>
      </c>
      <c r="X428">
        <v>1.1415525114155251E-4</v>
      </c>
      <c r="Y428">
        <v>2.2209515285616027E-4</v>
      </c>
      <c r="Z428" t="s">
        <v>2073</v>
      </c>
      <c r="AA428" t="s">
        <v>25</v>
      </c>
      <c r="AC428" t="s">
        <v>22</v>
      </c>
      <c r="AD428" t="s">
        <v>2073</v>
      </c>
      <c r="AE428">
        <v>1.0468622004492894E-4</v>
      </c>
      <c r="AG428" t="s">
        <v>97</v>
      </c>
      <c r="AH428" t="s">
        <v>2073</v>
      </c>
      <c r="AI428">
        <v>0</v>
      </c>
    </row>
    <row r="429" spans="9:35" x14ac:dyDescent="0.45">
      <c r="I429" t="s">
        <v>249</v>
      </c>
      <c r="J429" t="s">
        <v>2074</v>
      </c>
      <c r="K429">
        <v>1.411002701547E-4</v>
      </c>
      <c r="L429" t="s">
        <v>251</v>
      </c>
      <c r="N429" t="s">
        <v>419</v>
      </c>
      <c r="O429" t="s">
        <v>2074</v>
      </c>
      <c r="P429">
        <v>2.3735769588504722E-5</v>
      </c>
      <c r="Q429" t="s">
        <v>251</v>
      </c>
      <c r="S429" t="s">
        <v>420</v>
      </c>
      <c r="T429" t="s">
        <v>2074</v>
      </c>
      <c r="U429">
        <v>3.7145220207226651E-5</v>
      </c>
      <c r="V429" t="s">
        <v>251</v>
      </c>
      <c r="X429">
        <v>1.1415525114155251E-4</v>
      </c>
      <c r="Y429">
        <v>1.7237235744060203E-4</v>
      </c>
      <c r="Z429" t="s">
        <v>2074</v>
      </c>
      <c r="AA429" t="s">
        <v>25</v>
      </c>
      <c r="AC429" t="s">
        <v>22</v>
      </c>
      <c r="AD429" t="s">
        <v>2074</v>
      </c>
      <c r="AE429">
        <v>1.0557594997624894E-4</v>
      </c>
      <c r="AG429" t="s">
        <v>97</v>
      </c>
      <c r="AH429" t="s">
        <v>2074</v>
      </c>
      <c r="AI429">
        <v>0</v>
      </c>
    </row>
    <row r="430" spans="9:35" x14ac:dyDescent="0.45">
      <c r="I430" t="s">
        <v>249</v>
      </c>
      <c r="J430" t="s">
        <v>2075</v>
      </c>
      <c r="K430">
        <v>4.9304508982997379E-5</v>
      </c>
      <c r="L430" t="s">
        <v>251</v>
      </c>
      <c r="N430" t="s">
        <v>419</v>
      </c>
      <c r="O430" t="s">
        <v>2075</v>
      </c>
      <c r="P430">
        <v>3.3408834874773795E-5</v>
      </c>
      <c r="Q430" t="s">
        <v>251</v>
      </c>
      <c r="S430" t="s">
        <v>420</v>
      </c>
      <c r="T430" t="s">
        <v>2075</v>
      </c>
      <c r="U430">
        <v>3.3190885561380722E-5</v>
      </c>
      <c r="V430" t="s">
        <v>251</v>
      </c>
      <c r="X430">
        <v>1.1415525114155251E-4</v>
      </c>
      <c r="Y430">
        <v>1.5579809230208258E-4</v>
      </c>
      <c r="Z430" t="s">
        <v>2075</v>
      </c>
      <c r="AA430" t="s">
        <v>25</v>
      </c>
      <c r="AC430" t="s">
        <v>22</v>
      </c>
      <c r="AD430" t="s">
        <v>2075</v>
      </c>
      <c r="AE430">
        <v>1.0647128240488757E-4</v>
      </c>
      <c r="AG430" t="s">
        <v>97</v>
      </c>
      <c r="AH430" t="s">
        <v>2075</v>
      </c>
      <c r="AI430">
        <v>0</v>
      </c>
    </row>
    <row r="431" spans="9:35" x14ac:dyDescent="0.45">
      <c r="I431" t="s">
        <v>249</v>
      </c>
      <c r="J431" t="s">
        <v>2076</v>
      </c>
      <c r="K431">
        <v>0</v>
      </c>
      <c r="L431" t="s">
        <v>251</v>
      </c>
      <c r="N431" t="s">
        <v>419</v>
      </c>
      <c r="O431" t="s">
        <v>2076</v>
      </c>
      <c r="P431">
        <v>4.7140132408042571E-5</v>
      </c>
      <c r="Q431" t="s">
        <v>251</v>
      </c>
      <c r="S431" t="s">
        <v>420</v>
      </c>
      <c r="T431" t="s">
        <v>2076</v>
      </c>
      <c r="U431">
        <v>3.1639531142191298E-5</v>
      </c>
      <c r="V431" t="s">
        <v>251</v>
      </c>
      <c r="X431">
        <v>1.1415525114155251E-4</v>
      </c>
      <c r="Y431">
        <v>1.093901499142282E-4</v>
      </c>
      <c r="Z431" t="s">
        <v>2076</v>
      </c>
      <c r="AA431" t="s">
        <v>25</v>
      </c>
      <c r="AC431" t="s">
        <v>22</v>
      </c>
      <c r="AD431" t="s">
        <v>2076</v>
      </c>
      <c r="AE431">
        <v>1.0961481697182714E-4</v>
      </c>
      <c r="AG431" t="s">
        <v>97</v>
      </c>
      <c r="AH431" t="s">
        <v>2076</v>
      </c>
      <c r="AI431">
        <v>0</v>
      </c>
    </row>
    <row r="432" spans="9:35" x14ac:dyDescent="0.45">
      <c r="I432" t="s">
        <v>249</v>
      </c>
      <c r="J432" t="s">
        <v>2077</v>
      </c>
      <c r="K432">
        <v>0</v>
      </c>
      <c r="L432" t="s">
        <v>251</v>
      </c>
      <c r="N432" t="s">
        <v>419</v>
      </c>
      <c r="O432" t="s">
        <v>2077</v>
      </c>
      <c r="P432">
        <v>5.7759316058500871E-5</v>
      </c>
      <c r="Q432" t="s">
        <v>251</v>
      </c>
      <c r="S432" t="s">
        <v>420</v>
      </c>
      <c r="T432" t="s">
        <v>2077</v>
      </c>
      <c r="U432">
        <v>3.2412798156407883E-5</v>
      </c>
      <c r="V432" t="s">
        <v>251</v>
      </c>
      <c r="X432">
        <v>1.1415525114155251E-4</v>
      </c>
      <c r="Y432">
        <v>7.9556472664893237E-5</v>
      </c>
      <c r="Z432" t="s">
        <v>2077</v>
      </c>
      <c r="AA432" t="s">
        <v>25</v>
      </c>
      <c r="AC432" t="s">
        <v>22</v>
      </c>
      <c r="AD432" t="s">
        <v>2077</v>
      </c>
      <c r="AE432">
        <v>1.1033753912593385E-4</v>
      </c>
      <c r="AG432" t="s">
        <v>97</v>
      </c>
      <c r="AH432" t="s">
        <v>2077</v>
      </c>
      <c r="AI432">
        <v>0</v>
      </c>
    </row>
    <row r="433" spans="9:35" x14ac:dyDescent="0.45">
      <c r="I433" t="s">
        <v>249</v>
      </c>
      <c r="J433" t="s">
        <v>2078</v>
      </c>
      <c r="K433">
        <v>0</v>
      </c>
      <c r="L433" t="s">
        <v>251</v>
      </c>
      <c r="N433" t="s">
        <v>419</v>
      </c>
      <c r="O433" t="s">
        <v>2078</v>
      </c>
      <c r="P433">
        <v>6.1792065455419467E-5</v>
      </c>
      <c r="Q433" t="s">
        <v>251</v>
      </c>
      <c r="S433" t="s">
        <v>420</v>
      </c>
      <c r="T433" t="s">
        <v>2078</v>
      </c>
      <c r="U433">
        <v>3.1427925221630913E-5</v>
      </c>
      <c r="V433" t="s">
        <v>251</v>
      </c>
      <c r="X433">
        <v>1.1415525114155251E-4</v>
      </c>
      <c r="Y433">
        <v>5.6352501470966035E-5</v>
      </c>
      <c r="Z433" t="s">
        <v>2078</v>
      </c>
      <c r="AA433" t="s">
        <v>25</v>
      </c>
      <c r="AC433" t="s">
        <v>22</v>
      </c>
      <c r="AD433" t="s">
        <v>2078</v>
      </c>
      <c r="AE433">
        <v>1.1222291286645511E-4</v>
      </c>
      <c r="AG433" t="s">
        <v>97</v>
      </c>
      <c r="AH433" t="s">
        <v>2078</v>
      </c>
      <c r="AI433">
        <v>0</v>
      </c>
    </row>
    <row r="434" spans="9:35" x14ac:dyDescent="0.45">
      <c r="I434" t="s">
        <v>249</v>
      </c>
      <c r="J434" t="s">
        <v>2079</v>
      </c>
      <c r="K434">
        <v>0</v>
      </c>
      <c r="L434" t="s">
        <v>251</v>
      </c>
      <c r="N434" t="s">
        <v>419</v>
      </c>
      <c r="O434" t="s">
        <v>2079</v>
      </c>
      <c r="P434">
        <v>6.3174870985583978E-5</v>
      </c>
      <c r="Q434" t="s">
        <v>251</v>
      </c>
      <c r="S434" t="s">
        <v>420</v>
      </c>
      <c r="T434" t="s">
        <v>2079</v>
      </c>
      <c r="U434">
        <v>2.9067152938184931E-5</v>
      </c>
      <c r="V434" t="s">
        <v>251</v>
      </c>
      <c r="X434">
        <v>1.1415525114155251E-4</v>
      </c>
      <c r="Y434">
        <v>2.9833677249334962E-5</v>
      </c>
      <c r="Z434" t="s">
        <v>2079</v>
      </c>
      <c r="AA434" t="s">
        <v>25</v>
      </c>
      <c r="AC434" t="s">
        <v>22</v>
      </c>
      <c r="AD434" t="s">
        <v>2079</v>
      </c>
      <c r="AE434">
        <v>1.1240085885271909E-4</v>
      </c>
      <c r="AG434" t="s">
        <v>97</v>
      </c>
      <c r="AH434" t="s">
        <v>2079</v>
      </c>
      <c r="AI434">
        <v>0</v>
      </c>
    </row>
    <row r="435" spans="9:35" x14ac:dyDescent="0.45">
      <c r="I435" t="s">
        <v>249</v>
      </c>
      <c r="J435" t="s">
        <v>2080</v>
      </c>
      <c r="K435">
        <v>0</v>
      </c>
      <c r="L435" t="s">
        <v>251</v>
      </c>
      <c r="N435" t="s">
        <v>419</v>
      </c>
      <c r="O435" t="s">
        <v>2080</v>
      </c>
      <c r="P435">
        <v>5.9914978131345548E-5</v>
      </c>
      <c r="Q435" t="s">
        <v>251</v>
      </c>
      <c r="S435" t="s">
        <v>420</v>
      </c>
      <c r="T435" t="s">
        <v>2080</v>
      </c>
      <c r="U435">
        <v>2.8946840575252097E-5</v>
      </c>
      <c r="V435" t="s">
        <v>251</v>
      </c>
      <c r="X435">
        <v>1.1415525114155251E-4</v>
      </c>
      <c r="Y435">
        <v>2.1546544680075254E-5</v>
      </c>
      <c r="Z435" t="s">
        <v>2080</v>
      </c>
      <c r="AA435" t="s">
        <v>25</v>
      </c>
      <c r="AC435" t="s">
        <v>22</v>
      </c>
      <c r="AD435" t="s">
        <v>2080</v>
      </c>
      <c r="AE435">
        <v>1.122031707330465E-4</v>
      </c>
      <c r="AG435" t="s">
        <v>97</v>
      </c>
      <c r="AH435" t="s">
        <v>2080</v>
      </c>
      <c r="AI435">
        <v>0</v>
      </c>
    </row>
    <row r="436" spans="9:35" x14ac:dyDescent="0.45">
      <c r="I436" t="s">
        <v>249</v>
      </c>
      <c r="J436" t="s">
        <v>2081</v>
      </c>
      <c r="K436">
        <v>0</v>
      </c>
      <c r="L436" t="s">
        <v>251</v>
      </c>
      <c r="N436" t="s">
        <v>419</v>
      </c>
      <c r="O436" t="s">
        <v>2081</v>
      </c>
      <c r="P436">
        <v>5.3953344362348312E-5</v>
      </c>
      <c r="Q436" t="s">
        <v>251</v>
      </c>
      <c r="S436" t="s">
        <v>420</v>
      </c>
      <c r="T436" t="s">
        <v>2081</v>
      </c>
      <c r="U436">
        <v>3.1393110425696537E-5</v>
      </c>
      <c r="V436" t="s">
        <v>251</v>
      </c>
      <c r="X436">
        <v>1.1415525114155251E-4</v>
      </c>
      <c r="Y436">
        <v>1.4916838624667481E-5</v>
      </c>
      <c r="Z436" t="s">
        <v>2081</v>
      </c>
      <c r="AA436" t="s">
        <v>25</v>
      </c>
      <c r="AC436" t="s">
        <v>22</v>
      </c>
      <c r="AD436" t="s">
        <v>2081</v>
      </c>
      <c r="AE436">
        <v>1.079975627458416E-4</v>
      </c>
      <c r="AG436" t="s">
        <v>97</v>
      </c>
      <c r="AH436" t="s">
        <v>2081</v>
      </c>
      <c r="AI436">
        <v>0</v>
      </c>
    </row>
    <row r="437" spans="9:35" x14ac:dyDescent="0.45">
      <c r="I437" t="s">
        <v>249</v>
      </c>
      <c r="J437" t="s">
        <v>2082</v>
      </c>
      <c r="K437">
        <v>0</v>
      </c>
      <c r="L437" t="s">
        <v>251</v>
      </c>
      <c r="N437" t="s">
        <v>419</v>
      </c>
      <c r="O437" t="s">
        <v>2082</v>
      </c>
      <c r="P437">
        <v>4.8505185086682618E-5</v>
      </c>
      <c r="Q437" t="s">
        <v>251</v>
      </c>
      <c r="S437" t="s">
        <v>420</v>
      </c>
      <c r="T437" t="s">
        <v>2082</v>
      </c>
      <c r="U437">
        <v>3.1929500534915624E-5</v>
      </c>
      <c r="V437" t="s">
        <v>251</v>
      </c>
      <c r="X437">
        <v>1.1415525114155251E-4</v>
      </c>
      <c r="Y437">
        <v>1.6574265138519424E-5</v>
      </c>
      <c r="Z437" t="s">
        <v>2082</v>
      </c>
      <c r="AA437" t="s">
        <v>25</v>
      </c>
      <c r="AC437" t="s">
        <v>22</v>
      </c>
      <c r="AD437" t="s">
        <v>2082</v>
      </c>
      <c r="AE437">
        <v>1.0555594105725374E-4</v>
      </c>
      <c r="AG437" t="s">
        <v>97</v>
      </c>
      <c r="AH437" t="s">
        <v>2082</v>
      </c>
      <c r="AI437">
        <v>0</v>
      </c>
    </row>
    <row r="438" spans="9:35" x14ac:dyDescent="0.45">
      <c r="I438" t="s">
        <v>249</v>
      </c>
      <c r="J438" t="s">
        <v>2083</v>
      </c>
      <c r="K438">
        <v>0</v>
      </c>
      <c r="L438" t="s">
        <v>251</v>
      </c>
      <c r="N438" t="s">
        <v>419</v>
      </c>
      <c r="O438" t="s">
        <v>2083</v>
      </c>
      <c r="P438">
        <v>3.4113981081699723E-5</v>
      </c>
      <c r="Q438" t="s">
        <v>251</v>
      </c>
      <c r="S438" t="s">
        <v>420</v>
      </c>
      <c r="T438" t="s">
        <v>2083</v>
      </c>
      <c r="U438">
        <v>3.0532619575423964E-5</v>
      </c>
      <c r="V438" t="s">
        <v>251</v>
      </c>
      <c r="X438">
        <v>1.1415525114155251E-4</v>
      </c>
      <c r="Y438">
        <v>1.4585353321897093E-5</v>
      </c>
      <c r="Z438" t="s">
        <v>2083</v>
      </c>
      <c r="AA438" t="s">
        <v>25</v>
      </c>
      <c r="AC438" t="s">
        <v>22</v>
      </c>
      <c r="AD438" t="s">
        <v>2083</v>
      </c>
      <c r="AE438">
        <v>1.0081329368421764E-4</v>
      </c>
      <c r="AG438" t="s">
        <v>97</v>
      </c>
      <c r="AH438" t="s">
        <v>2083</v>
      </c>
      <c r="AI438">
        <v>0</v>
      </c>
    </row>
    <row r="439" spans="9:35" x14ac:dyDescent="0.45">
      <c r="I439" t="s">
        <v>249</v>
      </c>
      <c r="J439" t="s">
        <v>2084</v>
      </c>
      <c r="K439">
        <v>0</v>
      </c>
      <c r="L439" t="s">
        <v>251</v>
      </c>
      <c r="N439" t="s">
        <v>419</v>
      </c>
      <c r="O439" t="s">
        <v>2084</v>
      </c>
      <c r="P439">
        <v>3.1754298194969979E-5</v>
      </c>
      <c r="Q439" t="s">
        <v>251</v>
      </c>
      <c r="S439" t="s">
        <v>420</v>
      </c>
      <c r="T439" t="s">
        <v>2084</v>
      </c>
      <c r="U439">
        <v>2.0928121449364583E-5</v>
      </c>
      <c r="V439" t="s">
        <v>251</v>
      </c>
      <c r="X439">
        <v>1.1415525114155251E-4</v>
      </c>
      <c r="Y439">
        <v>2.1215059377304864E-5</v>
      </c>
      <c r="Z439" t="s">
        <v>2084</v>
      </c>
      <c r="AA439" t="s">
        <v>25</v>
      </c>
      <c r="AC439" t="s">
        <v>22</v>
      </c>
      <c r="AD439" t="s">
        <v>2084</v>
      </c>
      <c r="AE439">
        <v>9.9527920727965845E-5</v>
      </c>
      <c r="AG439" t="s">
        <v>97</v>
      </c>
      <c r="AH439" t="s">
        <v>2084</v>
      </c>
      <c r="AI439">
        <v>0</v>
      </c>
    </row>
    <row r="440" spans="9:35" x14ac:dyDescent="0.45">
      <c r="I440" t="s">
        <v>249</v>
      </c>
      <c r="J440" t="s">
        <v>2085</v>
      </c>
      <c r="K440">
        <v>0</v>
      </c>
      <c r="L440" t="s">
        <v>251</v>
      </c>
      <c r="N440" t="s">
        <v>419</v>
      </c>
      <c r="O440" t="s">
        <v>2085</v>
      </c>
      <c r="P440">
        <v>3.080256055452796E-5</v>
      </c>
      <c r="Q440" t="s">
        <v>251</v>
      </c>
      <c r="S440" t="s">
        <v>420</v>
      </c>
      <c r="T440" t="s">
        <v>2085</v>
      </c>
      <c r="U440">
        <v>1.6556827263125277E-5</v>
      </c>
      <c r="V440" t="s">
        <v>251</v>
      </c>
      <c r="X440">
        <v>1.1415525114155251E-4</v>
      </c>
      <c r="Y440">
        <v>5.7678442682047593E-5</v>
      </c>
      <c r="Z440" t="s">
        <v>2085</v>
      </c>
      <c r="AA440" t="s">
        <v>25</v>
      </c>
      <c r="AC440" t="s">
        <v>22</v>
      </c>
      <c r="AD440" t="s">
        <v>2085</v>
      </c>
      <c r="AE440">
        <v>9.2666729011717729E-5</v>
      </c>
      <c r="AG440" t="s">
        <v>97</v>
      </c>
      <c r="AH440" t="s">
        <v>2085</v>
      </c>
      <c r="AI440">
        <v>0</v>
      </c>
    </row>
    <row r="441" spans="9:35" x14ac:dyDescent="0.45">
      <c r="I441" t="s">
        <v>249</v>
      </c>
      <c r="J441" t="s">
        <v>2086</v>
      </c>
      <c r="K441">
        <v>1.153998295124E-4</v>
      </c>
      <c r="L441" t="s">
        <v>251</v>
      </c>
      <c r="N441" t="s">
        <v>419</v>
      </c>
      <c r="O441" t="s">
        <v>2086</v>
      </c>
      <c r="P441">
        <v>2.7634818803901021E-5</v>
      </c>
      <c r="Q441" t="s">
        <v>251</v>
      </c>
      <c r="S441" t="s">
        <v>420</v>
      </c>
      <c r="T441" t="s">
        <v>2086</v>
      </c>
      <c r="U441">
        <v>1.467087653636013E-5</v>
      </c>
      <c r="V441" t="s">
        <v>251</v>
      </c>
      <c r="X441">
        <v>1.1415525114155251E-4</v>
      </c>
      <c r="Y441">
        <v>1.6905750441289813E-4</v>
      </c>
      <c r="Z441" t="s">
        <v>2086</v>
      </c>
      <c r="AA441" t="s">
        <v>25</v>
      </c>
      <c r="AC441" t="s">
        <v>22</v>
      </c>
      <c r="AD441" t="s">
        <v>2086</v>
      </c>
      <c r="AE441">
        <v>8.9433821273266254E-5</v>
      </c>
      <c r="AG441" t="s">
        <v>97</v>
      </c>
      <c r="AH441" t="s">
        <v>2086</v>
      </c>
      <c r="AI441">
        <v>0</v>
      </c>
    </row>
    <row r="442" spans="9:35" x14ac:dyDescent="0.45">
      <c r="I442" t="s">
        <v>249</v>
      </c>
      <c r="J442" t="s">
        <v>2087</v>
      </c>
      <c r="K442">
        <v>1.9819747223400001E-4</v>
      </c>
      <c r="L442" t="s">
        <v>251</v>
      </c>
      <c r="N442" t="s">
        <v>419</v>
      </c>
      <c r="O442" t="s">
        <v>2087</v>
      </c>
      <c r="P442">
        <v>1.735431360946049E-5</v>
      </c>
      <c r="Q442" t="s">
        <v>251</v>
      </c>
      <c r="S442" t="s">
        <v>420</v>
      </c>
      <c r="T442" t="s">
        <v>2087</v>
      </c>
      <c r="U442">
        <v>1.3231004571017548E-5</v>
      </c>
      <c r="V442" t="s">
        <v>251</v>
      </c>
      <c r="X442">
        <v>1.1415525114155251E-4</v>
      </c>
      <c r="Y442">
        <v>1.9060404909297337E-4</v>
      </c>
      <c r="Z442" t="s">
        <v>2087</v>
      </c>
      <c r="AA442" t="s">
        <v>25</v>
      </c>
      <c r="AC442" t="s">
        <v>22</v>
      </c>
      <c r="AD442" t="s">
        <v>2087</v>
      </c>
      <c r="AE442">
        <v>8.5922922953574795E-5</v>
      </c>
      <c r="AG442" t="s">
        <v>97</v>
      </c>
      <c r="AH442" t="s">
        <v>2087</v>
      </c>
      <c r="AI442">
        <v>0</v>
      </c>
    </row>
    <row r="443" spans="9:35" x14ac:dyDescent="0.45">
      <c r="I443" t="s">
        <v>249</v>
      </c>
      <c r="J443" t="s">
        <v>2088</v>
      </c>
      <c r="K443">
        <v>2.4400755201780001E-4</v>
      </c>
      <c r="L443" t="s">
        <v>251</v>
      </c>
      <c r="N443" t="s">
        <v>419</v>
      </c>
      <c r="O443" t="s">
        <v>2088</v>
      </c>
      <c r="P443">
        <v>1.5331380450538125E-5</v>
      </c>
      <c r="Q443" t="s">
        <v>251</v>
      </c>
      <c r="S443" t="s">
        <v>420</v>
      </c>
      <c r="T443" t="s">
        <v>2088</v>
      </c>
      <c r="U443">
        <v>1.511622424521957E-5</v>
      </c>
      <c r="V443" t="s">
        <v>251</v>
      </c>
      <c r="X443">
        <v>1.1415525114155251E-4</v>
      </c>
      <c r="Y443">
        <v>1.4585353321897094E-4</v>
      </c>
      <c r="Z443" t="s">
        <v>2088</v>
      </c>
      <c r="AA443" t="s">
        <v>25</v>
      </c>
      <c r="AC443" t="s">
        <v>22</v>
      </c>
      <c r="AD443" t="s">
        <v>2088</v>
      </c>
      <c r="AE443">
        <v>8.5974412571789111E-5</v>
      </c>
      <c r="AG443" t="s">
        <v>97</v>
      </c>
      <c r="AH443" t="s">
        <v>2088</v>
      </c>
      <c r="AI443">
        <v>0</v>
      </c>
    </row>
    <row r="444" spans="9:35" x14ac:dyDescent="0.45">
      <c r="I444" t="s">
        <v>249</v>
      </c>
      <c r="J444" t="s">
        <v>2089</v>
      </c>
      <c r="K444">
        <v>2.7040171816450001E-4</v>
      </c>
      <c r="L444" t="s">
        <v>251</v>
      </c>
      <c r="N444" t="s">
        <v>419</v>
      </c>
      <c r="O444" t="s">
        <v>2089</v>
      </c>
      <c r="P444">
        <v>1.4738544839915478E-5</v>
      </c>
      <c r="Q444" t="s">
        <v>251</v>
      </c>
      <c r="S444" t="s">
        <v>420</v>
      </c>
      <c r="T444" t="s">
        <v>2089</v>
      </c>
      <c r="U444">
        <v>2.7029489982377363E-5</v>
      </c>
      <c r="V444" t="s">
        <v>251</v>
      </c>
      <c r="X444">
        <v>1.1415525114155251E-4</v>
      </c>
      <c r="Y444">
        <v>1.4452759200788939E-4</v>
      </c>
      <c r="Z444" t="s">
        <v>2089</v>
      </c>
      <c r="AA444" t="s">
        <v>25</v>
      </c>
      <c r="AC444" t="s">
        <v>22</v>
      </c>
      <c r="AD444" t="s">
        <v>2089</v>
      </c>
      <c r="AE444">
        <v>8.7449470080115413E-5</v>
      </c>
      <c r="AG444" t="s">
        <v>97</v>
      </c>
      <c r="AH444" t="s">
        <v>2089</v>
      </c>
      <c r="AI444">
        <v>0</v>
      </c>
    </row>
    <row r="445" spans="9:35" x14ac:dyDescent="0.45">
      <c r="I445" t="s">
        <v>249</v>
      </c>
      <c r="J445" t="s">
        <v>2090</v>
      </c>
      <c r="K445">
        <v>2.8622849610129999E-4</v>
      </c>
      <c r="L445" t="s">
        <v>251</v>
      </c>
      <c r="N445" t="s">
        <v>419</v>
      </c>
      <c r="O445" t="s">
        <v>2090</v>
      </c>
      <c r="P445">
        <v>1.3248173390952969E-5</v>
      </c>
      <c r="Q445" t="s">
        <v>251</v>
      </c>
      <c r="S445" t="s">
        <v>420</v>
      </c>
      <c r="T445" t="s">
        <v>2090</v>
      </c>
      <c r="U445">
        <v>5.3214202909041575E-5</v>
      </c>
      <c r="V445" t="s">
        <v>251</v>
      </c>
      <c r="X445">
        <v>1.1415525114155251E-4</v>
      </c>
      <c r="Y445">
        <v>1.408812536774151E-4</v>
      </c>
      <c r="Z445" t="s">
        <v>2090</v>
      </c>
      <c r="AA445" t="s">
        <v>25</v>
      </c>
      <c r="AC445" t="s">
        <v>22</v>
      </c>
      <c r="AD445" t="s">
        <v>2090</v>
      </c>
      <c r="AE445">
        <v>9.3943031258025023E-5</v>
      </c>
      <c r="AG445" t="s">
        <v>97</v>
      </c>
      <c r="AH445" t="s">
        <v>2090</v>
      </c>
      <c r="AI445">
        <v>0</v>
      </c>
    </row>
    <row r="446" spans="9:35" x14ac:dyDescent="0.45">
      <c r="I446" t="s">
        <v>249</v>
      </c>
      <c r="J446" t="s">
        <v>2091</v>
      </c>
      <c r="K446">
        <v>2.8886793618999998E-4</v>
      </c>
      <c r="L446" t="s">
        <v>251</v>
      </c>
      <c r="N446" t="s">
        <v>419</v>
      </c>
      <c r="O446" t="s">
        <v>2091</v>
      </c>
      <c r="P446">
        <v>1.0357154369234786E-5</v>
      </c>
      <c r="Q446" t="s">
        <v>251</v>
      </c>
      <c r="S446" t="s">
        <v>420</v>
      </c>
      <c r="T446" t="s">
        <v>2091</v>
      </c>
      <c r="U446">
        <v>8.2491413831050692E-5</v>
      </c>
      <c r="V446" t="s">
        <v>251</v>
      </c>
      <c r="X446">
        <v>1.1415525114155251E-4</v>
      </c>
      <c r="Y446">
        <v>1.4054976837464471E-4</v>
      </c>
      <c r="Z446" t="s">
        <v>2091</v>
      </c>
      <c r="AA446" t="s">
        <v>25</v>
      </c>
      <c r="AC446" t="s">
        <v>22</v>
      </c>
      <c r="AD446" t="s">
        <v>2091</v>
      </c>
      <c r="AE446">
        <v>1.0083730438701186E-4</v>
      </c>
      <c r="AG446" t="s">
        <v>97</v>
      </c>
      <c r="AH446" t="s">
        <v>2091</v>
      </c>
      <c r="AI446">
        <v>0</v>
      </c>
    </row>
    <row r="447" spans="9:35" x14ac:dyDescent="0.45">
      <c r="I447" t="s">
        <v>249</v>
      </c>
      <c r="J447" t="s">
        <v>2092</v>
      </c>
      <c r="K447">
        <v>2.7093302959919999E-4</v>
      </c>
      <c r="L447" t="s">
        <v>251</v>
      </c>
      <c r="N447" t="s">
        <v>419</v>
      </c>
      <c r="O447" t="s">
        <v>2092</v>
      </c>
      <c r="P447">
        <v>8.3888432470343361E-6</v>
      </c>
      <c r="Q447" t="s">
        <v>251</v>
      </c>
      <c r="S447" t="s">
        <v>420</v>
      </c>
      <c r="T447" t="s">
        <v>2092</v>
      </c>
      <c r="U447">
        <v>1.022001612716E-4</v>
      </c>
      <c r="V447" t="s">
        <v>251</v>
      </c>
      <c r="X447">
        <v>1.1415525114155251E-4</v>
      </c>
      <c r="Y447">
        <v>1.4253868019126702E-4</v>
      </c>
      <c r="Z447" t="s">
        <v>2092</v>
      </c>
      <c r="AA447" t="s">
        <v>25</v>
      </c>
      <c r="AC447" t="s">
        <v>22</v>
      </c>
      <c r="AD447" t="s">
        <v>2092</v>
      </c>
      <c r="AE447">
        <v>1.0952704451383486E-4</v>
      </c>
      <c r="AG447" t="s">
        <v>97</v>
      </c>
      <c r="AH447" t="s">
        <v>2092</v>
      </c>
      <c r="AI447">
        <v>0</v>
      </c>
    </row>
    <row r="448" spans="9:35" x14ac:dyDescent="0.45">
      <c r="I448" t="s">
        <v>249</v>
      </c>
      <c r="J448" t="s">
        <v>2093</v>
      </c>
      <c r="K448">
        <v>2.6754205838329999E-4</v>
      </c>
      <c r="L448" t="s">
        <v>251</v>
      </c>
      <c r="N448" t="s">
        <v>419</v>
      </c>
      <c r="O448" t="s">
        <v>2093</v>
      </c>
      <c r="P448">
        <v>7.9903721118499763E-6</v>
      </c>
      <c r="Q448" t="s">
        <v>251</v>
      </c>
      <c r="S448" t="s">
        <v>420</v>
      </c>
      <c r="T448" t="s">
        <v>2093</v>
      </c>
      <c r="U448">
        <v>1.079382193142E-4</v>
      </c>
      <c r="V448" t="s">
        <v>251</v>
      </c>
      <c r="X448">
        <v>1.1415525114155251E-4</v>
      </c>
      <c r="Y448">
        <v>1.4883690094390442E-4</v>
      </c>
      <c r="Z448" t="s">
        <v>2093</v>
      </c>
      <c r="AA448" t="s">
        <v>25</v>
      </c>
      <c r="AC448" t="s">
        <v>22</v>
      </c>
      <c r="AD448" t="s">
        <v>2093</v>
      </c>
      <c r="AE448">
        <v>1.1606008995856167E-4</v>
      </c>
      <c r="AG448" t="s">
        <v>97</v>
      </c>
      <c r="AH448" t="s">
        <v>2093</v>
      </c>
      <c r="AI448">
        <v>0</v>
      </c>
    </row>
    <row r="449" spans="9:35" x14ac:dyDescent="0.45">
      <c r="I449" t="s">
        <v>249</v>
      </c>
      <c r="J449" t="s">
        <v>2094</v>
      </c>
      <c r="K449">
        <v>2.6750983045829998E-4</v>
      </c>
      <c r="L449" t="s">
        <v>251</v>
      </c>
      <c r="N449" t="s">
        <v>419</v>
      </c>
      <c r="O449" t="s">
        <v>2094</v>
      </c>
      <c r="P449">
        <v>8.67638624532102E-6</v>
      </c>
      <c r="Q449" t="s">
        <v>251</v>
      </c>
      <c r="S449" t="s">
        <v>420</v>
      </c>
      <c r="T449" t="s">
        <v>2094</v>
      </c>
      <c r="U449">
        <v>1.046275756266E-4</v>
      </c>
      <c r="V449" t="s">
        <v>251</v>
      </c>
      <c r="X449">
        <v>1.1415525114155251E-4</v>
      </c>
      <c r="Y449">
        <v>1.5049432745775637E-4</v>
      </c>
      <c r="Z449" t="s">
        <v>2094</v>
      </c>
      <c r="AA449" t="s">
        <v>25</v>
      </c>
      <c r="AC449" t="s">
        <v>22</v>
      </c>
      <c r="AD449" t="s">
        <v>2094</v>
      </c>
      <c r="AE449">
        <v>1.2004559983681933E-4</v>
      </c>
      <c r="AG449" t="s">
        <v>97</v>
      </c>
      <c r="AH449" t="s">
        <v>2094</v>
      </c>
      <c r="AI449">
        <v>0</v>
      </c>
    </row>
    <row r="450" spans="9:35" x14ac:dyDescent="0.45">
      <c r="I450" t="s">
        <v>249</v>
      </c>
      <c r="J450" t="s">
        <v>2095</v>
      </c>
      <c r="K450">
        <v>2.5377433047449999E-4</v>
      </c>
      <c r="L450" t="s">
        <v>251</v>
      </c>
      <c r="N450" t="s">
        <v>419</v>
      </c>
      <c r="O450" t="s">
        <v>2095</v>
      </c>
      <c r="P450">
        <v>1.08839532378561E-5</v>
      </c>
      <c r="Q450" t="s">
        <v>251</v>
      </c>
      <c r="S450" t="s">
        <v>420</v>
      </c>
      <c r="T450" t="s">
        <v>2095</v>
      </c>
      <c r="U450">
        <v>9.8956964301761304E-5</v>
      </c>
      <c r="V450" t="s">
        <v>251</v>
      </c>
      <c r="X450">
        <v>1.1415525114155251E-4</v>
      </c>
      <c r="Y450">
        <v>1.7237235744060203E-4</v>
      </c>
      <c r="Z450" t="s">
        <v>2095</v>
      </c>
      <c r="AA450" t="s">
        <v>25</v>
      </c>
      <c r="AC450" t="s">
        <v>22</v>
      </c>
      <c r="AD450" t="s">
        <v>2095</v>
      </c>
      <c r="AE450">
        <v>1.2129629066681276E-4</v>
      </c>
      <c r="AG450" t="s">
        <v>97</v>
      </c>
      <c r="AH450" t="s">
        <v>2095</v>
      </c>
      <c r="AI450">
        <v>0</v>
      </c>
    </row>
    <row r="451" spans="9:35" x14ac:dyDescent="0.45">
      <c r="I451" t="s">
        <v>249</v>
      </c>
      <c r="J451" t="s">
        <v>2096</v>
      </c>
      <c r="K451">
        <v>2.353039103149E-4</v>
      </c>
      <c r="L451" t="s">
        <v>251</v>
      </c>
      <c r="N451" t="s">
        <v>419</v>
      </c>
      <c r="O451" t="s">
        <v>2096</v>
      </c>
      <c r="P451">
        <v>1.437409096577217E-5</v>
      </c>
      <c r="Q451" t="s">
        <v>251</v>
      </c>
      <c r="S451" t="s">
        <v>420</v>
      </c>
      <c r="T451" t="s">
        <v>2096</v>
      </c>
      <c r="U451">
        <v>9.4018365648547322E-5</v>
      </c>
      <c r="V451" t="s">
        <v>251</v>
      </c>
      <c r="X451">
        <v>1.1415525114155251E-4</v>
      </c>
      <c r="Y451">
        <v>2.2209515285616027E-4</v>
      </c>
      <c r="Z451" t="s">
        <v>2096</v>
      </c>
      <c r="AA451" t="s">
        <v>25</v>
      </c>
      <c r="AC451" t="s">
        <v>22</v>
      </c>
      <c r="AD451" t="s">
        <v>2096</v>
      </c>
      <c r="AE451">
        <v>1.222986041156791E-4</v>
      </c>
      <c r="AG451" t="s">
        <v>97</v>
      </c>
      <c r="AH451" t="s">
        <v>2096</v>
      </c>
      <c r="AI451">
        <v>0</v>
      </c>
    </row>
    <row r="452" spans="9:35" x14ac:dyDescent="0.45">
      <c r="I452" t="s">
        <v>249</v>
      </c>
      <c r="J452" t="s">
        <v>2097</v>
      </c>
      <c r="K452">
        <v>2.0492196729949999E-4</v>
      </c>
      <c r="L452" t="s">
        <v>251</v>
      </c>
      <c r="N452" t="s">
        <v>419</v>
      </c>
      <c r="O452" t="s">
        <v>2097</v>
      </c>
      <c r="P452">
        <v>2.1838136120182773E-5</v>
      </c>
      <c r="Q452" t="s">
        <v>251</v>
      </c>
      <c r="S452" t="s">
        <v>420</v>
      </c>
      <c r="T452" t="s">
        <v>2097</v>
      </c>
      <c r="U452">
        <v>9.4445754291677276E-5</v>
      </c>
      <c r="V452" t="s">
        <v>251</v>
      </c>
      <c r="X452">
        <v>1.1415525114155251E-4</v>
      </c>
      <c r="Y452">
        <v>2.2209515285616027E-4</v>
      </c>
      <c r="Z452" t="s">
        <v>2097</v>
      </c>
      <c r="AA452" t="s">
        <v>25</v>
      </c>
      <c r="AC452" t="s">
        <v>22</v>
      </c>
      <c r="AD452" t="s">
        <v>2097</v>
      </c>
      <c r="AE452">
        <v>1.2412795288301379E-4</v>
      </c>
      <c r="AG452" t="s">
        <v>97</v>
      </c>
      <c r="AH452" t="s">
        <v>2097</v>
      </c>
      <c r="AI452">
        <v>0</v>
      </c>
    </row>
    <row r="453" spans="9:35" x14ac:dyDescent="0.45">
      <c r="I453" t="s">
        <v>249</v>
      </c>
      <c r="J453" t="s">
        <v>2098</v>
      </c>
      <c r="K453">
        <v>1.5588021008899999E-4</v>
      </c>
      <c r="L453" t="s">
        <v>251</v>
      </c>
      <c r="N453" t="s">
        <v>419</v>
      </c>
      <c r="O453" t="s">
        <v>2098</v>
      </c>
      <c r="P453">
        <v>3.153708642964837E-5</v>
      </c>
      <c r="Q453" t="s">
        <v>251</v>
      </c>
      <c r="S453" t="s">
        <v>420</v>
      </c>
      <c r="T453" t="s">
        <v>2098</v>
      </c>
      <c r="U453">
        <v>9.8879438176153103E-5</v>
      </c>
      <c r="V453" t="s">
        <v>251</v>
      </c>
      <c r="X453">
        <v>1.1415525114155251E-4</v>
      </c>
      <c r="Y453">
        <v>1.7237235744060203E-4</v>
      </c>
      <c r="Z453" t="s">
        <v>2098</v>
      </c>
      <c r="AA453" t="s">
        <v>25</v>
      </c>
      <c r="AC453" t="s">
        <v>22</v>
      </c>
      <c r="AD453" t="s">
        <v>2098</v>
      </c>
      <c r="AE453">
        <v>1.2488028823723338E-4</v>
      </c>
      <c r="AG453" t="s">
        <v>97</v>
      </c>
      <c r="AH453" t="s">
        <v>2098</v>
      </c>
      <c r="AI453">
        <v>0</v>
      </c>
    </row>
    <row r="454" spans="9:35" x14ac:dyDescent="0.45">
      <c r="I454" t="s">
        <v>249</v>
      </c>
      <c r="J454" t="s">
        <v>2099</v>
      </c>
      <c r="K454">
        <v>5.3390544414056237E-5</v>
      </c>
      <c r="L454" t="s">
        <v>251</v>
      </c>
      <c r="N454" t="s">
        <v>419</v>
      </c>
      <c r="O454" t="s">
        <v>2099</v>
      </c>
      <c r="P454">
        <v>4.3067634945868994E-5</v>
      </c>
      <c r="Q454" t="s">
        <v>251</v>
      </c>
      <c r="S454" t="s">
        <v>420</v>
      </c>
      <c r="T454" t="s">
        <v>2099</v>
      </c>
      <c r="U454">
        <v>9.7737031269674082E-5</v>
      </c>
      <c r="V454" t="s">
        <v>251</v>
      </c>
      <c r="X454">
        <v>1.1415525114155251E-4</v>
      </c>
      <c r="Y454">
        <v>1.5579809230208258E-4</v>
      </c>
      <c r="Z454" t="s">
        <v>2099</v>
      </c>
      <c r="AA454" t="s">
        <v>25</v>
      </c>
      <c r="AC454" t="s">
        <v>22</v>
      </c>
      <c r="AD454" t="s">
        <v>2099</v>
      </c>
      <c r="AE454">
        <v>1.2710794788536588E-4</v>
      </c>
      <c r="AG454" t="s">
        <v>97</v>
      </c>
      <c r="AH454" t="s">
        <v>2099</v>
      </c>
      <c r="AI454">
        <v>0</v>
      </c>
    </row>
    <row r="455" spans="9:35" x14ac:dyDescent="0.45">
      <c r="I455" t="s">
        <v>249</v>
      </c>
      <c r="J455" t="s">
        <v>2100</v>
      </c>
      <c r="K455">
        <v>0</v>
      </c>
      <c r="L455" t="s">
        <v>251</v>
      </c>
      <c r="N455" t="s">
        <v>419</v>
      </c>
      <c r="O455" t="s">
        <v>2100</v>
      </c>
      <c r="P455">
        <v>5.4803697293001453E-5</v>
      </c>
      <c r="Q455" t="s">
        <v>251</v>
      </c>
      <c r="S455" t="s">
        <v>420</v>
      </c>
      <c r="T455" t="s">
        <v>2100</v>
      </c>
      <c r="U455">
        <v>9.3105672793881517E-5</v>
      </c>
      <c r="V455" t="s">
        <v>251</v>
      </c>
      <c r="X455">
        <v>1.1415525114155251E-4</v>
      </c>
      <c r="Y455">
        <v>1.093901499142282E-4</v>
      </c>
      <c r="Z455" t="s">
        <v>2100</v>
      </c>
      <c r="AA455" t="s">
        <v>25</v>
      </c>
      <c r="AC455" t="s">
        <v>22</v>
      </c>
      <c r="AD455" t="s">
        <v>2100</v>
      </c>
      <c r="AE455">
        <v>1.2726508459587487E-4</v>
      </c>
      <c r="AG455" t="s">
        <v>97</v>
      </c>
      <c r="AH455" t="s">
        <v>2100</v>
      </c>
      <c r="AI455">
        <v>0</v>
      </c>
    </row>
    <row r="456" spans="9:35" x14ac:dyDescent="0.45">
      <c r="I456" t="s">
        <v>249</v>
      </c>
      <c r="J456" t="s">
        <v>2101</v>
      </c>
      <c r="K456">
        <v>0</v>
      </c>
      <c r="L456" t="s">
        <v>251</v>
      </c>
      <c r="N456" t="s">
        <v>419</v>
      </c>
      <c r="O456" t="s">
        <v>2101</v>
      </c>
      <c r="P456">
        <v>6.3205932938328928E-5</v>
      </c>
      <c r="Q456" t="s">
        <v>251</v>
      </c>
      <c r="S456" t="s">
        <v>420</v>
      </c>
      <c r="T456" t="s">
        <v>2101</v>
      </c>
      <c r="U456">
        <v>8.9551506099001856E-5</v>
      </c>
      <c r="V456" t="s">
        <v>251</v>
      </c>
      <c r="X456">
        <v>1.1415525114155251E-4</v>
      </c>
      <c r="Y456">
        <v>7.9556472664893237E-5</v>
      </c>
      <c r="Z456" t="s">
        <v>2101</v>
      </c>
      <c r="AA456" t="s">
        <v>25</v>
      </c>
      <c r="AC456" t="s">
        <v>22</v>
      </c>
      <c r="AD456" t="s">
        <v>2101</v>
      </c>
      <c r="AE456">
        <v>1.2824205341401394E-4</v>
      </c>
      <c r="AG456" t="s">
        <v>97</v>
      </c>
      <c r="AH456" t="s">
        <v>2101</v>
      </c>
      <c r="AI456">
        <v>0</v>
      </c>
    </row>
    <row r="457" spans="9:35" x14ac:dyDescent="0.45">
      <c r="I457" t="s">
        <v>249</v>
      </c>
      <c r="J457" t="s">
        <v>2102</v>
      </c>
      <c r="K457">
        <v>0</v>
      </c>
      <c r="L457" t="s">
        <v>251</v>
      </c>
      <c r="N457" t="s">
        <v>419</v>
      </c>
      <c r="O457" t="s">
        <v>2102</v>
      </c>
      <c r="P457">
        <v>7.1319185211673458E-5</v>
      </c>
      <c r="Q457" t="s">
        <v>251</v>
      </c>
      <c r="S457" t="s">
        <v>420</v>
      </c>
      <c r="T457" t="s">
        <v>2102</v>
      </c>
      <c r="U457">
        <v>9.1187694363085116E-5</v>
      </c>
      <c r="V457" t="s">
        <v>251</v>
      </c>
      <c r="X457">
        <v>1.1415525114155251E-4</v>
      </c>
      <c r="Y457">
        <v>5.6352501470966035E-5</v>
      </c>
      <c r="Z457" t="s">
        <v>2102</v>
      </c>
      <c r="AA457" t="s">
        <v>25</v>
      </c>
      <c r="AC457" t="s">
        <v>22</v>
      </c>
      <c r="AD457" t="s">
        <v>2102</v>
      </c>
      <c r="AE457">
        <v>1.2762871335041435E-4</v>
      </c>
      <c r="AG457" t="s">
        <v>97</v>
      </c>
      <c r="AH457" t="s">
        <v>2102</v>
      </c>
      <c r="AI457">
        <v>0</v>
      </c>
    </row>
    <row r="458" spans="9:35" x14ac:dyDescent="0.45">
      <c r="I458" t="s">
        <v>249</v>
      </c>
      <c r="J458" t="s">
        <v>2103</v>
      </c>
      <c r="K458">
        <v>0</v>
      </c>
      <c r="L458" t="s">
        <v>251</v>
      </c>
      <c r="N458" t="s">
        <v>419</v>
      </c>
      <c r="O458" t="s">
        <v>2103</v>
      </c>
      <c r="P458">
        <v>7.3686418519962853E-5</v>
      </c>
      <c r="Q458" t="s">
        <v>251</v>
      </c>
      <c r="S458" t="s">
        <v>420</v>
      </c>
      <c r="T458" t="s">
        <v>2103</v>
      </c>
      <c r="U458">
        <v>8.9049470783642709E-5</v>
      </c>
      <c r="V458" t="s">
        <v>251</v>
      </c>
      <c r="X458">
        <v>1.1415525114155251E-4</v>
      </c>
      <c r="Y458">
        <v>2.9833677249334962E-5</v>
      </c>
      <c r="Z458" t="s">
        <v>2103</v>
      </c>
      <c r="AA458" t="s">
        <v>25</v>
      </c>
      <c r="AC458" t="s">
        <v>22</v>
      </c>
      <c r="AD458" t="s">
        <v>2103</v>
      </c>
      <c r="AE458">
        <v>1.2796566354629353E-4</v>
      </c>
      <c r="AG458" t="s">
        <v>97</v>
      </c>
      <c r="AH458" t="s">
        <v>2103</v>
      </c>
      <c r="AI458">
        <v>0</v>
      </c>
    </row>
    <row r="459" spans="9:35" x14ac:dyDescent="0.45">
      <c r="I459" t="s">
        <v>249</v>
      </c>
      <c r="J459" t="s">
        <v>363</v>
      </c>
      <c r="K459">
        <v>0</v>
      </c>
      <c r="L459" t="s">
        <v>251</v>
      </c>
      <c r="N459" t="s">
        <v>419</v>
      </c>
      <c r="O459" t="s">
        <v>363</v>
      </c>
      <c r="P459">
        <v>2.1987516014648524E-2</v>
      </c>
      <c r="Q459" t="s">
        <v>251</v>
      </c>
      <c r="S459" t="s">
        <v>420</v>
      </c>
      <c r="T459" t="s">
        <v>363</v>
      </c>
      <c r="U459">
        <v>1.7916686543167984E-2</v>
      </c>
      <c r="V459" t="s">
        <v>251</v>
      </c>
      <c r="X459">
        <v>2.0547945205479451E-2</v>
      </c>
      <c r="Y459">
        <v>4.3954951147353507E-3</v>
      </c>
      <c r="Z459" t="s">
        <v>363</v>
      </c>
      <c r="AA459" t="s">
        <v>25</v>
      </c>
      <c r="AC459" t="s">
        <v>22</v>
      </c>
      <c r="AD459" t="s">
        <v>363</v>
      </c>
      <c r="AE459">
        <v>1.9431112851412507E-2</v>
      </c>
      <c r="AG459" t="s">
        <v>97</v>
      </c>
      <c r="AH459" t="s">
        <v>363</v>
      </c>
      <c r="AI459">
        <v>0.17457053711121984</v>
      </c>
    </row>
    <row r="460" spans="9:35" x14ac:dyDescent="0.45">
      <c r="I460" t="s">
        <v>249</v>
      </c>
      <c r="J460" t="s">
        <v>364</v>
      </c>
      <c r="K460">
        <v>1.4265884888544206E-3</v>
      </c>
      <c r="L460" t="s">
        <v>251</v>
      </c>
      <c r="N460" t="s">
        <v>419</v>
      </c>
      <c r="O460" t="s">
        <v>364</v>
      </c>
      <c r="P460">
        <v>3.2426110992468502E-3</v>
      </c>
      <c r="Q460" t="s">
        <v>251</v>
      </c>
      <c r="S460" t="s">
        <v>420</v>
      </c>
      <c r="T460" t="s">
        <v>364</v>
      </c>
      <c r="U460">
        <v>2.7519371231801543E-3</v>
      </c>
      <c r="V460" t="s">
        <v>251</v>
      </c>
      <c r="X460">
        <v>3.4246575342465752E-3</v>
      </c>
      <c r="Y460">
        <v>5.0717251323869452E-3</v>
      </c>
      <c r="Z460" t="s">
        <v>364</v>
      </c>
      <c r="AA460" t="s">
        <v>25</v>
      </c>
      <c r="AC460" t="s">
        <v>22</v>
      </c>
      <c r="AD460" t="s">
        <v>364</v>
      </c>
      <c r="AE460">
        <v>2.6420198074447719E-3</v>
      </c>
      <c r="AG460" t="s">
        <v>97</v>
      </c>
      <c r="AH460" t="s">
        <v>364</v>
      </c>
      <c r="AI460">
        <v>7.3776432002171433E-2</v>
      </c>
    </row>
    <row r="461" spans="9:35" x14ac:dyDescent="0.45">
      <c r="I461" t="s">
        <v>249</v>
      </c>
      <c r="J461" t="s">
        <v>365</v>
      </c>
      <c r="K461">
        <v>5.1126615802918616E-3</v>
      </c>
      <c r="L461" t="s">
        <v>251</v>
      </c>
      <c r="N461" t="s">
        <v>419</v>
      </c>
      <c r="O461" t="s">
        <v>365</v>
      </c>
      <c r="P461">
        <v>2.803716330340197E-3</v>
      </c>
      <c r="Q461" t="s">
        <v>251</v>
      </c>
      <c r="S461" t="s">
        <v>420</v>
      </c>
      <c r="T461" t="s">
        <v>365</v>
      </c>
      <c r="U461">
        <v>2.7649685483693981E-3</v>
      </c>
      <c r="V461" t="s">
        <v>251</v>
      </c>
      <c r="X461">
        <v>3.4246575342465752E-3</v>
      </c>
      <c r="Y461">
        <v>5.7181214727892006E-3</v>
      </c>
      <c r="Z461" t="s">
        <v>365</v>
      </c>
      <c r="AA461" t="s">
        <v>25</v>
      </c>
      <c r="AC461" t="s">
        <v>22</v>
      </c>
      <c r="AD461" t="s">
        <v>365</v>
      </c>
      <c r="AE461">
        <v>2.5530318743199232E-3</v>
      </c>
      <c r="AG461" t="s">
        <v>97</v>
      </c>
      <c r="AH461" t="s">
        <v>365</v>
      </c>
      <c r="AI461">
        <v>6.9391447068593237E-2</v>
      </c>
    </row>
    <row r="462" spans="9:35" x14ac:dyDescent="0.45">
      <c r="I462" t="s">
        <v>249</v>
      </c>
      <c r="J462" t="s">
        <v>366</v>
      </c>
      <c r="K462">
        <v>5.3028538289522399E-2</v>
      </c>
      <c r="L462" t="s">
        <v>251</v>
      </c>
      <c r="N462" t="s">
        <v>419</v>
      </c>
      <c r="O462" t="s">
        <v>366</v>
      </c>
      <c r="P462">
        <v>1.8409756149597192E-2</v>
      </c>
      <c r="Q462" t="s">
        <v>251</v>
      </c>
      <c r="S462" t="s">
        <v>420</v>
      </c>
      <c r="T462" t="s">
        <v>366</v>
      </c>
      <c r="U462">
        <v>1.8641999437587101E-2</v>
      </c>
      <c r="V462" t="s">
        <v>251</v>
      </c>
      <c r="X462">
        <v>2.3972602739726026E-2</v>
      </c>
      <c r="Y462">
        <v>3.0410461676155433E-2</v>
      </c>
      <c r="Z462" t="s">
        <v>366</v>
      </c>
      <c r="AA462" t="s">
        <v>25</v>
      </c>
      <c r="AC462" t="s">
        <v>22</v>
      </c>
      <c r="AD462" t="s">
        <v>366</v>
      </c>
      <c r="AE462">
        <v>2.0836927752645198E-2</v>
      </c>
      <c r="AG462" t="s">
        <v>97</v>
      </c>
      <c r="AH462" t="s">
        <v>366</v>
      </c>
      <c r="AI462">
        <v>0.18759917858258945</v>
      </c>
    </row>
    <row r="463" spans="9:35" x14ac:dyDescent="0.45">
      <c r="I463" t="s">
        <v>249</v>
      </c>
      <c r="J463" t="s">
        <v>367</v>
      </c>
      <c r="K463">
        <v>7.2820246575173997E-3</v>
      </c>
      <c r="L463" t="s">
        <v>251</v>
      </c>
      <c r="N463" t="s">
        <v>419</v>
      </c>
      <c r="O463" t="s">
        <v>367</v>
      </c>
      <c r="P463">
        <v>2.7197156049932948E-3</v>
      </c>
      <c r="Q463" t="s">
        <v>251</v>
      </c>
      <c r="S463" t="s">
        <v>420</v>
      </c>
      <c r="T463" t="s">
        <v>367</v>
      </c>
      <c r="U463">
        <v>2.7008986209608697E-3</v>
      </c>
      <c r="V463" t="s">
        <v>251</v>
      </c>
      <c r="X463">
        <v>3.4246575342465752E-3</v>
      </c>
      <c r="Y463">
        <v>5.1711707232180593E-3</v>
      </c>
      <c r="Z463" t="s">
        <v>367</v>
      </c>
      <c r="AA463" t="s">
        <v>25</v>
      </c>
      <c r="AC463" t="s">
        <v>22</v>
      </c>
      <c r="AD463" t="s">
        <v>367</v>
      </c>
      <c r="AE463">
        <v>3.489624828211369E-3</v>
      </c>
      <c r="AG463" t="s">
        <v>97</v>
      </c>
      <c r="AH463" t="s">
        <v>367</v>
      </c>
      <c r="AI463">
        <v>6.1271045772115285E-2</v>
      </c>
    </row>
    <row r="464" spans="9:35" x14ac:dyDescent="0.45">
      <c r="I464" t="s">
        <v>249</v>
      </c>
      <c r="J464" t="s">
        <v>368</v>
      </c>
      <c r="K464">
        <v>6.5244460907635995E-3</v>
      </c>
      <c r="L464" t="s">
        <v>251</v>
      </c>
      <c r="N464" t="s">
        <v>419</v>
      </c>
      <c r="O464" t="s">
        <v>368</v>
      </c>
      <c r="P464">
        <v>2.7032479440840698E-3</v>
      </c>
      <c r="Q464" t="s">
        <v>251</v>
      </c>
      <c r="S464" t="s">
        <v>420</v>
      </c>
      <c r="T464" t="s">
        <v>368</v>
      </c>
      <c r="U464">
        <v>2.5803912726566642E-3</v>
      </c>
      <c r="V464" t="s">
        <v>251</v>
      </c>
      <c r="X464">
        <v>3.4246575342465752E-3</v>
      </c>
      <c r="Y464">
        <v>6.662854585684809E-3</v>
      </c>
      <c r="Z464" t="s">
        <v>368</v>
      </c>
      <c r="AA464" t="s">
        <v>25</v>
      </c>
      <c r="AC464" t="s">
        <v>22</v>
      </c>
      <c r="AD464" t="s">
        <v>368</v>
      </c>
      <c r="AE464">
        <v>3.51736652743425E-3</v>
      </c>
      <c r="AG464" t="s">
        <v>97</v>
      </c>
      <c r="AH464" t="s">
        <v>368</v>
      </c>
      <c r="AI464">
        <v>7.6431784277328108E-2</v>
      </c>
    </row>
    <row r="465" spans="9:35" x14ac:dyDescent="0.45">
      <c r="I465" t="s">
        <v>249</v>
      </c>
      <c r="J465" t="s">
        <v>369</v>
      </c>
      <c r="K465">
        <v>5.1555486044243997E-3</v>
      </c>
      <c r="L465" t="s">
        <v>251</v>
      </c>
      <c r="N465" t="s">
        <v>419</v>
      </c>
      <c r="O465" t="s">
        <v>369</v>
      </c>
      <c r="P465">
        <v>2.7923664979789486E-3</v>
      </c>
      <c r="Q465" t="s">
        <v>251</v>
      </c>
      <c r="S465" t="s">
        <v>420</v>
      </c>
      <c r="T465" t="s">
        <v>369</v>
      </c>
      <c r="U465">
        <v>2.6869127570920432E-3</v>
      </c>
      <c r="V465" t="s">
        <v>251</v>
      </c>
      <c r="X465">
        <v>3.4246575342465752E-3</v>
      </c>
      <c r="Y465">
        <v>6.662854585684809E-3</v>
      </c>
      <c r="Z465" t="s">
        <v>369</v>
      </c>
      <c r="AA465" t="s">
        <v>25</v>
      </c>
      <c r="AC465" t="s">
        <v>22</v>
      </c>
      <c r="AD465" t="s">
        <v>369</v>
      </c>
      <c r="AE465">
        <v>3.5463583839159514E-3</v>
      </c>
      <c r="AG465" t="s">
        <v>97</v>
      </c>
      <c r="AH465" t="s">
        <v>369</v>
      </c>
      <c r="AI465">
        <v>8.7840284602749064E-2</v>
      </c>
    </row>
    <row r="466" spans="9:35" x14ac:dyDescent="0.45">
      <c r="I466" t="s">
        <v>249</v>
      </c>
      <c r="J466" t="s">
        <v>370</v>
      </c>
      <c r="K466">
        <v>2.5682558522210274E-3</v>
      </c>
      <c r="L466" t="s">
        <v>251</v>
      </c>
      <c r="N466" t="s">
        <v>419</v>
      </c>
      <c r="O466" t="s">
        <v>370</v>
      </c>
      <c r="P466">
        <v>2.3119393430554084E-2</v>
      </c>
      <c r="Q466" t="s">
        <v>251</v>
      </c>
      <c r="S466" t="s">
        <v>420</v>
      </c>
      <c r="T466" t="s">
        <v>370</v>
      </c>
      <c r="U466">
        <v>1.9178574975898272E-2</v>
      </c>
      <c r="V466" t="s">
        <v>251</v>
      </c>
      <c r="X466">
        <v>2.0547945205479451E-2</v>
      </c>
      <c r="Y466">
        <v>1.8099097531263209E-2</v>
      </c>
      <c r="Z466" t="s">
        <v>370</v>
      </c>
      <c r="AA466" t="s">
        <v>25</v>
      </c>
      <c r="AC466" t="s">
        <v>22</v>
      </c>
      <c r="AD466" t="s">
        <v>370</v>
      </c>
      <c r="AE466">
        <v>2.1819185337057481E-2</v>
      </c>
      <c r="AG466" t="s">
        <v>97</v>
      </c>
      <c r="AH466" t="s">
        <v>370</v>
      </c>
      <c r="AI466">
        <v>0.12204049558381702</v>
      </c>
    </row>
    <row r="467" spans="9:35" x14ac:dyDescent="0.45">
      <c r="I467" t="s">
        <v>249</v>
      </c>
      <c r="J467" t="s">
        <v>395</v>
      </c>
      <c r="K467">
        <v>0</v>
      </c>
      <c r="L467" t="s">
        <v>251</v>
      </c>
      <c r="N467" t="s">
        <v>419</v>
      </c>
      <c r="O467" t="s">
        <v>395</v>
      </c>
      <c r="P467">
        <v>2.672996351164476E-2</v>
      </c>
      <c r="Q467" t="s">
        <v>251</v>
      </c>
      <c r="S467" t="s">
        <v>420</v>
      </c>
      <c r="T467" t="s">
        <v>395</v>
      </c>
      <c r="U467">
        <v>2.2216646502896346E-2</v>
      </c>
      <c r="V467" t="s">
        <v>251</v>
      </c>
      <c r="X467">
        <v>2.1232876712328767E-2</v>
      </c>
      <c r="Y467">
        <v>4.5420116185598634E-3</v>
      </c>
      <c r="Z467" t="s">
        <v>395</v>
      </c>
      <c r="AA467" t="s">
        <v>25</v>
      </c>
      <c r="AC467" t="s">
        <v>22</v>
      </c>
      <c r="AD467" t="s">
        <v>395</v>
      </c>
      <c r="AE467">
        <v>1.9792621807780571E-2</v>
      </c>
      <c r="AG467" t="s">
        <v>97</v>
      </c>
      <c r="AH467" t="s">
        <v>395</v>
      </c>
      <c r="AI467">
        <v>0.14546037012229274</v>
      </c>
    </row>
    <row r="468" spans="9:35" x14ac:dyDescent="0.45">
      <c r="I468" t="s">
        <v>249</v>
      </c>
      <c r="J468" t="s">
        <v>396</v>
      </c>
      <c r="K468">
        <v>2.9377313160573786E-4</v>
      </c>
      <c r="L468" t="s">
        <v>251</v>
      </c>
      <c r="N468" t="s">
        <v>419</v>
      </c>
      <c r="O468" t="s">
        <v>396</v>
      </c>
      <c r="P468">
        <v>4.2543244324251541E-3</v>
      </c>
      <c r="Q468" t="s">
        <v>251</v>
      </c>
      <c r="S468" t="s">
        <v>420</v>
      </c>
      <c r="T468" t="s">
        <v>396</v>
      </c>
      <c r="U468">
        <v>3.6311291673658875E-3</v>
      </c>
      <c r="V468" t="s">
        <v>251</v>
      </c>
      <c r="X468">
        <v>3.5388127853881279E-3</v>
      </c>
      <c r="Y468">
        <v>5.240782636799844E-3</v>
      </c>
      <c r="Z468" t="s">
        <v>396</v>
      </c>
      <c r="AA468" t="s">
        <v>25</v>
      </c>
      <c r="AC468" t="s">
        <v>22</v>
      </c>
      <c r="AD468" t="s">
        <v>396</v>
      </c>
      <c r="AE468">
        <v>2.6543176581232944E-3</v>
      </c>
      <c r="AG468" t="s">
        <v>97</v>
      </c>
      <c r="AH468" t="s">
        <v>396</v>
      </c>
      <c r="AI468">
        <v>3.3040825794567352E-2</v>
      </c>
    </row>
    <row r="469" spans="9:35" x14ac:dyDescent="0.45">
      <c r="I469" t="s">
        <v>249</v>
      </c>
      <c r="J469" t="s">
        <v>397</v>
      </c>
      <c r="K469">
        <v>5.1106613015486834E-3</v>
      </c>
      <c r="L469" t="s">
        <v>251</v>
      </c>
      <c r="N469" t="s">
        <v>419</v>
      </c>
      <c r="O469" t="s">
        <v>397</v>
      </c>
      <c r="P469">
        <v>4.0331475106903433E-3</v>
      </c>
      <c r="Q469" t="s">
        <v>251</v>
      </c>
      <c r="S469" t="s">
        <v>420</v>
      </c>
      <c r="T469" t="s">
        <v>397</v>
      </c>
      <c r="U469">
        <v>3.6183135117650459E-3</v>
      </c>
      <c r="V469" t="s">
        <v>251</v>
      </c>
      <c r="X469">
        <v>3.5388127853881279E-3</v>
      </c>
      <c r="Y469">
        <v>5.9087255218821738E-3</v>
      </c>
      <c r="Z469" t="s">
        <v>397</v>
      </c>
      <c r="AA469" t="s">
        <v>25</v>
      </c>
      <c r="AC469" t="s">
        <v>22</v>
      </c>
      <c r="AD469" t="s">
        <v>397</v>
      </c>
      <c r="AE469">
        <v>2.5804887488147976E-3</v>
      </c>
      <c r="AG469" t="s">
        <v>97</v>
      </c>
      <c r="AH469" t="s">
        <v>397</v>
      </c>
      <c r="AI469">
        <v>2.5958608869261823E-2</v>
      </c>
    </row>
    <row r="470" spans="9:35" x14ac:dyDescent="0.45">
      <c r="I470" t="s">
        <v>249</v>
      </c>
      <c r="J470" t="s">
        <v>398</v>
      </c>
      <c r="K470">
        <v>5.7744684487604302E-2</v>
      </c>
      <c r="L470" t="s">
        <v>251</v>
      </c>
      <c r="N470" t="s">
        <v>419</v>
      </c>
      <c r="O470" t="s">
        <v>398</v>
      </c>
      <c r="P470">
        <v>2.6052330729859945E-2</v>
      </c>
      <c r="Q470" t="s">
        <v>251</v>
      </c>
      <c r="S470" t="s">
        <v>420</v>
      </c>
      <c r="T470" t="s">
        <v>398</v>
      </c>
      <c r="U470">
        <v>2.3925689322265881E-2</v>
      </c>
      <c r="V470" t="s">
        <v>251</v>
      </c>
      <c r="X470">
        <v>2.4771689497716895E-2</v>
      </c>
      <c r="Y470">
        <v>3.1424143732027281E-2</v>
      </c>
      <c r="Z470" t="s">
        <v>398</v>
      </c>
      <c r="AA470" t="s">
        <v>25</v>
      </c>
      <c r="AC470" t="s">
        <v>22</v>
      </c>
      <c r="AD470" t="s">
        <v>398</v>
      </c>
      <c r="AE470">
        <v>2.1944566199195794E-2</v>
      </c>
      <c r="AG470" t="s">
        <v>97</v>
      </c>
      <c r="AH470" t="s">
        <v>398</v>
      </c>
      <c r="AI470">
        <v>0.2497240775983629</v>
      </c>
    </row>
    <row r="471" spans="9:35" x14ac:dyDescent="0.45">
      <c r="I471" t="s">
        <v>249</v>
      </c>
      <c r="J471" t="s">
        <v>399</v>
      </c>
      <c r="K471">
        <v>8.1286848741940997E-3</v>
      </c>
      <c r="L471" t="s">
        <v>251</v>
      </c>
      <c r="N471" t="s">
        <v>419</v>
      </c>
      <c r="O471" t="s">
        <v>399</v>
      </c>
      <c r="P471">
        <v>3.661709304739004E-3</v>
      </c>
      <c r="Q471" t="s">
        <v>251</v>
      </c>
      <c r="S471" t="s">
        <v>420</v>
      </c>
      <c r="T471" t="s">
        <v>399</v>
      </c>
      <c r="U471">
        <v>3.5723945211106572E-3</v>
      </c>
      <c r="V471" t="s">
        <v>251</v>
      </c>
      <c r="X471">
        <v>3.5388127853881279E-3</v>
      </c>
      <c r="Y471">
        <v>5.3435430806586613E-3</v>
      </c>
      <c r="Z471" t="s">
        <v>399</v>
      </c>
      <c r="AA471" t="s">
        <v>25</v>
      </c>
      <c r="AC471" t="s">
        <v>22</v>
      </c>
      <c r="AD471" t="s">
        <v>399</v>
      </c>
      <c r="AE471">
        <v>3.5150034429866075E-3</v>
      </c>
      <c r="AG471" t="s">
        <v>97</v>
      </c>
      <c r="AH471" t="s">
        <v>399</v>
      </c>
      <c r="AI471">
        <v>5.2894178929967728E-2</v>
      </c>
    </row>
    <row r="472" spans="9:35" x14ac:dyDescent="0.45">
      <c r="I472" t="s">
        <v>249</v>
      </c>
      <c r="J472" t="s">
        <v>400</v>
      </c>
      <c r="K472">
        <v>7.0069966313310002E-3</v>
      </c>
      <c r="L472" t="s">
        <v>251</v>
      </c>
      <c r="N472" t="s">
        <v>419</v>
      </c>
      <c r="O472" t="s">
        <v>400</v>
      </c>
      <c r="P472">
        <v>3.5484948676191815E-3</v>
      </c>
      <c r="Q472" t="s">
        <v>251</v>
      </c>
      <c r="S472" t="s">
        <v>420</v>
      </c>
      <c r="T472" t="s">
        <v>400</v>
      </c>
      <c r="U472">
        <v>3.4846446280784498E-3</v>
      </c>
      <c r="V472" t="s">
        <v>251</v>
      </c>
      <c r="X472">
        <v>3.5388127853881279E-3</v>
      </c>
      <c r="Y472">
        <v>6.8849497385409693E-3</v>
      </c>
      <c r="Z472" t="s">
        <v>400</v>
      </c>
      <c r="AA472" t="s">
        <v>25</v>
      </c>
      <c r="AC472" t="s">
        <v>22</v>
      </c>
      <c r="AD472" t="s">
        <v>400</v>
      </c>
      <c r="AE472">
        <v>3.5353938653706518E-3</v>
      </c>
      <c r="AG472" t="s">
        <v>97</v>
      </c>
      <c r="AH472" t="s">
        <v>400</v>
      </c>
      <c r="AI472">
        <v>5.5112731512192425E-2</v>
      </c>
    </row>
    <row r="473" spans="9:35" x14ac:dyDescent="0.45">
      <c r="I473" t="s">
        <v>249</v>
      </c>
      <c r="J473" t="s">
        <v>401</v>
      </c>
      <c r="K473">
        <v>4.7699674303072776E-3</v>
      </c>
      <c r="L473" t="s">
        <v>251</v>
      </c>
      <c r="N473" t="s">
        <v>419</v>
      </c>
      <c r="O473" t="s">
        <v>401</v>
      </c>
      <c r="P473">
        <v>3.6102067267179024E-3</v>
      </c>
      <c r="Q473" t="s">
        <v>251</v>
      </c>
      <c r="S473" t="s">
        <v>420</v>
      </c>
      <c r="T473" t="s">
        <v>401</v>
      </c>
      <c r="U473">
        <v>3.5324148970068132E-3</v>
      </c>
      <c r="V473" t="s">
        <v>251</v>
      </c>
      <c r="X473">
        <v>3.5388127853881279E-3</v>
      </c>
      <c r="Y473">
        <v>6.8849497385409693E-3</v>
      </c>
      <c r="Z473" t="s">
        <v>401</v>
      </c>
      <c r="AA473" t="s">
        <v>25</v>
      </c>
      <c r="AC473" t="s">
        <v>22</v>
      </c>
      <c r="AD473" t="s">
        <v>401</v>
      </c>
      <c r="AE473">
        <v>3.5299058190686478E-3</v>
      </c>
      <c r="AG473" t="s">
        <v>97</v>
      </c>
      <c r="AH473" t="s">
        <v>401</v>
      </c>
      <c r="AI473">
        <v>4.6894091713638453E-2</v>
      </c>
    </row>
    <row r="474" spans="9:35" x14ac:dyDescent="0.45">
      <c r="I474" t="s">
        <v>249</v>
      </c>
      <c r="J474" t="s">
        <v>402</v>
      </c>
      <c r="K474">
        <v>3.935434326233821E-4</v>
      </c>
      <c r="L474" t="s">
        <v>251</v>
      </c>
      <c r="N474" t="s">
        <v>419</v>
      </c>
      <c r="O474" t="s">
        <v>402</v>
      </c>
      <c r="P474">
        <v>2.5229958240348592E-2</v>
      </c>
      <c r="Q474" t="s">
        <v>251</v>
      </c>
      <c r="S474" t="s">
        <v>420</v>
      </c>
      <c r="T474" t="s">
        <v>402</v>
      </c>
      <c r="U474">
        <v>2.2967935906960009E-2</v>
      </c>
      <c r="V474" t="s">
        <v>251</v>
      </c>
      <c r="X474">
        <v>2.1232876712328767E-2</v>
      </c>
      <c r="Y474">
        <v>1.8702400782305319E-2</v>
      </c>
      <c r="Z474" t="s">
        <v>402</v>
      </c>
      <c r="AA474" t="s">
        <v>25</v>
      </c>
      <c r="AC474" t="s">
        <v>22</v>
      </c>
      <c r="AD474" t="s">
        <v>402</v>
      </c>
      <c r="AE474">
        <v>2.1397713812444066E-2</v>
      </c>
      <c r="AG474" t="s">
        <v>97</v>
      </c>
      <c r="AH474" t="s">
        <v>402</v>
      </c>
      <c r="AI474">
        <v>5.0407627829197166E-2</v>
      </c>
    </row>
    <row r="475" spans="9:35" x14ac:dyDescent="0.45">
      <c r="I475" t="s">
        <v>249</v>
      </c>
      <c r="J475" t="s">
        <v>403</v>
      </c>
      <c r="K475">
        <v>0</v>
      </c>
      <c r="L475" t="s">
        <v>251</v>
      </c>
      <c r="N475" t="s">
        <v>419</v>
      </c>
      <c r="O475" t="s">
        <v>403</v>
      </c>
      <c r="P475">
        <v>2.6290768194464902E-2</v>
      </c>
      <c r="Q475" t="s">
        <v>251</v>
      </c>
      <c r="S475" t="s">
        <v>420</v>
      </c>
      <c r="T475" t="s">
        <v>403</v>
      </c>
      <c r="U475">
        <v>3.1388211361776309E-2</v>
      </c>
      <c r="V475" t="s">
        <v>251</v>
      </c>
      <c r="X475">
        <v>2.0547945205479451E-2</v>
      </c>
      <c r="Y475">
        <v>4.3954951147353507E-3</v>
      </c>
      <c r="Z475" t="s">
        <v>403</v>
      </c>
      <c r="AA475" t="s">
        <v>25</v>
      </c>
      <c r="AC475" t="s">
        <v>22</v>
      </c>
      <c r="AD475" t="s">
        <v>403</v>
      </c>
      <c r="AE475">
        <v>2.135735561039645E-2</v>
      </c>
      <c r="AG475" t="s">
        <v>97</v>
      </c>
      <c r="AH475" t="s">
        <v>403</v>
      </c>
      <c r="AI475">
        <v>0.16590715241750775</v>
      </c>
    </row>
    <row r="476" spans="9:35" x14ac:dyDescent="0.45">
      <c r="I476" t="s">
        <v>249</v>
      </c>
      <c r="J476" t="s">
        <v>404</v>
      </c>
      <c r="K476">
        <v>0</v>
      </c>
      <c r="L476" t="s">
        <v>251</v>
      </c>
      <c r="N476" t="s">
        <v>419</v>
      </c>
      <c r="O476" t="s">
        <v>404</v>
      </c>
      <c r="P476">
        <v>4.2231595671420388E-3</v>
      </c>
      <c r="Q476" t="s">
        <v>251</v>
      </c>
      <c r="S476" t="s">
        <v>420</v>
      </c>
      <c r="T476" t="s">
        <v>404</v>
      </c>
      <c r="U476">
        <v>4.8432276859190137E-3</v>
      </c>
      <c r="V476" t="s">
        <v>251</v>
      </c>
      <c r="X476">
        <v>3.4246575342465752E-3</v>
      </c>
      <c r="Y476">
        <v>5.0717251323869452E-3</v>
      </c>
      <c r="Z476" t="s">
        <v>404</v>
      </c>
      <c r="AA476" t="s">
        <v>25</v>
      </c>
      <c r="AC476" t="s">
        <v>22</v>
      </c>
      <c r="AD476" t="s">
        <v>404</v>
      </c>
      <c r="AE476">
        <v>2.7805928433539532E-3</v>
      </c>
      <c r="AG476" t="s">
        <v>97</v>
      </c>
      <c r="AH476" t="s">
        <v>404</v>
      </c>
      <c r="AI476">
        <v>8.1331108766788285E-2</v>
      </c>
    </row>
    <row r="477" spans="9:35" x14ac:dyDescent="0.45">
      <c r="I477" t="s">
        <v>249</v>
      </c>
      <c r="J477" t="s">
        <v>405</v>
      </c>
      <c r="K477">
        <v>1.8896915844992782E-3</v>
      </c>
      <c r="L477" t="s">
        <v>251</v>
      </c>
      <c r="N477" t="s">
        <v>419</v>
      </c>
      <c r="O477" t="s">
        <v>405</v>
      </c>
      <c r="P477">
        <v>4.1383417732428884E-3</v>
      </c>
      <c r="Q477" t="s">
        <v>251</v>
      </c>
      <c r="S477" t="s">
        <v>420</v>
      </c>
      <c r="T477" t="s">
        <v>405</v>
      </c>
      <c r="U477">
        <v>4.732082844955676E-3</v>
      </c>
      <c r="V477" t="s">
        <v>251</v>
      </c>
      <c r="X477">
        <v>3.4246575342465752E-3</v>
      </c>
      <c r="Y477">
        <v>5.7181214727892006E-3</v>
      </c>
      <c r="Z477" t="s">
        <v>405</v>
      </c>
      <c r="AA477" t="s">
        <v>25</v>
      </c>
      <c r="AC477" t="s">
        <v>22</v>
      </c>
      <c r="AD477" t="s">
        <v>405</v>
      </c>
      <c r="AE477">
        <v>2.6799725250820539E-3</v>
      </c>
      <c r="AG477" t="s">
        <v>97</v>
      </c>
      <c r="AH477" t="s">
        <v>405</v>
      </c>
      <c r="AI477">
        <v>8.3802546931571076E-2</v>
      </c>
    </row>
    <row r="478" spans="9:35" x14ac:dyDescent="0.45">
      <c r="I478" t="s">
        <v>249</v>
      </c>
      <c r="J478" t="s">
        <v>406</v>
      </c>
      <c r="K478">
        <v>4.4865158665029686E-2</v>
      </c>
      <c r="L478" t="s">
        <v>251</v>
      </c>
      <c r="N478" t="s">
        <v>419</v>
      </c>
      <c r="O478" t="s">
        <v>406</v>
      </c>
      <c r="P478">
        <v>2.4027306818481448E-2</v>
      </c>
      <c r="Q478" t="s">
        <v>251</v>
      </c>
      <c r="S478" t="s">
        <v>420</v>
      </c>
      <c r="T478" t="s">
        <v>406</v>
      </c>
      <c r="U478">
        <v>3.0272452677844109E-2</v>
      </c>
      <c r="V478" t="s">
        <v>251</v>
      </c>
      <c r="X478">
        <v>2.3972602739726026E-2</v>
      </c>
      <c r="Y478">
        <v>3.0410461676155433E-2</v>
      </c>
      <c r="Z478" t="s">
        <v>406</v>
      </c>
      <c r="AA478" t="s">
        <v>25</v>
      </c>
      <c r="AC478" t="s">
        <v>22</v>
      </c>
      <c r="AD478" t="s">
        <v>406</v>
      </c>
      <c r="AE478">
        <v>2.1587464106192545E-2</v>
      </c>
      <c r="AG478" t="s">
        <v>97</v>
      </c>
      <c r="AH478" t="s">
        <v>406</v>
      </c>
      <c r="AI478">
        <v>0.32547198019413748</v>
      </c>
    </row>
    <row r="479" spans="9:35" x14ac:dyDescent="0.45">
      <c r="I479" t="s">
        <v>249</v>
      </c>
      <c r="J479" t="s">
        <v>407</v>
      </c>
      <c r="K479">
        <v>6.3172085507909861E-3</v>
      </c>
      <c r="L479" t="s">
        <v>251</v>
      </c>
      <c r="N479" t="s">
        <v>419</v>
      </c>
      <c r="O479" t="s">
        <v>407</v>
      </c>
      <c r="P479">
        <v>3.2171602602617017E-3</v>
      </c>
      <c r="Q479" t="s">
        <v>251</v>
      </c>
      <c r="S479" t="s">
        <v>420</v>
      </c>
      <c r="T479" t="s">
        <v>407</v>
      </c>
      <c r="U479">
        <v>4.3394164192400633E-3</v>
      </c>
      <c r="V479" t="s">
        <v>251</v>
      </c>
      <c r="X479">
        <v>3.4246575342465752E-3</v>
      </c>
      <c r="Y479">
        <v>5.1711707232180593E-3</v>
      </c>
      <c r="Z479" t="s">
        <v>407</v>
      </c>
      <c r="AA479" t="s">
        <v>25</v>
      </c>
      <c r="AC479" t="s">
        <v>22</v>
      </c>
      <c r="AD479" t="s">
        <v>407</v>
      </c>
      <c r="AE479">
        <v>3.7025915585158845E-3</v>
      </c>
      <c r="AG479" t="s">
        <v>97</v>
      </c>
      <c r="AH479" t="s">
        <v>407</v>
      </c>
      <c r="AI479">
        <v>8.3194700539909405E-2</v>
      </c>
    </row>
    <row r="480" spans="9:35" x14ac:dyDescent="0.45">
      <c r="I480" t="s">
        <v>249</v>
      </c>
      <c r="J480" t="s">
        <v>408</v>
      </c>
      <c r="K480">
        <v>4.8356400062868421E-3</v>
      </c>
      <c r="L480" t="s">
        <v>251</v>
      </c>
      <c r="N480" t="s">
        <v>419</v>
      </c>
      <c r="O480" t="s">
        <v>408</v>
      </c>
      <c r="P480">
        <v>3.3849627325211926E-3</v>
      </c>
      <c r="Q480" t="s">
        <v>251</v>
      </c>
      <c r="S480" t="s">
        <v>420</v>
      </c>
      <c r="T480" t="s">
        <v>408</v>
      </c>
      <c r="U480">
        <v>4.3269001474537114E-3</v>
      </c>
      <c r="V480" t="s">
        <v>251</v>
      </c>
      <c r="X480">
        <v>3.4246575342465752E-3</v>
      </c>
      <c r="Y480">
        <v>6.662854585684809E-3</v>
      </c>
      <c r="Z480" t="s">
        <v>408</v>
      </c>
      <c r="AA480" t="s">
        <v>25</v>
      </c>
      <c r="AC480" t="s">
        <v>22</v>
      </c>
      <c r="AD480" t="s">
        <v>408</v>
      </c>
      <c r="AE480">
        <v>3.5324431813771101E-3</v>
      </c>
      <c r="AG480" t="s">
        <v>97</v>
      </c>
      <c r="AH480" t="s">
        <v>408</v>
      </c>
      <c r="AI480">
        <v>7.2780637671513215E-2</v>
      </c>
    </row>
    <row r="481" spans="9:35" x14ac:dyDescent="0.45">
      <c r="I481" t="s">
        <v>249</v>
      </c>
      <c r="J481" t="s">
        <v>409</v>
      </c>
      <c r="K481">
        <v>1.7930817588130059E-3</v>
      </c>
      <c r="L481" t="s">
        <v>251</v>
      </c>
      <c r="N481" t="s">
        <v>419</v>
      </c>
      <c r="O481" t="s">
        <v>409</v>
      </c>
      <c r="P481">
        <v>3.704504599009549E-3</v>
      </c>
      <c r="Q481" t="s">
        <v>251</v>
      </c>
      <c r="S481" t="s">
        <v>420</v>
      </c>
      <c r="T481" t="s">
        <v>409</v>
      </c>
      <c r="U481">
        <v>4.5099090788113831E-3</v>
      </c>
      <c r="V481" t="s">
        <v>251</v>
      </c>
      <c r="X481">
        <v>3.4246575342465752E-3</v>
      </c>
      <c r="Y481">
        <v>6.662854585684809E-3</v>
      </c>
      <c r="Z481" t="s">
        <v>409</v>
      </c>
      <c r="AA481" t="s">
        <v>25</v>
      </c>
      <c r="AC481" t="s">
        <v>22</v>
      </c>
      <c r="AD481" t="s">
        <v>409</v>
      </c>
      <c r="AE481">
        <v>3.566564524332422E-3</v>
      </c>
      <c r="AG481" t="s">
        <v>97</v>
      </c>
      <c r="AH481" t="s">
        <v>409</v>
      </c>
      <c r="AI481">
        <v>8.7148724965787183E-2</v>
      </c>
    </row>
    <row r="482" spans="9:35" x14ac:dyDescent="0.45">
      <c r="I482" t="s">
        <v>249</v>
      </c>
      <c r="J482" t="s">
        <v>410</v>
      </c>
      <c r="K482">
        <v>0</v>
      </c>
      <c r="L482" t="s">
        <v>251</v>
      </c>
      <c r="N482" t="s">
        <v>419</v>
      </c>
      <c r="O482" t="s">
        <v>410</v>
      </c>
      <c r="P482">
        <v>2.4756115856334106E-2</v>
      </c>
      <c r="Q482" t="s">
        <v>251</v>
      </c>
      <c r="S482" t="s">
        <v>420</v>
      </c>
      <c r="T482" t="s">
        <v>410</v>
      </c>
      <c r="U482">
        <v>3.1147941723048071E-2</v>
      </c>
      <c r="V482" t="s">
        <v>251</v>
      </c>
      <c r="X482">
        <v>2.0547945205479451E-2</v>
      </c>
      <c r="Y482">
        <v>1.8099097531263209E-2</v>
      </c>
      <c r="Z482" t="s">
        <v>410</v>
      </c>
      <c r="AA482" t="s">
        <v>25</v>
      </c>
      <c r="AC482" t="s">
        <v>22</v>
      </c>
      <c r="AD482" t="s">
        <v>410</v>
      </c>
      <c r="AE482">
        <v>2.1448875071952572E-2</v>
      </c>
      <c r="AG482" t="s">
        <v>97</v>
      </c>
      <c r="AH482" t="s">
        <v>410</v>
      </c>
      <c r="AI482">
        <v>0.14052964599654549</v>
      </c>
    </row>
    <row r="483" spans="9:35" x14ac:dyDescent="0.45">
      <c r="I483" t="s">
        <v>249</v>
      </c>
      <c r="J483" t="s">
        <v>411</v>
      </c>
      <c r="K483">
        <v>0</v>
      </c>
      <c r="L483" t="s">
        <v>251</v>
      </c>
      <c r="N483" t="s">
        <v>419</v>
      </c>
      <c r="O483" t="s">
        <v>411</v>
      </c>
      <c r="P483">
        <v>2.5496793989504236E-2</v>
      </c>
      <c r="Q483" t="s">
        <v>251</v>
      </c>
      <c r="S483" t="s">
        <v>420</v>
      </c>
      <c r="T483" t="s">
        <v>411</v>
      </c>
      <c r="U483">
        <v>2.4325664483547334E-2</v>
      </c>
      <c r="V483" t="s">
        <v>251</v>
      </c>
      <c r="X483">
        <v>2.1232876712328767E-2</v>
      </c>
      <c r="Y483">
        <v>4.5420116185598634E-3</v>
      </c>
      <c r="Z483" t="s">
        <v>411</v>
      </c>
      <c r="AA483" t="s">
        <v>25</v>
      </c>
      <c r="AC483" t="s">
        <v>22</v>
      </c>
      <c r="AD483" t="s">
        <v>411</v>
      </c>
      <c r="AE483">
        <v>2.4629116939589045E-2</v>
      </c>
      <c r="AG483" t="s">
        <v>97</v>
      </c>
      <c r="AH483" t="s">
        <v>411</v>
      </c>
      <c r="AI483">
        <v>0.1481249413504333</v>
      </c>
    </row>
    <row r="484" spans="9:35" x14ac:dyDescent="0.45">
      <c r="I484" t="s">
        <v>249</v>
      </c>
      <c r="J484" t="s">
        <v>412</v>
      </c>
      <c r="K484">
        <v>0</v>
      </c>
      <c r="L484" t="s">
        <v>251</v>
      </c>
      <c r="N484" t="s">
        <v>419</v>
      </c>
      <c r="O484" t="s">
        <v>412</v>
      </c>
      <c r="P484">
        <v>4.1246423586555909E-3</v>
      </c>
      <c r="Q484" t="s">
        <v>251</v>
      </c>
      <c r="S484" t="s">
        <v>420</v>
      </c>
      <c r="T484" t="s">
        <v>412</v>
      </c>
      <c r="U484">
        <v>3.8377822201510429E-3</v>
      </c>
      <c r="V484" t="s">
        <v>251</v>
      </c>
      <c r="X484">
        <v>3.5388127853881279E-3</v>
      </c>
      <c r="Y484">
        <v>5.240782636799844E-3</v>
      </c>
      <c r="Z484" t="s">
        <v>412</v>
      </c>
      <c r="AA484" t="s">
        <v>25</v>
      </c>
      <c r="AC484" t="s">
        <v>22</v>
      </c>
      <c r="AD484" t="s">
        <v>412</v>
      </c>
      <c r="AE484">
        <v>3.2411769055468846E-3</v>
      </c>
      <c r="AG484" t="s">
        <v>97</v>
      </c>
      <c r="AH484" t="s">
        <v>412</v>
      </c>
      <c r="AI484">
        <v>5.0935213205418828E-2</v>
      </c>
    </row>
    <row r="485" spans="9:35" x14ac:dyDescent="0.45">
      <c r="I485" t="s">
        <v>249</v>
      </c>
      <c r="J485" t="s">
        <v>413</v>
      </c>
      <c r="K485">
        <v>4.242480914009414E-4</v>
      </c>
      <c r="L485" t="s">
        <v>251</v>
      </c>
      <c r="N485" t="s">
        <v>419</v>
      </c>
      <c r="O485" t="s">
        <v>413</v>
      </c>
      <c r="P485">
        <v>4.0538060849123802E-3</v>
      </c>
      <c r="Q485" t="s">
        <v>251</v>
      </c>
      <c r="S485" t="s">
        <v>420</v>
      </c>
      <c r="T485" t="s">
        <v>413</v>
      </c>
      <c r="U485">
        <v>3.8336327649822182E-3</v>
      </c>
      <c r="V485" t="s">
        <v>251</v>
      </c>
      <c r="X485">
        <v>3.5388127853881279E-3</v>
      </c>
      <c r="Y485">
        <v>5.9087255218821738E-3</v>
      </c>
      <c r="Z485" t="s">
        <v>413</v>
      </c>
      <c r="AA485" t="s">
        <v>25</v>
      </c>
      <c r="AC485" t="s">
        <v>22</v>
      </c>
      <c r="AD485" t="s">
        <v>413</v>
      </c>
      <c r="AE485">
        <v>3.1207600296067188E-3</v>
      </c>
      <c r="AG485" t="s">
        <v>97</v>
      </c>
      <c r="AH485" t="s">
        <v>413</v>
      </c>
      <c r="AI485">
        <v>5.8844990241713413E-2</v>
      </c>
    </row>
    <row r="486" spans="9:35" x14ac:dyDescent="0.45">
      <c r="I486" t="s">
        <v>249</v>
      </c>
      <c r="J486" t="s">
        <v>414</v>
      </c>
      <c r="K486">
        <v>4.7229662109685773E-2</v>
      </c>
      <c r="L486" t="s">
        <v>251</v>
      </c>
      <c r="N486" t="s">
        <v>419</v>
      </c>
      <c r="O486" t="s">
        <v>414</v>
      </c>
      <c r="P486">
        <v>2.321968723487541E-2</v>
      </c>
      <c r="Q486" t="s">
        <v>251</v>
      </c>
      <c r="S486" t="s">
        <v>420</v>
      </c>
      <c r="T486" t="s">
        <v>414</v>
      </c>
      <c r="U486">
        <v>2.7454291210554579E-2</v>
      </c>
      <c r="V486" t="s">
        <v>251</v>
      </c>
      <c r="X486">
        <v>2.4771689497716895E-2</v>
      </c>
      <c r="Y486">
        <v>3.1424143732027281E-2</v>
      </c>
      <c r="Z486" t="s">
        <v>414</v>
      </c>
      <c r="AA486" t="s">
        <v>25</v>
      </c>
      <c r="AC486" t="s">
        <v>22</v>
      </c>
      <c r="AD486" t="s">
        <v>414</v>
      </c>
      <c r="AE486">
        <v>2.4612467532539015E-2</v>
      </c>
      <c r="AG486" t="s">
        <v>97</v>
      </c>
      <c r="AH486" t="s">
        <v>414</v>
      </c>
      <c r="AI486">
        <v>0.26152286155431348</v>
      </c>
    </row>
    <row r="487" spans="9:35" x14ac:dyDescent="0.45">
      <c r="I487" t="s">
        <v>249</v>
      </c>
      <c r="J487" t="s">
        <v>415</v>
      </c>
      <c r="K487">
        <v>7.0918338165213996E-3</v>
      </c>
      <c r="L487" t="s">
        <v>251</v>
      </c>
      <c r="N487" t="s">
        <v>419</v>
      </c>
      <c r="O487" t="s">
        <v>415</v>
      </c>
      <c r="P487">
        <v>3.0354251121071461E-3</v>
      </c>
      <c r="Q487" t="s">
        <v>251</v>
      </c>
      <c r="S487" t="s">
        <v>420</v>
      </c>
      <c r="T487" t="s">
        <v>415</v>
      </c>
      <c r="U487">
        <v>4.1673853152347706E-3</v>
      </c>
      <c r="V487" t="s">
        <v>251</v>
      </c>
      <c r="X487">
        <v>3.5388127853881279E-3</v>
      </c>
      <c r="Y487">
        <v>5.3435430806586613E-3</v>
      </c>
      <c r="Z487" t="s">
        <v>415</v>
      </c>
      <c r="AA487" t="s">
        <v>25</v>
      </c>
      <c r="AC487" t="s">
        <v>22</v>
      </c>
      <c r="AD487" t="s">
        <v>415</v>
      </c>
      <c r="AE487">
        <v>4.0800799140496748E-3</v>
      </c>
      <c r="AG487" t="s">
        <v>97</v>
      </c>
      <c r="AH487" t="s">
        <v>415</v>
      </c>
      <c r="AI487">
        <v>6.2116660462306461E-2</v>
      </c>
    </row>
    <row r="488" spans="9:35" x14ac:dyDescent="0.45">
      <c r="I488" t="s">
        <v>249</v>
      </c>
      <c r="J488" t="s">
        <v>416</v>
      </c>
      <c r="K488">
        <v>5.4379791779680152E-3</v>
      </c>
      <c r="L488" t="s">
        <v>251</v>
      </c>
      <c r="N488" t="s">
        <v>419</v>
      </c>
      <c r="O488" t="s">
        <v>416</v>
      </c>
      <c r="P488">
        <v>3.2277862540783667E-3</v>
      </c>
      <c r="Q488" t="s">
        <v>251</v>
      </c>
      <c r="S488" t="s">
        <v>420</v>
      </c>
      <c r="T488" t="s">
        <v>416</v>
      </c>
      <c r="U488">
        <v>4.1590847310642035E-3</v>
      </c>
      <c r="V488" t="s">
        <v>251</v>
      </c>
      <c r="X488">
        <v>3.5388127853881279E-3</v>
      </c>
      <c r="Y488">
        <v>6.8849497385409693E-3</v>
      </c>
      <c r="Z488" t="s">
        <v>416</v>
      </c>
      <c r="AA488" t="s">
        <v>25</v>
      </c>
      <c r="AC488" t="s">
        <v>22</v>
      </c>
      <c r="AD488" t="s">
        <v>416</v>
      </c>
      <c r="AE488">
        <v>4.0871281224621313E-3</v>
      </c>
      <c r="AG488" t="s">
        <v>97</v>
      </c>
      <c r="AH488" t="s">
        <v>416</v>
      </c>
      <c r="AI488">
        <v>4.7083028720061648E-2</v>
      </c>
    </row>
    <row r="489" spans="9:35" x14ac:dyDescent="0.45">
      <c r="I489" t="s">
        <v>249</v>
      </c>
      <c r="J489" t="s">
        <v>417</v>
      </c>
      <c r="K489">
        <v>1.7189199422202423E-3</v>
      </c>
      <c r="L489" t="s">
        <v>251</v>
      </c>
      <c r="N489" t="s">
        <v>419</v>
      </c>
      <c r="O489" t="s">
        <v>417</v>
      </c>
      <c r="P489">
        <v>3.4153482552153505E-3</v>
      </c>
      <c r="Q489" t="s">
        <v>251</v>
      </c>
      <c r="S489" t="s">
        <v>420</v>
      </c>
      <c r="T489" t="s">
        <v>417</v>
      </c>
      <c r="U489">
        <v>4.2921547043580062E-3</v>
      </c>
      <c r="V489" t="s">
        <v>251</v>
      </c>
      <c r="X489">
        <v>3.5388127853881279E-3</v>
      </c>
      <c r="Y489">
        <v>6.8849497385409693E-3</v>
      </c>
      <c r="Z489" t="s">
        <v>417</v>
      </c>
      <c r="AA489" t="s">
        <v>25</v>
      </c>
      <c r="AC489" t="s">
        <v>22</v>
      </c>
      <c r="AD489" t="s">
        <v>417</v>
      </c>
      <c r="AE489">
        <v>4.1620705948091077E-3</v>
      </c>
      <c r="AG489" t="s">
        <v>97</v>
      </c>
      <c r="AH489" t="s">
        <v>417</v>
      </c>
      <c r="AI489">
        <v>5.3418938222020707E-2</v>
      </c>
    </row>
    <row r="490" spans="9:35" x14ac:dyDescent="0.45">
      <c r="I490" t="s">
        <v>249</v>
      </c>
      <c r="J490" t="s">
        <v>418</v>
      </c>
      <c r="K490">
        <v>0</v>
      </c>
      <c r="L490" t="s">
        <v>251</v>
      </c>
      <c r="N490" t="s">
        <v>419</v>
      </c>
      <c r="O490" t="s">
        <v>418</v>
      </c>
      <c r="P490">
        <v>2.3247680365130773E-2</v>
      </c>
      <c r="Q490" t="s">
        <v>251</v>
      </c>
      <c r="S490" t="s">
        <v>420</v>
      </c>
      <c r="T490" t="s">
        <v>418</v>
      </c>
      <c r="U490">
        <v>2.7169243077500283E-2</v>
      </c>
      <c r="V490" t="s">
        <v>251</v>
      </c>
      <c r="X490">
        <v>2.1232876712328767E-2</v>
      </c>
      <c r="Y490">
        <v>1.8702400782305319E-2</v>
      </c>
      <c r="Z490" t="s">
        <v>418</v>
      </c>
      <c r="AA490" t="s">
        <v>25</v>
      </c>
      <c r="AC490" t="s">
        <v>22</v>
      </c>
      <c r="AD490" t="s">
        <v>418</v>
      </c>
      <c r="AE490">
        <v>2.5585407206910538E-2</v>
      </c>
      <c r="AG490" t="s">
        <v>97</v>
      </c>
      <c r="AH490" t="s">
        <v>418</v>
      </c>
      <c r="AI490">
        <v>0.10840364341062592</v>
      </c>
    </row>
    <row r="491" spans="9:35" x14ac:dyDescent="0.45">
      <c r="AC491" t="s">
        <v>19</v>
      </c>
      <c r="AD491" t="s">
        <v>250</v>
      </c>
      <c r="AE491">
        <v>1.6539911078509439E-2</v>
      </c>
    </row>
    <row r="492" spans="9:35" x14ac:dyDescent="0.45">
      <c r="AC492" t="s">
        <v>19</v>
      </c>
      <c r="AD492" t="s">
        <v>252</v>
      </c>
      <c r="AE492">
        <v>2.6968581371288919E-3</v>
      </c>
    </row>
    <row r="493" spans="9:35" x14ac:dyDescent="0.45">
      <c r="AC493" t="s">
        <v>19</v>
      </c>
      <c r="AD493" t="s">
        <v>253</v>
      </c>
      <c r="AE493">
        <v>2.6868756953013686E-3</v>
      </c>
    </row>
    <row r="494" spans="9:35" x14ac:dyDescent="0.45">
      <c r="AC494" t="s">
        <v>19</v>
      </c>
      <c r="AD494" t="s">
        <v>254</v>
      </c>
      <c r="AE494">
        <v>1.9017666099393416E-2</v>
      </c>
    </row>
    <row r="495" spans="9:35" x14ac:dyDescent="0.45">
      <c r="AC495" t="s">
        <v>19</v>
      </c>
      <c r="AD495" t="s">
        <v>255</v>
      </c>
      <c r="AE495">
        <v>2.757584462921586E-3</v>
      </c>
    </row>
    <row r="496" spans="9:35" x14ac:dyDescent="0.45">
      <c r="AC496" t="s">
        <v>19</v>
      </c>
      <c r="AD496" t="s">
        <v>256</v>
      </c>
      <c r="AE496">
        <v>2.7555884089296334E-3</v>
      </c>
    </row>
    <row r="497" spans="29:31" x14ac:dyDescent="0.45">
      <c r="AC497" t="s">
        <v>19</v>
      </c>
      <c r="AD497" t="s">
        <v>257</v>
      </c>
      <c r="AE497">
        <v>2.7589681362190752E-3</v>
      </c>
    </row>
    <row r="498" spans="29:31" x14ac:dyDescent="0.45">
      <c r="AC498" t="s">
        <v>19</v>
      </c>
      <c r="AD498" t="s">
        <v>258</v>
      </c>
      <c r="AE498">
        <v>1.6588823712388911E-2</v>
      </c>
    </row>
    <row r="499" spans="29:31" x14ac:dyDescent="0.45">
      <c r="AC499" t="s">
        <v>19</v>
      </c>
      <c r="AD499" t="s">
        <v>1550</v>
      </c>
      <c r="AE499">
        <v>1.1642971121578629E-4</v>
      </c>
    </row>
    <row r="500" spans="29:31" x14ac:dyDescent="0.45">
      <c r="AC500" t="s">
        <v>19</v>
      </c>
      <c r="AD500" t="s">
        <v>1551</v>
      </c>
      <c r="AE500">
        <v>1.1644229084589588E-4</v>
      </c>
    </row>
    <row r="501" spans="29:31" x14ac:dyDescent="0.45">
      <c r="AC501" t="s">
        <v>19</v>
      </c>
      <c r="AD501" t="s">
        <v>1552</v>
      </c>
      <c r="AE501">
        <v>1.158677780636091E-4</v>
      </c>
    </row>
    <row r="502" spans="29:31" x14ac:dyDescent="0.45">
      <c r="AC502" t="s">
        <v>19</v>
      </c>
      <c r="AD502" t="s">
        <v>1553</v>
      </c>
      <c r="AE502">
        <v>1.153461212314238E-4</v>
      </c>
    </row>
    <row r="503" spans="29:31" x14ac:dyDescent="0.45">
      <c r="AC503" t="s">
        <v>19</v>
      </c>
      <c r="AD503" t="s">
        <v>1554</v>
      </c>
      <c r="AE503">
        <v>1.1444010831619799E-4</v>
      </c>
    </row>
    <row r="504" spans="29:31" x14ac:dyDescent="0.45">
      <c r="AC504" t="s">
        <v>19</v>
      </c>
      <c r="AD504" t="s">
        <v>1555</v>
      </c>
      <c r="AE504">
        <v>1.1399044567479369E-4</v>
      </c>
    </row>
    <row r="505" spans="29:31" x14ac:dyDescent="0.45">
      <c r="AC505" t="s">
        <v>19</v>
      </c>
      <c r="AD505" t="s">
        <v>1556</v>
      </c>
      <c r="AE505">
        <v>1.1267807845156647E-4</v>
      </c>
    </row>
    <row r="506" spans="29:31" x14ac:dyDescent="0.45">
      <c r="AC506" t="s">
        <v>19</v>
      </c>
      <c r="AD506" t="s">
        <v>1557</v>
      </c>
      <c r="AE506">
        <v>1.1232247273682768E-4</v>
      </c>
    </row>
    <row r="507" spans="29:31" x14ac:dyDescent="0.45">
      <c r="AC507" t="s">
        <v>19</v>
      </c>
      <c r="AD507" t="s">
        <v>1558</v>
      </c>
      <c r="AE507">
        <v>1.1211408094983283E-4</v>
      </c>
    </row>
    <row r="508" spans="29:31" x14ac:dyDescent="0.45">
      <c r="AC508" t="s">
        <v>19</v>
      </c>
      <c r="AD508" t="s">
        <v>1559</v>
      </c>
      <c r="AE508">
        <v>1.1205956921935797E-4</v>
      </c>
    </row>
    <row r="509" spans="29:31" x14ac:dyDescent="0.45">
      <c r="AC509" t="s">
        <v>19</v>
      </c>
      <c r="AD509" t="s">
        <v>1560</v>
      </c>
      <c r="AE509">
        <v>1.1220097716397444E-4</v>
      </c>
    </row>
    <row r="510" spans="29:31" x14ac:dyDescent="0.45">
      <c r="AC510" t="s">
        <v>19</v>
      </c>
      <c r="AD510" t="s">
        <v>1561</v>
      </c>
      <c r="AE510">
        <v>1.1315631943214279E-4</v>
      </c>
    </row>
    <row r="511" spans="29:31" x14ac:dyDescent="0.45">
      <c r="AC511" t="s">
        <v>19</v>
      </c>
      <c r="AD511" t="s">
        <v>1562</v>
      </c>
      <c r="AE511">
        <v>1.1484633360235209E-4</v>
      </c>
    </row>
    <row r="512" spans="29:31" x14ac:dyDescent="0.45">
      <c r="AC512" t="s">
        <v>19</v>
      </c>
      <c r="AD512" t="s">
        <v>1563</v>
      </c>
      <c r="AE512">
        <v>1.159649530182505E-4</v>
      </c>
    </row>
    <row r="513" spans="29:31" x14ac:dyDescent="0.45">
      <c r="AC513" t="s">
        <v>19</v>
      </c>
      <c r="AD513" t="s">
        <v>1564</v>
      </c>
      <c r="AE513">
        <v>1.1641336844846444E-4</v>
      </c>
    </row>
    <row r="514" spans="29:31" x14ac:dyDescent="0.45">
      <c r="AC514" t="s">
        <v>19</v>
      </c>
      <c r="AD514" t="s">
        <v>1565</v>
      </c>
      <c r="AE514">
        <v>1.1547718592461681E-4</v>
      </c>
    </row>
    <row r="515" spans="29:31" x14ac:dyDescent="0.45">
      <c r="AC515" t="s">
        <v>19</v>
      </c>
      <c r="AD515" t="s">
        <v>1566</v>
      </c>
      <c r="AE515">
        <v>1.1525746171870277E-4</v>
      </c>
    </row>
    <row r="516" spans="29:31" x14ac:dyDescent="0.45">
      <c r="AC516" t="s">
        <v>19</v>
      </c>
      <c r="AD516" t="s">
        <v>1567</v>
      </c>
      <c r="AE516">
        <v>1.1551255941441215E-4</v>
      </c>
    </row>
    <row r="517" spans="29:31" x14ac:dyDescent="0.45">
      <c r="AC517" t="s">
        <v>19</v>
      </c>
      <c r="AD517" t="s">
        <v>1568</v>
      </c>
      <c r="AE517">
        <v>1.1561601343228771E-4</v>
      </c>
    </row>
    <row r="518" spans="29:31" x14ac:dyDescent="0.45">
      <c r="AC518" t="s">
        <v>19</v>
      </c>
      <c r="AD518" t="s">
        <v>1569</v>
      </c>
      <c r="AE518">
        <v>1.1569753373612607E-4</v>
      </c>
    </row>
    <row r="519" spans="29:31" x14ac:dyDescent="0.45">
      <c r="AC519" t="s">
        <v>19</v>
      </c>
      <c r="AD519" t="s">
        <v>1570</v>
      </c>
      <c r="AE519">
        <v>1.1570278062458204E-4</v>
      </c>
    </row>
    <row r="520" spans="29:31" x14ac:dyDescent="0.45">
      <c r="AC520" t="s">
        <v>19</v>
      </c>
      <c r="AD520" t="s">
        <v>1571</v>
      </c>
      <c r="AE520">
        <v>1.1581601879920951E-4</v>
      </c>
    </row>
    <row r="521" spans="29:31" x14ac:dyDescent="0.45">
      <c r="AC521" t="s">
        <v>19</v>
      </c>
      <c r="AD521" t="s">
        <v>1572</v>
      </c>
      <c r="AE521">
        <v>1.1617820462815947E-4</v>
      </c>
    </row>
    <row r="522" spans="29:31" x14ac:dyDescent="0.45">
      <c r="AC522" t="s">
        <v>19</v>
      </c>
      <c r="AD522" t="s">
        <v>1573</v>
      </c>
      <c r="AE522">
        <v>1.1654058398988034E-4</v>
      </c>
    </row>
    <row r="523" spans="29:31" x14ac:dyDescent="0.45">
      <c r="AC523" t="s">
        <v>19</v>
      </c>
      <c r="AD523" t="s">
        <v>1574</v>
      </c>
      <c r="AE523">
        <v>1.1657305448811191E-4</v>
      </c>
    </row>
    <row r="524" spans="29:31" x14ac:dyDescent="0.45">
      <c r="AC524" t="s">
        <v>19</v>
      </c>
      <c r="AD524" t="s">
        <v>1575</v>
      </c>
      <c r="AE524">
        <v>1.164892978055874E-4</v>
      </c>
    </row>
    <row r="525" spans="29:31" x14ac:dyDescent="0.45">
      <c r="AC525" t="s">
        <v>19</v>
      </c>
      <c r="AD525" t="s">
        <v>1576</v>
      </c>
      <c r="AE525">
        <v>1.1596701736780692E-4</v>
      </c>
    </row>
    <row r="526" spans="29:31" x14ac:dyDescent="0.45">
      <c r="AC526" t="s">
        <v>19</v>
      </c>
      <c r="AD526" t="s">
        <v>1577</v>
      </c>
      <c r="AE526">
        <v>1.1538818235363636E-4</v>
      </c>
    </row>
    <row r="527" spans="29:31" x14ac:dyDescent="0.45">
      <c r="AC527" t="s">
        <v>19</v>
      </c>
      <c r="AD527" t="s">
        <v>1578</v>
      </c>
      <c r="AE527">
        <v>1.1447950298690012E-4</v>
      </c>
    </row>
    <row r="528" spans="29:31" x14ac:dyDescent="0.45">
      <c r="AC528" t="s">
        <v>19</v>
      </c>
      <c r="AD528" t="s">
        <v>1579</v>
      </c>
      <c r="AE528">
        <v>1.1399044567479367E-4</v>
      </c>
    </row>
    <row r="529" spans="29:31" x14ac:dyDescent="0.45">
      <c r="AC529" t="s">
        <v>19</v>
      </c>
      <c r="AD529" t="s">
        <v>1580</v>
      </c>
      <c r="AE529">
        <v>1.1276170611224368E-4</v>
      </c>
    </row>
    <row r="530" spans="29:31" x14ac:dyDescent="0.45">
      <c r="AC530" t="s">
        <v>19</v>
      </c>
      <c r="AD530" t="s">
        <v>1581</v>
      </c>
      <c r="AE530">
        <v>1.124061219011461E-4</v>
      </c>
    </row>
    <row r="531" spans="29:31" x14ac:dyDescent="0.45">
      <c r="AC531" t="s">
        <v>19</v>
      </c>
      <c r="AD531" t="s">
        <v>1582</v>
      </c>
      <c r="AE531">
        <v>1.1211408094983283E-4</v>
      </c>
    </row>
    <row r="532" spans="29:31" x14ac:dyDescent="0.45">
      <c r="AC532" t="s">
        <v>19</v>
      </c>
      <c r="AD532" t="s">
        <v>1583</v>
      </c>
      <c r="AE532">
        <v>1.1205956921935797E-4</v>
      </c>
    </row>
    <row r="533" spans="29:31" x14ac:dyDescent="0.45">
      <c r="AC533" t="s">
        <v>19</v>
      </c>
      <c r="AD533" t="s">
        <v>1584</v>
      </c>
      <c r="AE533">
        <v>1.1220097716397443E-4</v>
      </c>
    </row>
    <row r="534" spans="29:31" x14ac:dyDescent="0.45">
      <c r="AC534" t="s">
        <v>19</v>
      </c>
      <c r="AD534" t="s">
        <v>1585</v>
      </c>
      <c r="AE534">
        <v>1.1314578264794845E-4</v>
      </c>
    </row>
    <row r="535" spans="29:31" x14ac:dyDescent="0.45">
      <c r="AC535" t="s">
        <v>19</v>
      </c>
      <c r="AD535" t="s">
        <v>1586</v>
      </c>
      <c r="AE535">
        <v>1.1481605647552424E-4</v>
      </c>
    </row>
    <row r="536" spans="29:31" x14ac:dyDescent="0.45">
      <c r="AC536" t="s">
        <v>19</v>
      </c>
      <c r="AD536" t="s">
        <v>1587</v>
      </c>
      <c r="AE536">
        <v>1.1593465438778143E-4</v>
      </c>
    </row>
    <row r="537" spans="29:31" x14ac:dyDescent="0.45">
      <c r="AC537" t="s">
        <v>19</v>
      </c>
      <c r="AD537" t="s">
        <v>1588</v>
      </c>
      <c r="AE537">
        <v>1.1638306981799537E-4</v>
      </c>
    </row>
    <row r="538" spans="29:31" x14ac:dyDescent="0.45">
      <c r="AC538" t="s">
        <v>19</v>
      </c>
      <c r="AD538" t="s">
        <v>1589</v>
      </c>
      <c r="AE538">
        <v>1.1544690879778895E-4</v>
      </c>
    </row>
    <row r="539" spans="29:31" x14ac:dyDescent="0.45">
      <c r="AC539" t="s">
        <v>19</v>
      </c>
      <c r="AD539" t="s">
        <v>1590</v>
      </c>
      <c r="AE539">
        <v>1.1525746171870275E-4</v>
      </c>
    </row>
    <row r="540" spans="29:31" x14ac:dyDescent="0.45">
      <c r="AC540" t="s">
        <v>19</v>
      </c>
      <c r="AD540" t="s">
        <v>1591</v>
      </c>
      <c r="AE540">
        <v>1.1555320129630464E-4</v>
      </c>
    </row>
    <row r="541" spans="29:31" x14ac:dyDescent="0.45">
      <c r="AC541" t="s">
        <v>19</v>
      </c>
      <c r="AD541" t="s">
        <v>1592</v>
      </c>
      <c r="AE541">
        <v>1.1566059048052219E-4</v>
      </c>
    </row>
    <row r="542" spans="29:31" x14ac:dyDescent="0.45">
      <c r="AC542" t="s">
        <v>19</v>
      </c>
      <c r="AD542" t="s">
        <v>1593</v>
      </c>
      <c r="AE542">
        <v>1.1568523365335226E-4</v>
      </c>
    </row>
    <row r="543" spans="29:31" x14ac:dyDescent="0.45">
      <c r="AC543" t="s">
        <v>19</v>
      </c>
      <c r="AD543" t="s">
        <v>1594</v>
      </c>
      <c r="AE543">
        <v>1.1571480116002008E-4</v>
      </c>
    </row>
    <row r="544" spans="29:31" x14ac:dyDescent="0.45">
      <c r="AC544" t="s">
        <v>19</v>
      </c>
      <c r="AD544" t="s">
        <v>1595</v>
      </c>
      <c r="AE544">
        <v>1.1577365662601996E-4</v>
      </c>
    </row>
    <row r="545" spans="29:31" x14ac:dyDescent="0.45">
      <c r="AC545" t="s">
        <v>19</v>
      </c>
      <c r="AD545" t="s">
        <v>1596</v>
      </c>
      <c r="AE545">
        <v>1.1618312896199723E-4</v>
      </c>
    </row>
    <row r="546" spans="29:31" x14ac:dyDescent="0.45">
      <c r="AC546" t="s">
        <v>19</v>
      </c>
      <c r="AD546" t="s">
        <v>1597</v>
      </c>
      <c r="AE546">
        <v>1.1655258302167717E-4</v>
      </c>
    </row>
    <row r="547" spans="29:31" x14ac:dyDescent="0.45">
      <c r="AC547" t="s">
        <v>19</v>
      </c>
      <c r="AD547" t="s">
        <v>1598</v>
      </c>
      <c r="AE547">
        <v>1.1658505351990876E-4</v>
      </c>
    </row>
    <row r="548" spans="29:31" x14ac:dyDescent="0.45">
      <c r="AC548" t="s">
        <v>19</v>
      </c>
      <c r="AD548" t="s">
        <v>1599</v>
      </c>
      <c r="AE548">
        <v>1.1646858979909934E-4</v>
      </c>
    </row>
    <row r="549" spans="29:31" x14ac:dyDescent="0.45">
      <c r="AC549" t="s">
        <v>19</v>
      </c>
      <c r="AD549" t="s">
        <v>1600</v>
      </c>
      <c r="AE549">
        <v>1.159798765452523E-4</v>
      </c>
    </row>
    <row r="550" spans="29:31" x14ac:dyDescent="0.45">
      <c r="AC550" t="s">
        <v>19</v>
      </c>
      <c r="AD550" t="s">
        <v>1601</v>
      </c>
      <c r="AE550">
        <v>1.1534878768293421E-4</v>
      </c>
    </row>
    <row r="551" spans="29:31" x14ac:dyDescent="0.45">
      <c r="AC551" t="s">
        <v>19</v>
      </c>
      <c r="AD551" t="s">
        <v>1602</v>
      </c>
      <c r="AE551">
        <v>1.1446363329968497E-4</v>
      </c>
    </row>
    <row r="552" spans="29:31" x14ac:dyDescent="0.45">
      <c r="AC552" t="s">
        <v>19</v>
      </c>
      <c r="AD552" t="s">
        <v>1603</v>
      </c>
      <c r="AE552">
        <v>1.1399044567479369E-4</v>
      </c>
    </row>
    <row r="553" spans="29:31" x14ac:dyDescent="0.45">
      <c r="AC553" t="s">
        <v>19</v>
      </c>
      <c r="AD553" t="s">
        <v>1604</v>
      </c>
      <c r="AE553">
        <v>1.1276170611224369E-4</v>
      </c>
    </row>
    <row r="554" spans="29:31" x14ac:dyDescent="0.45">
      <c r="AC554" t="s">
        <v>19</v>
      </c>
      <c r="AD554" t="s">
        <v>1605</v>
      </c>
      <c r="AE554">
        <v>1.1240612190114611E-4</v>
      </c>
    </row>
    <row r="555" spans="29:31" x14ac:dyDescent="0.45">
      <c r="AC555" t="s">
        <v>19</v>
      </c>
      <c r="AD555" t="s">
        <v>1606</v>
      </c>
      <c r="AE555">
        <v>1.1211408094983283E-4</v>
      </c>
    </row>
    <row r="556" spans="29:31" x14ac:dyDescent="0.45">
      <c r="AC556" t="s">
        <v>19</v>
      </c>
      <c r="AD556" t="s">
        <v>1607</v>
      </c>
      <c r="AE556">
        <v>1.1205956921935797E-4</v>
      </c>
    </row>
    <row r="557" spans="29:31" x14ac:dyDescent="0.45">
      <c r="AC557" t="s">
        <v>19</v>
      </c>
      <c r="AD557" t="s">
        <v>1608</v>
      </c>
      <c r="AE557">
        <v>1.1220097716397444E-4</v>
      </c>
    </row>
    <row r="558" spans="29:31" x14ac:dyDescent="0.45">
      <c r="AC558" t="s">
        <v>19</v>
      </c>
      <c r="AD558" t="s">
        <v>1609</v>
      </c>
      <c r="AE558">
        <v>1.1314578264794845E-4</v>
      </c>
    </row>
    <row r="559" spans="29:31" x14ac:dyDescent="0.45">
      <c r="AC559" t="s">
        <v>19</v>
      </c>
      <c r="AD559" t="s">
        <v>1610</v>
      </c>
      <c r="AE559">
        <v>1.1481605647552424E-4</v>
      </c>
    </row>
    <row r="560" spans="29:31" x14ac:dyDescent="0.45">
      <c r="AC560" t="s">
        <v>19</v>
      </c>
      <c r="AD560" t="s">
        <v>1611</v>
      </c>
      <c r="AE560">
        <v>1.1593465438778143E-4</v>
      </c>
    </row>
    <row r="561" spans="29:31" x14ac:dyDescent="0.45">
      <c r="AC561" t="s">
        <v>19</v>
      </c>
      <c r="AD561" t="s">
        <v>1612</v>
      </c>
      <c r="AE561">
        <v>1.1638306981799537E-4</v>
      </c>
    </row>
    <row r="562" spans="29:31" x14ac:dyDescent="0.45">
      <c r="AC562" t="s">
        <v>19</v>
      </c>
      <c r="AD562" t="s">
        <v>1613</v>
      </c>
      <c r="AE562">
        <v>1.1544690879778897E-4</v>
      </c>
    </row>
    <row r="563" spans="29:31" x14ac:dyDescent="0.45">
      <c r="AC563" t="s">
        <v>19</v>
      </c>
      <c r="AD563" t="s">
        <v>1614</v>
      </c>
      <c r="AE563">
        <v>1.1529808209695405E-4</v>
      </c>
    </row>
    <row r="564" spans="29:31" x14ac:dyDescent="0.45">
      <c r="AC564" t="s">
        <v>19</v>
      </c>
      <c r="AD564" t="s">
        <v>1615</v>
      </c>
      <c r="AE564">
        <v>1.1555320129630465E-4</v>
      </c>
    </row>
    <row r="565" spans="29:31" x14ac:dyDescent="0.45">
      <c r="AC565" t="s">
        <v>19</v>
      </c>
      <c r="AD565" t="s">
        <v>1616</v>
      </c>
      <c r="AE565">
        <v>1.1565665531418023E-4</v>
      </c>
    </row>
    <row r="566" spans="29:31" x14ac:dyDescent="0.45">
      <c r="AC566" t="s">
        <v>19</v>
      </c>
      <c r="AD566" t="s">
        <v>1617</v>
      </c>
      <c r="AE566">
        <v>1.1569753373612607E-4</v>
      </c>
    </row>
    <row r="567" spans="29:31" x14ac:dyDescent="0.45">
      <c r="AC567" t="s">
        <v>19</v>
      </c>
      <c r="AD567" t="s">
        <v>1618</v>
      </c>
      <c r="AE567">
        <v>1.1574325047734484E-4</v>
      </c>
    </row>
    <row r="568" spans="29:31" x14ac:dyDescent="0.45">
      <c r="AC568" t="s">
        <v>19</v>
      </c>
      <c r="AD568" t="s">
        <v>1619</v>
      </c>
      <c r="AE568">
        <v>1.1583539357994239E-4</v>
      </c>
    </row>
    <row r="569" spans="29:31" x14ac:dyDescent="0.45">
      <c r="AC569" t="s">
        <v>19</v>
      </c>
      <c r="AD569" t="s">
        <v>1620</v>
      </c>
      <c r="AE569">
        <v>1.1617820462815947E-4</v>
      </c>
    </row>
    <row r="570" spans="29:31" x14ac:dyDescent="0.45">
      <c r="AC570" t="s">
        <v>19</v>
      </c>
      <c r="AD570" t="s">
        <v>1621</v>
      </c>
      <c r="AE570">
        <v>1.1654058398988034E-4</v>
      </c>
    </row>
    <row r="571" spans="29:31" x14ac:dyDescent="0.45">
      <c r="AC571" t="s">
        <v>19</v>
      </c>
      <c r="AD571" t="s">
        <v>1622</v>
      </c>
      <c r="AE571">
        <v>1.1657305448811191E-4</v>
      </c>
    </row>
    <row r="572" spans="29:31" x14ac:dyDescent="0.45">
      <c r="AC572" t="s">
        <v>19</v>
      </c>
      <c r="AD572" t="s">
        <v>1623</v>
      </c>
      <c r="AE572">
        <v>1.1649598543800465E-4</v>
      </c>
    </row>
    <row r="573" spans="29:31" x14ac:dyDescent="0.45">
      <c r="AC573" t="s">
        <v>19</v>
      </c>
      <c r="AD573" t="s">
        <v>1624</v>
      </c>
      <c r="AE573">
        <v>1.1597579085342183E-4</v>
      </c>
    </row>
    <row r="574" spans="29:31" x14ac:dyDescent="0.45">
      <c r="AC574" t="s">
        <v>19</v>
      </c>
      <c r="AD574" t="s">
        <v>1625</v>
      </c>
      <c r="AE574">
        <v>1.1534612123142382E-4</v>
      </c>
    </row>
    <row r="575" spans="29:31" x14ac:dyDescent="0.45">
      <c r="AC575" t="s">
        <v>19</v>
      </c>
      <c r="AD575" t="s">
        <v>1626</v>
      </c>
      <c r="AE575">
        <v>1.1443744186468757E-4</v>
      </c>
    </row>
    <row r="576" spans="29:31" x14ac:dyDescent="0.45">
      <c r="AC576" t="s">
        <v>19</v>
      </c>
      <c r="AD576" t="s">
        <v>1627</v>
      </c>
      <c r="AE576">
        <v>1.1392365536518622E-4</v>
      </c>
    </row>
    <row r="577" spans="29:31" x14ac:dyDescent="0.45">
      <c r="AC577" t="s">
        <v>19</v>
      </c>
      <c r="AD577" t="s">
        <v>1628</v>
      </c>
      <c r="AE577">
        <v>1.1272534345495256E-4</v>
      </c>
    </row>
    <row r="578" spans="29:31" x14ac:dyDescent="0.45">
      <c r="AC578" t="s">
        <v>19</v>
      </c>
      <c r="AD578" t="s">
        <v>1629</v>
      </c>
      <c r="AE578">
        <v>1.1233617055628034E-4</v>
      </c>
    </row>
    <row r="579" spans="29:31" x14ac:dyDescent="0.45">
      <c r="AC579" t="s">
        <v>19</v>
      </c>
      <c r="AD579" t="s">
        <v>1630</v>
      </c>
      <c r="AE579">
        <v>1.1202608804998939E-4</v>
      </c>
    </row>
    <row r="580" spans="29:31" x14ac:dyDescent="0.45">
      <c r="AC580" t="s">
        <v>19</v>
      </c>
      <c r="AD580" t="s">
        <v>1631</v>
      </c>
      <c r="AE580">
        <v>1.1197157631951453E-4</v>
      </c>
    </row>
    <row r="581" spans="29:31" x14ac:dyDescent="0.45">
      <c r="AC581" t="s">
        <v>19</v>
      </c>
      <c r="AD581" t="s">
        <v>1632</v>
      </c>
      <c r="AE581">
        <v>1.1204675304919505E-4</v>
      </c>
    </row>
    <row r="582" spans="29:31" x14ac:dyDescent="0.45">
      <c r="AC582" t="s">
        <v>19</v>
      </c>
      <c r="AD582" t="s">
        <v>1633</v>
      </c>
      <c r="AE582">
        <v>1.1300484778343868E-4</v>
      </c>
    </row>
    <row r="583" spans="29:31" x14ac:dyDescent="0.45">
      <c r="AC583" t="s">
        <v>19</v>
      </c>
      <c r="AD583" t="s">
        <v>1634</v>
      </c>
      <c r="AE583">
        <v>1.1469630269760923E-4</v>
      </c>
    </row>
    <row r="584" spans="29:31" x14ac:dyDescent="0.45">
      <c r="AC584" t="s">
        <v>19</v>
      </c>
      <c r="AD584" t="s">
        <v>1635</v>
      </c>
      <c r="AE584">
        <v>1.1593465438778143E-4</v>
      </c>
    </row>
    <row r="585" spans="29:31" x14ac:dyDescent="0.45">
      <c r="AC585" t="s">
        <v>19</v>
      </c>
      <c r="AD585" t="s">
        <v>1636</v>
      </c>
      <c r="AE585">
        <v>1.164711702360449E-4</v>
      </c>
    </row>
    <row r="586" spans="29:31" x14ac:dyDescent="0.45">
      <c r="AC586" t="s">
        <v>19</v>
      </c>
      <c r="AD586" t="s">
        <v>1637</v>
      </c>
      <c r="AE586">
        <v>1.1559414422917413E-4</v>
      </c>
    </row>
    <row r="587" spans="29:31" x14ac:dyDescent="0.45">
      <c r="AC587" t="s">
        <v>19</v>
      </c>
      <c r="AD587" t="s">
        <v>1638</v>
      </c>
      <c r="AE587">
        <v>1.1529808209695405E-4</v>
      </c>
    </row>
    <row r="588" spans="29:31" x14ac:dyDescent="0.45">
      <c r="AC588" t="s">
        <v>19</v>
      </c>
      <c r="AD588" t="s">
        <v>1639</v>
      </c>
      <c r="AE588">
        <v>1.1555679240438723E-4</v>
      </c>
    </row>
    <row r="589" spans="29:31" x14ac:dyDescent="0.45">
      <c r="AC589" t="s">
        <v>19</v>
      </c>
      <c r="AD589" t="s">
        <v>1640</v>
      </c>
      <c r="AE589">
        <v>1.156443552314064E-4</v>
      </c>
    </row>
    <row r="590" spans="29:31" x14ac:dyDescent="0.45">
      <c r="AC590" t="s">
        <v>19</v>
      </c>
      <c r="AD590" t="s">
        <v>1641</v>
      </c>
      <c r="AE590">
        <v>1.1566585887261937E-4</v>
      </c>
    </row>
    <row r="591" spans="29:31" x14ac:dyDescent="0.45">
      <c r="AC591" t="s">
        <v>19</v>
      </c>
      <c r="AD591" t="s">
        <v>1642</v>
      </c>
      <c r="AE591">
        <v>1.1567243898683054E-4</v>
      </c>
    </row>
    <row r="592" spans="29:31" x14ac:dyDescent="0.45">
      <c r="AC592" t="s">
        <v>19</v>
      </c>
      <c r="AD592" t="s">
        <v>1643</v>
      </c>
      <c r="AE592">
        <v>1.1574989510247964E-4</v>
      </c>
    </row>
    <row r="593" spans="29:31" x14ac:dyDescent="0.45">
      <c r="AC593" t="s">
        <v>19</v>
      </c>
      <c r="AD593" t="s">
        <v>1644</v>
      </c>
      <c r="AE593">
        <v>1.1618312896199723E-4</v>
      </c>
    </row>
    <row r="594" spans="29:31" x14ac:dyDescent="0.45">
      <c r="AC594" t="s">
        <v>19</v>
      </c>
      <c r="AD594" t="s">
        <v>1645</v>
      </c>
      <c r="AE594">
        <v>1.1655258302167717E-4</v>
      </c>
    </row>
    <row r="595" spans="29:31" x14ac:dyDescent="0.45">
      <c r="AC595" t="s">
        <v>19</v>
      </c>
      <c r="AD595" t="s">
        <v>1646</v>
      </c>
      <c r="AE595">
        <v>1.1658505351990876E-4</v>
      </c>
    </row>
    <row r="596" spans="29:31" x14ac:dyDescent="0.45">
      <c r="AC596" t="s">
        <v>19</v>
      </c>
      <c r="AD596" t="s">
        <v>1647</v>
      </c>
      <c r="AE596">
        <v>1.1646858979909934E-4</v>
      </c>
    </row>
    <row r="597" spans="29:31" x14ac:dyDescent="0.45">
      <c r="AC597" t="s">
        <v>19</v>
      </c>
      <c r="AD597" t="s">
        <v>1648</v>
      </c>
      <c r="AE597">
        <v>1.1586777806360911E-4</v>
      </c>
    </row>
    <row r="598" spans="29:31" x14ac:dyDescent="0.45">
      <c r="AC598" t="s">
        <v>19</v>
      </c>
      <c r="AD598" t="s">
        <v>1649</v>
      </c>
      <c r="AE598">
        <v>1.153575611685491E-4</v>
      </c>
    </row>
    <row r="599" spans="29:31" x14ac:dyDescent="0.45">
      <c r="AC599" t="s">
        <v>19</v>
      </c>
      <c r="AD599" t="s">
        <v>1650</v>
      </c>
      <c r="AE599">
        <v>1.1443744186468757E-4</v>
      </c>
    </row>
    <row r="600" spans="29:31" x14ac:dyDescent="0.45">
      <c r="AC600" t="s">
        <v>19</v>
      </c>
      <c r="AD600" t="s">
        <v>1651</v>
      </c>
      <c r="AE600">
        <v>1.1392096741003459E-4</v>
      </c>
    </row>
    <row r="601" spans="29:31" x14ac:dyDescent="0.45">
      <c r="AC601" t="s">
        <v>19</v>
      </c>
      <c r="AD601" t="s">
        <v>1652</v>
      </c>
      <c r="AE601">
        <v>1.1244168892371236E-4</v>
      </c>
    </row>
    <row r="602" spans="29:31" x14ac:dyDescent="0.45">
      <c r="AC602" t="s">
        <v>19</v>
      </c>
      <c r="AD602" t="s">
        <v>1653</v>
      </c>
      <c r="AE602">
        <v>1.1204559185256956E-4</v>
      </c>
    </row>
    <row r="603" spans="29:31" x14ac:dyDescent="0.45">
      <c r="AC603" t="s">
        <v>19</v>
      </c>
      <c r="AD603" t="s">
        <v>1654</v>
      </c>
      <c r="AE603">
        <v>1.1191704308539844E-4</v>
      </c>
    </row>
    <row r="604" spans="29:31" x14ac:dyDescent="0.45">
      <c r="AC604" t="s">
        <v>19</v>
      </c>
      <c r="AD604" t="s">
        <v>1655</v>
      </c>
      <c r="AE604">
        <v>1.1185203757801165E-4</v>
      </c>
    </row>
    <row r="605" spans="29:31" x14ac:dyDescent="0.45">
      <c r="AC605" t="s">
        <v>19</v>
      </c>
      <c r="AD605" t="s">
        <v>1656</v>
      </c>
      <c r="AE605">
        <v>1.1196742611676041E-4</v>
      </c>
    </row>
    <row r="606" spans="29:31" x14ac:dyDescent="0.45">
      <c r="AC606" t="s">
        <v>19</v>
      </c>
      <c r="AD606" t="s">
        <v>1657</v>
      </c>
      <c r="AE606">
        <v>1.1224174806771422E-4</v>
      </c>
    </row>
    <row r="607" spans="29:31" x14ac:dyDescent="0.45">
      <c r="AC607" t="s">
        <v>19</v>
      </c>
      <c r="AD607" t="s">
        <v>1658</v>
      </c>
      <c r="AE607">
        <v>1.1262599663254868E-4</v>
      </c>
    </row>
    <row r="608" spans="29:31" x14ac:dyDescent="0.45">
      <c r="AC608" t="s">
        <v>19</v>
      </c>
      <c r="AD608" t="s">
        <v>1659</v>
      </c>
      <c r="AE608">
        <v>1.1279645599644383E-4</v>
      </c>
    </row>
    <row r="609" spans="29:31" x14ac:dyDescent="0.45">
      <c r="AC609" t="s">
        <v>19</v>
      </c>
      <c r="AD609" t="s">
        <v>1660</v>
      </c>
      <c r="AE609">
        <v>1.1315259930221295E-4</v>
      </c>
    </row>
    <row r="610" spans="29:31" x14ac:dyDescent="0.45">
      <c r="AC610" t="s">
        <v>19</v>
      </c>
      <c r="AD610" t="s">
        <v>1661</v>
      </c>
      <c r="AE610">
        <v>1.1340533159738893E-4</v>
      </c>
    </row>
    <row r="611" spans="29:31" x14ac:dyDescent="0.45">
      <c r="AC611" t="s">
        <v>19</v>
      </c>
      <c r="AD611" t="s">
        <v>1662</v>
      </c>
      <c r="AE611">
        <v>1.1355493242930752E-4</v>
      </c>
    </row>
    <row r="612" spans="29:31" x14ac:dyDescent="0.45">
      <c r="AC612" t="s">
        <v>19</v>
      </c>
      <c r="AD612" t="s">
        <v>1663</v>
      </c>
      <c r="AE612">
        <v>1.1362215281173925E-4</v>
      </c>
    </row>
    <row r="613" spans="29:31" x14ac:dyDescent="0.45">
      <c r="AC613" t="s">
        <v>19</v>
      </c>
      <c r="AD613" t="s">
        <v>1664</v>
      </c>
      <c r="AE613">
        <v>1.1375698064214453E-4</v>
      </c>
    </row>
    <row r="614" spans="29:31" x14ac:dyDescent="0.45">
      <c r="AC614" t="s">
        <v>19</v>
      </c>
      <c r="AD614" t="s">
        <v>1665</v>
      </c>
      <c r="AE614">
        <v>1.138061809732398E-4</v>
      </c>
    </row>
    <row r="615" spans="29:31" x14ac:dyDescent="0.45">
      <c r="AC615" t="s">
        <v>19</v>
      </c>
      <c r="AD615" t="s">
        <v>1666</v>
      </c>
      <c r="AE615">
        <v>1.1381656723194565E-4</v>
      </c>
    </row>
    <row r="616" spans="29:31" x14ac:dyDescent="0.45">
      <c r="AC616" t="s">
        <v>19</v>
      </c>
      <c r="AD616" t="s">
        <v>1667</v>
      </c>
      <c r="AE616">
        <v>1.1391778487113507E-4</v>
      </c>
    </row>
    <row r="617" spans="29:31" x14ac:dyDescent="0.45">
      <c r="AC617" t="s">
        <v>19</v>
      </c>
      <c r="AD617" t="s">
        <v>1668</v>
      </c>
      <c r="AE617">
        <v>1.1442894792640845E-4</v>
      </c>
    </row>
    <row r="618" spans="29:31" x14ac:dyDescent="0.45">
      <c r="AC618" t="s">
        <v>19</v>
      </c>
      <c r="AD618" t="s">
        <v>1669</v>
      </c>
      <c r="AE618">
        <v>1.1500771842965538E-4</v>
      </c>
    </row>
    <row r="619" spans="29:31" x14ac:dyDescent="0.45">
      <c r="AC619" t="s">
        <v>19</v>
      </c>
      <c r="AD619" t="s">
        <v>1670</v>
      </c>
      <c r="AE619">
        <v>1.1498576321197695E-4</v>
      </c>
    </row>
    <row r="620" spans="29:31" x14ac:dyDescent="0.45">
      <c r="AC620" t="s">
        <v>19</v>
      </c>
      <c r="AD620" t="s">
        <v>1671</v>
      </c>
      <c r="AE620">
        <v>1.1494600297937417E-4</v>
      </c>
    </row>
    <row r="621" spans="29:31" x14ac:dyDescent="0.45">
      <c r="AC621" t="s">
        <v>19</v>
      </c>
      <c r="AD621" t="s">
        <v>1672</v>
      </c>
      <c r="AE621">
        <v>1.1449163104054424E-4</v>
      </c>
    </row>
    <row r="622" spans="29:31" x14ac:dyDescent="0.45">
      <c r="AC622" t="s">
        <v>19</v>
      </c>
      <c r="AD622" t="s">
        <v>1673</v>
      </c>
      <c r="AE622">
        <v>1.1422883504128059E-4</v>
      </c>
    </row>
    <row r="623" spans="29:31" x14ac:dyDescent="0.45">
      <c r="AC623" t="s">
        <v>19</v>
      </c>
      <c r="AD623" t="s">
        <v>1674</v>
      </c>
      <c r="AE623">
        <v>1.1392374137975106E-4</v>
      </c>
    </row>
    <row r="624" spans="29:31" x14ac:dyDescent="0.45">
      <c r="AC624" t="s">
        <v>19</v>
      </c>
      <c r="AD624" t="s">
        <v>1675</v>
      </c>
      <c r="AE624">
        <v>1.1335249715092865E-4</v>
      </c>
    </row>
    <row r="625" spans="29:31" x14ac:dyDescent="0.45">
      <c r="AC625" t="s">
        <v>19</v>
      </c>
      <c r="AD625" t="s">
        <v>1676</v>
      </c>
      <c r="AE625">
        <v>1.1244168892371234E-4</v>
      </c>
    </row>
    <row r="626" spans="29:31" x14ac:dyDescent="0.45">
      <c r="AC626" t="s">
        <v>19</v>
      </c>
      <c r="AD626" t="s">
        <v>1677</v>
      </c>
      <c r="AE626">
        <v>1.1204559185256955E-4</v>
      </c>
    </row>
    <row r="627" spans="29:31" x14ac:dyDescent="0.45">
      <c r="AC627" t="s">
        <v>19</v>
      </c>
      <c r="AD627" t="s">
        <v>1678</v>
      </c>
      <c r="AE627">
        <v>1.1189659312260492E-4</v>
      </c>
    </row>
    <row r="628" spans="29:31" x14ac:dyDescent="0.45">
      <c r="AC628" t="s">
        <v>19</v>
      </c>
      <c r="AD628" t="s">
        <v>1679</v>
      </c>
      <c r="AE628">
        <v>1.1184707023689145E-4</v>
      </c>
    </row>
    <row r="629" spans="29:31" x14ac:dyDescent="0.45">
      <c r="AC629" t="s">
        <v>19</v>
      </c>
      <c r="AD629" t="s">
        <v>1680</v>
      </c>
      <c r="AE629">
        <v>1.118524676508359E-4</v>
      </c>
    </row>
    <row r="630" spans="29:31" x14ac:dyDescent="0.45">
      <c r="AC630" t="s">
        <v>19</v>
      </c>
      <c r="AD630" t="s">
        <v>1681</v>
      </c>
      <c r="AE630">
        <v>1.1215145427826097E-4</v>
      </c>
    </row>
    <row r="631" spans="29:31" x14ac:dyDescent="0.45">
      <c r="AC631" t="s">
        <v>19</v>
      </c>
      <c r="AD631" t="s">
        <v>1682</v>
      </c>
      <c r="AE631">
        <v>1.1254776638581591E-4</v>
      </c>
    </row>
    <row r="632" spans="29:31" x14ac:dyDescent="0.45">
      <c r="AC632" t="s">
        <v>19</v>
      </c>
      <c r="AD632" t="s">
        <v>1683</v>
      </c>
      <c r="AE632">
        <v>1.1271807522422258E-4</v>
      </c>
    </row>
    <row r="633" spans="29:31" x14ac:dyDescent="0.45">
      <c r="AC633" t="s">
        <v>19</v>
      </c>
      <c r="AD633" t="s">
        <v>1684</v>
      </c>
      <c r="AE633">
        <v>1.1322721693722194E-4</v>
      </c>
    </row>
    <row r="634" spans="29:31" x14ac:dyDescent="0.45">
      <c r="AC634" t="s">
        <v>19</v>
      </c>
      <c r="AD634" t="s">
        <v>1685</v>
      </c>
      <c r="AE634">
        <v>1.1326136471946811E-4</v>
      </c>
    </row>
    <row r="635" spans="29:31" x14ac:dyDescent="0.45">
      <c r="AC635" t="s">
        <v>19</v>
      </c>
      <c r="AD635" t="s">
        <v>1686</v>
      </c>
      <c r="AE635">
        <v>1.1357035054005721E-4</v>
      </c>
    </row>
    <row r="636" spans="29:31" x14ac:dyDescent="0.45">
      <c r="AC636" t="s">
        <v>19</v>
      </c>
      <c r="AD636" t="s">
        <v>1687</v>
      </c>
      <c r="AE636">
        <v>1.1362782977301946E-4</v>
      </c>
    </row>
    <row r="637" spans="29:31" x14ac:dyDescent="0.45">
      <c r="AC637" t="s">
        <v>19</v>
      </c>
      <c r="AD637" t="s">
        <v>1688</v>
      </c>
      <c r="AE637">
        <v>1.1371334975412342E-4</v>
      </c>
    </row>
    <row r="638" spans="29:31" x14ac:dyDescent="0.45">
      <c r="AC638" t="s">
        <v>19</v>
      </c>
      <c r="AD638" t="s">
        <v>1689</v>
      </c>
      <c r="AE638">
        <v>1.1370857594577414E-4</v>
      </c>
    </row>
    <row r="639" spans="29:31" x14ac:dyDescent="0.45">
      <c r="AC639" t="s">
        <v>19</v>
      </c>
      <c r="AD639" t="s">
        <v>1690</v>
      </c>
      <c r="AE639">
        <v>1.1373121927997139E-4</v>
      </c>
    </row>
    <row r="640" spans="29:31" x14ac:dyDescent="0.45">
      <c r="AC640" t="s">
        <v>19</v>
      </c>
      <c r="AD640" t="s">
        <v>1691</v>
      </c>
      <c r="AE640">
        <v>1.1383243691916082E-4</v>
      </c>
    </row>
    <row r="641" spans="29:31" x14ac:dyDescent="0.45">
      <c r="AC641" t="s">
        <v>19</v>
      </c>
      <c r="AD641" t="s">
        <v>1692</v>
      </c>
      <c r="AE641">
        <v>1.1424982259510446E-4</v>
      </c>
    </row>
    <row r="642" spans="29:31" x14ac:dyDescent="0.45">
      <c r="AC642" t="s">
        <v>19</v>
      </c>
      <c r="AD642" t="s">
        <v>1693</v>
      </c>
      <c r="AE642">
        <v>1.1494245487857403E-4</v>
      </c>
    </row>
    <row r="643" spans="29:31" x14ac:dyDescent="0.45">
      <c r="AC643" t="s">
        <v>19</v>
      </c>
      <c r="AD643" t="s">
        <v>1694</v>
      </c>
      <c r="AE643">
        <v>1.1488792164445796E-4</v>
      </c>
    </row>
    <row r="644" spans="29:31" x14ac:dyDescent="0.45">
      <c r="AC644" t="s">
        <v>19</v>
      </c>
      <c r="AD644" t="s">
        <v>1695</v>
      </c>
      <c r="AE644">
        <v>1.1487198744631915E-4</v>
      </c>
    </row>
    <row r="645" spans="29:31" x14ac:dyDescent="0.45">
      <c r="AC645" t="s">
        <v>19</v>
      </c>
      <c r="AD645" t="s">
        <v>1696</v>
      </c>
      <c r="AE645">
        <v>1.1433269762833923E-4</v>
      </c>
    </row>
    <row r="646" spans="29:31" x14ac:dyDescent="0.45">
      <c r="AC646" t="s">
        <v>19</v>
      </c>
      <c r="AD646" t="s">
        <v>1697</v>
      </c>
      <c r="AE646">
        <v>1.1406540736806208E-4</v>
      </c>
    </row>
    <row r="647" spans="29:31" x14ac:dyDescent="0.45">
      <c r="AC647" t="s">
        <v>19</v>
      </c>
      <c r="AD647" t="s">
        <v>1698</v>
      </c>
      <c r="AE647">
        <v>1.1378246245698189E-4</v>
      </c>
    </row>
    <row r="648" spans="29:31" x14ac:dyDescent="0.45">
      <c r="AC648" t="s">
        <v>19</v>
      </c>
      <c r="AD648" t="s">
        <v>1699</v>
      </c>
      <c r="AE648">
        <v>1.1307292831151891E-4</v>
      </c>
    </row>
    <row r="649" spans="29:31" x14ac:dyDescent="0.45">
      <c r="AC649" t="s">
        <v>19</v>
      </c>
      <c r="AD649" t="s">
        <v>1700</v>
      </c>
      <c r="AE649">
        <v>1.1249987777683462E-4</v>
      </c>
    </row>
    <row r="650" spans="29:31" x14ac:dyDescent="0.45">
      <c r="AC650" t="s">
        <v>19</v>
      </c>
      <c r="AD650" t="s">
        <v>1701</v>
      </c>
      <c r="AE650">
        <v>1.1203570017761158E-4</v>
      </c>
    </row>
    <row r="651" spans="29:31" x14ac:dyDescent="0.45">
      <c r="AC651" t="s">
        <v>19</v>
      </c>
      <c r="AD651" t="s">
        <v>1702</v>
      </c>
      <c r="AE651">
        <v>1.1172131694307805E-4</v>
      </c>
    </row>
    <row r="652" spans="29:31" x14ac:dyDescent="0.45">
      <c r="AC652" t="s">
        <v>19</v>
      </c>
      <c r="AD652" t="s">
        <v>1703</v>
      </c>
      <c r="AE652">
        <v>1.1166680521260318E-4</v>
      </c>
    </row>
    <row r="653" spans="29:31" x14ac:dyDescent="0.45">
      <c r="AC653" t="s">
        <v>19</v>
      </c>
      <c r="AD653" t="s">
        <v>1704</v>
      </c>
      <c r="AE653">
        <v>1.1178395704993141E-4</v>
      </c>
    </row>
    <row r="654" spans="29:31" x14ac:dyDescent="0.45">
      <c r="AC654" t="s">
        <v>19</v>
      </c>
      <c r="AD654" t="s">
        <v>1705</v>
      </c>
      <c r="AE654">
        <v>1.128305822750488E-4</v>
      </c>
    </row>
    <row r="655" spans="29:31" x14ac:dyDescent="0.45">
      <c r="AC655" t="s">
        <v>19</v>
      </c>
      <c r="AD655" t="s">
        <v>1706</v>
      </c>
      <c r="AE655">
        <v>1.1493232666356273E-4</v>
      </c>
    </row>
    <row r="656" spans="29:31" x14ac:dyDescent="0.45">
      <c r="AC656" t="s">
        <v>19</v>
      </c>
      <c r="AD656" t="s">
        <v>1707</v>
      </c>
      <c r="AE656">
        <v>1.1591136594434778E-4</v>
      </c>
    </row>
    <row r="657" spans="29:31" x14ac:dyDescent="0.45">
      <c r="AC657" t="s">
        <v>19</v>
      </c>
      <c r="AD657" t="s">
        <v>1708</v>
      </c>
      <c r="AE657">
        <v>1.1630015177747818E-4</v>
      </c>
    </row>
    <row r="658" spans="29:31" x14ac:dyDescent="0.45">
      <c r="AC658" t="s">
        <v>19</v>
      </c>
      <c r="AD658" t="s">
        <v>1709</v>
      </c>
      <c r="AE658">
        <v>1.1538437620914167E-4</v>
      </c>
    </row>
    <row r="659" spans="29:31" x14ac:dyDescent="0.45">
      <c r="AC659" t="s">
        <v>19</v>
      </c>
      <c r="AD659" t="s">
        <v>1710</v>
      </c>
      <c r="AE659">
        <v>1.1525636503300089E-4</v>
      </c>
    </row>
    <row r="660" spans="29:31" x14ac:dyDescent="0.45">
      <c r="AC660" t="s">
        <v>19</v>
      </c>
      <c r="AD660" t="s">
        <v>1711</v>
      </c>
      <c r="AE660">
        <v>1.1547099287594749E-4</v>
      </c>
    </row>
    <row r="661" spans="29:31" x14ac:dyDescent="0.45">
      <c r="AC661" t="s">
        <v>19</v>
      </c>
      <c r="AD661" t="s">
        <v>1712</v>
      </c>
      <c r="AE661">
        <v>1.1555687841895207E-4</v>
      </c>
    </row>
    <row r="662" spans="29:31" x14ac:dyDescent="0.45">
      <c r="AC662" t="s">
        <v>19</v>
      </c>
      <c r="AD662" t="s">
        <v>1713</v>
      </c>
      <c r="AE662">
        <v>1.1558691900572658E-4</v>
      </c>
    </row>
    <row r="663" spans="29:31" x14ac:dyDescent="0.45">
      <c r="AC663" t="s">
        <v>19</v>
      </c>
      <c r="AD663" t="s">
        <v>1714</v>
      </c>
      <c r="AE663">
        <v>1.1563583978948607E-4</v>
      </c>
    </row>
    <row r="664" spans="29:31" x14ac:dyDescent="0.45">
      <c r="AC664" t="s">
        <v>19</v>
      </c>
      <c r="AD664" t="s">
        <v>1715</v>
      </c>
      <c r="AE664">
        <v>1.156924588767998E-4</v>
      </c>
    </row>
    <row r="665" spans="29:31" x14ac:dyDescent="0.45">
      <c r="AC665" t="s">
        <v>19</v>
      </c>
      <c r="AD665" t="s">
        <v>1716</v>
      </c>
      <c r="AE665">
        <v>1.1596020071354242E-4</v>
      </c>
    </row>
    <row r="666" spans="29:31" x14ac:dyDescent="0.45">
      <c r="AC666" t="s">
        <v>19</v>
      </c>
      <c r="AD666" t="s">
        <v>1717</v>
      </c>
      <c r="AE666">
        <v>1.1640412188274286E-4</v>
      </c>
    </row>
    <row r="667" spans="29:31" x14ac:dyDescent="0.45">
      <c r="AC667" t="s">
        <v>19</v>
      </c>
      <c r="AD667" t="s">
        <v>259</v>
      </c>
      <c r="AE667">
        <v>1.9307227285069097E-2</v>
      </c>
    </row>
    <row r="668" spans="29:31" x14ac:dyDescent="0.45">
      <c r="AC668" t="s">
        <v>19</v>
      </c>
      <c r="AD668" t="s">
        <v>260</v>
      </c>
      <c r="AE668">
        <v>3.1492536900016872E-3</v>
      </c>
    </row>
    <row r="669" spans="29:31" x14ac:dyDescent="0.45">
      <c r="AC669" t="s">
        <v>19</v>
      </c>
      <c r="AD669" t="s">
        <v>261</v>
      </c>
      <c r="AE669">
        <v>3.1403516556196263E-3</v>
      </c>
    </row>
    <row r="670" spans="29:31" x14ac:dyDescent="0.45">
      <c r="AC670" t="s">
        <v>19</v>
      </c>
      <c r="AD670" t="s">
        <v>262</v>
      </c>
      <c r="AE670">
        <v>2.2194600020251681E-2</v>
      </c>
    </row>
    <row r="671" spans="29:31" x14ac:dyDescent="0.45">
      <c r="AC671" t="s">
        <v>19</v>
      </c>
      <c r="AD671" t="s">
        <v>263</v>
      </c>
      <c r="AE671">
        <v>3.2111912728966245E-3</v>
      </c>
    </row>
    <row r="672" spans="29:31" x14ac:dyDescent="0.45">
      <c r="AC672" t="s">
        <v>19</v>
      </c>
      <c r="AD672" t="s">
        <v>264</v>
      </c>
      <c r="AE672">
        <v>3.2131361697261313E-3</v>
      </c>
    </row>
    <row r="673" spans="29:31" x14ac:dyDescent="0.45">
      <c r="AC673" t="s">
        <v>19</v>
      </c>
      <c r="AD673" t="s">
        <v>265</v>
      </c>
      <c r="AE673">
        <v>3.2176122386591744E-3</v>
      </c>
    </row>
    <row r="674" spans="29:31" x14ac:dyDescent="0.45">
      <c r="AC674" t="s">
        <v>19</v>
      </c>
      <c r="AD674" t="s">
        <v>266</v>
      </c>
      <c r="AE674">
        <v>1.9353151170863662E-2</v>
      </c>
    </row>
    <row r="675" spans="29:31" x14ac:dyDescent="0.45">
      <c r="AC675" t="s">
        <v>19</v>
      </c>
      <c r="AD675" t="s">
        <v>267</v>
      </c>
      <c r="AE675">
        <v>2.1290058222585766E-2</v>
      </c>
    </row>
    <row r="676" spans="29:31" x14ac:dyDescent="0.45">
      <c r="AC676" t="s">
        <v>19</v>
      </c>
      <c r="AD676" t="s">
        <v>268</v>
      </c>
      <c r="AE676">
        <v>3.4778004388648837E-3</v>
      </c>
    </row>
    <row r="677" spans="29:31" x14ac:dyDescent="0.45">
      <c r="AC677" t="s">
        <v>19</v>
      </c>
      <c r="AD677" t="s">
        <v>269</v>
      </c>
      <c r="AE677">
        <v>3.4715970469441268E-3</v>
      </c>
    </row>
    <row r="678" spans="29:31" x14ac:dyDescent="0.45">
      <c r="AC678" t="s">
        <v>19</v>
      </c>
      <c r="AD678" t="s">
        <v>270</v>
      </c>
      <c r="AE678">
        <v>2.4634624229355605E-2</v>
      </c>
    </row>
    <row r="679" spans="29:31" x14ac:dyDescent="0.45">
      <c r="AC679" t="s">
        <v>19</v>
      </c>
      <c r="AD679" t="s">
        <v>271</v>
      </c>
      <c r="AE679">
        <v>3.5563084696348369E-3</v>
      </c>
    </row>
    <row r="680" spans="29:31" x14ac:dyDescent="0.45">
      <c r="AC680" t="s">
        <v>19</v>
      </c>
      <c r="AD680" t="s">
        <v>272</v>
      </c>
      <c r="AE680">
        <v>3.5612535544863764E-3</v>
      </c>
    </row>
    <row r="681" spans="29:31" x14ac:dyDescent="0.45">
      <c r="AC681" t="s">
        <v>19</v>
      </c>
      <c r="AD681" t="s">
        <v>273</v>
      </c>
      <c r="AE681">
        <v>3.5630902880005818E-3</v>
      </c>
    </row>
    <row r="682" spans="29:31" x14ac:dyDescent="0.45">
      <c r="AC682" t="s">
        <v>19</v>
      </c>
      <c r="AD682" t="s">
        <v>274</v>
      </c>
      <c r="AE682">
        <v>2.1399527217477787E-2</v>
      </c>
    </row>
    <row r="683" spans="29:31" x14ac:dyDescent="0.45">
      <c r="AC683" t="s">
        <v>19</v>
      </c>
      <c r="AD683" t="s">
        <v>299</v>
      </c>
      <c r="AE683">
        <v>1.9177227395419334E-2</v>
      </c>
    </row>
    <row r="684" spans="29:31" x14ac:dyDescent="0.45">
      <c r="AC684" t="s">
        <v>19</v>
      </c>
      <c r="AD684" t="s">
        <v>300</v>
      </c>
      <c r="AE684">
        <v>3.1461120630697941E-3</v>
      </c>
    </row>
    <row r="685" spans="29:31" x14ac:dyDescent="0.45">
      <c r="AC685" t="s">
        <v>19</v>
      </c>
      <c r="AD685" t="s">
        <v>301</v>
      </c>
      <c r="AE685">
        <v>3.1410721256568646E-3</v>
      </c>
    </row>
    <row r="686" spans="29:31" x14ac:dyDescent="0.45">
      <c r="AC686" t="s">
        <v>19</v>
      </c>
      <c r="AD686" t="s">
        <v>302</v>
      </c>
      <c r="AE686">
        <v>2.2305187396299258E-2</v>
      </c>
    </row>
    <row r="687" spans="29:31" x14ac:dyDescent="0.45">
      <c r="AC687" t="s">
        <v>19</v>
      </c>
      <c r="AD687" t="s">
        <v>303</v>
      </c>
      <c r="AE687">
        <v>3.2111588144404322E-3</v>
      </c>
    </row>
    <row r="688" spans="29:31" x14ac:dyDescent="0.45">
      <c r="AC688" t="s">
        <v>19</v>
      </c>
      <c r="AD688" t="s">
        <v>304</v>
      </c>
      <c r="AE688">
        <v>3.215919871130471E-3</v>
      </c>
    </row>
    <row r="689" spans="29:31" x14ac:dyDescent="0.45">
      <c r="AC689" t="s">
        <v>19</v>
      </c>
      <c r="AD689" t="s">
        <v>305</v>
      </c>
      <c r="AE689">
        <v>3.2122529412089889E-3</v>
      </c>
    </row>
    <row r="690" spans="29:31" x14ac:dyDescent="0.45">
      <c r="AC690" t="s">
        <v>19</v>
      </c>
      <c r="AD690" t="s">
        <v>306</v>
      </c>
      <c r="AE690">
        <v>1.92894986803233E-2</v>
      </c>
    </row>
    <row r="691" spans="29:31" x14ac:dyDescent="0.45">
      <c r="AC691" t="s">
        <v>19</v>
      </c>
      <c r="AD691" t="s">
        <v>1888</v>
      </c>
      <c r="AE691">
        <v>1.1466096184132362E-4</v>
      </c>
    </row>
    <row r="692" spans="29:31" x14ac:dyDescent="0.45">
      <c r="AC692" t="s">
        <v>19</v>
      </c>
      <c r="AD692" t="s">
        <v>1889</v>
      </c>
      <c r="AE692">
        <v>1.1452209132637029E-4</v>
      </c>
    </row>
    <row r="693" spans="29:31" x14ac:dyDescent="0.45">
      <c r="AC693" t="s">
        <v>19</v>
      </c>
      <c r="AD693" t="s">
        <v>1890</v>
      </c>
      <c r="AE693">
        <v>1.141956660527575E-4</v>
      </c>
    </row>
    <row r="694" spans="29:31" x14ac:dyDescent="0.45">
      <c r="AC694" t="s">
        <v>19</v>
      </c>
      <c r="AD694" t="s">
        <v>1891</v>
      </c>
      <c r="AE694">
        <v>1.1367205238922182E-4</v>
      </c>
    </row>
    <row r="695" spans="29:31" x14ac:dyDescent="0.45">
      <c r="AC695" t="s">
        <v>19</v>
      </c>
      <c r="AD695" t="s">
        <v>1892</v>
      </c>
      <c r="AE695">
        <v>1.1316060978661268E-4</v>
      </c>
    </row>
    <row r="696" spans="29:31" x14ac:dyDescent="0.45">
      <c r="AC696" t="s">
        <v>19</v>
      </c>
      <c r="AD696" t="s">
        <v>1893</v>
      </c>
      <c r="AE696">
        <v>1.125890860104545E-4</v>
      </c>
    </row>
    <row r="697" spans="29:31" x14ac:dyDescent="0.45">
      <c r="AC697" t="s">
        <v>19</v>
      </c>
      <c r="AD697" t="s">
        <v>1894</v>
      </c>
      <c r="AE697">
        <v>1.1229885136500313E-4</v>
      </c>
    </row>
    <row r="698" spans="29:31" x14ac:dyDescent="0.45">
      <c r="AC698" t="s">
        <v>19</v>
      </c>
      <c r="AD698" t="s">
        <v>1895</v>
      </c>
      <c r="AE698">
        <v>1.1204411923119435E-4</v>
      </c>
    </row>
    <row r="699" spans="29:31" x14ac:dyDescent="0.45">
      <c r="AC699" t="s">
        <v>19</v>
      </c>
      <c r="AD699" t="s">
        <v>1896</v>
      </c>
      <c r="AE699">
        <v>1.1201885245276911E-4</v>
      </c>
    </row>
    <row r="700" spans="29:31" x14ac:dyDescent="0.45">
      <c r="AC700" t="s">
        <v>19</v>
      </c>
      <c r="AD700" t="s">
        <v>1897</v>
      </c>
      <c r="AE700">
        <v>1.1204302254549248E-4</v>
      </c>
    </row>
    <row r="701" spans="29:31" x14ac:dyDescent="0.45">
      <c r="AC701" t="s">
        <v>19</v>
      </c>
      <c r="AD701" t="s">
        <v>1898</v>
      </c>
      <c r="AE701">
        <v>1.1235340610276043E-4</v>
      </c>
    </row>
    <row r="702" spans="29:31" x14ac:dyDescent="0.45">
      <c r="AC702" t="s">
        <v>19</v>
      </c>
      <c r="AD702" t="s">
        <v>1899</v>
      </c>
      <c r="AE702">
        <v>1.1265237122654426E-4</v>
      </c>
    </row>
    <row r="703" spans="29:31" x14ac:dyDescent="0.45">
      <c r="AC703" t="s">
        <v>19</v>
      </c>
      <c r="AD703" t="s">
        <v>1900</v>
      </c>
      <c r="AE703">
        <v>1.1298109738976685E-4</v>
      </c>
    </row>
    <row r="704" spans="29:31" x14ac:dyDescent="0.45">
      <c r="AC704" t="s">
        <v>19</v>
      </c>
      <c r="AD704" t="s">
        <v>1901</v>
      </c>
      <c r="AE704">
        <v>1.1341482583303234E-4</v>
      </c>
    </row>
    <row r="705" spans="29:31" x14ac:dyDescent="0.45">
      <c r="AC705" t="s">
        <v>19</v>
      </c>
      <c r="AD705" t="s">
        <v>1902</v>
      </c>
      <c r="AE705">
        <v>1.1376318482068235E-4</v>
      </c>
    </row>
    <row r="706" spans="29:31" x14ac:dyDescent="0.45">
      <c r="AC706" t="s">
        <v>19</v>
      </c>
      <c r="AD706" t="s">
        <v>1903</v>
      </c>
      <c r="AE706">
        <v>1.13544643315035E-4</v>
      </c>
    </row>
    <row r="707" spans="29:31" x14ac:dyDescent="0.45">
      <c r="AC707" t="s">
        <v>19</v>
      </c>
      <c r="AD707" t="s">
        <v>1904</v>
      </c>
      <c r="AE707">
        <v>1.13700544713829E-4</v>
      </c>
    </row>
    <row r="708" spans="29:31" x14ac:dyDescent="0.45">
      <c r="AC708" t="s">
        <v>19</v>
      </c>
      <c r="AD708" t="s">
        <v>1905</v>
      </c>
      <c r="AE708">
        <v>1.1358070492134914E-4</v>
      </c>
    </row>
    <row r="709" spans="29:31" x14ac:dyDescent="0.45">
      <c r="AC709" t="s">
        <v>19</v>
      </c>
      <c r="AD709" t="s">
        <v>1906</v>
      </c>
      <c r="AE709">
        <v>1.1344460837611228E-4</v>
      </c>
    </row>
    <row r="710" spans="29:31" x14ac:dyDescent="0.45">
      <c r="AC710" t="s">
        <v>19</v>
      </c>
      <c r="AD710" t="s">
        <v>1907</v>
      </c>
      <c r="AE710">
        <v>1.1350522714069164E-4</v>
      </c>
    </row>
    <row r="711" spans="29:31" x14ac:dyDescent="0.45">
      <c r="AC711" t="s">
        <v>19</v>
      </c>
      <c r="AD711" t="s">
        <v>1908</v>
      </c>
      <c r="AE711">
        <v>1.1360881018041448E-4</v>
      </c>
    </row>
    <row r="712" spans="29:31" x14ac:dyDescent="0.45">
      <c r="AC712" t="s">
        <v>19</v>
      </c>
      <c r="AD712" t="s">
        <v>1909</v>
      </c>
      <c r="AE712">
        <v>1.138627896867808E-4</v>
      </c>
    </row>
    <row r="713" spans="29:31" x14ac:dyDescent="0.45">
      <c r="AC713" t="s">
        <v>19</v>
      </c>
      <c r="AD713" t="s">
        <v>1910</v>
      </c>
      <c r="AE713">
        <v>1.1410980201339412E-4</v>
      </c>
    </row>
    <row r="714" spans="29:31" x14ac:dyDescent="0.45">
      <c r="AC714" t="s">
        <v>19</v>
      </c>
      <c r="AD714" t="s">
        <v>1911</v>
      </c>
      <c r="AE714">
        <v>1.140993082364822E-4</v>
      </c>
    </row>
    <row r="715" spans="29:31" x14ac:dyDescent="0.45">
      <c r="AC715" t="s">
        <v>19</v>
      </c>
      <c r="AD715" t="s">
        <v>1912</v>
      </c>
      <c r="AE715">
        <v>1.1520487494216434E-4</v>
      </c>
    </row>
    <row r="716" spans="29:31" x14ac:dyDescent="0.45">
      <c r="AC716" t="s">
        <v>19</v>
      </c>
      <c r="AD716" t="s">
        <v>1913</v>
      </c>
      <c r="AE716">
        <v>1.1493979955693212E-4</v>
      </c>
    </row>
    <row r="717" spans="29:31" x14ac:dyDescent="0.45">
      <c r="AC717" t="s">
        <v>19</v>
      </c>
      <c r="AD717" t="s">
        <v>1914</v>
      </c>
      <c r="AE717">
        <v>1.1467076750171672E-4</v>
      </c>
    </row>
    <row r="718" spans="29:31" x14ac:dyDescent="0.45">
      <c r="AC718" t="s">
        <v>19</v>
      </c>
      <c r="AD718" t="s">
        <v>1915</v>
      </c>
      <c r="AE718">
        <v>1.1396639423014487E-4</v>
      </c>
    </row>
    <row r="719" spans="29:31" x14ac:dyDescent="0.45">
      <c r="AC719" t="s">
        <v>19</v>
      </c>
      <c r="AD719" t="s">
        <v>1916</v>
      </c>
      <c r="AE719">
        <v>1.1341813739377912E-4</v>
      </c>
    </row>
    <row r="720" spans="29:31" x14ac:dyDescent="0.45">
      <c r="AC720" t="s">
        <v>19</v>
      </c>
      <c r="AD720" t="s">
        <v>1917</v>
      </c>
      <c r="AE720">
        <v>1.1257777509517648E-4</v>
      </c>
    </row>
    <row r="721" spans="29:31" x14ac:dyDescent="0.45">
      <c r="AC721" t="s">
        <v>19</v>
      </c>
      <c r="AD721" t="s">
        <v>1918</v>
      </c>
      <c r="AE721">
        <v>1.1227859493498051E-4</v>
      </c>
    </row>
    <row r="722" spans="29:31" x14ac:dyDescent="0.45">
      <c r="AC722" t="s">
        <v>19</v>
      </c>
      <c r="AD722" t="s">
        <v>1919</v>
      </c>
      <c r="AE722">
        <v>1.1211525327632683E-4</v>
      </c>
    </row>
    <row r="723" spans="29:31" x14ac:dyDescent="0.45">
      <c r="AC723" t="s">
        <v>19</v>
      </c>
      <c r="AD723" t="s">
        <v>1920</v>
      </c>
      <c r="AE723">
        <v>1.1218292523522403E-4</v>
      </c>
    </row>
    <row r="724" spans="29:31" x14ac:dyDescent="0.45">
      <c r="AC724" t="s">
        <v>19</v>
      </c>
      <c r="AD724" t="s">
        <v>1921</v>
      </c>
      <c r="AE724">
        <v>1.1229818475212551E-4</v>
      </c>
    </row>
    <row r="725" spans="29:31" x14ac:dyDescent="0.45">
      <c r="AC725" t="s">
        <v>19</v>
      </c>
      <c r="AD725" t="s">
        <v>1922</v>
      </c>
      <c r="AE725">
        <v>1.1315007300241831E-4</v>
      </c>
    </row>
    <row r="726" spans="29:31" x14ac:dyDescent="0.45">
      <c r="AC726" t="s">
        <v>19</v>
      </c>
      <c r="AD726" t="s">
        <v>1923</v>
      </c>
      <c r="AE726">
        <v>1.1403939909206287E-4</v>
      </c>
    </row>
    <row r="727" spans="29:31" x14ac:dyDescent="0.45">
      <c r="AC727" t="s">
        <v>19</v>
      </c>
      <c r="AD727" t="s">
        <v>1924</v>
      </c>
      <c r="AE727">
        <v>1.1490513568729682E-4</v>
      </c>
    </row>
    <row r="728" spans="29:31" x14ac:dyDescent="0.45">
      <c r="AC728" t="s">
        <v>19</v>
      </c>
      <c r="AD728" t="s">
        <v>1925</v>
      </c>
      <c r="AE728">
        <v>1.1555714759251512E-4</v>
      </c>
    </row>
    <row r="729" spans="29:31" x14ac:dyDescent="0.45">
      <c r="AC729" t="s">
        <v>19</v>
      </c>
      <c r="AD729" t="s">
        <v>1926</v>
      </c>
      <c r="AE729">
        <v>1.1519031697706314E-4</v>
      </c>
    </row>
    <row r="730" spans="29:31" x14ac:dyDescent="0.45">
      <c r="AC730" t="s">
        <v>19</v>
      </c>
      <c r="AD730" t="s">
        <v>1927</v>
      </c>
      <c r="AE730">
        <v>1.1503753360624505E-4</v>
      </c>
    </row>
    <row r="731" spans="29:31" x14ac:dyDescent="0.45">
      <c r="AC731" t="s">
        <v>19</v>
      </c>
      <c r="AD731" t="s">
        <v>1928</v>
      </c>
      <c r="AE731">
        <v>1.1503127604665207E-4</v>
      </c>
    </row>
    <row r="732" spans="29:31" x14ac:dyDescent="0.45">
      <c r="AC732" t="s">
        <v>19</v>
      </c>
      <c r="AD732" t="s">
        <v>1929</v>
      </c>
      <c r="AE732">
        <v>1.1498631193287576E-4</v>
      </c>
    </row>
    <row r="733" spans="29:31" x14ac:dyDescent="0.45">
      <c r="AC733" t="s">
        <v>19</v>
      </c>
      <c r="AD733" t="s">
        <v>1930</v>
      </c>
      <c r="AE733">
        <v>1.1501635251965027E-4</v>
      </c>
    </row>
    <row r="734" spans="29:31" x14ac:dyDescent="0.45">
      <c r="AC734" t="s">
        <v>19</v>
      </c>
      <c r="AD734" t="s">
        <v>1931</v>
      </c>
      <c r="AE734">
        <v>1.1500293424753337E-4</v>
      </c>
    </row>
    <row r="735" spans="29:31" x14ac:dyDescent="0.45">
      <c r="AC735" t="s">
        <v>19</v>
      </c>
      <c r="AD735" t="s">
        <v>1932</v>
      </c>
      <c r="AE735">
        <v>1.1501615898687935E-4</v>
      </c>
    </row>
    <row r="736" spans="29:31" x14ac:dyDescent="0.45">
      <c r="AC736" t="s">
        <v>19</v>
      </c>
      <c r="AD736" t="s">
        <v>1933</v>
      </c>
      <c r="AE736">
        <v>1.1504585551539446E-4</v>
      </c>
    </row>
    <row r="737" spans="29:31" x14ac:dyDescent="0.45">
      <c r="AC737" t="s">
        <v>19</v>
      </c>
      <c r="AD737" t="s">
        <v>1934</v>
      </c>
      <c r="AE737">
        <v>1.150412752398161E-4</v>
      </c>
    </row>
    <row r="738" spans="29:31" x14ac:dyDescent="0.45">
      <c r="AC738" t="s">
        <v>19</v>
      </c>
      <c r="AD738" t="s">
        <v>1935</v>
      </c>
      <c r="AE738">
        <v>1.1509894800554925E-4</v>
      </c>
    </row>
    <row r="739" spans="29:31" x14ac:dyDescent="0.45">
      <c r="AC739" t="s">
        <v>19</v>
      </c>
      <c r="AD739" t="s">
        <v>331</v>
      </c>
      <c r="AE739">
        <v>2.1223441092015214E-2</v>
      </c>
    </row>
    <row r="740" spans="29:31" x14ac:dyDescent="0.45">
      <c r="AC740" t="s">
        <v>19</v>
      </c>
      <c r="AD740" t="s">
        <v>332</v>
      </c>
      <c r="AE740">
        <v>3.4859661544347823E-3</v>
      </c>
    </row>
    <row r="741" spans="29:31" x14ac:dyDescent="0.45">
      <c r="AC741" t="s">
        <v>19</v>
      </c>
      <c r="AD741" t="s">
        <v>333</v>
      </c>
      <c r="AE741">
        <v>3.4797166372036231E-3</v>
      </c>
    </row>
    <row r="742" spans="29:31" x14ac:dyDescent="0.45">
      <c r="AC742" t="s">
        <v>19</v>
      </c>
      <c r="AD742" t="s">
        <v>334</v>
      </c>
      <c r="AE742">
        <v>2.4648746678792133E-2</v>
      </c>
    </row>
    <row r="743" spans="29:31" x14ac:dyDescent="0.45">
      <c r="AC743" t="s">
        <v>19</v>
      </c>
      <c r="AD743" t="s">
        <v>335</v>
      </c>
      <c r="AE743">
        <v>3.5570609124147721E-3</v>
      </c>
    </row>
    <row r="744" spans="29:31" x14ac:dyDescent="0.45">
      <c r="AC744" t="s">
        <v>19</v>
      </c>
      <c r="AD744" t="s">
        <v>336</v>
      </c>
      <c r="AE744">
        <v>3.5576787120268202E-3</v>
      </c>
    </row>
    <row r="745" spans="29:31" x14ac:dyDescent="0.45">
      <c r="AC745" t="s">
        <v>19</v>
      </c>
      <c r="AD745" t="s">
        <v>337</v>
      </c>
      <c r="AE745">
        <v>3.5581197947153805E-3</v>
      </c>
    </row>
    <row r="746" spans="29:31" x14ac:dyDescent="0.45">
      <c r="AC746" t="s">
        <v>19</v>
      </c>
      <c r="AD746" t="s">
        <v>338</v>
      </c>
      <c r="AE746">
        <v>2.137079864257883E-2</v>
      </c>
    </row>
    <row r="747" spans="29:31" x14ac:dyDescent="0.45">
      <c r="AC747" t="s">
        <v>19</v>
      </c>
      <c r="AD747" t="s">
        <v>339</v>
      </c>
      <c r="AE747">
        <v>2.0548453822010204E-2</v>
      </c>
    </row>
    <row r="748" spans="29:31" x14ac:dyDescent="0.45">
      <c r="AC748" t="s">
        <v>19</v>
      </c>
      <c r="AD748" t="s">
        <v>340</v>
      </c>
      <c r="AE748">
        <v>3.379574715271021E-3</v>
      </c>
    </row>
    <row r="749" spans="29:31" x14ac:dyDescent="0.45">
      <c r="AC749" t="s">
        <v>19</v>
      </c>
      <c r="AD749" t="s">
        <v>341</v>
      </c>
      <c r="AE749">
        <v>3.3722211580927064E-3</v>
      </c>
    </row>
    <row r="750" spans="29:31" x14ac:dyDescent="0.45">
      <c r="AC750" t="s">
        <v>19</v>
      </c>
      <c r="AD750" t="s">
        <v>342</v>
      </c>
      <c r="AE750">
        <v>2.3827821977797994E-2</v>
      </c>
    </row>
    <row r="751" spans="29:31" x14ac:dyDescent="0.45">
      <c r="AC751" t="s">
        <v>19</v>
      </c>
      <c r="AD751" t="s">
        <v>343</v>
      </c>
      <c r="AE751">
        <v>3.4402832575524313E-3</v>
      </c>
    </row>
    <row r="752" spans="29:31" x14ac:dyDescent="0.45">
      <c r="AC752" t="s">
        <v>19</v>
      </c>
      <c r="AD752" t="s">
        <v>344</v>
      </c>
      <c r="AE752">
        <v>3.44164882478402E-3</v>
      </c>
    </row>
    <row r="753" spans="29:31" x14ac:dyDescent="0.45">
      <c r="AC753" t="s">
        <v>19</v>
      </c>
      <c r="AD753" t="s">
        <v>345</v>
      </c>
      <c r="AE753">
        <v>3.443684079913903E-3</v>
      </c>
    </row>
    <row r="754" spans="29:31" x14ac:dyDescent="0.45">
      <c r="AC754" t="s">
        <v>19</v>
      </c>
      <c r="AD754" t="s">
        <v>346</v>
      </c>
      <c r="AE754">
        <v>2.0692724073301229E-2</v>
      </c>
    </row>
    <row r="755" spans="29:31" x14ac:dyDescent="0.45">
      <c r="AC755" t="s">
        <v>19</v>
      </c>
      <c r="AD755" t="s">
        <v>347</v>
      </c>
      <c r="AE755">
        <v>2.1239478364632636E-2</v>
      </c>
    </row>
    <row r="756" spans="29:31" x14ac:dyDescent="0.45">
      <c r="AC756" t="s">
        <v>19</v>
      </c>
      <c r="AD756" t="s">
        <v>348</v>
      </c>
      <c r="AE756">
        <v>3.4901148460204979E-3</v>
      </c>
    </row>
    <row r="757" spans="29:31" x14ac:dyDescent="0.45">
      <c r="AC757" t="s">
        <v>19</v>
      </c>
      <c r="AD757" t="s">
        <v>349</v>
      </c>
      <c r="AE757">
        <v>3.4806753711336021E-3</v>
      </c>
    </row>
    <row r="758" spans="29:31" x14ac:dyDescent="0.45">
      <c r="AC758" t="s">
        <v>19</v>
      </c>
      <c r="AD758" t="s">
        <v>350</v>
      </c>
      <c r="AE758">
        <v>2.4573462626051094E-2</v>
      </c>
    </row>
    <row r="759" spans="29:31" x14ac:dyDescent="0.45">
      <c r="AC759" t="s">
        <v>19</v>
      </c>
      <c r="AD759" t="s">
        <v>351</v>
      </c>
      <c r="AE759">
        <v>3.557426769452868E-3</v>
      </c>
    </row>
    <row r="760" spans="29:31" x14ac:dyDescent="0.45">
      <c r="AC760" t="s">
        <v>19</v>
      </c>
      <c r="AD760" t="s">
        <v>352</v>
      </c>
      <c r="AE760">
        <v>3.5620926725305397E-3</v>
      </c>
    </row>
    <row r="761" spans="29:31" x14ac:dyDescent="0.45">
      <c r="AC761" t="s">
        <v>19</v>
      </c>
      <c r="AD761" t="s">
        <v>353</v>
      </c>
      <c r="AE761">
        <v>3.5667831327664762E-3</v>
      </c>
    </row>
    <row r="762" spans="29:31" x14ac:dyDescent="0.45">
      <c r="AC762" t="s">
        <v>19</v>
      </c>
      <c r="AD762" t="s">
        <v>354</v>
      </c>
      <c r="AE762">
        <v>2.145256291275302E-2</v>
      </c>
    </row>
    <row r="763" spans="29:31" x14ac:dyDescent="0.45">
      <c r="AC763" t="s">
        <v>19</v>
      </c>
      <c r="AD763" t="s">
        <v>355</v>
      </c>
      <c r="AE763">
        <v>1.6447621316361887E-2</v>
      </c>
    </row>
    <row r="764" spans="29:31" x14ac:dyDescent="0.45">
      <c r="AC764" t="s">
        <v>19</v>
      </c>
      <c r="AD764" t="s">
        <v>356</v>
      </c>
      <c r="AE764">
        <v>2.7014528372804126E-3</v>
      </c>
    </row>
    <row r="765" spans="29:31" x14ac:dyDescent="0.45">
      <c r="AC765" t="s">
        <v>19</v>
      </c>
      <c r="AD765" t="s">
        <v>357</v>
      </c>
      <c r="AE765">
        <v>2.6946096690262872E-3</v>
      </c>
    </row>
    <row r="766" spans="29:31" x14ac:dyDescent="0.45">
      <c r="AC766" t="s">
        <v>19</v>
      </c>
      <c r="AD766" t="s">
        <v>358</v>
      </c>
      <c r="AE766">
        <v>1.9033049967259272E-2</v>
      </c>
    </row>
    <row r="767" spans="29:31" x14ac:dyDescent="0.45">
      <c r="AC767" t="s">
        <v>19</v>
      </c>
      <c r="AD767" t="s">
        <v>359</v>
      </c>
      <c r="AE767">
        <v>2.7539531816671405E-3</v>
      </c>
    </row>
    <row r="768" spans="29:31" x14ac:dyDescent="0.45">
      <c r="AC768" t="s">
        <v>19</v>
      </c>
      <c r="AD768" t="s">
        <v>360</v>
      </c>
      <c r="AE768">
        <v>2.7562251488794961E-3</v>
      </c>
    </row>
    <row r="769" spans="29:31" x14ac:dyDescent="0.45">
      <c r="AC769" t="s">
        <v>19</v>
      </c>
      <c r="AD769" t="s">
        <v>361</v>
      </c>
      <c r="AE769">
        <v>2.7590259336365613E-3</v>
      </c>
    </row>
    <row r="770" spans="29:31" x14ac:dyDescent="0.45">
      <c r="AC770" t="s">
        <v>19</v>
      </c>
      <c r="AD770" t="s">
        <v>362</v>
      </c>
      <c r="AE770">
        <v>1.6605007025494244E-2</v>
      </c>
    </row>
    <row r="771" spans="29:31" x14ac:dyDescent="0.45">
      <c r="AC771" t="s">
        <v>19</v>
      </c>
      <c r="AD771" t="s">
        <v>1936</v>
      </c>
      <c r="AE771">
        <v>1.1527977694028421E-4</v>
      </c>
    </row>
    <row r="772" spans="29:31" x14ac:dyDescent="0.45">
      <c r="AC772" t="s">
        <v>19</v>
      </c>
      <c r="AD772" t="s">
        <v>1937</v>
      </c>
      <c r="AE772">
        <v>1.1495634067280002E-4</v>
      </c>
    </row>
    <row r="773" spans="29:31" x14ac:dyDescent="0.45">
      <c r="AC773" t="s">
        <v>19</v>
      </c>
      <c r="AD773" t="s">
        <v>1938</v>
      </c>
      <c r="AE773">
        <v>1.1465470909750576E-4</v>
      </c>
    </row>
    <row r="774" spans="29:31" x14ac:dyDescent="0.45">
      <c r="AC774" t="s">
        <v>19</v>
      </c>
      <c r="AD774" t="s">
        <v>1939</v>
      </c>
      <c r="AE774">
        <v>1.1390193112956353E-4</v>
      </c>
    </row>
    <row r="775" spans="29:31" x14ac:dyDescent="0.45">
      <c r="AC775" t="s">
        <v>19</v>
      </c>
      <c r="AD775" t="s">
        <v>1940</v>
      </c>
      <c r="AE775">
        <v>1.1351929533782005E-4</v>
      </c>
    </row>
    <row r="776" spans="29:31" x14ac:dyDescent="0.45">
      <c r="AC776" t="s">
        <v>19</v>
      </c>
      <c r="AD776" t="s">
        <v>1941</v>
      </c>
      <c r="AE776">
        <v>1.1268323376745998E-4</v>
      </c>
    </row>
    <row r="777" spans="29:31" x14ac:dyDescent="0.45">
      <c r="AC777" t="s">
        <v>19</v>
      </c>
      <c r="AD777" t="s">
        <v>1942</v>
      </c>
      <c r="AE777">
        <v>1.1247051974858134E-4</v>
      </c>
    </row>
    <row r="778" spans="29:31" x14ac:dyDescent="0.45">
      <c r="AC778" t="s">
        <v>19</v>
      </c>
      <c r="AD778" t="s">
        <v>1943</v>
      </c>
      <c r="AE778">
        <v>1.1223903305092378E-4</v>
      </c>
    </row>
    <row r="779" spans="29:31" x14ac:dyDescent="0.45">
      <c r="AC779" t="s">
        <v>19</v>
      </c>
      <c r="AD779" t="s">
        <v>1944</v>
      </c>
      <c r="AE779">
        <v>1.121903057999352E-4</v>
      </c>
    </row>
    <row r="780" spans="29:31" x14ac:dyDescent="0.45">
      <c r="AC780" t="s">
        <v>19</v>
      </c>
      <c r="AD780" t="s">
        <v>1945</v>
      </c>
      <c r="AE780">
        <v>1.1225277387765886E-4</v>
      </c>
    </row>
    <row r="781" spans="29:31" x14ac:dyDescent="0.45">
      <c r="AC781" t="s">
        <v>19</v>
      </c>
      <c r="AD781" t="s">
        <v>1946</v>
      </c>
      <c r="AE781">
        <v>1.128285768784184E-4</v>
      </c>
    </row>
    <row r="782" spans="29:31" x14ac:dyDescent="0.45">
      <c r="AC782" t="s">
        <v>19</v>
      </c>
      <c r="AD782" t="s">
        <v>1947</v>
      </c>
      <c r="AE782">
        <v>1.135078123934123E-4</v>
      </c>
    </row>
    <row r="783" spans="29:31" x14ac:dyDescent="0.45">
      <c r="AC783" t="s">
        <v>19</v>
      </c>
      <c r="AD783" t="s">
        <v>1948</v>
      </c>
      <c r="AE783">
        <v>1.1415098630209208E-4</v>
      </c>
    </row>
    <row r="784" spans="29:31" x14ac:dyDescent="0.45">
      <c r="AC784" t="s">
        <v>19</v>
      </c>
      <c r="AD784" t="s">
        <v>1949</v>
      </c>
      <c r="AE784">
        <v>1.1474304605560862E-4</v>
      </c>
    </row>
    <row r="785" spans="29:31" x14ac:dyDescent="0.45">
      <c r="AC785" t="s">
        <v>19</v>
      </c>
      <c r="AD785" t="s">
        <v>1950</v>
      </c>
      <c r="AE785">
        <v>1.1495059920059615E-4</v>
      </c>
    </row>
    <row r="786" spans="29:31" x14ac:dyDescent="0.45">
      <c r="AC786" t="s">
        <v>19</v>
      </c>
      <c r="AD786" t="s">
        <v>1951</v>
      </c>
      <c r="AE786">
        <v>1.1502637803223063E-4</v>
      </c>
    </row>
    <row r="787" spans="29:31" x14ac:dyDescent="0.45">
      <c r="AC787" t="s">
        <v>19</v>
      </c>
      <c r="AD787" t="s">
        <v>1952</v>
      </c>
      <c r="AE787">
        <v>1.1504848377539758E-4</v>
      </c>
    </row>
    <row r="788" spans="29:31" x14ac:dyDescent="0.45">
      <c r="AC788" t="s">
        <v>19</v>
      </c>
      <c r="AD788" t="s">
        <v>1953</v>
      </c>
      <c r="AE788">
        <v>1.1520287991930665E-4</v>
      </c>
    </row>
    <row r="789" spans="29:31" x14ac:dyDescent="0.45">
      <c r="AC789" t="s">
        <v>19</v>
      </c>
      <c r="AD789" t="s">
        <v>1954</v>
      </c>
      <c r="AE789">
        <v>1.1531312908780552E-4</v>
      </c>
    </row>
    <row r="790" spans="29:31" x14ac:dyDescent="0.45">
      <c r="AC790" t="s">
        <v>19</v>
      </c>
      <c r="AD790" t="s">
        <v>1955</v>
      </c>
      <c r="AE790">
        <v>1.153691460731653E-4</v>
      </c>
    </row>
    <row r="791" spans="29:31" x14ac:dyDescent="0.45">
      <c r="AC791" t="s">
        <v>19</v>
      </c>
      <c r="AD791" t="s">
        <v>1956</v>
      </c>
      <c r="AE791">
        <v>1.155058447203561E-4</v>
      </c>
    </row>
    <row r="792" spans="29:31" x14ac:dyDescent="0.45">
      <c r="AC792" t="s">
        <v>19</v>
      </c>
      <c r="AD792" t="s">
        <v>1957</v>
      </c>
      <c r="AE792">
        <v>1.1553810018217555E-4</v>
      </c>
    </row>
    <row r="793" spans="29:31" x14ac:dyDescent="0.45">
      <c r="AC793" t="s">
        <v>19</v>
      </c>
      <c r="AD793" t="s">
        <v>1958</v>
      </c>
      <c r="AE793">
        <v>1.1552577859576051E-4</v>
      </c>
    </row>
    <row r="794" spans="29:31" x14ac:dyDescent="0.45">
      <c r="AC794" t="s">
        <v>19</v>
      </c>
      <c r="AD794" t="s">
        <v>1959</v>
      </c>
      <c r="AE794">
        <v>1.1558624683485139E-4</v>
      </c>
    </row>
    <row r="795" spans="29:31" x14ac:dyDescent="0.45">
      <c r="AC795" t="s">
        <v>19</v>
      </c>
      <c r="AD795" t="s">
        <v>1960</v>
      </c>
      <c r="AE795">
        <v>1.1537288770673634E-4</v>
      </c>
    </row>
    <row r="796" spans="29:31" x14ac:dyDescent="0.45">
      <c r="AC796" t="s">
        <v>19</v>
      </c>
      <c r="AD796" t="s">
        <v>1961</v>
      </c>
      <c r="AE796">
        <v>1.1515985113323953E-4</v>
      </c>
    </row>
    <row r="797" spans="29:31" x14ac:dyDescent="0.45">
      <c r="AC797" t="s">
        <v>19</v>
      </c>
      <c r="AD797" t="s">
        <v>1962</v>
      </c>
      <c r="AE797">
        <v>1.149076779327351E-4</v>
      </c>
    </row>
    <row r="798" spans="29:31" x14ac:dyDescent="0.45">
      <c r="AC798" t="s">
        <v>19</v>
      </c>
      <c r="AD798" t="s">
        <v>1963</v>
      </c>
      <c r="AE798">
        <v>1.1395276573739097E-4</v>
      </c>
    </row>
    <row r="799" spans="29:31" x14ac:dyDescent="0.45">
      <c r="AC799" t="s">
        <v>19</v>
      </c>
      <c r="AD799" t="s">
        <v>1964</v>
      </c>
      <c r="AE799">
        <v>1.1349159864793776E-4</v>
      </c>
    </row>
    <row r="800" spans="29:31" x14ac:dyDescent="0.45">
      <c r="AC800" t="s">
        <v>19</v>
      </c>
      <c r="AD800" t="s">
        <v>1965</v>
      </c>
      <c r="AE800">
        <v>1.1282896394396025E-4</v>
      </c>
    </row>
    <row r="801" spans="29:31" x14ac:dyDescent="0.45">
      <c r="AC801" t="s">
        <v>19</v>
      </c>
      <c r="AD801" t="s">
        <v>1966</v>
      </c>
      <c r="AE801">
        <v>1.1254118071360714E-4</v>
      </c>
    </row>
    <row r="802" spans="29:31" x14ac:dyDescent="0.45">
      <c r="AC802" t="s">
        <v>19</v>
      </c>
      <c r="AD802" t="s">
        <v>1967</v>
      </c>
      <c r="AE802">
        <v>1.1224077484586204E-4</v>
      </c>
    </row>
    <row r="803" spans="29:31" x14ac:dyDescent="0.45">
      <c r="AC803" t="s">
        <v>19</v>
      </c>
      <c r="AD803" t="s">
        <v>1968</v>
      </c>
      <c r="AE803">
        <v>1.1219884274549676E-4</v>
      </c>
    </row>
    <row r="804" spans="29:31" x14ac:dyDescent="0.45">
      <c r="AC804" t="s">
        <v>19</v>
      </c>
      <c r="AD804" t="s">
        <v>1969</v>
      </c>
      <c r="AE804">
        <v>1.1229199651923132E-4</v>
      </c>
    </row>
    <row r="805" spans="29:31" x14ac:dyDescent="0.45">
      <c r="AC805" t="s">
        <v>19</v>
      </c>
      <c r="AD805" t="s">
        <v>1970</v>
      </c>
      <c r="AE805">
        <v>1.1289351787488157E-4</v>
      </c>
    </row>
    <row r="806" spans="29:31" x14ac:dyDescent="0.45">
      <c r="AC806" t="s">
        <v>19</v>
      </c>
      <c r="AD806" t="s">
        <v>1971</v>
      </c>
      <c r="AE806">
        <v>1.13449214971107E-4</v>
      </c>
    </row>
    <row r="807" spans="29:31" x14ac:dyDescent="0.45">
      <c r="AC807" t="s">
        <v>19</v>
      </c>
      <c r="AD807" t="s">
        <v>1972</v>
      </c>
      <c r="AE807">
        <v>1.1411273132437422E-4</v>
      </c>
    </row>
    <row r="808" spans="29:31" x14ac:dyDescent="0.45">
      <c r="AC808" t="s">
        <v>19</v>
      </c>
      <c r="AD808" t="s">
        <v>1973</v>
      </c>
      <c r="AE808">
        <v>1.1468053497060255E-4</v>
      </c>
    </row>
    <row r="809" spans="29:31" x14ac:dyDescent="0.45">
      <c r="AC809" t="s">
        <v>19</v>
      </c>
      <c r="AD809" t="s">
        <v>1974</v>
      </c>
      <c r="AE809">
        <v>1.1496055538647777E-4</v>
      </c>
    </row>
    <row r="810" spans="29:31" x14ac:dyDescent="0.45">
      <c r="AC810" t="s">
        <v>19</v>
      </c>
      <c r="AD810" t="s">
        <v>1975</v>
      </c>
      <c r="AE810">
        <v>1.1506136445648413E-4</v>
      </c>
    </row>
    <row r="811" spans="29:31" x14ac:dyDescent="0.45">
      <c r="AC811" t="s">
        <v>19</v>
      </c>
      <c r="AD811" t="s">
        <v>1976</v>
      </c>
      <c r="AE811">
        <v>1.1514215363652125E-4</v>
      </c>
    </row>
    <row r="812" spans="29:31" x14ac:dyDescent="0.45">
      <c r="AC812" t="s">
        <v>19</v>
      </c>
      <c r="AD812" t="s">
        <v>1977</v>
      </c>
      <c r="AE812">
        <v>1.1524618825270958E-4</v>
      </c>
    </row>
    <row r="813" spans="29:31" x14ac:dyDescent="0.45">
      <c r="AC813" t="s">
        <v>19</v>
      </c>
      <c r="AD813" t="s">
        <v>1978</v>
      </c>
      <c r="AE813">
        <v>1.1534665326445654E-4</v>
      </c>
    </row>
    <row r="814" spans="29:31" x14ac:dyDescent="0.45">
      <c r="AC814" t="s">
        <v>19</v>
      </c>
      <c r="AD814" t="s">
        <v>1979</v>
      </c>
      <c r="AE814">
        <v>1.153502443725391E-4</v>
      </c>
    </row>
    <row r="815" spans="29:31" x14ac:dyDescent="0.45">
      <c r="AC815" t="s">
        <v>19</v>
      </c>
      <c r="AD815" t="s">
        <v>1980</v>
      </c>
      <c r="AE815">
        <v>1.1537430694705641E-4</v>
      </c>
    </row>
    <row r="816" spans="29:31" x14ac:dyDescent="0.45">
      <c r="AC816" t="s">
        <v>19</v>
      </c>
      <c r="AD816" t="s">
        <v>1981</v>
      </c>
      <c r="AE816">
        <v>1.1552541303385991E-4</v>
      </c>
    </row>
    <row r="817" spans="29:31" x14ac:dyDescent="0.45">
      <c r="AC817" t="s">
        <v>19</v>
      </c>
      <c r="AD817" t="s">
        <v>1982</v>
      </c>
      <c r="AE817">
        <v>1.1535473863355262E-4</v>
      </c>
    </row>
    <row r="818" spans="29:31" x14ac:dyDescent="0.45">
      <c r="AC818" t="s">
        <v>19</v>
      </c>
      <c r="AD818" t="s">
        <v>1983</v>
      </c>
      <c r="AE818">
        <v>1.1542789402095912E-4</v>
      </c>
    </row>
    <row r="819" spans="29:31" x14ac:dyDescent="0.45">
      <c r="AC819" t="s">
        <v>19</v>
      </c>
      <c r="AD819" t="s">
        <v>1984</v>
      </c>
      <c r="AE819">
        <v>1.1531882755272697E-4</v>
      </c>
    </row>
    <row r="820" spans="29:31" x14ac:dyDescent="0.45">
      <c r="AC820" t="s">
        <v>19</v>
      </c>
      <c r="AD820" t="s">
        <v>1985</v>
      </c>
      <c r="AE820">
        <v>1.1507583640702047E-4</v>
      </c>
    </row>
    <row r="821" spans="29:31" x14ac:dyDescent="0.45">
      <c r="AC821" t="s">
        <v>19</v>
      </c>
      <c r="AD821" t="s">
        <v>1986</v>
      </c>
      <c r="AE821">
        <v>1.1484888697765884E-4</v>
      </c>
    </row>
    <row r="822" spans="29:31" x14ac:dyDescent="0.45">
      <c r="AC822" t="s">
        <v>19</v>
      </c>
      <c r="AD822" t="s">
        <v>1987</v>
      </c>
      <c r="AE822">
        <v>1.1395276573739097E-4</v>
      </c>
    </row>
    <row r="823" spans="29:31" x14ac:dyDescent="0.45">
      <c r="AC823" t="s">
        <v>19</v>
      </c>
      <c r="AD823" t="s">
        <v>1988</v>
      </c>
      <c r="AE823">
        <v>1.13486373263123E-4</v>
      </c>
    </row>
    <row r="824" spans="29:31" x14ac:dyDescent="0.45">
      <c r="AC824" t="s">
        <v>19</v>
      </c>
      <c r="AD824" t="s">
        <v>1989</v>
      </c>
      <c r="AE824">
        <v>1.128418231214056E-4</v>
      </c>
    </row>
    <row r="825" spans="29:31" x14ac:dyDescent="0.45">
      <c r="AC825" t="s">
        <v>19</v>
      </c>
      <c r="AD825" t="s">
        <v>1990</v>
      </c>
      <c r="AE825">
        <v>1.1256838281974155E-4</v>
      </c>
    </row>
    <row r="826" spans="29:31" x14ac:dyDescent="0.45">
      <c r="AC826" t="s">
        <v>19</v>
      </c>
      <c r="AD826" t="s">
        <v>1991</v>
      </c>
      <c r="AE826">
        <v>1.1228881398033181E-4</v>
      </c>
    </row>
    <row r="827" spans="29:31" x14ac:dyDescent="0.45">
      <c r="AC827" t="s">
        <v>19</v>
      </c>
      <c r="AD827" t="s">
        <v>1992</v>
      </c>
      <c r="AE827">
        <v>1.1227460007349003E-4</v>
      </c>
    </row>
    <row r="828" spans="29:31" x14ac:dyDescent="0.45">
      <c r="AC828" t="s">
        <v>19</v>
      </c>
      <c r="AD828" t="s">
        <v>1993</v>
      </c>
      <c r="AE828">
        <v>1.1229199651923132E-4</v>
      </c>
    </row>
    <row r="829" spans="29:31" x14ac:dyDescent="0.45">
      <c r="AC829" t="s">
        <v>19</v>
      </c>
      <c r="AD829" t="s">
        <v>1994</v>
      </c>
      <c r="AE829">
        <v>1.1283711382397996E-4</v>
      </c>
    </row>
    <row r="830" spans="29:31" x14ac:dyDescent="0.45">
      <c r="AC830" t="s">
        <v>19</v>
      </c>
      <c r="AD830" t="s">
        <v>1995</v>
      </c>
      <c r="AE830">
        <v>1.1341231472278554E-4</v>
      </c>
    </row>
    <row r="831" spans="29:31" x14ac:dyDescent="0.45">
      <c r="AC831" t="s">
        <v>19</v>
      </c>
      <c r="AD831" t="s">
        <v>1996</v>
      </c>
      <c r="AE831">
        <v>1.1407150884416896E-4</v>
      </c>
    </row>
    <row r="832" spans="29:31" x14ac:dyDescent="0.45">
      <c r="AC832" t="s">
        <v>19</v>
      </c>
      <c r="AD832" t="s">
        <v>1997</v>
      </c>
      <c r="AE832">
        <v>1.1463931249039729E-4</v>
      </c>
    </row>
    <row r="833" spans="29:31" x14ac:dyDescent="0.45">
      <c r="AC833" t="s">
        <v>19</v>
      </c>
      <c r="AD833" t="s">
        <v>1998</v>
      </c>
      <c r="AE833">
        <v>1.1496055538647777E-4</v>
      </c>
    </row>
    <row r="834" spans="29:31" x14ac:dyDescent="0.45">
      <c r="AC834" t="s">
        <v>19</v>
      </c>
      <c r="AD834" t="s">
        <v>1999</v>
      </c>
      <c r="AE834">
        <v>1.1506136445648416E-4</v>
      </c>
    </row>
    <row r="835" spans="29:31" x14ac:dyDescent="0.45">
      <c r="AC835" t="s">
        <v>19</v>
      </c>
      <c r="AD835" t="s">
        <v>2000</v>
      </c>
      <c r="AE835">
        <v>1.1514215363652125E-4</v>
      </c>
    </row>
    <row r="836" spans="29:31" x14ac:dyDescent="0.45">
      <c r="AC836" t="s">
        <v>19</v>
      </c>
      <c r="AD836" t="s">
        <v>2001</v>
      </c>
      <c r="AE836">
        <v>1.1524618825270958E-4</v>
      </c>
    </row>
    <row r="837" spans="29:31" x14ac:dyDescent="0.45">
      <c r="AC837" t="s">
        <v>19</v>
      </c>
      <c r="AD837" t="s">
        <v>2002</v>
      </c>
      <c r="AE837">
        <v>1.1534665326445654E-4</v>
      </c>
    </row>
    <row r="838" spans="29:31" x14ac:dyDescent="0.45">
      <c r="AC838" t="s">
        <v>19</v>
      </c>
      <c r="AD838" t="s">
        <v>2003</v>
      </c>
      <c r="AE838">
        <v>1.1550584472035612E-4</v>
      </c>
    </row>
    <row r="839" spans="29:31" x14ac:dyDescent="0.45">
      <c r="AC839" t="s">
        <v>19</v>
      </c>
      <c r="AD839" t="s">
        <v>2004</v>
      </c>
      <c r="AE839">
        <v>1.1550167301396081E-4</v>
      </c>
    </row>
    <row r="840" spans="29:31" x14ac:dyDescent="0.45">
      <c r="AC840" t="s">
        <v>19</v>
      </c>
      <c r="AD840" t="s">
        <v>2005</v>
      </c>
      <c r="AE840">
        <v>1.1552541303385991E-4</v>
      </c>
    </row>
    <row r="841" spans="29:31" x14ac:dyDescent="0.45">
      <c r="AC841" t="s">
        <v>19</v>
      </c>
      <c r="AD841" t="s">
        <v>2006</v>
      </c>
      <c r="AE841">
        <v>1.1532121445690159E-4</v>
      </c>
    </row>
    <row r="842" spans="29:31" x14ac:dyDescent="0.45">
      <c r="AC842" t="s">
        <v>19</v>
      </c>
      <c r="AD842" t="s">
        <v>2007</v>
      </c>
      <c r="AE842">
        <v>1.1539436984430812E-4</v>
      </c>
    </row>
    <row r="843" spans="29:31" x14ac:dyDescent="0.45">
      <c r="AC843" t="s">
        <v>19</v>
      </c>
      <c r="AD843" t="s">
        <v>2008</v>
      </c>
      <c r="AE843">
        <v>1.1527977694028422E-4</v>
      </c>
    </row>
    <row r="844" spans="29:31" x14ac:dyDescent="0.45">
      <c r="AC844" t="s">
        <v>19</v>
      </c>
      <c r="AD844" t="s">
        <v>2009</v>
      </c>
      <c r="AE844">
        <v>1.1507583640702047E-4</v>
      </c>
    </row>
    <row r="845" spans="29:31" x14ac:dyDescent="0.45">
      <c r="AC845" t="s">
        <v>19</v>
      </c>
      <c r="AD845" t="s">
        <v>2010</v>
      </c>
      <c r="AE845">
        <v>1.1475259367230718E-4</v>
      </c>
    </row>
    <row r="846" spans="29:31" x14ac:dyDescent="0.45">
      <c r="AC846" t="s">
        <v>19</v>
      </c>
      <c r="AD846" t="s">
        <v>2011</v>
      </c>
      <c r="AE846">
        <v>1.139439922517761E-4</v>
      </c>
    </row>
    <row r="847" spans="29:31" x14ac:dyDescent="0.45">
      <c r="AC847" t="s">
        <v>19</v>
      </c>
      <c r="AD847" t="s">
        <v>2012</v>
      </c>
      <c r="AE847">
        <v>1.1349142661880803E-4</v>
      </c>
    </row>
    <row r="848" spans="29:31" x14ac:dyDescent="0.45">
      <c r="AC848" t="s">
        <v>19</v>
      </c>
      <c r="AD848" t="s">
        <v>2013</v>
      </c>
      <c r="AE848">
        <v>1.1281126644724198E-4</v>
      </c>
    </row>
    <row r="849" spans="29:31" x14ac:dyDescent="0.45">
      <c r="AC849" t="s">
        <v>19</v>
      </c>
      <c r="AD849" t="s">
        <v>2014</v>
      </c>
      <c r="AE849">
        <v>1.124931630827786E-4</v>
      </c>
    </row>
    <row r="850" spans="29:31" x14ac:dyDescent="0.45">
      <c r="AC850" t="s">
        <v>19</v>
      </c>
      <c r="AD850" t="s">
        <v>2015</v>
      </c>
      <c r="AE850">
        <v>1.12210175164416E-4</v>
      </c>
    </row>
    <row r="851" spans="29:31" x14ac:dyDescent="0.45">
      <c r="AC851" t="s">
        <v>19</v>
      </c>
      <c r="AD851" t="s">
        <v>2016</v>
      </c>
      <c r="AE851">
        <v>1.1219387540437657E-4</v>
      </c>
    </row>
    <row r="852" spans="29:31" x14ac:dyDescent="0.45">
      <c r="AC852" t="s">
        <v>19</v>
      </c>
      <c r="AD852" t="s">
        <v>2017</v>
      </c>
      <c r="AE852">
        <v>1.1233321899943657E-4</v>
      </c>
    </row>
    <row r="853" spans="29:31" x14ac:dyDescent="0.45">
      <c r="AC853" t="s">
        <v>19</v>
      </c>
      <c r="AD853" t="s">
        <v>2018</v>
      </c>
      <c r="AE853">
        <v>1.1285661762656013E-4</v>
      </c>
    </row>
    <row r="854" spans="29:31" x14ac:dyDescent="0.45">
      <c r="AC854" t="s">
        <v>19</v>
      </c>
      <c r="AD854" t="s">
        <v>2019</v>
      </c>
      <c r="AE854">
        <v>1.13449214971107E-4</v>
      </c>
    </row>
    <row r="855" spans="29:31" x14ac:dyDescent="0.45">
      <c r="AC855" t="s">
        <v>19</v>
      </c>
      <c r="AD855" t="s">
        <v>2020</v>
      </c>
      <c r="AE855">
        <v>1.1411273132437422E-4</v>
      </c>
    </row>
    <row r="856" spans="29:31" x14ac:dyDescent="0.45">
      <c r="AC856" t="s">
        <v>19</v>
      </c>
      <c r="AD856" t="s">
        <v>2021</v>
      </c>
      <c r="AE856">
        <v>1.1463931249039729E-4</v>
      </c>
    </row>
    <row r="857" spans="29:31" x14ac:dyDescent="0.45">
      <c r="AC857" t="s">
        <v>19</v>
      </c>
      <c r="AD857" t="s">
        <v>2022</v>
      </c>
      <c r="AE857">
        <v>1.1496055538647777E-4</v>
      </c>
    </row>
    <row r="858" spans="29:31" x14ac:dyDescent="0.45">
      <c r="AC858" t="s">
        <v>19</v>
      </c>
      <c r="AD858" t="s">
        <v>2023</v>
      </c>
      <c r="AE858">
        <v>1.15101941827453E-4</v>
      </c>
    </row>
    <row r="859" spans="29:31" x14ac:dyDescent="0.45">
      <c r="AC859" t="s">
        <v>19</v>
      </c>
      <c r="AD859" t="s">
        <v>2024</v>
      </c>
      <c r="AE859">
        <v>1.1524618825270956E-4</v>
      </c>
    </row>
    <row r="860" spans="29:31" x14ac:dyDescent="0.45">
      <c r="AC860" t="s">
        <v>19</v>
      </c>
      <c r="AD860" t="s">
        <v>2025</v>
      </c>
      <c r="AE860">
        <v>1.153407827704054E-4</v>
      </c>
    </row>
    <row r="861" spans="29:31" x14ac:dyDescent="0.45">
      <c r="AC861" t="s">
        <v>19</v>
      </c>
      <c r="AD861" t="s">
        <v>2026</v>
      </c>
      <c r="AE861">
        <v>1.1554246542134179E-4</v>
      </c>
    </row>
    <row r="862" spans="29:31" x14ac:dyDescent="0.45">
      <c r="AC862" t="s">
        <v>19</v>
      </c>
      <c r="AD862" t="s">
        <v>2027</v>
      </c>
      <c r="AE862">
        <v>1.1558846170989633E-4</v>
      </c>
    </row>
    <row r="863" spans="29:31" x14ac:dyDescent="0.45">
      <c r="AC863" t="s">
        <v>19</v>
      </c>
      <c r="AD863" t="s">
        <v>2028</v>
      </c>
      <c r="AE863">
        <v>1.1562557699462991E-4</v>
      </c>
    </row>
    <row r="864" spans="29:31" x14ac:dyDescent="0.45">
      <c r="AC864" t="s">
        <v>19</v>
      </c>
      <c r="AD864" t="s">
        <v>2029</v>
      </c>
      <c r="AE864">
        <v>1.155840964707301E-4</v>
      </c>
    </row>
    <row r="865" spans="29:31" x14ac:dyDescent="0.45">
      <c r="AC865" t="s">
        <v>19</v>
      </c>
      <c r="AD865" t="s">
        <v>2030</v>
      </c>
      <c r="AE865">
        <v>1.1552577859576053E-4</v>
      </c>
    </row>
    <row r="866" spans="29:31" x14ac:dyDescent="0.45">
      <c r="AC866" t="s">
        <v>19</v>
      </c>
      <c r="AD866" t="s">
        <v>2031</v>
      </c>
      <c r="AE866">
        <v>1.1559893398316704E-4</v>
      </c>
    </row>
    <row r="867" spans="29:31" x14ac:dyDescent="0.45">
      <c r="AC867" t="s">
        <v>19</v>
      </c>
      <c r="AD867" t="s">
        <v>2032</v>
      </c>
      <c r="AE867">
        <v>1.1536772683284525E-4</v>
      </c>
    </row>
    <row r="868" spans="29:31" x14ac:dyDescent="0.45">
      <c r="AC868" t="s">
        <v>19</v>
      </c>
      <c r="AD868" t="s">
        <v>2033</v>
      </c>
      <c r="AE868">
        <v>1.1519335380624931E-4</v>
      </c>
    </row>
    <row r="869" spans="29:31" x14ac:dyDescent="0.45">
      <c r="AC869" t="s">
        <v>19</v>
      </c>
      <c r="AD869" t="s">
        <v>2034</v>
      </c>
      <c r="AE869">
        <v>1.1494672854517782E-4</v>
      </c>
    </row>
    <row r="870" spans="29:31" x14ac:dyDescent="0.45">
      <c r="AC870" t="s">
        <v>19</v>
      </c>
      <c r="AD870" t="s">
        <v>2035</v>
      </c>
      <c r="AE870">
        <v>1.140506503121924E-4</v>
      </c>
    </row>
    <row r="871" spans="29:31" x14ac:dyDescent="0.45">
      <c r="AC871" t="s">
        <v>19</v>
      </c>
      <c r="AD871" t="s">
        <v>2036</v>
      </c>
      <c r="AE871">
        <v>1.1354320738684886E-4</v>
      </c>
    </row>
    <row r="872" spans="29:31" x14ac:dyDescent="0.45">
      <c r="AC872" t="s">
        <v>19</v>
      </c>
      <c r="AD872" t="s">
        <v>2037</v>
      </c>
      <c r="AE872">
        <v>1.1284702700257914E-4</v>
      </c>
    </row>
    <row r="873" spans="29:31" x14ac:dyDescent="0.45">
      <c r="AC873" t="s">
        <v>19</v>
      </c>
      <c r="AD873" t="s">
        <v>2038</v>
      </c>
      <c r="AE873">
        <v>1.125081081134216E-4</v>
      </c>
    </row>
    <row r="874" spans="29:31" x14ac:dyDescent="0.45">
      <c r="AC874" t="s">
        <v>19</v>
      </c>
      <c r="AD874" t="s">
        <v>2039</v>
      </c>
      <c r="AE874">
        <v>1.1217581234575767E-4</v>
      </c>
    </row>
    <row r="875" spans="29:31" x14ac:dyDescent="0.45">
      <c r="AC875" t="s">
        <v>19</v>
      </c>
      <c r="AD875" t="s">
        <v>2040</v>
      </c>
      <c r="AE875">
        <v>1.1211515057389589E-4</v>
      </c>
    </row>
    <row r="876" spans="29:31" x14ac:dyDescent="0.45">
      <c r="AC876" t="s">
        <v>19</v>
      </c>
      <c r="AD876" t="s">
        <v>2041</v>
      </c>
      <c r="AE876">
        <v>1.1206192906189381E-4</v>
      </c>
    </row>
    <row r="877" spans="29:31" x14ac:dyDescent="0.45">
      <c r="AC877" t="s">
        <v>19</v>
      </c>
      <c r="AD877" t="s">
        <v>2042</v>
      </c>
      <c r="AE877">
        <v>1.122387319999468E-4</v>
      </c>
    </row>
    <row r="878" spans="29:31" x14ac:dyDescent="0.45">
      <c r="AC878" t="s">
        <v>19</v>
      </c>
      <c r="AD878" t="s">
        <v>2043</v>
      </c>
      <c r="AE878">
        <v>1.1248978701110815E-4</v>
      </c>
    </row>
    <row r="879" spans="29:31" x14ac:dyDescent="0.45">
      <c r="AC879" t="s">
        <v>19</v>
      </c>
      <c r="AD879" t="s">
        <v>2044</v>
      </c>
      <c r="AE879">
        <v>1.1273146643470067E-4</v>
      </c>
    </row>
    <row r="880" spans="29:31" x14ac:dyDescent="0.45">
      <c r="AC880" t="s">
        <v>19</v>
      </c>
      <c r="AD880" t="s">
        <v>2045</v>
      </c>
      <c r="AE880">
        <v>1.1304262412305226E-4</v>
      </c>
    </row>
    <row r="881" spans="29:31" x14ac:dyDescent="0.45">
      <c r="AC881" t="s">
        <v>19</v>
      </c>
      <c r="AD881" t="s">
        <v>2046</v>
      </c>
      <c r="AE881">
        <v>1.1317624774954962E-4</v>
      </c>
    </row>
    <row r="882" spans="29:31" x14ac:dyDescent="0.45">
      <c r="AC882" t="s">
        <v>19</v>
      </c>
      <c r="AD882" t="s">
        <v>2047</v>
      </c>
      <c r="AE882">
        <v>1.1367687402062865E-4</v>
      </c>
    </row>
    <row r="883" spans="29:31" x14ac:dyDescent="0.45">
      <c r="AC883" t="s">
        <v>19</v>
      </c>
      <c r="AD883" t="s">
        <v>2048</v>
      </c>
      <c r="AE883">
        <v>1.1374562116158648E-4</v>
      </c>
    </row>
    <row r="884" spans="29:31" x14ac:dyDescent="0.45">
      <c r="AC884" t="s">
        <v>19</v>
      </c>
      <c r="AD884" t="s">
        <v>2049</v>
      </c>
      <c r="AE884">
        <v>1.1377073741452325E-4</v>
      </c>
    </row>
    <row r="885" spans="29:31" x14ac:dyDescent="0.45">
      <c r="AC885" t="s">
        <v>19</v>
      </c>
      <c r="AD885" t="s">
        <v>2050</v>
      </c>
      <c r="AE885">
        <v>1.1379426239801022E-4</v>
      </c>
    </row>
    <row r="886" spans="29:31" x14ac:dyDescent="0.45">
      <c r="AC886" t="s">
        <v>19</v>
      </c>
      <c r="AD886" t="s">
        <v>2051</v>
      </c>
      <c r="AE886">
        <v>1.1384238754704483E-4</v>
      </c>
    </row>
    <row r="887" spans="29:31" x14ac:dyDescent="0.45">
      <c r="AC887" t="s">
        <v>19</v>
      </c>
      <c r="AD887" t="s">
        <v>2052</v>
      </c>
      <c r="AE887">
        <v>1.1410305468582838E-4</v>
      </c>
    </row>
    <row r="888" spans="29:31" x14ac:dyDescent="0.45">
      <c r="AC888" t="s">
        <v>19</v>
      </c>
      <c r="AD888" t="s">
        <v>2053</v>
      </c>
      <c r="AE888">
        <v>1.1416130804987431E-4</v>
      </c>
    </row>
    <row r="889" spans="29:31" x14ac:dyDescent="0.45">
      <c r="AC889" t="s">
        <v>19</v>
      </c>
      <c r="AD889" t="s">
        <v>2054</v>
      </c>
      <c r="AE889">
        <v>1.1412195638645458E-4</v>
      </c>
    </row>
    <row r="890" spans="29:31" x14ac:dyDescent="0.45">
      <c r="AC890" t="s">
        <v>19</v>
      </c>
      <c r="AD890" t="s">
        <v>2055</v>
      </c>
      <c r="AE890">
        <v>1.1409172226690915E-4</v>
      </c>
    </row>
    <row r="891" spans="29:31" x14ac:dyDescent="0.45">
      <c r="AC891" t="s">
        <v>19</v>
      </c>
      <c r="AD891" t="s">
        <v>2056</v>
      </c>
      <c r="AE891">
        <v>1.140494891155669E-4</v>
      </c>
    </row>
    <row r="892" spans="29:31" x14ac:dyDescent="0.45">
      <c r="AC892" t="s">
        <v>19</v>
      </c>
      <c r="AD892" t="s">
        <v>2057</v>
      </c>
      <c r="AE892">
        <v>1.1391820938596174E-4</v>
      </c>
    </row>
    <row r="893" spans="29:31" x14ac:dyDescent="0.45">
      <c r="AC893" t="s">
        <v>19</v>
      </c>
      <c r="AD893" t="s">
        <v>2058</v>
      </c>
      <c r="AE893">
        <v>1.1377802714889444E-4</v>
      </c>
    </row>
    <row r="894" spans="29:31" x14ac:dyDescent="0.45">
      <c r="AC894" t="s">
        <v>19</v>
      </c>
      <c r="AD894" t="s">
        <v>2059</v>
      </c>
      <c r="AE894">
        <v>1.1341560477989114E-4</v>
      </c>
    </row>
    <row r="895" spans="29:31" x14ac:dyDescent="0.45">
      <c r="AC895" t="s">
        <v>19</v>
      </c>
      <c r="AD895" t="s">
        <v>2060</v>
      </c>
      <c r="AE895">
        <v>1.13252822215909E-4</v>
      </c>
    </row>
    <row r="896" spans="29:31" x14ac:dyDescent="0.45">
      <c r="AC896" t="s">
        <v>19</v>
      </c>
      <c r="AD896" t="s">
        <v>2061</v>
      </c>
      <c r="AE896">
        <v>1.1265377377899824E-4</v>
      </c>
    </row>
    <row r="897" spans="29:31" x14ac:dyDescent="0.45">
      <c r="AC897" t="s">
        <v>19</v>
      </c>
      <c r="AD897" t="s">
        <v>2062</v>
      </c>
      <c r="AE897">
        <v>1.1235586233363383E-4</v>
      </c>
    </row>
    <row r="898" spans="29:31" x14ac:dyDescent="0.45">
      <c r="AC898" t="s">
        <v>19</v>
      </c>
      <c r="AD898" t="s">
        <v>2063</v>
      </c>
      <c r="AE898">
        <v>1.1205076867210429E-4</v>
      </c>
    </row>
    <row r="899" spans="29:31" x14ac:dyDescent="0.45">
      <c r="AC899" t="s">
        <v>19</v>
      </c>
      <c r="AD899" t="s">
        <v>2064</v>
      </c>
      <c r="AE899">
        <v>1.1196776461702225E-4</v>
      </c>
    </row>
    <row r="900" spans="29:31" x14ac:dyDescent="0.45">
      <c r="AC900" t="s">
        <v>19</v>
      </c>
      <c r="AD900" t="s">
        <v>2065</v>
      </c>
      <c r="AE900">
        <v>1.1193974537252176E-4</v>
      </c>
    </row>
    <row r="901" spans="29:31" x14ac:dyDescent="0.45">
      <c r="AC901" t="s">
        <v>19</v>
      </c>
      <c r="AD901" t="s">
        <v>2066</v>
      </c>
      <c r="AE901">
        <v>1.1214018081226779E-4</v>
      </c>
    </row>
    <row r="902" spans="29:31" x14ac:dyDescent="0.45">
      <c r="AC902" t="s">
        <v>19</v>
      </c>
      <c r="AD902" t="s">
        <v>2067</v>
      </c>
      <c r="AE902">
        <v>1.1249668967993752E-4</v>
      </c>
    </row>
    <row r="903" spans="29:31" x14ac:dyDescent="0.45">
      <c r="AC903" t="s">
        <v>19</v>
      </c>
      <c r="AD903" t="s">
        <v>2068</v>
      </c>
      <c r="AE903">
        <v>1.1265575211398982E-4</v>
      </c>
    </row>
    <row r="904" spans="29:31" x14ac:dyDescent="0.45">
      <c r="AC904" t="s">
        <v>19</v>
      </c>
      <c r="AD904" t="s">
        <v>2069</v>
      </c>
      <c r="AE904">
        <v>1.1302570075741767E-4</v>
      </c>
    </row>
    <row r="905" spans="29:31" x14ac:dyDescent="0.45">
      <c r="AC905" t="s">
        <v>19</v>
      </c>
      <c r="AD905" t="s">
        <v>2070</v>
      </c>
      <c r="AE905">
        <v>1.1316177579901331E-4</v>
      </c>
    </row>
    <row r="906" spans="29:31" x14ac:dyDescent="0.45">
      <c r="AC906" t="s">
        <v>19</v>
      </c>
      <c r="AD906" t="s">
        <v>2071</v>
      </c>
      <c r="AE906">
        <v>1.1362722211306792E-4</v>
      </c>
    </row>
    <row r="907" spans="29:31" x14ac:dyDescent="0.45">
      <c r="AC907" t="s">
        <v>19</v>
      </c>
      <c r="AD907" t="s">
        <v>2072</v>
      </c>
      <c r="AE907">
        <v>1.136230289030314E-4</v>
      </c>
    </row>
    <row r="908" spans="29:31" x14ac:dyDescent="0.45">
      <c r="AC908" t="s">
        <v>19</v>
      </c>
      <c r="AD908" t="s">
        <v>2073</v>
      </c>
      <c r="AE908">
        <v>1.1372254775456499E-4</v>
      </c>
    </row>
    <row r="909" spans="29:31" x14ac:dyDescent="0.45">
      <c r="AC909" t="s">
        <v>19</v>
      </c>
      <c r="AD909" t="s">
        <v>2074</v>
      </c>
      <c r="AE909">
        <v>1.1379426239801022E-4</v>
      </c>
    </row>
    <row r="910" spans="29:31" x14ac:dyDescent="0.45">
      <c r="AC910" t="s">
        <v>19</v>
      </c>
      <c r="AD910" t="s">
        <v>2075</v>
      </c>
      <c r="AE910">
        <v>1.1386642861792094E-4</v>
      </c>
    </row>
    <row r="911" spans="29:31" x14ac:dyDescent="0.45">
      <c r="AC911" t="s">
        <v>19</v>
      </c>
      <c r="AD911" t="s">
        <v>2076</v>
      </c>
      <c r="AE911">
        <v>1.1411980602233329E-4</v>
      </c>
    </row>
    <row r="912" spans="29:31" x14ac:dyDescent="0.45">
      <c r="AC912" t="s">
        <v>19</v>
      </c>
      <c r="AD912" t="s">
        <v>2077</v>
      </c>
      <c r="AE912">
        <v>1.141780593863792E-4</v>
      </c>
    </row>
    <row r="913" spans="29:31" x14ac:dyDescent="0.45">
      <c r="AC913" t="s">
        <v>19</v>
      </c>
      <c r="AD913" t="s">
        <v>2078</v>
      </c>
      <c r="AE913">
        <v>1.1433002561883123E-4</v>
      </c>
    </row>
    <row r="914" spans="29:31" x14ac:dyDescent="0.45">
      <c r="AC914" t="s">
        <v>19</v>
      </c>
      <c r="AD914" t="s">
        <v>2079</v>
      </c>
      <c r="AE914">
        <v>1.1434436854752026E-4</v>
      </c>
    </row>
    <row r="915" spans="29:31" x14ac:dyDescent="0.45">
      <c r="AC915" t="s">
        <v>19</v>
      </c>
      <c r="AD915" t="s">
        <v>2080</v>
      </c>
      <c r="AE915">
        <v>1.1432843434938146E-4</v>
      </c>
    </row>
    <row r="916" spans="29:31" x14ac:dyDescent="0.45">
      <c r="AC916" t="s">
        <v>19</v>
      </c>
      <c r="AD916" t="s">
        <v>2081</v>
      </c>
      <c r="AE916">
        <v>1.139894509493003E-4</v>
      </c>
    </row>
    <row r="917" spans="29:31" x14ac:dyDescent="0.45">
      <c r="AC917" t="s">
        <v>19</v>
      </c>
      <c r="AD917" t="s">
        <v>2082</v>
      </c>
      <c r="AE917">
        <v>1.1379264962491924E-4</v>
      </c>
    </row>
    <row r="918" spans="29:31" x14ac:dyDescent="0.45">
      <c r="AC918" t="s">
        <v>19</v>
      </c>
      <c r="AD918" t="s">
        <v>2083</v>
      </c>
      <c r="AE918">
        <v>1.1341037939507638E-4</v>
      </c>
    </row>
    <row r="919" spans="29:31" x14ac:dyDescent="0.45">
      <c r="AC919" t="s">
        <v>19</v>
      </c>
      <c r="AD919" t="s">
        <v>2084</v>
      </c>
      <c r="AE919">
        <v>1.1330677485171232E-4</v>
      </c>
    </row>
    <row r="920" spans="29:31" x14ac:dyDescent="0.45">
      <c r="AC920" t="s">
        <v>19</v>
      </c>
      <c r="AD920" t="s">
        <v>2085</v>
      </c>
      <c r="AE920">
        <v>1.1275374420699731E-4</v>
      </c>
    </row>
    <row r="921" spans="29:31" x14ac:dyDescent="0.45">
      <c r="AC921" t="s">
        <v>19</v>
      </c>
      <c r="AD921" t="s">
        <v>2086</v>
      </c>
      <c r="AE921">
        <v>1.124931630827786E-4</v>
      </c>
    </row>
    <row r="922" spans="29:31" x14ac:dyDescent="0.45">
      <c r="AC922" t="s">
        <v>19</v>
      </c>
      <c r="AD922" t="s">
        <v>2087</v>
      </c>
      <c r="AE922">
        <v>1.12210175164416E-4</v>
      </c>
    </row>
    <row r="923" spans="29:31" x14ac:dyDescent="0.45">
      <c r="AC923" t="s">
        <v>19</v>
      </c>
      <c r="AD923" t="s">
        <v>2088</v>
      </c>
      <c r="AE923">
        <v>1.1221432536717009E-4</v>
      </c>
    </row>
    <row r="924" spans="29:31" x14ac:dyDescent="0.45">
      <c r="AC924" t="s">
        <v>19</v>
      </c>
      <c r="AD924" t="s">
        <v>2089</v>
      </c>
      <c r="AE924">
        <v>1.1233321899943657E-4</v>
      </c>
    </row>
    <row r="925" spans="29:31" x14ac:dyDescent="0.45">
      <c r="AC925" t="s">
        <v>19</v>
      </c>
      <c r="AD925" t="s">
        <v>2090</v>
      </c>
      <c r="AE925">
        <v>1.1285661762656013E-4</v>
      </c>
    </row>
    <row r="926" spans="29:31" x14ac:dyDescent="0.45">
      <c r="AC926" t="s">
        <v>19</v>
      </c>
      <c r="AD926" t="s">
        <v>2091</v>
      </c>
      <c r="AE926">
        <v>1.1341231472278554E-4</v>
      </c>
    </row>
    <row r="927" spans="29:31" x14ac:dyDescent="0.45">
      <c r="AC927" t="s">
        <v>19</v>
      </c>
      <c r="AD927" t="s">
        <v>2092</v>
      </c>
      <c r="AE927">
        <v>1.1411273132437422E-4</v>
      </c>
    </row>
    <row r="928" spans="29:31" x14ac:dyDescent="0.45">
      <c r="AC928" t="s">
        <v>19</v>
      </c>
      <c r="AD928" t="s">
        <v>2093</v>
      </c>
      <c r="AE928">
        <v>1.1463931249039729E-4</v>
      </c>
    </row>
    <row r="929" spans="29:31" x14ac:dyDescent="0.45">
      <c r="AC929" t="s">
        <v>19</v>
      </c>
      <c r="AD929" t="s">
        <v>2094</v>
      </c>
      <c r="AE929">
        <v>1.1496055538647777E-4</v>
      </c>
    </row>
    <row r="930" spans="29:31" x14ac:dyDescent="0.45">
      <c r="AC930" t="s">
        <v>19</v>
      </c>
      <c r="AD930" t="s">
        <v>2095</v>
      </c>
      <c r="AE930">
        <v>1.1506136445648413E-4</v>
      </c>
    </row>
    <row r="931" spans="29:31" x14ac:dyDescent="0.45">
      <c r="AC931" t="s">
        <v>19</v>
      </c>
      <c r="AD931" t="s">
        <v>2096</v>
      </c>
      <c r="AE931">
        <v>1.1514215363652125E-4</v>
      </c>
    </row>
    <row r="932" spans="29:31" x14ac:dyDescent="0.45">
      <c r="AC932" t="s">
        <v>19</v>
      </c>
      <c r="AD932" t="s">
        <v>2097</v>
      </c>
      <c r="AE932">
        <v>1.1528960410431854E-4</v>
      </c>
    </row>
    <row r="933" spans="29:31" x14ac:dyDescent="0.45">
      <c r="AC933" t="s">
        <v>19</v>
      </c>
      <c r="AD933" t="s">
        <v>2098</v>
      </c>
      <c r="AE933">
        <v>1.153502443725391E-4</v>
      </c>
    </row>
    <row r="934" spans="29:31" x14ac:dyDescent="0.45">
      <c r="AC934" t="s">
        <v>19</v>
      </c>
      <c r="AD934" t="s">
        <v>2099</v>
      </c>
      <c r="AE934">
        <v>1.1552979977666735E-4</v>
      </c>
    </row>
    <row r="935" spans="29:31" x14ac:dyDescent="0.45">
      <c r="AC935" t="s">
        <v>19</v>
      </c>
      <c r="AD935" t="s">
        <v>2100</v>
      </c>
      <c r="AE935">
        <v>1.1554246542134179E-4</v>
      </c>
    </row>
    <row r="936" spans="29:31" x14ac:dyDescent="0.45">
      <c r="AC936" t="s">
        <v>19</v>
      </c>
      <c r="AD936" t="s">
        <v>2101</v>
      </c>
      <c r="AE936">
        <v>1.1562121175546368E-4</v>
      </c>
    </row>
    <row r="937" spans="29:31" x14ac:dyDescent="0.45">
      <c r="AC937" t="s">
        <v>19</v>
      </c>
      <c r="AD937" t="s">
        <v>2102</v>
      </c>
      <c r="AE937">
        <v>1.1557177488431506E-4</v>
      </c>
    </row>
    <row r="938" spans="29:31" x14ac:dyDescent="0.45">
      <c r="AC938" t="s">
        <v>19</v>
      </c>
      <c r="AD938" t="s">
        <v>2103</v>
      </c>
      <c r="AE938">
        <v>1.1559893398316704E-4</v>
      </c>
    </row>
    <row r="939" spans="29:31" x14ac:dyDescent="0.45">
      <c r="AC939" t="s">
        <v>19</v>
      </c>
      <c r="AD939" t="s">
        <v>363</v>
      </c>
      <c r="AE939">
        <v>2.0537094018741476E-2</v>
      </c>
    </row>
    <row r="940" spans="29:31" x14ac:dyDescent="0.45">
      <c r="AC940" t="s">
        <v>19</v>
      </c>
      <c r="AD940" t="s">
        <v>364</v>
      </c>
      <c r="AE940">
        <v>3.374769567246244E-3</v>
      </c>
    </row>
    <row r="941" spans="29:31" x14ac:dyDescent="0.45">
      <c r="AC941" t="s">
        <v>19</v>
      </c>
      <c r="AD941" t="s">
        <v>365</v>
      </c>
      <c r="AE941">
        <v>3.3675968986978124E-3</v>
      </c>
    </row>
    <row r="942" spans="29:31" x14ac:dyDescent="0.45">
      <c r="AC942" t="s">
        <v>19</v>
      </c>
      <c r="AD942" t="s">
        <v>366</v>
      </c>
      <c r="AE942">
        <v>2.3812222120691923E-2</v>
      </c>
    </row>
    <row r="943" spans="29:31" x14ac:dyDescent="0.45">
      <c r="AC943" t="s">
        <v>19</v>
      </c>
      <c r="AD943" t="s">
        <v>367</v>
      </c>
      <c r="AE943">
        <v>3.4430888287512351E-3</v>
      </c>
    </row>
    <row r="944" spans="29:31" x14ac:dyDescent="0.45">
      <c r="AC944" t="s">
        <v>19</v>
      </c>
      <c r="AD944" t="s">
        <v>368</v>
      </c>
      <c r="AE944">
        <v>3.4453248848827652E-3</v>
      </c>
    </row>
    <row r="945" spans="29:31" x14ac:dyDescent="0.45">
      <c r="AC945" t="s">
        <v>19</v>
      </c>
      <c r="AD945" t="s">
        <v>369</v>
      </c>
      <c r="AE945">
        <v>3.4476617070770192E-3</v>
      </c>
    </row>
    <row r="946" spans="29:31" x14ac:dyDescent="0.45">
      <c r="AC946" t="s">
        <v>19</v>
      </c>
      <c r="AD946" t="s">
        <v>370</v>
      </c>
      <c r="AE946">
        <v>2.0729579132258261E-2</v>
      </c>
    </row>
    <row r="947" spans="29:31" x14ac:dyDescent="0.45">
      <c r="AC947" t="s">
        <v>19</v>
      </c>
      <c r="AD947" t="s">
        <v>395</v>
      </c>
      <c r="AE947">
        <v>2.1225495681068917E-2</v>
      </c>
    </row>
    <row r="948" spans="29:31" x14ac:dyDescent="0.45">
      <c r="AC948" t="s">
        <v>19</v>
      </c>
      <c r="AD948" t="s">
        <v>396</v>
      </c>
      <c r="AE948">
        <v>3.4856379841406849E-3</v>
      </c>
    </row>
    <row r="949" spans="29:31" x14ac:dyDescent="0.45">
      <c r="AC949" t="s">
        <v>19</v>
      </c>
      <c r="AD949" t="s">
        <v>397</v>
      </c>
      <c r="AE949">
        <v>3.4796871739896157E-3</v>
      </c>
    </row>
    <row r="950" spans="29:31" x14ac:dyDescent="0.45">
      <c r="AC950" t="s">
        <v>19</v>
      </c>
      <c r="AD950" t="s">
        <v>398</v>
      </c>
      <c r="AE950">
        <v>2.4670641018587115E-2</v>
      </c>
    </row>
    <row r="951" spans="29:31" x14ac:dyDescent="0.45">
      <c r="AC951" t="s">
        <v>19</v>
      </c>
      <c r="AD951" t="s">
        <v>399</v>
      </c>
      <c r="AE951">
        <v>3.5550115906779894E-3</v>
      </c>
    </row>
    <row r="952" spans="29:31" x14ac:dyDescent="0.45">
      <c r="AC952" t="s">
        <v>19</v>
      </c>
      <c r="AD952" t="s">
        <v>400</v>
      </c>
      <c r="AE952">
        <v>3.5566551139758961E-3</v>
      </c>
    </row>
    <row r="953" spans="29:31" x14ac:dyDescent="0.45">
      <c r="AC953" t="s">
        <v>19</v>
      </c>
      <c r="AD953" t="s">
        <v>401</v>
      </c>
      <c r="AE953">
        <v>3.5562127625725043E-3</v>
      </c>
    </row>
    <row r="954" spans="29:31" x14ac:dyDescent="0.45">
      <c r="AC954" t="s">
        <v>19</v>
      </c>
      <c r="AD954" t="s">
        <v>402</v>
      </c>
      <c r="AE954">
        <v>2.1354870446106289E-2</v>
      </c>
    </row>
    <row r="955" spans="29:31" x14ac:dyDescent="0.45">
      <c r="AC955" t="s">
        <v>19</v>
      </c>
      <c r="AD955" t="s">
        <v>403</v>
      </c>
      <c r="AE955">
        <v>2.0641099640495167E-2</v>
      </c>
    </row>
    <row r="956" spans="29:31" x14ac:dyDescent="0.45">
      <c r="AC956" t="s">
        <v>19</v>
      </c>
      <c r="AD956" t="s">
        <v>404</v>
      </c>
      <c r="AE956">
        <v>3.3773964687221409E-3</v>
      </c>
    </row>
    <row r="957" spans="29:31" x14ac:dyDescent="0.45">
      <c r="AC957" t="s">
        <v>19</v>
      </c>
      <c r="AD957" t="s">
        <v>405</v>
      </c>
      <c r="AE957">
        <v>3.3692861984095418E-3</v>
      </c>
    </row>
    <row r="958" spans="29:31" x14ac:dyDescent="0.45">
      <c r="AC958" t="s">
        <v>19</v>
      </c>
      <c r="AD958" t="s">
        <v>406</v>
      </c>
      <c r="AE958">
        <v>2.3812920159528385E-2</v>
      </c>
    </row>
    <row r="959" spans="29:31" x14ac:dyDescent="0.45">
      <c r="AC959" t="s">
        <v>19</v>
      </c>
      <c r="AD959" t="s">
        <v>407</v>
      </c>
      <c r="AE959">
        <v>3.4517120635866503E-3</v>
      </c>
    </row>
    <row r="960" spans="29:31" x14ac:dyDescent="0.45">
      <c r="AC960" t="s">
        <v>19</v>
      </c>
      <c r="AD960" t="s">
        <v>408</v>
      </c>
      <c r="AE960">
        <v>3.4379976433229751E-3</v>
      </c>
    </row>
    <row r="961" spans="29:31" x14ac:dyDescent="0.45">
      <c r="AC961" t="s">
        <v>19</v>
      </c>
      <c r="AD961" t="s">
        <v>409</v>
      </c>
      <c r="AE961">
        <v>3.4407479160268313E-3</v>
      </c>
    </row>
    <row r="962" spans="29:31" x14ac:dyDescent="0.45">
      <c r="AC962" t="s">
        <v>19</v>
      </c>
      <c r="AD962" t="s">
        <v>410</v>
      </c>
      <c r="AE962">
        <v>2.0648476357095068E-2</v>
      </c>
    </row>
    <row r="963" spans="29:31" x14ac:dyDescent="0.45">
      <c r="AC963" t="s">
        <v>19</v>
      </c>
      <c r="AD963" t="s">
        <v>411</v>
      </c>
      <c r="AE963">
        <v>2.1350568589997714E-2</v>
      </c>
    </row>
    <row r="964" spans="29:31" x14ac:dyDescent="0.45">
      <c r="AC964" t="s">
        <v>19</v>
      </c>
      <c r="AD964" t="s">
        <v>412</v>
      </c>
      <c r="AE964">
        <v>3.4888134789849336E-3</v>
      </c>
    </row>
    <row r="965" spans="29:31" x14ac:dyDescent="0.45">
      <c r="AC965" t="s">
        <v>19</v>
      </c>
      <c r="AD965" t="s">
        <v>413</v>
      </c>
      <c r="AE965">
        <v>3.4791075524797672E-3</v>
      </c>
    </row>
    <row r="966" spans="29:31" x14ac:dyDescent="0.45">
      <c r="AC966" t="s">
        <v>19</v>
      </c>
      <c r="AD966" t="s">
        <v>414</v>
      </c>
      <c r="AE966">
        <v>2.4576792440163732E-2</v>
      </c>
    </row>
    <row r="967" spans="29:31" x14ac:dyDescent="0.45">
      <c r="AC967" t="s">
        <v>19</v>
      </c>
      <c r="AD967" t="s">
        <v>415</v>
      </c>
      <c r="AE967">
        <v>3.5564313347208405E-3</v>
      </c>
    </row>
    <row r="968" spans="29:31" x14ac:dyDescent="0.45">
      <c r="AC968" t="s">
        <v>19</v>
      </c>
      <c r="AD968" t="s">
        <v>416</v>
      </c>
      <c r="AE968">
        <v>3.5569994394180453E-3</v>
      </c>
    </row>
    <row r="969" spans="29:31" x14ac:dyDescent="0.45">
      <c r="AC969" t="s">
        <v>19</v>
      </c>
      <c r="AD969" t="s">
        <v>417</v>
      </c>
      <c r="AE969">
        <v>3.5630400057675383E-3</v>
      </c>
    </row>
    <row r="970" spans="29:31" x14ac:dyDescent="0.45">
      <c r="AC970" t="s">
        <v>19</v>
      </c>
      <c r="AD970" t="s">
        <v>418</v>
      </c>
      <c r="AE970">
        <v>2.1427648176889174E-2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8EF0F0-3F0D-4860-B480-E846FA090F1F}">
  <dimension ref="A9:AN3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125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248</v>
      </c>
      <c r="L10" t="s">
        <v>30</v>
      </c>
      <c r="N10" t="s">
        <v>13</v>
      </c>
      <c r="O10" t="s">
        <v>122</v>
      </c>
      <c r="P10" t="s">
        <v>248</v>
      </c>
      <c r="Q10" t="s">
        <v>30</v>
      </c>
      <c r="S10" t="s">
        <v>13</v>
      </c>
      <c r="T10" t="s">
        <v>122</v>
      </c>
      <c r="U10" t="s">
        <v>248</v>
      </c>
      <c r="V10" t="s">
        <v>30</v>
      </c>
      <c r="X10" t="s">
        <v>421</v>
      </c>
      <c r="Y10" t="s">
        <v>248</v>
      </c>
      <c r="Z10" t="s">
        <v>122</v>
      </c>
      <c r="AA10" t="s">
        <v>13</v>
      </c>
      <c r="AC10" t="s">
        <v>13</v>
      </c>
      <c r="AD10" t="s">
        <v>122</v>
      </c>
      <c r="AE10" t="s">
        <v>248</v>
      </c>
      <c r="AG10" t="s">
        <v>13</v>
      </c>
      <c r="AH10" t="s">
        <v>122</v>
      </c>
      <c r="AI10" t="s">
        <v>427</v>
      </c>
      <c r="AK10" t="s">
        <v>47</v>
      </c>
      <c r="AL10" t="s">
        <v>122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240</v>
      </c>
      <c r="F11" t="s">
        <v>2106</v>
      </c>
      <c r="G11" t="s">
        <v>152</v>
      </c>
      <c r="I11" t="s">
        <v>249</v>
      </c>
      <c r="J11" t="s">
        <v>250</v>
      </c>
      <c r="K11">
        <v>6.7049348846214465E-3</v>
      </c>
      <c r="L11" t="s">
        <v>251</v>
      </c>
      <c r="N11" t="s">
        <v>419</v>
      </c>
      <c r="O11" t="s">
        <v>250</v>
      </c>
      <c r="P11">
        <v>9.5996103672924382E-2</v>
      </c>
      <c r="Q11" t="s">
        <v>251</v>
      </c>
      <c r="S11" t="s">
        <v>420</v>
      </c>
      <c r="T11" t="s">
        <v>250</v>
      </c>
      <c r="U11">
        <v>9.1460323498727708E-2</v>
      </c>
      <c r="V11" t="s">
        <v>251</v>
      </c>
      <c r="X11">
        <v>8.2191780821917804E-2</v>
      </c>
      <c r="Y11">
        <v>4.555602515973449E-2</v>
      </c>
      <c r="Z11" t="s">
        <v>250</v>
      </c>
      <c r="AA11" t="s">
        <v>25</v>
      </c>
      <c r="AC11" t="s">
        <v>22</v>
      </c>
      <c r="AD11" t="s">
        <v>250</v>
      </c>
      <c r="AE11">
        <v>8.9078349463398154E-2</v>
      </c>
      <c r="AG11" t="s">
        <v>97</v>
      </c>
      <c r="AH11" t="s">
        <v>250</v>
      </c>
      <c r="AI11">
        <v>0.22895652721749848</v>
      </c>
    </row>
    <row r="12" spans="1:40" x14ac:dyDescent="0.45">
      <c r="C12" t="s">
        <v>156</v>
      </c>
      <c r="E12" t="s">
        <v>241</v>
      </c>
      <c r="G12" t="s">
        <v>152</v>
      </c>
      <c r="I12" t="s">
        <v>249</v>
      </c>
      <c r="J12" t="s">
        <v>252</v>
      </c>
      <c r="K12">
        <v>0.22270972189213517</v>
      </c>
      <c r="L12" t="s">
        <v>251</v>
      </c>
      <c r="N12" t="s">
        <v>419</v>
      </c>
      <c r="O12" t="s">
        <v>252</v>
      </c>
      <c r="P12">
        <v>9.8396783634325302E-2</v>
      </c>
      <c r="Q12" t="s">
        <v>251</v>
      </c>
      <c r="S12" t="s">
        <v>420</v>
      </c>
      <c r="T12" t="s">
        <v>252</v>
      </c>
      <c r="U12">
        <v>0.10696702308840685</v>
      </c>
      <c r="V12" t="s">
        <v>251</v>
      </c>
      <c r="X12">
        <v>0.10273972602739725</v>
      </c>
      <c r="Y12">
        <v>0.14672202471222937</v>
      </c>
      <c r="Z12" t="s">
        <v>252</v>
      </c>
      <c r="AA12" t="s">
        <v>25</v>
      </c>
      <c r="AC12" t="s">
        <v>22</v>
      </c>
      <c r="AD12" t="s">
        <v>252</v>
      </c>
      <c r="AE12">
        <v>0.10759705680414311</v>
      </c>
      <c r="AG12" t="s">
        <v>97</v>
      </c>
      <c r="AH12" t="s">
        <v>252</v>
      </c>
      <c r="AI12">
        <v>0.25921856183966185</v>
      </c>
    </row>
    <row r="13" spans="1:40" x14ac:dyDescent="0.45">
      <c r="C13" t="s">
        <v>158</v>
      </c>
      <c r="E13" t="s">
        <v>242</v>
      </c>
      <c r="G13" t="s">
        <v>152</v>
      </c>
      <c r="I13" t="s">
        <v>249</v>
      </c>
      <c r="J13" t="s">
        <v>253</v>
      </c>
      <c r="K13">
        <v>4.7568867240275403E-3</v>
      </c>
      <c r="L13" t="s">
        <v>251</v>
      </c>
      <c r="N13" t="s">
        <v>419</v>
      </c>
      <c r="O13" t="s">
        <v>253</v>
      </c>
      <c r="P13">
        <v>7.0744773627021335E-2</v>
      </c>
      <c r="Q13" t="s">
        <v>251</v>
      </c>
      <c r="S13" t="s">
        <v>420</v>
      </c>
      <c r="T13" t="s">
        <v>253</v>
      </c>
      <c r="U13">
        <v>7.4889974347666727E-2</v>
      </c>
      <c r="V13" t="s">
        <v>251</v>
      </c>
      <c r="X13">
        <v>6.1643835616438353E-2</v>
      </c>
      <c r="Y13">
        <v>5.4297292593789633E-2</v>
      </c>
      <c r="Z13" t="s">
        <v>253</v>
      </c>
      <c r="AA13" t="s">
        <v>25</v>
      </c>
      <c r="AC13" t="s">
        <v>22</v>
      </c>
      <c r="AD13" t="s">
        <v>253</v>
      </c>
      <c r="AE13">
        <v>7.3771083759235453E-2</v>
      </c>
      <c r="AG13" t="s">
        <v>97</v>
      </c>
      <c r="AH13" t="s">
        <v>253</v>
      </c>
      <c r="AI13">
        <v>0.12980748272191556</v>
      </c>
    </row>
    <row r="14" spans="1:40" x14ac:dyDescent="0.45">
      <c r="C14" t="s">
        <v>161</v>
      </c>
      <c r="I14" t="s">
        <v>249</v>
      </c>
      <c r="J14" t="s">
        <v>259</v>
      </c>
      <c r="K14">
        <v>3.2046838509668066E-2</v>
      </c>
      <c r="L14" t="s">
        <v>251</v>
      </c>
      <c r="N14" t="s">
        <v>419</v>
      </c>
      <c r="O14" t="s">
        <v>259</v>
      </c>
      <c r="P14">
        <v>9.1006442734291343E-2</v>
      </c>
      <c r="Q14" t="s">
        <v>251</v>
      </c>
      <c r="S14" t="s">
        <v>420</v>
      </c>
      <c r="T14" t="s">
        <v>259</v>
      </c>
      <c r="U14">
        <v>8.1395032587130975E-2</v>
      </c>
      <c r="V14" t="s">
        <v>251</v>
      </c>
      <c r="X14">
        <v>8.3105022831050229E-2</v>
      </c>
      <c r="Y14">
        <v>4.6062203217064869E-2</v>
      </c>
      <c r="Z14" t="s">
        <v>259</v>
      </c>
      <c r="AA14" t="s">
        <v>25</v>
      </c>
      <c r="AC14" t="s">
        <v>22</v>
      </c>
      <c r="AD14" t="s">
        <v>259</v>
      </c>
      <c r="AE14">
        <v>7.4117204795020639E-2</v>
      </c>
      <c r="AG14" t="s">
        <v>97</v>
      </c>
      <c r="AH14" t="s">
        <v>259</v>
      </c>
      <c r="AI14">
        <v>0.26525519010993959</v>
      </c>
    </row>
    <row r="15" spans="1:40" x14ac:dyDescent="0.45">
      <c r="I15" t="s">
        <v>249</v>
      </c>
      <c r="J15" t="s">
        <v>260</v>
      </c>
      <c r="K15">
        <v>0.25309074788052088</v>
      </c>
      <c r="L15" t="s">
        <v>251</v>
      </c>
      <c r="N15" t="s">
        <v>419</v>
      </c>
      <c r="O15" t="s">
        <v>260</v>
      </c>
      <c r="P15">
        <v>0.10006739780661596</v>
      </c>
      <c r="Q15" t="s">
        <v>251</v>
      </c>
      <c r="S15" t="s">
        <v>420</v>
      </c>
      <c r="T15" t="s">
        <v>260</v>
      </c>
      <c r="U15">
        <v>9.3660535131014383E-2</v>
      </c>
      <c r="V15" t="s">
        <v>251</v>
      </c>
      <c r="X15">
        <v>0.10388127853881278</v>
      </c>
      <c r="Y15">
        <v>0.14835226943125412</v>
      </c>
      <c r="Z15" t="s">
        <v>260</v>
      </c>
      <c r="AA15" t="s">
        <v>25</v>
      </c>
      <c r="AC15" t="s">
        <v>22</v>
      </c>
      <c r="AD15" t="s">
        <v>260</v>
      </c>
      <c r="AE15">
        <v>9.5492179188717607E-2</v>
      </c>
      <c r="AG15" t="s">
        <v>97</v>
      </c>
      <c r="AH15" t="s">
        <v>260</v>
      </c>
      <c r="AI15">
        <v>0.2738423064905664</v>
      </c>
    </row>
    <row r="16" spans="1:40" x14ac:dyDescent="0.45">
      <c r="I16" t="s">
        <v>249</v>
      </c>
      <c r="J16" t="s">
        <v>261</v>
      </c>
      <c r="K16">
        <v>1.8234644995131589E-2</v>
      </c>
      <c r="L16" t="s">
        <v>251</v>
      </c>
      <c r="N16" t="s">
        <v>419</v>
      </c>
      <c r="O16" t="s">
        <v>261</v>
      </c>
      <c r="P16">
        <v>7.1818607866578413E-2</v>
      </c>
      <c r="Q16" t="s">
        <v>251</v>
      </c>
      <c r="S16" t="s">
        <v>420</v>
      </c>
      <c r="T16" t="s">
        <v>261</v>
      </c>
      <c r="U16">
        <v>6.6018584711661138E-2</v>
      </c>
      <c r="V16" t="s">
        <v>251</v>
      </c>
      <c r="X16">
        <v>6.2328767123287672E-2</v>
      </c>
      <c r="Y16">
        <v>5.4900595844831736E-2</v>
      </c>
      <c r="Z16" t="s">
        <v>261</v>
      </c>
      <c r="AA16" t="s">
        <v>25</v>
      </c>
      <c r="AC16" t="s">
        <v>22</v>
      </c>
      <c r="AD16" t="s">
        <v>261</v>
      </c>
      <c r="AE16">
        <v>6.3631036630678248E-2</v>
      </c>
      <c r="AG16" t="s">
        <v>97</v>
      </c>
      <c r="AH16" t="s">
        <v>261</v>
      </c>
      <c r="AI16">
        <v>0.12934158109639937</v>
      </c>
    </row>
    <row r="17" spans="9:35" x14ac:dyDescent="0.45">
      <c r="I17" t="s">
        <v>249</v>
      </c>
      <c r="J17" t="s">
        <v>267</v>
      </c>
      <c r="K17">
        <v>1.699844645078312E-2</v>
      </c>
      <c r="L17" t="s">
        <v>251</v>
      </c>
      <c r="N17" t="s">
        <v>419</v>
      </c>
      <c r="O17" t="s">
        <v>267</v>
      </c>
      <c r="P17">
        <v>4.2004657061124828E-2</v>
      </c>
      <c r="Q17" t="s">
        <v>251</v>
      </c>
      <c r="S17" t="s">
        <v>420</v>
      </c>
      <c r="T17" t="s">
        <v>267</v>
      </c>
      <c r="U17">
        <v>3.9956332186882451E-2</v>
      </c>
      <c r="V17" t="s">
        <v>251</v>
      </c>
      <c r="X17">
        <v>5.6621004566210047E-2</v>
      </c>
      <c r="Y17">
        <v>3.1383039554483752E-2</v>
      </c>
      <c r="Z17" t="s">
        <v>267</v>
      </c>
      <c r="AA17" t="s">
        <v>25</v>
      </c>
      <c r="AC17" t="s">
        <v>22</v>
      </c>
      <c r="AD17" t="s">
        <v>267</v>
      </c>
      <c r="AE17">
        <v>5.2734078159106169E-2</v>
      </c>
      <c r="AG17" t="s">
        <v>97</v>
      </c>
      <c r="AH17" t="s">
        <v>267</v>
      </c>
      <c r="AI17">
        <v>0.29482157312832502</v>
      </c>
    </row>
    <row r="18" spans="9:35" x14ac:dyDescent="0.45">
      <c r="I18" t="s">
        <v>249</v>
      </c>
      <c r="J18" t="s">
        <v>268</v>
      </c>
      <c r="K18">
        <v>0.1491713865506771</v>
      </c>
      <c r="L18" t="s">
        <v>251</v>
      </c>
      <c r="N18" t="s">
        <v>419</v>
      </c>
      <c r="O18" t="s">
        <v>268</v>
      </c>
      <c r="P18">
        <v>3.4986083531073339E-2</v>
      </c>
      <c r="Q18" t="s">
        <v>251</v>
      </c>
      <c r="S18" t="s">
        <v>420</v>
      </c>
      <c r="T18" t="s">
        <v>268</v>
      </c>
      <c r="U18">
        <v>4.3354830727314358E-2</v>
      </c>
      <c r="V18" t="s">
        <v>251</v>
      </c>
      <c r="X18">
        <v>7.0776255707762553E-2</v>
      </c>
      <c r="Y18">
        <v>0.10107517257953577</v>
      </c>
      <c r="Z18" t="s">
        <v>268</v>
      </c>
      <c r="AA18" t="s">
        <v>25</v>
      </c>
      <c r="AC18" t="s">
        <v>22</v>
      </c>
      <c r="AD18" t="s">
        <v>268</v>
      </c>
      <c r="AE18">
        <v>6.5896887000401944E-2</v>
      </c>
      <c r="AG18" t="s">
        <v>97</v>
      </c>
      <c r="AH18" t="s">
        <v>268</v>
      </c>
      <c r="AI18">
        <v>0.25090475473803298</v>
      </c>
    </row>
    <row r="19" spans="9:35" x14ac:dyDescent="0.45">
      <c r="I19" t="s">
        <v>249</v>
      </c>
      <c r="J19" t="s">
        <v>269</v>
      </c>
      <c r="K19">
        <v>1.0136593556209987E-2</v>
      </c>
      <c r="L19" t="s">
        <v>251</v>
      </c>
      <c r="N19" t="s">
        <v>419</v>
      </c>
      <c r="O19" t="s">
        <v>269</v>
      </c>
      <c r="P19">
        <v>3.651720221436508E-2</v>
      </c>
      <c r="Q19" t="s">
        <v>251</v>
      </c>
      <c r="S19" t="s">
        <v>420</v>
      </c>
      <c r="T19" t="s">
        <v>269</v>
      </c>
      <c r="U19">
        <v>3.1326445538160393E-2</v>
      </c>
      <c r="V19" t="s">
        <v>251</v>
      </c>
      <c r="X19">
        <v>4.2465753424657533E-2</v>
      </c>
      <c r="Y19">
        <v>3.7404801564610637E-2</v>
      </c>
      <c r="Z19" t="s">
        <v>269</v>
      </c>
      <c r="AA19" t="s">
        <v>25</v>
      </c>
      <c r="AC19" t="s">
        <v>22</v>
      </c>
      <c r="AD19" t="s">
        <v>269</v>
      </c>
      <c r="AE19">
        <v>4.6722418816356748E-2</v>
      </c>
      <c r="AG19" t="s">
        <v>97</v>
      </c>
      <c r="AH19" t="s">
        <v>269</v>
      </c>
      <c r="AI19">
        <v>0.15170309383290848</v>
      </c>
    </row>
    <row r="20" spans="9:35" x14ac:dyDescent="0.45">
      <c r="I20" t="s">
        <v>249</v>
      </c>
      <c r="J20" t="s">
        <v>299</v>
      </c>
      <c r="K20">
        <v>1.4257624178200923E-2</v>
      </c>
      <c r="L20" t="s">
        <v>251</v>
      </c>
      <c r="N20" t="s">
        <v>419</v>
      </c>
      <c r="O20" t="s">
        <v>299</v>
      </c>
      <c r="P20">
        <v>0.13137879086691787</v>
      </c>
      <c r="Q20" t="s">
        <v>251</v>
      </c>
      <c r="S20" t="s">
        <v>420</v>
      </c>
      <c r="T20" t="s">
        <v>299</v>
      </c>
      <c r="U20">
        <v>0.12586028275807642</v>
      </c>
      <c r="V20" t="s">
        <v>251</v>
      </c>
      <c r="X20">
        <v>0.11141552511415526</v>
      </c>
      <c r="Y20">
        <v>6.1753722994306731E-2</v>
      </c>
      <c r="Z20" t="s">
        <v>299</v>
      </c>
      <c r="AA20" t="s">
        <v>25</v>
      </c>
      <c r="AC20" t="s">
        <v>22</v>
      </c>
      <c r="AD20" t="s">
        <v>299</v>
      </c>
      <c r="AE20">
        <v>0.10746256760147097</v>
      </c>
      <c r="AG20" t="s">
        <v>97</v>
      </c>
      <c r="AH20" t="s">
        <v>299</v>
      </c>
      <c r="AI20">
        <v>0.33226571080640754</v>
      </c>
    </row>
    <row r="21" spans="9:35" x14ac:dyDescent="0.45">
      <c r="I21" t="s">
        <v>249</v>
      </c>
      <c r="J21" t="s">
        <v>300</v>
      </c>
      <c r="K21">
        <v>0.2689303750929804</v>
      </c>
      <c r="L21" t="s">
        <v>251</v>
      </c>
      <c r="N21" t="s">
        <v>419</v>
      </c>
      <c r="O21" t="s">
        <v>300</v>
      </c>
      <c r="P21">
        <v>0.13073000909213969</v>
      </c>
      <c r="Q21" t="s">
        <v>251</v>
      </c>
      <c r="S21" t="s">
        <v>420</v>
      </c>
      <c r="T21" t="s">
        <v>300</v>
      </c>
      <c r="U21">
        <v>0.14464693974131931</v>
      </c>
      <c r="V21" t="s">
        <v>251</v>
      </c>
      <c r="X21">
        <v>0.13926940639269406</v>
      </c>
      <c r="Y21">
        <v>0.19888985572102202</v>
      </c>
      <c r="Z21" t="s">
        <v>300</v>
      </c>
      <c r="AA21" t="s">
        <v>25</v>
      </c>
      <c r="AC21" t="s">
        <v>22</v>
      </c>
      <c r="AD21" t="s">
        <v>300</v>
      </c>
      <c r="AE21">
        <v>0.13324595635310635</v>
      </c>
      <c r="AG21" t="s">
        <v>97</v>
      </c>
      <c r="AH21" t="s">
        <v>300</v>
      </c>
      <c r="AI21">
        <v>0.29808781833732434</v>
      </c>
    </row>
    <row r="22" spans="9:35" x14ac:dyDescent="0.45">
      <c r="I22" t="s">
        <v>249</v>
      </c>
      <c r="J22" t="s">
        <v>301</v>
      </c>
      <c r="K22">
        <v>2.9617992848444095E-3</v>
      </c>
      <c r="L22" t="s">
        <v>251</v>
      </c>
      <c r="N22" t="s">
        <v>419</v>
      </c>
      <c r="O22" t="s">
        <v>301</v>
      </c>
      <c r="P22">
        <v>9.6353147892367555E-2</v>
      </c>
      <c r="Q22" t="s">
        <v>251</v>
      </c>
      <c r="S22" t="s">
        <v>420</v>
      </c>
      <c r="T22" t="s">
        <v>301</v>
      </c>
      <c r="U22">
        <v>0.10046369568340664</v>
      </c>
      <c r="V22" t="s">
        <v>251</v>
      </c>
      <c r="X22">
        <v>8.3561643835616442E-2</v>
      </c>
      <c r="Y22">
        <v>7.3602996627137054E-2</v>
      </c>
      <c r="Z22" t="s">
        <v>301</v>
      </c>
      <c r="AA22" t="s">
        <v>25</v>
      </c>
      <c r="AC22" t="s">
        <v>22</v>
      </c>
      <c r="AD22" t="s">
        <v>301</v>
      </c>
      <c r="AE22">
        <v>9.0251181428364663E-2</v>
      </c>
      <c r="AG22" t="s">
        <v>97</v>
      </c>
      <c r="AH22" t="s">
        <v>301</v>
      </c>
      <c r="AI22">
        <v>0.21146912457117861</v>
      </c>
    </row>
    <row r="23" spans="9:35" x14ac:dyDescent="0.45">
      <c r="AC23" t="s">
        <v>19</v>
      </c>
      <c r="AD23" t="s">
        <v>250</v>
      </c>
      <c r="AE23">
        <v>8.2168412770030771E-2</v>
      </c>
    </row>
    <row r="24" spans="9:35" x14ac:dyDescent="0.45">
      <c r="AC24" t="s">
        <v>19</v>
      </c>
      <c r="AD24" t="s">
        <v>252</v>
      </c>
      <c r="AE24">
        <v>0.10240818486841965</v>
      </c>
    </row>
    <row r="25" spans="9:35" x14ac:dyDescent="0.45">
      <c r="AC25" t="s">
        <v>19</v>
      </c>
      <c r="AD25" t="s">
        <v>253</v>
      </c>
      <c r="AE25">
        <v>6.2187491569881327E-2</v>
      </c>
    </row>
    <row r="26" spans="9:35" x14ac:dyDescent="0.45">
      <c r="AC26" t="s">
        <v>19</v>
      </c>
      <c r="AD26" t="s">
        <v>259</v>
      </c>
      <c r="AE26">
        <v>8.277010019810771E-2</v>
      </c>
    </row>
    <row r="27" spans="9:35" x14ac:dyDescent="0.45">
      <c r="AC27" t="s">
        <v>19</v>
      </c>
      <c r="AD27" t="s">
        <v>260</v>
      </c>
      <c r="AE27">
        <v>0.10369199421832236</v>
      </c>
    </row>
    <row r="28" spans="9:35" x14ac:dyDescent="0.45">
      <c r="AC28" t="s">
        <v>19</v>
      </c>
      <c r="AD28" t="s">
        <v>261</v>
      </c>
      <c r="AE28">
        <v>6.2725873466352056E-2</v>
      </c>
    </row>
    <row r="29" spans="9:35" x14ac:dyDescent="0.45">
      <c r="AC29" t="s">
        <v>19</v>
      </c>
      <c r="AD29" t="s">
        <v>267</v>
      </c>
      <c r="AE29">
        <v>5.6416984828706371E-2</v>
      </c>
    </row>
    <row r="30" spans="9:35" x14ac:dyDescent="0.45">
      <c r="AC30" t="s">
        <v>19</v>
      </c>
      <c r="AD30" t="s">
        <v>268</v>
      </c>
      <c r="AE30">
        <v>7.051956169746379E-2</v>
      </c>
    </row>
    <row r="31" spans="9:35" x14ac:dyDescent="0.45">
      <c r="AC31" t="s">
        <v>19</v>
      </c>
      <c r="AD31" t="s">
        <v>269</v>
      </c>
      <c r="AE31">
        <v>4.2890809987641776E-2</v>
      </c>
    </row>
    <row r="32" spans="9:35" x14ac:dyDescent="0.45">
      <c r="AC32" t="s">
        <v>19</v>
      </c>
      <c r="AD32" t="s">
        <v>299</v>
      </c>
      <c r="AE32">
        <v>0.11117655325297401</v>
      </c>
    </row>
    <row r="33" spans="29:31" x14ac:dyDescent="0.45">
      <c r="AC33" t="s">
        <v>19</v>
      </c>
      <c r="AD33" t="s">
        <v>300</v>
      </c>
      <c r="AE33">
        <v>0.13888345902975144</v>
      </c>
    </row>
    <row r="34" spans="29:31" x14ac:dyDescent="0.45">
      <c r="AC34" t="s">
        <v>19</v>
      </c>
      <c r="AD34" t="s">
        <v>301</v>
      </c>
      <c r="AE34">
        <v>8.4160574112348785E-2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5A715C-D828-4987-B096-1E82BCB7ADF3}">
  <dimension ref="A9:AN5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126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248</v>
      </c>
      <c r="L10" t="s">
        <v>30</v>
      </c>
      <c r="N10" t="s">
        <v>13</v>
      </c>
      <c r="O10" t="s">
        <v>122</v>
      </c>
      <c r="P10" t="s">
        <v>248</v>
      </c>
      <c r="Q10" t="s">
        <v>30</v>
      </c>
      <c r="S10" t="s">
        <v>13</v>
      </c>
      <c r="T10" t="s">
        <v>122</v>
      </c>
      <c r="U10" t="s">
        <v>248</v>
      </c>
      <c r="V10" t="s">
        <v>30</v>
      </c>
      <c r="X10" t="s">
        <v>421</v>
      </c>
      <c r="Y10" t="s">
        <v>248</v>
      </c>
      <c r="Z10" t="s">
        <v>122</v>
      </c>
      <c r="AA10" t="s">
        <v>13</v>
      </c>
      <c r="AC10" t="s">
        <v>13</v>
      </c>
      <c r="AD10" t="s">
        <v>122</v>
      </c>
      <c r="AE10" t="s">
        <v>248</v>
      </c>
      <c r="AG10" t="s">
        <v>13</v>
      </c>
      <c r="AH10" t="s">
        <v>122</v>
      </c>
      <c r="AI10" t="s">
        <v>427</v>
      </c>
      <c r="AK10" t="s">
        <v>47</v>
      </c>
      <c r="AL10" t="s">
        <v>122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240</v>
      </c>
      <c r="F11" t="s">
        <v>2106</v>
      </c>
      <c r="G11" t="s">
        <v>152</v>
      </c>
      <c r="I11" t="s">
        <v>249</v>
      </c>
      <c r="J11" t="s">
        <v>250</v>
      </c>
      <c r="K11">
        <v>3.098396949005206E-4</v>
      </c>
      <c r="L11" t="s">
        <v>251</v>
      </c>
      <c r="N11" t="s">
        <v>419</v>
      </c>
      <c r="O11" t="s">
        <v>250</v>
      </c>
      <c r="P11">
        <v>8.4579418096897188E-2</v>
      </c>
      <c r="Q11" t="s">
        <v>251</v>
      </c>
      <c r="S11" t="s">
        <v>420</v>
      </c>
      <c r="T11" t="s">
        <v>250</v>
      </c>
      <c r="U11">
        <v>8.0199599387571402E-2</v>
      </c>
      <c r="V11" t="s">
        <v>251</v>
      </c>
      <c r="X11">
        <v>7.1917808219178078E-2</v>
      </c>
      <c r="Y11">
        <v>2.8401660741366887E-2</v>
      </c>
      <c r="Z11" t="s">
        <v>250</v>
      </c>
      <c r="AA11" t="s">
        <v>25</v>
      </c>
      <c r="AC11" t="s">
        <v>22</v>
      </c>
      <c r="AD11" t="s">
        <v>250</v>
      </c>
      <c r="AE11">
        <v>8.025897951620041E-2</v>
      </c>
      <c r="AG11" t="s">
        <v>97</v>
      </c>
      <c r="AH11" t="s">
        <v>250</v>
      </c>
      <c r="AI11">
        <v>0.19975149888631627</v>
      </c>
    </row>
    <row r="12" spans="1:40" x14ac:dyDescent="0.45">
      <c r="C12" t="s">
        <v>156</v>
      </c>
      <c r="E12" t="s">
        <v>241</v>
      </c>
      <c r="G12" t="s">
        <v>152</v>
      </c>
      <c r="I12" t="s">
        <v>249</v>
      </c>
      <c r="J12" t="s">
        <v>252</v>
      </c>
      <c r="K12">
        <v>6.3950951897209264E-3</v>
      </c>
      <c r="L12" t="s">
        <v>251</v>
      </c>
      <c r="N12" t="s">
        <v>419</v>
      </c>
      <c r="O12" t="s">
        <v>252</v>
      </c>
      <c r="P12">
        <v>1.1416685576027191E-2</v>
      </c>
      <c r="Q12" t="s">
        <v>251</v>
      </c>
      <c r="S12" t="s">
        <v>420</v>
      </c>
      <c r="T12" t="s">
        <v>252</v>
      </c>
      <c r="U12">
        <v>1.1260724111156304E-2</v>
      </c>
      <c r="V12" t="s">
        <v>251</v>
      </c>
      <c r="X12">
        <v>1.0273972602739725E-2</v>
      </c>
      <c r="Y12">
        <v>1.7154364418367599E-2</v>
      </c>
      <c r="Z12" t="s">
        <v>252</v>
      </c>
      <c r="AA12" t="s">
        <v>25</v>
      </c>
      <c r="AC12" t="s">
        <v>22</v>
      </c>
      <c r="AD12" t="s">
        <v>252</v>
      </c>
      <c r="AE12">
        <v>8.8193699471977565E-3</v>
      </c>
      <c r="AG12" t="s">
        <v>97</v>
      </c>
      <c r="AH12" t="s">
        <v>252</v>
      </c>
      <c r="AI12">
        <v>7.073537486772441E-2</v>
      </c>
    </row>
    <row r="13" spans="1:40" x14ac:dyDescent="0.45">
      <c r="C13" t="s">
        <v>158</v>
      </c>
      <c r="E13" t="s">
        <v>242</v>
      </c>
      <c r="G13" t="s">
        <v>152</v>
      </c>
      <c r="I13" t="s">
        <v>249</v>
      </c>
      <c r="J13" t="s">
        <v>253</v>
      </c>
      <c r="K13">
        <v>0.16228171398515595</v>
      </c>
      <c r="L13" t="s">
        <v>251</v>
      </c>
      <c r="N13" t="s">
        <v>419</v>
      </c>
      <c r="O13" t="s">
        <v>253</v>
      </c>
      <c r="P13">
        <v>6.9105747977614401E-2</v>
      </c>
      <c r="Q13" t="s">
        <v>251</v>
      </c>
      <c r="S13" t="s">
        <v>420</v>
      </c>
      <c r="T13" t="s">
        <v>253</v>
      </c>
      <c r="U13">
        <v>7.449907689015213E-2</v>
      </c>
      <c r="V13" t="s">
        <v>251</v>
      </c>
      <c r="X13">
        <v>7.1917808219178078E-2</v>
      </c>
      <c r="Y13">
        <v>9.1231385028466325E-2</v>
      </c>
      <c r="Z13" t="s">
        <v>253</v>
      </c>
      <c r="AA13" t="s">
        <v>25</v>
      </c>
      <c r="AC13" t="s">
        <v>22</v>
      </c>
      <c r="AD13" t="s">
        <v>253</v>
      </c>
      <c r="AE13">
        <v>7.1786008547775018E-2</v>
      </c>
      <c r="AG13" t="s">
        <v>97</v>
      </c>
      <c r="AH13" t="s">
        <v>253</v>
      </c>
      <c r="AI13">
        <v>0.30921220998830079</v>
      </c>
    </row>
    <row r="14" spans="1:40" x14ac:dyDescent="0.45">
      <c r="C14" t="s">
        <v>161</v>
      </c>
      <c r="E14" t="s">
        <v>243</v>
      </c>
      <c r="G14" t="s">
        <v>152</v>
      </c>
      <c r="I14" t="s">
        <v>249</v>
      </c>
      <c r="J14" t="s">
        <v>254</v>
      </c>
      <c r="K14">
        <v>4.5198383621892602E-2</v>
      </c>
      <c r="L14" t="s">
        <v>251</v>
      </c>
      <c r="N14" t="s">
        <v>419</v>
      </c>
      <c r="O14" t="s">
        <v>254</v>
      </c>
      <c r="P14">
        <v>1.9316629809293061E-2</v>
      </c>
      <c r="Q14" t="s">
        <v>251</v>
      </c>
      <c r="S14" t="s">
        <v>420</v>
      </c>
      <c r="T14" t="s">
        <v>254</v>
      </c>
      <c r="U14">
        <v>2.1590831822027621E-2</v>
      </c>
      <c r="V14" t="s">
        <v>251</v>
      </c>
      <c r="X14">
        <v>2.0547945205479451E-2</v>
      </c>
      <c r="Y14">
        <v>3.5502075926708607E-2</v>
      </c>
      <c r="Z14" t="s">
        <v>254</v>
      </c>
      <c r="AA14" t="s">
        <v>25</v>
      </c>
      <c r="AC14" t="s">
        <v>22</v>
      </c>
      <c r="AD14" t="s">
        <v>254</v>
      </c>
      <c r="AE14">
        <v>2.3764178581344907E-2</v>
      </c>
      <c r="AG14" t="s">
        <v>97</v>
      </c>
      <c r="AH14" t="s">
        <v>254</v>
      </c>
      <c r="AI14">
        <v>9.2249140759044002E-2</v>
      </c>
    </row>
    <row r="15" spans="1:40" x14ac:dyDescent="0.45">
      <c r="E15" t="s">
        <v>244</v>
      </c>
      <c r="G15" t="s">
        <v>152</v>
      </c>
      <c r="I15" t="s">
        <v>249</v>
      </c>
      <c r="J15" t="s">
        <v>255</v>
      </c>
      <c r="K15">
        <v>1.5229624285086611E-2</v>
      </c>
      <c r="L15" t="s">
        <v>251</v>
      </c>
      <c r="N15" t="s">
        <v>419</v>
      </c>
      <c r="O15" t="s">
        <v>255</v>
      </c>
      <c r="P15">
        <v>9.9744058474178464E-3</v>
      </c>
      <c r="Q15" t="s">
        <v>251</v>
      </c>
      <c r="S15" t="s">
        <v>420</v>
      </c>
      <c r="T15" t="s">
        <v>255</v>
      </c>
      <c r="U15">
        <v>1.0877114376227088E-2</v>
      </c>
      <c r="V15" t="s">
        <v>251</v>
      </c>
      <c r="X15">
        <v>1.0273972602739725E-2</v>
      </c>
      <c r="Y15">
        <v>1.9988563757054423E-2</v>
      </c>
      <c r="Z15" t="s">
        <v>255</v>
      </c>
      <c r="AA15" t="s">
        <v>25</v>
      </c>
      <c r="AC15" t="s">
        <v>22</v>
      </c>
      <c r="AD15" t="s">
        <v>255</v>
      </c>
      <c r="AE15">
        <v>1.2046869675023195E-2</v>
      </c>
      <c r="AG15" t="s">
        <v>97</v>
      </c>
      <c r="AH15" t="s">
        <v>255</v>
      </c>
      <c r="AI15">
        <v>7.2499856353790415E-2</v>
      </c>
    </row>
    <row r="16" spans="1:40" x14ac:dyDescent="0.45">
      <c r="E16" t="s">
        <v>245</v>
      </c>
      <c r="G16" t="s">
        <v>152</v>
      </c>
      <c r="I16" t="s">
        <v>249</v>
      </c>
      <c r="J16" t="s">
        <v>256</v>
      </c>
      <c r="K16">
        <v>4.7568867240275403E-3</v>
      </c>
      <c r="L16" t="s">
        <v>251</v>
      </c>
      <c r="N16" t="s">
        <v>419</v>
      </c>
      <c r="O16" t="s">
        <v>256</v>
      </c>
      <c r="P16">
        <v>7.0744773627021335E-2</v>
      </c>
      <c r="Q16" t="s">
        <v>251</v>
      </c>
      <c r="S16" t="s">
        <v>420</v>
      </c>
      <c r="T16" t="s">
        <v>256</v>
      </c>
      <c r="U16">
        <v>7.4889974347666727E-2</v>
      </c>
      <c r="V16" t="s">
        <v>251</v>
      </c>
      <c r="X16">
        <v>6.1643835616438353E-2</v>
      </c>
      <c r="Y16">
        <v>5.4297292593789633E-2</v>
      </c>
      <c r="Z16" t="s">
        <v>256</v>
      </c>
      <c r="AA16" t="s">
        <v>25</v>
      </c>
      <c r="AC16" t="s">
        <v>22</v>
      </c>
      <c r="AD16" t="s">
        <v>256</v>
      </c>
      <c r="AE16">
        <v>7.3771083759235453E-2</v>
      </c>
      <c r="AG16" t="s">
        <v>97</v>
      </c>
      <c r="AH16" t="s">
        <v>256</v>
      </c>
      <c r="AI16">
        <v>0.12980748272191556</v>
      </c>
    </row>
    <row r="17" spans="9:35" x14ac:dyDescent="0.45">
      <c r="I17" t="s">
        <v>249</v>
      </c>
      <c r="J17" t="s">
        <v>259</v>
      </c>
      <c r="K17">
        <v>1.2968569669460866E-2</v>
      </c>
      <c r="L17" t="s">
        <v>251</v>
      </c>
      <c r="N17" t="s">
        <v>419</v>
      </c>
      <c r="O17" t="s">
        <v>259</v>
      </c>
      <c r="P17">
        <v>8.1530153875600794E-2</v>
      </c>
      <c r="Q17" t="s">
        <v>251</v>
      </c>
      <c r="S17" t="s">
        <v>420</v>
      </c>
      <c r="T17" t="s">
        <v>259</v>
      </c>
      <c r="U17">
        <v>7.1926766289090852E-2</v>
      </c>
      <c r="V17" t="s">
        <v>251</v>
      </c>
      <c r="X17">
        <v>7.2716894977168947E-2</v>
      </c>
      <c r="Y17">
        <v>2.8717234749604293E-2</v>
      </c>
      <c r="Z17" t="s">
        <v>259</v>
      </c>
      <c r="AA17" t="s">
        <v>25</v>
      </c>
      <c r="AC17" t="s">
        <v>22</v>
      </c>
      <c r="AD17" t="s">
        <v>259</v>
      </c>
      <c r="AE17">
        <v>6.6454153343362146E-2</v>
      </c>
      <c r="AG17" t="s">
        <v>97</v>
      </c>
      <c r="AH17" t="s">
        <v>259</v>
      </c>
      <c r="AI17">
        <v>0.2411433212723908</v>
      </c>
    </row>
    <row r="18" spans="9:35" x14ac:dyDescent="0.45">
      <c r="I18" t="s">
        <v>249</v>
      </c>
      <c r="J18" t="s">
        <v>260</v>
      </c>
      <c r="K18">
        <v>1.9078268840207201E-2</v>
      </c>
      <c r="L18" t="s">
        <v>251</v>
      </c>
      <c r="N18" t="s">
        <v>419</v>
      </c>
      <c r="O18" t="s">
        <v>260</v>
      </c>
      <c r="P18">
        <v>9.4762888586905503E-3</v>
      </c>
      <c r="Q18" t="s">
        <v>251</v>
      </c>
      <c r="S18" t="s">
        <v>420</v>
      </c>
      <c r="T18" t="s">
        <v>260</v>
      </c>
      <c r="U18">
        <v>9.4682662980401303E-3</v>
      </c>
      <c r="V18" t="s">
        <v>251</v>
      </c>
      <c r="X18">
        <v>1.0388127853881279E-2</v>
      </c>
      <c r="Y18">
        <v>1.7344968467460573E-2</v>
      </c>
      <c r="Z18" t="s">
        <v>260</v>
      </c>
      <c r="AA18" t="s">
        <v>25</v>
      </c>
      <c r="AC18" t="s">
        <v>22</v>
      </c>
      <c r="AD18" t="s">
        <v>260</v>
      </c>
      <c r="AE18">
        <v>7.6630514516584812E-3</v>
      </c>
      <c r="AG18" t="s">
        <v>97</v>
      </c>
      <c r="AH18" t="s">
        <v>260</v>
      </c>
      <c r="AI18">
        <v>7.3598666162655091E-2</v>
      </c>
    </row>
    <row r="19" spans="9:35" x14ac:dyDescent="0.45">
      <c r="I19" t="s">
        <v>249</v>
      </c>
      <c r="J19" t="s">
        <v>261</v>
      </c>
      <c r="K19">
        <v>0.1859761320339513</v>
      </c>
      <c r="L19" t="s">
        <v>251</v>
      </c>
      <c r="N19" t="s">
        <v>419</v>
      </c>
      <c r="O19" t="s">
        <v>261</v>
      </c>
      <c r="P19">
        <v>6.9088874626625899E-2</v>
      </c>
      <c r="Q19" t="s">
        <v>251</v>
      </c>
      <c r="S19" t="s">
        <v>420</v>
      </c>
      <c r="T19" t="s">
        <v>261</v>
      </c>
      <c r="U19">
        <v>6.3898333323052822E-2</v>
      </c>
      <c r="V19" t="s">
        <v>251</v>
      </c>
      <c r="X19">
        <v>7.2716894977168947E-2</v>
      </c>
      <c r="Y19">
        <v>9.2245067084338161E-2</v>
      </c>
      <c r="Z19" t="s">
        <v>261</v>
      </c>
      <c r="AA19" t="s">
        <v>25</v>
      </c>
      <c r="AC19" t="s">
        <v>22</v>
      </c>
      <c r="AD19" t="s">
        <v>261</v>
      </c>
      <c r="AE19">
        <v>6.4163598726402468E-2</v>
      </c>
      <c r="AG19" t="s">
        <v>97</v>
      </c>
      <c r="AH19" t="s">
        <v>261</v>
      </c>
      <c r="AI19">
        <v>0.31561575537076947</v>
      </c>
    </row>
    <row r="20" spans="9:35" x14ac:dyDescent="0.45">
      <c r="I20" t="s">
        <v>249</v>
      </c>
      <c r="J20" t="s">
        <v>262</v>
      </c>
      <c r="K20">
        <v>4.80297592659783E-2</v>
      </c>
      <c r="L20" t="s">
        <v>251</v>
      </c>
      <c r="N20" t="s">
        <v>419</v>
      </c>
      <c r="O20" t="s">
        <v>262</v>
      </c>
      <c r="P20">
        <v>2.0711801119844383E-2</v>
      </c>
      <c r="Q20" t="s">
        <v>251</v>
      </c>
      <c r="S20" t="s">
        <v>420</v>
      </c>
      <c r="T20" t="s">
        <v>262</v>
      </c>
      <c r="U20">
        <v>1.9894893618028524E-2</v>
      </c>
      <c r="V20" t="s">
        <v>251</v>
      </c>
      <c r="X20">
        <v>2.0776255707762557E-2</v>
      </c>
      <c r="Y20">
        <v>3.5896543437005365E-2</v>
      </c>
      <c r="Z20" t="s">
        <v>262</v>
      </c>
      <c r="AA20" t="s">
        <v>25</v>
      </c>
      <c r="AC20" t="s">
        <v>22</v>
      </c>
      <c r="AD20" t="s">
        <v>262</v>
      </c>
      <c r="AE20">
        <v>2.0868420330061248E-2</v>
      </c>
      <c r="AG20" t="s">
        <v>97</v>
      </c>
      <c r="AH20" t="s">
        <v>262</v>
      </c>
      <c r="AI20">
        <v>0.11052406700749917</v>
      </c>
    </row>
    <row r="21" spans="9:35" x14ac:dyDescent="0.45">
      <c r="I21" t="s">
        <v>249</v>
      </c>
      <c r="J21" t="s">
        <v>263</v>
      </c>
      <c r="K21">
        <v>1.9084856580591301E-2</v>
      </c>
      <c r="L21" t="s">
        <v>251</v>
      </c>
      <c r="N21" t="s">
        <v>419</v>
      </c>
      <c r="O21" t="s">
        <v>263</v>
      </c>
      <c r="P21">
        <v>1.0266722060145676E-2</v>
      </c>
      <c r="Q21" t="s">
        <v>251</v>
      </c>
      <c r="S21" t="s">
        <v>420</v>
      </c>
      <c r="T21" t="s">
        <v>263</v>
      </c>
      <c r="U21">
        <v>9.8673081899330346E-3</v>
      </c>
      <c r="V21" t="s">
        <v>251</v>
      </c>
      <c r="X21">
        <v>1.0388127853881279E-2</v>
      </c>
      <c r="Y21">
        <v>2.0210658909910584E-2</v>
      </c>
      <c r="Z21" t="s">
        <v>263</v>
      </c>
      <c r="AA21" t="s">
        <v>25</v>
      </c>
      <c r="AC21" t="s">
        <v>22</v>
      </c>
      <c r="AD21" t="s">
        <v>263</v>
      </c>
      <c r="AE21">
        <v>1.0460160132253881E-2</v>
      </c>
      <c r="AG21" t="s">
        <v>97</v>
      </c>
      <c r="AH21" t="s">
        <v>263</v>
      </c>
      <c r="AI21">
        <v>0.10126241134868441</v>
      </c>
    </row>
    <row r="22" spans="9:35" x14ac:dyDescent="0.45">
      <c r="I22" t="s">
        <v>249</v>
      </c>
      <c r="J22" t="s">
        <v>264</v>
      </c>
      <c r="K22">
        <v>1.8234644995131589E-2</v>
      </c>
      <c r="L22" t="s">
        <v>251</v>
      </c>
      <c r="N22" t="s">
        <v>419</v>
      </c>
      <c r="O22" t="s">
        <v>264</v>
      </c>
      <c r="P22">
        <v>7.1818607866578413E-2</v>
      </c>
      <c r="Q22" t="s">
        <v>251</v>
      </c>
      <c r="S22" t="s">
        <v>420</v>
      </c>
      <c r="T22" t="s">
        <v>264</v>
      </c>
      <c r="U22">
        <v>6.6018584711661138E-2</v>
      </c>
      <c r="V22" t="s">
        <v>251</v>
      </c>
      <c r="X22">
        <v>6.2328767123287672E-2</v>
      </c>
      <c r="Y22">
        <v>5.4900595844831736E-2</v>
      </c>
      <c r="Z22" t="s">
        <v>264</v>
      </c>
      <c r="AA22" t="s">
        <v>25</v>
      </c>
      <c r="AC22" t="s">
        <v>22</v>
      </c>
      <c r="AD22" t="s">
        <v>264</v>
      </c>
      <c r="AE22">
        <v>6.3631036630678248E-2</v>
      </c>
      <c r="AG22" t="s">
        <v>97</v>
      </c>
      <c r="AH22" t="s">
        <v>264</v>
      </c>
      <c r="AI22">
        <v>0.12934158109639937</v>
      </c>
    </row>
    <row r="23" spans="9:35" x14ac:dyDescent="0.45">
      <c r="I23" t="s">
        <v>249</v>
      </c>
      <c r="J23" t="s">
        <v>267</v>
      </c>
      <c r="K23">
        <v>6.2411834333347205E-3</v>
      </c>
      <c r="L23" t="s">
        <v>251</v>
      </c>
      <c r="N23" t="s">
        <v>419</v>
      </c>
      <c r="O23" t="s">
        <v>267</v>
      </c>
      <c r="P23">
        <v>3.8591240008100672E-2</v>
      </c>
      <c r="Q23" t="s">
        <v>251</v>
      </c>
      <c r="S23" t="s">
        <v>420</v>
      </c>
      <c r="T23" t="s">
        <v>267</v>
      </c>
      <c r="U23">
        <v>3.5529964231489436E-2</v>
      </c>
      <c r="V23" t="s">
        <v>251</v>
      </c>
      <c r="X23">
        <v>4.954337899543379E-2</v>
      </c>
      <c r="Y23">
        <v>1.956558851071941E-2</v>
      </c>
      <c r="Z23" t="s">
        <v>267</v>
      </c>
      <c r="AA23" t="s">
        <v>25</v>
      </c>
      <c r="AC23" t="s">
        <v>22</v>
      </c>
      <c r="AD23" t="s">
        <v>267</v>
      </c>
      <c r="AE23">
        <v>4.7276554576106987E-2</v>
      </c>
      <c r="AG23" t="s">
        <v>97</v>
      </c>
      <c r="AH23" t="s">
        <v>267</v>
      </c>
      <c r="AI23">
        <v>0.2700237745170202</v>
      </c>
    </row>
    <row r="24" spans="9:35" x14ac:dyDescent="0.45">
      <c r="I24" t="s">
        <v>249</v>
      </c>
      <c r="J24" t="s">
        <v>268</v>
      </c>
      <c r="K24">
        <v>1.07572630174484E-2</v>
      </c>
      <c r="L24" t="s">
        <v>251</v>
      </c>
      <c r="N24" t="s">
        <v>419</v>
      </c>
      <c r="O24" t="s">
        <v>268</v>
      </c>
      <c r="P24">
        <v>3.4134170530241569E-3</v>
      </c>
      <c r="Q24" t="s">
        <v>251</v>
      </c>
      <c r="S24" t="s">
        <v>420</v>
      </c>
      <c r="T24" t="s">
        <v>268</v>
      </c>
      <c r="U24">
        <v>4.4263679553930204E-3</v>
      </c>
      <c r="V24" t="s">
        <v>251</v>
      </c>
      <c r="X24">
        <v>7.0776255707762558E-3</v>
      </c>
      <c r="Y24">
        <v>1.1817451043764349E-2</v>
      </c>
      <c r="Z24" t="s">
        <v>268</v>
      </c>
      <c r="AA24" t="s">
        <v>25</v>
      </c>
      <c r="AC24" t="s">
        <v>22</v>
      </c>
      <c r="AD24" t="s">
        <v>268</v>
      </c>
      <c r="AE24">
        <v>5.4575235829991738E-3</v>
      </c>
      <c r="AG24" t="s">
        <v>97</v>
      </c>
      <c r="AH24" t="s">
        <v>268</v>
      </c>
      <c r="AI24">
        <v>7.2922955997208883E-2</v>
      </c>
    </row>
    <row r="25" spans="9:35" x14ac:dyDescent="0.45">
      <c r="I25" t="s">
        <v>249</v>
      </c>
      <c r="J25" t="s">
        <v>269</v>
      </c>
      <c r="K25">
        <v>0.11143833580062031</v>
      </c>
      <c r="L25" t="s">
        <v>251</v>
      </c>
      <c r="N25" t="s">
        <v>419</v>
      </c>
      <c r="O25" t="s">
        <v>269</v>
      </c>
      <c r="P25">
        <v>2.3634409798835146E-2</v>
      </c>
      <c r="Q25" t="s">
        <v>251</v>
      </c>
      <c r="S25" t="s">
        <v>420</v>
      </c>
      <c r="T25" t="s">
        <v>269</v>
      </c>
      <c r="U25">
        <v>2.9359904431188272E-2</v>
      </c>
      <c r="V25" t="s">
        <v>251</v>
      </c>
      <c r="X25">
        <v>4.954337899543379E-2</v>
      </c>
      <c r="Y25">
        <v>6.2848287464054575E-2</v>
      </c>
      <c r="Z25" t="s">
        <v>269</v>
      </c>
      <c r="AA25" t="s">
        <v>25</v>
      </c>
      <c r="AC25" t="s">
        <v>22</v>
      </c>
      <c r="AD25" t="s">
        <v>269</v>
      </c>
      <c r="AE25">
        <v>4.3532826872490028E-2</v>
      </c>
      <c r="AG25" t="s">
        <v>97</v>
      </c>
      <c r="AH25" t="s">
        <v>269</v>
      </c>
      <c r="AI25">
        <v>0.21630638329155016</v>
      </c>
    </row>
    <row r="26" spans="9:35" x14ac:dyDescent="0.45">
      <c r="I26" t="s">
        <v>249</v>
      </c>
      <c r="J26" t="s">
        <v>270</v>
      </c>
      <c r="K26">
        <v>2.7380093010615301E-2</v>
      </c>
      <c r="L26" t="s">
        <v>251</v>
      </c>
      <c r="N26" t="s">
        <v>419</v>
      </c>
      <c r="O26" t="s">
        <v>270</v>
      </c>
      <c r="P26">
        <v>7.3986175860602651E-3</v>
      </c>
      <c r="Q26" t="s">
        <v>251</v>
      </c>
      <c r="S26" t="s">
        <v>420</v>
      </c>
      <c r="T26" t="s">
        <v>270</v>
      </c>
      <c r="U26">
        <v>9.3816103767488581E-3</v>
      </c>
      <c r="V26" t="s">
        <v>251</v>
      </c>
      <c r="X26">
        <v>1.4155251141552512E-2</v>
      </c>
      <c r="Y26">
        <v>2.4456985638399258E-2</v>
      </c>
      <c r="Z26" t="s">
        <v>270</v>
      </c>
      <c r="AA26" t="s">
        <v>25</v>
      </c>
      <c r="AC26" t="s">
        <v>22</v>
      </c>
      <c r="AD26" t="s">
        <v>270</v>
      </c>
      <c r="AE26">
        <v>1.4810733538673926E-2</v>
      </c>
      <c r="AG26" t="s">
        <v>97</v>
      </c>
      <c r="AH26" t="s">
        <v>270</v>
      </c>
      <c r="AI26">
        <v>0.12521779070532069</v>
      </c>
    </row>
    <row r="27" spans="9:35" x14ac:dyDescent="0.45">
      <c r="I27" t="s">
        <v>249</v>
      </c>
      <c r="J27" t="s">
        <v>271</v>
      </c>
      <c r="K27">
        <v>1.0352957739441501E-2</v>
      </c>
      <c r="L27" t="s">
        <v>251</v>
      </c>
      <c r="N27" t="s">
        <v>419</v>
      </c>
      <c r="O27" t="s">
        <v>271</v>
      </c>
      <c r="P27">
        <v>3.9530561461779273E-3</v>
      </c>
      <c r="Q27" t="s">
        <v>251</v>
      </c>
      <c r="S27" t="s">
        <v>420</v>
      </c>
      <c r="T27" t="s">
        <v>271</v>
      </c>
      <c r="U27">
        <v>4.6133159193772278E-3</v>
      </c>
      <c r="V27" t="s">
        <v>251</v>
      </c>
      <c r="X27">
        <v>7.0776255707762558E-3</v>
      </c>
      <c r="Y27">
        <v>1.376989947708193E-2</v>
      </c>
      <c r="Z27" t="s">
        <v>271</v>
      </c>
      <c r="AA27" t="s">
        <v>25</v>
      </c>
      <c r="AC27" t="s">
        <v>22</v>
      </c>
      <c r="AD27" t="s">
        <v>271</v>
      </c>
      <c r="AE27">
        <v>7.5533265892379908E-3</v>
      </c>
      <c r="AG27" t="s">
        <v>97</v>
      </c>
      <c r="AH27" t="s">
        <v>271</v>
      </c>
      <c r="AI27">
        <v>0.12073206357803623</v>
      </c>
    </row>
    <row r="28" spans="9:35" x14ac:dyDescent="0.45">
      <c r="I28" t="s">
        <v>249</v>
      </c>
      <c r="J28" t="s">
        <v>272</v>
      </c>
      <c r="K28">
        <v>1.0136593556209987E-2</v>
      </c>
      <c r="L28" t="s">
        <v>251</v>
      </c>
      <c r="N28" t="s">
        <v>419</v>
      </c>
      <c r="O28" t="s">
        <v>272</v>
      </c>
      <c r="P28">
        <v>3.651720221436508E-2</v>
      </c>
      <c r="Q28" t="s">
        <v>251</v>
      </c>
      <c r="S28" t="s">
        <v>420</v>
      </c>
      <c r="T28" t="s">
        <v>272</v>
      </c>
      <c r="U28">
        <v>3.1326445538160393E-2</v>
      </c>
      <c r="V28" t="s">
        <v>251</v>
      </c>
      <c r="X28">
        <v>4.2465753424657533E-2</v>
      </c>
      <c r="Y28">
        <v>3.7404801564610637E-2</v>
      </c>
      <c r="Z28" t="s">
        <v>272</v>
      </c>
      <c r="AA28" t="s">
        <v>25</v>
      </c>
      <c r="AC28" t="s">
        <v>22</v>
      </c>
      <c r="AD28" t="s">
        <v>272</v>
      </c>
      <c r="AE28">
        <v>4.6722418816356748E-2</v>
      </c>
      <c r="AG28" t="s">
        <v>97</v>
      </c>
      <c r="AH28" t="s">
        <v>272</v>
      </c>
      <c r="AI28">
        <v>0.15170309383290848</v>
      </c>
    </row>
    <row r="29" spans="9:35" x14ac:dyDescent="0.45">
      <c r="I29" t="s">
        <v>249</v>
      </c>
      <c r="J29" t="s">
        <v>299</v>
      </c>
      <c r="K29">
        <v>1.7203616204601584E-3</v>
      </c>
      <c r="L29" t="s">
        <v>251</v>
      </c>
      <c r="N29" t="s">
        <v>419</v>
      </c>
      <c r="O29" t="s">
        <v>299</v>
      </c>
      <c r="P29">
        <v>0.11634977916773205</v>
      </c>
      <c r="Q29" t="s">
        <v>251</v>
      </c>
      <c r="S29" t="s">
        <v>420</v>
      </c>
      <c r="T29" t="s">
        <v>299</v>
      </c>
      <c r="U29">
        <v>0.11091128508800407</v>
      </c>
      <c r="V29" t="s">
        <v>251</v>
      </c>
      <c r="X29">
        <v>9.7488584474885842E-2</v>
      </c>
      <c r="Y29">
        <v>3.8500029004964E-2</v>
      </c>
      <c r="Z29" t="s">
        <v>299</v>
      </c>
      <c r="AA29" t="s">
        <v>25</v>
      </c>
      <c r="AC29" t="s">
        <v>22</v>
      </c>
      <c r="AD29" t="s">
        <v>299</v>
      </c>
      <c r="AE29">
        <v>9.6528314423647482E-2</v>
      </c>
      <c r="AG29" t="s">
        <v>97</v>
      </c>
      <c r="AH29" t="s">
        <v>299</v>
      </c>
      <c r="AI29">
        <v>0.30452780601113361</v>
      </c>
    </row>
    <row r="30" spans="9:35" x14ac:dyDescent="0.45">
      <c r="I30" t="s">
        <v>249</v>
      </c>
      <c r="J30" t="s">
        <v>300</v>
      </c>
      <c r="K30">
        <v>1.2537262557740765E-2</v>
      </c>
      <c r="L30" t="s">
        <v>251</v>
      </c>
      <c r="N30" t="s">
        <v>419</v>
      </c>
      <c r="O30" t="s">
        <v>300</v>
      </c>
      <c r="P30">
        <v>1.5029011699185808E-2</v>
      </c>
      <c r="Q30" t="s">
        <v>251</v>
      </c>
      <c r="S30" t="s">
        <v>420</v>
      </c>
      <c r="T30" t="s">
        <v>300</v>
      </c>
      <c r="U30">
        <v>1.4948997670072338E-2</v>
      </c>
      <c r="V30" t="s">
        <v>251</v>
      </c>
      <c r="X30">
        <v>1.3926940639269407E-2</v>
      </c>
      <c r="Y30">
        <v>2.3253693989342742E-2</v>
      </c>
      <c r="Z30" t="s">
        <v>300</v>
      </c>
      <c r="AA30" t="s">
        <v>25</v>
      </c>
      <c r="AC30" t="s">
        <v>22</v>
      </c>
      <c r="AD30" t="s">
        <v>300</v>
      </c>
      <c r="AE30">
        <v>1.0934253177823495E-2</v>
      </c>
      <c r="AG30" t="s">
        <v>97</v>
      </c>
      <c r="AH30" t="s">
        <v>300</v>
      </c>
      <c r="AI30">
        <v>0.15651917935522697</v>
      </c>
    </row>
    <row r="31" spans="9:35" x14ac:dyDescent="0.45">
      <c r="I31" t="s">
        <v>249</v>
      </c>
      <c r="J31" t="s">
        <v>301</v>
      </c>
      <c r="K31">
        <v>0.20286804355184215</v>
      </c>
      <c r="L31" t="s">
        <v>251</v>
      </c>
      <c r="N31" t="s">
        <v>419</v>
      </c>
      <c r="O31" t="s">
        <v>301</v>
      </c>
      <c r="P31">
        <v>9.1709080932813991E-2</v>
      </c>
      <c r="Q31" t="s">
        <v>251</v>
      </c>
      <c r="S31" t="s">
        <v>420</v>
      </c>
      <c r="T31" t="s">
        <v>301</v>
      </c>
      <c r="U31">
        <v>0.10029443264825166</v>
      </c>
      <c r="V31" t="s">
        <v>251</v>
      </c>
      <c r="X31">
        <v>9.7488584474885842E-2</v>
      </c>
      <c r="Y31">
        <v>0.12366921081636545</v>
      </c>
      <c r="Z31" t="s">
        <v>301</v>
      </c>
      <c r="AA31" t="s">
        <v>25</v>
      </c>
      <c r="AC31" t="s">
        <v>22</v>
      </c>
      <c r="AD31" t="s">
        <v>301</v>
      </c>
      <c r="AE31">
        <v>8.8981425590572566E-2</v>
      </c>
      <c r="AG31" t="s">
        <v>97</v>
      </c>
      <c r="AH31" t="s">
        <v>301</v>
      </c>
      <c r="AI31">
        <v>0.34761416414448343</v>
      </c>
    </row>
    <row r="32" spans="9:35" x14ac:dyDescent="0.45">
      <c r="I32" t="s">
        <v>249</v>
      </c>
      <c r="J32" t="s">
        <v>302</v>
      </c>
      <c r="K32">
        <v>5.2624813805373344E-2</v>
      </c>
      <c r="L32" t="s">
        <v>251</v>
      </c>
      <c r="N32" t="s">
        <v>419</v>
      </c>
      <c r="O32" t="s">
        <v>302</v>
      </c>
      <c r="P32">
        <v>2.5498502080403957E-2</v>
      </c>
      <c r="Q32" t="s">
        <v>251</v>
      </c>
      <c r="S32" t="s">
        <v>420</v>
      </c>
      <c r="T32" t="s">
        <v>302</v>
      </c>
      <c r="U32">
        <v>2.9331115655799388E-2</v>
      </c>
      <c r="V32" t="s">
        <v>251</v>
      </c>
      <c r="X32">
        <v>2.7853881278538814E-2</v>
      </c>
      <c r="Y32">
        <v>4.8125036256204991E-2</v>
      </c>
      <c r="Z32" t="s">
        <v>302</v>
      </c>
      <c r="AA32" t="s">
        <v>25</v>
      </c>
      <c r="AC32" t="s">
        <v>22</v>
      </c>
      <c r="AD32" t="s">
        <v>302</v>
      </c>
      <c r="AE32">
        <v>2.9459631440407679E-2</v>
      </c>
      <c r="AG32" t="s">
        <v>97</v>
      </c>
      <c r="AH32" t="s">
        <v>302</v>
      </c>
      <c r="AI32">
        <v>0.13834402205205376</v>
      </c>
    </row>
    <row r="33" spans="9:35" x14ac:dyDescent="0.45">
      <c r="I33" t="s">
        <v>249</v>
      </c>
      <c r="J33" t="s">
        <v>303</v>
      </c>
      <c r="K33">
        <v>1.3437517735764926E-2</v>
      </c>
      <c r="L33" t="s">
        <v>251</v>
      </c>
      <c r="N33" t="s">
        <v>419</v>
      </c>
      <c r="O33" t="s">
        <v>303</v>
      </c>
      <c r="P33">
        <v>1.352242607892175E-2</v>
      </c>
      <c r="Q33" t="s">
        <v>251</v>
      </c>
      <c r="S33" t="s">
        <v>420</v>
      </c>
      <c r="T33" t="s">
        <v>303</v>
      </c>
      <c r="U33">
        <v>1.5021391437268246E-2</v>
      </c>
      <c r="V33" t="s">
        <v>251</v>
      </c>
      <c r="X33">
        <v>1.3926940639269407E-2</v>
      </c>
      <c r="Y33">
        <v>2.7095608648451557E-2</v>
      </c>
      <c r="Z33" t="s">
        <v>303</v>
      </c>
      <c r="AA33" t="s">
        <v>25</v>
      </c>
      <c r="AC33" t="s">
        <v>22</v>
      </c>
      <c r="AD33" t="s">
        <v>303</v>
      </c>
      <c r="AE33">
        <v>1.4804899322126129E-2</v>
      </c>
      <c r="AG33" t="s">
        <v>97</v>
      </c>
      <c r="AH33" t="s">
        <v>303</v>
      </c>
      <c r="AI33">
        <v>0.14307228652364556</v>
      </c>
    </row>
    <row r="34" spans="9:35" x14ac:dyDescent="0.45">
      <c r="I34" t="s">
        <v>249</v>
      </c>
      <c r="J34" t="s">
        <v>304</v>
      </c>
      <c r="K34">
        <v>2.9617992848444095E-3</v>
      </c>
      <c r="L34" t="s">
        <v>251</v>
      </c>
      <c r="N34" t="s">
        <v>419</v>
      </c>
      <c r="O34" t="s">
        <v>304</v>
      </c>
      <c r="P34">
        <v>9.6353147892367555E-2</v>
      </c>
      <c r="Q34" t="s">
        <v>251</v>
      </c>
      <c r="S34" t="s">
        <v>420</v>
      </c>
      <c r="T34" t="s">
        <v>304</v>
      </c>
      <c r="U34">
        <v>0.10046369568340664</v>
      </c>
      <c r="V34" t="s">
        <v>251</v>
      </c>
      <c r="X34">
        <v>8.3561643835616442E-2</v>
      </c>
      <c r="Y34">
        <v>7.3602996627137054E-2</v>
      </c>
      <c r="Z34" t="s">
        <v>304</v>
      </c>
      <c r="AA34" t="s">
        <v>25</v>
      </c>
      <c r="AC34" t="s">
        <v>22</v>
      </c>
      <c r="AD34" t="s">
        <v>304</v>
      </c>
      <c r="AE34">
        <v>9.0251181428364663E-2</v>
      </c>
      <c r="AG34" t="s">
        <v>97</v>
      </c>
      <c r="AH34" t="s">
        <v>304</v>
      </c>
      <c r="AI34">
        <v>0.21146912457117861</v>
      </c>
    </row>
    <row r="35" spans="9:35" x14ac:dyDescent="0.45">
      <c r="AC35" t="s">
        <v>19</v>
      </c>
      <c r="AD35" t="s">
        <v>250</v>
      </c>
      <c r="AE35">
        <v>7.2083990601187517E-2</v>
      </c>
    </row>
    <row r="36" spans="9:35" x14ac:dyDescent="0.45">
      <c r="AC36" t="s">
        <v>19</v>
      </c>
      <c r="AD36" t="s">
        <v>252</v>
      </c>
      <c r="AE36">
        <v>1.0084422168843272E-2</v>
      </c>
    </row>
    <row r="37" spans="9:35" x14ac:dyDescent="0.45">
      <c r="AC37" t="s">
        <v>19</v>
      </c>
      <c r="AD37" t="s">
        <v>253</v>
      </c>
      <c r="AE37">
        <v>7.1401046181164468E-2</v>
      </c>
    </row>
    <row r="38" spans="9:35" x14ac:dyDescent="0.45">
      <c r="AC38" t="s">
        <v>19</v>
      </c>
      <c r="AD38" t="s">
        <v>254</v>
      </c>
      <c r="AE38">
        <v>2.0662571294504238E-2</v>
      </c>
    </row>
    <row r="39" spans="9:35" x14ac:dyDescent="0.45">
      <c r="AC39" t="s">
        <v>19</v>
      </c>
      <c r="AD39" t="s">
        <v>255</v>
      </c>
      <c r="AE39">
        <v>1.0344567392750947E-2</v>
      </c>
    </row>
    <row r="40" spans="9:35" x14ac:dyDescent="0.45">
      <c r="AC40" t="s">
        <v>19</v>
      </c>
      <c r="AD40" t="s">
        <v>256</v>
      </c>
      <c r="AE40">
        <v>6.2187491569881327E-2</v>
      </c>
    </row>
    <row r="41" spans="9:35" x14ac:dyDescent="0.45">
      <c r="AC41" t="s">
        <v>19</v>
      </c>
      <c r="AD41" t="s">
        <v>259</v>
      </c>
      <c r="AE41">
        <v>7.2552930904646984E-2</v>
      </c>
    </row>
    <row r="42" spans="9:35" x14ac:dyDescent="0.45">
      <c r="AC42" t="s">
        <v>19</v>
      </c>
      <c r="AD42" t="s">
        <v>260</v>
      </c>
      <c r="AE42">
        <v>1.0217169293460714E-2</v>
      </c>
    </row>
    <row r="43" spans="9:35" x14ac:dyDescent="0.45">
      <c r="AC43" t="s">
        <v>19</v>
      </c>
      <c r="AD43" t="s">
        <v>261</v>
      </c>
      <c r="AE43">
        <v>7.2368305995599125E-2</v>
      </c>
    </row>
    <row r="44" spans="9:35" x14ac:dyDescent="0.45">
      <c r="AC44" t="s">
        <v>19</v>
      </c>
      <c r="AD44" t="s">
        <v>262</v>
      </c>
      <c r="AE44">
        <v>2.0881064390030707E-2</v>
      </c>
    </row>
    <row r="45" spans="9:35" x14ac:dyDescent="0.45">
      <c r="AC45" t="s">
        <v>19</v>
      </c>
      <c r="AD45" t="s">
        <v>263</v>
      </c>
      <c r="AE45">
        <v>1.0442623832692498E-2</v>
      </c>
    </row>
    <row r="46" spans="9:35" x14ac:dyDescent="0.45">
      <c r="AC46" t="s">
        <v>19</v>
      </c>
      <c r="AD46" t="s">
        <v>264</v>
      </c>
      <c r="AE46">
        <v>6.2725873466352056E-2</v>
      </c>
    </row>
    <row r="47" spans="9:35" x14ac:dyDescent="0.45">
      <c r="AC47" t="s">
        <v>19</v>
      </c>
      <c r="AD47" t="s">
        <v>267</v>
      </c>
      <c r="AE47">
        <v>4.9456284235322667E-2</v>
      </c>
    </row>
    <row r="48" spans="9:35" x14ac:dyDescent="0.45">
      <c r="AC48" t="s">
        <v>19</v>
      </c>
      <c r="AD48" t="s">
        <v>268</v>
      </c>
      <c r="AE48">
        <v>6.9607005933837009E-3</v>
      </c>
    </row>
    <row r="49" spans="29:31" x14ac:dyDescent="0.45">
      <c r="AC49" t="s">
        <v>19</v>
      </c>
      <c r="AD49" t="s">
        <v>269</v>
      </c>
      <c r="AE49">
        <v>4.9154529637697043E-2</v>
      </c>
    </row>
    <row r="50" spans="29:31" x14ac:dyDescent="0.45">
      <c r="AC50" t="s">
        <v>19</v>
      </c>
      <c r="AD50" t="s">
        <v>270</v>
      </c>
      <c r="AE50">
        <v>1.4235404064895166E-2</v>
      </c>
    </row>
    <row r="51" spans="29:31" x14ac:dyDescent="0.45">
      <c r="AC51" t="s">
        <v>19</v>
      </c>
      <c r="AD51" t="s">
        <v>271</v>
      </c>
      <c r="AE51">
        <v>7.1296279948715752E-3</v>
      </c>
    </row>
    <row r="52" spans="29:31" x14ac:dyDescent="0.45">
      <c r="AC52" t="s">
        <v>19</v>
      </c>
      <c r="AD52" t="s">
        <v>272</v>
      </c>
      <c r="AE52">
        <v>4.2890809987641776E-2</v>
      </c>
    </row>
    <row r="53" spans="29:31" x14ac:dyDescent="0.45">
      <c r="AC53" t="s">
        <v>19</v>
      </c>
      <c r="AD53" t="s">
        <v>299</v>
      </c>
      <c r="AE53">
        <v>9.7480875429397276E-2</v>
      </c>
    </row>
    <row r="54" spans="29:31" x14ac:dyDescent="0.45">
      <c r="AC54" t="s">
        <v>19</v>
      </c>
      <c r="AD54" t="s">
        <v>300</v>
      </c>
      <c r="AE54">
        <v>1.3695677823576738E-2</v>
      </c>
    </row>
    <row r="55" spans="29:31" x14ac:dyDescent="0.45">
      <c r="AC55" t="s">
        <v>19</v>
      </c>
      <c r="AD55" t="s">
        <v>301</v>
      </c>
      <c r="AE55">
        <v>9.6872575738971164E-2</v>
      </c>
    </row>
    <row r="56" spans="29:31" x14ac:dyDescent="0.45">
      <c r="AC56" t="s">
        <v>19</v>
      </c>
      <c r="AD56" t="s">
        <v>302</v>
      </c>
      <c r="AE56">
        <v>2.8003220899336399E-2</v>
      </c>
    </row>
    <row r="57" spans="29:31" x14ac:dyDescent="0.45">
      <c r="AC57" t="s">
        <v>19</v>
      </c>
      <c r="AD57" t="s">
        <v>303</v>
      </c>
      <c r="AE57">
        <v>1.4007662391443892E-2</v>
      </c>
    </row>
    <row r="58" spans="29:31" x14ac:dyDescent="0.45">
      <c r="AC58" t="s">
        <v>19</v>
      </c>
      <c r="AD58" t="s">
        <v>304</v>
      </c>
      <c r="AE58">
        <v>8.4160574112348785E-2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8EB130-A36C-4B9B-B194-0950185BE31E}">
  <dimension ref="A9:AN9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127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248</v>
      </c>
      <c r="L10" t="s">
        <v>30</v>
      </c>
      <c r="N10" t="s">
        <v>13</v>
      </c>
      <c r="O10" t="s">
        <v>122</v>
      </c>
      <c r="P10" t="s">
        <v>248</v>
      </c>
      <c r="Q10" t="s">
        <v>30</v>
      </c>
      <c r="S10" t="s">
        <v>13</v>
      </c>
      <c r="T10" t="s">
        <v>122</v>
      </c>
      <c r="U10" t="s">
        <v>248</v>
      </c>
      <c r="V10" t="s">
        <v>30</v>
      </c>
      <c r="X10" t="s">
        <v>421</v>
      </c>
      <c r="Y10" t="s">
        <v>248</v>
      </c>
      <c r="Z10" t="s">
        <v>122</v>
      </c>
      <c r="AA10" t="s">
        <v>13</v>
      </c>
      <c r="AC10" t="s">
        <v>13</v>
      </c>
      <c r="AD10" t="s">
        <v>122</v>
      </c>
      <c r="AE10" t="s">
        <v>248</v>
      </c>
      <c r="AG10" t="s">
        <v>13</v>
      </c>
      <c r="AH10" t="s">
        <v>122</v>
      </c>
      <c r="AI10" t="s">
        <v>427</v>
      </c>
      <c r="AK10" t="s">
        <v>47</v>
      </c>
      <c r="AL10" t="s">
        <v>122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240</v>
      </c>
      <c r="F11" t="s">
        <v>2111</v>
      </c>
      <c r="G11" t="s">
        <v>152</v>
      </c>
      <c r="I11" t="s">
        <v>249</v>
      </c>
      <c r="J11" t="s">
        <v>250</v>
      </c>
      <c r="K11">
        <v>0</v>
      </c>
      <c r="L11" t="s">
        <v>251</v>
      </c>
      <c r="N11" t="s">
        <v>419</v>
      </c>
      <c r="O11" t="s">
        <v>250</v>
      </c>
      <c r="P11">
        <v>2.9741743889819341E-2</v>
      </c>
      <c r="Q11" t="s">
        <v>251</v>
      </c>
      <c r="S11" t="s">
        <v>420</v>
      </c>
      <c r="T11" t="s">
        <v>250</v>
      </c>
      <c r="U11">
        <v>3.1079689368246611E-2</v>
      </c>
      <c r="V11" t="s">
        <v>251</v>
      </c>
      <c r="X11">
        <v>2.4771689497716895E-2</v>
      </c>
      <c r="Y11">
        <v>9.7827942553597048E-3</v>
      </c>
      <c r="Z11" t="s">
        <v>250</v>
      </c>
      <c r="AA11" t="s">
        <v>25</v>
      </c>
      <c r="AC11" t="s">
        <v>22</v>
      </c>
      <c r="AD11" t="s">
        <v>250</v>
      </c>
      <c r="AE11">
        <v>2.8917064420025503E-2</v>
      </c>
      <c r="AG11" t="s">
        <v>97</v>
      </c>
      <c r="AH11" t="s">
        <v>250</v>
      </c>
      <c r="AI11">
        <v>0.15655359837938132</v>
      </c>
    </row>
    <row r="12" spans="1:40" x14ac:dyDescent="0.45">
      <c r="C12" t="s">
        <v>156</v>
      </c>
      <c r="E12" t="s">
        <v>241</v>
      </c>
      <c r="G12" t="s">
        <v>152</v>
      </c>
      <c r="I12" t="s">
        <v>249</v>
      </c>
      <c r="J12" t="s">
        <v>252</v>
      </c>
      <c r="K12">
        <v>2.0106799524999386E-4</v>
      </c>
      <c r="L12" t="s">
        <v>251</v>
      </c>
      <c r="N12" t="s">
        <v>419</v>
      </c>
      <c r="O12" t="s">
        <v>252</v>
      </c>
      <c r="P12">
        <v>4.033150452332668E-3</v>
      </c>
      <c r="Q12" t="s">
        <v>251</v>
      </c>
      <c r="S12" t="s">
        <v>420</v>
      </c>
      <c r="T12" t="s">
        <v>252</v>
      </c>
      <c r="U12">
        <v>4.30556758140406E-3</v>
      </c>
      <c r="V12" t="s">
        <v>251</v>
      </c>
      <c r="X12">
        <v>3.5388127853881279E-3</v>
      </c>
      <c r="Y12">
        <v>5.9087255218821738E-3</v>
      </c>
      <c r="Z12" t="s">
        <v>252</v>
      </c>
      <c r="AA12" t="s">
        <v>25</v>
      </c>
      <c r="AC12" t="s">
        <v>22</v>
      </c>
      <c r="AD12" t="s">
        <v>252</v>
      </c>
      <c r="AE12">
        <v>3.1520688773489483E-3</v>
      </c>
      <c r="AG12" t="s">
        <v>97</v>
      </c>
      <c r="AH12" t="s">
        <v>252</v>
      </c>
      <c r="AI12">
        <v>3.7632188426626412E-2</v>
      </c>
    </row>
    <row r="13" spans="1:40" x14ac:dyDescent="0.45">
      <c r="C13" t="s">
        <v>158</v>
      </c>
      <c r="E13" t="s">
        <v>242</v>
      </c>
      <c r="G13" t="s">
        <v>152</v>
      </c>
      <c r="I13" t="s">
        <v>249</v>
      </c>
      <c r="J13" t="s">
        <v>253</v>
      </c>
      <c r="K13">
        <v>4.9834507681872697E-2</v>
      </c>
      <c r="L13" t="s">
        <v>251</v>
      </c>
      <c r="N13" t="s">
        <v>419</v>
      </c>
      <c r="O13" t="s">
        <v>253</v>
      </c>
      <c r="P13">
        <v>2.3667065373781479E-2</v>
      </c>
      <c r="Q13" t="s">
        <v>251</v>
      </c>
      <c r="S13" t="s">
        <v>420</v>
      </c>
      <c r="T13" t="s">
        <v>253</v>
      </c>
      <c r="U13">
        <v>2.8474195890723288E-2</v>
      </c>
      <c r="V13" t="s">
        <v>251</v>
      </c>
      <c r="X13">
        <v>2.4771689497716895E-2</v>
      </c>
      <c r="Y13">
        <v>3.1424143732027281E-2</v>
      </c>
      <c r="Z13" t="s">
        <v>253</v>
      </c>
      <c r="AA13" t="s">
        <v>25</v>
      </c>
      <c r="AC13" t="s">
        <v>22</v>
      </c>
      <c r="AD13" t="s">
        <v>253</v>
      </c>
      <c r="AE13">
        <v>2.5346104661222169E-2</v>
      </c>
      <c r="AG13" t="s">
        <v>97</v>
      </c>
      <c r="AH13" t="s">
        <v>253</v>
      </c>
      <c r="AI13">
        <v>0.28402737458105975</v>
      </c>
    </row>
    <row r="14" spans="1:40" x14ac:dyDescent="0.45">
      <c r="C14" t="s">
        <v>161</v>
      </c>
      <c r="E14" t="s">
        <v>243</v>
      </c>
      <c r="G14" t="s">
        <v>152</v>
      </c>
      <c r="I14" t="s">
        <v>249</v>
      </c>
      <c r="J14" t="s">
        <v>254</v>
      </c>
      <c r="K14">
        <v>1.4206873989966298E-2</v>
      </c>
      <c r="L14" t="s">
        <v>251</v>
      </c>
      <c r="N14" t="s">
        <v>419</v>
      </c>
      <c r="O14" t="s">
        <v>254</v>
      </c>
      <c r="P14">
        <v>6.2843451198903643E-3</v>
      </c>
      <c r="Q14" t="s">
        <v>251</v>
      </c>
      <c r="S14" t="s">
        <v>420</v>
      </c>
      <c r="T14" t="s">
        <v>254</v>
      </c>
      <c r="U14">
        <v>8.1233240370583749E-3</v>
      </c>
      <c r="V14" t="s">
        <v>251</v>
      </c>
      <c r="X14">
        <v>7.0776255707762558E-3</v>
      </c>
      <c r="Y14">
        <v>1.2228492819199624E-2</v>
      </c>
      <c r="Z14" t="s">
        <v>254</v>
      </c>
      <c r="AA14" t="s">
        <v>25</v>
      </c>
      <c r="AC14" t="s">
        <v>22</v>
      </c>
      <c r="AD14" t="s">
        <v>254</v>
      </c>
      <c r="AE14">
        <v>8.4843981412298757E-3</v>
      </c>
      <c r="AG14" t="s">
        <v>97</v>
      </c>
      <c r="AH14" t="s">
        <v>254</v>
      </c>
      <c r="AI14">
        <v>6.0715803758541798E-2</v>
      </c>
    </row>
    <row r="15" spans="1:40" x14ac:dyDescent="0.45">
      <c r="C15" t="s">
        <v>165</v>
      </c>
      <c r="E15" t="s">
        <v>244</v>
      </c>
      <c r="G15" t="s">
        <v>152</v>
      </c>
      <c r="I15" t="s">
        <v>249</v>
      </c>
      <c r="J15" t="s">
        <v>255</v>
      </c>
      <c r="K15">
        <v>3.8391612194623543E-3</v>
      </c>
      <c r="L15" t="s">
        <v>251</v>
      </c>
      <c r="N15" t="s">
        <v>419</v>
      </c>
      <c r="O15" t="s">
        <v>255</v>
      </c>
      <c r="P15">
        <v>3.4653706361787956E-3</v>
      </c>
      <c r="Q15" t="s">
        <v>251</v>
      </c>
      <c r="S15" t="s">
        <v>420</v>
      </c>
      <c r="T15" t="s">
        <v>255</v>
      </c>
      <c r="U15">
        <v>4.1657394600128654E-3</v>
      </c>
      <c r="V15" t="s">
        <v>251</v>
      </c>
      <c r="X15">
        <v>3.5388127853881279E-3</v>
      </c>
      <c r="Y15">
        <v>6.8849497385409693E-3</v>
      </c>
      <c r="Z15" t="s">
        <v>255</v>
      </c>
      <c r="AA15" t="s">
        <v>25</v>
      </c>
      <c r="AC15" t="s">
        <v>22</v>
      </c>
      <c r="AD15" t="s">
        <v>255</v>
      </c>
      <c r="AE15">
        <v>4.2859190921906275E-3</v>
      </c>
      <c r="AG15" t="s">
        <v>97</v>
      </c>
      <c r="AH15" t="s">
        <v>255</v>
      </c>
      <c r="AI15">
        <v>4.4527242369231779E-2</v>
      </c>
    </row>
    <row r="16" spans="1:40" x14ac:dyDescent="0.45">
      <c r="C16" t="s">
        <v>167</v>
      </c>
      <c r="E16" t="s">
        <v>245</v>
      </c>
      <c r="G16" t="s">
        <v>152</v>
      </c>
      <c r="I16" t="s">
        <v>249</v>
      </c>
      <c r="J16" t="s">
        <v>256</v>
      </c>
      <c r="K16">
        <v>2.5439683141916474E-5</v>
      </c>
      <c r="L16" t="s">
        <v>251</v>
      </c>
      <c r="N16" t="s">
        <v>419</v>
      </c>
      <c r="O16" t="s">
        <v>256</v>
      </c>
      <c r="P16">
        <v>2.4479808311505789E-2</v>
      </c>
      <c r="Q16" t="s">
        <v>251</v>
      </c>
      <c r="S16" t="s">
        <v>420</v>
      </c>
      <c r="T16" t="s">
        <v>256</v>
      </c>
      <c r="U16">
        <v>2.8289011003994943E-2</v>
      </c>
      <c r="V16" t="s">
        <v>251</v>
      </c>
      <c r="X16">
        <v>2.1232876712328767E-2</v>
      </c>
      <c r="Y16">
        <v>1.8702400782305319E-2</v>
      </c>
      <c r="Z16" t="s">
        <v>256</v>
      </c>
      <c r="AA16" t="s">
        <v>25</v>
      </c>
      <c r="AC16" t="s">
        <v>22</v>
      </c>
      <c r="AD16" t="s">
        <v>256</v>
      </c>
      <c r="AE16">
        <v>2.6355989111971137E-2</v>
      </c>
      <c r="AG16" t="s">
        <v>97</v>
      </c>
      <c r="AH16" t="s">
        <v>256</v>
      </c>
      <c r="AI16">
        <v>9.6362226456162325E-2</v>
      </c>
    </row>
    <row r="17" spans="3:35" x14ac:dyDescent="0.45">
      <c r="C17" t="s">
        <v>169</v>
      </c>
      <c r="I17" t="s">
        <v>249</v>
      </c>
      <c r="J17" t="s">
        <v>259</v>
      </c>
      <c r="K17">
        <v>3.098396949005206E-4</v>
      </c>
      <c r="L17" t="s">
        <v>251</v>
      </c>
      <c r="N17" t="s">
        <v>419</v>
      </c>
      <c r="O17" t="s">
        <v>259</v>
      </c>
      <c r="P17">
        <v>5.4837674207077851E-2</v>
      </c>
      <c r="Q17" t="s">
        <v>251</v>
      </c>
      <c r="S17" t="s">
        <v>420</v>
      </c>
      <c r="T17" t="s">
        <v>259</v>
      </c>
      <c r="U17">
        <v>4.9119910019324788E-2</v>
      </c>
      <c r="V17" t="s">
        <v>251</v>
      </c>
      <c r="X17">
        <v>4.714611872146119E-2</v>
      </c>
      <c r="Y17">
        <v>1.861886648600718E-2</v>
      </c>
      <c r="Z17" t="s">
        <v>259</v>
      </c>
      <c r="AA17" t="s">
        <v>25</v>
      </c>
      <c r="AC17" t="s">
        <v>22</v>
      </c>
      <c r="AD17" t="s">
        <v>259</v>
      </c>
      <c r="AE17">
        <v>5.1341915096174903E-2</v>
      </c>
      <c r="AG17" t="s">
        <v>97</v>
      </c>
      <c r="AH17" t="s">
        <v>259</v>
      </c>
      <c r="AI17">
        <v>0.21700406492778423</v>
      </c>
    </row>
    <row r="18" spans="3:35" x14ac:dyDescent="0.45">
      <c r="I18" t="s">
        <v>249</v>
      </c>
      <c r="J18" t="s">
        <v>260</v>
      </c>
      <c r="K18">
        <v>6.1940271944709319E-3</v>
      </c>
      <c r="L18" t="s">
        <v>251</v>
      </c>
      <c r="N18" t="s">
        <v>419</v>
      </c>
      <c r="O18" t="s">
        <v>260</v>
      </c>
      <c r="P18">
        <v>7.3835351236945235E-3</v>
      </c>
      <c r="Q18" t="s">
        <v>251</v>
      </c>
      <c r="S18" t="s">
        <v>420</v>
      </c>
      <c r="T18" t="s">
        <v>260</v>
      </c>
      <c r="U18">
        <v>6.9551565297522435E-3</v>
      </c>
      <c r="V18" t="s">
        <v>251</v>
      </c>
      <c r="X18">
        <v>6.735159817351598E-3</v>
      </c>
      <c r="Y18">
        <v>1.124563889648543E-2</v>
      </c>
      <c r="Z18" t="s">
        <v>260</v>
      </c>
      <c r="AA18" t="s">
        <v>25</v>
      </c>
      <c r="AC18" t="s">
        <v>22</v>
      </c>
      <c r="AD18" t="s">
        <v>260</v>
      </c>
      <c r="AE18">
        <v>5.6673010698488086E-3</v>
      </c>
      <c r="AG18" t="s">
        <v>97</v>
      </c>
      <c r="AH18" t="s">
        <v>260</v>
      </c>
      <c r="AI18">
        <v>8.7152957142239806E-2</v>
      </c>
    </row>
    <row r="19" spans="3:35" x14ac:dyDescent="0.45">
      <c r="I19" t="s">
        <v>249</v>
      </c>
      <c r="J19" t="s">
        <v>261</v>
      </c>
      <c r="K19">
        <v>0.11244720630328327</v>
      </c>
      <c r="L19" t="s">
        <v>251</v>
      </c>
      <c r="N19" t="s">
        <v>419</v>
      </c>
      <c r="O19" t="s">
        <v>261</v>
      </c>
      <c r="P19">
        <v>4.5438682603832915E-2</v>
      </c>
      <c r="Q19" t="s">
        <v>251</v>
      </c>
      <c r="S19" t="s">
        <v>420</v>
      </c>
      <c r="T19" t="s">
        <v>261</v>
      </c>
      <c r="U19">
        <v>4.6024880999428849E-2</v>
      </c>
      <c r="V19" t="s">
        <v>251</v>
      </c>
      <c r="X19">
        <v>4.714611872146119E-2</v>
      </c>
      <c r="Y19">
        <v>5.980724129643903E-2</v>
      </c>
      <c r="Z19" t="s">
        <v>261</v>
      </c>
      <c r="AA19" t="s">
        <v>25</v>
      </c>
      <c r="AC19" t="s">
        <v>22</v>
      </c>
      <c r="AD19" t="s">
        <v>261</v>
      </c>
      <c r="AE19">
        <v>4.6439903886552843E-2</v>
      </c>
      <c r="AG19" t="s">
        <v>97</v>
      </c>
      <c r="AH19" t="s">
        <v>261</v>
      </c>
      <c r="AI19">
        <v>0.28027451863205255</v>
      </c>
    </row>
    <row r="20" spans="3:35" x14ac:dyDescent="0.45">
      <c r="I20" t="s">
        <v>249</v>
      </c>
      <c r="J20" t="s">
        <v>262</v>
      </c>
      <c r="K20">
        <v>3.09915096319263E-2</v>
      </c>
      <c r="L20" t="s">
        <v>251</v>
      </c>
      <c r="N20" t="s">
        <v>419</v>
      </c>
      <c r="O20" t="s">
        <v>262</v>
      </c>
      <c r="P20">
        <v>1.3032284689402696E-2</v>
      </c>
      <c r="Q20" t="s">
        <v>251</v>
      </c>
      <c r="S20" t="s">
        <v>420</v>
      </c>
      <c r="T20" t="s">
        <v>262</v>
      </c>
      <c r="U20">
        <v>1.3467507784969246E-2</v>
      </c>
      <c r="V20" t="s">
        <v>251</v>
      </c>
      <c r="X20">
        <v>1.3470319634703196E-2</v>
      </c>
      <c r="Y20">
        <v>2.3273583107508974E-2</v>
      </c>
      <c r="Z20" t="s">
        <v>262</v>
      </c>
      <c r="AA20" t="s">
        <v>25</v>
      </c>
      <c r="AC20" t="s">
        <v>22</v>
      </c>
      <c r="AD20" t="s">
        <v>262</v>
      </c>
      <c r="AE20">
        <v>1.5279780440115034E-2</v>
      </c>
      <c r="AG20" t="s">
        <v>97</v>
      </c>
      <c r="AH20" t="s">
        <v>262</v>
      </c>
      <c r="AI20">
        <v>8.6690839714799406E-2</v>
      </c>
    </row>
    <row r="21" spans="3:35" x14ac:dyDescent="0.45">
      <c r="I21" t="s">
        <v>249</v>
      </c>
      <c r="J21" t="s">
        <v>263</v>
      </c>
      <c r="K21">
        <v>1.1390463065624258E-2</v>
      </c>
      <c r="L21" t="s">
        <v>251</v>
      </c>
      <c r="N21" t="s">
        <v>419</v>
      </c>
      <c r="O21" t="s">
        <v>263</v>
      </c>
      <c r="P21">
        <v>6.5090352112390512E-3</v>
      </c>
      <c r="Q21" t="s">
        <v>251</v>
      </c>
      <c r="S21" t="s">
        <v>420</v>
      </c>
      <c r="T21" t="s">
        <v>263</v>
      </c>
      <c r="U21">
        <v>6.7113749162142217E-3</v>
      </c>
      <c r="V21" t="s">
        <v>251</v>
      </c>
      <c r="X21">
        <v>6.735159817351598E-3</v>
      </c>
      <c r="Y21">
        <v>1.3103614018513452E-2</v>
      </c>
      <c r="Z21" t="s">
        <v>263</v>
      </c>
      <c r="AA21" t="s">
        <v>25</v>
      </c>
      <c r="AC21" t="s">
        <v>22</v>
      </c>
      <c r="AD21" t="s">
        <v>263</v>
      </c>
      <c r="AE21">
        <v>7.7609505828325686E-3</v>
      </c>
      <c r="AG21" t="s">
        <v>97</v>
      </c>
      <c r="AH21" t="s">
        <v>263</v>
      </c>
      <c r="AI21">
        <v>7.7556343324656218E-2</v>
      </c>
    </row>
    <row r="22" spans="3:35" x14ac:dyDescent="0.45">
      <c r="I22" t="s">
        <v>249</v>
      </c>
      <c r="J22" t="s">
        <v>264</v>
      </c>
      <c r="K22">
        <v>4.7314470408856236E-3</v>
      </c>
      <c r="L22" t="s">
        <v>251</v>
      </c>
      <c r="N22" t="s">
        <v>419</v>
      </c>
      <c r="O22" t="s">
        <v>264</v>
      </c>
      <c r="P22">
        <v>4.6264965315515549E-2</v>
      </c>
      <c r="Q22" t="s">
        <v>251</v>
      </c>
      <c r="S22" t="s">
        <v>420</v>
      </c>
      <c r="T22" t="s">
        <v>264</v>
      </c>
      <c r="U22">
        <v>4.6600963343671781E-2</v>
      </c>
      <c r="V22" t="s">
        <v>251</v>
      </c>
      <c r="X22">
        <v>4.041095890410959E-2</v>
      </c>
      <c r="Y22">
        <v>3.5594891811484314E-2</v>
      </c>
      <c r="Z22" t="s">
        <v>264</v>
      </c>
      <c r="AA22" t="s">
        <v>25</v>
      </c>
      <c r="AC22" t="s">
        <v>22</v>
      </c>
      <c r="AD22" t="s">
        <v>264</v>
      </c>
      <c r="AE22">
        <v>4.741509464726431E-2</v>
      </c>
      <c r="AG22" t="s">
        <v>97</v>
      </c>
      <c r="AH22" t="s">
        <v>264</v>
      </c>
      <c r="AI22">
        <v>0.14185155777824199</v>
      </c>
    </row>
    <row r="23" spans="3:35" x14ac:dyDescent="0.45">
      <c r="I23" t="s">
        <v>249</v>
      </c>
      <c r="J23" t="s">
        <v>267</v>
      </c>
      <c r="K23">
        <v>1.2968569669460866E-2</v>
      </c>
      <c r="L23" t="s">
        <v>251</v>
      </c>
      <c r="N23" t="s">
        <v>419</v>
      </c>
      <c r="O23" t="s">
        <v>267</v>
      </c>
      <c r="P23">
        <v>8.1530153875600794E-2</v>
      </c>
      <c r="Q23" t="s">
        <v>251</v>
      </c>
      <c r="S23" t="s">
        <v>420</v>
      </c>
      <c r="T23" t="s">
        <v>267</v>
      </c>
      <c r="U23">
        <v>7.1926766289090852E-2</v>
      </c>
      <c r="V23" t="s">
        <v>251</v>
      </c>
      <c r="X23">
        <v>7.2716894977168947E-2</v>
      </c>
      <c r="Y23">
        <v>2.8717234749604293E-2</v>
      </c>
      <c r="Z23" t="s">
        <v>267</v>
      </c>
      <c r="AA23" t="s">
        <v>25</v>
      </c>
      <c r="AC23" t="s">
        <v>22</v>
      </c>
      <c r="AD23" t="s">
        <v>267</v>
      </c>
      <c r="AE23">
        <v>6.6454153343362146E-2</v>
      </c>
      <c r="AG23" t="s">
        <v>97</v>
      </c>
      <c r="AH23" t="s">
        <v>267</v>
      </c>
      <c r="AI23">
        <v>0.2411433212723908</v>
      </c>
    </row>
    <row r="24" spans="3:35" x14ac:dyDescent="0.45">
      <c r="I24" t="s">
        <v>249</v>
      </c>
      <c r="J24" t="s">
        <v>268</v>
      </c>
      <c r="K24">
        <v>1.9078268840207201E-2</v>
      </c>
      <c r="L24" t="s">
        <v>251</v>
      </c>
      <c r="N24" t="s">
        <v>419</v>
      </c>
      <c r="O24" t="s">
        <v>268</v>
      </c>
      <c r="P24">
        <v>9.4762888586905503E-3</v>
      </c>
      <c r="Q24" t="s">
        <v>251</v>
      </c>
      <c r="S24" t="s">
        <v>420</v>
      </c>
      <c r="T24" t="s">
        <v>268</v>
      </c>
      <c r="U24">
        <v>9.4682662980401303E-3</v>
      </c>
      <c r="V24" t="s">
        <v>251</v>
      </c>
      <c r="X24">
        <v>1.0388127853881279E-2</v>
      </c>
      <c r="Y24">
        <v>1.7344968467460573E-2</v>
      </c>
      <c r="Z24" t="s">
        <v>268</v>
      </c>
      <c r="AA24" t="s">
        <v>25</v>
      </c>
      <c r="AC24" t="s">
        <v>22</v>
      </c>
      <c r="AD24" t="s">
        <v>268</v>
      </c>
      <c r="AE24">
        <v>7.6630514516584812E-3</v>
      </c>
      <c r="AG24" t="s">
        <v>97</v>
      </c>
      <c r="AH24" t="s">
        <v>268</v>
      </c>
      <c r="AI24">
        <v>7.3598666162655091E-2</v>
      </c>
    </row>
    <row r="25" spans="3:35" x14ac:dyDescent="0.45">
      <c r="I25" t="s">
        <v>249</v>
      </c>
      <c r="J25" t="s">
        <v>269</v>
      </c>
      <c r="K25">
        <v>0.1859761320339513</v>
      </c>
      <c r="L25" t="s">
        <v>251</v>
      </c>
      <c r="N25" t="s">
        <v>419</v>
      </c>
      <c r="O25" t="s">
        <v>269</v>
      </c>
      <c r="P25">
        <v>6.9088874626625899E-2</v>
      </c>
      <c r="Q25" t="s">
        <v>251</v>
      </c>
      <c r="S25" t="s">
        <v>420</v>
      </c>
      <c r="T25" t="s">
        <v>269</v>
      </c>
      <c r="U25">
        <v>6.3898333323052822E-2</v>
      </c>
      <c r="V25" t="s">
        <v>251</v>
      </c>
      <c r="X25">
        <v>7.2716894977168947E-2</v>
      </c>
      <c r="Y25">
        <v>9.2245067084338161E-2</v>
      </c>
      <c r="Z25" t="s">
        <v>269</v>
      </c>
      <c r="AA25" t="s">
        <v>25</v>
      </c>
      <c r="AC25" t="s">
        <v>22</v>
      </c>
      <c r="AD25" t="s">
        <v>269</v>
      </c>
      <c r="AE25">
        <v>6.4163598726402468E-2</v>
      </c>
      <c r="AG25" t="s">
        <v>97</v>
      </c>
      <c r="AH25" t="s">
        <v>269</v>
      </c>
      <c r="AI25">
        <v>0.31561575537076947</v>
      </c>
    </row>
    <row r="26" spans="3:35" x14ac:dyDescent="0.45">
      <c r="I26" t="s">
        <v>249</v>
      </c>
      <c r="J26" t="s">
        <v>270</v>
      </c>
      <c r="K26">
        <v>4.80297592659783E-2</v>
      </c>
      <c r="L26" t="s">
        <v>251</v>
      </c>
      <c r="N26" t="s">
        <v>419</v>
      </c>
      <c r="O26" t="s">
        <v>270</v>
      </c>
      <c r="P26">
        <v>2.0711801119844383E-2</v>
      </c>
      <c r="Q26" t="s">
        <v>251</v>
      </c>
      <c r="S26" t="s">
        <v>420</v>
      </c>
      <c r="T26" t="s">
        <v>270</v>
      </c>
      <c r="U26">
        <v>1.9894893618028524E-2</v>
      </c>
      <c r="V26" t="s">
        <v>251</v>
      </c>
      <c r="X26">
        <v>2.0776255707762557E-2</v>
      </c>
      <c r="Y26">
        <v>3.5896543437005365E-2</v>
      </c>
      <c r="Z26" t="s">
        <v>270</v>
      </c>
      <c r="AA26" t="s">
        <v>25</v>
      </c>
      <c r="AC26" t="s">
        <v>22</v>
      </c>
      <c r="AD26" t="s">
        <v>270</v>
      </c>
      <c r="AE26">
        <v>2.0868420330061248E-2</v>
      </c>
      <c r="AG26" t="s">
        <v>97</v>
      </c>
      <c r="AH26" t="s">
        <v>270</v>
      </c>
      <c r="AI26">
        <v>0.11052406700749917</v>
      </c>
    </row>
    <row r="27" spans="3:35" x14ac:dyDescent="0.45">
      <c r="I27" t="s">
        <v>249</v>
      </c>
      <c r="J27" t="s">
        <v>271</v>
      </c>
      <c r="K27">
        <v>1.9084856580591301E-2</v>
      </c>
      <c r="L27" t="s">
        <v>251</v>
      </c>
      <c r="N27" t="s">
        <v>419</v>
      </c>
      <c r="O27" t="s">
        <v>271</v>
      </c>
      <c r="P27">
        <v>1.0266722060145676E-2</v>
      </c>
      <c r="Q27" t="s">
        <v>251</v>
      </c>
      <c r="S27" t="s">
        <v>420</v>
      </c>
      <c r="T27" t="s">
        <v>271</v>
      </c>
      <c r="U27">
        <v>9.8673081899330346E-3</v>
      </c>
      <c r="V27" t="s">
        <v>251</v>
      </c>
      <c r="X27">
        <v>1.0388127853881279E-2</v>
      </c>
      <c r="Y27">
        <v>2.0210658909910584E-2</v>
      </c>
      <c r="Z27" t="s">
        <v>271</v>
      </c>
      <c r="AA27" t="s">
        <v>25</v>
      </c>
      <c r="AC27" t="s">
        <v>22</v>
      </c>
      <c r="AD27" t="s">
        <v>271</v>
      </c>
      <c r="AE27">
        <v>1.0460160132253881E-2</v>
      </c>
      <c r="AG27" t="s">
        <v>97</v>
      </c>
      <c r="AH27" t="s">
        <v>271</v>
      </c>
      <c r="AI27">
        <v>0.10126241134868441</v>
      </c>
    </row>
    <row r="28" spans="3:35" x14ac:dyDescent="0.45">
      <c r="I28" t="s">
        <v>249</v>
      </c>
      <c r="J28" t="s">
        <v>272</v>
      </c>
      <c r="K28">
        <v>1.8234644995131589E-2</v>
      </c>
      <c r="L28" t="s">
        <v>251</v>
      </c>
      <c r="N28" t="s">
        <v>419</v>
      </c>
      <c r="O28" t="s">
        <v>272</v>
      </c>
      <c r="P28">
        <v>7.1818607866578413E-2</v>
      </c>
      <c r="Q28" t="s">
        <v>251</v>
      </c>
      <c r="S28" t="s">
        <v>420</v>
      </c>
      <c r="T28" t="s">
        <v>272</v>
      </c>
      <c r="U28">
        <v>6.6018584711661138E-2</v>
      </c>
      <c r="V28" t="s">
        <v>251</v>
      </c>
      <c r="X28">
        <v>6.2328767123287672E-2</v>
      </c>
      <c r="Y28">
        <v>5.4900595844831736E-2</v>
      </c>
      <c r="Z28" t="s">
        <v>272</v>
      </c>
      <c r="AA28" t="s">
        <v>25</v>
      </c>
      <c r="AC28" t="s">
        <v>22</v>
      </c>
      <c r="AD28" t="s">
        <v>272</v>
      </c>
      <c r="AE28">
        <v>6.3631036630678248E-2</v>
      </c>
      <c r="AG28" t="s">
        <v>97</v>
      </c>
      <c r="AH28" t="s">
        <v>272</v>
      </c>
      <c r="AI28">
        <v>0.12934158109639937</v>
      </c>
    </row>
    <row r="29" spans="3:35" x14ac:dyDescent="0.45">
      <c r="I29" t="s">
        <v>249</v>
      </c>
      <c r="J29" t="s">
        <v>299</v>
      </c>
      <c r="K29">
        <v>6.2411834333347205E-3</v>
      </c>
      <c r="L29" t="s">
        <v>251</v>
      </c>
      <c r="N29" t="s">
        <v>419</v>
      </c>
      <c r="O29" t="s">
        <v>299</v>
      </c>
      <c r="P29">
        <v>3.8591240008100672E-2</v>
      </c>
      <c r="Q29" t="s">
        <v>251</v>
      </c>
      <c r="S29" t="s">
        <v>420</v>
      </c>
      <c r="T29" t="s">
        <v>299</v>
      </c>
      <c r="U29">
        <v>3.5529964231489436E-2</v>
      </c>
      <c r="V29" t="s">
        <v>251</v>
      </c>
      <c r="X29">
        <v>4.954337899543379E-2</v>
      </c>
      <c r="Y29">
        <v>1.956558851071941E-2</v>
      </c>
      <c r="Z29" t="s">
        <v>299</v>
      </c>
      <c r="AA29" t="s">
        <v>25</v>
      </c>
      <c r="AC29" t="s">
        <v>22</v>
      </c>
      <c r="AD29" t="s">
        <v>299</v>
      </c>
      <c r="AE29">
        <v>4.7276554576106987E-2</v>
      </c>
      <c r="AG29" t="s">
        <v>97</v>
      </c>
      <c r="AH29" t="s">
        <v>299</v>
      </c>
      <c r="AI29">
        <v>0.2700237745170202</v>
      </c>
    </row>
    <row r="30" spans="3:35" x14ac:dyDescent="0.45">
      <c r="I30" t="s">
        <v>249</v>
      </c>
      <c r="J30" t="s">
        <v>300</v>
      </c>
      <c r="K30">
        <v>1.07572630174484E-2</v>
      </c>
      <c r="L30" t="s">
        <v>251</v>
      </c>
      <c r="N30" t="s">
        <v>419</v>
      </c>
      <c r="O30" t="s">
        <v>300</v>
      </c>
      <c r="P30">
        <v>3.4134170530241569E-3</v>
      </c>
      <c r="Q30" t="s">
        <v>251</v>
      </c>
      <c r="S30" t="s">
        <v>420</v>
      </c>
      <c r="T30" t="s">
        <v>300</v>
      </c>
      <c r="U30">
        <v>4.4263679553930204E-3</v>
      </c>
      <c r="V30" t="s">
        <v>251</v>
      </c>
      <c r="X30">
        <v>7.0776255707762558E-3</v>
      </c>
      <c r="Y30">
        <v>1.1817451043764349E-2</v>
      </c>
      <c r="Z30" t="s">
        <v>300</v>
      </c>
      <c r="AA30" t="s">
        <v>25</v>
      </c>
      <c r="AC30" t="s">
        <v>22</v>
      </c>
      <c r="AD30" t="s">
        <v>300</v>
      </c>
      <c r="AE30">
        <v>5.4575235829991738E-3</v>
      </c>
      <c r="AG30" t="s">
        <v>97</v>
      </c>
      <c r="AH30" t="s">
        <v>300</v>
      </c>
      <c r="AI30">
        <v>7.2922955997208883E-2</v>
      </c>
    </row>
    <row r="31" spans="3:35" x14ac:dyDescent="0.45">
      <c r="I31" t="s">
        <v>249</v>
      </c>
      <c r="J31" t="s">
        <v>301</v>
      </c>
      <c r="K31">
        <v>0.11143833580062031</v>
      </c>
      <c r="L31" t="s">
        <v>251</v>
      </c>
      <c r="N31" t="s">
        <v>419</v>
      </c>
      <c r="O31" t="s">
        <v>301</v>
      </c>
      <c r="P31">
        <v>2.3634409798835146E-2</v>
      </c>
      <c r="Q31" t="s">
        <v>251</v>
      </c>
      <c r="S31" t="s">
        <v>420</v>
      </c>
      <c r="T31" t="s">
        <v>301</v>
      </c>
      <c r="U31">
        <v>2.9359904431188272E-2</v>
      </c>
      <c r="V31" t="s">
        <v>251</v>
      </c>
      <c r="X31">
        <v>4.954337899543379E-2</v>
      </c>
      <c r="Y31">
        <v>6.2848287464054575E-2</v>
      </c>
      <c r="Z31" t="s">
        <v>301</v>
      </c>
      <c r="AA31" t="s">
        <v>25</v>
      </c>
      <c r="AC31" t="s">
        <v>22</v>
      </c>
      <c r="AD31" t="s">
        <v>301</v>
      </c>
      <c r="AE31">
        <v>4.3532826872490028E-2</v>
      </c>
      <c r="AG31" t="s">
        <v>97</v>
      </c>
      <c r="AH31" t="s">
        <v>301</v>
      </c>
      <c r="AI31">
        <v>0.21630638329155016</v>
      </c>
    </row>
    <row r="32" spans="3:35" x14ac:dyDescent="0.45">
      <c r="I32" t="s">
        <v>249</v>
      </c>
      <c r="J32" t="s">
        <v>302</v>
      </c>
      <c r="K32">
        <v>2.7380093010615301E-2</v>
      </c>
      <c r="L32" t="s">
        <v>251</v>
      </c>
      <c r="N32" t="s">
        <v>419</v>
      </c>
      <c r="O32" t="s">
        <v>302</v>
      </c>
      <c r="P32">
        <v>7.3986175860602651E-3</v>
      </c>
      <c r="Q32" t="s">
        <v>251</v>
      </c>
      <c r="S32" t="s">
        <v>420</v>
      </c>
      <c r="T32" t="s">
        <v>302</v>
      </c>
      <c r="U32">
        <v>9.3816103767488581E-3</v>
      </c>
      <c r="V32" t="s">
        <v>251</v>
      </c>
      <c r="X32">
        <v>1.4155251141552512E-2</v>
      </c>
      <c r="Y32">
        <v>2.4456985638399258E-2</v>
      </c>
      <c r="Z32" t="s">
        <v>302</v>
      </c>
      <c r="AA32" t="s">
        <v>25</v>
      </c>
      <c r="AC32" t="s">
        <v>22</v>
      </c>
      <c r="AD32" t="s">
        <v>302</v>
      </c>
      <c r="AE32">
        <v>1.4810733538673926E-2</v>
      </c>
      <c r="AG32" t="s">
        <v>97</v>
      </c>
      <c r="AH32" t="s">
        <v>302</v>
      </c>
      <c r="AI32">
        <v>0.12521779070532069</v>
      </c>
    </row>
    <row r="33" spans="9:35" x14ac:dyDescent="0.45">
      <c r="I33" t="s">
        <v>249</v>
      </c>
      <c r="J33" t="s">
        <v>303</v>
      </c>
      <c r="K33">
        <v>1.0352957739441501E-2</v>
      </c>
      <c r="L33" t="s">
        <v>251</v>
      </c>
      <c r="N33" t="s">
        <v>419</v>
      </c>
      <c r="O33" t="s">
        <v>303</v>
      </c>
      <c r="P33">
        <v>3.9530561461779273E-3</v>
      </c>
      <c r="Q33" t="s">
        <v>251</v>
      </c>
      <c r="S33" t="s">
        <v>420</v>
      </c>
      <c r="T33" t="s">
        <v>303</v>
      </c>
      <c r="U33">
        <v>4.6133159193772278E-3</v>
      </c>
      <c r="V33" t="s">
        <v>251</v>
      </c>
      <c r="X33">
        <v>7.0776255707762558E-3</v>
      </c>
      <c r="Y33">
        <v>1.376989947708193E-2</v>
      </c>
      <c r="Z33" t="s">
        <v>303</v>
      </c>
      <c r="AA33" t="s">
        <v>25</v>
      </c>
      <c r="AC33" t="s">
        <v>22</v>
      </c>
      <c r="AD33" t="s">
        <v>303</v>
      </c>
      <c r="AE33">
        <v>7.5533265892379908E-3</v>
      </c>
      <c r="AG33" t="s">
        <v>97</v>
      </c>
      <c r="AH33" t="s">
        <v>303</v>
      </c>
      <c r="AI33">
        <v>0.12073206357803623</v>
      </c>
    </row>
    <row r="34" spans="9:35" x14ac:dyDescent="0.45">
      <c r="I34" t="s">
        <v>249</v>
      </c>
      <c r="J34" t="s">
        <v>304</v>
      </c>
      <c r="K34">
        <v>1.0136593556209987E-2</v>
      </c>
      <c r="L34" t="s">
        <v>251</v>
      </c>
      <c r="N34" t="s">
        <v>419</v>
      </c>
      <c r="O34" t="s">
        <v>304</v>
      </c>
      <c r="P34">
        <v>3.651720221436508E-2</v>
      </c>
      <c r="Q34" t="s">
        <v>251</v>
      </c>
      <c r="S34" t="s">
        <v>420</v>
      </c>
      <c r="T34" t="s">
        <v>304</v>
      </c>
      <c r="U34">
        <v>3.1326445538160393E-2</v>
      </c>
      <c r="V34" t="s">
        <v>251</v>
      </c>
      <c r="X34">
        <v>4.2465753424657533E-2</v>
      </c>
      <c r="Y34">
        <v>3.7404801564610637E-2</v>
      </c>
      <c r="Z34" t="s">
        <v>304</v>
      </c>
      <c r="AA34" t="s">
        <v>25</v>
      </c>
      <c r="AC34" t="s">
        <v>22</v>
      </c>
      <c r="AD34" t="s">
        <v>304</v>
      </c>
      <c r="AE34">
        <v>4.6722418816356748E-2</v>
      </c>
      <c r="AG34" t="s">
        <v>97</v>
      </c>
      <c r="AH34" t="s">
        <v>304</v>
      </c>
      <c r="AI34">
        <v>0.15170309383290848</v>
      </c>
    </row>
    <row r="35" spans="9:35" x14ac:dyDescent="0.45">
      <c r="I35" t="s">
        <v>249</v>
      </c>
      <c r="J35" t="s">
        <v>331</v>
      </c>
      <c r="K35">
        <v>1.7203616204601584E-3</v>
      </c>
      <c r="L35" t="s">
        <v>251</v>
      </c>
      <c r="N35" t="s">
        <v>419</v>
      </c>
      <c r="O35" t="s">
        <v>331</v>
      </c>
      <c r="P35">
        <v>5.6214415057965289E-2</v>
      </c>
      <c r="Q35" t="s">
        <v>251</v>
      </c>
      <c r="S35" t="s">
        <v>420</v>
      </c>
      <c r="T35" t="s">
        <v>331</v>
      </c>
      <c r="U35">
        <v>4.6516399336610371E-2</v>
      </c>
      <c r="V35" t="s">
        <v>251</v>
      </c>
      <c r="X35">
        <v>4.8744292237442921E-2</v>
      </c>
      <c r="Y35">
        <v>1.9250014502482003E-2</v>
      </c>
      <c r="Z35" t="s">
        <v>331</v>
      </c>
      <c r="AA35" t="s">
        <v>25</v>
      </c>
      <c r="AC35" t="s">
        <v>22</v>
      </c>
      <c r="AD35" t="s">
        <v>331</v>
      </c>
      <c r="AE35">
        <v>4.4520072124761147E-2</v>
      </c>
      <c r="AG35" t="s">
        <v>97</v>
      </c>
      <c r="AH35" t="s">
        <v>331</v>
      </c>
      <c r="AI35">
        <v>0.20725011330398591</v>
      </c>
    </row>
    <row r="36" spans="9:35" x14ac:dyDescent="0.45">
      <c r="I36" t="s">
        <v>249</v>
      </c>
      <c r="J36" t="s">
        <v>332</v>
      </c>
      <c r="K36">
        <v>1.0223322881840545E-2</v>
      </c>
      <c r="L36" t="s">
        <v>251</v>
      </c>
      <c r="N36" t="s">
        <v>419</v>
      </c>
      <c r="O36" t="s">
        <v>332</v>
      </c>
      <c r="P36">
        <v>6.8368638410305407E-3</v>
      </c>
      <c r="Q36" t="s">
        <v>251</v>
      </c>
      <c r="S36" t="s">
        <v>420</v>
      </c>
      <c r="T36" t="s">
        <v>332</v>
      </c>
      <c r="U36">
        <v>6.3832820601344431E-3</v>
      </c>
      <c r="V36" t="s">
        <v>251</v>
      </c>
      <c r="X36">
        <v>6.9634703196347035E-3</v>
      </c>
      <c r="Y36">
        <v>1.1626846994671376E-2</v>
      </c>
      <c r="Z36" t="s">
        <v>332</v>
      </c>
      <c r="AA36" t="s">
        <v>25</v>
      </c>
      <c r="AC36" t="s">
        <v>22</v>
      </c>
      <c r="AD36" t="s">
        <v>332</v>
      </c>
      <c r="AE36">
        <v>5.1335206231347217E-3</v>
      </c>
      <c r="AG36" t="s">
        <v>97</v>
      </c>
      <c r="AH36" t="s">
        <v>332</v>
      </c>
      <c r="AI36">
        <v>7.8249427227652602E-2</v>
      </c>
    </row>
    <row r="37" spans="9:35" x14ac:dyDescent="0.45">
      <c r="I37" t="s">
        <v>249</v>
      </c>
      <c r="J37" t="s">
        <v>333</v>
      </c>
      <c r="K37">
        <v>0.1107732227771267</v>
      </c>
      <c r="L37" t="s">
        <v>251</v>
      </c>
      <c r="N37" t="s">
        <v>419</v>
      </c>
      <c r="O37" t="s">
        <v>333</v>
      </c>
      <c r="P37">
        <v>4.4462086879457137E-2</v>
      </c>
      <c r="Q37" t="s">
        <v>251</v>
      </c>
      <c r="S37" t="s">
        <v>420</v>
      </c>
      <c r="T37" t="s">
        <v>333</v>
      </c>
      <c r="U37">
        <v>4.2567688759852985E-2</v>
      </c>
      <c r="V37" t="s">
        <v>251</v>
      </c>
      <c r="X37">
        <v>4.8744292237442921E-2</v>
      </c>
      <c r="Y37">
        <v>6.1834605408182725E-2</v>
      </c>
      <c r="Z37" t="s">
        <v>333</v>
      </c>
      <c r="AA37" t="s">
        <v>25</v>
      </c>
      <c r="AC37" t="s">
        <v>22</v>
      </c>
      <c r="AD37" t="s">
        <v>333</v>
      </c>
      <c r="AE37">
        <v>4.2781493951840992E-2</v>
      </c>
      <c r="AG37" t="s">
        <v>97</v>
      </c>
      <c r="AH37" t="s">
        <v>333</v>
      </c>
      <c r="AI37">
        <v>0.25906102622316918</v>
      </c>
    </row>
    <row r="38" spans="9:35" x14ac:dyDescent="0.45">
      <c r="I38" t="s">
        <v>249</v>
      </c>
      <c r="J38" t="s">
        <v>334</v>
      </c>
      <c r="K38">
        <v>2.89421522538061E-2</v>
      </c>
      <c r="L38" t="s">
        <v>251</v>
      </c>
      <c r="N38" t="s">
        <v>419</v>
      </c>
      <c r="O38" t="s">
        <v>334</v>
      </c>
      <c r="P38">
        <v>1.2633167721435551E-2</v>
      </c>
      <c r="Q38" t="s">
        <v>251</v>
      </c>
      <c r="S38" t="s">
        <v>420</v>
      </c>
      <c r="T38" t="s">
        <v>334</v>
      </c>
      <c r="U38">
        <v>1.233832904280664E-2</v>
      </c>
      <c r="V38" t="s">
        <v>251</v>
      </c>
      <c r="X38">
        <v>1.3926940639269407E-2</v>
      </c>
      <c r="Y38">
        <v>2.4062518128102495E-2</v>
      </c>
      <c r="Z38" t="s">
        <v>334</v>
      </c>
      <c r="AA38" t="s">
        <v>25</v>
      </c>
      <c r="AC38" t="s">
        <v>22</v>
      </c>
      <c r="AD38" t="s">
        <v>334</v>
      </c>
      <c r="AE38">
        <v>1.4057388664002878E-2</v>
      </c>
      <c r="AG38" t="s">
        <v>97</v>
      </c>
      <c r="AH38" t="s">
        <v>334</v>
      </c>
      <c r="AI38">
        <v>9.151830629920843E-2</v>
      </c>
    </row>
    <row r="39" spans="9:35" x14ac:dyDescent="0.45">
      <c r="I39" t="s">
        <v>249</v>
      </c>
      <c r="J39" t="s">
        <v>335</v>
      </c>
      <c r="K39">
        <v>9.9255160347316781E-3</v>
      </c>
      <c r="L39" t="s">
        <v>251</v>
      </c>
      <c r="N39" t="s">
        <v>419</v>
      </c>
      <c r="O39" t="s">
        <v>335</v>
      </c>
      <c r="P39">
        <v>6.4025732246968513E-3</v>
      </c>
      <c r="Q39" t="s">
        <v>251</v>
      </c>
      <c r="S39" t="s">
        <v>420</v>
      </c>
      <c r="T39" t="s">
        <v>335</v>
      </c>
      <c r="U39">
        <v>6.219327654098856E-3</v>
      </c>
      <c r="V39" t="s">
        <v>251</v>
      </c>
      <c r="X39">
        <v>6.9634703196347035E-3</v>
      </c>
      <c r="Y39">
        <v>1.354780432422577E-2</v>
      </c>
      <c r="Z39" t="s">
        <v>335</v>
      </c>
      <c r="AA39" t="s">
        <v>25</v>
      </c>
      <c r="AC39" t="s">
        <v>22</v>
      </c>
      <c r="AD39" t="s">
        <v>335</v>
      </c>
      <c r="AE39">
        <v>7.0762642029845993E-3</v>
      </c>
      <c r="AG39" t="s">
        <v>97</v>
      </c>
      <c r="AH39" t="s">
        <v>335</v>
      </c>
      <c r="AI39">
        <v>0.10441709865861704</v>
      </c>
    </row>
    <row r="40" spans="9:35" x14ac:dyDescent="0.45">
      <c r="I40" t="s">
        <v>249</v>
      </c>
      <c r="J40" t="s">
        <v>336</v>
      </c>
      <c r="K40">
        <v>2.9617992848444095E-3</v>
      </c>
      <c r="L40" t="s">
        <v>251</v>
      </c>
      <c r="N40" t="s">
        <v>419</v>
      </c>
      <c r="O40" t="s">
        <v>336</v>
      </c>
      <c r="P40">
        <v>4.8349351670902672E-2</v>
      </c>
      <c r="Q40" t="s">
        <v>251</v>
      </c>
      <c r="S40" t="s">
        <v>420</v>
      </c>
      <c r="T40" t="s">
        <v>336</v>
      </c>
      <c r="U40">
        <v>4.2146510882858285E-2</v>
      </c>
      <c r="V40" t="s">
        <v>251</v>
      </c>
      <c r="X40">
        <v>4.1780821917808221E-2</v>
      </c>
      <c r="Y40">
        <v>3.6801498313568527E-2</v>
      </c>
      <c r="Z40" t="s">
        <v>336</v>
      </c>
      <c r="AA40" t="s">
        <v>25</v>
      </c>
      <c r="AC40" t="s">
        <v>22</v>
      </c>
      <c r="AD40" t="s">
        <v>336</v>
      </c>
      <c r="AE40">
        <v>4.3216899149501553E-2</v>
      </c>
      <c r="AG40" t="s">
        <v>97</v>
      </c>
      <c r="AH40" t="s">
        <v>336</v>
      </c>
      <c r="AI40">
        <v>0.14606631104500911</v>
      </c>
    </row>
    <row r="41" spans="9:35" x14ac:dyDescent="0.45">
      <c r="I41" t="s">
        <v>249</v>
      </c>
      <c r="J41" t="s">
        <v>339</v>
      </c>
      <c r="K41">
        <v>0</v>
      </c>
      <c r="L41" t="s">
        <v>251</v>
      </c>
      <c r="N41" t="s">
        <v>419</v>
      </c>
      <c r="O41" t="s">
        <v>339</v>
      </c>
      <c r="P41">
        <v>3.051392776160694E-2</v>
      </c>
      <c r="Q41" t="s">
        <v>251</v>
      </c>
      <c r="S41" t="s">
        <v>420</v>
      </c>
      <c r="T41" t="s">
        <v>339</v>
      </c>
      <c r="U41">
        <v>3.6231439047695324E-2</v>
      </c>
      <c r="V41" t="s">
        <v>251</v>
      </c>
      <c r="X41">
        <v>2.3972602739726026E-2</v>
      </c>
      <c r="Y41">
        <v>9.4672202471222967E-3</v>
      </c>
      <c r="Z41" t="s">
        <v>339</v>
      </c>
      <c r="AA41" t="s">
        <v>25</v>
      </c>
      <c r="AC41" t="s">
        <v>22</v>
      </c>
      <c r="AD41" t="s">
        <v>339</v>
      </c>
      <c r="AE41">
        <v>2.4137948453750405E-2</v>
      </c>
      <c r="AG41" t="s">
        <v>97</v>
      </c>
      <c r="AH41" t="s">
        <v>339</v>
      </c>
      <c r="AI41">
        <v>0.19626602687110339</v>
      </c>
    </row>
    <row r="42" spans="9:35" x14ac:dyDescent="0.45">
      <c r="I42" t="s">
        <v>249</v>
      </c>
      <c r="J42" t="s">
        <v>340</v>
      </c>
      <c r="K42">
        <v>1.8896915844992782E-3</v>
      </c>
      <c r="L42" t="s">
        <v>251</v>
      </c>
      <c r="N42" t="s">
        <v>419</v>
      </c>
      <c r="O42" t="s">
        <v>340</v>
      </c>
      <c r="P42">
        <v>4.1383417732428884E-3</v>
      </c>
      <c r="Q42" t="s">
        <v>251</v>
      </c>
      <c r="S42" t="s">
        <v>420</v>
      </c>
      <c r="T42" t="s">
        <v>340</v>
      </c>
      <c r="U42">
        <v>4.732082844955676E-3</v>
      </c>
      <c r="V42" t="s">
        <v>251</v>
      </c>
      <c r="X42">
        <v>3.4246575342465752E-3</v>
      </c>
      <c r="Y42">
        <v>5.7181214727892006E-3</v>
      </c>
      <c r="Z42" t="s">
        <v>340</v>
      </c>
      <c r="AA42" t="s">
        <v>25</v>
      </c>
      <c r="AC42" t="s">
        <v>22</v>
      </c>
      <c r="AD42" t="s">
        <v>340</v>
      </c>
      <c r="AE42">
        <v>2.6799725250820539E-3</v>
      </c>
      <c r="AG42" t="s">
        <v>97</v>
      </c>
      <c r="AH42" t="s">
        <v>340</v>
      </c>
      <c r="AI42">
        <v>8.3802546931571076E-2</v>
      </c>
    </row>
    <row r="43" spans="9:35" x14ac:dyDescent="0.45">
      <c r="I43" t="s">
        <v>249</v>
      </c>
      <c r="J43" t="s">
        <v>341</v>
      </c>
      <c r="K43">
        <v>4.4865158665029686E-2</v>
      </c>
      <c r="L43" t="s">
        <v>251</v>
      </c>
      <c r="N43" t="s">
        <v>419</v>
      </c>
      <c r="O43" t="s">
        <v>341</v>
      </c>
      <c r="P43">
        <v>2.4027306818481448E-2</v>
      </c>
      <c r="Q43" t="s">
        <v>251</v>
      </c>
      <c r="S43" t="s">
        <v>420</v>
      </c>
      <c r="T43" t="s">
        <v>341</v>
      </c>
      <c r="U43">
        <v>3.0272452677844109E-2</v>
      </c>
      <c r="V43" t="s">
        <v>251</v>
      </c>
      <c r="X43">
        <v>2.3972602739726026E-2</v>
      </c>
      <c r="Y43">
        <v>3.0410461676155433E-2</v>
      </c>
      <c r="Z43" t="s">
        <v>341</v>
      </c>
      <c r="AA43" t="s">
        <v>25</v>
      </c>
      <c r="AC43" t="s">
        <v>22</v>
      </c>
      <c r="AD43" t="s">
        <v>341</v>
      </c>
      <c r="AE43">
        <v>2.1587464106192545E-2</v>
      </c>
      <c r="AG43" t="s">
        <v>97</v>
      </c>
      <c r="AH43" t="s">
        <v>341</v>
      </c>
      <c r="AI43">
        <v>0.32547198019413748</v>
      </c>
    </row>
    <row r="44" spans="9:35" x14ac:dyDescent="0.45">
      <c r="I44" t="s">
        <v>249</v>
      </c>
      <c r="J44" t="s">
        <v>342</v>
      </c>
      <c r="K44">
        <v>1.1152848557077828E-2</v>
      </c>
      <c r="L44" t="s">
        <v>251</v>
      </c>
      <c r="N44" t="s">
        <v>419</v>
      </c>
      <c r="O44" t="s">
        <v>342</v>
      </c>
      <c r="P44">
        <v>6.6021229927828943E-3</v>
      </c>
      <c r="Q44" t="s">
        <v>251</v>
      </c>
      <c r="S44" t="s">
        <v>420</v>
      </c>
      <c r="T44" t="s">
        <v>342</v>
      </c>
      <c r="U44">
        <v>8.6663165666937738E-3</v>
      </c>
      <c r="V44" t="s">
        <v>251</v>
      </c>
      <c r="X44">
        <v>6.8493150684931503E-3</v>
      </c>
      <c r="Y44">
        <v>1.1834025308902863E-2</v>
      </c>
      <c r="Z44" t="s">
        <v>342</v>
      </c>
      <c r="AA44" t="s">
        <v>25</v>
      </c>
      <c r="AC44" t="s">
        <v>22</v>
      </c>
      <c r="AD44" t="s">
        <v>342</v>
      </c>
      <c r="AE44">
        <v>7.2350347398929954E-3</v>
      </c>
      <c r="AG44" t="s">
        <v>97</v>
      </c>
      <c r="AH44" t="s">
        <v>342</v>
      </c>
      <c r="AI44">
        <v>0.1039361370395695</v>
      </c>
    </row>
    <row r="45" spans="9:35" x14ac:dyDescent="0.45">
      <c r="I45" t="s">
        <v>249</v>
      </c>
      <c r="J45" t="s">
        <v>343</v>
      </c>
      <c r="K45">
        <v>1.7930817588130059E-3</v>
      </c>
      <c r="L45" t="s">
        <v>251</v>
      </c>
      <c r="N45" t="s">
        <v>419</v>
      </c>
      <c r="O45" t="s">
        <v>343</v>
      </c>
      <c r="P45">
        <v>3.704504599009549E-3</v>
      </c>
      <c r="Q45" t="s">
        <v>251</v>
      </c>
      <c r="S45" t="s">
        <v>420</v>
      </c>
      <c r="T45" t="s">
        <v>343</v>
      </c>
      <c r="U45">
        <v>4.5099090788113831E-3</v>
      </c>
      <c r="V45" t="s">
        <v>251</v>
      </c>
      <c r="X45">
        <v>3.4246575342465752E-3</v>
      </c>
      <c r="Y45">
        <v>6.662854585684809E-3</v>
      </c>
      <c r="Z45" t="s">
        <v>343</v>
      </c>
      <c r="AA45" t="s">
        <v>25</v>
      </c>
      <c r="AC45" t="s">
        <v>22</v>
      </c>
      <c r="AD45" t="s">
        <v>343</v>
      </c>
      <c r="AE45">
        <v>3.566564524332422E-3</v>
      </c>
      <c r="AG45" t="s">
        <v>97</v>
      </c>
      <c r="AH45" t="s">
        <v>343</v>
      </c>
      <c r="AI45">
        <v>8.7148724965787183E-2</v>
      </c>
    </row>
    <row r="46" spans="9:35" x14ac:dyDescent="0.45">
      <c r="I46" t="s">
        <v>249</v>
      </c>
      <c r="J46" t="s">
        <v>344</v>
      </c>
      <c r="K46">
        <v>0</v>
      </c>
      <c r="L46" t="s">
        <v>251</v>
      </c>
      <c r="N46" t="s">
        <v>419</v>
      </c>
      <c r="O46" t="s">
        <v>344</v>
      </c>
      <c r="P46">
        <v>2.4756115856334106E-2</v>
      </c>
      <c r="Q46" t="s">
        <v>251</v>
      </c>
      <c r="S46" t="s">
        <v>420</v>
      </c>
      <c r="T46" t="s">
        <v>344</v>
      </c>
      <c r="U46">
        <v>3.1147941723048071E-2</v>
      </c>
      <c r="V46" t="s">
        <v>251</v>
      </c>
      <c r="X46">
        <v>2.0547945205479451E-2</v>
      </c>
      <c r="Y46">
        <v>1.8099097531263209E-2</v>
      </c>
      <c r="Z46" t="s">
        <v>344</v>
      </c>
      <c r="AA46" t="s">
        <v>25</v>
      </c>
      <c r="AC46" t="s">
        <v>22</v>
      </c>
      <c r="AD46" t="s">
        <v>344</v>
      </c>
      <c r="AE46">
        <v>2.1448875071952572E-2</v>
      </c>
      <c r="AG46" t="s">
        <v>97</v>
      </c>
      <c r="AH46" t="s">
        <v>344</v>
      </c>
      <c r="AI46">
        <v>0.14052964599654549</v>
      </c>
    </row>
    <row r="47" spans="9:35" x14ac:dyDescent="0.45">
      <c r="I47" t="s">
        <v>249</v>
      </c>
      <c r="J47" t="s">
        <v>347</v>
      </c>
      <c r="K47">
        <v>0</v>
      </c>
      <c r="L47" t="s">
        <v>251</v>
      </c>
      <c r="N47" t="s">
        <v>419</v>
      </c>
      <c r="O47" t="s">
        <v>347</v>
      </c>
      <c r="P47">
        <v>2.9621436348159828E-2</v>
      </c>
      <c r="Q47" t="s">
        <v>251</v>
      </c>
      <c r="S47" t="s">
        <v>420</v>
      </c>
      <c r="T47" t="s">
        <v>347</v>
      </c>
      <c r="U47">
        <v>2.8163446703698379E-2</v>
      </c>
      <c r="V47" t="s">
        <v>251</v>
      </c>
      <c r="X47">
        <v>2.4771689497716895E-2</v>
      </c>
      <c r="Y47">
        <v>9.7827942553597048E-3</v>
      </c>
      <c r="Z47" t="s">
        <v>347</v>
      </c>
      <c r="AA47" t="s">
        <v>25</v>
      </c>
      <c r="AC47" t="s">
        <v>22</v>
      </c>
      <c r="AD47" t="s">
        <v>347</v>
      </c>
      <c r="AE47">
        <v>2.7870293845135931E-2</v>
      </c>
      <c r="AG47" t="s">
        <v>97</v>
      </c>
      <c r="AH47" t="s">
        <v>347</v>
      </c>
      <c r="AI47">
        <v>0.17747632717727946</v>
      </c>
    </row>
    <row r="48" spans="9:35" x14ac:dyDescent="0.45">
      <c r="I48" t="s">
        <v>249</v>
      </c>
      <c r="J48" t="s">
        <v>348</v>
      </c>
      <c r="K48">
        <v>4.242480914009414E-4</v>
      </c>
      <c r="L48" t="s">
        <v>251</v>
      </c>
      <c r="N48" t="s">
        <v>419</v>
      </c>
      <c r="O48" t="s">
        <v>348</v>
      </c>
      <c r="P48">
        <v>4.0538060849123802E-3</v>
      </c>
      <c r="Q48" t="s">
        <v>251</v>
      </c>
      <c r="S48" t="s">
        <v>420</v>
      </c>
      <c r="T48" t="s">
        <v>348</v>
      </c>
      <c r="U48">
        <v>3.8336327649822182E-3</v>
      </c>
      <c r="V48" t="s">
        <v>251</v>
      </c>
      <c r="X48">
        <v>3.5388127853881279E-3</v>
      </c>
      <c r="Y48">
        <v>5.9087255218821738E-3</v>
      </c>
      <c r="Z48" t="s">
        <v>348</v>
      </c>
      <c r="AA48" t="s">
        <v>25</v>
      </c>
      <c r="AC48" t="s">
        <v>22</v>
      </c>
      <c r="AD48" t="s">
        <v>348</v>
      </c>
      <c r="AE48">
        <v>3.1207600296067188E-3</v>
      </c>
      <c r="AG48" t="s">
        <v>97</v>
      </c>
      <c r="AH48" t="s">
        <v>348</v>
      </c>
      <c r="AI48">
        <v>5.8844990241713413E-2</v>
      </c>
    </row>
    <row r="49" spans="9:35" x14ac:dyDescent="0.45">
      <c r="I49" t="s">
        <v>249</v>
      </c>
      <c r="J49" t="s">
        <v>349</v>
      </c>
      <c r="K49">
        <v>4.7229662109685773E-2</v>
      </c>
      <c r="L49" t="s">
        <v>251</v>
      </c>
      <c r="N49" t="s">
        <v>419</v>
      </c>
      <c r="O49" t="s">
        <v>349</v>
      </c>
      <c r="P49">
        <v>2.321968723487541E-2</v>
      </c>
      <c r="Q49" t="s">
        <v>251</v>
      </c>
      <c r="S49" t="s">
        <v>420</v>
      </c>
      <c r="T49" t="s">
        <v>349</v>
      </c>
      <c r="U49">
        <v>2.7454291210554579E-2</v>
      </c>
      <c r="V49" t="s">
        <v>251</v>
      </c>
      <c r="X49">
        <v>2.4771689497716895E-2</v>
      </c>
      <c r="Y49">
        <v>3.1424143732027281E-2</v>
      </c>
      <c r="Z49" t="s">
        <v>349</v>
      </c>
      <c r="AA49" t="s">
        <v>25</v>
      </c>
      <c r="AC49" t="s">
        <v>22</v>
      </c>
      <c r="AD49" t="s">
        <v>349</v>
      </c>
      <c r="AE49">
        <v>2.4612467532539015E-2</v>
      </c>
      <c r="AG49" t="s">
        <v>97</v>
      </c>
      <c r="AH49" t="s">
        <v>349</v>
      </c>
      <c r="AI49">
        <v>0.26152286155431348</v>
      </c>
    </row>
    <row r="50" spans="9:35" x14ac:dyDescent="0.45">
      <c r="I50" t="s">
        <v>249</v>
      </c>
      <c r="J50" t="s">
        <v>350</v>
      </c>
      <c r="K50">
        <v>1.2529812994489416E-2</v>
      </c>
      <c r="L50" t="s">
        <v>251</v>
      </c>
      <c r="N50" t="s">
        <v>419</v>
      </c>
      <c r="O50" t="s">
        <v>350</v>
      </c>
      <c r="P50">
        <v>6.2632113661855128E-3</v>
      </c>
      <c r="Q50" t="s">
        <v>251</v>
      </c>
      <c r="S50" t="s">
        <v>420</v>
      </c>
      <c r="T50" t="s">
        <v>350</v>
      </c>
      <c r="U50">
        <v>8.3264700462989741E-3</v>
      </c>
      <c r="V50" t="s">
        <v>251</v>
      </c>
      <c r="X50">
        <v>7.0776255707762558E-3</v>
      </c>
      <c r="Y50">
        <v>1.2228492819199624E-2</v>
      </c>
      <c r="Z50" t="s">
        <v>350</v>
      </c>
      <c r="AA50" t="s">
        <v>25</v>
      </c>
      <c r="AC50" t="s">
        <v>22</v>
      </c>
      <c r="AD50" t="s">
        <v>350</v>
      </c>
      <c r="AE50">
        <v>8.1672080365118045E-3</v>
      </c>
      <c r="AG50" t="s">
        <v>97</v>
      </c>
      <c r="AH50" t="s">
        <v>350</v>
      </c>
      <c r="AI50">
        <v>6.1357186222712023E-2</v>
      </c>
    </row>
    <row r="51" spans="9:35" x14ac:dyDescent="0.45">
      <c r="I51" t="s">
        <v>249</v>
      </c>
      <c r="J51" t="s">
        <v>351</v>
      </c>
      <c r="K51">
        <v>1.7189199422202423E-3</v>
      </c>
      <c r="L51" t="s">
        <v>251</v>
      </c>
      <c r="N51" t="s">
        <v>419</v>
      </c>
      <c r="O51" t="s">
        <v>351</v>
      </c>
      <c r="P51">
        <v>3.4153482552153505E-3</v>
      </c>
      <c r="Q51" t="s">
        <v>251</v>
      </c>
      <c r="S51" t="s">
        <v>420</v>
      </c>
      <c r="T51" t="s">
        <v>351</v>
      </c>
      <c r="U51">
        <v>4.2921547043580062E-3</v>
      </c>
      <c r="V51" t="s">
        <v>251</v>
      </c>
      <c r="X51">
        <v>3.5388127853881279E-3</v>
      </c>
      <c r="Y51">
        <v>6.8849497385409693E-3</v>
      </c>
      <c r="Z51" t="s">
        <v>351</v>
      </c>
      <c r="AA51" t="s">
        <v>25</v>
      </c>
      <c r="AC51" t="s">
        <v>22</v>
      </c>
      <c r="AD51" t="s">
        <v>351</v>
      </c>
      <c r="AE51">
        <v>4.1620705948091077E-3</v>
      </c>
      <c r="AG51" t="s">
        <v>97</v>
      </c>
      <c r="AH51" t="s">
        <v>351</v>
      </c>
      <c r="AI51">
        <v>5.3418938222020707E-2</v>
      </c>
    </row>
    <row r="52" spans="9:35" x14ac:dyDescent="0.45">
      <c r="I52" t="s">
        <v>249</v>
      </c>
      <c r="J52" t="s">
        <v>352</v>
      </c>
      <c r="K52">
        <v>0</v>
      </c>
      <c r="L52" t="s">
        <v>251</v>
      </c>
      <c r="N52" t="s">
        <v>419</v>
      </c>
      <c r="O52" t="s">
        <v>352</v>
      </c>
      <c r="P52">
        <v>2.3247680365130773E-2</v>
      </c>
      <c r="Q52" t="s">
        <v>251</v>
      </c>
      <c r="S52" t="s">
        <v>420</v>
      </c>
      <c r="T52" t="s">
        <v>352</v>
      </c>
      <c r="U52">
        <v>2.7169243077500283E-2</v>
      </c>
      <c r="V52" t="s">
        <v>251</v>
      </c>
      <c r="X52">
        <v>2.1232876712328767E-2</v>
      </c>
      <c r="Y52">
        <v>1.8702400782305319E-2</v>
      </c>
      <c r="Z52" t="s">
        <v>352</v>
      </c>
      <c r="AA52" t="s">
        <v>25</v>
      </c>
      <c r="AC52" t="s">
        <v>22</v>
      </c>
      <c r="AD52" t="s">
        <v>352</v>
      </c>
      <c r="AE52">
        <v>2.5585407206910538E-2</v>
      </c>
      <c r="AG52" t="s">
        <v>97</v>
      </c>
      <c r="AH52" t="s">
        <v>352</v>
      </c>
      <c r="AI52">
        <v>0.10840364341062592</v>
      </c>
    </row>
    <row r="53" spans="9:35" x14ac:dyDescent="0.45">
      <c r="AC53" t="s">
        <v>19</v>
      </c>
      <c r="AD53" t="s">
        <v>250</v>
      </c>
      <c r="AE53">
        <v>2.485965096466607E-2</v>
      </c>
    </row>
    <row r="54" spans="9:35" x14ac:dyDescent="0.45">
      <c r="AC54" t="s">
        <v>19</v>
      </c>
      <c r="AD54" t="s">
        <v>252</v>
      </c>
      <c r="AE54">
        <v>3.4724734662795196E-3</v>
      </c>
    </row>
    <row r="55" spans="9:35" x14ac:dyDescent="0.45">
      <c r="AC55" t="s">
        <v>19</v>
      </c>
      <c r="AD55" t="s">
        <v>253</v>
      </c>
      <c r="AE55">
        <v>2.4571821931557183E-2</v>
      </c>
    </row>
    <row r="56" spans="9:35" x14ac:dyDescent="0.45">
      <c r="AC56" t="s">
        <v>19</v>
      </c>
      <c r="AD56" t="s">
        <v>254</v>
      </c>
      <c r="AE56">
        <v>7.1206818277602668E-3</v>
      </c>
    </row>
    <row r="57" spans="9:35" x14ac:dyDescent="0.45">
      <c r="AC57" t="s">
        <v>19</v>
      </c>
      <c r="AD57" t="s">
        <v>255</v>
      </c>
      <c r="AE57">
        <v>3.5638648660911904E-3</v>
      </c>
    </row>
    <row r="58" spans="9:35" x14ac:dyDescent="0.45">
      <c r="AC58" t="s">
        <v>19</v>
      </c>
      <c r="AD58" t="s">
        <v>256</v>
      </c>
      <c r="AE58">
        <v>2.1434813181539874E-2</v>
      </c>
    </row>
    <row r="59" spans="9:35" x14ac:dyDescent="0.45">
      <c r="AC59" t="s">
        <v>19</v>
      </c>
      <c r="AD59" t="s">
        <v>259</v>
      </c>
      <c r="AE59">
        <v>4.7224339636521437E-2</v>
      </c>
    </row>
    <row r="60" spans="9:35" x14ac:dyDescent="0.45">
      <c r="AC60" t="s">
        <v>19</v>
      </c>
      <c r="AD60" t="s">
        <v>260</v>
      </c>
      <c r="AE60">
        <v>6.6119487025637531E-3</v>
      </c>
    </row>
    <row r="61" spans="9:35" x14ac:dyDescent="0.45">
      <c r="AC61" t="s">
        <v>19</v>
      </c>
      <c r="AD61" t="s">
        <v>261</v>
      </c>
      <c r="AE61">
        <v>4.6829224249607282E-2</v>
      </c>
    </row>
    <row r="62" spans="9:35" x14ac:dyDescent="0.45">
      <c r="AC62" t="s">
        <v>19</v>
      </c>
      <c r="AD62" t="s">
        <v>262</v>
      </c>
      <c r="AE62">
        <v>1.354188946674397E-2</v>
      </c>
    </row>
    <row r="63" spans="9:35" x14ac:dyDescent="0.45">
      <c r="AC63" t="s">
        <v>19</v>
      </c>
      <c r="AD63" t="s">
        <v>263</v>
      </c>
      <c r="AE63">
        <v>6.7807025266597562E-3</v>
      </c>
    </row>
    <row r="64" spans="9:35" x14ac:dyDescent="0.45">
      <c r="AC64" t="s">
        <v>19</v>
      </c>
      <c r="AD64" t="s">
        <v>264</v>
      </c>
      <c r="AE64">
        <v>4.075267838834145E-2</v>
      </c>
    </row>
    <row r="65" spans="29:31" x14ac:dyDescent="0.45">
      <c r="AC65" t="s">
        <v>19</v>
      </c>
      <c r="AD65" t="s">
        <v>267</v>
      </c>
      <c r="AE65">
        <v>7.2552930904646984E-2</v>
      </c>
    </row>
    <row r="66" spans="29:31" x14ac:dyDescent="0.45">
      <c r="AC66" t="s">
        <v>19</v>
      </c>
      <c r="AD66" t="s">
        <v>268</v>
      </c>
      <c r="AE66">
        <v>1.0217169293460714E-2</v>
      </c>
    </row>
    <row r="67" spans="29:31" x14ac:dyDescent="0.45">
      <c r="AC67" t="s">
        <v>19</v>
      </c>
      <c r="AD67" t="s">
        <v>269</v>
      </c>
      <c r="AE67">
        <v>7.2368305995599125E-2</v>
      </c>
    </row>
    <row r="68" spans="29:31" x14ac:dyDescent="0.45">
      <c r="AC68" t="s">
        <v>19</v>
      </c>
      <c r="AD68" t="s">
        <v>270</v>
      </c>
      <c r="AE68">
        <v>2.0881064390030707E-2</v>
      </c>
    </row>
    <row r="69" spans="29:31" x14ac:dyDescent="0.45">
      <c r="AC69" t="s">
        <v>19</v>
      </c>
      <c r="AD69" t="s">
        <v>271</v>
      </c>
      <c r="AE69">
        <v>1.0442623832692498E-2</v>
      </c>
    </row>
    <row r="70" spans="29:31" x14ac:dyDescent="0.45">
      <c r="AC70" t="s">
        <v>19</v>
      </c>
      <c r="AD70" t="s">
        <v>272</v>
      </c>
      <c r="AE70">
        <v>6.2725873466352056E-2</v>
      </c>
    </row>
    <row r="71" spans="29:31" x14ac:dyDescent="0.45">
      <c r="AC71" t="s">
        <v>19</v>
      </c>
      <c r="AD71" t="s">
        <v>299</v>
      </c>
      <c r="AE71">
        <v>4.9456284235322667E-2</v>
      </c>
    </row>
    <row r="72" spans="29:31" x14ac:dyDescent="0.45">
      <c r="AC72" t="s">
        <v>19</v>
      </c>
      <c r="AD72" t="s">
        <v>300</v>
      </c>
      <c r="AE72">
        <v>6.9607005933837009E-3</v>
      </c>
    </row>
    <row r="73" spans="29:31" x14ac:dyDescent="0.45">
      <c r="AC73" t="s">
        <v>19</v>
      </c>
      <c r="AD73" t="s">
        <v>301</v>
      </c>
      <c r="AE73">
        <v>4.9154529637697043E-2</v>
      </c>
    </row>
    <row r="74" spans="29:31" x14ac:dyDescent="0.45">
      <c r="AC74" t="s">
        <v>19</v>
      </c>
      <c r="AD74" t="s">
        <v>302</v>
      </c>
      <c r="AE74">
        <v>1.4235404064895166E-2</v>
      </c>
    </row>
    <row r="75" spans="29:31" x14ac:dyDescent="0.45">
      <c r="AC75" t="s">
        <v>19</v>
      </c>
      <c r="AD75" t="s">
        <v>303</v>
      </c>
      <c r="AE75">
        <v>7.1296279948715752E-3</v>
      </c>
    </row>
    <row r="76" spans="29:31" x14ac:dyDescent="0.45">
      <c r="AC76" t="s">
        <v>19</v>
      </c>
      <c r="AD76" t="s">
        <v>304</v>
      </c>
      <c r="AE76">
        <v>4.2890809987641776E-2</v>
      </c>
    </row>
    <row r="77" spans="29:31" x14ac:dyDescent="0.45">
      <c r="AC77" t="s">
        <v>19</v>
      </c>
      <c r="AD77" t="s">
        <v>331</v>
      </c>
      <c r="AE77">
        <v>4.8622997251197321E-2</v>
      </c>
    </row>
    <row r="78" spans="29:31" x14ac:dyDescent="0.45">
      <c r="AC78" t="s">
        <v>19</v>
      </c>
      <c r="AD78" t="s">
        <v>332</v>
      </c>
      <c r="AE78">
        <v>6.8472840726874276E-3</v>
      </c>
    </row>
    <row r="79" spans="29:31" x14ac:dyDescent="0.45">
      <c r="AC79" t="s">
        <v>19</v>
      </c>
      <c r="AD79" t="s">
        <v>333</v>
      </c>
      <c r="AE79">
        <v>4.8482863139279041E-2</v>
      </c>
    </row>
    <row r="80" spans="29:31" x14ac:dyDescent="0.45">
      <c r="AC80" t="s">
        <v>19</v>
      </c>
      <c r="AD80" t="s">
        <v>334</v>
      </c>
      <c r="AE80">
        <v>1.4000080418287885E-2</v>
      </c>
    </row>
    <row r="81" spans="29:31" x14ac:dyDescent="0.45">
      <c r="AC81" t="s">
        <v>19</v>
      </c>
      <c r="AD81" t="s">
        <v>335</v>
      </c>
      <c r="AE81">
        <v>7.0038744696495235E-3</v>
      </c>
    </row>
    <row r="82" spans="29:31" x14ac:dyDescent="0.45">
      <c r="AC82" t="s">
        <v>19</v>
      </c>
      <c r="AD82" t="s">
        <v>336</v>
      </c>
      <c r="AE82">
        <v>4.2084449578364554E-2</v>
      </c>
    </row>
    <row r="83" spans="29:31" x14ac:dyDescent="0.45">
      <c r="AC83" t="s">
        <v>19</v>
      </c>
      <c r="AD83" t="s">
        <v>339</v>
      </c>
      <c r="AE83">
        <v>2.4018496109217309E-2</v>
      </c>
    </row>
    <row r="84" spans="29:31" x14ac:dyDescent="0.45">
      <c r="AC84" t="s">
        <v>19</v>
      </c>
      <c r="AD84" t="s">
        <v>340</v>
      </c>
      <c r="AE84">
        <v>3.3692861984095418E-3</v>
      </c>
    </row>
    <row r="85" spans="29:31" x14ac:dyDescent="0.45">
      <c r="AC85" t="s">
        <v>19</v>
      </c>
      <c r="AD85" t="s">
        <v>341</v>
      </c>
      <c r="AE85">
        <v>2.3812920159528385E-2</v>
      </c>
    </row>
    <row r="86" spans="29:31" x14ac:dyDescent="0.45">
      <c r="AC86" t="s">
        <v>19</v>
      </c>
      <c r="AD86" t="s">
        <v>342</v>
      </c>
      <c r="AE86">
        <v>6.8897097069096254E-3</v>
      </c>
    </row>
    <row r="87" spans="29:31" x14ac:dyDescent="0.45">
      <c r="AC87" t="s">
        <v>19</v>
      </c>
      <c r="AD87" t="s">
        <v>343</v>
      </c>
      <c r="AE87">
        <v>3.4407479160268313E-3</v>
      </c>
    </row>
    <row r="88" spans="29:31" x14ac:dyDescent="0.45">
      <c r="AC88" t="s">
        <v>19</v>
      </c>
      <c r="AD88" t="s">
        <v>344</v>
      </c>
      <c r="AE88">
        <v>2.0648476357095068E-2</v>
      </c>
    </row>
    <row r="89" spans="29:31" x14ac:dyDescent="0.45">
      <c r="AC89" t="s">
        <v>19</v>
      </c>
      <c r="AD89" t="s">
        <v>347</v>
      </c>
      <c r="AE89">
        <v>2.483938206898265E-2</v>
      </c>
    </row>
    <row r="90" spans="29:31" x14ac:dyDescent="0.45">
      <c r="AC90" t="s">
        <v>19</v>
      </c>
      <c r="AD90" t="s">
        <v>348</v>
      </c>
      <c r="AE90">
        <v>3.4791075524797672E-3</v>
      </c>
    </row>
    <row r="91" spans="29:31" x14ac:dyDescent="0.45">
      <c r="AC91" t="s">
        <v>19</v>
      </c>
      <c r="AD91" t="s">
        <v>349</v>
      </c>
      <c r="AE91">
        <v>2.4576792440163732E-2</v>
      </c>
    </row>
    <row r="92" spans="29:31" x14ac:dyDescent="0.45">
      <c r="AC92" t="s">
        <v>19</v>
      </c>
      <c r="AD92" t="s">
        <v>350</v>
      </c>
      <c r="AE92">
        <v>7.1134307741388854E-3</v>
      </c>
    </row>
    <row r="93" spans="29:31" x14ac:dyDescent="0.45">
      <c r="AC93" t="s">
        <v>19</v>
      </c>
      <c r="AD93" t="s">
        <v>351</v>
      </c>
      <c r="AE93">
        <v>3.5630400057675383E-3</v>
      </c>
    </row>
    <row r="94" spans="29:31" x14ac:dyDescent="0.45">
      <c r="AC94" t="s">
        <v>19</v>
      </c>
      <c r="AD94" t="s">
        <v>352</v>
      </c>
      <c r="AE94">
        <v>2.1427648176889174E-2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664916-B120-4D7A-8877-1C7DF85641B8}">
  <dimension ref="A9:AN12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128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248</v>
      </c>
      <c r="L10" t="s">
        <v>30</v>
      </c>
      <c r="N10" t="s">
        <v>13</v>
      </c>
      <c r="O10" t="s">
        <v>122</v>
      </c>
      <c r="P10" t="s">
        <v>248</v>
      </c>
      <c r="Q10" t="s">
        <v>30</v>
      </c>
      <c r="S10" t="s">
        <v>13</v>
      </c>
      <c r="T10" t="s">
        <v>122</v>
      </c>
      <c r="U10" t="s">
        <v>248</v>
      </c>
      <c r="V10" t="s">
        <v>30</v>
      </c>
      <c r="X10" t="s">
        <v>421</v>
      </c>
      <c r="Y10" t="s">
        <v>248</v>
      </c>
      <c r="Z10" t="s">
        <v>122</v>
      </c>
      <c r="AA10" t="s">
        <v>13</v>
      </c>
      <c r="AC10" t="s">
        <v>13</v>
      </c>
      <c r="AD10" t="s">
        <v>122</v>
      </c>
      <c r="AE10" t="s">
        <v>248</v>
      </c>
      <c r="AG10" t="s">
        <v>13</v>
      </c>
      <c r="AH10" t="s">
        <v>122</v>
      </c>
      <c r="AI10" t="s">
        <v>427</v>
      </c>
      <c r="AK10" t="s">
        <v>47</v>
      </c>
      <c r="AL10" t="s">
        <v>122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240</v>
      </c>
      <c r="F11" t="s">
        <v>2111</v>
      </c>
      <c r="G11" t="s">
        <v>152</v>
      </c>
      <c r="I11" t="s">
        <v>249</v>
      </c>
      <c r="J11" t="s">
        <v>250</v>
      </c>
      <c r="K11">
        <v>0</v>
      </c>
      <c r="L11" t="s">
        <v>251</v>
      </c>
      <c r="N11" t="s">
        <v>419</v>
      </c>
      <c r="O11" t="s">
        <v>250</v>
      </c>
      <c r="P11">
        <v>2.5660311917472152E-2</v>
      </c>
      <c r="Q11" t="s">
        <v>251</v>
      </c>
      <c r="S11" t="s">
        <v>420</v>
      </c>
      <c r="T11" t="s">
        <v>250</v>
      </c>
      <c r="U11">
        <v>2.6769906846017193E-2</v>
      </c>
      <c r="V11" t="s">
        <v>251</v>
      </c>
      <c r="X11">
        <v>2.1232876712328767E-2</v>
      </c>
      <c r="Y11">
        <v>4.5420116185598634E-3</v>
      </c>
      <c r="Z11" t="s">
        <v>250</v>
      </c>
      <c r="AA11" t="s">
        <v>25</v>
      </c>
      <c r="AC11" t="s">
        <v>22</v>
      </c>
      <c r="AD11" t="s">
        <v>250</v>
      </c>
      <c r="AE11">
        <v>2.5607497604483307E-2</v>
      </c>
      <c r="AG11" t="s">
        <v>97</v>
      </c>
      <c r="AH11" t="s">
        <v>250</v>
      </c>
      <c r="AI11">
        <v>0.1255692735717755</v>
      </c>
    </row>
    <row r="12" spans="1:40" x14ac:dyDescent="0.45">
      <c r="C12" t="s">
        <v>156</v>
      </c>
      <c r="E12" t="s">
        <v>241</v>
      </c>
      <c r="G12" t="s">
        <v>152</v>
      </c>
      <c r="I12" t="s">
        <v>249</v>
      </c>
      <c r="J12" t="s">
        <v>252</v>
      </c>
      <c r="K12">
        <v>0</v>
      </c>
      <c r="L12" t="s">
        <v>251</v>
      </c>
      <c r="N12" t="s">
        <v>419</v>
      </c>
      <c r="O12" t="s">
        <v>252</v>
      </c>
      <c r="P12">
        <v>4.0814319723471888E-3</v>
      </c>
      <c r="Q12" t="s">
        <v>251</v>
      </c>
      <c r="S12" t="s">
        <v>420</v>
      </c>
      <c r="T12" t="s">
        <v>252</v>
      </c>
      <c r="U12">
        <v>4.3097825222294175E-3</v>
      </c>
      <c r="V12" t="s">
        <v>251</v>
      </c>
      <c r="X12">
        <v>3.5388127853881279E-3</v>
      </c>
      <c r="Y12">
        <v>5.240782636799844E-3</v>
      </c>
      <c r="Z12" t="s">
        <v>252</v>
      </c>
      <c r="AA12" t="s">
        <v>25</v>
      </c>
      <c r="AC12" t="s">
        <v>22</v>
      </c>
      <c r="AD12" t="s">
        <v>252</v>
      </c>
      <c r="AE12">
        <v>3.3095668155421962E-3</v>
      </c>
      <c r="AG12" t="s">
        <v>97</v>
      </c>
      <c r="AH12" t="s">
        <v>252</v>
      </c>
      <c r="AI12">
        <v>3.1209633865931563E-2</v>
      </c>
    </row>
    <row r="13" spans="1:40" x14ac:dyDescent="0.45">
      <c r="C13" t="s">
        <v>158</v>
      </c>
      <c r="E13" t="s">
        <v>242</v>
      </c>
      <c r="G13" t="s">
        <v>152</v>
      </c>
      <c r="I13" t="s">
        <v>249</v>
      </c>
      <c r="J13" t="s">
        <v>253</v>
      </c>
      <c r="K13">
        <v>2.0106799524999386E-4</v>
      </c>
      <c r="L13" t="s">
        <v>251</v>
      </c>
      <c r="N13" t="s">
        <v>419</v>
      </c>
      <c r="O13" t="s">
        <v>253</v>
      </c>
      <c r="P13">
        <v>4.033150452332668E-3</v>
      </c>
      <c r="Q13" t="s">
        <v>251</v>
      </c>
      <c r="S13" t="s">
        <v>420</v>
      </c>
      <c r="T13" t="s">
        <v>253</v>
      </c>
      <c r="U13">
        <v>4.30556758140406E-3</v>
      </c>
      <c r="V13" t="s">
        <v>251</v>
      </c>
      <c r="X13">
        <v>3.5388127853881279E-3</v>
      </c>
      <c r="Y13">
        <v>5.9087255218821738E-3</v>
      </c>
      <c r="Z13" t="s">
        <v>253</v>
      </c>
      <c r="AA13" t="s">
        <v>25</v>
      </c>
      <c r="AC13" t="s">
        <v>22</v>
      </c>
      <c r="AD13" t="s">
        <v>253</v>
      </c>
      <c r="AE13">
        <v>3.1520688773489483E-3</v>
      </c>
      <c r="AG13" t="s">
        <v>97</v>
      </c>
      <c r="AH13" t="s">
        <v>253</v>
      </c>
      <c r="AI13">
        <v>3.7632188426626412E-2</v>
      </c>
    </row>
    <row r="14" spans="1:40" x14ac:dyDescent="0.45">
      <c r="C14" t="s">
        <v>161</v>
      </c>
      <c r="E14" t="s">
        <v>243</v>
      </c>
      <c r="G14" t="s">
        <v>152</v>
      </c>
      <c r="I14" t="s">
        <v>249</v>
      </c>
      <c r="J14" t="s">
        <v>254</v>
      </c>
      <c r="K14">
        <v>4.9834507681872697E-2</v>
      </c>
      <c r="L14" t="s">
        <v>251</v>
      </c>
      <c r="N14" t="s">
        <v>419</v>
      </c>
      <c r="O14" t="s">
        <v>254</v>
      </c>
      <c r="P14">
        <v>2.3667065373781479E-2</v>
      </c>
      <c r="Q14" t="s">
        <v>251</v>
      </c>
      <c r="S14" t="s">
        <v>420</v>
      </c>
      <c r="T14" t="s">
        <v>254</v>
      </c>
      <c r="U14">
        <v>2.8474195890723288E-2</v>
      </c>
      <c r="V14" t="s">
        <v>251</v>
      </c>
      <c r="X14">
        <v>2.4771689497716895E-2</v>
      </c>
      <c r="Y14">
        <v>3.1424143732027281E-2</v>
      </c>
      <c r="Z14" t="s">
        <v>254</v>
      </c>
      <c r="AA14" t="s">
        <v>25</v>
      </c>
      <c r="AC14" t="s">
        <v>22</v>
      </c>
      <c r="AD14" t="s">
        <v>254</v>
      </c>
      <c r="AE14">
        <v>2.5346104661222169E-2</v>
      </c>
      <c r="AG14" t="s">
        <v>97</v>
      </c>
      <c r="AH14" t="s">
        <v>254</v>
      </c>
      <c r="AI14">
        <v>0.28402737458105975</v>
      </c>
    </row>
    <row r="15" spans="1:40" x14ac:dyDescent="0.45">
      <c r="C15" t="s">
        <v>165</v>
      </c>
      <c r="E15" t="s">
        <v>244</v>
      </c>
      <c r="G15" t="s">
        <v>152</v>
      </c>
      <c r="I15" t="s">
        <v>249</v>
      </c>
      <c r="J15" t="s">
        <v>255</v>
      </c>
      <c r="K15">
        <v>7.7021391491125003E-3</v>
      </c>
      <c r="L15" t="s">
        <v>251</v>
      </c>
      <c r="N15" t="s">
        <v>419</v>
      </c>
      <c r="O15" t="s">
        <v>255</v>
      </c>
      <c r="P15">
        <v>3.101223359272192E-3</v>
      </c>
      <c r="Q15" t="s">
        <v>251</v>
      </c>
      <c r="S15" t="s">
        <v>420</v>
      </c>
      <c r="T15" t="s">
        <v>255</v>
      </c>
      <c r="U15">
        <v>4.067137061951746E-3</v>
      </c>
      <c r="V15" t="s">
        <v>251</v>
      </c>
      <c r="X15">
        <v>3.5388127853881279E-3</v>
      </c>
      <c r="Y15">
        <v>5.3435430806586613E-3</v>
      </c>
      <c r="Z15" t="s">
        <v>255</v>
      </c>
      <c r="AA15" t="s">
        <v>25</v>
      </c>
      <c r="AC15" t="s">
        <v>22</v>
      </c>
      <c r="AD15" t="s">
        <v>255</v>
      </c>
      <c r="AE15">
        <v>4.2578284374204705E-3</v>
      </c>
      <c r="AG15" t="s">
        <v>97</v>
      </c>
      <c r="AH15" t="s">
        <v>255</v>
      </c>
      <c r="AI15">
        <v>5.7465312640921917E-2</v>
      </c>
    </row>
    <row r="16" spans="1:40" x14ac:dyDescent="0.45">
      <c r="C16" t="s">
        <v>167</v>
      </c>
      <c r="E16" t="s">
        <v>245</v>
      </c>
      <c r="G16" t="s">
        <v>152</v>
      </c>
      <c r="I16" t="s">
        <v>249</v>
      </c>
      <c r="J16" t="s">
        <v>256</v>
      </c>
      <c r="K16">
        <v>6.5047348408537988E-3</v>
      </c>
      <c r="L16" t="s">
        <v>251</v>
      </c>
      <c r="N16" t="s">
        <v>419</v>
      </c>
      <c r="O16" t="s">
        <v>256</v>
      </c>
      <c r="P16">
        <v>3.1831217606181723E-3</v>
      </c>
      <c r="Q16" t="s">
        <v>251</v>
      </c>
      <c r="S16" t="s">
        <v>420</v>
      </c>
      <c r="T16" t="s">
        <v>256</v>
      </c>
      <c r="U16">
        <v>4.0561869751066289E-3</v>
      </c>
      <c r="V16" t="s">
        <v>251</v>
      </c>
      <c r="X16">
        <v>3.5388127853881279E-3</v>
      </c>
      <c r="Y16">
        <v>6.8849497385409693E-3</v>
      </c>
      <c r="Z16" t="s">
        <v>256</v>
      </c>
      <c r="AA16" t="s">
        <v>25</v>
      </c>
      <c r="AC16" t="s">
        <v>22</v>
      </c>
      <c r="AD16" t="s">
        <v>256</v>
      </c>
      <c r="AE16">
        <v>4.2265697038094052E-3</v>
      </c>
      <c r="AG16" t="s">
        <v>97</v>
      </c>
      <c r="AH16" t="s">
        <v>256</v>
      </c>
      <c r="AI16">
        <v>3.8379035468125267E-2</v>
      </c>
    </row>
    <row r="17" spans="3:35" x14ac:dyDescent="0.45">
      <c r="C17" t="s">
        <v>169</v>
      </c>
      <c r="E17" t="s">
        <v>246</v>
      </c>
      <c r="G17" t="s">
        <v>152</v>
      </c>
      <c r="I17" t="s">
        <v>249</v>
      </c>
      <c r="J17" t="s">
        <v>257</v>
      </c>
      <c r="K17">
        <v>3.8391612194623543E-3</v>
      </c>
      <c r="L17" t="s">
        <v>251</v>
      </c>
      <c r="N17" t="s">
        <v>419</v>
      </c>
      <c r="O17" t="s">
        <v>257</v>
      </c>
      <c r="P17">
        <v>3.4653706361787956E-3</v>
      </c>
      <c r="Q17" t="s">
        <v>251</v>
      </c>
      <c r="S17" t="s">
        <v>420</v>
      </c>
      <c r="T17" t="s">
        <v>257</v>
      </c>
      <c r="U17">
        <v>4.1657394600128654E-3</v>
      </c>
      <c r="V17" t="s">
        <v>251</v>
      </c>
      <c r="X17">
        <v>3.5388127853881279E-3</v>
      </c>
      <c r="Y17">
        <v>6.8849497385409693E-3</v>
      </c>
      <c r="Z17" t="s">
        <v>257</v>
      </c>
      <c r="AA17" t="s">
        <v>25</v>
      </c>
      <c r="AC17" t="s">
        <v>22</v>
      </c>
      <c r="AD17" t="s">
        <v>257</v>
      </c>
      <c r="AE17">
        <v>4.2859190921906275E-3</v>
      </c>
      <c r="AG17" t="s">
        <v>97</v>
      </c>
      <c r="AH17" t="s">
        <v>257</v>
      </c>
      <c r="AI17">
        <v>4.4527242369231779E-2</v>
      </c>
    </row>
    <row r="18" spans="3:35" x14ac:dyDescent="0.45">
      <c r="E18" t="s">
        <v>247</v>
      </c>
      <c r="G18" t="s">
        <v>152</v>
      </c>
      <c r="I18" t="s">
        <v>249</v>
      </c>
      <c r="J18" t="s">
        <v>258</v>
      </c>
      <c r="K18">
        <v>2.5439683141916474E-5</v>
      </c>
      <c r="L18" t="s">
        <v>251</v>
      </c>
      <c r="N18" t="s">
        <v>419</v>
      </c>
      <c r="O18" t="s">
        <v>258</v>
      </c>
      <c r="P18">
        <v>2.4479808311505789E-2</v>
      </c>
      <c r="Q18" t="s">
        <v>251</v>
      </c>
      <c r="S18" t="s">
        <v>420</v>
      </c>
      <c r="T18" t="s">
        <v>258</v>
      </c>
      <c r="U18">
        <v>2.8289011003994943E-2</v>
      </c>
      <c r="V18" t="s">
        <v>251</v>
      </c>
      <c r="X18">
        <v>2.1232876712328767E-2</v>
      </c>
      <c r="Y18">
        <v>1.8702400782305319E-2</v>
      </c>
      <c r="Z18" t="s">
        <v>258</v>
      </c>
      <c r="AA18" t="s">
        <v>25</v>
      </c>
      <c r="AC18" t="s">
        <v>22</v>
      </c>
      <c r="AD18" t="s">
        <v>258</v>
      </c>
      <c r="AE18">
        <v>2.6355989111971137E-2</v>
      </c>
      <c r="AG18" t="s">
        <v>97</v>
      </c>
      <c r="AH18" t="s">
        <v>258</v>
      </c>
      <c r="AI18">
        <v>9.6362226456162325E-2</v>
      </c>
    </row>
    <row r="19" spans="3:35" x14ac:dyDescent="0.45">
      <c r="I19" t="s">
        <v>249</v>
      </c>
      <c r="J19" t="s">
        <v>259</v>
      </c>
      <c r="K19">
        <v>0</v>
      </c>
      <c r="L19" t="s">
        <v>251</v>
      </c>
      <c r="N19" t="s">
        <v>419</v>
      </c>
      <c r="O19" t="s">
        <v>259</v>
      </c>
      <c r="P19">
        <v>4.7177818465686777E-2</v>
      </c>
      <c r="Q19" t="s">
        <v>251</v>
      </c>
      <c r="S19" t="s">
        <v>420</v>
      </c>
      <c r="T19" t="s">
        <v>259</v>
      </c>
      <c r="U19">
        <v>4.2236758449004423E-2</v>
      </c>
      <c r="V19" t="s">
        <v>251</v>
      </c>
      <c r="X19">
        <v>4.041095890410959E-2</v>
      </c>
      <c r="Y19">
        <v>8.6444737256461904E-3</v>
      </c>
      <c r="Z19" t="s">
        <v>259</v>
      </c>
      <c r="AA19" t="s">
        <v>25</v>
      </c>
      <c r="AC19" t="s">
        <v>22</v>
      </c>
      <c r="AD19" t="s">
        <v>259</v>
      </c>
      <c r="AE19">
        <v>4.5487208089946746E-2</v>
      </c>
      <c r="AG19" t="s">
        <v>97</v>
      </c>
      <c r="AH19" t="s">
        <v>259</v>
      </c>
      <c r="AI19">
        <v>0.18435023342909185</v>
      </c>
    </row>
    <row r="20" spans="3:35" x14ac:dyDescent="0.45">
      <c r="I20" t="s">
        <v>249</v>
      </c>
      <c r="J20" t="s">
        <v>260</v>
      </c>
      <c r="K20">
        <v>3.098396949005206E-4</v>
      </c>
      <c r="L20" t="s">
        <v>251</v>
      </c>
      <c r="N20" t="s">
        <v>419</v>
      </c>
      <c r="O20" t="s">
        <v>260</v>
      </c>
      <c r="P20">
        <v>7.6598557413910702E-3</v>
      </c>
      <c r="Q20" t="s">
        <v>251</v>
      </c>
      <c r="S20" t="s">
        <v>420</v>
      </c>
      <c r="T20" t="s">
        <v>260</v>
      </c>
      <c r="U20">
        <v>6.8831515703203679E-3</v>
      </c>
      <c r="V20" t="s">
        <v>251</v>
      </c>
      <c r="X20">
        <v>6.735159817351598E-3</v>
      </c>
      <c r="Y20">
        <v>9.9743927603609898E-3</v>
      </c>
      <c r="Z20" t="s">
        <v>260</v>
      </c>
      <c r="AA20" t="s">
        <v>25</v>
      </c>
      <c r="AC20" t="s">
        <v>22</v>
      </c>
      <c r="AD20" t="s">
        <v>260</v>
      </c>
      <c r="AE20">
        <v>5.8547070062281515E-3</v>
      </c>
      <c r="AG20" t="s">
        <v>97</v>
      </c>
      <c r="AH20" t="s">
        <v>260</v>
      </c>
      <c r="AI20">
        <v>8.7368564064865373E-2</v>
      </c>
    </row>
    <row r="21" spans="3:35" x14ac:dyDescent="0.45">
      <c r="I21" t="s">
        <v>249</v>
      </c>
      <c r="J21" t="s">
        <v>261</v>
      </c>
      <c r="K21">
        <v>6.1940271944709319E-3</v>
      </c>
      <c r="L21" t="s">
        <v>251</v>
      </c>
      <c r="N21" t="s">
        <v>419</v>
      </c>
      <c r="O21" t="s">
        <v>261</v>
      </c>
      <c r="P21">
        <v>7.3835351236945235E-3</v>
      </c>
      <c r="Q21" t="s">
        <v>251</v>
      </c>
      <c r="S21" t="s">
        <v>420</v>
      </c>
      <c r="T21" t="s">
        <v>261</v>
      </c>
      <c r="U21">
        <v>6.9551565297522435E-3</v>
      </c>
      <c r="V21" t="s">
        <v>251</v>
      </c>
      <c r="X21">
        <v>6.735159817351598E-3</v>
      </c>
      <c r="Y21">
        <v>1.124563889648543E-2</v>
      </c>
      <c r="Z21" t="s">
        <v>261</v>
      </c>
      <c r="AA21" t="s">
        <v>25</v>
      </c>
      <c r="AC21" t="s">
        <v>22</v>
      </c>
      <c r="AD21" t="s">
        <v>261</v>
      </c>
      <c r="AE21">
        <v>5.6673010698488086E-3</v>
      </c>
      <c r="AG21" t="s">
        <v>97</v>
      </c>
      <c r="AH21" t="s">
        <v>261</v>
      </c>
      <c r="AI21">
        <v>8.7152957142239806E-2</v>
      </c>
    </row>
    <row r="22" spans="3:35" x14ac:dyDescent="0.45">
      <c r="I22" t="s">
        <v>249</v>
      </c>
      <c r="J22" t="s">
        <v>262</v>
      </c>
      <c r="K22">
        <v>0.11244720630328327</v>
      </c>
      <c r="L22" t="s">
        <v>251</v>
      </c>
      <c r="N22" t="s">
        <v>419</v>
      </c>
      <c r="O22" t="s">
        <v>262</v>
      </c>
      <c r="P22">
        <v>4.5438682603832915E-2</v>
      </c>
      <c r="Q22" t="s">
        <v>251</v>
      </c>
      <c r="S22" t="s">
        <v>420</v>
      </c>
      <c r="T22" t="s">
        <v>262</v>
      </c>
      <c r="U22">
        <v>4.6024880999428849E-2</v>
      </c>
      <c r="V22" t="s">
        <v>251</v>
      </c>
      <c r="X22">
        <v>4.714611872146119E-2</v>
      </c>
      <c r="Y22">
        <v>5.980724129643903E-2</v>
      </c>
      <c r="Z22" t="s">
        <v>262</v>
      </c>
      <c r="AA22" t="s">
        <v>25</v>
      </c>
      <c r="AC22" t="s">
        <v>22</v>
      </c>
      <c r="AD22" t="s">
        <v>262</v>
      </c>
      <c r="AE22">
        <v>4.6439903886552843E-2</v>
      </c>
      <c r="AG22" t="s">
        <v>97</v>
      </c>
      <c r="AH22" t="s">
        <v>262</v>
      </c>
      <c r="AI22">
        <v>0.28027451863205255</v>
      </c>
    </row>
    <row r="23" spans="3:35" x14ac:dyDescent="0.45">
      <c r="I23" t="s">
        <v>249</v>
      </c>
      <c r="J23" t="s">
        <v>263</v>
      </c>
      <c r="K23">
        <v>1.6327106632549399E-2</v>
      </c>
      <c r="L23" t="s">
        <v>251</v>
      </c>
      <c r="N23" t="s">
        <v>419</v>
      </c>
      <c r="O23" t="s">
        <v>263</v>
      </c>
      <c r="P23">
        <v>6.559993982522311E-3</v>
      </c>
      <c r="Q23" t="s">
        <v>251</v>
      </c>
      <c r="S23" t="s">
        <v>420</v>
      </c>
      <c r="T23" t="s">
        <v>263</v>
      </c>
      <c r="U23">
        <v>6.8154573164143917E-3</v>
      </c>
      <c r="V23" t="s">
        <v>251</v>
      </c>
      <c r="X23">
        <v>6.735159817351598E-3</v>
      </c>
      <c r="Y23">
        <v>1.016996908899552E-2</v>
      </c>
      <c r="Z23" t="s">
        <v>263</v>
      </c>
      <c r="AA23" t="s">
        <v>25</v>
      </c>
      <c r="AC23" t="s">
        <v>22</v>
      </c>
      <c r="AD23" t="s">
        <v>263</v>
      </c>
      <c r="AE23">
        <v>7.5971498351558317E-3</v>
      </c>
      <c r="AG23" t="s">
        <v>97</v>
      </c>
      <c r="AH23" t="s">
        <v>263</v>
      </c>
      <c r="AI23">
        <v>9.1734741191259461E-2</v>
      </c>
    </row>
    <row r="24" spans="3:35" x14ac:dyDescent="0.45">
      <c r="I24" t="s">
        <v>249</v>
      </c>
      <c r="J24" t="s">
        <v>264</v>
      </c>
      <c r="K24">
        <v>1.4664402999376901E-2</v>
      </c>
      <c r="L24" t="s">
        <v>251</v>
      </c>
      <c r="N24" t="s">
        <v>419</v>
      </c>
      <c r="O24" t="s">
        <v>264</v>
      </c>
      <c r="P24">
        <v>6.4722907068803853E-3</v>
      </c>
      <c r="Q24" t="s">
        <v>251</v>
      </c>
      <c r="S24" t="s">
        <v>420</v>
      </c>
      <c r="T24" t="s">
        <v>264</v>
      </c>
      <c r="U24">
        <v>6.6520504685548534E-3</v>
      </c>
      <c r="V24" t="s">
        <v>251</v>
      </c>
      <c r="X24">
        <v>6.735159817351598E-3</v>
      </c>
      <c r="Y24">
        <v>1.3103614018513452E-2</v>
      </c>
      <c r="Z24" t="s">
        <v>264</v>
      </c>
      <c r="AA24" t="s">
        <v>25</v>
      </c>
      <c r="AC24" t="s">
        <v>22</v>
      </c>
      <c r="AD24" t="s">
        <v>264</v>
      </c>
      <c r="AE24">
        <v>7.682630604959201E-3</v>
      </c>
      <c r="AG24" t="s">
        <v>97</v>
      </c>
      <c r="AH24" t="s">
        <v>264</v>
      </c>
      <c r="AI24">
        <v>6.6923012489316536E-2</v>
      </c>
    </row>
    <row r="25" spans="3:35" x14ac:dyDescent="0.45">
      <c r="I25" t="s">
        <v>249</v>
      </c>
      <c r="J25" t="s">
        <v>265</v>
      </c>
      <c r="K25">
        <v>1.1390463065624258E-2</v>
      </c>
      <c r="L25" t="s">
        <v>251</v>
      </c>
      <c r="N25" t="s">
        <v>419</v>
      </c>
      <c r="O25" t="s">
        <v>265</v>
      </c>
      <c r="P25">
        <v>6.5090352112390512E-3</v>
      </c>
      <c r="Q25" t="s">
        <v>251</v>
      </c>
      <c r="S25" t="s">
        <v>420</v>
      </c>
      <c r="T25" t="s">
        <v>265</v>
      </c>
      <c r="U25">
        <v>6.7113749162142217E-3</v>
      </c>
      <c r="V25" t="s">
        <v>251</v>
      </c>
      <c r="X25">
        <v>6.735159817351598E-3</v>
      </c>
      <c r="Y25">
        <v>1.3103614018513452E-2</v>
      </c>
      <c r="Z25" t="s">
        <v>265</v>
      </c>
      <c r="AA25" t="s">
        <v>25</v>
      </c>
      <c r="AC25" t="s">
        <v>22</v>
      </c>
      <c r="AD25" t="s">
        <v>265</v>
      </c>
      <c r="AE25">
        <v>7.7609505828325686E-3</v>
      </c>
      <c r="AG25" t="s">
        <v>97</v>
      </c>
      <c r="AH25" t="s">
        <v>265</v>
      </c>
      <c r="AI25">
        <v>7.7556343324656218E-2</v>
      </c>
    </row>
    <row r="26" spans="3:35" x14ac:dyDescent="0.45">
      <c r="I26" t="s">
        <v>249</v>
      </c>
      <c r="J26" t="s">
        <v>266</v>
      </c>
      <c r="K26">
        <v>4.7314470408856236E-3</v>
      </c>
      <c r="L26" t="s">
        <v>251</v>
      </c>
      <c r="N26" t="s">
        <v>419</v>
      </c>
      <c r="O26" t="s">
        <v>266</v>
      </c>
      <c r="P26">
        <v>4.6264965315515549E-2</v>
      </c>
      <c r="Q26" t="s">
        <v>251</v>
      </c>
      <c r="S26" t="s">
        <v>420</v>
      </c>
      <c r="T26" t="s">
        <v>266</v>
      </c>
      <c r="U26">
        <v>4.6600963343671781E-2</v>
      </c>
      <c r="V26" t="s">
        <v>251</v>
      </c>
      <c r="X26">
        <v>4.041095890410959E-2</v>
      </c>
      <c r="Y26">
        <v>3.5594891811484314E-2</v>
      </c>
      <c r="Z26" t="s">
        <v>266</v>
      </c>
      <c r="AA26" t="s">
        <v>25</v>
      </c>
      <c r="AC26" t="s">
        <v>22</v>
      </c>
      <c r="AD26" t="s">
        <v>266</v>
      </c>
      <c r="AE26">
        <v>4.741509464726431E-2</v>
      </c>
      <c r="AG26" t="s">
        <v>97</v>
      </c>
      <c r="AH26" t="s">
        <v>266</v>
      </c>
      <c r="AI26">
        <v>0.14185155777824199</v>
      </c>
    </row>
    <row r="27" spans="3:35" x14ac:dyDescent="0.45">
      <c r="I27" t="s">
        <v>249</v>
      </c>
      <c r="J27" t="s">
        <v>267</v>
      </c>
      <c r="K27">
        <v>1.3895960121406764E-3</v>
      </c>
      <c r="L27" t="s">
        <v>251</v>
      </c>
      <c r="N27" t="s">
        <v>419</v>
      </c>
      <c r="O27" t="s">
        <v>267</v>
      </c>
      <c r="P27">
        <v>7.1126901196315373E-2</v>
      </c>
      <c r="Q27" t="s">
        <v>251</v>
      </c>
      <c r="S27" t="s">
        <v>420</v>
      </c>
      <c r="T27" t="s">
        <v>267</v>
      </c>
      <c r="U27">
        <v>6.2380059909324347E-2</v>
      </c>
      <c r="V27" t="s">
        <v>251</v>
      </c>
      <c r="X27">
        <v>6.2328767123287672E-2</v>
      </c>
      <c r="Y27">
        <v>1.3333001848030566E-2</v>
      </c>
      <c r="Z27" t="s">
        <v>267</v>
      </c>
      <c r="AA27" t="s">
        <v>25</v>
      </c>
      <c r="AC27" t="s">
        <v>22</v>
      </c>
      <c r="AD27" t="s">
        <v>267</v>
      </c>
      <c r="AE27">
        <v>5.8554619946311996E-2</v>
      </c>
      <c r="AG27" t="s">
        <v>97</v>
      </c>
      <c r="AH27" t="s">
        <v>267</v>
      </c>
      <c r="AI27">
        <v>0.21427572926678318</v>
      </c>
    </row>
    <row r="28" spans="3:35" x14ac:dyDescent="0.45">
      <c r="I28" t="s">
        <v>249</v>
      </c>
      <c r="J28" t="s">
        <v>268</v>
      </c>
      <c r="K28">
        <v>1.1578973657320191E-2</v>
      </c>
      <c r="L28" t="s">
        <v>251</v>
      </c>
      <c r="N28" t="s">
        <v>419</v>
      </c>
      <c r="O28" t="s">
        <v>268</v>
      </c>
      <c r="P28">
        <v>1.0403252679285423E-2</v>
      </c>
      <c r="Q28" t="s">
        <v>251</v>
      </c>
      <c r="S28" t="s">
        <v>420</v>
      </c>
      <c r="T28" t="s">
        <v>268</v>
      </c>
      <c r="U28">
        <v>9.5467063797665067E-3</v>
      </c>
      <c r="V28" t="s">
        <v>251</v>
      </c>
      <c r="X28">
        <v>1.0388127853881279E-2</v>
      </c>
      <c r="Y28">
        <v>1.5384232901573727E-2</v>
      </c>
      <c r="Z28" t="s">
        <v>268</v>
      </c>
      <c r="AA28" t="s">
        <v>25</v>
      </c>
      <c r="AC28" t="s">
        <v>22</v>
      </c>
      <c r="AD28" t="s">
        <v>268</v>
      </c>
      <c r="AE28">
        <v>7.8995333970501482E-3</v>
      </c>
      <c r="AG28" t="s">
        <v>97</v>
      </c>
      <c r="AH28" t="s">
        <v>268</v>
      </c>
      <c r="AI28">
        <v>8.2585488913533123E-2</v>
      </c>
    </row>
    <row r="29" spans="3:35" x14ac:dyDescent="0.45">
      <c r="I29" t="s">
        <v>249</v>
      </c>
      <c r="J29" t="s">
        <v>269</v>
      </c>
      <c r="K29">
        <v>1.9078268840207201E-2</v>
      </c>
      <c r="L29" t="s">
        <v>251</v>
      </c>
      <c r="N29" t="s">
        <v>419</v>
      </c>
      <c r="O29" t="s">
        <v>269</v>
      </c>
      <c r="P29">
        <v>9.4762888586905503E-3</v>
      </c>
      <c r="Q29" t="s">
        <v>251</v>
      </c>
      <c r="S29" t="s">
        <v>420</v>
      </c>
      <c r="T29" t="s">
        <v>269</v>
      </c>
      <c r="U29">
        <v>9.4682662980401303E-3</v>
      </c>
      <c r="V29" t="s">
        <v>251</v>
      </c>
      <c r="X29">
        <v>1.0388127853881279E-2</v>
      </c>
      <c r="Y29">
        <v>1.7344968467460573E-2</v>
      </c>
      <c r="Z29" t="s">
        <v>269</v>
      </c>
      <c r="AA29" t="s">
        <v>25</v>
      </c>
      <c r="AC29" t="s">
        <v>22</v>
      </c>
      <c r="AD29" t="s">
        <v>269</v>
      </c>
      <c r="AE29">
        <v>7.6630514516584812E-3</v>
      </c>
      <c r="AG29" t="s">
        <v>97</v>
      </c>
      <c r="AH29" t="s">
        <v>269</v>
      </c>
      <c r="AI29">
        <v>7.3598666162655091E-2</v>
      </c>
    </row>
    <row r="30" spans="3:35" x14ac:dyDescent="0.45">
      <c r="I30" t="s">
        <v>249</v>
      </c>
      <c r="J30" t="s">
        <v>270</v>
      </c>
      <c r="K30">
        <v>0.1859761320339513</v>
      </c>
      <c r="L30" t="s">
        <v>251</v>
      </c>
      <c r="N30" t="s">
        <v>419</v>
      </c>
      <c r="O30" t="s">
        <v>270</v>
      </c>
      <c r="P30">
        <v>6.9088874626625899E-2</v>
      </c>
      <c r="Q30" t="s">
        <v>251</v>
      </c>
      <c r="S30" t="s">
        <v>420</v>
      </c>
      <c r="T30" t="s">
        <v>270</v>
      </c>
      <c r="U30">
        <v>6.3898333323052822E-2</v>
      </c>
      <c r="V30" t="s">
        <v>251</v>
      </c>
      <c r="X30">
        <v>7.2716894977168947E-2</v>
      </c>
      <c r="Y30">
        <v>9.2245067084338161E-2</v>
      </c>
      <c r="Z30" t="s">
        <v>270</v>
      </c>
      <c r="AA30" t="s">
        <v>25</v>
      </c>
      <c r="AC30" t="s">
        <v>22</v>
      </c>
      <c r="AD30" t="s">
        <v>270</v>
      </c>
      <c r="AE30">
        <v>6.4163598726402468E-2</v>
      </c>
      <c r="AG30" t="s">
        <v>97</v>
      </c>
      <c r="AH30" t="s">
        <v>270</v>
      </c>
      <c r="AI30">
        <v>0.31561575537076947</v>
      </c>
    </row>
    <row r="31" spans="3:35" x14ac:dyDescent="0.45">
      <c r="I31" t="s">
        <v>249</v>
      </c>
      <c r="J31" t="s">
        <v>271</v>
      </c>
      <c r="K31">
        <v>2.52750997411922E-2</v>
      </c>
      <c r="L31" t="s">
        <v>251</v>
      </c>
      <c r="N31" t="s">
        <v>419</v>
      </c>
      <c r="O31" t="s">
        <v>271</v>
      </c>
      <c r="P31">
        <v>1.0337181885960393E-2</v>
      </c>
      <c r="Q31" t="s">
        <v>251</v>
      </c>
      <c r="S31" t="s">
        <v>420</v>
      </c>
      <c r="T31" t="s">
        <v>271</v>
      </c>
      <c r="U31">
        <v>1.0087576986856056E-2</v>
      </c>
      <c r="V31" t="s">
        <v>251</v>
      </c>
      <c r="X31">
        <v>1.0388127853881279E-2</v>
      </c>
      <c r="Y31">
        <v>1.5685884527094778E-2</v>
      </c>
      <c r="Z31" t="s">
        <v>271</v>
      </c>
      <c r="AA31" t="s">
        <v>25</v>
      </c>
      <c r="AC31" t="s">
        <v>22</v>
      </c>
      <c r="AD31" t="s">
        <v>271</v>
      </c>
      <c r="AE31">
        <v>1.0391444435498212E-2</v>
      </c>
      <c r="AG31" t="s">
        <v>97</v>
      </c>
      <c r="AH31" t="s">
        <v>271</v>
      </c>
      <c r="AI31">
        <v>8.8151197169172413E-2</v>
      </c>
    </row>
    <row r="32" spans="3:35" x14ac:dyDescent="0.45">
      <c r="I32" t="s">
        <v>249</v>
      </c>
      <c r="J32" t="s">
        <v>272</v>
      </c>
      <c r="K32">
        <v>2.27546595247861E-2</v>
      </c>
      <c r="L32" t="s">
        <v>251</v>
      </c>
      <c r="N32" t="s">
        <v>419</v>
      </c>
      <c r="O32" t="s">
        <v>272</v>
      </c>
      <c r="P32">
        <v>1.037461923388399E-2</v>
      </c>
      <c r="Q32" t="s">
        <v>251</v>
      </c>
      <c r="S32" t="s">
        <v>420</v>
      </c>
      <c r="T32" t="s">
        <v>272</v>
      </c>
      <c r="U32">
        <v>9.8073166311724684E-3</v>
      </c>
      <c r="V32" t="s">
        <v>251</v>
      </c>
      <c r="X32">
        <v>1.0388127853881279E-2</v>
      </c>
      <c r="Y32">
        <v>2.0210658909910584E-2</v>
      </c>
      <c r="Z32" t="s">
        <v>272</v>
      </c>
      <c r="AA32" t="s">
        <v>25</v>
      </c>
      <c r="AC32" t="s">
        <v>22</v>
      </c>
      <c r="AD32" t="s">
        <v>272</v>
      </c>
      <c r="AE32">
        <v>1.0476975894563036E-2</v>
      </c>
      <c r="AG32" t="s">
        <v>97</v>
      </c>
      <c r="AH32" t="s">
        <v>272</v>
      </c>
      <c r="AI32">
        <v>0.10686789830126586</v>
      </c>
    </row>
    <row r="33" spans="9:35" x14ac:dyDescent="0.45">
      <c r="I33" t="s">
        <v>249</v>
      </c>
      <c r="J33" t="s">
        <v>273</v>
      </c>
      <c r="K33">
        <v>1.9084856580591301E-2</v>
      </c>
      <c r="L33" t="s">
        <v>251</v>
      </c>
      <c r="N33" t="s">
        <v>419</v>
      </c>
      <c r="O33" t="s">
        <v>273</v>
      </c>
      <c r="P33">
        <v>1.0266722060145676E-2</v>
      </c>
      <c r="Q33" t="s">
        <v>251</v>
      </c>
      <c r="S33" t="s">
        <v>420</v>
      </c>
      <c r="T33" t="s">
        <v>273</v>
      </c>
      <c r="U33">
        <v>9.8673081899330346E-3</v>
      </c>
      <c r="V33" t="s">
        <v>251</v>
      </c>
      <c r="X33">
        <v>1.0388127853881279E-2</v>
      </c>
      <c r="Y33">
        <v>2.0210658909910584E-2</v>
      </c>
      <c r="Z33" t="s">
        <v>273</v>
      </c>
      <c r="AA33" t="s">
        <v>25</v>
      </c>
      <c r="AC33" t="s">
        <v>22</v>
      </c>
      <c r="AD33" t="s">
        <v>273</v>
      </c>
      <c r="AE33">
        <v>1.0460160132253881E-2</v>
      </c>
      <c r="AG33" t="s">
        <v>97</v>
      </c>
      <c r="AH33" t="s">
        <v>273</v>
      </c>
      <c r="AI33">
        <v>0.10126241134868441</v>
      </c>
    </row>
    <row r="34" spans="9:35" x14ac:dyDescent="0.45">
      <c r="I34" t="s">
        <v>249</v>
      </c>
      <c r="J34" t="s">
        <v>274</v>
      </c>
      <c r="K34">
        <v>1.8234644995131589E-2</v>
      </c>
      <c r="L34" t="s">
        <v>251</v>
      </c>
      <c r="N34" t="s">
        <v>419</v>
      </c>
      <c r="O34" t="s">
        <v>274</v>
      </c>
      <c r="P34">
        <v>7.1818607866578413E-2</v>
      </c>
      <c r="Q34" t="s">
        <v>251</v>
      </c>
      <c r="S34" t="s">
        <v>420</v>
      </c>
      <c r="T34" t="s">
        <v>274</v>
      </c>
      <c r="U34">
        <v>6.6018584711661138E-2</v>
      </c>
      <c r="V34" t="s">
        <v>251</v>
      </c>
      <c r="X34">
        <v>6.2328767123287672E-2</v>
      </c>
      <c r="Y34">
        <v>5.4900595844831736E-2</v>
      </c>
      <c r="Z34" t="s">
        <v>274</v>
      </c>
      <c r="AA34" t="s">
        <v>25</v>
      </c>
      <c r="AC34" t="s">
        <v>22</v>
      </c>
      <c r="AD34" t="s">
        <v>274</v>
      </c>
      <c r="AE34">
        <v>6.3631036630678248E-2</v>
      </c>
      <c r="AG34" t="s">
        <v>97</v>
      </c>
      <c r="AH34" t="s">
        <v>274</v>
      </c>
      <c r="AI34">
        <v>0.12934158109639937</v>
      </c>
    </row>
    <row r="35" spans="9:35" x14ac:dyDescent="0.45">
      <c r="I35" t="s">
        <v>249</v>
      </c>
      <c r="J35" t="s">
        <v>299</v>
      </c>
      <c r="K35">
        <v>2.6853914699981611E-4</v>
      </c>
      <c r="L35" t="s">
        <v>251</v>
      </c>
      <c r="N35" t="s">
        <v>419</v>
      </c>
      <c r="O35" t="s">
        <v>299</v>
      </c>
      <c r="P35">
        <v>3.4382980776409146E-2</v>
      </c>
      <c r="Q35" t="s">
        <v>251</v>
      </c>
      <c r="S35" t="s">
        <v>420</v>
      </c>
      <c r="T35" t="s">
        <v>299</v>
      </c>
      <c r="U35">
        <v>3.0982969200745097E-2</v>
      </c>
      <c r="V35" t="s">
        <v>251</v>
      </c>
      <c r="X35">
        <v>4.2465753424657533E-2</v>
      </c>
      <c r="Y35">
        <v>9.084023237119725E-3</v>
      </c>
      <c r="Z35" t="s">
        <v>299</v>
      </c>
      <c r="AA35" t="s">
        <v>25</v>
      </c>
      <c r="AC35" t="s">
        <v>22</v>
      </c>
      <c r="AD35" t="s">
        <v>299</v>
      </c>
      <c r="AE35">
        <v>4.1592022870681998E-2</v>
      </c>
      <c r="AG35" t="s">
        <v>97</v>
      </c>
      <c r="AH35" t="s">
        <v>299</v>
      </c>
      <c r="AI35">
        <v>0.24382447706800292</v>
      </c>
    </row>
    <row r="36" spans="9:35" x14ac:dyDescent="0.45">
      <c r="I36" t="s">
        <v>249</v>
      </c>
      <c r="J36" t="s">
        <v>300</v>
      </c>
      <c r="K36">
        <v>5.9726442863349046E-3</v>
      </c>
      <c r="L36" t="s">
        <v>251</v>
      </c>
      <c r="N36" t="s">
        <v>419</v>
      </c>
      <c r="O36" t="s">
        <v>300</v>
      </c>
      <c r="P36">
        <v>4.208259231691526E-3</v>
      </c>
      <c r="Q36" t="s">
        <v>251</v>
      </c>
      <c r="S36" t="s">
        <v>420</v>
      </c>
      <c r="T36" t="s">
        <v>300</v>
      </c>
      <c r="U36">
        <v>4.5469950307443384E-3</v>
      </c>
      <c r="V36" t="s">
        <v>251</v>
      </c>
      <c r="X36">
        <v>7.0776255707762558E-3</v>
      </c>
      <c r="Y36">
        <v>1.0481565273599685E-2</v>
      </c>
      <c r="Z36" t="s">
        <v>300</v>
      </c>
      <c r="AA36" t="s">
        <v>25</v>
      </c>
      <c r="AC36" t="s">
        <v>22</v>
      </c>
      <c r="AD36" t="s">
        <v>300</v>
      </c>
      <c r="AE36">
        <v>5.6845317054249932E-3</v>
      </c>
      <c r="AG36" t="s">
        <v>97</v>
      </c>
      <c r="AH36" t="s">
        <v>300</v>
      </c>
      <c r="AI36">
        <v>7.0174840191800536E-2</v>
      </c>
    </row>
    <row r="37" spans="9:35" x14ac:dyDescent="0.45">
      <c r="I37" t="s">
        <v>249</v>
      </c>
      <c r="J37" t="s">
        <v>301</v>
      </c>
      <c r="K37">
        <v>1.07572630174484E-2</v>
      </c>
      <c r="L37" t="s">
        <v>251</v>
      </c>
      <c r="N37" t="s">
        <v>419</v>
      </c>
      <c r="O37" t="s">
        <v>301</v>
      </c>
      <c r="P37">
        <v>3.4134170530241569E-3</v>
      </c>
      <c r="Q37" t="s">
        <v>251</v>
      </c>
      <c r="S37" t="s">
        <v>420</v>
      </c>
      <c r="T37" t="s">
        <v>301</v>
      </c>
      <c r="U37">
        <v>4.4263679553930204E-3</v>
      </c>
      <c r="V37" t="s">
        <v>251</v>
      </c>
      <c r="X37">
        <v>7.0776255707762558E-3</v>
      </c>
      <c r="Y37">
        <v>1.1817451043764349E-2</v>
      </c>
      <c r="Z37" t="s">
        <v>301</v>
      </c>
      <c r="AA37" t="s">
        <v>25</v>
      </c>
      <c r="AC37" t="s">
        <v>22</v>
      </c>
      <c r="AD37" t="s">
        <v>301</v>
      </c>
      <c r="AE37">
        <v>5.4575235829991738E-3</v>
      </c>
      <c r="AG37" t="s">
        <v>97</v>
      </c>
      <c r="AH37" t="s">
        <v>301</v>
      </c>
      <c r="AI37">
        <v>7.2922955997208883E-2</v>
      </c>
    </row>
    <row r="38" spans="9:35" x14ac:dyDescent="0.45">
      <c r="I38" t="s">
        <v>249</v>
      </c>
      <c r="J38" t="s">
        <v>302</v>
      </c>
      <c r="K38">
        <v>0.11143833580062031</v>
      </c>
      <c r="L38" t="s">
        <v>251</v>
      </c>
      <c r="N38" t="s">
        <v>419</v>
      </c>
      <c r="O38" t="s">
        <v>302</v>
      </c>
      <c r="P38">
        <v>2.3634409798835146E-2</v>
      </c>
      <c r="Q38" t="s">
        <v>251</v>
      </c>
      <c r="S38" t="s">
        <v>420</v>
      </c>
      <c r="T38" t="s">
        <v>302</v>
      </c>
      <c r="U38">
        <v>2.9359904431188272E-2</v>
      </c>
      <c r="V38" t="s">
        <v>251</v>
      </c>
      <c r="X38">
        <v>4.954337899543379E-2</v>
      </c>
      <c r="Y38">
        <v>6.2848287464054575E-2</v>
      </c>
      <c r="Z38" t="s">
        <v>302</v>
      </c>
      <c r="AA38" t="s">
        <v>25</v>
      </c>
      <c r="AC38" t="s">
        <v>22</v>
      </c>
      <c r="AD38" t="s">
        <v>302</v>
      </c>
      <c r="AE38">
        <v>4.3532826872490028E-2</v>
      </c>
      <c r="AG38" t="s">
        <v>97</v>
      </c>
      <c r="AH38" t="s">
        <v>302</v>
      </c>
      <c r="AI38">
        <v>0.21630638329155016</v>
      </c>
    </row>
    <row r="39" spans="9:35" x14ac:dyDescent="0.45">
      <c r="I39" t="s">
        <v>249</v>
      </c>
      <c r="J39" t="s">
        <v>303</v>
      </c>
      <c r="K39">
        <v>1.4577075388595401E-2</v>
      </c>
      <c r="L39" t="s">
        <v>251</v>
      </c>
      <c r="N39" t="s">
        <v>419</v>
      </c>
      <c r="O39" t="s">
        <v>303</v>
      </c>
      <c r="P39">
        <v>3.6170907657079466E-3</v>
      </c>
      <c r="Q39" t="s">
        <v>251</v>
      </c>
      <c r="S39" t="s">
        <v>420</v>
      </c>
      <c r="T39" t="s">
        <v>303</v>
      </c>
      <c r="U39">
        <v>4.7400150700116928E-3</v>
      </c>
      <c r="V39" t="s">
        <v>251</v>
      </c>
      <c r="X39">
        <v>7.0776255707762558E-3</v>
      </c>
      <c r="Y39">
        <v>1.0687086161317328E-2</v>
      </c>
      <c r="Z39" t="s">
        <v>303</v>
      </c>
      <c r="AA39" t="s">
        <v>25</v>
      </c>
      <c r="AC39" t="s">
        <v>22</v>
      </c>
      <c r="AD39" t="s">
        <v>303</v>
      </c>
      <c r="AE39">
        <v>7.3593934766968258E-3</v>
      </c>
      <c r="AG39" t="s">
        <v>97</v>
      </c>
      <c r="AH39" t="s">
        <v>303</v>
      </c>
      <c r="AI39">
        <v>8.4223590055961362E-2</v>
      </c>
    </row>
    <row r="40" spans="9:35" x14ac:dyDescent="0.45">
      <c r="I40" t="s">
        <v>249</v>
      </c>
      <c r="J40" t="s">
        <v>304</v>
      </c>
      <c r="K40">
        <v>1.2803017622019901E-2</v>
      </c>
      <c r="L40" t="s">
        <v>251</v>
      </c>
      <c r="N40" t="s">
        <v>419</v>
      </c>
      <c r="O40" t="s">
        <v>304</v>
      </c>
      <c r="P40">
        <v>3.7815268203523181E-3</v>
      </c>
      <c r="Q40" t="s">
        <v>251</v>
      </c>
      <c r="S40" t="s">
        <v>420</v>
      </c>
      <c r="T40" t="s">
        <v>304</v>
      </c>
      <c r="U40">
        <v>4.6415953067371653E-3</v>
      </c>
      <c r="V40" t="s">
        <v>251</v>
      </c>
      <c r="X40">
        <v>7.0776255707762558E-3</v>
      </c>
      <c r="Y40">
        <v>1.376989947708193E-2</v>
      </c>
      <c r="Z40" t="s">
        <v>304</v>
      </c>
      <c r="AA40" t="s">
        <v>25</v>
      </c>
      <c r="AC40" t="s">
        <v>22</v>
      </c>
      <c r="AD40" t="s">
        <v>304</v>
      </c>
      <c r="AE40">
        <v>7.4513400619770987E-3</v>
      </c>
      <c r="AG40" t="s">
        <v>97</v>
      </c>
      <c r="AH40" t="s">
        <v>304</v>
      </c>
      <c r="AI40">
        <v>0.11956928463359207</v>
      </c>
    </row>
    <row r="41" spans="9:35" x14ac:dyDescent="0.45">
      <c r="I41" t="s">
        <v>249</v>
      </c>
      <c r="J41" t="s">
        <v>305</v>
      </c>
      <c r="K41">
        <v>1.0352957739441501E-2</v>
      </c>
      <c r="L41" t="s">
        <v>251</v>
      </c>
      <c r="N41" t="s">
        <v>419</v>
      </c>
      <c r="O41" t="s">
        <v>305</v>
      </c>
      <c r="P41">
        <v>3.9530561461779273E-3</v>
      </c>
      <c r="Q41" t="s">
        <v>251</v>
      </c>
      <c r="S41" t="s">
        <v>420</v>
      </c>
      <c r="T41" t="s">
        <v>305</v>
      </c>
      <c r="U41">
        <v>4.6133159193772278E-3</v>
      </c>
      <c r="V41" t="s">
        <v>251</v>
      </c>
      <c r="X41">
        <v>7.0776255707762558E-3</v>
      </c>
      <c r="Y41">
        <v>1.376989947708193E-2</v>
      </c>
      <c r="Z41" t="s">
        <v>305</v>
      </c>
      <c r="AA41" t="s">
        <v>25</v>
      </c>
      <c r="AC41" t="s">
        <v>22</v>
      </c>
      <c r="AD41" t="s">
        <v>305</v>
      </c>
      <c r="AE41">
        <v>7.5533265892379908E-3</v>
      </c>
      <c r="AG41" t="s">
        <v>97</v>
      </c>
      <c r="AH41" t="s">
        <v>305</v>
      </c>
      <c r="AI41">
        <v>0.12073206357803623</v>
      </c>
    </row>
    <row r="42" spans="9:35" x14ac:dyDescent="0.45">
      <c r="I42" t="s">
        <v>249</v>
      </c>
      <c r="J42" t="s">
        <v>306</v>
      </c>
      <c r="K42">
        <v>1.0136593556209987E-2</v>
      </c>
      <c r="L42" t="s">
        <v>251</v>
      </c>
      <c r="N42" t="s">
        <v>419</v>
      </c>
      <c r="O42" t="s">
        <v>306</v>
      </c>
      <c r="P42">
        <v>3.651720221436508E-2</v>
      </c>
      <c r="Q42" t="s">
        <v>251</v>
      </c>
      <c r="S42" t="s">
        <v>420</v>
      </c>
      <c r="T42" t="s">
        <v>306</v>
      </c>
      <c r="U42">
        <v>3.1326445538160393E-2</v>
      </c>
      <c r="V42" t="s">
        <v>251</v>
      </c>
      <c r="X42">
        <v>4.2465753424657533E-2</v>
      </c>
      <c r="Y42">
        <v>3.7404801564610637E-2</v>
      </c>
      <c r="Z42" t="s">
        <v>306</v>
      </c>
      <c r="AA42" t="s">
        <v>25</v>
      </c>
      <c r="AC42" t="s">
        <v>22</v>
      </c>
      <c r="AD42" t="s">
        <v>306</v>
      </c>
      <c r="AE42">
        <v>4.6722418816356748E-2</v>
      </c>
      <c r="AG42" t="s">
        <v>97</v>
      </c>
      <c r="AH42" t="s">
        <v>306</v>
      </c>
      <c r="AI42">
        <v>0.15170309383290848</v>
      </c>
    </row>
    <row r="43" spans="9:35" x14ac:dyDescent="0.45">
      <c r="I43" t="s">
        <v>249</v>
      </c>
      <c r="J43" t="s">
        <v>331</v>
      </c>
      <c r="K43">
        <v>0</v>
      </c>
      <c r="L43" t="s">
        <v>251</v>
      </c>
      <c r="N43" t="s">
        <v>419</v>
      </c>
      <c r="O43" t="s">
        <v>331</v>
      </c>
      <c r="P43">
        <v>4.8717479526293281E-2</v>
      </c>
      <c r="Q43" t="s">
        <v>251</v>
      </c>
      <c r="S43" t="s">
        <v>420</v>
      </c>
      <c r="T43" t="s">
        <v>331</v>
      </c>
      <c r="U43">
        <v>4.0133333046064326E-2</v>
      </c>
      <c r="V43" t="s">
        <v>251</v>
      </c>
      <c r="X43">
        <v>4.1780821917808221E-2</v>
      </c>
      <c r="Y43">
        <v>8.9375067332952141E-3</v>
      </c>
      <c r="Z43" t="s">
        <v>331</v>
      </c>
      <c r="AA43" t="s">
        <v>25</v>
      </c>
      <c r="AC43" t="s">
        <v>22</v>
      </c>
      <c r="AD43" t="s">
        <v>331</v>
      </c>
      <c r="AE43">
        <v>3.9223734659193078E-2</v>
      </c>
      <c r="AG43" t="s">
        <v>97</v>
      </c>
      <c r="AH43" t="s">
        <v>331</v>
      </c>
      <c r="AI43">
        <v>0.18121764282808339</v>
      </c>
    </row>
    <row r="44" spans="9:35" x14ac:dyDescent="0.45">
      <c r="I44" t="s">
        <v>249</v>
      </c>
      <c r="J44" t="s">
        <v>332</v>
      </c>
      <c r="K44">
        <v>1.7203616204601584E-3</v>
      </c>
      <c r="L44" t="s">
        <v>251</v>
      </c>
      <c r="N44" t="s">
        <v>419</v>
      </c>
      <c r="O44" t="s">
        <v>332</v>
      </c>
      <c r="P44">
        <v>7.4969355316720039E-3</v>
      </c>
      <c r="Q44" t="s">
        <v>251</v>
      </c>
      <c r="S44" t="s">
        <v>420</v>
      </c>
      <c r="T44" t="s">
        <v>332</v>
      </c>
      <c r="U44">
        <v>6.3830662905460418E-3</v>
      </c>
      <c r="V44" t="s">
        <v>251</v>
      </c>
      <c r="X44">
        <v>6.9634703196347035E-3</v>
      </c>
      <c r="Y44">
        <v>1.0312507769186786E-2</v>
      </c>
      <c r="Z44" t="s">
        <v>332</v>
      </c>
      <c r="AA44" t="s">
        <v>25</v>
      </c>
      <c r="AC44" t="s">
        <v>22</v>
      </c>
      <c r="AD44" t="s">
        <v>332</v>
      </c>
      <c r="AE44">
        <v>5.2963374655680667E-3</v>
      </c>
      <c r="AG44" t="s">
        <v>97</v>
      </c>
      <c r="AH44" t="s">
        <v>332</v>
      </c>
      <c r="AI44">
        <v>8.5251472318801369E-2</v>
      </c>
    </row>
    <row r="45" spans="9:35" x14ac:dyDescent="0.45">
      <c r="I45" t="s">
        <v>249</v>
      </c>
      <c r="J45" t="s">
        <v>333</v>
      </c>
      <c r="K45">
        <v>1.0223322881840545E-2</v>
      </c>
      <c r="L45" t="s">
        <v>251</v>
      </c>
      <c r="N45" t="s">
        <v>419</v>
      </c>
      <c r="O45" t="s">
        <v>333</v>
      </c>
      <c r="P45">
        <v>6.8368638410305407E-3</v>
      </c>
      <c r="Q45" t="s">
        <v>251</v>
      </c>
      <c r="S45" t="s">
        <v>420</v>
      </c>
      <c r="T45" t="s">
        <v>333</v>
      </c>
      <c r="U45">
        <v>6.3832820601344431E-3</v>
      </c>
      <c r="V45" t="s">
        <v>251</v>
      </c>
      <c r="X45">
        <v>6.9634703196347035E-3</v>
      </c>
      <c r="Y45">
        <v>1.1626846994671376E-2</v>
      </c>
      <c r="Z45" t="s">
        <v>333</v>
      </c>
      <c r="AA45" t="s">
        <v>25</v>
      </c>
      <c r="AC45" t="s">
        <v>22</v>
      </c>
      <c r="AD45" t="s">
        <v>333</v>
      </c>
      <c r="AE45">
        <v>5.1335206231347217E-3</v>
      </c>
      <c r="AG45" t="s">
        <v>97</v>
      </c>
      <c r="AH45" t="s">
        <v>333</v>
      </c>
      <c r="AI45">
        <v>7.8249427227652602E-2</v>
      </c>
    </row>
    <row r="46" spans="9:35" x14ac:dyDescent="0.45">
      <c r="I46" t="s">
        <v>249</v>
      </c>
      <c r="J46" t="s">
        <v>334</v>
      </c>
      <c r="K46">
        <v>0.1107732227771267</v>
      </c>
      <c r="L46" t="s">
        <v>251</v>
      </c>
      <c r="N46" t="s">
        <v>419</v>
      </c>
      <c r="O46" t="s">
        <v>334</v>
      </c>
      <c r="P46">
        <v>4.4462086879457137E-2</v>
      </c>
      <c r="Q46" t="s">
        <v>251</v>
      </c>
      <c r="S46" t="s">
        <v>420</v>
      </c>
      <c r="T46" t="s">
        <v>334</v>
      </c>
      <c r="U46">
        <v>4.2567688759852985E-2</v>
      </c>
      <c r="V46" t="s">
        <v>251</v>
      </c>
      <c r="X46">
        <v>4.8744292237442921E-2</v>
      </c>
      <c r="Y46">
        <v>6.1834605408182725E-2</v>
      </c>
      <c r="Z46" t="s">
        <v>334</v>
      </c>
      <c r="AA46" t="s">
        <v>25</v>
      </c>
      <c r="AC46" t="s">
        <v>22</v>
      </c>
      <c r="AD46" t="s">
        <v>334</v>
      </c>
      <c r="AE46">
        <v>4.2781493951840992E-2</v>
      </c>
      <c r="AG46" t="s">
        <v>97</v>
      </c>
      <c r="AH46" t="s">
        <v>334</v>
      </c>
      <c r="AI46">
        <v>0.25906102622316918</v>
      </c>
    </row>
    <row r="47" spans="9:35" x14ac:dyDescent="0.45">
      <c r="I47" t="s">
        <v>249</v>
      </c>
      <c r="J47" t="s">
        <v>335</v>
      </c>
      <c r="K47">
        <v>1.5410709531711499E-2</v>
      </c>
      <c r="L47" t="s">
        <v>251</v>
      </c>
      <c r="N47" t="s">
        <v>419</v>
      </c>
      <c r="O47" t="s">
        <v>335</v>
      </c>
      <c r="P47">
        <v>6.3814249097322983E-3</v>
      </c>
      <c r="Q47" t="s">
        <v>251</v>
      </c>
      <c r="S47" t="s">
        <v>420</v>
      </c>
      <c r="T47" t="s">
        <v>335</v>
      </c>
      <c r="U47">
        <v>6.2732931420715265E-3</v>
      </c>
      <c r="V47" t="s">
        <v>251</v>
      </c>
      <c r="X47">
        <v>6.9634703196347035E-3</v>
      </c>
      <c r="Y47">
        <v>1.0514713803876726E-2</v>
      </c>
      <c r="Z47" t="s">
        <v>335</v>
      </c>
      <c r="AA47" t="s">
        <v>25</v>
      </c>
      <c r="AC47" t="s">
        <v>22</v>
      </c>
      <c r="AD47" t="s">
        <v>335</v>
      </c>
      <c r="AE47">
        <v>7.0046282711979761E-3</v>
      </c>
      <c r="AG47" t="s">
        <v>97</v>
      </c>
      <c r="AH47" t="s">
        <v>335</v>
      </c>
      <c r="AI47">
        <v>7.2235857901736811E-2</v>
      </c>
    </row>
    <row r="48" spans="9:35" x14ac:dyDescent="0.45">
      <c r="I48" t="s">
        <v>249</v>
      </c>
      <c r="J48" t="s">
        <v>336</v>
      </c>
      <c r="K48">
        <v>1.3531442722094601E-2</v>
      </c>
      <c r="L48" t="s">
        <v>251</v>
      </c>
      <c r="N48" t="s">
        <v>419</v>
      </c>
      <c r="O48" t="s">
        <v>336</v>
      </c>
      <c r="P48">
        <v>6.2517428117032517E-3</v>
      </c>
      <c r="Q48" t="s">
        <v>251</v>
      </c>
      <c r="S48" t="s">
        <v>420</v>
      </c>
      <c r="T48" t="s">
        <v>336</v>
      </c>
      <c r="U48">
        <v>6.065035900735114E-3</v>
      </c>
      <c r="V48" t="s">
        <v>251</v>
      </c>
      <c r="X48">
        <v>6.9634703196347035E-3</v>
      </c>
      <c r="Y48">
        <v>1.354780432422577E-2</v>
      </c>
      <c r="Z48" t="s">
        <v>336</v>
      </c>
      <c r="AA48" t="s">
        <v>25</v>
      </c>
      <c r="AC48" t="s">
        <v>22</v>
      </c>
      <c r="AD48" t="s">
        <v>336</v>
      </c>
      <c r="AE48">
        <v>7.0527603928049023E-3</v>
      </c>
      <c r="AG48" t="s">
        <v>97</v>
      </c>
      <c r="AH48" t="s">
        <v>336</v>
      </c>
      <c r="AI48">
        <v>8.85116293556647E-2</v>
      </c>
    </row>
    <row r="49" spans="9:35" x14ac:dyDescent="0.45">
      <c r="I49" t="s">
        <v>249</v>
      </c>
      <c r="J49" t="s">
        <v>337</v>
      </c>
      <c r="K49">
        <v>9.9255160347316781E-3</v>
      </c>
      <c r="L49" t="s">
        <v>251</v>
      </c>
      <c r="N49" t="s">
        <v>419</v>
      </c>
      <c r="O49" t="s">
        <v>337</v>
      </c>
      <c r="P49">
        <v>6.4025732246968513E-3</v>
      </c>
      <c r="Q49" t="s">
        <v>251</v>
      </c>
      <c r="S49" t="s">
        <v>420</v>
      </c>
      <c r="T49" t="s">
        <v>337</v>
      </c>
      <c r="U49">
        <v>6.219327654098856E-3</v>
      </c>
      <c r="V49" t="s">
        <v>251</v>
      </c>
      <c r="X49">
        <v>6.9634703196347035E-3</v>
      </c>
      <c r="Y49">
        <v>1.354780432422577E-2</v>
      </c>
      <c r="Z49" t="s">
        <v>337</v>
      </c>
      <c r="AA49" t="s">
        <v>25</v>
      </c>
      <c r="AC49" t="s">
        <v>22</v>
      </c>
      <c r="AD49" t="s">
        <v>337</v>
      </c>
      <c r="AE49">
        <v>7.0762642029845993E-3</v>
      </c>
      <c r="AG49" t="s">
        <v>97</v>
      </c>
      <c r="AH49" t="s">
        <v>337</v>
      </c>
      <c r="AI49">
        <v>0.10441709865861704</v>
      </c>
    </row>
    <row r="50" spans="9:35" x14ac:dyDescent="0.45">
      <c r="I50" t="s">
        <v>249</v>
      </c>
      <c r="J50" t="s">
        <v>338</v>
      </c>
      <c r="K50">
        <v>2.9617992848444095E-3</v>
      </c>
      <c r="L50" t="s">
        <v>251</v>
      </c>
      <c r="N50" t="s">
        <v>419</v>
      </c>
      <c r="O50" t="s">
        <v>338</v>
      </c>
      <c r="P50">
        <v>4.8349351670902672E-2</v>
      </c>
      <c r="Q50" t="s">
        <v>251</v>
      </c>
      <c r="S50" t="s">
        <v>420</v>
      </c>
      <c r="T50" t="s">
        <v>338</v>
      </c>
      <c r="U50">
        <v>4.2146510882858285E-2</v>
      </c>
      <c r="V50" t="s">
        <v>251</v>
      </c>
      <c r="X50">
        <v>4.1780821917808221E-2</v>
      </c>
      <c r="Y50">
        <v>3.6801498313568527E-2</v>
      </c>
      <c r="Z50" t="s">
        <v>338</v>
      </c>
      <c r="AA50" t="s">
        <v>25</v>
      </c>
      <c r="AC50" t="s">
        <v>22</v>
      </c>
      <c r="AD50" t="s">
        <v>338</v>
      </c>
      <c r="AE50">
        <v>4.3216899149501553E-2</v>
      </c>
      <c r="AG50" t="s">
        <v>97</v>
      </c>
      <c r="AH50" t="s">
        <v>338</v>
      </c>
      <c r="AI50">
        <v>0.14606631104500911</v>
      </c>
    </row>
    <row r="51" spans="9:35" x14ac:dyDescent="0.45">
      <c r="I51" t="s">
        <v>249</v>
      </c>
      <c r="J51" t="s">
        <v>339</v>
      </c>
      <c r="K51">
        <v>0</v>
      </c>
      <c r="L51" t="s">
        <v>251</v>
      </c>
      <c r="N51" t="s">
        <v>419</v>
      </c>
      <c r="O51" t="s">
        <v>339</v>
      </c>
      <c r="P51">
        <v>2.6290768194464902E-2</v>
      </c>
      <c r="Q51" t="s">
        <v>251</v>
      </c>
      <c r="S51" t="s">
        <v>420</v>
      </c>
      <c r="T51" t="s">
        <v>339</v>
      </c>
      <c r="U51">
        <v>3.1388211361776309E-2</v>
      </c>
      <c r="V51" t="s">
        <v>251</v>
      </c>
      <c r="X51">
        <v>2.0547945205479451E-2</v>
      </c>
      <c r="Y51">
        <v>4.3954951147353507E-3</v>
      </c>
      <c r="Z51" t="s">
        <v>339</v>
      </c>
      <c r="AA51" t="s">
        <v>25</v>
      </c>
      <c r="AC51" t="s">
        <v>22</v>
      </c>
      <c r="AD51" t="s">
        <v>339</v>
      </c>
      <c r="AE51">
        <v>2.135735561039645E-2</v>
      </c>
      <c r="AG51" t="s">
        <v>97</v>
      </c>
      <c r="AH51" t="s">
        <v>339</v>
      </c>
      <c r="AI51">
        <v>0.16590715241750775</v>
      </c>
    </row>
    <row r="52" spans="9:35" x14ac:dyDescent="0.45">
      <c r="I52" t="s">
        <v>249</v>
      </c>
      <c r="J52" t="s">
        <v>340</v>
      </c>
      <c r="K52">
        <v>0</v>
      </c>
      <c r="L52" t="s">
        <v>251</v>
      </c>
      <c r="N52" t="s">
        <v>419</v>
      </c>
      <c r="O52" t="s">
        <v>340</v>
      </c>
      <c r="P52">
        <v>4.2231595671420388E-3</v>
      </c>
      <c r="Q52" t="s">
        <v>251</v>
      </c>
      <c r="S52" t="s">
        <v>420</v>
      </c>
      <c r="T52" t="s">
        <v>340</v>
      </c>
      <c r="U52">
        <v>4.8432276859190137E-3</v>
      </c>
      <c r="V52" t="s">
        <v>251</v>
      </c>
      <c r="X52">
        <v>3.4246575342465752E-3</v>
      </c>
      <c r="Y52">
        <v>5.0717251323869452E-3</v>
      </c>
      <c r="Z52" t="s">
        <v>340</v>
      </c>
      <c r="AA52" t="s">
        <v>25</v>
      </c>
      <c r="AC52" t="s">
        <v>22</v>
      </c>
      <c r="AD52" t="s">
        <v>340</v>
      </c>
      <c r="AE52">
        <v>2.7805928433539532E-3</v>
      </c>
      <c r="AG52" t="s">
        <v>97</v>
      </c>
      <c r="AH52" t="s">
        <v>340</v>
      </c>
      <c r="AI52">
        <v>8.1331108766788285E-2</v>
      </c>
    </row>
    <row r="53" spans="9:35" x14ac:dyDescent="0.45">
      <c r="I53" t="s">
        <v>249</v>
      </c>
      <c r="J53" t="s">
        <v>341</v>
      </c>
      <c r="K53">
        <v>1.8896915844992782E-3</v>
      </c>
      <c r="L53" t="s">
        <v>251</v>
      </c>
      <c r="N53" t="s">
        <v>419</v>
      </c>
      <c r="O53" t="s">
        <v>341</v>
      </c>
      <c r="P53">
        <v>4.1383417732428884E-3</v>
      </c>
      <c r="Q53" t="s">
        <v>251</v>
      </c>
      <c r="S53" t="s">
        <v>420</v>
      </c>
      <c r="T53" t="s">
        <v>341</v>
      </c>
      <c r="U53">
        <v>4.732082844955676E-3</v>
      </c>
      <c r="V53" t="s">
        <v>251</v>
      </c>
      <c r="X53">
        <v>3.4246575342465752E-3</v>
      </c>
      <c r="Y53">
        <v>5.7181214727892006E-3</v>
      </c>
      <c r="Z53" t="s">
        <v>341</v>
      </c>
      <c r="AA53" t="s">
        <v>25</v>
      </c>
      <c r="AC53" t="s">
        <v>22</v>
      </c>
      <c r="AD53" t="s">
        <v>341</v>
      </c>
      <c r="AE53">
        <v>2.6799725250820539E-3</v>
      </c>
      <c r="AG53" t="s">
        <v>97</v>
      </c>
      <c r="AH53" t="s">
        <v>341</v>
      </c>
      <c r="AI53">
        <v>8.3802546931571076E-2</v>
      </c>
    </row>
    <row r="54" spans="9:35" x14ac:dyDescent="0.45">
      <c r="I54" t="s">
        <v>249</v>
      </c>
      <c r="J54" t="s">
        <v>342</v>
      </c>
      <c r="K54">
        <v>4.4865158665029686E-2</v>
      </c>
      <c r="L54" t="s">
        <v>251</v>
      </c>
      <c r="N54" t="s">
        <v>419</v>
      </c>
      <c r="O54" t="s">
        <v>342</v>
      </c>
      <c r="P54">
        <v>2.4027306818481448E-2</v>
      </c>
      <c r="Q54" t="s">
        <v>251</v>
      </c>
      <c r="S54" t="s">
        <v>420</v>
      </c>
      <c r="T54" t="s">
        <v>342</v>
      </c>
      <c r="U54">
        <v>3.0272452677844109E-2</v>
      </c>
      <c r="V54" t="s">
        <v>251</v>
      </c>
      <c r="X54">
        <v>2.3972602739726026E-2</v>
      </c>
      <c r="Y54">
        <v>3.0410461676155433E-2</v>
      </c>
      <c r="Z54" t="s">
        <v>342</v>
      </c>
      <c r="AA54" t="s">
        <v>25</v>
      </c>
      <c r="AC54" t="s">
        <v>22</v>
      </c>
      <c r="AD54" t="s">
        <v>342</v>
      </c>
      <c r="AE54">
        <v>2.1587464106192545E-2</v>
      </c>
      <c r="AG54" t="s">
        <v>97</v>
      </c>
      <c r="AH54" t="s">
        <v>342</v>
      </c>
      <c r="AI54">
        <v>0.32547198019413748</v>
      </c>
    </row>
    <row r="55" spans="9:35" x14ac:dyDescent="0.45">
      <c r="I55" t="s">
        <v>249</v>
      </c>
      <c r="J55" t="s">
        <v>343</v>
      </c>
      <c r="K55">
        <v>6.3172085507909861E-3</v>
      </c>
      <c r="L55" t="s">
        <v>251</v>
      </c>
      <c r="N55" t="s">
        <v>419</v>
      </c>
      <c r="O55" t="s">
        <v>343</v>
      </c>
      <c r="P55">
        <v>3.2171602602617017E-3</v>
      </c>
      <c r="Q55" t="s">
        <v>251</v>
      </c>
      <c r="S55" t="s">
        <v>420</v>
      </c>
      <c r="T55" t="s">
        <v>343</v>
      </c>
      <c r="U55">
        <v>4.3394164192400633E-3</v>
      </c>
      <c r="V55" t="s">
        <v>251</v>
      </c>
      <c r="X55">
        <v>3.4246575342465752E-3</v>
      </c>
      <c r="Y55">
        <v>5.1711707232180593E-3</v>
      </c>
      <c r="Z55" t="s">
        <v>343</v>
      </c>
      <c r="AA55" t="s">
        <v>25</v>
      </c>
      <c r="AC55" t="s">
        <v>22</v>
      </c>
      <c r="AD55" t="s">
        <v>343</v>
      </c>
      <c r="AE55">
        <v>3.7025915585158845E-3</v>
      </c>
      <c r="AG55" t="s">
        <v>97</v>
      </c>
      <c r="AH55" t="s">
        <v>343</v>
      </c>
      <c r="AI55">
        <v>8.3194700539909405E-2</v>
      </c>
    </row>
    <row r="56" spans="9:35" x14ac:dyDescent="0.45">
      <c r="I56" t="s">
        <v>249</v>
      </c>
      <c r="J56" t="s">
        <v>344</v>
      </c>
      <c r="K56">
        <v>4.8356400062868421E-3</v>
      </c>
      <c r="L56" t="s">
        <v>251</v>
      </c>
      <c r="N56" t="s">
        <v>419</v>
      </c>
      <c r="O56" t="s">
        <v>344</v>
      </c>
      <c r="P56">
        <v>3.3849627325211926E-3</v>
      </c>
      <c r="Q56" t="s">
        <v>251</v>
      </c>
      <c r="S56" t="s">
        <v>420</v>
      </c>
      <c r="T56" t="s">
        <v>344</v>
      </c>
      <c r="U56">
        <v>4.3269001474537114E-3</v>
      </c>
      <c r="V56" t="s">
        <v>251</v>
      </c>
      <c r="X56">
        <v>3.4246575342465752E-3</v>
      </c>
      <c r="Y56">
        <v>6.662854585684809E-3</v>
      </c>
      <c r="Z56" t="s">
        <v>344</v>
      </c>
      <c r="AA56" t="s">
        <v>25</v>
      </c>
      <c r="AC56" t="s">
        <v>22</v>
      </c>
      <c r="AD56" t="s">
        <v>344</v>
      </c>
      <c r="AE56">
        <v>3.5324431813771101E-3</v>
      </c>
      <c r="AG56" t="s">
        <v>97</v>
      </c>
      <c r="AH56" t="s">
        <v>344</v>
      </c>
      <c r="AI56">
        <v>7.2780637671513215E-2</v>
      </c>
    </row>
    <row r="57" spans="9:35" x14ac:dyDescent="0.45">
      <c r="I57" t="s">
        <v>249</v>
      </c>
      <c r="J57" t="s">
        <v>345</v>
      </c>
      <c r="K57">
        <v>1.7930817588130059E-3</v>
      </c>
      <c r="L57" t="s">
        <v>251</v>
      </c>
      <c r="N57" t="s">
        <v>419</v>
      </c>
      <c r="O57" t="s">
        <v>345</v>
      </c>
      <c r="P57">
        <v>3.704504599009549E-3</v>
      </c>
      <c r="Q57" t="s">
        <v>251</v>
      </c>
      <c r="S57" t="s">
        <v>420</v>
      </c>
      <c r="T57" t="s">
        <v>345</v>
      </c>
      <c r="U57">
        <v>4.5099090788113831E-3</v>
      </c>
      <c r="V57" t="s">
        <v>251</v>
      </c>
      <c r="X57">
        <v>3.4246575342465752E-3</v>
      </c>
      <c r="Y57">
        <v>6.662854585684809E-3</v>
      </c>
      <c r="Z57" t="s">
        <v>345</v>
      </c>
      <c r="AA57" t="s">
        <v>25</v>
      </c>
      <c r="AC57" t="s">
        <v>22</v>
      </c>
      <c r="AD57" t="s">
        <v>345</v>
      </c>
      <c r="AE57">
        <v>3.566564524332422E-3</v>
      </c>
      <c r="AG57" t="s">
        <v>97</v>
      </c>
      <c r="AH57" t="s">
        <v>345</v>
      </c>
      <c r="AI57">
        <v>8.7148724965787183E-2</v>
      </c>
    </row>
    <row r="58" spans="9:35" x14ac:dyDescent="0.45">
      <c r="I58" t="s">
        <v>249</v>
      </c>
      <c r="J58" t="s">
        <v>346</v>
      </c>
      <c r="K58">
        <v>0</v>
      </c>
      <c r="L58" t="s">
        <v>251</v>
      </c>
      <c r="N58" t="s">
        <v>419</v>
      </c>
      <c r="O58" t="s">
        <v>346</v>
      </c>
      <c r="P58">
        <v>2.4756115856334106E-2</v>
      </c>
      <c r="Q58" t="s">
        <v>251</v>
      </c>
      <c r="S58" t="s">
        <v>420</v>
      </c>
      <c r="T58" t="s">
        <v>346</v>
      </c>
      <c r="U58">
        <v>3.1147941723048071E-2</v>
      </c>
      <c r="V58" t="s">
        <v>251</v>
      </c>
      <c r="X58">
        <v>2.0547945205479451E-2</v>
      </c>
      <c r="Y58">
        <v>1.8099097531263209E-2</v>
      </c>
      <c r="Z58" t="s">
        <v>346</v>
      </c>
      <c r="AA58" t="s">
        <v>25</v>
      </c>
      <c r="AC58" t="s">
        <v>22</v>
      </c>
      <c r="AD58" t="s">
        <v>346</v>
      </c>
      <c r="AE58">
        <v>2.1448875071952572E-2</v>
      </c>
      <c r="AG58" t="s">
        <v>97</v>
      </c>
      <c r="AH58" t="s">
        <v>346</v>
      </c>
      <c r="AI58">
        <v>0.14052964599654549</v>
      </c>
    </row>
    <row r="59" spans="9:35" x14ac:dyDescent="0.45">
      <c r="I59" t="s">
        <v>249</v>
      </c>
      <c r="J59" t="s">
        <v>347</v>
      </c>
      <c r="K59">
        <v>0</v>
      </c>
      <c r="L59" t="s">
        <v>251</v>
      </c>
      <c r="N59" t="s">
        <v>419</v>
      </c>
      <c r="O59" t="s">
        <v>347</v>
      </c>
      <c r="P59">
        <v>2.5496793989504236E-2</v>
      </c>
      <c r="Q59" t="s">
        <v>251</v>
      </c>
      <c r="S59" t="s">
        <v>420</v>
      </c>
      <c r="T59" t="s">
        <v>347</v>
      </c>
      <c r="U59">
        <v>2.4325664483547334E-2</v>
      </c>
      <c r="V59" t="s">
        <v>251</v>
      </c>
      <c r="X59">
        <v>2.1232876712328767E-2</v>
      </c>
      <c r="Y59">
        <v>4.5420116185598634E-3</v>
      </c>
      <c r="Z59" t="s">
        <v>347</v>
      </c>
      <c r="AA59" t="s">
        <v>25</v>
      </c>
      <c r="AC59" t="s">
        <v>22</v>
      </c>
      <c r="AD59" t="s">
        <v>347</v>
      </c>
      <c r="AE59">
        <v>2.4629116939589045E-2</v>
      </c>
      <c r="AG59" t="s">
        <v>97</v>
      </c>
      <c r="AH59" t="s">
        <v>347</v>
      </c>
      <c r="AI59">
        <v>0.1481249413504333</v>
      </c>
    </row>
    <row r="60" spans="9:35" x14ac:dyDescent="0.45">
      <c r="I60" t="s">
        <v>249</v>
      </c>
      <c r="J60" t="s">
        <v>348</v>
      </c>
      <c r="K60">
        <v>0</v>
      </c>
      <c r="L60" t="s">
        <v>251</v>
      </c>
      <c r="N60" t="s">
        <v>419</v>
      </c>
      <c r="O60" t="s">
        <v>348</v>
      </c>
      <c r="P60">
        <v>4.1246423586555909E-3</v>
      </c>
      <c r="Q60" t="s">
        <v>251</v>
      </c>
      <c r="S60" t="s">
        <v>420</v>
      </c>
      <c r="T60" t="s">
        <v>348</v>
      </c>
      <c r="U60">
        <v>3.8377822201510429E-3</v>
      </c>
      <c r="V60" t="s">
        <v>251</v>
      </c>
      <c r="X60">
        <v>3.5388127853881279E-3</v>
      </c>
      <c r="Y60">
        <v>5.240782636799844E-3</v>
      </c>
      <c r="Z60" t="s">
        <v>348</v>
      </c>
      <c r="AA60" t="s">
        <v>25</v>
      </c>
      <c r="AC60" t="s">
        <v>22</v>
      </c>
      <c r="AD60" t="s">
        <v>348</v>
      </c>
      <c r="AE60">
        <v>3.2411769055468846E-3</v>
      </c>
      <c r="AG60" t="s">
        <v>97</v>
      </c>
      <c r="AH60" t="s">
        <v>348</v>
      </c>
      <c r="AI60">
        <v>5.0935213205418828E-2</v>
      </c>
    </row>
    <row r="61" spans="9:35" x14ac:dyDescent="0.45">
      <c r="I61" t="s">
        <v>249</v>
      </c>
      <c r="J61" t="s">
        <v>349</v>
      </c>
      <c r="K61">
        <v>4.242480914009414E-4</v>
      </c>
      <c r="L61" t="s">
        <v>251</v>
      </c>
      <c r="N61" t="s">
        <v>419</v>
      </c>
      <c r="O61" t="s">
        <v>349</v>
      </c>
      <c r="P61">
        <v>4.0538060849123802E-3</v>
      </c>
      <c r="Q61" t="s">
        <v>251</v>
      </c>
      <c r="S61" t="s">
        <v>420</v>
      </c>
      <c r="T61" t="s">
        <v>349</v>
      </c>
      <c r="U61">
        <v>3.8336327649822182E-3</v>
      </c>
      <c r="V61" t="s">
        <v>251</v>
      </c>
      <c r="X61">
        <v>3.5388127853881279E-3</v>
      </c>
      <c r="Y61">
        <v>5.9087255218821738E-3</v>
      </c>
      <c r="Z61" t="s">
        <v>349</v>
      </c>
      <c r="AA61" t="s">
        <v>25</v>
      </c>
      <c r="AC61" t="s">
        <v>22</v>
      </c>
      <c r="AD61" t="s">
        <v>349</v>
      </c>
      <c r="AE61">
        <v>3.1207600296067188E-3</v>
      </c>
      <c r="AG61" t="s">
        <v>97</v>
      </c>
      <c r="AH61" t="s">
        <v>349</v>
      </c>
      <c r="AI61">
        <v>5.8844990241713413E-2</v>
      </c>
    </row>
    <row r="62" spans="9:35" x14ac:dyDescent="0.45">
      <c r="I62" t="s">
        <v>249</v>
      </c>
      <c r="J62" t="s">
        <v>350</v>
      </c>
      <c r="K62">
        <v>4.7229662109685773E-2</v>
      </c>
      <c r="L62" t="s">
        <v>251</v>
      </c>
      <c r="N62" t="s">
        <v>419</v>
      </c>
      <c r="O62" t="s">
        <v>350</v>
      </c>
      <c r="P62">
        <v>2.321968723487541E-2</v>
      </c>
      <c r="Q62" t="s">
        <v>251</v>
      </c>
      <c r="S62" t="s">
        <v>420</v>
      </c>
      <c r="T62" t="s">
        <v>350</v>
      </c>
      <c r="U62">
        <v>2.7454291210554579E-2</v>
      </c>
      <c r="V62" t="s">
        <v>251</v>
      </c>
      <c r="X62">
        <v>2.4771689497716895E-2</v>
      </c>
      <c r="Y62">
        <v>3.1424143732027281E-2</v>
      </c>
      <c r="Z62" t="s">
        <v>350</v>
      </c>
      <c r="AA62" t="s">
        <v>25</v>
      </c>
      <c r="AC62" t="s">
        <v>22</v>
      </c>
      <c r="AD62" t="s">
        <v>350</v>
      </c>
      <c r="AE62">
        <v>2.4612467532539015E-2</v>
      </c>
      <c r="AG62" t="s">
        <v>97</v>
      </c>
      <c r="AH62" t="s">
        <v>350</v>
      </c>
      <c r="AI62">
        <v>0.26152286155431348</v>
      </c>
    </row>
    <row r="63" spans="9:35" x14ac:dyDescent="0.45">
      <c r="I63" t="s">
        <v>249</v>
      </c>
      <c r="J63" t="s">
        <v>351</v>
      </c>
      <c r="K63">
        <v>7.0918338165213996E-3</v>
      </c>
      <c r="L63" t="s">
        <v>251</v>
      </c>
      <c r="N63" t="s">
        <v>419</v>
      </c>
      <c r="O63" t="s">
        <v>351</v>
      </c>
      <c r="P63">
        <v>3.0354251121071461E-3</v>
      </c>
      <c r="Q63" t="s">
        <v>251</v>
      </c>
      <c r="S63" t="s">
        <v>420</v>
      </c>
      <c r="T63" t="s">
        <v>351</v>
      </c>
      <c r="U63">
        <v>4.1673853152347706E-3</v>
      </c>
      <c r="V63" t="s">
        <v>251</v>
      </c>
      <c r="X63">
        <v>3.5388127853881279E-3</v>
      </c>
      <c r="Y63">
        <v>5.3435430806586613E-3</v>
      </c>
      <c r="Z63" t="s">
        <v>351</v>
      </c>
      <c r="AA63" t="s">
        <v>25</v>
      </c>
      <c r="AC63" t="s">
        <v>22</v>
      </c>
      <c r="AD63" t="s">
        <v>351</v>
      </c>
      <c r="AE63">
        <v>4.0800799140496748E-3</v>
      </c>
      <c r="AG63" t="s">
        <v>97</v>
      </c>
      <c r="AH63" t="s">
        <v>351</v>
      </c>
      <c r="AI63">
        <v>6.2116660462306461E-2</v>
      </c>
    </row>
    <row r="64" spans="9:35" x14ac:dyDescent="0.45">
      <c r="I64" t="s">
        <v>249</v>
      </c>
      <c r="J64" t="s">
        <v>352</v>
      </c>
      <c r="K64">
        <v>5.4379791779680152E-3</v>
      </c>
      <c r="L64" t="s">
        <v>251</v>
      </c>
      <c r="N64" t="s">
        <v>419</v>
      </c>
      <c r="O64" t="s">
        <v>352</v>
      </c>
      <c r="P64">
        <v>3.2277862540783667E-3</v>
      </c>
      <c r="Q64" t="s">
        <v>251</v>
      </c>
      <c r="S64" t="s">
        <v>420</v>
      </c>
      <c r="T64" t="s">
        <v>352</v>
      </c>
      <c r="U64">
        <v>4.1590847310642035E-3</v>
      </c>
      <c r="V64" t="s">
        <v>251</v>
      </c>
      <c r="X64">
        <v>3.5388127853881279E-3</v>
      </c>
      <c r="Y64">
        <v>6.8849497385409693E-3</v>
      </c>
      <c r="Z64" t="s">
        <v>352</v>
      </c>
      <c r="AA64" t="s">
        <v>25</v>
      </c>
      <c r="AC64" t="s">
        <v>22</v>
      </c>
      <c r="AD64" t="s">
        <v>352</v>
      </c>
      <c r="AE64">
        <v>4.0871281224621313E-3</v>
      </c>
      <c r="AG64" t="s">
        <v>97</v>
      </c>
      <c r="AH64" t="s">
        <v>352</v>
      </c>
      <c r="AI64">
        <v>4.7083028720061648E-2</v>
      </c>
    </row>
    <row r="65" spans="9:35" x14ac:dyDescent="0.45">
      <c r="I65" t="s">
        <v>249</v>
      </c>
      <c r="J65" t="s">
        <v>353</v>
      </c>
      <c r="K65">
        <v>1.7189199422202423E-3</v>
      </c>
      <c r="L65" t="s">
        <v>251</v>
      </c>
      <c r="N65" t="s">
        <v>419</v>
      </c>
      <c r="O65" t="s">
        <v>353</v>
      </c>
      <c r="P65">
        <v>3.4153482552153505E-3</v>
      </c>
      <c r="Q65" t="s">
        <v>251</v>
      </c>
      <c r="S65" t="s">
        <v>420</v>
      </c>
      <c r="T65" t="s">
        <v>353</v>
      </c>
      <c r="U65">
        <v>4.2921547043580062E-3</v>
      </c>
      <c r="V65" t="s">
        <v>251</v>
      </c>
      <c r="X65">
        <v>3.5388127853881279E-3</v>
      </c>
      <c r="Y65">
        <v>6.8849497385409693E-3</v>
      </c>
      <c r="Z65" t="s">
        <v>353</v>
      </c>
      <c r="AA65" t="s">
        <v>25</v>
      </c>
      <c r="AC65" t="s">
        <v>22</v>
      </c>
      <c r="AD65" t="s">
        <v>353</v>
      </c>
      <c r="AE65">
        <v>4.1620705948091077E-3</v>
      </c>
      <c r="AG65" t="s">
        <v>97</v>
      </c>
      <c r="AH65" t="s">
        <v>353</v>
      </c>
      <c r="AI65">
        <v>5.3418938222020707E-2</v>
      </c>
    </row>
    <row r="66" spans="9:35" x14ac:dyDescent="0.45">
      <c r="I66" t="s">
        <v>249</v>
      </c>
      <c r="J66" t="s">
        <v>354</v>
      </c>
      <c r="K66">
        <v>0</v>
      </c>
      <c r="L66" t="s">
        <v>251</v>
      </c>
      <c r="N66" t="s">
        <v>419</v>
      </c>
      <c r="O66" t="s">
        <v>354</v>
      </c>
      <c r="P66">
        <v>2.3247680365130773E-2</v>
      </c>
      <c r="Q66" t="s">
        <v>251</v>
      </c>
      <c r="S66" t="s">
        <v>420</v>
      </c>
      <c r="T66" t="s">
        <v>354</v>
      </c>
      <c r="U66">
        <v>2.7169243077500283E-2</v>
      </c>
      <c r="V66" t="s">
        <v>251</v>
      </c>
      <c r="X66">
        <v>2.1232876712328767E-2</v>
      </c>
      <c r="Y66">
        <v>1.8702400782305319E-2</v>
      </c>
      <c r="Z66" t="s">
        <v>354</v>
      </c>
      <c r="AA66" t="s">
        <v>25</v>
      </c>
      <c r="AC66" t="s">
        <v>22</v>
      </c>
      <c r="AD66" t="s">
        <v>354</v>
      </c>
      <c r="AE66">
        <v>2.5585407206910538E-2</v>
      </c>
      <c r="AG66" t="s">
        <v>97</v>
      </c>
      <c r="AH66" t="s">
        <v>354</v>
      </c>
      <c r="AI66">
        <v>0.10840364341062592</v>
      </c>
    </row>
    <row r="67" spans="9:35" x14ac:dyDescent="0.45">
      <c r="AC67" t="s">
        <v>19</v>
      </c>
      <c r="AD67" t="s">
        <v>250</v>
      </c>
      <c r="AE67">
        <v>2.1374482737781916E-2</v>
      </c>
    </row>
    <row r="68" spans="9:35" x14ac:dyDescent="0.45">
      <c r="AC68" t="s">
        <v>19</v>
      </c>
      <c r="AD68" t="s">
        <v>252</v>
      </c>
      <c r="AE68">
        <v>3.485168226884158E-3</v>
      </c>
    </row>
    <row r="69" spans="9:35" x14ac:dyDescent="0.45">
      <c r="AC69" t="s">
        <v>19</v>
      </c>
      <c r="AD69" t="s">
        <v>253</v>
      </c>
      <c r="AE69">
        <v>3.4724734662795196E-3</v>
      </c>
    </row>
    <row r="70" spans="9:35" x14ac:dyDescent="0.45">
      <c r="AC70" t="s">
        <v>19</v>
      </c>
      <c r="AD70" t="s">
        <v>254</v>
      </c>
      <c r="AE70">
        <v>2.4571821931557183E-2</v>
      </c>
    </row>
    <row r="71" spans="9:35" x14ac:dyDescent="0.45">
      <c r="AC71" t="s">
        <v>19</v>
      </c>
      <c r="AD71" t="s">
        <v>255</v>
      </c>
      <c r="AE71">
        <v>3.5616006831969537E-3</v>
      </c>
    </row>
    <row r="72" spans="9:35" x14ac:dyDescent="0.45">
      <c r="AC72" t="s">
        <v>19</v>
      </c>
      <c r="AD72" t="s">
        <v>256</v>
      </c>
      <c r="AE72">
        <v>3.5590811445633131E-3</v>
      </c>
    </row>
    <row r="73" spans="9:35" x14ac:dyDescent="0.45">
      <c r="AC73" t="s">
        <v>19</v>
      </c>
      <c r="AD73" t="s">
        <v>257</v>
      </c>
      <c r="AE73">
        <v>3.5638648660911904E-3</v>
      </c>
    </row>
    <row r="74" spans="9:35" x14ac:dyDescent="0.45">
      <c r="AC74" t="s">
        <v>19</v>
      </c>
      <c r="AD74" t="s">
        <v>258</v>
      </c>
      <c r="AE74">
        <v>2.1434813181539874E-2</v>
      </c>
    </row>
    <row r="75" spans="9:35" x14ac:dyDescent="0.45">
      <c r="AC75" t="s">
        <v>19</v>
      </c>
      <c r="AD75" t="s">
        <v>259</v>
      </c>
      <c r="AE75">
        <v>4.0597285507654866E-2</v>
      </c>
    </row>
    <row r="76" spans="9:35" x14ac:dyDescent="0.45">
      <c r="AC76" t="s">
        <v>19</v>
      </c>
      <c r="AD76" t="s">
        <v>260</v>
      </c>
      <c r="AE76">
        <v>6.6270541288665713E-3</v>
      </c>
    </row>
    <row r="77" spans="9:35" x14ac:dyDescent="0.45">
      <c r="AC77" t="s">
        <v>19</v>
      </c>
      <c r="AD77" t="s">
        <v>261</v>
      </c>
      <c r="AE77">
        <v>6.6119487025637531E-3</v>
      </c>
    </row>
    <row r="78" spans="9:35" x14ac:dyDescent="0.45">
      <c r="AC78" t="s">
        <v>19</v>
      </c>
      <c r="AD78" t="s">
        <v>262</v>
      </c>
      <c r="AE78">
        <v>4.6829224249607282E-2</v>
      </c>
    </row>
    <row r="79" spans="9:35" x14ac:dyDescent="0.45">
      <c r="AC79" t="s">
        <v>19</v>
      </c>
      <c r="AD79" t="s">
        <v>263</v>
      </c>
      <c r="AE79">
        <v>6.7674997425314623E-3</v>
      </c>
    </row>
    <row r="80" spans="9:35" x14ac:dyDescent="0.45">
      <c r="AC80" t="s">
        <v>19</v>
      </c>
      <c r="AD80" t="s">
        <v>264</v>
      </c>
      <c r="AE80">
        <v>6.7743897242125081E-3</v>
      </c>
    </row>
    <row r="81" spans="29:31" x14ac:dyDescent="0.45">
      <c r="AC81" t="s">
        <v>19</v>
      </c>
      <c r="AD81" t="s">
        <v>265</v>
      </c>
      <c r="AE81">
        <v>6.7807025266597562E-3</v>
      </c>
    </row>
    <row r="82" spans="29:31" x14ac:dyDescent="0.45">
      <c r="AC82" t="s">
        <v>19</v>
      </c>
      <c r="AD82" t="s">
        <v>266</v>
      </c>
      <c r="AE82">
        <v>4.075267838834145E-2</v>
      </c>
    </row>
    <row r="83" spans="29:31" x14ac:dyDescent="0.45">
      <c r="AC83" t="s">
        <v>19</v>
      </c>
      <c r="AD83" t="s">
        <v>267</v>
      </c>
      <c r="AE83">
        <v>6.2316700525571402E-2</v>
      </c>
    </row>
    <row r="84" spans="29:31" x14ac:dyDescent="0.45">
      <c r="AC84" t="s">
        <v>19</v>
      </c>
      <c r="AD84" t="s">
        <v>268</v>
      </c>
      <c r="AE84">
        <v>1.0236230379075581E-2</v>
      </c>
    </row>
    <row r="85" spans="29:31" x14ac:dyDescent="0.45">
      <c r="AC85" t="s">
        <v>19</v>
      </c>
      <c r="AD85" t="s">
        <v>269</v>
      </c>
      <c r="AE85">
        <v>1.0217169293460714E-2</v>
      </c>
    </row>
    <row r="86" spans="29:31" x14ac:dyDescent="0.45">
      <c r="AC86" t="s">
        <v>19</v>
      </c>
      <c r="AD86" t="s">
        <v>270</v>
      </c>
      <c r="AE86">
        <v>7.2368305995599125E-2</v>
      </c>
    </row>
    <row r="87" spans="29:31" x14ac:dyDescent="0.45">
      <c r="AC87" t="s">
        <v>19</v>
      </c>
      <c r="AD87" t="s">
        <v>271</v>
      </c>
      <c r="AE87">
        <v>1.0437085161328916E-2</v>
      </c>
    </row>
    <row r="88" spans="29:31" x14ac:dyDescent="0.45">
      <c r="AC88" t="s">
        <v>19</v>
      </c>
      <c r="AD88" t="s">
        <v>272</v>
      </c>
      <c r="AE88">
        <v>1.0443979228701793E-2</v>
      </c>
    </row>
    <row r="89" spans="29:31" x14ac:dyDescent="0.45">
      <c r="AC89" t="s">
        <v>19</v>
      </c>
      <c r="AD89" t="s">
        <v>273</v>
      </c>
      <c r="AE89">
        <v>1.0442623832692498E-2</v>
      </c>
    </row>
    <row r="90" spans="29:31" x14ac:dyDescent="0.45">
      <c r="AC90" t="s">
        <v>19</v>
      </c>
      <c r="AD90" t="s">
        <v>274</v>
      </c>
      <c r="AE90">
        <v>6.2725873466352056E-2</v>
      </c>
    </row>
    <row r="91" spans="29:31" x14ac:dyDescent="0.45">
      <c r="AC91" t="s">
        <v>19</v>
      </c>
      <c r="AD91" t="s">
        <v>299</v>
      </c>
      <c r="AE91">
        <v>4.2477286172127211E-2</v>
      </c>
    </row>
    <row r="92" spans="29:31" x14ac:dyDescent="0.45">
      <c r="AC92" t="s">
        <v>19</v>
      </c>
      <c r="AD92" t="s">
        <v>300</v>
      </c>
      <c r="AE92">
        <v>6.9789980631954534E-3</v>
      </c>
    </row>
    <row r="93" spans="29:31" x14ac:dyDescent="0.45">
      <c r="AC93" t="s">
        <v>19</v>
      </c>
      <c r="AD93" t="s">
        <v>301</v>
      </c>
      <c r="AE93">
        <v>6.9607005933837009E-3</v>
      </c>
    </row>
    <row r="94" spans="29:31" x14ac:dyDescent="0.45">
      <c r="AC94" t="s">
        <v>19</v>
      </c>
      <c r="AD94" t="s">
        <v>302</v>
      </c>
      <c r="AE94">
        <v>4.9154529637697043E-2</v>
      </c>
    </row>
    <row r="95" spans="29:31" x14ac:dyDescent="0.45">
      <c r="AC95" t="s">
        <v>19</v>
      </c>
      <c r="AD95" t="s">
        <v>303</v>
      </c>
      <c r="AE95">
        <v>7.1139964604828411E-3</v>
      </c>
    </row>
    <row r="96" spans="29:31" x14ac:dyDescent="0.45">
      <c r="AC96" t="s">
        <v>19</v>
      </c>
      <c r="AD96" t="s">
        <v>304</v>
      </c>
      <c r="AE96">
        <v>7.1214076044123237E-3</v>
      </c>
    </row>
    <row r="97" spans="29:31" x14ac:dyDescent="0.45">
      <c r="AC97" t="s">
        <v>19</v>
      </c>
      <c r="AD97" t="s">
        <v>305</v>
      </c>
      <c r="AE97">
        <v>7.1296279948715752E-3</v>
      </c>
    </row>
    <row r="98" spans="29:31" x14ac:dyDescent="0.45">
      <c r="AC98" t="s">
        <v>19</v>
      </c>
      <c r="AD98" t="s">
        <v>306</v>
      </c>
      <c r="AE98">
        <v>4.2890809987641776E-2</v>
      </c>
    </row>
    <row r="99" spans="29:31" x14ac:dyDescent="0.45">
      <c r="AC99" t="s">
        <v>19</v>
      </c>
      <c r="AD99" t="s">
        <v>331</v>
      </c>
      <c r="AE99">
        <v>4.1762589699810393E-2</v>
      </c>
    </row>
    <row r="100" spans="29:31" x14ac:dyDescent="0.45">
      <c r="AC100" t="s">
        <v>19</v>
      </c>
      <c r="AD100" t="s">
        <v>332</v>
      </c>
      <c r="AE100">
        <v>6.860407551386929E-3</v>
      </c>
    </row>
    <row r="101" spans="29:31" x14ac:dyDescent="0.45">
      <c r="AC101" t="s">
        <v>19</v>
      </c>
      <c r="AD101" t="s">
        <v>333</v>
      </c>
      <c r="AE101">
        <v>6.8472840726874276E-3</v>
      </c>
    </row>
    <row r="102" spans="29:31" x14ac:dyDescent="0.45">
      <c r="AC102" t="s">
        <v>19</v>
      </c>
      <c r="AD102" t="s">
        <v>334</v>
      </c>
      <c r="AE102">
        <v>4.8482863139279041E-2</v>
      </c>
    </row>
    <row r="103" spans="29:31" x14ac:dyDescent="0.45">
      <c r="AC103" t="s">
        <v>19</v>
      </c>
      <c r="AD103" t="s">
        <v>335</v>
      </c>
      <c r="AE103">
        <v>6.998100419429225E-3</v>
      </c>
    </row>
    <row r="104" spans="29:31" x14ac:dyDescent="0.45">
      <c r="AC104" t="s">
        <v>19</v>
      </c>
      <c r="AD104" t="s">
        <v>336</v>
      </c>
      <c r="AE104">
        <v>7.0019799988586618E-3</v>
      </c>
    </row>
    <row r="105" spans="29:31" x14ac:dyDescent="0.45">
      <c r="AC105" t="s">
        <v>19</v>
      </c>
      <c r="AD105" t="s">
        <v>337</v>
      </c>
      <c r="AE105">
        <v>7.0038744696495235E-3</v>
      </c>
    </row>
    <row r="106" spans="29:31" x14ac:dyDescent="0.45">
      <c r="AC106" t="s">
        <v>19</v>
      </c>
      <c r="AD106" t="s">
        <v>338</v>
      </c>
      <c r="AE106">
        <v>4.2084449578364554E-2</v>
      </c>
    </row>
    <row r="107" spans="29:31" x14ac:dyDescent="0.45">
      <c r="AC107" t="s">
        <v>19</v>
      </c>
      <c r="AD107" t="s">
        <v>339</v>
      </c>
      <c r="AE107">
        <v>2.0641099640495167E-2</v>
      </c>
    </row>
    <row r="108" spans="29:31" x14ac:dyDescent="0.45">
      <c r="AC108" t="s">
        <v>19</v>
      </c>
      <c r="AD108" t="s">
        <v>340</v>
      </c>
      <c r="AE108">
        <v>3.3773964687221409E-3</v>
      </c>
    </row>
    <row r="109" spans="29:31" x14ac:dyDescent="0.45">
      <c r="AC109" t="s">
        <v>19</v>
      </c>
      <c r="AD109" t="s">
        <v>341</v>
      </c>
      <c r="AE109">
        <v>3.3692861984095418E-3</v>
      </c>
    </row>
    <row r="110" spans="29:31" x14ac:dyDescent="0.45">
      <c r="AC110" t="s">
        <v>19</v>
      </c>
      <c r="AD110" t="s">
        <v>342</v>
      </c>
      <c r="AE110">
        <v>2.3812920159528385E-2</v>
      </c>
    </row>
    <row r="111" spans="29:31" x14ac:dyDescent="0.45">
      <c r="AC111" t="s">
        <v>19</v>
      </c>
      <c r="AD111" t="s">
        <v>343</v>
      </c>
      <c r="AE111">
        <v>3.4517120635866503E-3</v>
      </c>
    </row>
    <row r="112" spans="29:31" x14ac:dyDescent="0.45">
      <c r="AC112" t="s">
        <v>19</v>
      </c>
      <c r="AD112" t="s">
        <v>344</v>
      </c>
      <c r="AE112">
        <v>3.4379976433229751E-3</v>
      </c>
    </row>
    <row r="113" spans="29:31" x14ac:dyDescent="0.45">
      <c r="AC113" t="s">
        <v>19</v>
      </c>
      <c r="AD113" t="s">
        <v>345</v>
      </c>
      <c r="AE113">
        <v>3.4407479160268313E-3</v>
      </c>
    </row>
    <row r="114" spans="29:31" x14ac:dyDescent="0.45">
      <c r="AC114" t="s">
        <v>19</v>
      </c>
      <c r="AD114" t="s">
        <v>346</v>
      </c>
      <c r="AE114">
        <v>2.0648476357095068E-2</v>
      </c>
    </row>
    <row r="115" spans="29:31" x14ac:dyDescent="0.45">
      <c r="AC115" t="s">
        <v>19</v>
      </c>
      <c r="AD115" t="s">
        <v>347</v>
      </c>
      <c r="AE115">
        <v>2.1350568589997714E-2</v>
      </c>
    </row>
    <row r="116" spans="29:31" x14ac:dyDescent="0.45">
      <c r="AC116" t="s">
        <v>19</v>
      </c>
      <c r="AD116" t="s">
        <v>348</v>
      </c>
      <c r="AE116">
        <v>3.4888134789849336E-3</v>
      </c>
    </row>
    <row r="117" spans="29:31" x14ac:dyDescent="0.45">
      <c r="AC117" t="s">
        <v>19</v>
      </c>
      <c r="AD117" t="s">
        <v>349</v>
      </c>
      <c r="AE117">
        <v>3.4791075524797672E-3</v>
      </c>
    </row>
    <row r="118" spans="29:31" x14ac:dyDescent="0.45">
      <c r="AC118" t="s">
        <v>19</v>
      </c>
      <c r="AD118" t="s">
        <v>350</v>
      </c>
      <c r="AE118">
        <v>2.4576792440163732E-2</v>
      </c>
    </row>
    <row r="119" spans="29:31" x14ac:dyDescent="0.45">
      <c r="AC119" t="s">
        <v>19</v>
      </c>
      <c r="AD119" t="s">
        <v>351</v>
      </c>
      <c r="AE119">
        <v>3.5564313347208405E-3</v>
      </c>
    </row>
    <row r="120" spans="29:31" x14ac:dyDescent="0.45">
      <c r="AC120" t="s">
        <v>19</v>
      </c>
      <c r="AD120" t="s">
        <v>352</v>
      </c>
      <c r="AE120">
        <v>3.5569994394180453E-3</v>
      </c>
    </row>
    <row r="121" spans="29:31" x14ac:dyDescent="0.45">
      <c r="AC121" t="s">
        <v>19</v>
      </c>
      <c r="AD121" t="s">
        <v>353</v>
      </c>
      <c r="AE121">
        <v>3.5630400057675383E-3</v>
      </c>
    </row>
    <row r="122" spans="29:31" x14ac:dyDescent="0.45">
      <c r="AC122" t="s">
        <v>19</v>
      </c>
      <c r="AD122" t="s">
        <v>354</v>
      </c>
      <c r="AE122">
        <v>2.1427648176889174E-2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A0B020-B458-45D9-AE47-1DBC34E51BEA}">
  <dimension ref="A9:AN20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129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248</v>
      </c>
      <c r="L10" t="s">
        <v>30</v>
      </c>
      <c r="N10" t="s">
        <v>13</v>
      </c>
      <c r="O10" t="s">
        <v>122</v>
      </c>
      <c r="P10" t="s">
        <v>248</v>
      </c>
      <c r="Q10" t="s">
        <v>30</v>
      </c>
      <c r="S10" t="s">
        <v>13</v>
      </c>
      <c r="T10" t="s">
        <v>122</v>
      </c>
      <c r="U10" t="s">
        <v>248</v>
      </c>
      <c r="V10" t="s">
        <v>30</v>
      </c>
      <c r="X10" t="s">
        <v>421</v>
      </c>
      <c r="Y10" t="s">
        <v>248</v>
      </c>
      <c r="Z10" t="s">
        <v>122</v>
      </c>
      <c r="AA10" t="s">
        <v>13</v>
      </c>
      <c r="AC10" t="s">
        <v>13</v>
      </c>
      <c r="AD10" t="s">
        <v>122</v>
      </c>
      <c r="AE10" t="s">
        <v>248</v>
      </c>
      <c r="AG10" t="s">
        <v>13</v>
      </c>
      <c r="AH10" t="s">
        <v>122</v>
      </c>
      <c r="AI10" t="s">
        <v>427</v>
      </c>
      <c r="AK10" t="s">
        <v>47</v>
      </c>
      <c r="AL10" t="s">
        <v>122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240</v>
      </c>
      <c r="F11" t="s">
        <v>154</v>
      </c>
      <c r="G11" t="s">
        <v>152</v>
      </c>
      <c r="I11" t="s">
        <v>249</v>
      </c>
      <c r="J11" t="s">
        <v>250</v>
      </c>
      <c r="K11">
        <v>0</v>
      </c>
      <c r="L11" t="s">
        <v>251</v>
      </c>
      <c r="N11" t="s">
        <v>419</v>
      </c>
      <c r="O11" t="s">
        <v>250</v>
      </c>
      <c r="P11">
        <v>2.5660311917472152E-2</v>
      </c>
      <c r="Q11" t="s">
        <v>251</v>
      </c>
      <c r="S11" t="s">
        <v>420</v>
      </c>
      <c r="T11" t="s">
        <v>250</v>
      </c>
      <c r="U11">
        <v>2.6769906846017193E-2</v>
      </c>
      <c r="V11" t="s">
        <v>251</v>
      </c>
      <c r="X11">
        <v>2.1232876712328767E-2</v>
      </c>
      <c r="Y11">
        <v>4.5420116185598634E-3</v>
      </c>
      <c r="Z11" t="s">
        <v>250</v>
      </c>
      <c r="AA11" t="s">
        <v>25</v>
      </c>
      <c r="AC11" t="s">
        <v>22</v>
      </c>
      <c r="AD11" t="s">
        <v>250</v>
      </c>
      <c r="AE11">
        <v>2.5607497604483307E-2</v>
      </c>
      <c r="AG11" t="s">
        <v>97</v>
      </c>
      <c r="AH11" t="s">
        <v>250</v>
      </c>
      <c r="AI11">
        <v>0.1255692735717755</v>
      </c>
    </row>
    <row r="12" spans="1:40" x14ac:dyDescent="0.45">
      <c r="C12" t="s">
        <v>156</v>
      </c>
      <c r="E12" t="s">
        <v>241</v>
      </c>
      <c r="G12" t="s">
        <v>152</v>
      </c>
      <c r="I12" t="s">
        <v>249</v>
      </c>
      <c r="J12" t="s">
        <v>252</v>
      </c>
      <c r="K12">
        <v>0</v>
      </c>
      <c r="L12" t="s">
        <v>251</v>
      </c>
      <c r="N12" t="s">
        <v>419</v>
      </c>
      <c r="O12" t="s">
        <v>252</v>
      </c>
      <c r="P12">
        <v>4.0814319723471888E-3</v>
      </c>
      <c r="Q12" t="s">
        <v>251</v>
      </c>
      <c r="S12" t="s">
        <v>420</v>
      </c>
      <c r="T12" t="s">
        <v>252</v>
      </c>
      <c r="U12">
        <v>4.3097825222294175E-3</v>
      </c>
      <c r="V12" t="s">
        <v>251</v>
      </c>
      <c r="X12">
        <v>3.5388127853881279E-3</v>
      </c>
      <c r="Y12">
        <v>5.240782636799844E-3</v>
      </c>
      <c r="Z12" t="s">
        <v>252</v>
      </c>
      <c r="AA12" t="s">
        <v>25</v>
      </c>
      <c r="AC12" t="s">
        <v>22</v>
      </c>
      <c r="AD12" t="s">
        <v>252</v>
      </c>
      <c r="AE12">
        <v>3.3095668155421962E-3</v>
      </c>
      <c r="AG12" t="s">
        <v>97</v>
      </c>
      <c r="AH12" t="s">
        <v>252</v>
      </c>
      <c r="AI12">
        <v>3.1209633865931563E-2</v>
      </c>
    </row>
    <row r="13" spans="1:40" x14ac:dyDescent="0.45">
      <c r="C13" t="s">
        <v>158</v>
      </c>
      <c r="E13" t="s">
        <v>242</v>
      </c>
      <c r="G13" t="s">
        <v>152</v>
      </c>
      <c r="I13" t="s">
        <v>249</v>
      </c>
      <c r="J13" t="s">
        <v>253</v>
      </c>
      <c r="K13">
        <v>2.0106799524999386E-4</v>
      </c>
      <c r="L13" t="s">
        <v>251</v>
      </c>
      <c r="N13" t="s">
        <v>419</v>
      </c>
      <c r="O13" t="s">
        <v>253</v>
      </c>
      <c r="P13">
        <v>4.033150452332668E-3</v>
      </c>
      <c r="Q13" t="s">
        <v>251</v>
      </c>
      <c r="S13" t="s">
        <v>420</v>
      </c>
      <c r="T13" t="s">
        <v>253</v>
      </c>
      <c r="U13">
        <v>4.30556758140406E-3</v>
      </c>
      <c r="V13" t="s">
        <v>251</v>
      </c>
      <c r="X13">
        <v>3.5388127853881279E-3</v>
      </c>
      <c r="Y13">
        <v>5.9087255218821738E-3</v>
      </c>
      <c r="Z13" t="s">
        <v>253</v>
      </c>
      <c r="AA13" t="s">
        <v>25</v>
      </c>
      <c r="AC13" t="s">
        <v>22</v>
      </c>
      <c r="AD13" t="s">
        <v>253</v>
      </c>
      <c r="AE13">
        <v>3.1520688773489483E-3</v>
      </c>
      <c r="AG13" t="s">
        <v>97</v>
      </c>
      <c r="AH13" t="s">
        <v>253</v>
      </c>
      <c r="AI13">
        <v>3.7632188426626412E-2</v>
      </c>
    </row>
    <row r="14" spans="1:40" x14ac:dyDescent="0.45">
      <c r="C14" t="s">
        <v>161</v>
      </c>
      <c r="E14" t="s">
        <v>243</v>
      </c>
      <c r="G14" t="s">
        <v>152</v>
      </c>
      <c r="I14" t="s">
        <v>249</v>
      </c>
      <c r="J14" t="s">
        <v>254</v>
      </c>
      <c r="K14">
        <v>4.9834507681872697E-2</v>
      </c>
      <c r="L14" t="s">
        <v>251</v>
      </c>
      <c r="N14" t="s">
        <v>419</v>
      </c>
      <c r="O14" t="s">
        <v>254</v>
      </c>
      <c r="P14">
        <v>2.3667065373781479E-2</v>
      </c>
      <c r="Q14" t="s">
        <v>251</v>
      </c>
      <c r="S14" t="s">
        <v>420</v>
      </c>
      <c r="T14" t="s">
        <v>254</v>
      </c>
      <c r="U14">
        <v>2.8474195890723288E-2</v>
      </c>
      <c r="V14" t="s">
        <v>251</v>
      </c>
      <c r="X14">
        <v>2.4771689497716895E-2</v>
      </c>
      <c r="Y14">
        <v>3.1424143732027281E-2</v>
      </c>
      <c r="Z14" t="s">
        <v>254</v>
      </c>
      <c r="AA14" t="s">
        <v>25</v>
      </c>
      <c r="AC14" t="s">
        <v>22</v>
      </c>
      <c r="AD14" t="s">
        <v>254</v>
      </c>
      <c r="AE14">
        <v>2.5346104661222169E-2</v>
      </c>
      <c r="AG14" t="s">
        <v>97</v>
      </c>
      <c r="AH14" t="s">
        <v>254</v>
      </c>
      <c r="AI14">
        <v>0.28402737458105975</v>
      </c>
    </row>
    <row r="15" spans="1:40" x14ac:dyDescent="0.45">
      <c r="C15" t="s">
        <v>165</v>
      </c>
      <c r="E15" t="s">
        <v>244</v>
      </c>
      <c r="G15" t="s">
        <v>152</v>
      </c>
      <c r="I15" t="s">
        <v>249</v>
      </c>
      <c r="J15" t="s">
        <v>255</v>
      </c>
      <c r="K15">
        <v>7.7021391491125003E-3</v>
      </c>
      <c r="L15" t="s">
        <v>251</v>
      </c>
      <c r="N15" t="s">
        <v>419</v>
      </c>
      <c r="O15" t="s">
        <v>255</v>
      </c>
      <c r="P15">
        <v>3.101223359272192E-3</v>
      </c>
      <c r="Q15" t="s">
        <v>251</v>
      </c>
      <c r="S15" t="s">
        <v>420</v>
      </c>
      <c r="T15" t="s">
        <v>255</v>
      </c>
      <c r="U15">
        <v>4.067137061951746E-3</v>
      </c>
      <c r="V15" t="s">
        <v>251</v>
      </c>
      <c r="X15">
        <v>3.5388127853881279E-3</v>
      </c>
      <c r="Y15">
        <v>5.3435430806586613E-3</v>
      </c>
      <c r="Z15" t="s">
        <v>255</v>
      </c>
      <c r="AA15" t="s">
        <v>25</v>
      </c>
      <c r="AC15" t="s">
        <v>22</v>
      </c>
      <c r="AD15" t="s">
        <v>255</v>
      </c>
      <c r="AE15">
        <v>4.2578284374204705E-3</v>
      </c>
      <c r="AG15" t="s">
        <v>97</v>
      </c>
      <c r="AH15" t="s">
        <v>255</v>
      </c>
      <c r="AI15">
        <v>5.7465312640921917E-2</v>
      </c>
    </row>
    <row r="16" spans="1:40" x14ac:dyDescent="0.45">
      <c r="C16" t="s">
        <v>167</v>
      </c>
      <c r="E16" t="s">
        <v>245</v>
      </c>
      <c r="G16" t="s">
        <v>152</v>
      </c>
      <c r="I16" t="s">
        <v>249</v>
      </c>
      <c r="J16" t="s">
        <v>256</v>
      </c>
      <c r="K16">
        <v>6.5047348408537988E-3</v>
      </c>
      <c r="L16" t="s">
        <v>251</v>
      </c>
      <c r="N16" t="s">
        <v>419</v>
      </c>
      <c r="O16" t="s">
        <v>256</v>
      </c>
      <c r="P16">
        <v>3.1831217606181723E-3</v>
      </c>
      <c r="Q16" t="s">
        <v>251</v>
      </c>
      <c r="S16" t="s">
        <v>420</v>
      </c>
      <c r="T16" t="s">
        <v>256</v>
      </c>
      <c r="U16">
        <v>4.0561869751066289E-3</v>
      </c>
      <c r="V16" t="s">
        <v>251</v>
      </c>
      <c r="X16">
        <v>3.5388127853881279E-3</v>
      </c>
      <c r="Y16">
        <v>6.8849497385409693E-3</v>
      </c>
      <c r="Z16" t="s">
        <v>256</v>
      </c>
      <c r="AA16" t="s">
        <v>25</v>
      </c>
      <c r="AC16" t="s">
        <v>22</v>
      </c>
      <c r="AD16" t="s">
        <v>256</v>
      </c>
      <c r="AE16">
        <v>4.2265697038094052E-3</v>
      </c>
      <c r="AG16" t="s">
        <v>97</v>
      </c>
      <c r="AH16" t="s">
        <v>256</v>
      </c>
      <c r="AI16">
        <v>3.8379035468125267E-2</v>
      </c>
    </row>
    <row r="17" spans="3:35" x14ac:dyDescent="0.45">
      <c r="C17" t="s">
        <v>169</v>
      </c>
      <c r="E17" t="s">
        <v>246</v>
      </c>
      <c r="G17" t="s">
        <v>152</v>
      </c>
      <c r="I17" t="s">
        <v>249</v>
      </c>
      <c r="J17" t="s">
        <v>257</v>
      </c>
      <c r="K17">
        <v>3.8391612194623543E-3</v>
      </c>
      <c r="L17" t="s">
        <v>251</v>
      </c>
      <c r="N17" t="s">
        <v>419</v>
      </c>
      <c r="O17" t="s">
        <v>257</v>
      </c>
      <c r="P17">
        <v>3.4653706361787956E-3</v>
      </c>
      <c r="Q17" t="s">
        <v>251</v>
      </c>
      <c r="S17" t="s">
        <v>420</v>
      </c>
      <c r="T17" t="s">
        <v>257</v>
      </c>
      <c r="U17">
        <v>4.1657394600128654E-3</v>
      </c>
      <c r="V17" t="s">
        <v>251</v>
      </c>
      <c r="X17">
        <v>3.5388127853881279E-3</v>
      </c>
      <c r="Y17">
        <v>6.8849497385409693E-3</v>
      </c>
      <c r="Z17" t="s">
        <v>257</v>
      </c>
      <c r="AA17" t="s">
        <v>25</v>
      </c>
      <c r="AC17" t="s">
        <v>22</v>
      </c>
      <c r="AD17" t="s">
        <v>257</v>
      </c>
      <c r="AE17">
        <v>4.2859190921906275E-3</v>
      </c>
      <c r="AG17" t="s">
        <v>97</v>
      </c>
      <c r="AH17" t="s">
        <v>257</v>
      </c>
      <c r="AI17">
        <v>4.4527242369231779E-2</v>
      </c>
    </row>
    <row r="18" spans="3:35" x14ac:dyDescent="0.45">
      <c r="C18" t="s">
        <v>171</v>
      </c>
      <c r="E18" t="s">
        <v>247</v>
      </c>
      <c r="G18" t="s">
        <v>152</v>
      </c>
      <c r="I18" t="s">
        <v>249</v>
      </c>
      <c r="J18" t="s">
        <v>258</v>
      </c>
      <c r="K18">
        <v>2.5439683141916474E-5</v>
      </c>
      <c r="L18" t="s">
        <v>251</v>
      </c>
      <c r="N18" t="s">
        <v>419</v>
      </c>
      <c r="O18" t="s">
        <v>258</v>
      </c>
      <c r="P18">
        <v>2.4479808311505789E-2</v>
      </c>
      <c r="Q18" t="s">
        <v>251</v>
      </c>
      <c r="S18" t="s">
        <v>420</v>
      </c>
      <c r="T18" t="s">
        <v>258</v>
      </c>
      <c r="U18">
        <v>2.8289011003994943E-2</v>
      </c>
      <c r="V18" t="s">
        <v>251</v>
      </c>
      <c r="X18">
        <v>2.1232876712328767E-2</v>
      </c>
      <c r="Y18">
        <v>1.8702400782305319E-2</v>
      </c>
      <c r="Z18" t="s">
        <v>258</v>
      </c>
      <c r="AA18" t="s">
        <v>25</v>
      </c>
      <c r="AC18" t="s">
        <v>22</v>
      </c>
      <c r="AD18" t="s">
        <v>258</v>
      </c>
      <c r="AE18">
        <v>2.6355989111971137E-2</v>
      </c>
      <c r="AG18" t="s">
        <v>97</v>
      </c>
      <c r="AH18" t="s">
        <v>258</v>
      </c>
      <c r="AI18">
        <v>9.6362226456162325E-2</v>
      </c>
    </row>
    <row r="19" spans="3:35" x14ac:dyDescent="0.45">
      <c r="C19" t="s">
        <v>164</v>
      </c>
      <c r="I19" t="s">
        <v>249</v>
      </c>
      <c r="J19" t="s">
        <v>259</v>
      </c>
      <c r="K19">
        <v>0</v>
      </c>
      <c r="L19" t="s">
        <v>251</v>
      </c>
      <c r="N19" t="s">
        <v>419</v>
      </c>
      <c r="O19" t="s">
        <v>259</v>
      </c>
      <c r="P19">
        <v>2.3481304814210565E-2</v>
      </c>
      <c r="Q19" t="s">
        <v>251</v>
      </c>
      <c r="S19" t="s">
        <v>420</v>
      </c>
      <c r="T19" t="s">
        <v>259</v>
      </c>
      <c r="U19">
        <v>1.9754903091872038E-2</v>
      </c>
      <c r="V19" t="s">
        <v>251</v>
      </c>
      <c r="X19">
        <v>1.9178082191780823E-2</v>
      </c>
      <c r="Y19">
        <v>4.1024621070863279E-3</v>
      </c>
      <c r="Z19" t="s">
        <v>259</v>
      </c>
      <c r="AA19" t="s">
        <v>25</v>
      </c>
      <c r="AC19" t="s">
        <v>22</v>
      </c>
      <c r="AD19" t="s">
        <v>259</v>
      </c>
      <c r="AE19">
        <v>2.2896086115652619E-2</v>
      </c>
      <c r="AG19" t="s">
        <v>97</v>
      </c>
      <c r="AH19" t="s">
        <v>259</v>
      </c>
      <c r="AI19">
        <v>0.12864077698193355</v>
      </c>
    </row>
    <row r="20" spans="3:35" x14ac:dyDescent="0.45">
      <c r="C20" t="s">
        <v>174</v>
      </c>
      <c r="I20" t="s">
        <v>249</v>
      </c>
      <c r="J20" t="s">
        <v>260</v>
      </c>
      <c r="K20">
        <v>0</v>
      </c>
      <c r="L20" t="s">
        <v>251</v>
      </c>
      <c r="N20" t="s">
        <v>419</v>
      </c>
      <c r="O20" t="s">
        <v>260</v>
      </c>
      <c r="P20">
        <v>3.7740954442265625E-3</v>
      </c>
      <c r="Q20" t="s">
        <v>251</v>
      </c>
      <c r="S20" t="s">
        <v>420</v>
      </c>
      <c r="T20" t="s">
        <v>260</v>
      </c>
      <c r="U20">
        <v>3.2951224764679998E-3</v>
      </c>
      <c r="V20" t="s">
        <v>251</v>
      </c>
      <c r="X20">
        <v>3.1963470319634705E-3</v>
      </c>
      <c r="Y20">
        <v>4.7336101235611484E-3</v>
      </c>
      <c r="Z20" t="s">
        <v>260</v>
      </c>
      <c r="AA20" t="s">
        <v>25</v>
      </c>
      <c r="AC20" t="s">
        <v>22</v>
      </c>
      <c r="AD20" t="s">
        <v>260</v>
      </c>
      <c r="AE20">
        <v>2.9647089268274645E-3</v>
      </c>
      <c r="AG20" t="s">
        <v>97</v>
      </c>
      <c r="AH20" t="s">
        <v>260</v>
      </c>
      <c r="AI20">
        <v>3.3859865116665055E-2</v>
      </c>
    </row>
    <row r="21" spans="3:35" x14ac:dyDescent="0.45">
      <c r="C21" t="s">
        <v>176</v>
      </c>
      <c r="I21" t="s">
        <v>249</v>
      </c>
      <c r="J21" t="s">
        <v>261</v>
      </c>
      <c r="K21">
        <v>1.4992998855750718E-3</v>
      </c>
      <c r="L21" t="s">
        <v>251</v>
      </c>
      <c r="N21" t="s">
        <v>419</v>
      </c>
      <c r="O21" t="s">
        <v>261</v>
      </c>
      <c r="P21">
        <v>3.6923333232428317E-3</v>
      </c>
      <c r="Q21" t="s">
        <v>251</v>
      </c>
      <c r="S21" t="s">
        <v>420</v>
      </c>
      <c r="T21" t="s">
        <v>261</v>
      </c>
      <c r="U21">
        <v>3.3367695807182242E-3</v>
      </c>
      <c r="V21" t="s">
        <v>251</v>
      </c>
      <c r="X21">
        <v>3.1963470319634705E-3</v>
      </c>
      <c r="Y21">
        <v>5.3369133746032542E-3</v>
      </c>
      <c r="Z21" t="s">
        <v>261</v>
      </c>
      <c r="AA21" t="s">
        <v>25</v>
      </c>
      <c r="AC21" t="s">
        <v>22</v>
      </c>
      <c r="AD21" t="s">
        <v>261</v>
      </c>
      <c r="AE21">
        <v>2.8542655632568538E-3</v>
      </c>
      <c r="AG21" t="s">
        <v>97</v>
      </c>
      <c r="AH21" t="s">
        <v>261</v>
      </c>
      <c r="AI21">
        <v>3.8486308157986038E-2</v>
      </c>
    </row>
    <row r="22" spans="3:35" x14ac:dyDescent="0.45">
      <c r="C22" t="s">
        <v>178</v>
      </c>
      <c r="I22" t="s">
        <v>249</v>
      </c>
      <c r="J22" t="s">
        <v>262</v>
      </c>
      <c r="K22">
        <v>5.1766651636087666E-2</v>
      </c>
      <c r="L22" t="s">
        <v>251</v>
      </c>
      <c r="N22" t="s">
        <v>419</v>
      </c>
      <c r="O22" t="s">
        <v>262</v>
      </c>
      <c r="P22">
        <v>2.2324505427612603E-2</v>
      </c>
      <c r="Q22" t="s">
        <v>251</v>
      </c>
      <c r="S22" t="s">
        <v>420</v>
      </c>
      <c r="T22" t="s">
        <v>262</v>
      </c>
      <c r="U22">
        <v>2.2551272067444204E-2</v>
      </c>
      <c r="V22" t="s">
        <v>251</v>
      </c>
      <c r="X22">
        <v>2.2374429223744292E-2</v>
      </c>
      <c r="Y22">
        <v>2.8383097564411743E-2</v>
      </c>
      <c r="Z22" t="s">
        <v>262</v>
      </c>
      <c r="AA22" t="s">
        <v>25</v>
      </c>
      <c r="AC22" t="s">
        <v>22</v>
      </c>
      <c r="AD22" t="s">
        <v>262</v>
      </c>
      <c r="AE22">
        <v>2.2611760915675246E-2</v>
      </c>
      <c r="AG22" t="s">
        <v>97</v>
      </c>
      <c r="AH22" t="s">
        <v>262</v>
      </c>
      <c r="AI22">
        <v>0.25495227960040112</v>
      </c>
    </row>
    <row r="23" spans="3:35" x14ac:dyDescent="0.45">
      <c r="I23" t="s">
        <v>249</v>
      </c>
      <c r="J23" t="s">
        <v>263</v>
      </c>
      <c r="K23">
        <v>7.7527070420746998E-3</v>
      </c>
      <c r="L23" t="s">
        <v>251</v>
      </c>
      <c r="N23" t="s">
        <v>419</v>
      </c>
      <c r="O23" t="s">
        <v>263</v>
      </c>
      <c r="P23">
        <v>3.1634338998694418E-3</v>
      </c>
      <c r="Q23" t="s">
        <v>251</v>
      </c>
      <c r="S23" t="s">
        <v>420</v>
      </c>
      <c r="T23" t="s">
        <v>263</v>
      </c>
      <c r="U23">
        <v>3.2777538177060517E-3</v>
      </c>
      <c r="V23" t="s">
        <v>251</v>
      </c>
      <c r="X23">
        <v>3.1963470319634705E-3</v>
      </c>
      <c r="Y23">
        <v>4.8264260083368555E-3</v>
      </c>
      <c r="Z23" t="s">
        <v>263</v>
      </c>
      <c r="AA23" t="s">
        <v>25</v>
      </c>
      <c r="AC23" t="s">
        <v>22</v>
      </c>
      <c r="AD23" t="s">
        <v>263</v>
      </c>
      <c r="AE23">
        <v>3.7331394554868057E-3</v>
      </c>
      <c r="AG23" t="s">
        <v>97</v>
      </c>
      <c r="AH23" t="s">
        <v>263</v>
      </c>
      <c r="AI23">
        <v>6.1402087948880135E-2</v>
      </c>
    </row>
    <row r="24" spans="3:35" x14ac:dyDescent="0.45">
      <c r="I24" t="s">
        <v>249</v>
      </c>
      <c r="J24" t="s">
        <v>264</v>
      </c>
      <c r="K24">
        <v>6.9369952756191998E-3</v>
      </c>
      <c r="L24" t="s">
        <v>251</v>
      </c>
      <c r="N24" t="s">
        <v>419</v>
      </c>
      <c r="O24" t="s">
        <v>264</v>
      </c>
      <c r="P24">
        <v>3.1287299784836832E-3</v>
      </c>
      <c r="Q24" t="s">
        <v>251</v>
      </c>
      <c r="S24" t="s">
        <v>420</v>
      </c>
      <c r="T24" t="s">
        <v>264</v>
      </c>
      <c r="U24">
        <v>3.207477124844925E-3</v>
      </c>
      <c r="V24" t="s">
        <v>251</v>
      </c>
      <c r="X24">
        <v>3.1963470319634705E-3</v>
      </c>
      <c r="Y24">
        <v>6.2186642799724884E-3</v>
      </c>
      <c r="Z24" t="s">
        <v>264</v>
      </c>
      <c r="AA24" t="s">
        <v>25</v>
      </c>
      <c r="AC24" t="s">
        <v>22</v>
      </c>
      <c r="AD24" t="s">
        <v>264</v>
      </c>
      <c r="AE24">
        <v>3.7572688778670866E-3</v>
      </c>
      <c r="AG24" t="s">
        <v>97</v>
      </c>
      <c r="AH24" t="s">
        <v>264</v>
      </c>
      <c r="AI24">
        <v>4.131887142725077E-2</v>
      </c>
    </row>
    <row r="25" spans="3:35" x14ac:dyDescent="0.45">
      <c r="I25" t="s">
        <v>249</v>
      </c>
      <c r="J25" t="s">
        <v>265</v>
      </c>
      <c r="K25">
        <v>5.2681138919458571E-3</v>
      </c>
      <c r="L25" t="s">
        <v>251</v>
      </c>
      <c r="N25" t="s">
        <v>419</v>
      </c>
      <c r="O25" t="s">
        <v>265</v>
      </c>
      <c r="P25">
        <v>3.195747205006759E-3</v>
      </c>
      <c r="Q25" t="s">
        <v>251</v>
      </c>
      <c r="S25" t="s">
        <v>420</v>
      </c>
      <c r="T25" t="s">
        <v>265</v>
      </c>
      <c r="U25">
        <v>3.2125535585024651E-3</v>
      </c>
      <c r="V25" t="s">
        <v>251</v>
      </c>
      <c r="X25">
        <v>3.1963470319634705E-3</v>
      </c>
      <c r="Y25">
        <v>6.2186642799724884E-3</v>
      </c>
      <c r="Z25" t="s">
        <v>265</v>
      </c>
      <c r="AA25" t="s">
        <v>25</v>
      </c>
      <c r="AC25" t="s">
        <v>22</v>
      </c>
      <c r="AD25" t="s">
        <v>265</v>
      </c>
      <c r="AE25">
        <v>3.8128013648607842E-3</v>
      </c>
      <c r="AG25" t="s">
        <v>97</v>
      </c>
      <c r="AH25" t="s">
        <v>265</v>
      </c>
      <c r="AI25">
        <v>4.7685309383565633E-2</v>
      </c>
    </row>
    <row r="26" spans="3:35" x14ac:dyDescent="0.45">
      <c r="I26" t="s">
        <v>249</v>
      </c>
      <c r="J26" t="s">
        <v>266</v>
      </c>
      <c r="K26">
        <v>1.4233024215025481E-3</v>
      </c>
      <c r="L26" t="s">
        <v>251</v>
      </c>
      <c r="N26" t="s">
        <v>419</v>
      </c>
      <c r="O26" t="s">
        <v>266</v>
      </c>
      <c r="P26">
        <v>2.2390086492101429E-2</v>
      </c>
      <c r="Q26" t="s">
        <v>251</v>
      </c>
      <c r="S26" t="s">
        <v>420</v>
      </c>
      <c r="T26" t="s">
        <v>266</v>
      </c>
      <c r="U26">
        <v>2.1220689791239932E-2</v>
      </c>
      <c r="V26" t="s">
        <v>251</v>
      </c>
      <c r="X26">
        <v>1.9178082191780823E-2</v>
      </c>
      <c r="Y26">
        <v>1.6892491029178995E-2</v>
      </c>
      <c r="Z26" t="s">
        <v>266</v>
      </c>
      <c r="AA26" t="s">
        <v>25</v>
      </c>
      <c r="AC26" t="s">
        <v>22</v>
      </c>
      <c r="AD26" t="s">
        <v>266</v>
      </c>
      <c r="AE26">
        <v>2.3465842218325692E-2</v>
      </c>
      <c r="AG26" t="s">
        <v>97</v>
      </c>
      <c r="AH26" t="s">
        <v>266</v>
      </c>
      <c r="AI26">
        <v>0.10329064660861342</v>
      </c>
    </row>
    <row r="27" spans="3:35" x14ac:dyDescent="0.45">
      <c r="I27" t="s">
        <v>249</v>
      </c>
      <c r="J27" t="s">
        <v>267</v>
      </c>
      <c r="K27">
        <v>0</v>
      </c>
      <c r="L27" t="s">
        <v>251</v>
      </c>
      <c r="N27" t="s">
        <v>419</v>
      </c>
      <c r="O27" t="s">
        <v>267</v>
      </c>
      <c r="P27">
        <v>2.3696513651476212E-2</v>
      </c>
      <c r="Q27" t="s">
        <v>251</v>
      </c>
      <c r="S27" t="s">
        <v>420</v>
      </c>
      <c r="T27" t="s">
        <v>267</v>
      </c>
      <c r="U27">
        <v>2.2481855357132385E-2</v>
      </c>
      <c r="V27" t="s">
        <v>251</v>
      </c>
      <c r="X27">
        <v>2.1232876712328767E-2</v>
      </c>
      <c r="Y27">
        <v>4.5420116185598634E-3</v>
      </c>
      <c r="Z27" t="s">
        <v>267</v>
      </c>
      <c r="AA27" t="s">
        <v>25</v>
      </c>
      <c r="AC27" t="s">
        <v>22</v>
      </c>
      <c r="AD27" t="s">
        <v>267</v>
      </c>
      <c r="AE27">
        <v>2.2591121974294134E-2</v>
      </c>
      <c r="AG27" t="s">
        <v>97</v>
      </c>
      <c r="AH27" t="s">
        <v>267</v>
      </c>
      <c r="AI27">
        <v>0.19029896922146872</v>
      </c>
    </row>
    <row r="28" spans="3:35" x14ac:dyDescent="0.45">
      <c r="I28" t="s">
        <v>249</v>
      </c>
      <c r="J28" t="s">
        <v>268</v>
      </c>
      <c r="K28">
        <v>3.098396949005206E-4</v>
      </c>
      <c r="L28" t="s">
        <v>251</v>
      </c>
      <c r="N28" t="s">
        <v>419</v>
      </c>
      <c r="O28" t="s">
        <v>268</v>
      </c>
      <c r="P28">
        <v>3.8857602971645077E-3</v>
      </c>
      <c r="Q28" t="s">
        <v>251</v>
      </c>
      <c r="S28" t="s">
        <v>420</v>
      </c>
      <c r="T28" t="s">
        <v>268</v>
      </c>
      <c r="U28">
        <v>3.5880290938523677E-3</v>
      </c>
      <c r="V28" t="s">
        <v>251</v>
      </c>
      <c r="X28">
        <v>3.5388127853881279E-3</v>
      </c>
      <c r="Y28">
        <v>5.240782636799844E-3</v>
      </c>
      <c r="Z28" t="s">
        <v>268</v>
      </c>
      <c r="AA28" t="s">
        <v>25</v>
      </c>
      <c r="AC28" t="s">
        <v>22</v>
      </c>
      <c r="AD28" t="s">
        <v>268</v>
      </c>
      <c r="AE28">
        <v>2.8899980794006869E-3</v>
      </c>
      <c r="AG28" t="s">
        <v>97</v>
      </c>
      <c r="AH28" t="s">
        <v>268</v>
      </c>
      <c r="AI28">
        <v>5.7731845492582368E-2</v>
      </c>
    </row>
    <row r="29" spans="3:35" x14ac:dyDescent="0.45">
      <c r="I29" t="s">
        <v>249</v>
      </c>
      <c r="J29" t="s">
        <v>269</v>
      </c>
      <c r="K29">
        <v>4.6947273088958604E-3</v>
      </c>
      <c r="L29" t="s">
        <v>251</v>
      </c>
      <c r="N29" t="s">
        <v>419</v>
      </c>
      <c r="O29" t="s">
        <v>269</v>
      </c>
      <c r="P29">
        <v>3.6912018004516918E-3</v>
      </c>
      <c r="Q29" t="s">
        <v>251</v>
      </c>
      <c r="S29" t="s">
        <v>420</v>
      </c>
      <c r="T29" t="s">
        <v>269</v>
      </c>
      <c r="U29">
        <v>3.6183869490340197E-3</v>
      </c>
      <c r="V29" t="s">
        <v>251</v>
      </c>
      <c r="X29">
        <v>3.5388127853881279E-3</v>
      </c>
      <c r="Y29">
        <v>5.9087255218821738E-3</v>
      </c>
      <c r="Z29" t="s">
        <v>269</v>
      </c>
      <c r="AA29" t="s">
        <v>25</v>
      </c>
      <c r="AC29" t="s">
        <v>22</v>
      </c>
      <c r="AD29" t="s">
        <v>269</v>
      </c>
      <c r="AE29">
        <v>2.8130355065919548E-3</v>
      </c>
      <c r="AG29" t="s">
        <v>97</v>
      </c>
      <c r="AH29" t="s">
        <v>269</v>
      </c>
      <c r="AI29">
        <v>4.5896852839682145E-2</v>
      </c>
    </row>
    <row r="30" spans="3:35" x14ac:dyDescent="0.45">
      <c r="I30" t="s">
        <v>249</v>
      </c>
      <c r="J30" t="s">
        <v>270</v>
      </c>
      <c r="K30">
        <v>6.0680554667195602E-2</v>
      </c>
      <c r="L30" t="s">
        <v>251</v>
      </c>
      <c r="N30" t="s">
        <v>419</v>
      </c>
      <c r="O30" t="s">
        <v>270</v>
      </c>
      <c r="P30">
        <v>2.3114177176220312E-2</v>
      </c>
      <c r="Q30" t="s">
        <v>251</v>
      </c>
      <c r="S30" t="s">
        <v>420</v>
      </c>
      <c r="T30" t="s">
        <v>270</v>
      </c>
      <c r="U30">
        <v>2.3473608931984646E-2</v>
      </c>
      <c r="V30" t="s">
        <v>251</v>
      </c>
      <c r="X30">
        <v>2.4771689497716895E-2</v>
      </c>
      <c r="Y30">
        <v>3.1424143732027281E-2</v>
      </c>
      <c r="Z30" t="s">
        <v>270</v>
      </c>
      <c r="AA30" t="s">
        <v>25</v>
      </c>
      <c r="AC30" t="s">
        <v>22</v>
      </c>
      <c r="AD30" t="s">
        <v>270</v>
      </c>
      <c r="AE30">
        <v>2.3828142970877594E-2</v>
      </c>
      <c r="AG30" t="s">
        <v>97</v>
      </c>
      <c r="AH30" t="s">
        <v>270</v>
      </c>
      <c r="AI30">
        <v>0.25131970288420269</v>
      </c>
    </row>
    <row r="31" spans="3:35" x14ac:dyDescent="0.45">
      <c r="I31" t="s">
        <v>249</v>
      </c>
      <c r="J31" t="s">
        <v>271</v>
      </c>
      <c r="K31">
        <v>8.5743995904747003E-3</v>
      </c>
      <c r="L31" t="s">
        <v>251</v>
      </c>
      <c r="N31" t="s">
        <v>419</v>
      </c>
      <c r="O31" t="s">
        <v>271</v>
      </c>
      <c r="P31">
        <v>3.3965600826528692E-3</v>
      </c>
      <c r="Q31" t="s">
        <v>251</v>
      </c>
      <c r="S31" t="s">
        <v>420</v>
      </c>
      <c r="T31" t="s">
        <v>271</v>
      </c>
      <c r="U31">
        <v>3.5377034987083399E-3</v>
      </c>
      <c r="V31" t="s">
        <v>251</v>
      </c>
      <c r="X31">
        <v>3.5388127853881279E-3</v>
      </c>
      <c r="Y31">
        <v>5.3435430806586613E-3</v>
      </c>
      <c r="Z31" t="s">
        <v>271</v>
      </c>
      <c r="AA31" t="s">
        <v>25</v>
      </c>
      <c r="AC31" t="s">
        <v>22</v>
      </c>
      <c r="AD31" t="s">
        <v>271</v>
      </c>
      <c r="AE31">
        <v>3.864010379669026E-3</v>
      </c>
      <c r="AG31" t="s">
        <v>97</v>
      </c>
      <c r="AH31" t="s">
        <v>271</v>
      </c>
      <c r="AI31">
        <v>7.296282269468457E-2</v>
      </c>
    </row>
    <row r="32" spans="3:35" x14ac:dyDescent="0.45">
      <c r="I32" t="s">
        <v>249</v>
      </c>
      <c r="J32" t="s">
        <v>272</v>
      </c>
      <c r="K32">
        <v>7.7274077237577E-3</v>
      </c>
      <c r="L32" t="s">
        <v>251</v>
      </c>
      <c r="N32" t="s">
        <v>419</v>
      </c>
      <c r="O32" t="s">
        <v>272</v>
      </c>
      <c r="P32">
        <v>3.3435607283967025E-3</v>
      </c>
      <c r="Q32" t="s">
        <v>251</v>
      </c>
      <c r="S32" t="s">
        <v>420</v>
      </c>
      <c r="T32" t="s">
        <v>272</v>
      </c>
      <c r="U32">
        <v>3.4445733437099288E-3</v>
      </c>
      <c r="V32" t="s">
        <v>251</v>
      </c>
      <c r="X32">
        <v>3.5388127853881279E-3</v>
      </c>
      <c r="Y32">
        <v>6.8849497385409693E-3</v>
      </c>
      <c r="Z32" t="s">
        <v>272</v>
      </c>
      <c r="AA32" t="s">
        <v>25</v>
      </c>
      <c r="AC32" t="s">
        <v>22</v>
      </c>
      <c r="AD32" t="s">
        <v>272</v>
      </c>
      <c r="AE32">
        <v>3.9253617270921153E-3</v>
      </c>
      <c r="AG32" t="s">
        <v>97</v>
      </c>
      <c r="AH32" t="s">
        <v>272</v>
      </c>
      <c r="AI32">
        <v>6.5117229720367042E-2</v>
      </c>
    </row>
    <row r="33" spans="9:35" x14ac:dyDescent="0.45">
      <c r="I33" t="s">
        <v>249</v>
      </c>
      <c r="J33" t="s">
        <v>273</v>
      </c>
      <c r="K33">
        <v>6.1223491736783998E-3</v>
      </c>
      <c r="L33" t="s">
        <v>251</v>
      </c>
      <c r="N33" t="s">
        <v>419</v>
      </c>
      <c r="O33" t="s">
        <v>273</v>
      </c>
      <c r="P33">
        <v>3.3132880062322922E-3</v>
      </c>
      <c r="Q33" t="s">
        <v>251</v>
      </c>
      <c r="S33" t="s">
        <v>420</v>
      </c>
      <c r="T33" t="s">
        <v>273</v>
      </c>
      <c r="U33">
        <v>3.498821357711757E-3</v>
      </c>
      <c r="V33" t="s">
        <v>251</v>
      </c>
      <c r="X33">
        <v>3.5388127853881279E-3</v>
      </c>
      <c r="Y33">
        <v>6.8849497385409693E-3</v>
      </c>
      <c r="Z33" t="s">
        <v>273</v>
      </c>
      <c r="AA33" t="s">
        <v>25</v>
      </c>
      <c r="AC33" t="s">
        <v>22</v>
      </c>
      <c r="AD33" t="s">
        <v>273</v>
      </c>
      <c r="AE33">
        <v>3.9481492179717845E-3</v>
      </c>
      <c r="AG33" t="s">
        <v>97</v>
      </c>
      <c r="AH33" t="s">
        <v>273</v>
      </c>
      <c r="AI33">
        <v>6.4590164827822427E-2</v>
      </c>
    </row>
    <row r="34" spans="9:35" x14ac:dyDescent="0.45">
      <c r="I34" t="s">
        <v>249</v>
      </c>
      <c r="J34" t="s">
        <v>274</v>
      </c>
      <c r="K34">
        <v>3.3081446193830759E-3</v>
      </c>
      <c r="L34" t="s">
        <v>251</v>
      </c>
      <c r="N34" t="s">
        <v>419</v>
      </c>
      <c r="O34" t="s">
        <v>274</v>
      </c>
      <c r="P34">
        <v>2.387487882341412E-2</v>
      </c>
      <c r="Q34" t="s">
        <v>251</v>
      </c>
      <c r="S34" t="s">
        <v>420</v>
      </c>
      <c r="T34" t="s">
        <v>274</v>
      </c>
      <c r="U34">
        <v>2.5380273552431849E-2</v>
      </c>
      <c r="V34" t="s">
        <v>251</v>
      </c>
      <c r="X34">
        <v>2.1232876712328767E-2</v>
      </c>
      <c r="Y34">
        <v>1.8702400782305319E-2</v>
      </c>
      <c r="Z34" t="s">
        <v>274</v>
      </c>
      <c r="AA34" t="s">
        <v>25</v>
      </c>
      <c r="AC34" t="s">
        <v>22</v>
      </c>
      <c r="AD34" t="s">
        <v>274</v>
      </c>
      <c r="AE34">
        <v>2.3949252428938625E-2</v>
      </c>
      <c r="AG34" t="s">
        <v>97</v>
      </c>
      <c r="AH34" t="s">
        <v>274</v>
      </c>
      <c r="AI34">
        <v>0.10463476900940427</v>
      </c>
    </row>
    <row r="35" spans="9:35" x14ac:dyDescent="0.45">
      <c r="I35" t="s">
        <v>249</v>
      </c>
      <c r="J35" t="s">
        <v>299</v>
      </c>
      <c r="K35">
        <v>3.9643991682068213E-8</v>
      </c>
      <c r="L35" t="s">
        <v>251</v>
      </c>
      <c r="N35" t="s">
        <v>419</v>
      </c>
      <c r="O35" t="s">
        <v>299</v>
      </c>
      <c r="P35">
        <v>2.5869099599477884E-2</v>
      </c>
      <c r="Q35" t="s">
        <v>251</v>
      </c>
      <c r="S35" t="s">
        <v>420</v>
      </c>
      <c r="T35" t="s">
        <v>299</v>
      </c>
      <c r="U35">
        <v>2.5681260124252221E-2</v>
      </c>
      <c r="V35" t="s">
        <v>251</v>
      </c>
      <c r="X35">
        <v>2.0547945205479451E-2</v>
      </c>
      <c r="Y35">
        <v>4.3954951147353507E-3</v>
      </c>
      <c r="Z35" t="s">
        <v>299</v>
      </c>
      <c r="AA35" t="s">
        <v>25</v>
      </c>
      <c r="AC35" t="s">
        <v>22</v>
      </c>
      <c r="AD35" t="s">
        <v>299</v>
      </c>
      <c r="AE35">
        <v>1.9603501346148886E-2</v>
      </c>
      <c r="AG35" t="s">
        <v>97</v>
      </c>
      <c r="AH35" t="s">
        <v>299</v>
      </c>
      <c r="AI35">
        <v>0.19976052691896506</v>
      </c>
    </row>
    <row r="36" spans="9:35" x14ac:dyDescent="0.45">
      <c r="I36" t="s">
        <v>249</v>
      </c>
      <c r="J36" t="s">
        <v>300</v>
      </c>
      <c r="K36">
        <v>2.9835807767553241E-3</v>
      </c>
      <c r="L36" t="s">
        <v>251</v>
      </c>
      <c r="N36" t="s">
        <v>419</v>
      </c>
      <c r="O36" t="s">
        <v>300</v>
      </c>
      <c r="P36">
        <v>4.0462097063318318E-3</v>
      </c>
      <c r="Q36" t="s">
        <v>251</v>
      </c>
      <c r="S36" t="s">
        <v>420</v>
      </c>
      <c r="T36" t="s">
        <v>300</v>
      </c>
      <c r="U36">
        <v>4.0794251722387799E-3</v>
      </c>
      <c r="V36" t="s">
        <v>251</v>
      </c>
      <c r="X36">
        <v>3.4246575342465752E-3</v>
      </c>
      <c r="Y36">
        <v>5.0717251323869452E-3</v>
      </c>
      <c r="Z36" t="s">
        <v>300</v>
      </c>
      <c r="AA36" t="s">
        <v>25</v>
      </c>
      <c r="AC36" t="s">
        <v>22</v>
      </c>
      <c r="AD36" t="s">
        <v>300</v>
      </c>
      <c r="AE36">
        <v>2.6041861740206322E-3</v>
      </c>
      <c r="AG36" t="s">
        <v>97</v>
      </c>
      <c r="AH36" t="s">
        <v>300</v>
      </c>
      <c r="AI36">
        <v>4.6989301675159023E-2</v>
      </c>
    </row>
    <row r="37" spans="9:35" x14ac:dyDescent="0.45">
      <c r="I37" t="s">
        <v>249</v>
      </c>
      <c r="J37" t="s">
        <v>301</v>
      </c>
      <c r="K37">
        <v>6.3119455269569002E-3</v>
      </c>
      <c r="L37" t="s">
        <v>251</v>
      </c>
      <c r="N37" t="s">
        <v>419</v>
      </c>
      <c r="O37" t="s">
        <v>301</v>
      </c>
      <c r="P37">
        <v>3.6579561231334231E-3</v>
      </c>
      <c r="Q37" t="s">
        <v>251</v>
      </c>
      <c r="S37" t="s">
        <v>420</v>
      </c>
      <c r="T37" t="s">
        <v>301</v>
      </c>
      <c r="U37">
        <v>3.9970054852407023E-3</v>
      </c>
      <c r="V37" t="s">
        <v>251</v>
      </c>
      <c r="X37">
        <v>3.4246575342465752E-3</v>
      </c>
      <c r="Y37">
        <v>5.7181214727892006E-3</v>
      </c>
      <c r="Z37" t="s">
        <v>301</v>
      </c>
      <c r="AA37" t="s">
        <v>25</v>
      </c>
      <c r="AC37" t="s">
        <v>22</v>
      </c>
      <c r="AD37" t="s">
        <v>301</v>
      </c>
      <c r="AE37">
        <v>2.5364711900003091E-3</v>
      </c>
      <c r="AG37" t="s">
        <v>97</v>
      </c>
      <c r="AH37" t="s">
        <v>301</v>
      </c>
      <c r="AI37">
        <v>4.7432229729670761E-2</v>
      </c>
    </row>
    <row r="38" spans="9:35" x14ac:dyDescent="0.45">
      <c r="I38" t="s">
        <v>249</v>
      </c>
      <c r="J38" t="s">
        <v>302</v>
      </c>
      <c r="K38">
        <v>6.3004707507981997E-2</v>
      </c>
      <c r="L38" t="s">
        <v>251</v>
      </c>
      <c r="N38" t="s">
        <v>419</v>
      </c>
      <c r="O38" t="s">
        <v>302</v>
      </c>
      <c r="P38">
        <v>2.5309534118686337E-2</v>
      </c>
      <c r="Q38" t="s">
        <v>251</v>
      </c>
      <c r="S38" t="s">
        <v>420</v>
      </c>
      <c r="T38" t="s">
        <v>302</v>
      </c>
      <c r="U38">
        <v>2.5526334347950597E-2</v>
      </c>
      <c r="V38" t="s">
        <v>251</v>
      </c>
      <c r="X38">
        <v>2.3972602739726026E-2</v>
      </c>
      <c r="Y38">
        <v>3.0410461676155433E-2</v>
      </c>
      <c r="Z38" t="s">
        <v>302</v>
      </c>
      <c r="AA38" t="s">
        <v>25</v>
      </c>
      <c r="AC38" t="s">
        <v>22</v>
      </c>
      <c r="AD38" t="s">
        <v>302</v>
      </c>
      <c r="AE38">
        <v>2.1912935867665611E-2</v>
      </c>
      <c r="AG38" t="s">
        <v>97</v>
      </c>
      <c r="AH38" t="s">
        <v>302</v>
      </c>
      <c r="AI38">
        <v>0.27985849117652761</v>
      </c>
    </row>
    <row r="39" spans="9:35" x14ac:dyDescent="0.45">
      <c r="I39" t="s">
        <v>249</v>
      </c>
      <c r="J39" t="s">
        <v>303</v>
      </c>
      <c r="K39">
        <v>8.7096659273677001E-3</v>
      </c>
      <c r="L39" t="s">
        <v>251</v>
      </c>
      <c r="N39" t="s">
        <v>419</v>
      </c>
      <c r="O39" t="s">
        <v>303</v>
      </c>
      <c r="P39">
        <v>3.7310920823443853E-3</v>
      </c>
      <c r="Q39" t="s">
        <v>251</v>
      </c>
      <c r="S39" t="s">
        <v>420</v>
      </c>
      <c r="T39" t="s">
        <v>303</v>
      </c>
      <c r="U39">
        <v>3.8578398457758518E-3</v>
      </c>
      <c r="V39" t="s">
        <v>251</v>
      </c>
      <c r="X39">
        <v>3.4246575342465752E-3</v>
      </c>
      <c r="Y39">
        <v>5.1711707232180593E-3</v>
      </c>
      <c r="Z39" t="s">
        <v>303</v>
      </c>
      <c r="AA39" t="s">
        <v>25</v>
      </c>
      <c r="AC39" t="s">
        <v>22</v>
      </c>
      <c r="AD39" t="s">
        <v>303</v>
      </c>
      <c r="AE39">
        <v>3.4608755107966372E-3</v>
      </c>
      <c r="AG39" t="s">
        <v>97</v>
      </c>
      <c r="AH39" t="s">
        <v>303</v>
      </c>
      <c r="AI39">
        <v>7.9496397641006356E-2</v>
      </c>
    </row>
    <row r="40" spans="9:35" x14ac:dyDescent="0.45">
      <c r="I40" t="s">
        <v>249</v>
      </c>
      <c r="J40" t="s">
        <v>304</v>
      </c>
      <c r="K40">
        <v>7.9061939428314992E-3</v>
      </c>
      <c r="L40" t="s">
        <v>251</v>
      </c>
      <c r="N40" t="s">
        <v>419</v>
      </c>
      <c r="O40" t="s">
        <v>304</v>
      </c>
      <c r="P40">
        <v>3.6932451873580292E-3</v>
      </c>
      <c r="Q40" t="s">
        <v>251</v>
      </c>
      <c r="S40" t="s">
        <v>420</v>
      </c>
      <c r="T40" t="s">
        <v>304</v>
      </c>
      <c r="U40">
        <v>3.7160579524920107E-3</v>
      </c>
      <c r="V40" t="s">
        <v>251</v>
      </c>
      <c r="X40">
        <v>3.4246575342465752E-3</v>
      </c>
      <c r="Y40">
        <v>6.662854585684809E-3</v>
      </c>
      <c r="Z40" t="s">
        <v>304</v>
      </c>
      <c r="AA40" t="s">
        <v>25</v>
      </c>
      <c r="AC40" t="s">
        <v>22</v>
      </c>
      <c r="AD40" t="s">
        <v>304</v>
      </c>
      <c r="AE40">
        <v>3.5218002680667483E-3</v>
      </c>
      <c r="AG40" t="s">
        <v>97</v>
      </c>
      <c r="AH40" t="s">
        <v>304</v>
      </c>
      <c r="AI40">
        <v>8.98582995951418E-2</v>
      </c>
    </row>
    <row r="41" spans="9:35" x14ac:dyDescent="0.45">
      <c r="I41" t="s">
        <v>249</v>
      </c>
      <c r="J41" t="s">
        <v>305</v>
      </c>
      <c r="K41">
        <v>6.6288090420439996E-3</v>
      </c>
      <c r="L41" t="s">
        <v>251</v>
      </c>
      <c r="N41" t="s">
        <v>419</v>
      </c>
      <c r="O41" t="s">
        <v>305</v>
      </c>
      <c r="P41">
        <v>3.6443678514296437E-3</v>
      </c>
      <c r="Q41" t="s">
        <v>251</v>
      </c>
      <c r="S41" t="s">
        <v>420</v>
      </c>
      <c r="T41" t="s">
        <v>305</v>
      </c>
      <c r="U41">
        <v>3.7643623151889468E-3</v>
      </c>
      <c r="V41" t="s">
        <v>251</v>
      </c>
      <c r="X41">
        <v>3.4246575342465752E-3</v>
      </c>
      <c r="Y41">
        <v>6.662854585684809E-3</v>
      </c>
      <c r="Z41" t="s">
        <v>305</v>
      </c>
      <c r="AA41" t="s">
        <v>25</v>
      </c>
      <c r="AC41" t="s">
        <v>22</v>
      </c>
      <c r="AD41" t="s">
        <v>305</v>
      </c>
      <c r="AE41">
        <v>3.4742617443900138E-3</v>
      </c>
      <c r="AG41" t="s">
        <v>97</v>
      </c>
      <c r="AH41" t="s">
        <v>305</v>
      </c>
      <c r="AI41">
        <v>9.490312773469789E-2</v>
      </c>
    </row>
    <row r="42" spans="9:35" x14ac:dyDescent="0.45">
      <c r="I42" t="s">
        <v>249</v>
      </c>
      <c r="J42" t="s">
        <v>306</v>
      </c>
      <c r="K42">
        <v>5.1168688102999783E-3</v>
      </c>
      <c r="L42" t="s">
        <v>251</v>
      </c>
      <c r="N42" t="s">
        <v>419</v>
      </c>
      <c r="O42" t="s">
        <v>306</v>
      </c>
      <c r="P42">
        <v>2.5695716582115717E-2</v>
      </c>
      <c r="Q42" t="s">
        <v>251</v>
      </c>
      <c r="S42" t="s">
        <v>420</v>
      </c>
      <c r="T42" t="s">
        <v>306</v>
      </c>
      <c r="U42">
        <v>2.5455933039626823E-2</v>
      </c>
      <c r="V42" t="s">
        <v>251</v>
      </c>
      <c r="X42">
        <v>2.0547945205479451E-2</v>
      </c>
      <c r="Y42">
        <v>1.8099097531263209E-2</v>
      </c>
      <c r="Z42" t="s">
        <v>306</v>
      </c>
      <c r="AA42" t="s">
        <v>25</v>
      </c>
      <c r="AC42" t="s">
        <v>22</v>
      </c>
      <c r="AD42" t="s">
        <v>306</v>
      </c>
      <c r="AE42">
        <v>2.1061828730339335E-2</v>
      </c>
      <c r="AG42" t="s">
        <v>97</v>
      </c>
      <c r="AH42" t="s">
        <v>306</v>
      </c>
      <c r="AI42">
        <v>0.11698992717501278</v>
      </c>
    </row>
    <row r="43" spans="9:35" x14ac:dyDescent="0.45">
      <c r="I43" t="s">
        <v>249</v>
      </c>
      <c r="J43" t="s">
        <v>331</v>
      </c>
      <c r="K43">
        <v>4.9335144791813233E-4</v>
      </c>
      <c r="L43" t="s">
        <v>251</v>
      </c>
      <c r="N43" t="s">
        <v>419</v>
      </c>
      <c r="O43" t="s">
        <v>331</v>
      </c>
      <c r="P43">
        <v>2.3619791243746632E-2</v>
      </c>
      <c r="Q43" t="s">
        <v>251</v>
      </c>
      <c r="S43" t="s">
        <v>420</v>
      </c>
      <c r="T43" t="s">
        <v>331</v>
      </c>
      <c r="U43">
        <v>2.2043322523336625E-2</v>
      </c>
      <c r="V43" t="s">
        <v>251</v>
      </c>
      <c r="X43">
        <v>2.1232876712328767E-2</v>
      </c>
      <c r="Y43">
        <v>4.5420116185598634E-3</v>
      </c>
      <c r="Z43" t="s">
        <v>331</v>
      </c>
      <c r="AA43" t="s">
        <v>25</v>
      </c>
      <c r="AC43" t="s">
        <v>22</v>
      </c>
      <c r="AD43" t="s">
        <v>331</v>
      </c>
      <c r="AE43">
        <v>1.9690617990117655E-2</v>
      </c>
      <c r="AG43" t="s">
        <v>97</v>
      </c>
      <c r="AH43" t="s">
        <v>331</v>
      </c>
      <c r="AI43">
        <v>0.14699788631802058</v>
      </c>
    </row>
    <row r="44" spans="9:35" x14ac:dyDescent="0.45">
      <c r="I44" t="s">
        <v>249</v>
      </c>
      <c r="J44" t="s">
        <v>332</v>
      </c>
      <c r="K44">
        <v>4.3764532232293662E-3</v>
      </c>
      <c r="L44" t="s">
        <v>251</v>
      </c>
      <c r="N44" t="s">
        <v>419</v>
      </c>
      <c r="O44" t="s">
        <v>332</v>
      </c>
      <c r="P44">
        <v>3.4246522466074075E-3</v>
      </c>
      <c r="Q44" t="s">
        <v>251</v>
      </c>
      <c r="S44" t="s">
        <v>420</v>
      </c>
      <c r="T44" t="s">
        <v>332</v>
      </c>
      <c r="U44">
        <v>3.4398434511848245E-3</v>
      </c>
      <c r="V44" t="s">
        <v>251</v>
      </c>
      <c r="X44">
        <v>3.5388127853881279E-3</v>
      </c>
      <c r="Y44">
        <v>5.240782636799844E-3</v>
      </c>
      <c r="Z44" t="s">
        <v>332</v>
      </c>
      <c r="AA44" t="s">
        <v>25</v>
      </c>
      <c r="AC44" t="s">
        <v>22</v>
      </c>
      <c r="AD44" t="s">
        <v>332</v>
      </c>
      <c r="AE44">
        <v>2.6456368637571403E-3</v>
      </c>
      <c r="AG44" t="s">
        <v>97</v>
      </c>
      <c r="AH44" t="s">
        <v>332</v>
      </c>
      <c r="AI44">
        <v>3.7687404662287927E-2</v>
      </c>
    </row>
    <row r="45" spans="9:35" x14ac:dyDescent="0.45">
      <c r="I45" t="s">
        <v>249</v>
      </c>
      <c r="J45" t="s">
        <v>333</v>
      </c>
      <c r="K45">
        <v>6.5776751073149996E-3</v>
      </c>
      <c r="L45" t="s">
        <v>251</v>
      </c>
      <c r="N45" t="s">
        <v>419</v>
      </c>
      <c r="O45" t="s">
        <v>333</v>
      </c>
      <c r="P45">
        <v>3.173072011760042E-3</v>
      </c>
      <c r="Q45" t="s">
        <v>251</v>
      </c>
      <c r="S45" t="s">
        <v>420</v>
      </c>
      <c r="T45" t="s">
        <v>333</v>
      </c>
      <c r="U45">
        <v>3.4487992132888889E-3</v>
      </c>
      <c r="V45" t="s">
        <v>251</v>
      </c>
      <c r="X45">
        <v>3.5388127853881279E-3</v>
      </c>
      <c r="Y45">
        <v>5.9087255218821738E-3</v>
      </c>
      <c r="Z45" t="s">
        <v>333</v>
      </c>
      <c r="AA45" t="s">
        <v>25</v>
      </c>
      <c r="AC45" t="s">
        <v>22</v>
      </c>
      <c r="AD45" t="s">
        <v>333</v>
      </c>
      <c r="AE45">
        <v>2.5681020358651455E-3</v>
      </c>
      <c r="AG45" t="s">
        <v>97</v>
      </c>
      <c r="AH45" t="s">
        <v>333</v>
      </c>
      <c r="AI45">
        <v>2.836679987744839E-2</v>
      </c>
    </row>
    <row r="46" spans="9:35" x14ac:dyDescent="0.45">
      <c r="I46" t="s">
        <v>249</v>
      </c>
      <c r="J46" t="s">
        <v>334</v>
      </c>
      <c r="K46">
        <v>6.3579767558584299E-2</v>
      </c>
      <c r="L46" t="s">
        <v>251</v>
      </c>
      <c r="N46" t="s">
        <v>419</v>
      </c>
      <c r="O46" t="s">
        <v>334</v>
      </c>
      <c r="P46">
        <v>2.3592593292150223E-2</v>
      </c>
      <c r="Q46" t="s">
        <v>251</v>
      </c>
      <c r="S46" t="s">
        <v>420</v>
      </c>
      <c r="T46" t="s">
        <v>334</v>
      </c>
      <c r="U46">
        <v>2.3343586610834285E-2</v>
      </c>
      <c r="V46" t="s">
        <v>251</v>
      </c>
      <c r="X46">
        <v>2.4771689497716895E-2</v>
      </c>
      <c r="Y46">
        <v>3.1424143732027281E-2</v>
      </c>
      <c r="Z46" t="s">
        <v>334</v>
      </c>
      <c r="AA46" t="s">
        <v>25</v>
      </c>
      <c r="AC46" t="s">
        <v>22</v>
      </c>
      <c r="AD46" t="s">
        <v>334</v>
      </c>
      <c r="AE46">
        <v>2.1583667654061441E-2</v>
      </c>
      <c r="AG46" t="s">
        <v>97</v>
      </c>
      <c r="AH46" t="s">
        <v>334</v>
      </c>
      <c r="AI46">
        <v>0.21092089255818691</v>
      </c>
    </row>
    <row r="47" spans="9:35" x14ac:dyDescent="0.45">
      <c r="I47" t="s">
        <v>249</v>
      </c>
      <c r="J47" t="s">
        <v>335</v>
      </c>
      <c r="K47">
        <v>8.5853735167836995E-3</v>
      </c>
      <c r="L47" t="s">
        <v>251</v>
      </c>
      <c r="N47" t="s">
        <v>419</v>
      </c>
      <c r="O47" t="s">
        <v>335</v>
      </c>
      <c r="P47">
        <v>3.5208185497496692E-3</v>
      </c>
      <c r="Q47" t="s">
        <v>251</v>
      </c>
      <c r="S47" t="s">
        <v>420</v>
      </c>
      <c r="T47" t="s">
        <v>335</v>
      </c>
      <c r="U47">
        <v>3.6820393775627205E-3</v>
      </c>
      <c r="V47" t="s">
        <v>251</v>
      </c>
      <c r="X47">
        <v>3.5388127853881279E-3</v>
      </c>
      <c r="Y47">
        <v>5.3435430806586613E-3</v>
      </c>
      <c r="Z47" t="s">
        <v>335</v>
      </c>
      <c r="AA47" t="s">
        <v>25</v>
      </c>
      <c r="AC47" t="s">
        <v>22</v>
      </c>
      <c r="AD47" t="s">
        <v>335</v>
      </c>
      <c r="AE47">
        <v>3.5276761669721327E-3</v>
      </c>
      <c r="AG47" t="s">
        <v>97</v>
      </c>
      <c r="AH47" t="s">
        <v>335</v>
      </c>
      <c r="AI47">
        <v>4.8412946255800948E-2</v>
      </c>
    </row>
    <row r="48" spans="9:35" x14ac:dyDescent="0.45">
      <c r="I48" t="s">
        <v>249</v>
      </c>
      <c r="J48" t="s">
        <v>336</v>
      </c>
      <c r="K48">
        <v>7.7224142138008003E-3</v>
      </c>
      <c r="L48" t="s">
        <v>251</v>
      </c>
      <c r="N48" t="s">
        <v>419</v>
      </c>
      <c r="O48" t="s">
        <v>336</v>
      </c>
      <c r="P48">
        <v>3.5198585800589751E-3</v>
      </c>
      <c r="Q48" t="s">
        <v>251</v>
      </c>
      <c r="S48" t="s">
        <v>420</v>
      </c>
      <c r="T48" t="s">
        <v>336</v>
      </c>
      <c r="U48">
        <v>3.6434575328003469E-3</v>
      </c>
      <c r="V48" t="s">
        <v>251</v>
      </c>
      <c r="X48">
        <v>3.5388127853881279E-3</v>
      </c>
      <c r="Y48">
        <v>6.8849497385409693E-3</v>
      </c>
      <c r="Z48" t="s">
        <v>336</v>
      </c>
      <c r="AA48" t="s">
        <v>25</v>
      </c>
      <c r="AC48" t="s">
        <v>22</v>
      </c>
      <c r="AD48" t="s">
        <v>336</v>
      </c>
      <c r="AE48">
        <v>3.5353409168752282E-3</v>
      </c>
      <c r="AG48" t="s">
        <v>97</v>
      </c>
      <c r="AH48" t="s">
        <v>336</v>
      </c>
      <c r="AI48">
        <v>5.2748421298292492E-2</v>
      </c>
    </row>
    <row r="49" spans="9:35" x14ac:dyDescent="0.45">
      <c r="I49" t="s">
        <v>249</v>
      </c>
      <c r="J49" t="s">
        <v>337</v>
      </c>
      <c r="K49">
        <v>6.4833732845173001E-3</v>
      </c>
      <c r="L49" t="s">
        <v>251</v>
      </c>
      <c r="N49" t="s">
        <v>419</v>
      </c>
      <c r="O49" t="s">
        <v>337</v>
      </c>
      <c r="P49">
        <v>3.4614343159606415E-3</v>
      </c>
      <c r="Q49" t="s">
        <v>251</v>
      </c>
      <c r="S49" t="s">
        <v>420</v>
      </c>
      <c r="T49" t="s">
        <v>337</v>
      </c>
      <c r="U49">
        <v>3.6810394552026686E-3</v>
      </c>
      <c r="V49" t="s">
        <v>251</v>
      </c>
      <c r="X49">
        <v>3.5388127853881279E-3</v>
      </c>
      <c r="Y49">
        <v>6.8849497385409693E-3</v>
      </c>
      <c r="Z49" t="s">
        <v>337</v>
      </c>
      <c r="AA49" t="s">
        <v>25</v>
      </c>
      <c r="AC49" t="s">
        <v>22</v>
      </c>
      <c r="AD49" t="s">
        <v>337</v>
      </c>
      <c r="AE49">
        <v>3.540813222827623E-3</v>
      </c>
      <c r="AG49" t="s">
        <v>97</v>
      </c>
      <c r="AH49" t="s">
        <v>337</v>
      </c>
      <c r="AI49">
        <v>5.7215910366320788E-2</v>
      </c>
    </row>
    <row r="50" spans="9:35" x14ac:dyDescent="0.45">
      <c r="I50" t="s">
        <v>249</v>
      </c>
      <c r="J50" t="s">
        <v>338</v>
      </c>
      <c r="K50">
        <v>6.4179318594734976E-3</v>
      </c>
      <c r="L50" t="s">
        <v>251</v>
      </c>
      <c r="N50" t="s">
        <v>419</v>
      </c>
      <c r="O50" t="s">
        <v>338</v>
      </c>
      <c r="P50">
        <v>2.4570720173719644E-2</v>
      </c>
      <c r="Q50" t="s">
        <v>251</v>
      </c>
      <c r="S50" t="s">
        <v>420</v>
      </c>
      <c r="T50" t="s">
        <v>338</v>
      </c>
      <c r="U50">
        <v>2.4641906355335301E-2</v>
      </c>
      <c r="V50" t="s">
        <v>251</v>
      </c>
      <c r="X50">
        <v>2.1232876712328767E-2</v>
      </c>
      <c r="Y50">
        <v>1.8702400782305319E-2</v>
      </c>
      <c r="Z50" t="s">
        <v>338</v>
      </c>
      <c r="AA50" t="s">
        <v>25</v>
      </c>
      <c r="AC50" t="s">
        <v>22</v>
      </c>
      <c r="AD50" t="s">
        <v>338</v>
      </c>
      <c r="AE50">
        <v>2.1518813976932626E-2</v>
      </c>
      <c r="AG50" t="s">
        <v>97</v>
      </c>
      <c r="AH50" t="s">
        <v>338</v>
      </c>
      <c r="AI50">
        <v>8.0073275109394881E-2</v>
      </c>
    </row>
    <row r="51" spans="9:35" x14ac:dyDescent="0.45">
      <c r="I51" t="s">
        <v>249</v>
      </c>
      <c r="J51" t="s">
        <v>339</v>
      </c>
      <c r="K51">
        <v>8.9620492023086194E-4</v>
      </c>
      <c r="L51" t="s">
        <v>251</v>
      </c>
      <c r="N51" t="s">
        <v>419</v>
      </c>
      <c r="O51" t="s">
        <v>339</v>
      </c>
      <c r="P51">
        <v>2.1638010353090851E-2</v>
      </c>
      <c r="Q51" t="s">
        <v>251</v>
      </c>
      <c r="S51" t="s">
        <v>420</v>
      </c>
      <c r="T51" t="s">
        <v>339</v>
      </c>
      <c r="U51">
        <v>1.46554772617355E-2</v>
      </c>
      <c r="V51" t="s">
        <v>251</v>
      </c>
      <c r="X51">
        <v>2.0547945205479451E-2</v>
      </c>
      <c r="Y51">
        <v>4.3954951147353507E-3</v>
      </c>
      <c r="Z51" t="s">
        <v>339</v>
      </c>
      <c r="AA51" t="s">
        <v>25</v>
      </c>
      <c r="AC51" t="s">
        <v>22</v>
      </c>
      <c r="AD51" t="s">
        <v>339</v>
      </c>
      <c r="AE51">
        <v>1.9260500610045455E-2</v>
      </c>
      <c r="AG51" t="s">
        <v>97</v>
      </c>
      <c r="AH51" t="s">
        <v>339</v>
      </c>
      <c r="AI51">
        <v>0.14272160879684503</v>
      </c>
    </row>
    <row r="52" spans="9:35" x14ac:dyDescent="0.45">
      <c r="I52" t="s">
        <v>249</v>
      </c>
      <c r="J52" t="s">
        <v>340</v>
      </c>
      <c r="K52">
        <v>4.2189396573354999E-3</v>
      </c>
      <c r="L52" t="s">
        <v>251</v>
      </c>
      <c r="N52" t="s">
        <v>419</v>
      </c>
      <c r="O52" t="s">
        <v>340</v>
      </c>
      <c r="P52">
        <v>2.932390726346185E-3</v>
      </c>
      <c r="Q52" t="s">
        <v>251</v>
      </c>
      <c r="S52" t="s">
        <v>420</v>
      </c>
      <c r="T52" t="s">
        <v>340</v>
      </c>
      <c r="U52">
        <v>2.0274377563429028E-3</v>
      </c>
      <c r="V52" t="s">
        <v>251</v>
      </c>
      <c r="X52">
        <v>3.4246575342465752E-3</v>
      </c>
      <c r="Y52">
        <v>5.0717251323869452E-3</v>
      </c>
      <c r="Z52" t="s">
        <v>340</v>
      </c>
      <c r="AA52" t="s">
        <v>25</v>
      </c>
      <c r="AC52" t="s">
        <v>22</v>
      </c>
      <c r="AD52" t="s">
        <v>340</v>
      </c>
      <c r="AE52">
        <v>2.6497103592723766E-3</v>
      </c>
      <c r="AG52" t="s">
        <v>97</v>
      </c>
      <c r="AH52" t="s">
        <v>340</v>
      </c>
      <c r="AI52">
        <v>6.8326103573197461E-2</v>
      </c>
    </row>
    <row r="53" spans="9:35" x14ac:dyDescent="0.45">
      <c r="I53" t="s">
        <v>249</v>
      </c>
      <c r="J53" t="s">
        <v>341</v>
      </c>
      <c r="K53">
        <v>6.1886482059352998E-3</v>
      </c>
      <c r="L53" t="s">
        <v>251</v>
      </c>
      <c r="N53" t="s">
        <v>419</v>
      </c>
      <c r="O53" t="s">
        <v>341</v>
      </c>
      <c r="P53">
        <v>2.645260723797086E-3</v>
      </c>
      <c r="Q53" t="s">
        <v>251</v>
      </c>
      <c r="S53" t="s">
        <v>420</v>
      </c>
      <c r="T53" t="s">
        <v>341</v>
      </c>
      <c r="U53">
        <v>2.0224615995105386E-3</v>
      </c>
      <c r="V53" t="s">
        <v>251</v>
      </c>
      <c r="X53">
        <v>3.4246575342465752E-3</v>
      </c>
      <c r="Y53">
        <v>5.7181214727892006E-3</v>
      </c>
      <c r="Z53" t="s">
        <v>341</v>
      </c>
      <c r="AA53" t="s">
        <v>25</v>
      </c>
      <c r="AC53" t="s">
        <v>22</v>
      </c>
      <c r="AD53" t="s">
        <v>341</v>
      </c>
      <c r="AE53">
        <v>2.5584782257930265E-3</v>
      </c>
      <c r="AG53" t="s">
        <v>97</v>
      </c>
      <c r="AH53" t="s">
        <v>341</v>
      </c>
      <c r="AI53">
        <v>6.3283153241070034E-2</v>
      </c>
    </row>
    <row r="54" spans="9:35" x14ac:dyDescent="0.45">
      <c r="I54" t="s">
        <v>249</v>
      </c>
      <c r="J54" t="s">
        <v>342</v>
      </c>
      <c r="K54">
        <v>5.9391656967384999E-2</v>
      </c>
      <c r="L54" t="s">
        <v>251</v>
      </c>
      <c r="N54" t="s">
        <v>419</v>
      </c>
      <c r="O54" t="s">
        <v>342</v>
      </c>
      <c r="P54">
        <v>2.0186747215789343E-2</v>
      </c>
      <c r="Q54" t="s">
        <v>251</v>
      </c>
      <c r="S54" t="s">
        <v>420</v>
      </c>
      <c r="T54" t="s">
        <v>342</v>
      </c>
      <c r="U54">
        <v>1.5028412364267944E-2</v>
      </c>
      <c r="V54" t="s">
        <v>251</v>
      </c>
      <c r="X54">
        <v>2.3972602739726026E-2</v>
      </c>
      <c r="Y54">
        <v>3.0410461676155433E-2</v>
      </c>
      <c r="Z54" t="s">
        <v>342</v>
      </c>
      <c r="AA54" t="s">
        <v>25</v>
      </c>
      <c r="AC54" t="s">
        <v>22</v>
      </c>
      <c r="AD54" t="s">
        <v>342</v>
      </c>
      <c r="AE54">
        <v>2.0666995204675419E-2</v>
      </c>
      <c r="AG54" t="s">
        <v>97</v>
      </c>
      <c r="AH54" t="s">
        <v>342</v>
      </c>
      <c r="AI54">
        <v>0.19022521607323695</v>
      </c>
    </row>
    <row r="55" spans="9:35" x14ac:dyDescent="0.45">
      <c r="I55" t="s">
        <v>249</v>
      </c>
      <c r="J55" t="s">
        <v>343</v>
      </c>
      <c r="K55">
        <v>7.9800602970408006E-3</v>
      </c>
      <c r="L55" t="s">
        <v>251</v>
      </c>
      <c r="N55" t="s">
        <v>419</v>
      </c>
      <c r="O55" t="s">
        <v>343</v>
      </c>
      <c r="P55">
        <v>3.0852712538663382E-3</v>
      </c>
      <c r="Q55" t="s">
        <v>251</v>
      </c>
      <c r="S55" t="s">
        <v>420</v>
      </c>
      <c r="T55" t="s">
        <v>343</v>
      </c>
      <c r="U55">
        <v>2.547697763517483E-3</v>
      </c>
      <c r="V55" t="s">
        <v>251</v>
      </c>
      <c r="X55">
        <v>3.4246575342465752E-3</v>
      </c>
      <c r="Y55">
        <v>5.1711707232180593E-3</v>
      </c>
      <c r="Z55" t="s">
        <v>343</v>
      </c>
      <c r="AA55" t="s">
        <v>25</v>
      </c>
      <c r="AC55" t="s">
        <v>22</v>
      </c>
      <c r="AD55" t="s">
        <v>343</v>
      </c>
      <c r="AE55">
        <v>3.4028927577294411E-3</v>
      </c>
      <c r="AG55" t="s">
        <v>97</v>
      </c>
      <c r="AH55" t="s">
        <v>343</v>
      </c>
      <c r="AI55">
        <v>6.2489829878334291E-2</v>
      </c>
    </row>
    <row r="56" spans="9:35" x14ac:dyDescent="0.45">
      <c r="I56" t="s">
        <v>249</v>
      </c>
      <c r="J56" t="s">
        <v>344</v>
      </c>
      <c r="K56">
        <v>7.1260513681538004E-3</v>
      </c>
      <c r="L56" t="s">
        <v>251</v>
      </c>
      <c r="N56" t="s">
        <v>419</v>
      </c>
      <c r="O56" t="s">
        <v>344</v>
      </c>
      <c r="P56">
        <v>3.1615154664669859E-3</v>
      </c>
      <c r="Q56" t="s">
        <v>251</v>
      </c>
      <c r="S56" t="s">
        <v>420</v>
      </c>
      <c r="T56" t="s">
        <v>344</v>
      </c>
      <c r="U56">
        <v>2.4478011458801108E-3</v>
      </c>
      <c r="V56" t="s">
        <v>251</v>
      </c>
      <c r="X56">
        <v>3.4246575342465752E-3</v>
      </c>
      <c r="Y56">
        <v>6.662854585684809E-3</v>
      </c>
      <c r="Z56" t="s">
        <v>344</v>
      </c>
      <c r="AA56" t="s">
        <v>25</v>
      </c>
      <c r="AC56" t="s">
        <v>22</v>
      </c>
      <c r="AD56" t="s">
        <v>344</v>
      </c>
      <c r="AE56">
        <v>3.4198347096210586E-3</v>
      </c>
      <c r="AG56" t="s">
        <v>97</v>
      </c>
      <c r="AH56" t="s">
        <v>344</v>
      </c>
      <c r="AI56">
        <v>7.1290983808581343E-2</v>
      </c>
    </row>
    <row r="57" spans="9:35" x14ac:dyDescent="0.45">
      <c r="I57" t="s">
        <v>249</v>
      </c>
      <c r="J57" t="s">
        <v>345</v>
      </c>
      <c r="K57">
        <v>5.97267425403E-3</v>
      </c>
      <c r="L57" t="s">
        <v>251</v>
      </c>
      <c r="N57" t="s">
        <v>419</v>
      </c>
      <c r="O57" t="s">
        <v>345</v>
      </c>
      <c r="P57">
        <v>3.1609198927553899E-3</v>
      </c>
      <c r="Q57" t="s">
        <v>251</v>
      </c>
      <c r="S57" t="s">
        <v>420</v>
      </c>
      <c r="T57" t="s">
        <v>345</v>
      </c>
      <c r="U57">
        <v>2.4219064195414191E-3</v>
      </c>
      <c r="V57" t="s">
        <v>251</v>
      </c>
      <c r="X57">
        <v>3.4246575342465752E-3</v>
      </c>
      <c r="Y57">
        <v>6.662854585684809E-3</v>
      </c>
      <c r="Z57" t="s">
        <v>345</v>
      </c>
      <c r="AA57" t="s">
        <v>25</v>
      </c>
      <c r="AC57" t="s">
        <v>22</v>
      </c>
      <c r="AD57" t="s">
        <v>345</v>
      </c>
      <c r="AE57">
        <v>3.4450851650362443E-3</v>
      </c>
      <c r="AG57" t="s">
        <v>97</v>
      </c>
      <c r="AH57" t="s">
        <v>345</v>
      </c>
      <c r="AI57">
        <v>7.9933885841087848E-2</v>
      </c>
    </row>
    <row r="58" spans="9:35" x14ac:dyDescent="0.45">
      <c r="I58" t="s">
        <v>249</v>
      </c>
      <c r="J58" t="s">
        <v>346</v>
      </c>
      <c r="K58">
        <v>6.6998443253581154E-3</v>
      </c>
      <c r="L58" t="s">
        <v>251</v>
      </c>
      <c r="N58" t="s">
        <v>419</v>
      </c>
      <c r="O58" t="s">
        <v>346</v>
      </c>
      <c r="P58">
        <v>2.1552171110743049E-2</v>
      </c>
      <c r="Q58" t="s">
        <v>251</v>
      </c>
      <c r="S58" t="s">
        <v>420</v>
      </c>
      <c r="T58" t="s">
        <v>346</v>
      </c>
      <c r="U58">
        <v>1.5920745316699014E-2</v>
      </c>
      <c r="V58" t="s">
        <v>251</v>
      </c>
      <c r="X58">
        <v>2.0547945205479451E-2</v>
      </c>
      <c r="Y58">
        <v>1.8099097531263209E-2</v>
      </c>
      <c r="Z58" t="s">
        <v>346</v>
      </c>
      <c r="AA58" t="s">
        <v>25</v>
      </c>
      <c r="AC58" t="s">
        <v>22</v>
      </c>
      <c r="AD58" t="s">
        <v>346</v>
      </c>
      <c r="AE58">
        <v>2.1050393923406293E-2</v>
      </c>
      <c r="AG58" t="s">
        <v>97</v>
      </c>
      <c r="AH58" t="s">
        <v>346</v>
      </c>
      <c r="AI58">
        <v>0.12607735122688024</v>
      </c>
    </row>
    <row r="59" spans="9:35" x14ac:dyDescent="0.45">
      <c r="I59" t="s">
        <v>249</v>
      </c>
      <c r="J59" t="s">
        <v>347</v>
      </c>
      <c r="K59">
        <v>2.6851131546107499E-4</v>
      </c>
      <c r="L59" t="s">
        <v>251</v>
      </c>
      <c r="N59" t="s">
        <v>419</v>
      </c>
      <c r="O59" t="s">
        <v>347</v>
      </c>
      <c r="P59">
        <v>1.7906356699202514E-2</v>
      </c>
      <c r="Q59" t="s">
        <v>251</v>
      </c>
      <c r="S59" t="s">
        <v>420</v>
      </c>
      <c r="T59" t="s">
        <v>347</v>
      </c>
      <c r="U59">
        <v>1.6784868353445087E-2</v>
      </c>
      <c r="V59" t="s">
        <v>251</v>
      </c>
      <c r="X59">
        <v>2.1232876712328767E-2</v>
      </c>
      <c r="Y59">
        <v>4.5420116185598634E-3</v>
      </c>
      <c r="Z59" t="s">
        <v>347</v>
      </c>
      <c r="AA59" t="s">
        <v>25</v>
      </c>
      <c r="AC59" t="s">
        <v>22</v>
      </c>
      <c r="AD59" t="s">
        <v>347</v>
      </c>
      <c r="AE59">
        <v>2.1060695450919414E-2</v>
      </c>
      <c r="AG59" t="s">
        <v>97</v>
      </c>
      <c r="AH59" t="s">
        <v>347</v>
      </c>
      <c r="AI59">
        <v>0.2315021641066155</v>
      </c>
    </row>
    <row r="60" spans="9:35" x14ac:dyDescent="0.45">
      <c r="I60" t="s">
        <v>249</v>
      </c>
      <c r="J60" t="s">
        <v>348</v>
      </c>
      <c r="K60">
        <v>3.2204031164093181E-3</v>
      </c>
      <c r="L60" t="s">
        <v>251</v>
      </c>
      <c r="N60" t="s">
        <v>419</v>
      </c>
      <c r="O60" t="s">
        <v>348</v>
      </c>
      <c r="P60">
        <v>2.1598997955974584E-3</v>
      </c>
      <c r="Q60" t="s">
        <v>251</v>
      </c>
      <c r="S60" t="s">
        <v>420</v>
      </c>
      <c r="T60" t="s">
        <v>348</v>
      </c>
      <c r="U60">
        <v>2.4552076392760176E-3</v>
      </c>
      <c r="V60" t="s">
        <v>251</v>
      </c>
      <c r="X60">
        <v>3.5388127853881279E-3</v>
      </c>
      <c r="Y60">
        <v>5.240782636799844E-3</v>
      </c>
      <c r="Z60" t="s">
        <v>348</v>
      </c>
      <c r="AA60" t="s">
        <v>25</v>
      </c>
      <c r="AC60" t="s">
        <v>22</v>
      </c>
      <c r="AD60" t="s">
        <v>348</v>
      </c>
      <c r="AE60">
        <v>2.8922928243539656E-3</v>
      </c>
      <c r="AG60" t="s">
        <v>97</v>
      </c>
      <c r="AH60" t="s">
        <v>348</v>
      </c>
      <c r="AI60">
        <v>5.6133928654755527E-2</v>
      </c>
    </row>
    <row r="61" spans="9:35" x14ac:dyDescent="0.45">
      <c r="I61" t="s">
        <v>249</v>
      </c>
      <c r="J61" t="s">
        <v>349</v>
      </c>
      <c r="K61">
        <v>5.2350618749991001E-3</v>
      </c>
      <c r="L61" t="s">
        <v>251</v>
      </c>
      <c r="N61" t="s">
        <v>419</v>
      </c>
      <c r="O61" t="s">
        <v>349</v>
      </c>
      <c r="P61">
        <v>1.8496526274653208E-3</v>
      </c>
      <c r="Q61" t="s">
        <v>251</v>
      </c>
      <c r="S61" t="s">
        <v>420</v>
      </c>
      <c r="T61" t="s">
        <v>349</v>
      </c>
      <c r="U61">
        <v>2.3873461693071727E-3</v>
      </c>
      <c r="V61" t="s">
        <v>251</v>
      </c>
      <c r="X61">
        <v>3.5388127853881279E-3</v>
      </c>
      <c r="Y61">
        <v>5.9087255218821738E-3</v>
      </c>
      <c r="Z61" t="s">
        <v>349</v>
      </c>
      <c r="AA61" t="s">
        <v>25</v>
      </c>
      <c r="AC61" t="s">
        <v>22</v>
      </c>
      <c r="AD61" t="s">
        <v>349</v>
      </c>
      <c r="AE61">
        <v>2.7751816886173938E-3</v>
      </c>
      <c r="AG61" t="s">
        <v>97</v>
      </c>
      <c r="AH61" t="s">
        <v>349</v>
      </c>
      <c r="AI61">
        <v>5.9458371844419711E-2</v>
      </c>
    </row>
    <row r="62" spans="9:35" x14ac:dyDescent="0.45">
      <c r="I62" t="s">
        <v>249</v>
      </c>
      <c r="J62" t="s">
        <v>350</v>
      </c>
      <c r="K62">
        <v>5.4726961163533497E-2</v>
      </c>
      <c r="L62" t="s">
        <v>251</v>
      </c>
      <c r="N62" t="s">
        <v>419</v>
      </c>
      <c r="O62" t="s">
        <v>350</v>
      </c>
      <c r="P62">
        <v>1.3394753685262772E-2</v>
      </c>
      <c r="Q62" t="s">
        <v>251</v>
      </c>
      <c r="S62" t="s">
        <v>420</v>
      </c>
      <c r="T62" t="s">
        <v>350</v>
      </c>
      <c r="U62">
        <v>1.5760182629451346E-2</v>
      </c>
      <c r="V62" t="s">
        <v>251</v>
      </c>
      <c r="X62">
        <v>2.4771689497716895E-2</v>
      </c>
      <c r="Y62">
        <v>3.1424143732027281E-2</v>
      </c>
      <c r="Z62" t="s">
        <v>350</v>
      </c>
      <c r="AA62" t="s">
        <v>25</v>
      </c>
      <c r="AC62" t="s">
        <v>22</v>
      </c>
      <c r="AD62" t="s">
        <v>350</v>
      </c>
      <c r="AE62">
        <v>2.2015949371621827E-2</v>
      </c>
      <c r="AG62" t="s">
        <v>97</v>
      </c>
      <c r="AH62" t="s">
        <v>350</v>
      </c>
      <c r="AI62">
        <v>0.20573239206764882</v>
      </c>
    </row>
    <row r="63" spans="9:35" x14ac:dyDescent="0.45">
      <c r="I63" t="s">
        <v>249</v>
      </c>
      <c r="J63" t="s">
        <v>351</v>
      </c>
      <c r="K63">
        <v>7.1083135960544001E-3</v>
      </c>
      <c r="L63" t="s">
        <v>251</v>
      </c>
      <c r="N63" t="s">
        <v>419</v>
      </c>
      <c r="O63" t="s">
        <v>351</v>
      </c>
      <c r="P63">
        <v>2.0138639294259761E-3</v>
      </c>
      <c r="Q63" t="s">
        <v>251</v>
      </c>
      <c r="S63" t="s">
        <v>420</v>
      </c>
      <c r="T63" t="s">
        <v>351</v>
      </c>
      <c r="U63">
        <v>2.6066075866898052E-3</v>
      </c>
      <c r="V63" t="s">
        <v>251</v>
      </c>
      <c r="X63">
        <v>3.5388127853881279E-3</v>
      </c>
      <c r="Y63">
        <v>5.3435430806586613E-3</v>
      </c>
      <c r="Z63" t="s">
        <v>351</v>
      </c>
      <c r="AA63" t="s">
        <v>25</v>
      </c>
      <c r="AC63" t="s">
        <v>22</v>
      </c>
      <c r="AD63" t="s">
        <v>351</v>
      </c>
      <c r="AE63">
        <v>3.7274002743161584E-3</v>
      </c>
      <c r="AG63" t="s">
        <v>97</v>
      </c>
      <c r="AH63" t="s">
        <v>351</v>
      </c>
      <c r="AI63">
        <v>7.3142236951218909E-2</v>
      </c>
    </row>
    <row r="64" spans="9:35" x14ac:dyDescent="0.45">
      <c r="I64" t="s">
        <v>249</v>
      </c>
      <c r="J64" t="s">
        <v>352</v>
      </c>
      <c r="K64">
        <v>6.1891237235557998E-3</v>
      </c>
      <c r="L64" t="s">
        <v>251</v>
      </c>
      <c r="N64" t="s">
        <v>419</v>
      </c>
      <c r="O64" t="s">
        <v>352</v>
      </c>
      <c r="P64">
        <v>2.0792526059573023E-3</v>
      </c>
      <c r="Q64" t="s">
        <v>251</v>
      </c>
      <c r="S64" t="s">
        <v>420</v>
      </c>
      <c r="T64" t="s">
        <v>352</v>
      </c>
      <c r="U64">
        <v>2.5679852482390691E-3</v>
      </c>
      <c r="V64" t="s">
        <v>251</v>
      </c>
      <c r="X64">
        <v>3.5388127853881279E-3</v>
      </c>
      <c r="Y64">
        <v>6.8849497385409693E-3</v>
      </c>
      <c r="Z64" t="s">
        <v>352</v>
      </c>
      <c r="AA64" t="s">
        <v>25</v>
      </c>
      <c r="AC64" t="s">
        <v>22</v>
      </c>
      <c r="AD64" t="s">
        <v>352</v>
      </c>
      <c r="AE64">
        <v>3.785287944468385E-3</v>
      </c>
      <c r="AG64" t="s">
        <v>97</v>
      </c>
      <c r="AH64" t="s">
        <v>352</v>
      </c>
      <c r="AI64">
        <v>0.1053933651502823</v>
      </c>
    </row>
    <row r="65" spans="9:35" x14ac:dyDescent="0.45">
      <c r="I65" t="s">
        <v>249</v>
      </c>
      <c r="J65" t="s">
        <v>353</v>
      </c>
      <c r="K65">
        <v>4.9659416849278997E-3</v>
      </c>
      <c r="L65" t="s">
        <v>251</v>
      </c>
      <c r="N65" t="s">
        <v>419</v>
      </c>
      <c r="O65" t="s">
        <v>353</v>
      </c>
      <c r="P65">
        <v>2.1234054464425787E-3</v>
      </c>
      <c r="Q65" t="s">
        <v>251</v>
      </c>
      <c r="S65" t="s">
        <v>420</v>
      </c>
      <c r="T65" t="s">
        <v>353</v>
      </c>
      <c r="U65">
        <v>2.5660690043538253E-3</v>
      </c>
      <c r="V65" t="s">
        <v>251</v>
      </c>
      <c r="X65">
        <v>3.5388127853881279E-3</v>
      </c>
      <c r="Y65">
        <v>6.8849497385409693E-3</v>
      </c>
      <c r="Z65" t="s">
        <v>353</v>
      </c>
      <c r="AA65" t="s">
        <v>25</v>
      </c>
      <c r="AC65" t="s">
        <v>22</v>
      </c>
      <c r="AD65" t="s">
        <v>353</v>
      </c>
      <c r="AE65">
        <v>3.843480283760511E-3</v>
      </c>
      <c r="AG65" t="s">
        <v>97</v>
      </c>
      <c r="AH65" t="s">
        <v>353</v>
      </c>
      <c r="AI65">
        <v>0.10499916203418347</v>
      </c>
    </row>
    <row r="66" spans="9:35" x14ac:dyDescent="0.45">
      <c r="I66" t="s">
        <v>249</v>
      </c>
      <c r="J66" t="s">
        <v>354</v>
      </c>
      <c r="K66">
        <v>5.2532482843577442E-3</v>
      </c>
      <c r="L66" t="s">
        <v>251</v>
      </c>
      <c r="N66" t="s">
        <v>419</v>
      </c>
      <c r="O66" t="s">
        <v>354</v>
      </c>
      <c r="P66">
        <v>1.8305678872793222E-2</v>
      </c>
      <c r="Q66" t="s">
        <v>251</v>
      </c>
      <c r="S66" t="s">
        <v>420</v>
      </c>
      <c r="T66" t="s">
        <v>354</v>
      </c>
      <c r="U66">
        <v>1.6816073507230526E-2</v>
      </c>
      <c r="V66" t="s">
        <v>251</v>
      </c>
      <c r="X66">
        <v>2.1232876712328767E-2</v>
      </c>
      <c r="Y66">
        <v>1.8702400782305319E-2</v>
      </c>
      <c r="Z66" t="s">
        <v>354</v>
      </c>
      <c r="AA66" t="s">
        <v>25</v>
      </c>
      <c r="AC66" t="s">
        <v>22</v>
      </c>
      <c r="AD66" t="s">
        <v>354</v>
      </c>
      <c r="AE66">
        <v>2.3704335456036028E-2</v>
      </c>
      <c r="AG66" t="s">
        <v>97</v>
      </c>
      <c r="AH66" t="s">
        <v>354</v>
      </c>
      <c r="AI66">
        <v>0.13820527616738598</v>
      </c>
    </row>
    <row r="67" spans="9:35" x14ac:dyDescent="0.45">
      <c r="I67" t="s">
        <v>249</v>
      </c>
      <c r="J67" t="s">
        <v>355</v>
      </c>
      <c r="K67">
        <v>2.783153874109351E-8</v>
      </c>
      <c r="L67" t="s">
        <v>251</v>
      </c>
      <c r="N67" t="s">
        <v>419</v>
      </c>
      <c r="O67" t="s">
        <v>355</v>
      </c>
      <c r="P67">
        <v>1.6476624077206636E-2</v>
      </c>
      <c r="Q67" t="s">
        <v>251</v>
      </c>
      <c r="S67" t="s">
        <v>420</v>
      </c>
      <c r="T67" t="s">
        <v>355</v>
      </c>
      <c r="U67">
        <v>1.4198100847300008E-2</v>
      </c>
      <c r="V67" t="s">
        <v>251</v>
      </c>
      <c r="X67">
        <v>2.1232876712328767E-2</v>
      </c>
      <c r="Y67">
        <v>4.5420116185598634E-3</v>
      </c>
      <c r="Z67" t="s">
        <v>355</v>
      </c>
      <c r="AA67" t="s">
        <v>25</v>
      </c>
      <c r="AC67" t="s">
        <v>22</v>
      </c>
      <c r="AD67" t="s">
        <v>355</v>
      </c>
      <c r="AE67">
        <v>2.0531327419762581E-2</v>
      </c>
      <c r="AG67" t="s">
        <v>97</v>
      </c>
      <c r="AH67" t="s">
        <v>355</v>
      </c>
      <c r="AI67">
        <v>0.20279576727930415</v>
      </c>
    </row>
    <row r="68" spans="9:35" x14ac:dyDescent="0.45">
      <c r="I68" t="s">
        <v>249</v>
      </c>
      <c r="J68" t="s">
        <v>356</v>
      </c>
      <c r="K68">
        <v>2.7522411699255861E-3</v>
      </c>
      <c r="L68" t="s">
        <v>251</v>
      </c>
      <c r="N68" t="s">
        <v>419</v>
      </c>
      <c r="O68" t="s">
        <v>356</v>
      </c>
      <c r="P68">
        <v>2.0483594360940671E-3</v>
      </c>
      <c r="Q68" t="s">
        <v>251</v>
      </c>
      <c r="S68" t="s">
        <v>420</v>
      </c>
      <c r="T68" t="s">
        <v>356</v>
      </c>
      <c r="U68">
        <v>2.0917873914683208E-3</v>
      </c>
      <c r="V68" t="s">
        <v>251</v>
      </c>
      <c r="X68">
        <v>3.5388127853881279E-3</v>
      </c>
      <c r="Y68">
        <v>5.240782636799844E-3</v>
      </c>
      <c r="Z68" t="s">
        <v>356</v>
      </c>
      <c r="AA68" t="s">
        <v>25</v>
      </c>
      <c r="AC68" t="s">
        <v>22</v>
      </c>
      <c r="AD68" t="s">
        <v>356</v>
      </c>
      <c r="AE68">
        <v>2.7922388810710285E-3</v>
      </c>
      <c r="AG68" t="s">
        <v>97</v>
      </c>
      <c r="AH68" t="s">
        <v>356</v>
      </c>
      <c r="AI68">
        <v>7.8332183240009012E-2</v>
      </c>
    </row>
    <row r="69" spans="9:35" x14ac:dyDescent="0.45">
      <c r="I69" t="s">
        <v>249</v>
      </c>
      <c r="J69" t="s">
        <v>357</v>
      </c>
      <c r="K69">
        <v>5.5222011424492998E-3</v>
      </c>
      <c r="L69" t="s">
        <v>251</v>
      </c>
      <c r="N69" t="s">
        <v>419</v>
      </c>
      <c r="O69" t="s">
        <v>357</v>
      </c>
      <c r="P69">
        <v>1.563764425558836E-3</v>
      </c>
      <c r="Q69" t="s">
        <v>251</v>
      </c>
      <c r="S69" t="s">
        <v>420</v>
      </c>
      <c r="T69" t="s">
        <v>357</v>
      </c>
      <c r="U69">
        <v>2.0390217860858477E-3</v>
      </c>
      <c r="V69" t="s">
        <v>251</v>
      </c>
      <c r="X69">
        <v>3.5388127853881279E-3</v>
      </c>
      <c r="Y69">
        <v>5.9087255218821738E-3</v>
      </c>
      <c r="Z69" t="s">
        <v>357</v>
      </c>
      <c r="AA69" t="s">
        <v>25</v>
      </c>
      <c r="AC69" t="s">
        <v>22</v>
      </c>
      <c r="AD69" t="s">
        <v>357</v>
      </c>
      <c r="AE69">
        <v>2.68234189438178E-3</v>
      </c>
      <c r="AG69" t="s">
        <v>97</v>
      </c>
      <c r="AH69" t="s">
        <v>357</v>
      </c>
      <c r="AI69">
        <v>7.2485883556521413E-2</v>
      </c>
    </row>
    <row r="70" spans="9:35" x14ac:dyDescent="0.45">
      <c r="I70" t="s">
        <v>249</v>
      </c>
      <c r="J70" t="s">
        <v>358</v>
      </c>
      <c r="K70">
        <v>5.6711374637086802E-2</v>
      </c>
      <c r="L70" t="s">
        <v>251</v>
      </c>
      <c r="N70" t="s">
        <v>419</v>
      </c>
      <c r="O70" t="s">
        <v>358</v>
      </c>
      <c r="P70">
        <v>1.0239656113572375E-2</v>
      </c>
      <c r="Q70" t="s">
        <v>251</v>
      </c>
      <c r="S70" t="s">
        <v>420</v>
      </c>
      <c r="T70" t="s">
        <v>358</v>
      </c>
      <c r="U70">
        <v>1.3599721801736927E-2</v>
      </c>
      <c r="V70" t="s">
        <v>251</v>
      </c>
      <c r="X70">
        <v>2.4771689497716895E-2</v>
      </c>
      <c r="Y70">
        <v>3.1424143732027281E-2</v>
      </c>
      <c r="Z70" t="s">
        <v>358</v>
      </c>
      <c r="AA70" t="s">
        <v>25</v>
      </c>
      <c r="AC70" t="s">
        <v>22</v>
      </c>
      <c r="AD70" t="s">
        <v>358</v>
      </c>
      <c r="AE70">
        <v>2.1516877500868201E-2</v>
      </c>
      <c r="AG70" t="s">
        <v>97</v>
      </c>
      <c r="AH70" t="s">
        <v>358</v>
      </c>
      <c r="AI70">
        <v>0.19699593812495508</v>
      </c>
    </row>
    <row r="71" spans="9:35" x14ac:dyDescent="0.45">
      <c r="I71" t="s">
        <v>249</v>
      </c>
      <c r="J71" t="s">
        <v>359</v>
      </c>
      <c r="K71">
        <v>7.4687617925409998E-3</v>
      </c>
      <c r="L71" t="s">
        <v>251</v>
      </c>
      <c r="N71" t="s">
        <v>419</v>
      </c>
      <c r="O71" t="s">
        <v>359</v>
      </c>
      <c r="P71">
        <v>1.6032268362819705E-3</v>
      </c>
      <c r="Q71" t="s">
        <v>251</v>
      </c>
      <c r="S71" t="s">
        <v>420</v>
      </c>
      <c r="T71" t="s">
        <v>359</v>
      </c>
      <c r="U71">
        <v>2.1334074833218876E-3</v>
      </c>
      <c r="V71" t="s">
        <v>251</v>
      </c>
      <c r="X71">
        <v>3.5388127853881279E-3</v>
      </c>
      <c r="Y71">
        <v>5.3435430806586613E-3</v>
      </c>
      <c r="Z71" t="s">
        <v>359</v>
      </c>
      <c r="AA71" t="s">
        <v>25</v>
      </c>
      <c r="AC71" t="s">
        <v>22</v>
      </c>
      <c r="AD71" t="s">
        <v>359</v>
      </c>
      <c r="AE71">
        <v>3.6319932023806674E-3</v>
      </c>
      <c r="AG71" t="s">
        <v>97</v>
      </c>
      <c r="AH71" t="s">
        <v>359</v>
      </c>
      <c r="AI71">
        <v>6.75965833044474E-2</v>
      </c>
    </row>
    <row r="72" spans="9:35" x14ac:dyDescent="0.45">
      <c r="I72" t="s">
        <v>249</v>
      </c>
      <c r="J72" t="s">
        <v>360</v>
      </c>
      <c r="K72">
        <v>6.6138938984641E-3</v>
      </c>
      <c r="L72" t="s">
        <v>251</v>
      </c>
      <c r="N72" t="s">
        <v>419</v>
      </c>
      <c r="O72" t="s">
        <v>360</v>
      </c>
      <c r="P72">
        <v>1.702274214395016E-3</v>
      </c>
      <c r="Q72" t="s">
        <v>251</v>
      </c>
      <c r="S72" t="s">
        <v>420</v>
      </c>
      <c r="T72" t="s">
        <v>360</v>
      </c>
      <c r="U72">
        <v>2.0736100584980966E-3</v>
      </c>
      <c r="V72" t="s">
        <v>251</v>
      </c>
      <c r="X72">
        <v>3.5388127853881279E-3</v>
      </c>
      <c r="Y72">
        <v>6.8849497385409693E-3</v>
      </c>
      <c r="Z72" t="s">
        <v>360</v>
      </c>
      <c r="AA72" t="s">
        <v>25</v>
      </c>
      <c r="AC72" t="s">
        <v>22</v>
      </c>
      <c r="AD72" t="s">
        <v>360</v>
      </c>
      <c r="AE72">
        <v>3.6660521175087145E-3</v>
      </c>
      <c r="AG72" t="s">
        <v>97</v>
      </c>
      <c r="AH72" t="s">
        <v>360</v>
      </c>
      <c r="AI72">
        <v>7.9800658589176843E-2</v>
      </c>
    </row>
    <row r="73" spans="9:35" x14ac:dyDescent="0.45">
      <c r="I73" t="s">
        <v>249</v>
      </c>
      <c r="J73" t="s">
        <v>361</v>
      </c>
      <c r="K73">
        <v>5.3870160545135999E-3</v>
      </c>
      <c r="L73" t="s">
        <v>251</v>
      </c>
      <c r="N73" t="s">
        <v>419</v>
      </c>
      <c r="O73" t="s">
        <v>361</v>
      </c>
      <c r="P73">
        <v>1.8296506997353484E-3</v>
      </c>
      <c r="Q73" t="s">
        <v>251</v>
      </c>
      <c r="S73" t="s">
        <v>420</v>
      </c>
      <c r="T73" t="s">
        <v>361</v>
      </c>
      <c r="U73">
        <v>2.0472469150234025E-3</v>
      </c>
      <c r="V73" t="s">
        <v>251</v>
      </c>
      <c r="X73">
        <v>3.5388127853881279E-3</v>
      </c>
      <c r="Y73">
        <v>6.8849497385409693E-3</v>
      </c>
      <c r="Z73" t="s">
        <v>361</v>
      </c>
      <c r="AA73" t="s">
        <v>25</v>
      </c>
      <c r="AC73" t="s">
        <v>22</v>
      </c>
      <c r="AD73" t="s">
        <v>361</v>
      </c>
      <c r="AE73">
        <v>3.7098463054774798E-3</v>
      </c>
      <c r="AG73" t="s">
        <v>97</v>
      </c>
      <c r="AH73" t="s">
        <v>361</v>
      </c>
      <c r="AI73">
        <v>0.11778085626857693</v>
      </c>
    </row>
    <row r="74" spans="9:35" x14ac:dyDescent="0.45">
      <c r="I74" t="s">
        <v>249</v>
      </c>
      <c r="J74" t="s">
        <v>362</v>
      </c>
      <c r="K74">
        <v>4.8833452718522428E-3</v>
      </c>
      <c r="L74" t="s">
        <v>251</v>
      </c>
      <c r="N74" t="s">
        <v>419</v>
      </c>
      <c r="O74" t="s">
        <v>362</v>
      </c>
      <c r="P74">
        <v>1.8211523341571861E-2</v>
      </c>
      <c r="Q74" t="s">
        <v>251</v>
      </c>
      <c r="S74" t="s">
        <v>420</v>
      </c>
      <c r="T74" t="s">
        <v>362</v>
      </c>
      <c r="U74">
        <v>1.4510372030929865E-2</v>
      </c>
      <c r="V74" t="s">
        <v>251</v>
      </c>
      <c r="X74">
        <v>2.1232876712328767E-2</v>
      </c>
      <c r="Y74">
        <v>1.8702400782305319E-2</v>
      </c>
      <c r="Z74" t="s">
        <v>362</v>
      </c>
      <c r="AA74" t="s">
        <v>25</v>
      </c>
      <c r="AC74" t="s">
        <v>22</v>
      </c>
      <c r="AD74" t="s">
        <v>362</v>
      </c>
      <c r="AE74">
        <v>2.3018083360320719E-2</v>
      </c>
      <c r="AG74" t="s">
        <v>97</v>
      </c>
      <c r="AH74" t="s">
        <v>362</v>
      </c>
      <c r="AI74">
        <v>0.16156484455199549</v>
      </c>
    </row>
    <row r="75" spans="9:35" x14ac:dyDescent="0.45">
      <c r="I75" t="s">
        <v>249</v>
      </c>
      <c r="J75" t="s">
        <v>363</v>
      </c>
      <c r="K75">
        <v>0</v>
      </c>
      <c r="L75" t="s">
        <v>251</v>
      </c>
      <c r="N75" t="s">
        <v>419</v>
      </c>
      <c r="O75" t="s">
        <v>363</v>
      </c>
      <c r="P75">
        <v>2.1987516014648524E-2</v>
      </c>
      <c r="Q75" t="s">
        <v>251</v>
      </c>
      <c r="S75" t="s">
        <v>420</v>
      </c>
      <c r="T75" t="s">
        <v>363</v>
      </c>
      <c r="U75">
        <v>1.7916686543167984E-2</v>
      </c>
      <c r="V75" t="s">
        <v>251</v>
      </c>
      <c r="X75">
        <v>2.0547945205479451E-2</v>
      </c>
      <c r="Y75">
        <v>4.3954951147353507E-3</v>
      </c>
      <c r="Z75" t="s">
        <v>363</v>
      </c>
      <c r="AA75" t="s">
        <v>25</v>
      </c>
      <c r="AC75" t="s">
        <v>22</v>
      </c>
      <c r="AD75" t="s">
        <v>363</v>
      </c>
      <c r="AE75">
        <v>1.9431112851412507E-2</v>
      </c>
      <c r="AG75" t="s">
        <v>97</v>
      </c>
      <c r="AH75" t="s">
        <v>363</v>
      </c>
      <c r="AI75">
        <v>0.17457053711121984</v>
      </c>
    </row>
    <row r="76" spans="9:35" x14ac:dyDescent="0.45">
      <c r="I76" t="s">
        <v>249</v>
      </c>
      <c r="J76" t="s">
        <v>364</v>
      </c>
      <c r="K76">
        <v>1.4265884888544206E-3</v>
      </c>
      <c r="L76" t="s">
        <v>251</v>
      </c>
      <c r="N76" t="s">
        <v>419</v>
      </c>
      <c r="O76" t="s">
        <v>364</v>
      </c>
      <c r="P76">
        <v>3.2426110992468502E-3</v>
      </c>
      <c r="Q76" t="s">
        <v>251</v>
      </c>
      <c r="S76" t="s">
        <v>420</v>
      </c>
      <c r="T76" t="s">
        <v>364</v>
      </c>
      <c r="U76">
        <v>2.7519371231801543E-3</v>
      </c>
      <c r="V76" t="s">
        <v>251</v>
      </c>
      <c r="X76">
        <v>3.4246575342465752E-3</v>
      </c>
      <c r="Y76">
        <v>5.0717251323869452E-3</v>
      </c>
      <c r="Z76" t="s">
        <v>364</v>
      </c>
      <c r="AA76" t="s">
        <v>25</v>
      </c>
      <c r="AC76" t="s">
        <v>22</v>
      </c>
      <c r="AD76" t="s">
        <v>364</v>
      </c>
      <c r="AE76">
        <v>2.6420198074447719E-3</v>
      </c>
      <c r="AG76" t="s">
        <v>97</v>
      </c>
      <c r="AH76" t="s">
        <v>364</v>
      </c>
      <c r="AI76">
        <v>7.3776432002171433E-2</v>
      </c>
    </row>
    <row r="77" spans="9:35" x14ac:dyDescent="0.45">
      <c r="I77" t="s">
        <v>249</v>
      </c>
      <c r="J77" t="s">
        <v>365</v>
      </c>
      <c r="K77">
        <v>5.1126615802918616E-3</v>
      </c>
      <c r="L77" t="s">
        <v>251</v>
      </c>
      <c r="N77" t="s">
        <v>419</v>
      </c>
      <c r="O77" t="s">
        <v>365</v>
      </c>
      <c r="P77">
        <v>2.803716330340197E-3</v>
      </c>
      <c r="Q77" t="s">
        <v>251</v>
      </c>
      <c r="S77" t="s">
        <v>420</v>
      </c>
      <c r="T77" t="s">
        <v>365</v>
      </c>
      <c r="U77">
        <v>2.7649685483693981E-3</v>
      </c>
      <c r="V77" t="s">
        <v>251</v>
      </c>
      <c r="X77">
        <v>3.4246575342465752E-3</v>
      </c>
      <c r="Y77">
        <v>5.7181214727892006E-3</v>
      </c>
      <c r="Z77" t="s">
        <v>365</v>
      </c>
      <c r="AA77" t="s">
        <v>25</v>
      </c>
      <c r="AC77" t="s">
        <v>22</v>
      </c>
      <c r="AD77" t="s">
        <v>365</v>
      </c>
      <c r="AE77">
        <v>2.5530318743199232E-3</v>
      </c>
      <c r="AG77" t="s">
        <v>97</v>
      </c>
      <c r="AH77" t="s">
        <v>365</v>
      </c>
      <c r="AI77">
        <v>6.9391447068593237E-2</v>
      </c>
    </row>
    <row r="78" spans="9:35" x14ac:dyDescent="0.45">
      <c r="I78" t="s">
        <v>249</v>
      </c>
      <c r="J78" t="s">
        <v>366</v>
      </c>
      <c r="K78">
        <v>5.3028538289522399E-2</v>
      </c>
      <c r="L78" t="s">
        <v>251</v>
      </c>
      <c r="N78" t="s">
        <v>419</v>
      </c>
      <c r="O78" t="s">
        <v>366</v>
      </c>
      <c r="P78">
        <v>1.8409756149597192E-2</v>
      </c>
      <c r="Q78" t="s">
        <v>251</v>
      </c>
      <c r="S78" t="s">
        <v>420</v>
      </c>
      <c r="T78" t="s">
        <v>366</v>
      </c>
      <c r="U78">
        <v>1.8641999437587101E-2</v>
      </c>
      <c r="V78" t="s">
        <v>251</v>
      </c>
      <c r="X78">
        <v>2.3972602739726026E-2</v>
      </c>
      <c r="Y78">
        <v>3.0410461676155433E-2</v>
      </c>
      <c r="Z78" t="s">
        <v>366</v>
      </c>
      <c r="AA78" t="s">
        <v>25</v>
      </c>
      <c r="AC78" t="s">
        <v>22</v>
      </c>
      <c r="AD78" t="s">
        <v>366</v>
      </c>
      <c r="AE78">
        <v>2.0836927752645198E-2</v>
      </c>
      <c r="AG78" t="s">
        <v>97</v>
      </c>
      <c r="AH78" t="s">
        <v>366</v>
      </c>
      <c r="AI78">
        <v>0.18759917858258945</v>
      </c>
    </row>
    <row r="79" spans="9:35" x14ac:dyDescent="0.45">
      <c r="I79" t="s">
        <v>249</v>
      </c>
      <c r="J79" t="s">
        <v>367</v>
      </c>
      <c r="K79">
        <v>7.2820246575173997E-3</v>
      </c>
      <c r="L79" t="s">
        <v>251</v>
      </c>
      <c r="N79" t="s">
        <v>419</v>
      </c>
      <c r="O79" t="s">
        <v>367</v>
      </c>
      <c r="P79">
        <v>2.7197156049932948E-3</v>
      </c>
      <c r="Q79" t="s">
        <v>251</v>
      </c>
      <c r="S79" t="s">
        <v>420</v>
      </c>
      <c r="T79" t="s">
        <v>367</v>
      </c>
      <c r="U79">
        <v>2.7008986209608697E-3</v>
      </c>
      <c r="V79" t="s">
        <v>251</v>
      </c>
      <c r="X79">
        <v>3.4246575342465752E-3</v>
      </c>
      <c r="Y79">
        <v>5.1711707232180593E-3</v>
      </c>
      <c r="Z79" t="s">
        <v>367</v>
      </c>
      <c r="AA79" t="s">
        <v>25</v>
      </c>
      <c r="AC79" t="s">
        <v>22</v>
      </c>
      <c r="AD79" t="s">
        <v>367</v>
      </c>
      <c r="AE79">
        <v>3.489624828211369E-3</v>
      </c>
      <c r="AG79" t="s">
        <v>97</v>
      </c>
      <c r="AH79" t="s">
        <v>367</v>
      </c>
      <c r="AI79">
        <v>6.1271045772115285E-2</v>
      </c>
    </row>
    <row r="80" spans="9:35" x14ac:dyDescent="0.45">
      <c r="I80" t="s">
        <v>249</v>
      </c>
      <c r="J80" t="s">
        <v>368</v>
      </c>
      <c r="K80">
        <v>6.5244460907635995E-3</v>
      </c>
      <c r="L80" t="s">
        <v>251</v>
      </c>
      <c r="N80" t="s">
        <v>419</v>
      </c>
      <c r="O80" t="s">
        <v>368</v>
      </c>
      <c r="P80">
        <v>2.7032479440840698E-3</v>
      </c>
      <c r="Q80" t="s">
        <v>251</v>
      </c>
      <c r="S80" t="s">
        <v>420</v>
      </c>
      <c r="T80" t="s">
        <v>368</v>
      </c>
      <c r="U80">
        <v>2.5803912726566642E-3</v>
      </c>
      <c r="V80" t="s">
        <v>251</v>
      </c>
      <c r="X80">
        <v>3.4246575342465752E-3</v>
      </c>
      <c r="Y80">
        <v>6.662854585684809E-3</v>
      </c>
      <c r="Z80" t="s">
        <v>368</v>
      </c>
      <c r="AA80" t="s">
        <v>25</v>
      </c>
      <c r="AC80" t="s">
        <v>22</v>
      </c>
      <c r="AD80" t="s">
        <v>368</v>
      </c>
      <c r="AE80">
        <v>3.51736652743425E-3</v>
      </c>
      <c r="AG80" t="s">
        <v>97</v>
      </c>
      <c r="AH80" t="s">
        <v>368</v>
      </c>
      <c r="AI80">
        <v>7.6431784277328108E-2</v>
      </c>
    </row>
    <row r="81" spans="9:35" x14ac:dyDescent="0.45">
      <c r="I81" t="s">
        <v>249</v>
      </c>
      <c r="J81" t="s">
        <v>369</v>
      </c>
      <c r="K81">
        <v>5.1555486044243997E-3</v>
      </c>
      <c r="L81" t="s">
        <v>251</v>
      </c>
      <c r="N81" t="s">
        <v>419</v>
      </c>
      <c r="O81" t="s">
        <v>369</v>
      </c>
      <c r="P81">
        <v>2.7923664979789486E-3</v>
      </c>
      <c r="Q81" t="s">
        <v>251</v>
      </c>
      <c r="S81" t="s">
        <v>420</v>
      </c>
      <c r="T81" t="s">
        <v>369</v>
      </c>
      <c r="U81">
        <v>2.6869127570920432E-3</v>
      </c>
      <c r="V81" t="s">
        <v>251</v>
      </c>
      <c r="X81">
        <v>3.4246575342465752E-3</v>
      </c>
      <c r="Y81">
        <v>6.662854585684809E-3</v>
      </c>
      <c r="Z81" t="s">
        <v>369</v>
      </c>
      <c r="AA81" t="s">
        <v>25</v>
      </c>
      <c r="AC81" t="s">
        <v>22</v>
      </c>
      <c r="AD81" t="s">
        <v>369</v>
      </c>
      <c r="AE81">
        <v>3.5463583839159514E-3</v>
      </c>
      <c r="AG81" t="s">
        <v>97</v>
      </c>
      <c r="AH81" t="s">
        <v>369</v>
      </c>
      <c r="AI81">
        <v>8.7840284602749064E-2</v>
      </c>
    </row>
    <row r="82" spans="9:35" x14ac:dyDescent="0.45">
      <c r="I82" t="s">
        <v>249</v>
      </c>
      <c r="J82" t="s">
        <v>370</v>
      </c>
      <c r="K82">
        <v>2.5682558522210274E-3</v>
      </c>
      <c r="L82" t="s">
        <v>251</v>
      </c>
      <c r="N82" t="s">
        <v>419</v>
      </c>
      <c r="O82" t="s">
        <v>370</v>
      </c>
      <c r="P82">
        <v>2.3119393430554084E-2</v>
      </c>
      <c r="Q82" t="s">
        <v>251</v>
      </c>
      <c r="S82" t="s">
        <v>420</v>
      </c>
      <c r="T82" t="s">
        <v>370</v>
      </c>
      <c r="U82">
        <v>1.9178574975898272E-2</v>
      </c>
      <c r="V82" t="s">
        <v>251</v>
      </c>
      <c r="X82">
        <v>2.0547945205479451E-2</v>
      </c>
      <c r="Y82">
        <v>1.8099097531263209E-2</v>
      </c>
      <c r="Z82" t="s">
        <v>370</v>
      </c>
      <c r="AA82" t="s">
        <v>25</v>
      </c>
      <c r="AC82" t="s">
        <v>22</v>
      </c>
      <c r="AD82" t="s">
        <v>370</v>
      </c>
      <c r="AE82">
        <v>2.1819185337057481E-2</v>
      </c>
      <c r="AG82" t="s">
        <v>97</v>
      </c>
      <c r="AH82" t="s">
        <v>370</v>
      </c>
      <c r="AI82">
        <v>0.12204049558381702</v>
      </c>
    </row>
    <row r="83" spans="9:35" x14ac:dyDescent="0.45">
      <c r="I83" t="s">
        <v>249</v>
      </c>
      <c r="J83" t="s">
        <v>395</v>
      </c>
      <c r="K83">
        <v>0</v>
      </c>
      <c r="L83" t="s">
        <v>251</v>
      </c>
      <c r="N83" t="s">
        <v>419</v>
      </c>
      <c r="O83" t="s">
        <v>395</v>
      </c>
      <c r="P83">
        <v>2.672996351164476E-2</v>
      </c>
      <c r="Q83" t="s">
        <v>251</v>
      </c>
      <c r="S83" t="s">
        <v>420</v>
      </c>
      <c r="T83" t="s">
        <v>395</v>
      </c>
      <c r="U83">
        <v>2.2216646502896346E-2</v>
      </c>
      <c r="V83" t="s">
        <v>251</v>
      </c>
      <c r="X83">
        <v>2.1232876712328767E-2</v>
      </c>
      <c r="Y83">
        <v>4.5420116185598634E-3</v>
      </c>
      <c r="Z83" t="s">
        <v>395</v>
      </c>
      <c r="AA83" t="s">
        <v>25</v>
      </c>
      <c r="AC83" t="s">
        <v>22</v>
      </c>
      <c r="AD83" t="s">
        <v>395</v>
      </c>
      <c r="AE83">
        <v>1.9792621807780571E-2</v>
      </c>
      <c r="AG83" t="s">
        <v>97</v>
      </c>
      <c r="AH83" t="s">
        <v>395</v>
      </c>
      <c r="AI83">
        <v>0.14546037012229274</v>
      </c>
    </row>
    <row r="84" spans="9:35" x14ac:dyDescent="0.45">
      <c r="I84" t="s">
        <v>249</v>
      </c>
      <c r="J84" t="s">
        <v>396</v>
      </c>
      <c r="K84">
        <v>2.9377313160573786E-4</v>
      </c>
      <c r="L84" t="s">
        <v>251</v>
      </c>
      <c r="N84" t="s">
        <v>419</v>
      </c>
      <c r="O84" t="s">
        <v>396</v>
      </c>
      <c r="P84">
        <v>4.2543244324251541E-3</v>
      </c>
      <c r="Q84" t="s">
        <v>251</v>
      </c>
      <c r="S84" t="s">
        <v>420</v>
      </c>
      <c r="T84" t="s">
        <v>396</v>
      </c>
      <c r="U84">
        <v>3.6311291673658875E-3</v>
      </c>
      <c r="V84" t="s">
        <v>251</v>
      </c>
      <c r="X84">
        <v>3.5388127853881279E-3</v>
      </c>
      <c r="Y84">
        <v>5.240782636799844E-3</v>
      </c>
      <c r="Z84" t="s">
        <v>396</v>
      </c>
      <c r="AA84" t="s">
        <v>25</v>
      </c>
      <c r="AC84" t="s">
        <v>22</v>
      </c>
      <c r="AD84" t="s">
        <v>396</v>
      </c>
      <c r="AE84">
        <v>2.6543176581232944E-3</v>
      </c>
      <c r="AG84" t="s">
        <v>97</v>
      </c>
      <c r="AH84" t="s">
        <v>396</v>
      </c>
      <c r="AI84">
        <v>3.3040825794567352E-2</v>
      </c>
    </row>
    <row r="85" spans="9:35" x14ac:dyDescent="0.45">
      <c r="I85" t="s">
        <v>249</v>
      </c>
      <c r="J85" t="s">
        <v>397</v>
      </c>
      <c r="K85">
        <v>5.1106613015486834E-3</v>
      </c>
      <c r="L85" t="s">
        <v>251</v>
      </c>
      <c r="N85" t="s">
        <v>419</v>
      </c>
      <c r="O85" t="s">
        <v>397</v>
      </c>
      <c r="P85">
        <v>4.0331475106903433E-3</v>
      </c>
      <c r="Q85" t="s">
        <v>251</v>
      </c>
      <c r="S85" t="s">
        <v>420</v>
      </c>
      <c r="T85" t="s">
        <v>397</v>
      </c>
      <c r="U85">
        <v>3.6183135117650459E-3</v>
      </c>
      <c r="V85" t="s">
        <v>251</v>
      </c>
      <c r="X85">
        <v>3.5388127853881279E-3</v>
      </c>
      <c r="Y85">
        <v>5.9087255218821738E-3</v>
      </c>
      <c r="Z85" t="s">
        <v>397</v>
      </c>
      <c r="AA85" t="s">
        <v>25</v>
      </c>
      <c r="AC85" t="s">
        <v>22</v>
      </c>
      <c r="AD85" t="s">
        <v>397</v>
      </c>
      <c r="AE85">
        <v>2.5804887488147976E-3</v>
      </c>
      <c r="AG85" t="s">
        <v>97</v>
      </c>
      <c r="AH85" t="s">
        <v>397</v>
      </c>
      <c r="AI85">
        <v>2.5958608869261823E-2</v>
      </c>
    </row>
    <row r="86" spans="9:35" x14ac:dyDescent="0.45">
      <c r="I86" t="s">
        <v>249</v>
      </c>
      <c r="J86" t="s">
        <v>398</v>
      </c>
      <c r="K86">
        <v>5.7744684487604302E-2</v>
      </c>
      <c r="L86" t="s">
        <v>251</v>
      </c>
      <c r="N86" t="s">
        <v>419</v>
      </c>
      <c r="O86" t="s">
        <v>398</v>
      </c>
      <c r="P86">
        <v>2.6052330729859945E-2</v>
      </c>
      <c r="Q86" t="s">
        <v>251</v>
      </c>
      <c r="S86" t="s">
        <v>420</v>
      </c>
      <c r="T86" t="s">
        <v>398</v>
      </c>
      <c r="U86">
        <v>2.3925689322265881E-2</v>
      </c>
      <c r="V86" t="s">
        <v>251</v>
      </c>
      <c r="X86">
        <v>2.4771689497716895E-2</v>
      </c>
      <c r="Y86">
        <v>3.1424143732027281E-2</v>
      </c>
      <c r="Z86" t="s">
        <v>398</v>
      </c>
      <c r="AA86" t="s">
        <v>25</v>
      </c>
      <c r="AC86" t="s">
        <v>22</v>
      </c>
      <c r="AD86" t="s">
        <v>398</v>
      </c>
      <c r="AE86">
        <v>2.1944566199195794E-2</v>
      </c>
      <c r="AG86" t="s">
        <v>97</v>
      </c>
      <c r="AH86" t="s">
        <v>398</v>
      </c>
      <c r="AI86">
        <v>0.2497240775983629</v>
      </c>
    </row>
    <row r="87" spans="9:35" x14ac:dyDescent="0.45">
      <c r="I87" t="s">
        <v>249</v>
      </c>
      <c r="J87" t="s">
        <v>399</v>
      </c>
      <c r="K87">
        <v>8.1286848741940997E-3</v>
      </c>
      <c r="L87" t="s">
        <v>251</v>
      </c>
      <c r="N87" t="s">
        <v>419</v>
      </c>
      <c r="O87" t="s">
        <v>399</v>
      </c>
      <c r="P87">
        <v>3.661709304739004E-3</v>
      </c>
      <c r="Q87" t="s">
        <v>251</v>
      </c>
      <c r="S87" t="s">
        <v>420</v>
      </c>
      <c r="T87" t="s">
        <v>399</v>
      </c>
      <c r="U87">
        <v>3.5723945211106572E-3</v>
      </c>
      <c r="V87" t="s">
        <v>251</v>
      </c>
      <c r="X87">
        <v>3.5388127853881279E-3</v>
      </c>
      <c r="Y87">
        <v>5.3435430806586613E-3</v>
      </c>
      <c r="Z87" t="s">
        <v>399</v>
      </c>
      <c r="AA87" t="s">
        <v>25</v>
      </c>
      <c r="AC87" t="s">
        <v>22</v>
      </c>
      <c r="AD87" t="s">
        <v>399</v>
      </c>
      <c r="AE87">
        <v>3.5150034429866075E-3</v>
      </c>
      <c r="AG87" t="s">
        <v>97</v>
      </c>
      <c r="AH87" t="s">
        <v>399</v>
      </c>
      <c r="AI87">
        <v>5.2894178929967728E-2</v>
      </c>
    </row>
    <row r="88" spans="9:35" x14ac:dyDescent="0.45">
      <c r="I88" t="s">
        <v>249</v>
      </c>
      <c r="J88" t="s">
        <v>400</v>
      </c>
      <c r="K88">
        <v>7.0069966313310002E-3</v>
      </c>
      <c r="L88" t="s">
        <v>251</v>
      </c>
      <c r="N88" t="s">
        <v>419</v>
      </c>
      <c r="O88" t="s">
        <v>400</v>
      </c>
      <c r="P88">
        <v>3.5484948676191815E-3</v>
      </c>
      <c r="Q88" t="s">
        <v>251</v>
      </c>
      <c r="S88" t="s">
        <v>420</v>
      </c>
      <c r="T88" t="s">
        <v>400</v>
      </c>
      <c r="U88">
        <v>3.4846446280784498E-3</v>
      </c>
      <c r="V88" t="s">
        <v>251</v>
      </c>
      <c r="X88">
        <v>3.5388127853881279E-3</v>
      </c>
      <c r="Y88">
        <v>6.8849497385409693E-3</v>
      </c>
      <c r="Z88" t="s">
        <v>400</v>
      </c>
      <c r="AA88" t="s">
        <v>25</v>
      </c>
      <c r="AC88" t="s">
        <v>22</v>
      </c>
      <c r="AD88" t="s">
        <v>400</v>
      </c>
      <c r="AE88">
        <v>3.5353938653706518E-3</v>
      </c>
      <c r="AG88" t="s">
        <v>97</v>
      </c>
      <c r="AH88" t="s">
        <v>400</v>
      </c>
      <c r="AI88">
        <v>5.5112731512192425E-2</v>
      </c>
    </row>
    <row r="89" spans="9:35" x14ac:dyDescent="0.45">
      <c r="I89" t="s">
        <v>249</v>
      </c>
      <c r="J89" t="s">
        <v>401</v>
      </c>
      <c r="K89">
        <v>4.7699674303072776E-3</v>
      </c>
      <c r="L89" t="s">
        <v>251</v>
      </c>
      <c r="N89" t="s">
        <v>419</v>
      </c>
      <c r="O89" t="s">
        <v>401</v>
      </c>
      <c r="P89">
        <v>3.6102067267179024E-3</v>
      </c>
      <c r="Q89" t="s">
        <v>251</v>
      </c>
      <c r="S89" t="s">
        <v>420</v>
      </c>
      <c r="T89" t="s">
        <v>401</v>
      </c>
      <c r="U89">
        <v>3.5324148970068132E-3</v>
      </c>
      <c r="V89" t="s">
        <v>251</v>
      </c>
      <c r="X89">
        <v>3.5388127853881279E-3</v>
      </c>
      <c r="Y89">
        <v>6.8849497385409693E-3</v>
      </c>
      <c r="Z89" t="s">
        <v>401</v>
      </c>
      <c r="AA89" t="s">
        <v>25</v>
      </c>
      <c r="AC89" t="s">
        <v>22</v>
      </c>
      <c r="AD89" t="s">
        <v>401</v>
      </c>
      <c r="AE89">
        <v>3.5299058190686478E-3</v>
      </c>
      <c r="AG89" t="s">
        <v>97</v>
      </c>
      <c r="AH89" t="s">
        <v>401</v>
      </c>
      <c r="AI89">
        <v>4.6894091713638453E-2</v>
      </c>
    </row>
    <row r="90" spans="9:35" x14ac:dyDescent="0.45">
      <c r="I90" t="s">
        <v>249</v>
      </c>
      <c r="J90" t="s">
        <v>402</v>
      </c>
      <c r="K90">
        <v>3.935434326233821E-4</v>
      </c>
      <c r="L90" t="s">
        <v>251</v>
      </c>
      <c r="N90" t="s">
        <v>419</v>
      </c>
      <c r="O90" t="s">
        <v>402</v>
      </c>
      <c r="P90">
        <v>2.5229958240348592E-2</v>
      </c>
      <c r="Q90" t="s">
        <v>251</v>
      </c>
      <c r="S90" t="s">
        <v>420</v>
      </c>
      <c r="T90" t="s">
        <v>402</v>
      </c>
      <c r="U90">
        <v>2.2967935906960009E-2</v>
      </c>
      <c r="V90" t="s">
        <v>251</v>
      </c>
      <c r="X90">
        <v>2.1232876712328767E-2</v>
      </c>
      <c r="Y90">
        <v>1.8702400782305319E-2</v>
      </c>
      <c r="Z90" t="s">
        <v>402</v>
      </c>
      <c r="AA90" t="s">
        <v>25</v>
      </c>
      <c r="AC90" t="s">
        <v>22</v>
      </c>
      <c r="AD90" t="s">
        <v>402</v>
      </c>
      <c r="AE90">
        <v>2.1397713812444066E-2</v>
      </c>
      <c r="AG90" t="s">
        <v>97</v>
      </c>
      <c r="AH90" t="s">
        <v>402</v>
      </c>
      <c r="AI90">
        <v>5.0407627829197166E-2</v>
      </c>
    </row>
    <row r="91" spans="9:35" x14ac:dyDescent="0.45">
      <c r="I91" t="s">
        <v>249</v>
      </c>
      <c r="J91" t="s">
        <v>403</v>
      </c>
      <c r="K91">
        <v>0</v>
      </c>
      <c r="L91" t="s">
        <v>251</v>
      </c>
      <c r="N91" t="s">
        <v>419</v>
      </c>
      <c r="O91" t="s">
        <v>403</v>
      </c>
      <c r="P91">
        <v>2.6290768194464902E-2</v>
      </c>
      <c r="Q91" t="s">
        <v>251</v>
      </c>
      <c r="S91" t="s">
        <v>420</v>
      </c>
      <c r="T91" t="s">
        <v>403</v>
      </c>
      <c r="U91">
        <v>3.1388211361776309E-2</v>
      </c>
      <c r="V91" t="s">
        <v>251</v>
      </c>
      <c r="X91">
        <v>2.0547945205479451E-2</v>
      </c>
      <c r="Y91">
        <v>4.3954951147353507E-3</v>
      </c>
      <c r="Z91" t="s">
        <v>403</v>
      </c>
      <c r="AA91" t="s">
        <v>25</v>
      </c>
      <c r="AC91" t="s">
        <v>22</v>
      </c>
      <c r="AD91" t="s">
        <v>403</v>
      </c>
      <c r="AE91">
        <v>2.135735561039645E-2</v>
      </c>
      <c r="AG91" t="s">
        <v>97</v>
      </c>
      <c r="AH91" t="s">
        <v>403</v>
      </c>
      <c r="AI91">
        <v>0.16590715241750775</v>
      </c>
    </row>
    <row r="92" spans="9:35" x14ac:dyDescent="0.45">
      <c r="I92" t="s">
        <v>249</v>
      </c>
      <c r="J92" t="s">
        <v>404</v>
      </c>
      <c r="K92">
        <v>0</v>
      </c>
      <c r="L92" t="s">
        <v>251</v>
      </c>
      <c r="N92" t="s">
        <v>419</v>
      </c>
      <c r="O92" t="s">
        <v>404</v>
      </c>
      <c r="P92">
        <v>4.2231595671420388E-3</v>
      </c>
      <c r="Q92" t="s">
        <v>251</v>
      </c>
      <c r="S92" t="s">
        <v>420</v>
      </c>
      <c r="T92" t="s">
        <v>404</v>
      </c>
      <c r="U92">
        <v>4.8432276859190137E-3</v>
      </c>
      <c r="V92" t="s">
        <v>251</v>
      </c>
      <c r="X92">
        <v>3.4246575342465752E-3</v>
      </c>
      <c r="Y92">
        <v>5.0717251323869452E-3</v>
      </c>
      <c r="Z92" t="s">
        <v>404</v>
      </c>
      <c r="AA92" t="s">
        <v>25</v>
      </c>
      <c r="AC92" t="s">
        <v>22</v>
      </c>
      <c r="AD92" t="s">
        <v>404</v>
      </c>
      <c r="AE92">
        <v>2.7805928433539532E-3</v>
      </c>
      <c r="AG92" t="s">
        <v>97</v>
      </c>
      <c r="AH92" t="s">
        <v>404</v>
      </c>
      <c r="AI92">
        <v>8.1331108766788285E-2</v>
      </c>
    </row>
    <row r="93" spans="9:35" x14ac:dyDescent="0.45">
      <c r="I93" t="s">
        <v>249</v>
      </c>
      <c r="J93" t="s">
        <v>405</v>
      </c>
      <c r="K93">
        <v>1.8896915844992782E-3</v>
      </c>
      <c r="L93" t="s">
        <v>251</v>
      </c>
      <c r="N93" t="s">
        <v>419</v>
      </c>
      <c r="O93" t="s">
        <v>405</v>
      </c>
      <c r="P93">
        <v>4.1383417732428884E-3</v>
      </c>
      <c r="Q93" t="s">
        <v>251</v>
      </c>
      <c r="S93" t="s">
        <v>420</v>
      </c>
      <c r="T93" t="s">
        <v>405</v>
      </c>
      <c r="U93">
        <v>4.732082844955676E-3</v>
      </c>
      <c r="V93" t="s">
        <v>251</v>
      </c>
      <c r="X93">
        <v>3.4246575342465752E-3</v>
      </c>
      <c r="Y93">
        <v>5.7181214727892006E-3</v>
      </c>
      <c r="Z93" t="s">
        <v>405</v>
      </c>
      <c r="AA93" t="s">
        <v>25</v>
      </c>
      <c r="AC93" t="s">
        <v>22</v>
      </c>
      <c r="AD93" t="s">
        <v>405</v>
      </c>
      <c r="AE93">
        <v>2.6799725250820539E-3</v>
      </c>
      <c r="AG93" t="s">
        <v>97</v>
      </c>
      <c r="AH93" t="s">
        <v>405</v>
      </c>
      <c r="AI93">
        <v>8.3802546931571076E-2</v>
      </c>
    </row>
    <row r="94" spans="9:35" x14ac:dyDescent="0.45">
      <c r="I94" t="s">
        <v>249</v>
      </c>
      <c r="J94" t="s">
        <v>406</v>
      </c>
      <c r="K94">
        <v>4.4865158665029686E-2</v>
      </c>
      <c r="L94" t="s">
        <v>251</v>
      </c>
      <c r="N94" t="s">
        <v>419</v>
      </c>
      <c r="O94" t="s">
        <v>406</v>
      </c>
      <c r="P94">
        <v>2.4027306818481448E-2</v>
      </c>
      <c r="Q94" t="s">
        <v>251</v>
      </c>
      <c r="S94" t="s">
        <v>420</v>
      </c>
      <c r="T94" t="s">
        <v>406</v>
      </c>
      <c r="U94">
        <v>3.0272452677844109E-2</v>
      </c>
      <c r="V94" t="s">
        <v>251</v>
      </c>
      <c r="X94">
        <v>2.3972602739726026E-2</v>
      </c>
      <c r="Y94">
        <v>3.0410461676155433E-2</v>
      </c>
      <c r="Z94" t="s">
        <v>406</v>
      </c>
      <c r="AA94" t="s">
        <v>25</v>
      </c>
      <c r="AC94" t="s">
        <v>22</v>
      </c>
      <c r="AD94" t="s">
        <v>406</v>
      </c>
      <c r="AE94">
        <v>2.1587464106192545E-2</v>
      </c>
      <c r="AG94" t="s">
        <v>97</v>
      </c>
      <c r="AH94" t="s">
        <v>406</v>
      </c>
      <c r="AI94">
        <v>0.32547198019413748</v>
      </c>
    </row>
    <row r="95" spans="9:35" x14ac:dyDescent="0.45">
      <c r="I95" t="s">
        <v>249</v>
      </c>
      <c r="J95" t="s">
        <v>407</v>
      </c>
      <c r="K95">
        <v>6.3172085507909861E-3</v>
      </c>
      <c r="L95" t="s">
        <v>251</v>
      </c>
      <c r="N95" t="s">
        <v>419</v>
      </c>
      <c r="O95" t="s">
        <v>407</v>
      </c>
      <c r="P95">
        <v>3.2171602602617017E-3</v>
      </c>
      <c r="Q95" t="s">
        <v>251</v>
      </c>
      <c r="S95" t="s">
        <v>420</v>
      </c>
      <c r="T95" t="s">
        <v>407</v>
      </c>
      <c r="U95">
        <v>4.3394164192400633E-3</v>
      </c>
      <c r="V95" t="s">
        <v>251</v>
      </c>
      <c r="X95">
        <v>3.4246575342465752E-3</v>
      </c>
      <c r="Y95">
        <v>5.1711707232180593E-3</v>
      </c>
      <c r="Z95" t="s">
        <v>407</v>
      </c>
      <c r="AA95" t="s">
        <v>25</v>
      </c>
      <c r="AC95" t="s">
        <v>22</v>
      </c>
      <c r="AD95" t="s">
        <v>407</v>
      </c>
      <c r="AE95">
        <v>3.7025915585158845E-3</v>
      </c>
      <c r="AG95" t="s">
        <v>97</v>
      </c>
      <c r="AH95" t="s">
        <v>407</v>
      </c>
      <c r="AI95">
        <v>8.3194700539909405E-2</v>
      </c>
    </row>
    <row r="96" spans="9:35" x14ac:dyDescent="0.45">
      <c r="I96" t="s">
        <v>249</v>
      </c>
      <c r="J96" t="s">
        <v>408</v>
      </c>
      <c r="K96">
        <v>4.8356400062868421E-3</v>
      </c>
      <c r="L96" t="s">
        <v>251</v>
      </c>
      <c r="N96" t="s">
        <v>419</v>
      </c>
      <c r="O96" t="s">
        <v>408</v>
      </c>
      <c r="P96">
        <v>3.3849627325211926E-3</v>
      </c>
      <c r="Q96" t="s">
        <v>251</v>
      </c>
      <c r="S96" t="s">
        <v>420</v>
      </c>
      <c r="T96" t="s">
        <v>408</v>
      </c>
      <c r="U96">
        <v>4.3269001474537114E-3</v>
      </c>
      <c r="V96" t="s">
        <v>251</v>
      </c>
      <c r="X96">
        <v>3.4246575342465752E-3</v>
      </c>
      <c r="Y96">
        <v>6.662854585684809E-3</v>
      </c>
      <c r="Z96" t="s">
        <v>408</v>
      </c>
      <c r="AA96" t="s">
        <v>25</v>
      </c>
      <c r="AC96" t="s">
        <v>22</v>
      </c>
      <c r="AD96" t="s">
        <v>408</v>
      </c>
      <c r="AE96">
        <v>3.5324431813771101E-3</v>
      </c>
      <c r="AG96" t="s">
        <v>97</v>
      </c>
      <c r="AH96" t="s">
        <v>408</v>
      </c>
      <c r="AI96">
        <v>7.2780637671513215E-2</v>
      </c>
    </row>
    <row r="97" spans="9:35" x14ac:dyDescent="0.45">
      <c r="I97" t="s">
        <v>249</v>
      </c>
      <c r="J97" t="s">
        <v>409</v>
      </c>
      <c r="K97">
        <v>1.7930817588130059E-3</v>
      </c>
      <c r="L97" t="s">
        <v>251</v>
      </c>
      <c r="N97" t="s">
        <v>419</v>
      </c>
      <c r="O97" t="s">
        <v>409</v>
      </c>
      <c r="P97">
        <v>3.704504599009549E-3</v>
      </c>
      <c r="Q97" t="s">
        <v>251</v>
      </c>
      <c r="S97" t="s">
        <v>420</v>
      </c>
      <c r="T97" t="s">
        <v>409</v>
      </c>
      <c r="U97">
        <v>4.5099090788113831E-3</v>
      </c>
      <c r="V97" t="s">
        <v>251</v>
      </c>
      <c r="X97">
        <v>3.4246575342465752E-3</v>
      </c>
      <c r="Y97">
        <v>6.662854585684809E-3</v>
      </c>
      <c r="Z97" t="s">
        <v>409</v>
      </c>
      <c r="AA97" t="s">
        <v>25</v>
      </c>
      <c r="AC97" t="s">
        <v>22</v>
      </c>
      <c r="AD97" t="s">
        <v>409</v>
      </c>
      <c r="AE97">
        <v>3.566564524332422E-3</v>
      </c>
      <c r="AG97" t="s">
        <v>97</v>
      </c>
      <c r="AH97" t="s">
        <v>409</v>
      </c>
      <c r="AI97">
        <v>8.7148724965787183E-2</v>
      </c>
    </row>
    <row r="98" spans="9:35" x14ac:dyDescent="0.45">
      <c r="I98" t="s">
        <v>249</v>
      </c>
      <c r="J98" t="s">
        <v>410</v>
      </c>
      <c r="K98">
        <v>0</v>
      </c>
      <c r="L98" t="s">
        <v>251</v>
      </c>
      <c r="N98" t="s">
        <v>419</v>
      </c>
      <c r="O98" t="s">
        <v>410</v>
      </c>
      <c r="P98">
        <v>2.4756115856334106E-2</v>
      </c>
      <c r="Q98" t="s">
        <v>251</v>
      </c>
      <c r="S98" t="s">
        <v>420</v>
      </c>
      <c r="T98" t="s">
        <v>410</v>
      </c>
      <c r="U98">
        <v>3.1147941723048071E-2</v>
      </c>
      <c r="V98" t="s">
        <v>251</v>
      </c>
      <c r="X98">
        <v>2.0547945205479451E-2</v>
      </c>
      <c r="Y98">
        <v>1.8099097531263209E-2</v>
      </c>
      <c r="Z98" t="s">
        <v>410</v>
      </c>
      <c r="AA98" t="s">
        <v>25</v>
      </c>
      <c r="AC98" t="s">
        <v>22</v>
      </c>
      <c r="AD98" t="s">
        <v>410</v>
      </c>
      <c r="AE98">
        <v>2.1448875071952572E-2</v>
      </c>
      <c r="AG98" t="s">
        <v>97</v>
      </c>
      <c r="AH98" t="s">
        <v>410</v>
      </c>
      <c r="AI98">
        <v>0.14052964599654549</v>
      </c>
    </row>
    <row r="99" spans="9:35" x14ac:dyDescent="0.45">
      <c r="I99" t="s">
        <v>249</v>
      </c>
      <c r="J99" t="s">
        <v>411</v>
      </c>
      <c r="K99">
        <v>0</v>
      </c>
      <c r="L99" t="s">
        <v>251</v>
      </c>
      <c r="N99" t="s">
        <v>419</v>
      </c>
      <c r="O99" t="s">
        <v>411</v>
      </c>
      <c r="P99">
        <v>2.5496793989504236E-2</v>
      </c>
      <c r="Q99" t="s">
        <v>251</v>
      </c>
      <c r="S99" t="s">
        <v>420</v>
      </c>
      <c r="T99" t="s">
        <v>411</v>
      </c>
      <c r="U99">
        <v>2.4325664483547334E-2</v>
      </c>
      <c r="V99" t="s">
        <v>251</v>
      </c>
      <c r="X99">
        <v>2.1232876712328767E-2</v>
      </c>
      <c r="Y99">
        <v>4.5420116185598634E-3</v>
      </c>
      <c r="Z99" t="s">
        <v>411</v>
      </c>
      <c r="AA99" t="s">
        <v>25</v>
      </c>
      <c r="AC99" t="s">
        <v>22</v>
      </c>
      <c r="AD99" t="s">
        <v>411</v>
      </c>
      <c r="AE99">
        <v>2.4629116939589045E-2</v>
      </c>
      <c r="AG99" t="s">
        <v>97</v>
      </c>
      <c r="AH99" t="s">
        <v>411</v>
      </c>
      <c r="AI99">
        <v>0.1481249413504333</v>
      </c>
    </row>
    <row r="100" spans="9:35" x14ac:dyDescent="0.45">
      <c r="I100" t="s">
        <v>249</v>
      </c>
      <c r="J100" t="s">
        <v>412</v>
      </c>
      <c r="K100">
        <v>0</v>
      </c>
      <c r="L100" t="s">
        <v>251</v>
      </c>
      <c r="N100" t="s">
        <v>419</v>
      </c>
      <c r="O100" t="s">
        <v>412</v>
      </c>
      <c r="P100">
        <v>4.1246423586555909E-3</v>
      </c>
      <c r="Q100" t="s">
        <v>251</v>
      </c>
      <c r="S100" t="s">
        <v>420</v>
      </c>
      <c r="T100" t="s">
        <v>412</v>
      </c>
      <c r="U100">
        <v>3.8377822201510429E-3</v>
      </c>
      <c r="V100" t="s">
        <v>251</v>
      </c>
      <c r="X100">
        <v>3.5388127853881279E-3</v>
      </c>
      <c r="Y100">
        <v>5.240782636799844E-3</v>
      </c>
      <c r="Z100" t="s">
        <v>412</v>
      </c>
      <c r="AA100" t="s">
        <v>25</v>
      </c>
      <c r="AC100" t="s">
        <v>22</v>
      </c>
      <c r="AD100" t="s">
        <v>412</v>
      </c>
      <c r="AE100">
        <v>3.2411769055468846E-3</v>
      </c>
      <c r="AG100" t="s">
        <v>97</v>
      </c>
      <c r="AH100" t="s">
        <v>412</v>
      </c>
      <c r="AI100">
        <v>5.0935213205418828E-2</v>
      </c>
    </row>
    <row r="101" spans="9:35" x14ac:dyDescent="0.45">
      <c r="I101" t="s">
        <v>249</v>
      </c>
      <c r="J101" t="s">
        <v>413</v>
      </c>
      <c r="K101">
        <v>4.242480914009414E-4</v>
      </c>
      <c r="L101" t="s">
        <v>251</v>
      </c>
      <c r="N101" t="s">
        <v>419</v>
      </c>
      <c r="O101" t="s">
        <v>413</v>
      </c>
      <c r="P101">
        <v>4.0538060849123802E-3</v>
      </c>
      <c r="Q101" t="s">
        <v>251</v>
      </c>
      <c r="S101" t="s">
        <v>420</v>
      </c>
      <c r="T101" t="s">
        <v>413</v>
      </c>
      <c r="U101">
        <v>3.8336327649822182E-3</v>
      </c>
      <c r="V101" t="s">
        <v>251</v>
      </c>
      <c r="X101">
        <v>3.5388127853881279E-3</v>
      </c>
      <c r="Y101">
        <v>5.9087255218821738E-3</v>
      </c>
      <c r="Z101" t="s">
        <v>413</v>
      </c>
      <c r="AA101" t="s">
        <v>25</v>
      </c>
      <c r="AC101" t="s">
        <v>22</v>
      </c>
      <c r="AD101" t="s">
        <v>413</v>
      </c>
      <c r="AE101">
        <v>3.1207600296067188E-3</v>
      </c>
      <c r="AG101" t="s">
        <v>97</v>
      </c>
      <c r="AH101" t="s">
        <v>413</v>
      </c>
      <c r="AI101">
        <v>5.8844990241713413E-2</v>
      </c>
    </row>
    <row r="102" spans="9:35" x14ac:dyDescent="0.45">
      <c r="I102" t="s">
        <v>249</v>
      </c>
      <c r="J102" t="s">
        <v>414</v>
      </c>
      <c r="K102">
        <v>4.7229662109685773E-2</v>
      </c>
      <c r="L102" t="s">
        <v>251</v>
      </c>
      <c r="N102" t="s">
        <v>419</v>
      </c>
      <c r="O102" t="s">
        <v>414</v>
      </c>
      <c r="P102">
        <v>2.321968723487541E-2</v>
      </c>
      <c r="Q102" t="s">
        <v>251</v>
      </c>
      <c r="S102" t="s">
        <v>420</v>
      </c>
      <c r="T102" t="s">
        <v>414</v>
      </c>
      <c r="U102">
        <v>2.7454291210554579E-2</v>
      </c>
      <c r="V102" t="s">
        <v>251</v>
      </c>
      <c r="X102">
        <v>2.4771689497716895E-2</v>
      </c>
      <c r="Y102">
        <v>3.1424143732027281E-2</v>
      </c>
      <c r="Z102" t="s">
        <v>414</v>
      </c>
      <c r="AA102" t="s">
        <v>25</v>
      </c>
      <c r="AC102" t="s">
        <v>22</v>
      </c>
      <c r="AD102" t="s">
        <v>414</v>
      </c>
      <c r="AE102">
        <v>2.4612467532539015E-2</v>
      </c>
      <c r="AG102" t="s">
        <v>97</v>
      </c>
      <c r="AH102" t="s">
        <v>414</v>
      </c>
      <c r="AI102">
        <v>0.26152286155431348</v>
      </c>
    </row>
    <row r="103" spans="9:35" x14ac:dyDescent="0.45">
      <c r="I103" t="s">
        <v>249</v>
      </c>
      <c r="J103" t="s">
        <v>415</v>
      </c>
      <c r="K103">
        <v>7.0918338165213996E-3</v>
      </c>
      <c r="L103" t="s">
        <v>251</v>
      </c>
      <c r="N103" t="s">
        <v>419</v>
      </c>
      <c r="O103" t="s">
        <v>415</v>
      </c>
      <c r="P103">
        <v>3.0354251121071461E-3</v>
      </c>
      <c r="Q103" t="s">
        <v>251</v>
      </c>
      <c r="S103" t="s">
        <v>420</v>
      </c>
      <c r="T103" t="s">
        <v>415</v>
      </c>
      <c r="U103">
        <v>4.1673853152347706E-3</v>
      </c>
      <c r="V103" t="s">
        <v>251</v>
      </c>
      <c r="X103">
        <v>3.5388127853881279E-3</v>
      </c>
      <c r="Y103">
        <v>5.3435430806586613E-3</v>
      </c>
      <c r="Z103" t="s">
        <v>415</v>
      </c>
      <c r="AA103" t="s">
        <v>25</v>
      </c>
      <c r="AC103" t="s">
        <v>22</v>
      </c>
      <c r="AD103" t="s">
        <v>415</v>
      </c>
      <c r="AE103">
        <v>4.0800799140496748E-3</v>
      </c>
      <c r="AG103" t="s">
        <v>97</v>
      </c>
      <c r="AH103" t="s">
        <v>415</v>
      </c>
      <c r="AI103">
        <v>6.2116660462306461E-2</v>
      </c>
    </row>
    <row r="104" spans="9:35" x14ac:dyDescent="0.45">
      <c r="I104" t="s">
        <v>249</v>
      </c>
      <c r="J104" t="s">
        <v>416</v>
      </c>
      <c r="K104">
        <v>5.4379791779680152E-3</v>
      </c>
      <c r="L104" t="s">
        <v>251</v>
      </c>
      <c r="N104" t="s">
        <v>419</v>
      </c>
      <c r="O104" t="s">
        <v>416</v>
      </c>
      <c r="P104">
        <v>3.2277862540783667E-3</v>
      </c>
      <c r="Q104" t="s">
        <v>251</v>
      </c>
      <c r="S104" t="s">
        <v>420</v>
      </c>
      <c r="T104" t="s">
        <v>416</v>
      </c>
      <c r="U104">
        <v>4.1590847310642035E-3</v>
      </c>
      <c r="V104" t="s">
        <v>251</v>
      </c>
      <c r="X104">
        <v>3.5388127853881279E-3</v>
      </c>
      <c r="Y104">
        <v>6.8849497385409693E-3</v>
      </c>
      <c r="Z104" t="s">
        <v>416</v>
      </c>
      <c r="AA104" t="s">
        <v>25</v>
      </c>
      <c r="AC104" t="s">
        <v>22</v>
      </c>
      <c r="AD104" t="s">
        <v>416</v>
      </c>
      <c r="AE104">
        <v>4.0871281224621313E-3</v>
      </c>
      <c r="AG104" t="s">
        <v>97</v>
      </c>
      <c r="AH104" t="s">
        <v>416</v>
      </c>
      <c r="AI104">
        <v>4.7083028720061648E-2</v>
      </c>
    </row>
    <row r="105" spans="9:35" x14ac:dyDescent="0.45">
      <c r="I105" t="s">
        <v>249</v>
      </c>
      <c r="J105" t="s">
        <v>417</v>
      </c>
      <c r="K105">
        <v>1.7189199422202423E-3</v>
      </c>
      <c r="L105" t="s">
        <v>251</v>
      </c>
      <c r="N105" t="s">
        <v>419</v>
      </c>
      <c r="O105" t="s">
        <v>417</v>
      </c>
      <c r="P105">
        <v>3.4153482552153505E-3</v>
      </c>
      <c r="Q105" t="s">
        <v>251</v>
      </c>
      <c r="S105" t="s">
        <v>420</v>
      </c>
      <c r="T105" t="s">
        <v>417</v>
      </c>
      <c r="U105">
        <v>4.2921547043580062E-3</v>
      </c>
      <c r="V105" t="s">
        <v>251</v>
      </c>
      <c r="X105">
        <v>3.5388127853881279E-3</v>
      </c>
      <c r="Y105">
        <v>6.8849497385409693E-3</v>
      </c>
      <c r="Z105" t="s">
        <v>417</v>
      </c>
      <c r="AA105" t="s">
        <v>25</v>
      </c>
      <c r="AC105" t="s">
        <v>22</v>
      </c>
      <c r="AD105" t="s">
        <v>417</v>
      </c>
      <c r="AE105">
        <v>4.1620705948091077E-3</v>
      </c>
      <c r="AG105" t="s">
        <v>97</v>
      </c>
      <c r="AH105" t="s">
        <v>417</v>
      </c>
      <c r="AI105">
        <v>5.3418938222020707E-2</v>
      </c>
    </row>
    <row r="106" spans="9:35" x14ac:dyDescent="0.45">
      <c r="I106" t="s">
        <v>249</v>
      </c>
      <c r="J106" t="s">
        <v>418</v>
      </c>
      <c r="K106">
        <v>0</v>
      </c>
      <c r="L106" t="s">
        <v>251</v>
      </c>
      <c r="N106" t="s">
        <v>419</v>
      </c>
      <c r="O106" t="s">
        <v>418</v>
      </c>
      <c r="P106">
        <v>2.3247680365130773E-2</v>
      </c>
      <c r="Q106" t="s">
        <v>251</v>
      </c>
      <c r="S106" t="s">
        <v>420</v>
      </c>
      <c r="T106" t="s">
        <v>418</v>
      </c>
      <c r="U106">
        <v>2.7169243077500283E-2</v>
      </c>
      <c r="V106" t="s">
        <v>251</v>
      </c>
      <c r="X106">
        <v>2.1232876712328767E-2</v>
      </c>
      <c r="Y106">
        <v>1.8702400782305319E-2</v>
      </c>
      <c r="Z106" t="s">
        <v>418</v>
      </c>
      <c r="AA106" t="s">
        <v>25</v>
      </c>
      <c r="AC106" t="s">
        <v>22</v>
      </c>
      <c r="AD106" t="s">
        <v>418</v>
      </c>
      <c r="AE106">
        <v>2.5585407206910538E-2</v>
      </c>
      <c r="AG106" t="s">
        <v>97</v>
      </c>
      <c r="AH106" t="s">
        <v>418</v>
      </c>
      <c r="AI106">
        <v>0.10840364341062592</v>
      </c>
    </row>
    <row r="107" spans="9:35" x14ac:dyDescent="0.45">
      <c r="AC107" t="s">
        <v>19</v>
      </c>
      <c r="AD107" t="s">
        <v>250</v>
      </c>
      <c r="AE107">
        <v>2.1374482737781916E-2</v>
      </c>
    </row>
    <row r="108" spans="9:35" x14ac:dyDescent="0.45">
      <c r="AC108" t="s">
        <v>19</v>
      </c>
      <c r="AD108" t="s">
        <v>252</v>
      </c>
      <c r="AE108">
        <v>3.485168226884158E-3</v>
      </c>
    </row>
    <row r="109" spans="9:35" x14ac:dyDescent="0.45">
      <c r="AC109" t="s">
        <v>19</v>
      </c>
      <c r="AD109" t="s">
        <v>253</v>
      </c>
      <c r="AE109">
        <v>3.4724734662795196E-3</v>
      </c>
    </row>
    <row r="110" spans="9:35" x14ac:dyDescent="0.45">
      <c r="AC110" t="s">
        <v>19</v>
      </c>
      <c r="AD110" t="s">
        <v>254</v>
      </c>
      <c r="AE110">
        <v>2.4571821931557183E-2</v>
      </c>
    </row>
    <row r="111" spans="9:35" x14ac:dyDescent="0.45">
      <c r="AC111" t="s">
        <v>19</v>
      </c>
      <c r="AD111" t="s">
        <v>255</v>
      </c>
      <c r="AE111">
        <v>3.5616006831969537E-3</v>
      </c>
    </row>
    <row r="112" spans="9:35" x14ac:dyDescent="0.45">
      <c r="AC112" t="s">
        <v>19</v>
      </c>
      <c r="AD112" t="s">
        <v>256</v>
      </c>
      <c r="AE112">
        <v>3.5590811445633131E-3</v>
      </c>
    </row>
    <row r="113" spans="29:31" x14ac:dyDescent="0.45">
      <c r="AC113" t="s">
        <v>19</v>
      </c>
      <c r="AD113" t="s">
        <v>257</v>
      </c>
      <c r="AE113">
        <v>3.5638648660911904E-3</v>
      </c>
    </row>
    <row r="114" spans="29:31" x14ac:dyDescent="0.45">
      <c r="AC114" t="s">
        <v>19</v>
      </c>
      <c r="AD114" t="s">
        <v>258</v>
      </c>
      <c r="AE114">
        <v>2.1434813181539874E-2</v>
      </c>
    </row>
    <row r="115" spans="29:31" x14ac:dyDescent="0.45">
      <c r="AC115" t="s">
        <v>19</v>
      </c>
      <c r="AD115" t="s">
        <v>259</v>
      </c>
      <c r="AE115">
        <v>1.9307227285069097E-2</v>
      </c>
    </row>
    <row r="116" spans="29:31" x14ac:dyDescent="0.45">
      <c r="AC116" t="s">
        <v>19</v>
      </c>
      <c r="AD116" t="s">
        <v>260</v>
      </c>
      <c r="AE116">
        <v>3.1492536900016872E-3</v>
      </c>
    </row>
    <row r="117" spans="29:31" x14ac:dyDescent="0.45">
      <c r="AC117" t="s">
        <v>19</v>
      </c>
      <c r="AD117" t="s">
        <v>261</v>
      </c>
      <c r="AE117">
        <v>3.1403516556196263E-3</v>
      </c>
    </row>
    <row r="118" spans="29:31" x14ac:dyDescent="0.45">
      <c r="AC118" t="s">
        <v>19</v>
      </c>
      <c r="AD118" t="s">
        <v>262</v>
      </c>
      <c r="AE118">
        <v>2.2194600020251681E-2</v>
      </c>
    </row>
    <row r="119" spans="29:31" x14ac:dyDescent="0.45">
      <c r="AC119" t="s">
        <v>19</v>
      </c>
      <c r="AD119" t="s">
        <v>263</v>
      </c>
      <c r="AE119">
        <v>3.2111912728966245E-3</v>
      </c>
    </row>
    <row r="120" spans="29:31" x14ac:dyDescent="0.45">
      <c r="AC120" t="s">
        <v>19</v>
      </c>
      <c r="AD120" t="s">
        <v>264</v>
      </c>
      <c r="AE120">
        <v>3.2131361697261313E-3</v>
      </c>
    </row>
    <row r="121" spans="29:31" x14ac:dyDescent="0.45">
      <c r="AC121" t="s">
        <v>19</v>
      </c>
      <c r="AD121" t="s">
        <v>265</v>
      </c>
      <c r="AE121">
        <v>3.2176122386591744E-3</v>
      </c>
    </row>
    <row r="122" spans="29:31" x14ac:dyDescent="0.45">
      <c r="AC122" t="s">
        <v>19</v>
      </c>
      <c r="AD122" t="s">
        <v>266</v>
      </c>
      <c r="AE122">
        <v>1.9353151170863662E-2</v>
      </c>
    </row>
    <row r="123" spans="29:31" x14ac:dyDescent="0.45">
      <c r="AC123" t="s">
        <v>19</v>
      </c>
      <c r="AD123" t="s">
        <v>267</v>
      </c>
      <c r="AE123">
        <v>2.1290058222585766E-2</v>
      </c>
    </row>
    <row r="124" spans="29:31" x14ac:dyDescent="0.45">
      <c r="AC124" t="s">
        <v>19</v>
      </c>
      <c r="AD124" t="s">
        <v>268</v>
      </c>
      <c r="AE124">
        <v>3.4778004388648837E-3</v>
      </c>
    </row>
    <row r="125" spans="29:31" x14ac:dyDescent="0.45">
      <c r="AC125" t="s">
        <v>19</v>
      </c>
      <c r="AD125" t="s">
        <v>269</v>
      </c>
      <c r="AE125">
        <v>3.4715970469441268E-3</v>
      </c>
    </row>
    <row r="126" spans="29:31" x14ac:dyDescent="0.45">
      <c r="AC126" t="s">
        <v>19</v>
      </c>
      <c r="AD126" t="s">
        <v>270</v>
      </c>
      <c r="AE126">
        <v>2.4634624229355605E-2</v>
      </c>
    </row>
    <row r="127" spans="29:31" x14ac:dyDescent="0.45">
      <c r="AC127" t="s">
        <v>19</v>
      </c>
      <c r="AD127" t="s">
        <v>271</v>
      </c>
      <c r="AE127">
        <v>3.5563084696348369E-3</v>
      </c>
    </row>
    <row r="128" spans="29:31" x14ac:dyDescent="0.45">
      <c r="AC128" t="s">
        <v>19</v>
      </c>
      <c r="AD128" t="s">
        <v>272</v>
      </c>
      <c r="AE128">
        <v>3.5612535544863764E-3</v>
      </c>
    </row>
    <row r="129" spans="29:31" x14ac:dyDescent="0.45">
      <c r="AC129" t="s">
        <v>19</v>
      </c>
      <c r="AD129" t="s">
        <v>273</v>
      </c>
      <c r="AE129">
        <v>3.5630902880005818E-3</v>
      </c>
    </row>
    <row r="130" spans="29:31" x14ac:dyDescent="0.45">
      <c r="AC130" t="s">
        <v>19</v>
      </c>
      <c r="AD130" t="s">
        <v>274</v>
      </c>
      <c r="AE130">
        <v>2.1399527217477787E-2</v>
      </c>
    </row>
    <row r="131" spans="29:31" x14ac:dyDescent="0.45">
      <c r="AC131" t="s">
        <v>19</v>
      </c>
      <c r="AD131" t="s">
        <v>299</v>
      </c>
      <c r="AE131">
        <v>2.0544805611545983E-2</v>
      </c>
    </row>
    <row r="132" spans="29:31" x14ac:dyDescent="0.45">
      <c r="AC132" t="s">
        <v>19</v>
      </c>
      <c r="AD132" t="s">
        <v>300</v>
      </c>
      <c r="AE132">
        <v>3.3706895093697778E-3</v>
      </c>
    </row>
    <row r="133" spans="29:31" x14ac:dyDescent="0.45">
      <c r="AC133" t="s">
        <v>19</v>
      </c>
      <c r="AD133" t="s">
        <v>301</v>
      </c>
      <c r="AE133">
        <v>3.3652314981643863E-3</v>
      </c>
    </row>
    <row r="134" spans="29:31" x14ac:dyDescent="0.45">
      <c r="AC134" t="s">
        <v>19</v>
      </c>
      <c r="AD134" t="s">
        <v>302</v>
      </c>
      <c r="AE134">
        <v>2.3891737339009008E-2</v>
      </c>
    </row>
    <row r="135" spans="29:31" x14ac:dyDescent="0.45">
      <c r="AC135" t="s">
        <v>19</v>
      </c>
      <c r="AD135" t="s">
        <v>303</v>
      </c>
      <c r="AE135">
        <v>3.4397409913617121E-3</v>
      </c>
    </row>
    <row r="136" spans="29:31" x14ac:dyDescent="0.45">
      <c r="AC136" t="s">
        <v>19</v>
      </c>
      <c r="AD136" t="s">
        <v>304</v>
      </c>
      <c r="AE136">
        <v>3.444651691890952E-3</v>
      </c>
    </row>
    <row r="137" spans="29:31" x14ac:dyDescent="0.45">
      <c r="AC137" t="s">
        <v>19</v>
      </c>
      <c r="AD137" t="s">
        <v>305</v>
      </c>
      <c r="AE137">
        <v>3.4408199580632137E-3</v>
      </c>
    </row>
    <row r="138" spans="29:31" x14ac:dyDescent="0.45">
      <c r="AC138" t="s">
        <v>19</v>
      </c>
      <c r="AD138" t="s">
        <v>306</v>
      </c>
      <c r="AE138">
        <v>2.0662350750472003E-2</v>
      </c>
    </row>
    <row r="139" spans="29:31" x14ac:dyDescent="0.45">
      <c r="AC139" t="s">
        <v>19</v>
      </c>
      <c r="AD139" t="s">
        <v>331</v>
      </c>
      <c r="AE139">
        <v>2.1223441092015214E-2</v>
      </c>
    </row>
    <row r="140" spans="29:31" x14ac:dyDescent="0.45">
      <c r="AC140" t="s">
        <v>19</v>
      </c>
      <c r="AD140" t="s">
        <v>332</v>
      </c>
      <c r="AE140">
        <v>3.4859661544347823E-3</v>
      </c>
    </row>
    <row r="141" spans="29:31" x14ac:dyDescent="0.45">
      <c r="AC141" t="s">
        <v>19</v>
      </c>
      <c r="AD141" t="s">
        <v>333</v>
      </c>
      <c r="AE141">
        <v>3.4797166372036231E-3</v>
      </c>
    </row>
    <row r="142" spans="29:31" x14ac:dyDescent="0.45">
      <c r="AC142" t="s">
        <v>19</v>
      </c>
      <c r="AD142" t="s">
        <v>334</v>
      </c>
      <c r="AE142">
        <v>2.4648746678792133E-2</v>
      </c>
    </row>
    <row r="143" spans="29:31" x14ac:dyDescent="0.45">
      <c r="AC143" t="s">
        <v>19</v>
      </c>
      <c r="AD143" t="s">
        <v>335</v>
      </c>
      <c r="AE143">
        <v>3.5570609124147721E-3</v>
      </c>
    </row>
    <row r="144" spans="29:31" x14ac:dyDescent="0.45">
      <c r="AC144" t="s">
        <v>19</v>
      </c>
      <c r="AD144" t="s">
        <v>336</v>
      </c>
      <c r="AE144">
        <v>3.5576787120268202E-3</v>
      </c>
    </row>
    <row r="145" spans="29:31" x14ac:dyDescent="0.45">
      <c r="AC145" t="s">
        <v>19</v>
      </c>
      <c r="AD145" t="s">
        <v>337</v>
      </c>
      <c r="AE145">
        <v>3.5581197947153805E-3</v>
      </c>
    </row>
    <row r="146" spans="29:31" x14ac:dyDescent="0.45">
      <c r="AC146" t="s">
        <v>19</v>
      </c>
      <c r="AD146" t="s">
        <v>338</v>
      </c>
      <c r="AE146">
        <v>2.137079864257883E-2</v>
      </c>
    </row>
    <row r="147" spans="29:31" x14ac:dyDescent="0.45">
      <c r="AC147" t="s">
        <v>19</v>
      </c>
      <c r="AD147" t="s">
        <v>339</v>
      </c>
      <c r="AE147">
        <v>2.0548453822010204E-2</v>
      </c>
    </row>
    <row r="148" spans="29:31" x14ac:dyDescent="0.45">
      <c r="AC148" t="s">
        <v>19</v>
      </c>
      <c r="AD148" t="s">
        <v>340</v>
      </c>
      <c r="AE148">
        <v>3.379574715271021E-3</v>
      </c>
    </row>
    <row r="149" spans="29:31" x14ac:dyDescent="0.45">
      <c r="AC149" t="s">
        <v>19</v>
      </c>
      <c r="AD149" t="s">
        <v>341</v>
      </c>
      <c r="AE149">
        <v>3.3722211580927064E-3</v>
      </c>
    </row>
    <row r="150" spans="29:31" x14ac:dyDescent="0.45">
      <c r="AC150" t="s">
        <v>19</v>
      </c>
      <c r="AD150" t="s">
        <v>342</v>
      </c>
      <c r="AE150">
        <v>2.3827821977797994E-2</v>
      </c>
    </row>
    <row r="151" spans="29:31" x14ac:dyDescent="0.45">
      <c r="AC151" t="s">
        <v>19</v>
      </c>
      <c r="AD151" t="s">
        <v>343</v>
      </c>
      <c r="AE151">
        <v>3.4402832575524313E-3</v>
      </c>
    </row>
    <row r="152" spans="29:31" x14ac:dyDescent="0.45">
      <c r="AC152" t="s">
        <v>19</v>
      </c>
      <c r="AD152" t="s">
        <v>344</v>
      </c>
      <c r="AE152">
        <v>3.44164882478402E-3</v>
      </c>
    </row>
    <row r="153" spans="29:31" x14ac:dyDescent="0.45">
      <c r="AC153" t="s">
        <v>19</v>
      </c>
      <c r="AD153" t="s">
        <v>345</v>
      </c>
      <c r="AE153">
        <v>3.443684079913903E-3</v>
      </c>
    </row>
    <row r="154" spans="29:31" x14ac:dyDescent="0.45">
      <c r="AC154" t="s">
        <v>19</v>
      </c>
      <c r="AD154" t="s">
        <v>346</v>
      </c>
      <c r="AE154">
        <v>2.0692724073301229E-2</v>
      </c>
    </row>
    <row r="155" spans="29:31" x14ac:dyDescent="0.45">
      <c r="AC155" t="s">
        <v>19</v>
      </c>
      <c r="AD155" t="s">
        <v>347</v>
      </c>
      <c r="AE155">
        <v>2.1239478364632636E-2</v>
      </c>
    </row>
    <row r="156" spans="29:31" x14ac:dyDescent="0.45">
      <c r="AC156" t="s">
        <v>19</v>
      </c>
      <c r="AD156" t="s">
        <v>348</v>
      </c>
      <c r="AE156">
        <v>3.4901148460204979E-3</v>
      </c>
    </row>
    <row r="157" spans="29:31" x14ac:dyDescent="0.45">
      <c r="AC157" t="s">
        <v>19</v>
      </c>
      <c r="AD157" t="s">
        <v>349</v>
      </c>
      <c r="AE157">
        <v>3.4806753711336021E-3</v>
      </c>
    </row>
    <row r="158" spans="29:31" x14ac:dyDescent="0.45">
      <c r="AC158" t="s">
        <v>19</v>
      </c>
      <c r="AD158" t="s">
        <v>350</v>
      </c>
      <c r="AE158">
        <v>2.4573462626051094E-2</v>
      </c>
    </row>
    <row r="159" spans="29:31" x14ac:dyDescent="0.45">
      <c r="AC159" t="s">
        <v>19</v>
      </c>
      <c r="AD159" t="s">
        <v>351</v>
      </c>
      <c r="AE159">
        <v>3.557426769452868E-3</v>
      </c>
    </row>
    <row r="160" spans="29:31" x14ac:dyDescent="0.45">
      <c r="AC160" t="s">
        <v>19</v>
      </c>
      <c r="AD160" t="s">
        <v>352</v>
      </c>
      <c r="AE160">
        <v>3.5620926725305397E-3</v>
      </c>
    </row>
    <row r="161" spans="29:31" x14ac:dyDescent="0.45">
      <c r="AC161" t="s">
        <v>19</v>
      </c>
      <c r="AD161" t="s">
        <v>353</v>
      </c>
      <c r="AE161">
        <v>3.5667831327664762E-3</v>
      </c>
    </row>
    <row r="162" spans="29:31" x14ac:dyDescent="0.45">
      <c r="AC162" t="s">
        <v>19</v>
      </c>
      <c r="AD162" t="s">
        <v>354</v>
      </c>
      <c r="AE162">
        <v>2.145256291275302E-2</v>
      </c>
    </row>
    <row r="163" spans="29:31" x14ac:dyDescent="0.45">
      <c r="AC163" t="s">
        <v>19</v>
      </c>
      <c r="AD163" t="s">
        <v>355</v>
      </c>
      <c r="AE163">
        <v>2.1237807807494583E-2</v>
      </c>
    </row>
    <row r="164" spans="29:31" x14ac:dyDescent="0.45">
      <c r="AC164" t="s">
        <v>19</v>
      </c>
      <c r="AD164" t="s">
        <v>356</v>
      </c>
      <c r="AE164">
        <v>3.4888832171749555E-3</v>
      </c>
    </row>
    <row r="165" spans="29:31" x14ac:dyDescent="0.45">
      <c r="AC165" t="s">
        <v>19</v>
      </c>
      <c r="AD165" t="s">
        <v>357</v>
      </c>
      <c r="AE165">
        <v>3.4800252222500988E-3</v>
      </c>
    </row>
    <row r="166" spans="29:31" x14ac:dyDescent="0.45">
      <c r="AC166" t="s">
        <v>19</v>
      </c>
      <c r="AD166" t="s">
        <v>358</v>
      </c>
      <c r="AE166">
        <v>2.458106701164595E-2</v>
      </c>
    </row>
    <row r="167" spans="29:31" x14ac:dyDescent="0.45">
      <c r="AC167" t="s">
        <v>19</v>
      </c>
      <c r="AD167" t="s">
        <v>359</v>
      </c>
      <c r="AE167">
        <v>3.5565696910299731E-3</v>
      </c>
    </row>
    <row r="168" spans="29:31" x14ac:dyDescent="0.45">
      <c r="AC168" t="s">
        <v>19</v>
      </c>
      <c r="AD168" t="s">
        <v>360</v>
      </c>
      <c r="AE168">
        <v>3.5593149318817849E-3</v>
      </c>
    </row>
    <row r="169" spans="29:31" x14ac:dyDescent="0.45">
      <c r="AC169" t="s">
        <v>19</v>
      </c>
      <c r="AD169" t="s">
        <v>361</v>
      </c>
      <c r="AE169">
        <v>3.562844862105099E-3</v>
      </c>
    </row>
    <row r="170" spans="29:31" x14ac:dyDescent="0.45">
      <c r="AC170" t="s">
        <v>19</v>
      </c>
      <c r="AD170" t="s">
        <v>362</v>
      </c>
      <c r="AE170">
        <v>2.1438247074888759E-2</v>
      </c>
    </row>
    <row r="171" spans="29:31" x14ac:dyDescent="0.45">
      <c r="AC171" t="s">
        <v>19</v>
      </c>
      <c r="AD171" t="s">
        <v>363</v>
      </c>
      <c r="AE171">
        <v>2.0537094018741476E-2</v>
      </c>
    </row>
    <row r="172" spans="29:31" x14ac:dyDescent="0.45">
      <c r="AC172" t="s">
        <v>19</v>
      </c>
      <c r="AD172" t="s">
        <v>364</v>
      </c>
      <c r="AE172">
        <v>3.374769567246244E-3</v>
      </c>
    </row>
    <row r="173" spans="29:31" x14ac:dyDescent="0.45">
      <c r="AC173" t="s">
        <v>19</v>
      </c>
      <c r="AD173" t="s">
        <v>365</v>
      </c>
      <c r="AE173">
        <v>3.3675968986978124E-3</v>
      </c>
    </row>
    <row r="174" spans="29:31" x14ac:dyDescent="0.45">
      <c r="AC174" t="s">
        <v>19</v>
      </c>
      <c r="AD174" t="s">
        <v>366</v>
      </c>
      <c r="AE174">
        <v>2.3812222120691923E-2</v>
      </c>
    </row>
    <row r="175" spans="29:31" x14ac:dyDescent="0.45">
      <c r="AC175" t="s">
        <v>19</v>
      </c>
      <c r="AD175" t="s">
        <v>367</v>
      </c>
      <c r="AE175">
        <v>3.4430888287512351E-3</v>
      </c>
    </row>
    <row r="176" spans="29:31" x14ac:dyDescent="0.45">
      <c r="AC176" t="s">
        <v>19</v>
      </c>
      <c r="AD176" t="s">
        <v>368</v>
      </c>
      <c r="AE176">
        <v>3.4453248848827652E-3</v>
      </c>
    </row>
    <row r="177" spans="29:31" x14ac:dyDescent="0.45">
      <c r="AC177" t="s">
        <v>19</v>
      </c>
      <c r="AD177" t="s">
        <v>369</v>
      </c>
      <c r="AE177">
        <v>3.4476617070770192E-3</v>
      </c>
    </row>
    <row r="178" spans="29:31" x14ac:dyDescent="0.45">
      <c r="AC178" t="s">
        <v>19</v>
      </c>
      <c r="AD178" t="s">
        <v>370</v>
      </c>
      <c r="AE178">
        <v>2.0729579132258261E-2</v>
      </c>
    </row>
    <row r="179" spans="29:31" x14ac:dyDescent="0.45">
      <c r="AC179" t="s">
        <v>19</v>
      </c>
      <c r="AD179" t="s">
        <v>395</v>
      </c>
      <c r="AE179">
        <v>2.1225495681068917E-2</v>
      </c>
    </row>
    <row r="180" spans="29:31" x14ac:dyDescent="0.45">
      <c r="AC180" t="s">
        <v>19</v>
      </c>
      <c r="AD180" t="s">
        <v>396</v>
      </c>
      <c r="AE180">
        <v>3.4856379841406849E-3</v>
      </c>
    </row>
    <row r="181" spans="29:31" x14ac:dyDescent="0.45">
      <c r="AC181" t="s">
        <v>19</v>
      </c>
      <c r="AD181" t="s">
        <v>397</v>
      </c>
      <c r="AE181">
        <v>3.4796871739896157E-3</v>
      </c>
    </row>
    <row r="182" spans="29:31" x14ac:dyDescent="0.45">
      <c r="AC182" t="s">
        <v>19</v>
      </c>
      <c r="AD182" t="s">
        <v>398</v>
      </c>
      <c r="AE182">
        <v>2.4670641018587115E-2</v>
      </c>
    </row>
    <row r="183" spans="29:31" x14ac:dyDescent="0.45">
      <c r="AC183" t="s">
        <v>19</v>
      </c>
      <c r="AD183" t="s">
        <v>399</v>
      </c>
      <c r="AE183">
        <v>3.5550115906779894E-3</v>
      </c>
    </row>
    <row r="184" spans="29:31" x14ac:dyDescent="0.45">
      <c r="AC184" t="s">
        <v>19</v>
      </c>
      <c r="AD184" t="s">
        <v>400</v>
      </c>
      <c r="AE184">
        <v>3.5566551139758961E-3</v>
      </c>
    </row>
    <row r="185" spans="29:31" x14ac:dyDescent="0.45">
      <c r="AC185" t="s">
        <v>19</v>
      </c>
      <c r="AD185" t="s">
        <v>401</v>
      </c>
      <c r="AE185">
        <v>3.5562127625725043E-3</v>
      </c>
    </row>
    <row r="186" spans="29:31" x14ac:dyDescent="0.45">
      <c r="AC186" t="s">
        <v>19</v>
      </c>
      <c r="AD186" t="s">
        <v>402</v>
      </c>
      <c r="AE186">
        <v>2.1354870446106289E-2</v>
      </c>
    </row>
    <row r="187" spans="29:31" x14ac:dyDescent="0.45">
      <c r="AC187" t="s">
        <v>19</v>
      </c>
      <c r="AD187" t="s">
        <v>403</v>
      </c>
      <c r="AE187">
        <v>2.0641099640495167E-2</v>
      </c>
    </row>
    <row r="188" spans="29:31" x14ac:dyDescent="0.45">
      <c r="AC188" t="s">
        <v>19</v>
      </c>
      <c r="AD188" t="s">
        <v>404</v>
      </c>
      <c r="AE188">
        <v>3.3773964687221409E-3</v>
      </c>
    </row>
    <row r="189" spans="29:31" x14ac:dyDescent="0.45">
      <c r="AC189" t="s">
        <v>19</v>
      </c>
      <c r="AD189" t="s">
        <v>405</v>
      </c>
      <c r="AE189">
        <v>3.3692861984095418E-3</v>
      </c>
    </row>
    <row r="190" spans="29:31" x14ac:dyDescent="0.45">
      <c r="AC190" t="s">
        <v>19</v>
      </c>
      <c r="AD190" t="s">
        <v>406</v>
      </c>
      <c r="AE190">
        <v>2.3812920159528385E-2</v>
      </c>
    </row>
    <row r="191" spans="29:31" x14ac:dyDescent="0.45">
      <c r="AC191" t="s">
        <v>19</v>
      </c>
      <c r="AD191" t="s">
        <v>407</v>
      </c>
      <c r="AE191">
        <v>3.4517120635866503E-3</v>
      </c>
    </row>
    <row r="192" spans="29:31" x14ac:dyDescent="0.45">
      <c r="AC192" t="s">
        <v>19</v>
      </c>
      <c r="AD192" t="s">
        <v>408</v>
      </c>
      <c r="AE192">
        <v>3.4379976433229751E-3</v>
      </c>
    </row>
    <row r="193" spans="29:31" x14ac:dyDescent="0.45">
      <c r="AC193" t="s">
        <v>19</v>
      </c>
      <c r="AD193" t="s">
        <v>409</v>
      </c>
      <c r="AE193">
        <v>3.4407479160268313E-3</v>
      </c>
    </row>
    <row r="194" spans="29:31" x14ac:dyDescent="0.45">
      <c r="AC194" t="s">
        <v>19</v>
      </c>
      <c r="AD194" t="s">
        <v>410</v>
      </c>
      <c r="AE194">
        <v>2.0648476357095068E-2</v>
      </c>
    </row>
    <row r="195" spans="29:31" x14ac:dyDescent="0.45">
      <c r="AC195" t="s">
        <v>19</v>
      </c>
      <c r="AD195" t="s">
        <v>411</v>
      </c>
      <c r="AE195">
        <v>2.1350568589997714E-2</v>
      </c>
    </row>
    <row r="196" spans="29:31" x14ac:dyDescent="0.45">
      <c r="AC196" t="s">
        <v>19</v>
      </c>
      <c r="AD196" t="s">
        <v>412</v>
      </c>
      <c r="AE196">
        <v>3.4888134789849336E-3</v>
      </c>
    </row>
    <row r="197" spans="29:31" x14ac:dyDescent="0.45">
      <c r="AC197" t="s">
        <v>19</v>
      </c>
      <c r="AD197" t="s">
        <v>413</v>
      </c>
      <c r="AE197">
        <v>3.4791075524797672E-3</v>
      </c>
    </row>
    <row r="198" spans="29:31" x14ac:dyDescent="0.45">
      <c r="AC198" t="s">
        <v>19</v>
      </c>
      <c r="AD198" t="s">
        <v>414</v>
      </c>
      <c r="AE198">
        <v>2.4576792440163732E-2</v>
      </c>
    </row>
    <row r="199" spans="29:31" x14ac:dyDescent="0.45">
      <c r="AC199" t="s">
        <v>19</v>
      </c>
      <c r="AD199" t="s">
        <v>415</v>
      </c>
      <c r="AE199">
        <v>3.5564313347208405E-3</v>
      </c>
    </row>
    <row r="200" spans="29:31" x14ac:dyDescent="0.45">
      <c r="AC200" t="s">
        <v>19</v>
      </c>
      <c r="AD200" t="s">
        <v>416</v>
      </c>
      <c r="AE200">
        <v>3.5569994394180453E-3</v>
      </c>
    </row>
    <row r="201" spans="29:31" x14ac:dyDescent="0.45">
      <c r="AC201" t="s">
        <v>19</v>
      </c>
      <c r="AD201" t="s">
        <v>417</v>
      </c>
      <c r="AE201">
        <v>3.5630400057675383E-3</v>
      </c>
    </row>
    <row r="202" spans="29:31" x14ac:dyDescent="0.45">
      <c r="AC202" t="s">
        <v>19</v>
      </c>
      <c r="AD202" t="s">
        <v>418</v>
      </c>
      <c r="AE202">
        <v>2.1427648176889174E-2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423EE9-8BFB-4F26-B851-09C4CA5A75DD}">
  <dimension ref="A9:AN20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130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248</v>
      </c>
      <c r="L10" t="s">
        <v>30</v>
      </c>
      <c r="N10" t="s">
        <v>13</v>
      </c>
      <c r="O10" t="s">
        <v>122</v>
      </c>
      <c r="P10" t="s">
        <v>248</v>
      </c>
      <c r="Q10" t="s">
        <v>30</v>
      </c>
      <c r="S10" t="s">
        <v>13</v>
      </c>
      <c r="T10" t="s">
        <v>122</v>
      </c>
      <c r="U10" t="s">
        <v>248</v>
      </c>
      <c r="V10" t="s">
        <v>30</v>
      </c>
      <c r="X10" t="s">
        <v>421</v>
      </c>
      <c r="Y10" t="s">
        <v>248</v>
      </c>
      <c r="Z10" t="s">
        <v>122</v>
      </c>
      <c r="AA10" t="s">
        <v>13</v>
      </c>
      <c r="AC10" t="s">
        <v>13</v>
      </c>
      <c r="AD10" t="s">
        <v>122</v>
      </c>
      <c r="AE10" t="s">
        <v>248</v>
      </c>
      <c r="AG10" t="s">
        <v>13</v>
      </c>
      <c r="AH10" t="s">
        <v>122</v>
      </c>
      <c r="AI10" t="s">
        <v>427</v>
      </c>
      <c r="AK10" t="s">
        <v>47</v>
      </c>
      <c r="AL10" t="s">
        <v>122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240</v>
      </c>
      <c r="F11" t="s">
        <v>154</v>
      </c>
      <c r="G11" t="s">
        <v>152</v>
      </c>
      <c r="I11" t="s">
        <v>249</v>
      </c>
      <c r="J11" t="s">
        <v>250</v>
      </c>
      <c r="K11">
        <v>0</v>
      </c>
      <c r="L11" t="s">
        <v>251</v>
      </c>
      <c r="N11" t="s">
        <v>419</v>
      </c>
      <c r="O11" t="s">
        <v>250</v>
      </c>
      <c r="P11">
        <v>2.5660311917472152E-2</v>
      </c>
      <c r="Q11" t="s">
        <v>251</v>
      </c>
      <c r="S11" t="s">
        <v>420</v>
      </c>
      <c r="T11" t="s">
        <v>250</v>
      </c>
      <c r="U11">
        <v>2.6769906846017193E-2</v>
      </c>
      <c r="V11" t="s">
        <v>251</v>
      </c>
      <c r="X11">
        <v>2.1232876712328767E-2</v>
      </c>
      <c r="Y11">
        <v>4.5420116185598634E-3</v>
      </c>
      <c r="Z11" t="s">
        <v>250</v>
      </c>
      <c r="AA11" t="s">
        <v>25</v>
      </c>
      <c r="AC11" t="s">
        <v>22</v>
      </c>
      <c r="AD11" t="s">
        <v>250</v>
      </c>
      <c r="AE11">
        <v>2.5607497604483307E-2</v>
      </c>
      <c r="AG11" t="s">
        <v>97</v>
      </c>
      <c r="AH11" t="s">
        <v>250</v>
      </c>
      <c r="AI11">
        <v>0.1255692735717755</v>
      </c>
    </row>
    <row r="12" spans="1:40" x14ac:dyDescent="0.45">
      <c r="C12" t="s">
        <v>156</v>
      </c>
      <c r="E12" t="s">
        <v>241</v>
      </c>
      <c r="G12" t="s">
        <v>152</v>
      </c>
      <c r="I12" t="s">
        <v>249</v>
      </c>
      <c r="J12" t="s">
        <v>252</v>
      </c>
      <c r="K12">
        <v>0</v>
      </c>
      <c r="L12" t="s">
        <v>251</v>
      </c>
      <c r="N12" t="s">
        <v>419</v>
      </c>
      <c r="O12" t="s">
        <v>252</v>
      </c>
      <c r="P12">
        <v>4.0814319723471888E-3</v>
      </c>
      <c r="Q12" t="s">
        <v>251</v>
      </c>
      <c r="S12" t="s">
        <v>420</v>
      </c>
      <c r="T12" t="s">
        <v>252</v>
      </c>
      <c r="U12">
        <v>4.3097825222294175E-3</v>
      </c>
      <c r="V12" t="s">
        <v>251</v>
      </c>
      <c r="X12">
        <v>3.5388127853881279E-3</v>
      </c>
      <c r="Y12">
        <v>5.240782636799844E-3</v>
      </c>
      <c r="Z12" t="s">
        <v>252</v>
      </c>
      <c r="AA12" t="s">
        <v>25</v>
      </c>
      <c r="AC12" t="s">
        <v>22</v>
      </c>
      <c r="AD12" t="s">
        <v>252</v>
      </c>
      <c r="AE12">
        <v>3.3095668155421962E-3</v>
      </c>
      <c r="AG12" t="s">
        <v>97</v>
      </c>
      <c r="AH12" t="s">
        <v>252</v>
      </c>
      <c r="AI12">
        <v>3.1209633865931563E-2</v>
      </c>
    </row>
    <row r="13" spans="1:40" x14ac:dyDescent="0.45">
      <c r="C13" t="s">
        <v>158</v>
      </c>
      <c r="E13" t="s">
        <v>242</v>
      </c>
      <c r="G13" t="s">
        <v>152</v>
      </c>
      <c r="I13" t="s">
        <v>249</v>
      </c>
      <c r="J13" t="s">
        <v>253</v>
      </c>
      <c r="K13">
        <v>2.0106799524999386E-4</v>
      </c>
      <c r="L13" t="s">
        <v>251</v>
      </c>
      <c r="N13" t="s">
        <v>419</v>
      </c>
      <c r="O13" t="s">
        <v>253</v>
      </c>
      <c r="P13">
        <v>4.033150452332668E-3</v>
      </c>
      <c r="Q13" t="s">
        <v>251</v>
      </c>
      <c r="S13" t="s">
        <v>420</v>
      </c>
      <c r="T13" t="s">
        <v>253</v>
      </c>
      <c r="U13">
        <v>4.30556758140406E-3</v>
      </c>
      <c r="V13" t="s">
        <v>251</v>
      </c>
      <c r="X13">
        <v>3.5388127853881279E-3</v>
      </c>
      <c r="Y13">
        <v>5.9087255218821738E-3</v>
      </c>
      <c r="Z13" t="s">
        <v>253</v>
      </c>
      <c r="AA13" t="s">
        <v>25</v>
      </c>
      <c r="AC13" t="s">
        <v>22</v>
      </c>
      <c r="AD13" t="s">
        <v>253</v>
      </c>
      <c r="AE13">
        <v>3.1520688773489483E-3</v>
      </c>
      <c r="AG13" t="s">
        <v>97</v>
      </c>
      <c r="AH13" t="s">
        <v>253</v>
      </c>
      <c r="AI13">
        <v>3.7632188426626412E-2</v>
      </c>
    </row>
    <row r="14" spans="1:40" x14ac:dyDescent="0.45">
      <c r="C14" t="s">
        <v>161</v>
      </c>
      <c r="E14" t="s">
        <v>243</v>
      </c>
      <c r="G14" t="s">
        <v>152</v>
      </c>
      <c r="I14" t="s">
        <v>249</v>
      </c>
      <c r="J14" t="s">
        <v>254</v>
      </c>
      <c r="K14">
        <v>4.9834507681872697E-2</v>
      </c>
      <c r="L14" t="s">
        <v>251</v>
      </c>
      <c r="N14" t="s">
        <v>419</v>
      </c>
      <c r="O14" t="s">
        <v>254</v>
      </c>
      <c r="P14">
        <v>2.3667065373781479E-2</v>
      </c>
      <c r="Q14" t="s">
        <v>251</v>
      </c>
      <c r="S14" t="s">
        <v>420</v>
      </c>
      <c r="T14" t="s">
        <v>254</v>
      </c>
      <c r="U14">
        <v>2.8474195890723288E-2</v>
      </c>
      <c r="V14" t="s">
        <v>251</v>
      </c>
      <c r="X14">
        <v>2.4771689497716895E-2</v>
      </c>
      <c r="Y14">
        <v>3.1424143732027281E-2</v>
      </c>
      <c r="Z14" t="s">
        <v>254</v>
      </c>
      <c r="AA14" t="s">
        <v>25</v>
      </c>
      <c r="AC14" t="s">
        <v>22</v>
      </c>
      <c r="AD14" t="s">
        <v>254</v>
      </c>
      <c r="AE14">
        <v>2.5346104661222169E-2</v>
      </c>
      <c r="AG14" t="s">
        <v>97</v>
      </c>
      <c r="AH14" t="s">
        <v>254</v>
      </c>
      <c r="AI14">
        <v>0.28402737458105975</v>
      </c>
    </row>
    <row r="15" spans="1:40" x14ac:dyDescent="0.45">
      <c r="C15" t="s">
        <v>165</v>
      </c>
      <c r="E15" t="s">
        <v>244</v>
      </c>
      <c r="G15" t="s">
        <v>152</v>
      </c>
      <c r="I15" t="s">
        <v>249</v>
      </c>
      <c r="J15" t="s">
        <v>255</v>
      </c>
      <c r="K15">
        <v>7.7021391491125003E-3</v>
      </c>
      <c r="L15" t="s">
        <v>251</v>
      </c>
      <c r="N15" t="s">
        <v>419</v>
      </c>
      <c r="O15" t="s">
        <v>255</v>
      </c>
      <c r="P15">
        <v>3.101223359272192E-3</v>
      </c>
      <c r="Q15" t="s">
        <v>251</v>
      </c>
      <c r="S15" t="s">
        <v>420</v>
      </c>
      <c r="T15" t="s">
        <v>255</v>
      </c>
      <c r="U15">
        <v>4.067137061951746E-3</v>
      </c>
      <c r="V15" t="s">
        <v>251</v>
      </c>
      <c r="X15">
        <v>3.5388127853881279E-3</v>
      </c>
      <c r="Y15">
        <v>5.3435430806586613E-3</v>
      </c>
      <c r="Z15" t="s">
        <v>255</v>
      </c>
      <c r="AA15" t="s">
        <v>25</v>
      </c>
      <c r="AC15" t="s">
        <v>22</v>
      </c>
      <c r="AD15" t="s">
        <v>255</v>
      </c>
      <c r="AE15">
        <v>4.2578284374204705E-3</v>
      </c>
      <c r="AG15" t="s">
        <v>97</v>
      </c>
      <c r="AH15" t="s">
        <v>255</v>
      </c>
      <c r="AI15">
        <v>5.7465312640921917E-2</v>
      </c>
    </row>
    <row r="16" spans="1:40" x14ac:dyDescent="0.45">
      <c r="C16" t="s">
        <v>167</v>
      </c>
      <c r="E16" t="s">
        <v>245</v>
      </c>
      <c r="G16" t="s">
        <v>152</v>
      </c>
      <c r="I16" t="s">
        <v>249</v>
      </c>
      <c r="J16" t="s">
        <v>256</v>
      </c>
      <c r="K16">
        <v>6.5047348408537988E-3</v>
      </c>
      <c r="L16" t="s">
        <v>251</v>
      </c>
      <c r="N16" t="s">
        <v>419</v>
      </c>
      <c r="O16" t="s">
        <v>256</v>
      </c>
      <c r="P16">
        <v>3.1831217606181723E-3</v>
      </c>
      <c r="Q16" t="s">
        <v>251</v>
      </c>
      <c r="S16" t="s">
        <v>420</v>
      </c>
      <c r="T16" t="s">
        <v>256</v>
      </c>
      <c r="U16">
        <v>4.0561869751066289E-3</v>
      </c>
      <c r="V16" t="s">
        <v>251</v>
      </c>
      <c r="X16">
        <v>3.5388127853881279E-3</v>
      </c>
      <c r="Y16">
        <v>6.8849497385409693E-3</v>
      </c>
      <c r="Z16" t="s">
        <v>256</v>
      </c>
      <c r="AA16" t="s">
        <v>25</v>
      </c>
      <c r="AC16" t="s">
        <v>22</v>
      </c>
      <c r="AD16" t="s">
        <v>256</v>
      </c>
      <c r="AE16">
        <v>4.2265697038094052E-3</v>
      </c>
      <c r="AG16" t="s">
        <v>97</v>
      </c>
      <c r="AH16" t="s">
        <v>256</v>
      </c>
      <c r="AI16">
        <v>3.8379035468125267E-2</v>
      </c>
    </row>
    <row r="17" spans="3:35" x14ac:dyDescent="0.45">
      <c r="C17" t="s">
        <v>169</v>
      </c>
      <c r="E17" t="s">
        <v>246</v>
      </c>
      <c r="G17" t="s">
        <v>152</v>
      </c>
      <c r="I17" t="s">
        <v>249</v>
      </c>
      <c r="J17" t="s">
        <v>257</v>
      </c>
      <c r="K17">
        <v>3.8391612194623543E-3</v>
      </c>
      <c r="L17" t="s">
        <v>251</v>
      </c>
      <c r="N17" t="s">
        <v>419</v>
      </c>
      <c r="O17" t="s">
        <v>257</v>
      </c>
      <c r="P17">
        <v>3.4653706361787956E-3</v>
      </c>
      <c r="Q17" t="s">
        <v>251</v>
      </c>
      <c r="S17" t="s">
        <v>420</v>
      </c>
      <c r="T17" t="s">
        <v>257</v>
      </c>
      <c r="U17">
        <v>4.1657394600128654E-3</v>
      </c>
      <c r="V17" t="s">
        <v>251</v>
      </c>
      <c r="X17">
        <v>3.5388127853881279E-3</v>
      </c>
      <c r="Y17">
        <v>6.8849497385409693E-3</v>
      </c>
      <c r="Z17" t="s">
        <v>257</v>
      </c>
      <c r="AA17" t="s">
        <v>25</v>
      </c>
      <c r="AC17" t="s">
        <v>22</v>
      </c>
      <c r="AD17" t="s">
        <v>257</v>
      </c>
      <c r="AE17">
        <v>4.2859190921906275E-3</v>
      </c>
      <c r="AG17" t="s">
        <v>97</v>
      </c>
      <c r="AH17" t="s">
        <v>257</v>
      </c>
      <c r="AI17">
        <v>4.4527242369231779E-2</v>
      </c>
    </row>
    <row r="18" spans="3:35" x14ac:dyDescent="0.45">
      <c r="C18" t="s">
        <v>171</v>
      </c>
      <c r="E18" t="s">
        <v>247</v>
      </c>
      <c r="G18" t="s">
        <v>152</v>
      </c>
      <c r="I18" t="s">
        <v>249</v>
      </c>
      <c r="J18" t="s">
        <v>258</v>
      </c>
      <c r="K18">
        <v>2.5439683141916474E-5</v>
      </c>
      <c r="L18" t="s">
        <v>251</v>
      </c>
      <c r="N18" t="s">
        <v>419</v>
      </c>
      <c r="O18" t="s">
        <v>258</v>
      </c>
      <c r="P18">
        <v>2.4479808311505789E-2</v>
      </c>
      <c r="Q18" t="s">
        <v>251</v>
      </c>
      <c r="S18" t="s">
        <v>420</v>
      </c>
      <c r="T18" t="s">
        <v>258</v>
      </c>
      <c r="U18">
        <v>2.8289011003994943E-2</v>
      </c>
      <c r="V18" t="s">
        <v>251</v>
      </c>
      <c r="X18">
        <v>2.1232876712328767E-2</v>
      </c>
      <c r="Y18">
        <v>1.8702400782305319E-2</v>
      </c>
      <c r="Z18" t="s">
        <v>258</v>
      </c>
      <c r="AA18" t="s">
        <v>25</v>
      </c>
      <c r="AC18" t="s">
        <v>22</v>
      </c>
      <c r="AD18" t="s">
        <v>258</v>
      </c>
      <c r="AE18">
        <v>2.6355989111971137E-2</v>
      </c>
      <c r="AG18" t="s">
        <v>97</v>
      </c>
      <c r="AH18" t="s">
        <v>258</v>
      </c>
      <c r="AI18">
        <v>9.6362226456162325E-2</v>
      </c>
    </row>
    <row r="19" spans="3:35" x14ac:dyDescent="0.45">
      <c r="C19" t="s">
        <v>164</v>
      </c>
      <c r="I19" t="s">
        <v>249</v>
      </c>
      <c r="J19" t="s">
        <v>259</v>
      </c>
      <c r="K19">
        <v>0</v>
      </c>
      <c r="L19" t="s">
        <v>251</v>
      </c>
      <c r="N19" t="s">
        <v>419</v>
      </c>
      <c r="O19" t="s">
        <v>259</v>
      </c>
      <c r="P19">
        <v>2.3481304814210565E-2</v>
      </c>
      <c r="Q19" t="s">
        <v>251</v>
      </c>
      <c r="S19" t="s">
        <v>420</v>
      </c>
      <c r="T19" t="s">
        <v>259</v>
      </c>
      <c r="U19">
        <v>1.9754903091872038E-2</v>
      </c>
      <c r="V19" t="s">
        <v>251</v>
      </c>
      <c r="X19">
        <v>1.9178082191780823E-2</v>
      </c>
      <c r="Y19">
        <v>4.1024621070863279E-3</v>
      </c>
      <c r="Z19" t="s">
        <v>259</v>
      </c>
      <c r="AA19" t="s">
        <v>25</v>
      </c>
      <c r="AC19" t="s">
        <v>22</v>
      </c>
      <c r="AD19" t="s">
        <v>259</v>
      </c>
      <c r="AE19">
        <v>2.2896086115652619E-2</v>
      </c>
      <c r="AG19" t="s">
        <v>97</v>
      </c>
      <c r="AH19" t="s">
        <v>259</v>
      </c>
      <c r="AI19">
        <v>0.12864077698193355</v>
      </c>
    </row>
    <row r="20" spans="3:35" x14ac:dyDescent="0.45">
      <c r="C20" t="s">
        <v>174</v>
      </c>
      <c r="I20" t="s">
        <v>249</v>
      </c>
      <c r="J20" t="s">
        <v>260</v>
      </c>
      <c r="K20">
        <v>0</v>
      </c>
      <c r="L20" t="s">
        <v>251</v>
      </c>
      <c r="N20" t="s">
        <v>419</v>
      </c>
      <c r="O20" t="s">
        <v>260</v>
      </c>
      <c r="P20">
        <v>3.7740954442265625E-3</v>
      </c>
      <c r="Q20" t="s">
        <v>251</v>
      </c>
      <c r="S20" t="s">
        <v>420</v>
      </c>
      <c r="T20" t="s">
        <v>260</v>
      </c>
      <c r="U20">
        <v>3.2951224764679998E-3</v>
      </c>
      <c r="V20" t="s">
        <v>251</v>
      </c>
      <c r="X20">
        <v>3.1963470319634705E-3</v>
      </c>
      <c r="Y20">
        <v>4.7336101235611484E-3</v>
      </c>
      <c r="Z20" t="s">
        <v>260</v>
      </c>
      <c r="AA20" t="s">
        <v>25</v>
      </c>
      <c r="AC20" t="s">
        <v>22</v>
      </c>
      <c r="AD20" t="s">
        <v>260</v>
      </c>
      <c r="AE20">
        <v>2.9647089268274645E-3</v>
      </c>
      <c r="AG20" t="s">
        <v>97</v>
      </c>
      <c r="AH20" t="s">
        <v>260</v>
      </c>
      <c r="AI20">
        <v>3.3859865116665055E-2</v>
      </c>
    </row>
    <row r="21" spans="3:35" x14ac:dyDescent="0.45">
      <c r="C21" t="s">
        <v>176</v>
      </c>
      <c r="I21" t="s">
        <v>249</v>
      </c>
      <c r="J21" t="s">
        <v>261</v>
      </c>
      <c r="K21">
        <v>1.4992998855750718E-3</v>
      </c>
      <c r="L21" t="s">
        <v>251</v>
      </c>
      <c r="N21" t="s">
        <v>419</v>
      </c>
      <c r="O21" t="s">
        <v>261</v>
      </c>
      <c r="P21">
        <v>3.6923333232428317E-3</v>
      </c>
      <c r="Q21" t="s">
        <v>251</v>
      </c>
      <c r="S21" t="s">
        <v>420</v>
      </c>
      <c r="T21" t="s">
        <v>261</v>
      </c>
      <c r="U21">
        <v>3.3367695807182242E-3</v>
      </c>
      <c r="V21" t="s">
        <v>251</v>
      </c>
      <c r="X21">
        <v>3.1963470319634705E-3</v>
      </c>
      <c r="Y21">
        <v>5.3369133746032542E-3</v>
      </c>
      <c r="Z21" t="s">
        <v>261</v>
      </c>
      <c r="AA21" t="s">
        <v>25</v>
      </c>
      <c r="AC21" t="s">
        <v>22</v>
      </c>
      <c r="AD21" t="s">
        <v>261</v>
      </c>
      <c r="AE21">
        <v>2.8542655632568538E-3</v>
      </c>
      <c r="AG21" t="s">
        <v>97</v>
      </c>
      <c r="AH21" t="s">
        <v>261</v>
      </c>
      <c r="AI21">
        <v>3.8486308157986038E-2</v>
      </c>
    </row>
    <row r="22" spans="3:35" x14ac:dyDescent="0.45">
      <c r="C22" t="s">
        <v>178</v>
      </c>
      <c r="I22" t="s">
        <v>249</v>
      </c>
      <c r="J22" t="s">
        <v>262</v>
      </c>
      <c r="K22">
        <v>5.1766651636087666E-2</v>
      </c>
      <c r="L22" t="s">
        <v>251</v>
      </c>
      <c r="N22" t="s">
        <v>419</v>
      </c>
      <c r="O22" t="s">
        <v>262</v>
      </c>
      <c r="P22">
        <v>2.2324505427612603E-2</v>
      </c>
      <c r="Q22" t="s">
        <v>251</v>
      </c>
      <c r="S22" t="s">
        <v>420</v>
      </c>
      <c r="T22" t="s">
        <v>262</v>
      </c>
      <c r="U22">
        <v>2.2551272067444204E-2</v>
      </c>
      <c r="V22" t="s">
        <v>251</v>
      </c>
      <c r="X22">
        <v>2.2374429223744292E-2</v>
      </c>
      <c r="Y22">
        <v>2.8383097564411743E-2</v>
      </c>
      <c r="Z22" t="s">
        <v>262</v>
      </c>
      <c r="AA22" t="s">
        <v>25</v>
      </c>
      <c r="AC22" t="s">
        <v>22</v>
      </c>
      <c r="AD22" t="s">
        <v>262</v>
      </c>
      <c r="AE22">
        <v>2.2611760915675246E-2</v>
      </c>
      <c r="AG22" t="s">
        <v>97</v>
      </c>
      <c r="AH22" t="s">
        <v>262</v>
      </c>
      <c r="AI22">
        <v>0.25495227960040112</v>
      </c>
    </row>
    <row r="23" spans="3:35" x14ac:dyDescent="0.45">
      <c r="I23" t="s">
        <v>249</v>
      </c>
      <c r="J23" t="s">
        <v>263</v>
      </c>
      <c r="K23">
        <v>7.7527070420746998E-3</v>
      </c>
      <c r="L23" t="s">
        <v>251</v>
      </c>
      <c r="N23" t="s">
        <v>419</v>
      </c>
      <c r="O23" t="s">
        <v>263</v>
      </c>
      <c r="P23">
        <v>3.1634338998694418E-3</v>
      </c>
      <c r="Q23" t="s">
        <v>251</v>
      </c>
      <c r="S23" t="s">
        <v>420</v>
      </c>
      <c r="T23" t="s">
        <v>263</v>
      </c>
      <c r="U23">
        <v>3.2777538177060517E-3</v>
      </c>
      <c r="V23" t="s">
        <v>251</v>
      </c>
      <c r="X23">
        <v>3.1963470319634705E-3</v>
      </c>
      <c r="Y23">
        <v>4.8264260083368555E-3</v>
      </c>
      <c r="Z23" t="s">
        <v>263</v>
      </c>
      <c r="AA23" t="s">
        <v>25</v>
      </c>
      <c r="AC23" t="s">
        <v>22</v>
      </c>
      <c r="AD23" t="s">
        <v>263</v>
      </c>
      <c r="AE23">
        <v>3.7331394554868057E-3</v>
      </c>
      <c r="AG23" t="s">
        <v>97</v>
      </c>
      <c r="AH23" t="s">
        <v>263</v>
      </c>
      <c r="AI23">
        <v>6.1402087948880135E-2</v>
      </c>
    </row>
    <row r="24" spans="3:35" x14ac:dyDescent="0.45">
      <c r="I24" t="s">
        <v>249</v>
      </c>
      <c r="J24" t="s">
        <v>264</v>
      </c>
      <c r="K24">
        <v>6.9369952756191998E-3</v>
      </c>
      <c r="L24" t="s">
        <v>251</v>
      </c>
      <c r="N24" t="s">
        <v>419</v>
      </c>
      <c r="O24" t="s">
        <v>264</v>
      </c>
      <c r="P24">
        <v>3.1287299784836832E-3</v>
      </c>
      <c r="Q24" t="s">
        <v>251</v>
      </c>
      <c r="S24" t="s">
        <v>420</v>
      </c>
      <c r="T24" t="s">
        <v>264</v>
      </c>
      <c r="U24">
        <v>3.207477124844925E-3</v>
      </c>
      <c r="V24" t="s">
        <v>251</v>
      </c>
      <c r="X24">
        <v>3.1963470319634705E-3</v>
      </c>
      <c r="Y24">
        <v>6.2186642799724884E-3</v>
      </c>
      <c r="Z24" t="s">
        <v>264</v>
      </c>
      <c r="AA24" t="s">
        <v>25</v>
      </c>
      <c r="AC24" t="s">
        <v>22</v>
      </c>
      <c r="AD24" t="s">
        <v>264</v>
      </c>
      <c r="AE24">
        <v>3.7572688778670866E-3</v>
      </c>
      <c r="AG24" t="s">
        <v>97</v>
      </c>
      <c r="AH24" t="s">
        <v>264</v>
      </c>
      <c r="AI24">
        <v>4.131887142725077E-2</v>
      </c>
    </row>
    <row r="25" spans="3:35" x14ac:dyDescent="0.45">
      <c r="I25" t="s">
        <v>249</v>
      </c>
      <c r="J25" t="s">
        <v>265</v>
      </c>
      <c r="K25">
        <v>5.2681138919458571E-3</v>
      </c>
      <c r="L25" t="s">
        <v>251</v>
      </c>
      <c r="N25" t="s">
        <v>419</v>
      </c>
      <c r="O25" t="s">
        <v>265</v>
      </c>
      <c r="P25">
        <v>3.195747205006759E-3</v>
      </c>
      <c r="Q25" t="s">
        <v>251</v>
      </c>
      <c r="S25" t="s">
        <v>420</v>
      </c>
      <c r="T25" t="s">
        <v>265</v>
      </c>
      <c r="U25">
        <v>3.2125535585024651E-3</v>
      </c>
      <c r="V25" t="s">
        <v>251</v>
      </c>
      <c r="X25">
        <v>3.1963470319634705E-3</v>
      </c>
      <c r="Y25">
        <v>6.2186642799724884E-3</v>
      </c>
      <c r="Z25" t="s">
        <v>265</v>
      </c>
      <c r="AA25" t="s">
        <v>25</v>
      </c>
      <c r="AC25" t="s">
        <v>22</v>
      </c>
      <c r="AD25" t="s">
        <v>265</v>
      </c>
      <c r="AE25">
        <v>3.8128013648607842E-3</v>
      </c>
      <c r="AG25" t="s">
        <v>97</v>
      </c>
      <c r="AH25" t="s">
        <v>265</v>
      </c>
      <c r="AI25">
        <v>4.7685309383565633E-2</v>
      </c>
    </row>
    <row r="26" spans="3:35" x14ac:dyDescent="0.45">
      <c r="I26" t="s">
        <v>249</v>
      </c>
      <c r="J26" t="s">
        <v>266</v>
      </c>
      <c r="K26">
        <v>1.4233024215025481E-3</v>
      </c>
      <c r="L26" t="s">
        <v>251</v>
      </c>
      <c r="N26" t="s">
        <v>419</v>
      </c>
      <c r="O26" t="s">
        <v>266</v>
      </c>
      <c r="P26">
        <v>2.2390086492101429E-2</v>
      </c>
      <c r="Q26" t="s">
        <v>251</v>
      </c>
      <c r="S26" t="s">
        <v>420</v>
      </c>
      <c r="T26" t="s">
        <v>266</v>
      </c>
      <c r="U26">
        <v>2.1220689791239932E-2</v>
      </c>
      <c r="V26" t="s">
        <v>251</v>
      </c>
      <c r="X26">
        <v>1.9178082191780823E-2</v>
      </c>
      <c r="Y26">
        <v>1.6892491029178995E-2</v>
      </c>
      <c r="Z26" t="s">
        <v>266</v>
      </c>
      <c r="AA26" t="s">
        <v>25</v>
      </c>
      <c r="AC26" t="s">
        <v>22</v>
      </c>
      <c r="AD26" t="s">
        <v>266</v>
      </c>
      <c r="AE26">
        <v>2.3465842218325692E-2</v>
      </c>
      <c r="AG26" t="s">
        <v>97</v>
      </c>
      <c r="AH26" t="s">
        <v>266</v>
      </c>
      <c r="AI26">
        <v>0.10329064660861342</v>
      </c>
    </row>
    <row r="27" spans="3:35" x14ac:dyDescent="0.45">
      <c r="I27" t="s">
        <v>249</v>
      </c>
      <c r="J27" t="s">
        <v>267</v>
      </c>
      <c r="K27">
        <v>0</v>
      </c>
      <c r="L27" t="s">
        <v>251</v>
      </c>
      <c r="N27" t="s">
        <v>419</v>
      </c>
      <c r="O27" t="s">
        <v>267</v>
      </c>
      <c r="P27">
        <v>2.3696513651476212E-2</v>
      </c>
      <c r="Q27" t="s">
        <v>251</v>
      </c>
      <c r="S27" t="s">
        <v>420</v>
      </c>
      <c r="T27" t="s">
        <v>267</v>
      </c>
      <c r="U27">
        <v>2.2481855357132385E-2</v>
      </c>
      <c r="V27" t="s">
        <v>251</v>
      </c>
      <c r="X27">
        <v>2.1232876712328767E-2</v>
      </c>
      <c r="Y27">
        <v>4.5420116185598634E-3</v>
      </c>
      <c r="Z27" t="s">
        <v>267</v>
      </c>
      <c r="AA27" t="s">
        <v>25</v>
      </c>
      <c r="AC27" t="s">
        <v>22</v>
      </c>
      <c r="AD27" t="s">
        <v>267</v>
      </c>
      <c r="AE27">
        <v>2.2591121974294134E-2</v>
      </c>
      <c r="AG27" t="s">
        <v>97</v>
      </c>
      <c r="AH27" t="s">
        <v>267</v>
      </c>
      <c r="AI27">
        <v>0.19029896922146872</v>
      </c>
    </row>
    <row r="28" spans="3:35" x14ac:dyDescent="0.45">
      <c r="I28" t="s">
        <v>249</v>
      </c>
      <c r="J28" t="s">
        <v>268</v>
      </c>
      <c r="K28">
        <v>3.098396949005206E-4</v>
      </c>
      <c r="L28" t="s">
        <v>251</v>
      </c>
      <c r="N28" t="s">
        <v>419</v>
      </c>
      <c r="O28" t="s">
        <v>268</v>
      </c>
      <c r="P28">
        <v>3.8857602971645077E-3</v>
      </c>
      <c r="Q28" t="s">
        <v>251</v>
      </c>
      <c r="S28" t="s">
        <v>420</v>
      </c>
      <c r="T28" t="s">
        <v>268</v>
      </c>
      <c r="U28">
        <v>3.5880290938523677E-3</v>
      </c>
      <c r="V28" t="s">
        <v>251</v>
      </c>
      <c r="X28">
        <v>3.5388127853881279E-3</v>
      </c>
      <c r="Y28">
        <v>5.240782636799844E-3</v>
      </c>
      <c r="Z28" t="s">
        <v>268</v>
      </c>
      <c r="AA28" t="s">
        <v>25</v>
      </c>
      <c r="AC28" t="s">
        <v>22</v>
      </c>
      <c r="AD28" t="s">
        <v>268</v>
      </c>
      <c r="AE28">
        <v>2.8899980794006869E-3</v>
      </c>
      <c r="AG28" t="s">
        <v>97</v>
      </c>
      <c r="AH28" t="s">
        <v>268</v>
      </c>
      <c r="AI28">
        <v>5.7731845492582368E-2</v>
      </c>
    </row>
    <row r="29" spans="3:35" x14ac:dyDescent="0.45">
      <c r="I29" t="s">
        <v>249</v>
      </c>
      <c r="J29" t="s">
        <v>269</v>
      </c>
      <c r="K29">
        <v>4.6947273088958604E-3</v>
      </c>
      <c r="L29" t="s">
        <v>251</v>
      </c>
      <c r="N29" t="s">
        <v>419</v>
      </c>
      <c r="O29" t="s">
        <v>269</v>
      </c>
      <c r="P29">
        <v>3.6912018004516918E-3</v>
      </c>
      <c r="Q29" t="s">
        <v>251</v>
      </c>
      <c r="S29" t="s">
        <v>420</v>
      </c>
      <c r="T29" t="s">
        <v>269</v>
      </c>
      <c r="U29">
        <v>3.6183869490340197E-3</v>
      </c>
      <c r="V29" t="s">
        <v>251</v>
      </c>
      <c r="X29">
        <v>3.5388127853881279E-3</v>
      </c>
      <c r="Y29">
        <v>5.9087255218821738E-3</v>
      </c>
      <c r="Z29" t="s">
        <v>269</v>
      </c>
      <c r="AA29" t="s">
        <v>25</v>
      </c>
      <c r="AC29" t="s">
        <v>22</v>
      </c>
      <c r="AD29" t="s">
        <v>269</v>
      </c>
      <c r="AE29">
        <v>2.8130355065919548E-3</v>
      </c>
      <c r="AG29" t="s">
        <v>97</v>
      </c>
      <c r="AH29" t="s">
        <v>269</v>
      </c>
      <c r="AI29">
        <v>4.5896852839682145E-2</v>
      </c>
    </row>
    <row r="30" spans="3:35" x14ac:dyDescent="0.45">
      <c r="I30" t="s">
        <v>249</v>
      </c>
      <c r="J30" t="s">
        <v>270</v>
      </c>
      <c r="K30">
        <v>6.0680554667195602E-2</v>
      </c>
      <c r="L30" t="s">
        <v>251</v>
      </c>
      <c r="N30" t="s">
        <v>419</v>
      </c>
      <c r="O30" t="s">
        <v>270</v>
      </c>
      <c r="P30">
        <v>2.3114177176220312E-2</v>
      </c>
      <c r="Q30" t="s">
        <v>251</v>
      </c>
      <c r="S30" t="s">
        <v>420</v>
      </c>
      <c r="T30" t="s">
        <v>270</v>
      </c>
      <c r="U30">
        <v>2.3473608931984646E-2</v>
      </c>
      <c r="V30" t="s">
        <v>251</v>
      </c>
      <c r="X30">
        <v>2.4771689497716895E-2</v>
      </c>
      <c r="Y30">
        <v>3.1424143732027281E-2</v>
      </c>
      <c r="Z30" t="s">
        <v>270</v>
      </c>
      <c r="AA30" t="s">
        <v>25</v>
      </c>
      <c r="AC30" t="s">
        <v>22</v>
      </c>
      <c r="AD30" t="s">
        <v>270</v>
      </c>
      <c r="AE30">
        <v>2.3828142970877594E-2</v>
      </c>
      <c r="AG30" t="s">
        <v>97</v>
      </c>
      <c r="AH30" t="s">
        <v>270</v>
      </c>
      <c r="AI30">
        <v>0.25131970288420269</v>
      </c>
    </row>
    <row r="31" spans="3:35" x14ac:dyDescent="0.45">
      <c r="I31" t="s">
        <v>249</v>
      </c>
      <c r="J31" t="s">
        <v>271</v>
      </c>
      <c r="K31">
        <v>8.5743995904747003E-3</v>
      </c>
      <c r="L31" t="s">
        <v>251</v>
      </c>
      <c r="N31" t="s">
        <v>419</v>
      </c>
      <c r="O31" t="s">
        <v>271</v>
      </c>
      <c r="P31">
        <v>3.3965600826528692E-3</v>
      </c>
      <c r="Q31" t="s">
        <v>251</v>
      </c>
      <c r="S31" t="s">
        <v>420</v>
      </c>
      <c r="T31" t="s">
        <v>271</v>
      </c>
      <c r="U31">
        <v>3.5377034987083399E-3</v>
      </c>
      <c r="V31" t="s">
        <v>251</v>
      </c>
      <c r="X31">
        <v>3.5388127853881279E-3</v>
      </c>
      <c r="Y31">
        <v>5.3435430806586613E-3</v>
      </c>
      <c r="Z31" t="s">
        <v>271</v>
      </c>
      <c r="AA31" t="s">
        <v>25</v>
      </c>
      <c r="AC31" t="s">
        <v>22</v>
      </c>
      <c r="AD31" t="s">
        <v>271</v>
      </c>
      <c r="AE31">
        <v>3.864010379669026E-3</v>
      </c>
      <c r="AG31" t="s">
        <v>97</v>
      </c>
      <c r="AH31" t="s">
        <v>271</v>
      </c>
      <c r="AI31">
        <v>7.296282269468457E-2</v>
      </c>
    </row>
    <row r="32" spans="3:35" x14ac:dyDescent="0.45">
      <c r="I32" t="s">
        <v>249</v>
      </c>
      <c r="J32" t="s">
        <v>272</v>
      </c>
      <c r="K32">
        <v>7.7274077237577E-3</v>
      </c>
      <c r="L32" t="s">
        <v>251</v>
      </c>
      <c r="N32" t="s">
        <v>419</v>
      </c>
      <c r="O32" t="s">
        <v>272</v>
      </c>
      <c r="P32">
        <v>3.3435607283967025E-3</v>
      </c>
      <c r="Q32" t="s">
        <v>251</v>
      </c>
      <c r="S32" t="s">
        <v>420</v>
      </c>
      <c r="T32" t="s">
        <v>272</v>
      </c>
      <c r="U32">
        <v>3.4445733437099288E-3</v>
      </c>
      <c r="V32" t="s">
        <v>251</v>
      </c>
      <c r="X32">
        <v>3.5388127853881279E-3</v>
      </c>
      <c r="Y32">
        <v>6.8849497385409693E-3</v>
      </c>
      <c r="Z32" t="s">
        <v>272</v>
      </c>
      <c r="AA32" t="s">
        <v>25</v>
      </c>
      <c r="AC32" t="s">
        <v>22</v>
      </c>
      <c r="AD32" t="s">
        <v>272</v>
      </c>
      <c r="AE32">
        <v>3.9253617270921153E-3</v>
      </c>
      <c r="AG32" t="s">
        <v>97</v>
      </c>
      <c r="AH32" t="s">
        <v>272</v>
      </c>
      <c r="AI32">
        <v>6.5117229720367042E-2</v>
      </c>
    </row>
    <row r="33" spans="9:35" x14ac:dyDescent="0.45">
      <c r="I33" t="s">
        <v>249</v>
      </c>
      <c r="J33" t="s">
        <v>273</v>
      </c>
      <c r="K33">
        <v>6.1223491736783998E-3</v>
      </c>
      <c r="L33" t="s">
        <v>251</v>
      </c>
      <c r="N33" t="s">
        <v>419</v>
      </c>
      <c r="O33" t="s">
        <v>273</v>
      </c>
      <c r="P33">
        <v>3.3132880062322922E-3</v>
      </c>
      <c r="Q33" t="s">
        <v>251</v>
      </c>
      <c r="S33" t="s">
        <v>420</v>
      </c>
      <c r="T33" t="s">
        <v>273</v>
      </c>
      <c r="U33">
        <v>3.498821357711757E-3</v>
      </c>
      <c r="V33" t="s">
        <v>251</v>
      </c>
      <c r="X33">
        <v>3.5388127853881279E-3</v>
      </c>
      <c r="Y33">
        <v>6.8849497385409693E-3</v>
      </c>
      <c r="Z33" t="s">
        <v>273</v>
      </c>
      <c r="AA33" t="s">
        <v>25</v>
      </c>
      <c r="AC33" t="s">
        <v>22</v>
      </c>
      <c r="AD33" t="s">
        <v>273</v>
      </c>
      <c r="AE33">
        <v>3.9481492179717845E-3</v>
      </c>
      <c r="AG33" t="s">
        <v>97</v>
      </c>
      <c r="AH33" t="s">
        <v>273</v>
      </c>
      <c r="AI33">
        <v>6.4590164827822427E-2</v>
      </c>
    </row>
    <row r="34" spans="9:35" x14ac:dyDescent="0.45">
      <c r="I34" t="s">
        <v>249</v>
      </c>
      <c r="J34" t="s">
        <v>274</v>
      </c>
      <c r="K34">
        <v>3.3081446193830759E-3</v>
      </c>
      <c r="L34" t="s">
        <v>251</v>
      </c>
      <c r="N34" t="s">
        <v>419</v>
      </c>
      <c r="O34" t="s">
        <v>274</v>
      </c>
      <c r="P34">
        <v>2.387487882341412E-2</v>
      </c>
      <c r="Q34" t="s">
        <v>251</v>
      </c>
      <c r="S34" t="s">
        <v>420</v>
      </c>
      <c r="T34" t="s">
        <v>274</v>
      </c>
      <c r="U34">
        <v>2.5380273552431849E-2</v>
      </c>
      <c r="V34" t="s">
        <v>251</v>
      </c>
      <c r="X34">
        <v>2.1232876712328767E-2</v>
      </c>
      <c r="Y34">
        <v>1.8702400782305319E-2</v>
      </c>
      <c r="Z34" t="s">
        <v>274</v>
      </c>
      <c r="AA34" t="s">
        <v>25</v>
      </c>
      <c r="AC34" t="s">
        <v>22</v>
      </c>
      <c r="AD34" t="s">
        <v>274</v>
      </c>
      <c r="AE34">
        <v>2.3949252428938625E-2</v>
      </c>
      <c r="AG34" t="s">
        <v>97</v>
      </c>
      <c r="AH34" t="s">
        <v>274</v>
      </c>
      <c r="AI34">
        <v>0.10463476900940427</v>
      </c>
    </row>
    <row r="35" spans="9:35" x14ac:dyDescent="0.45">
      <c r="I35" t="s">
        <v>249</v>
      </c>
      <c r="J35" t="s">
        <v>299</v>
      </c>
      <c r="K35">
        <v>3.9643991682068213E-8</v>
      </c>
      <c r="L35" t="s">
        <v>251</v>
      </c>
      <c r="N35" t="s">
        <v>419</v>
      </c>
      <c r="O35" t="s">
        <v>299</v>
      </c>
      <c r="P35">
        <v>2.5869099599477884E-2</v>
      </c>
      <c r="Q35" t="s">
        <v>251</v>
      </c>
      <c r="S35" t="s">
        <v>420</v>
      </c>
      <c r="T35" t="s">
        <v>299</v>
      </c>
      <c r="U35">
        <v>2.5681260124252221E-2</v>
      </c>
      <c r="V35" t="s">
        <v>251</v>
      </c>
      <c r="X35">
        <v>2.0547945205479451E-2</v>
      </c>
      <c r="Y35">
        <v>4.3954951147353507E-3</v>
      </c>
      <c r="Z35" t="s">
        <v>299</v>
      </c>
      <c r="AA35" t="s">
        <v>25</v>
      </c>
      <c r="AC35" t="s">
        <v>22</v>
      </c>
      <c r="AD35" t="s">
        <v>299</v>
      </c>
      <c r="AE35">
        <v>1.9603501346148886E-2</v>
      </c>
      <c r="AG35" t="s">
        <v>97</v>
      </c>
      <c r="AH35" t="s">
        <v>299</v>
      </c>
      <c r="AI35">
        <v>0.19976052691896506</v>
      </c>
    </row>
    <row r="36" spans="9:35" x14ac:dyDescent="0.45">
      <c r="I36" t="s">
        <v>249</v>
      </c>
      <c r="J36" t="s">
        <v>300</v>
      </c>
      <c r="K36">
        <v>2.9835807767553241E-3</v>
      </c>
      <c r="L36" t="s">
        <v>251</v>
      </c>
      <c r="N36" t="s">
        <v>419</v>
      </c>
      <c r="O36" t="s">
        <v>300</v>
      </c>
      <c r="P36">
        <v>4.0462097063318318E-3</v>
      </c>
      <c r="Q36" t="s">
        <v>251</v>
      </c>
      <c r="S36" t="s">
        <v>420</v>
      </c>
      <c r="T36" t="s">
        <v>300</v>
      </c>
      <c r="U36">
        <v>4.0794251722387799E-3</v>
      </c>
      <c r="V36" t="s">
        <v>251</v>
      </c>
      <c r="X36">
        <v>3.4246575342465752E-3</v>
      </c>
      <c r="Y36">
        <v>5.0717251323869452E-3</v>
      </c>
      <c r="Z36" t="s">
        <v>300</v>
      </c>
      <c r="AA36" t="s">
        <v>25</v>
      </c>
      <c r="AC36" t="s">
        <v>22</v>
      </c>
      <c r="AD36" t="s">
        <v>300</v>
      </c>
      <c r="AE36">
        <v>2.6041861740206322E-3</v>
      </c>
      <c r="AG36" t="s">
        <v>97</v>
      </c>
      <c r="AH36" t="s">
        <v>300</v>
      </c>
      <c r="AI36">
        <v>4.6989301675159023E-2</v>
      </c>
    </row>
    <row r="37" spans="9:35" x14ac:dyDescent="0.45">
      <c r="I37" t="s">
        <v>249</v>
      </c>
      <c r="J37" t="s">
        <v>301</v>
      </c>
      <c r="K37">
        <v>6.3119455269569002E-3</v>
      </c>
      <c r="L37" t="s">
        <v>251</v>
      </c>
      <c r="N37" t="s">
        <v>419</v>
      </c>
      <c r="O37" t="s">
        <v>301</v>
      </c>
      <c r="P37">
        <v>3.6579561231334231E-3</v>
      </c>
      <c r="Q37" t="s">
        <v>251</v>
      </c>
      <c r="S37" t="s">
        <v>420</v>
      </c>
      <c r="T37" t="s">
        <v>301</v>
      </c>
      <c r="U37">
        <v>3.9970054852407023E-3</v>
      </c>
      <c r="V37" t="s">
        <v>251</v>
      </c>
      <c r="X37">
        <v>3.4246575342465752E-3</v>
      </c>
      <c r="Y37">
        <v>5.7181214727892006E-3</v>
      </c>
      <c r="Z37" t="s">
        <v>301</v>
      </c>
      <c r="AA37" t="s">
        <v>25</v>
      </c>
      <c r="AC37" t="s">
        <v>22</v>
      </c>
      <c r="AD37" t="s">
        <v>301</v>
      </c>
      <c r="AE37">
        <v>2.5364711900003091E-3</v>
      </c>
      <c r="AG37" t="s">
        <v>97</v>
      </c>
      <c r="AH37" t="s">
        <v>301</v>
      </c>
      <c r="AI37">
        <v>4.7432229729670761E-2</v>
      </c>
    </row>
    <row r="38" spans="9:35" x14ac:dyDescent="0.45">
      <c r="I38" t="s">
        <v>249</v>
      </c>
      <c r="J38" t="s">
        <v>302</v>
      </c>
      <c r="K38">
        <v>6.3004707507981997E-2</v>
      </c>
      <c r="L38" t="s">
        <v>251</v>
      </c>
      <c r="N38" t="s">
        <v>419</v>
      </c>
      <c r="O38" t="s">
        <v>302</v>
      </c>
      <c r="P38">
        <v>2.5309534118686337E-2</v>
      </c>
      <c r="Q38" t="s">
        <v>251</v>
      </c>
      <c r="S38" t="s">
        <v>420</v>
      </c>
      <c r="T38" t="s">
        <v>302</v>
      </c>
      <c r="U38">
        <v>2.5526334347950597E-2</v>
      </c>
      <c r="V38" t="s">
        <v>251</v>
      </c>
      <c r="X38">
        <v>2.3972602739726026E-2</v>
      </c>
      <c r="Y38">
        <v>3.0410461676155433E-2</v>
      </c>
      <c r="Z38" t="s">
        <v>302</v>
      </c>
      <c r="AA38" t="s">
        <v>25</v>
      </c>
      <c r="AC38" t="s">
        <v>22</v>
      </c>
      <c r="AD38" t="s">
        <v>302</v>
      </c>
      <c r="AE38">
        <v>2.1912935867665611E-2</v>
      </c>
      <c r="AG38" t="s">
        <v>97</v>
      </c>
      <c r="AH38" t="s">
        <v>302</v>
      </c>
      <c r="AI38">
        <v>0.27985849117652761</v>
      </c>
    </row>
    <row r="39" spans="9:35" x14ac:dyDescent="0.45">
      <c r="I39" t="s">
        <v>249</v>
      </c>
      <c r="J39" t="s">
        <v>303</v>
      </c>
      <c r="K39">
        <v>8.7096659273677001E-3</v>
      </c>
      <c r="L39" t="s">
        <v>251</v>
      </c>
      <c r="N39" t="s">
        <v>419</v>
      </c>
      <c r="O39" t="s">
        <v>303</v>
      </c>
      <c r="P39">
        <v>3.7310920823443853E-3</v>
      </c>
      <c r="Q39" t="s">
        <v>251</v>
      </c>
      <c r="S39" t="s">
        <v>420</v>
      </c>
      <c r="T39" t="s">
        <v>303</v>
      </c>
      <c r="U39">
        <v>3.8578398457758518E-3</v>
      </c>
      <c r="V39" t="s">
        <v>251</v>
      </c>
      <c r="X39">
        <v>3.4246575342465752E-3</v>
      </c>
      <c r="Y39">
        <v>5.1711707232180593E-3</v>
      </c>
      <c r="Z39" t="s">
        <v>303</v>
      </c>
      <c r="AA39" t="s">
        <v>25</v>
      </c>
      <c r="AC39" t="s">
        <v>22</v>
      </c>
      <c r="AD39" t="s">
        <v>303</v>
      </c>
      <c r="AE39">
        <v>3.4608755107966372E-3</v>
      </c>
      <c r="AG39" t="s">
        <v>97</v>
      </c>
      <c r="AH39" t="s">
        <v>303</v>
      </c>
      <c r="AI39">
        <v>7.9496397641006356E-2</v>
      </c>
    </row>
    <row r="40" spans="9:35" x14ac:dyDescent="0.45">
      <c r="I40" t="s">
        <v>249</v>
      </c>
      <c r="J40" t="s">
        <v>304</v>
      </c>
      <c r="K40">
        <v>7.9061939428314992E-3</v>
      </c>
      <c r="L40" t="s">
        <v>251</v>
      </c>
      <c r="N40" t="s">
        <v>419</v>
      </c>
      <c r="O40" t="s">
        <v>304</v>
      </c>
      <c r="P40">
        <v>3.6932451873580292E-3</v>
      </c>
      <c r="Q40" t="s">
        <v>251</v>
      </c>
      <c r="S40" t="s">
        <v>420</v>
      </c>
      <c r="T40" t="s">
        <v>304</v>
      </c>
      <c r="U40">
        <v>3.7160579524920107E-3</v>
      </c>
      <c r="V40" t="s">
        <v>251</v>
      </c>
      <c r="X40">
        <v>3.4246575342465752E-3</v>
      </c>
      <c r="Y40">
        <v>6.662854585684809E-3</v>
      </c>
      <c r="Z40" t="s">
        <v>304</v>
      </c>
      <c r="AA40" t="s">
        <v>25</v>
      </c>
      <c r="AC40" t="s">
        <v>22</v>
      </c>
      <c r="AD40" t="s">
        <v>304</v>
      </c>
      <c r="AE40">
        <v>3.5218002680667483E-3</v>
      </c>
      <c r="AG40" t="s">
        <v>97</v>
      </c>
      <c r="AH40" t="s">
        <v>304</v>
      </c>
      <c r="AI40">
        <v>8.98582995951418E-2</v>
      </c>
    </row>
    <row r="41" spans="9:35" x14ac:dyDescent="0.45">
      <c r="I41" t="s">
        <v>249</v>
      </c>
      <c r="J41" t="s">
        <v>305</v>
      </c>
      <c r="K41">
        <v>6.6288090420439996E-3</v>
      </c>
      <c r="L41" t="s">
        <v>251</v>
      </c>
      <c r="N41" t="s">
        <v>419</v>
      </c>
      <c r="O41" t="s">
        <v>305</v>
      </c>
      <c r="P41">
        <v>3.6443678514296437E-3</v>
      </c>
      <c r="Q41" t="s">
        <v>251</v>
      </c>
      <c r="S41" t="s">
        <v>420</v>
      </c>
      <c r="T41" t="s">
        <v>305</v>
      </c>
      <c r="U41">
        <v>3.7643623151889468E-3</v>
      </c>
      <c r="V41" t="s">
        <v>251</v>
      </c>
      <c r="X41">
        <v>3.4246575342465752E-3</v>
      </c>
      <c r="Y41">
        <v>6.662854585684809E-3</v>
      </c>
      <c r="Z41" t="s">
        <v>305</v>
      </c>
      <c r="AA41" t="s">
        <v>25</v>
      </c>
      <c r="AC41" t="s">
        <v>22</v>
      </c>
      <c r="AD41" t="s">
        <v>305</v>
      </c>
      <c r="AE41">
        <v>3.4742617443900138E-3</v>
      </c>
      <c r="AG41" t="s">
        <v>97</v>
      </c>
      <c r="AH41" t="s">
        <v>305</v>
      </c>
      <c r="AI41">
        <v>9.490312773469789E-2</v>
      </c>
    </row>
    <row r="42" spans="9:35" x14ac:dyDescent="0.45">
      <c r="I42" t="s">
        <v>249</v>
      </c>
      <c r="J42" t="s">
        <v>306</v>
      </c>
      <c r="K42">
        <v>5.1168688102999783E-3</v>
      </c>
      <c r="L42" t="s">
        <v>251</v>
      </c>
      <c r="N42" t="s">
        <v>419</v>
      </c>
      <c r="O42" t="s">
        <v>306</v>
      </c>
      <c r="P42">
        <v>2.5695716582115717E-2</v>
      </c>
      <c r="Q42" t="s">
        <v>251</v>
      </c>
      <c r="S42" t="s">
        <v>420</v>
      </c>
      <c r="T42" t="s">
        <v>306</v>
      </c>
      <c r="U42">
        <v>2.5455933039626823E-2</v>
      </c>
      <c r="V42" t="s">
        <v>251</v>
      </c>
      <c r="X42">
        <v>2.0547945205479451E-2</v>
      </c>
      <c r="Y42">
        <v>1.8099097531263209E-2</v>
      </c>
      <c r="Z42" t="s">
        <v>306</v>
      </c>
      <c r="AA42" t="s">
        <v>25</v>
      </c>
      <c r="AC42" t="s">
        <v>22</v>
      </c>
      <c r="AD42" t="s">
        <v>306</v>
      </c>
      <c r="AE42">
        <v>2.1061828730339335E-2</v>
      </c>
      <c r="AG42" t="s">
        <v>97</v>
      </c>
      <c r="AH42" t="s">
        <v>306</v>
      </c>
      <c r="AI42">
        <v>0.11698992717501278</v>
      </c>
    </row>
    <row r="43" spans="9:35" x14ac:dyDescent="0.45">
      <c r="I43" t="s">
        <v>249</v>
      </c>
      <c r="J43" t="s">
        <v>331</v>
      </c>
      <c r="K43">
        <v>4.9335144791813233E-4</v>
      </c>
      <c r="L43" t="s">
        <v>251</v>
      </c>
      <c r="N43" t="s">
        <v>419</v>
      </c>
      <c r="O43" t="s">
        <v>331</v>
      </c>
      <c r="P43">
        <v>2.3619791243746632E-2</v>
      </c>
      <c r="Q43" t="s">
        <v>251</v>
      </c>
      <c r="S43" t="s">
        <v>420</v>
      </c>
      <c r="T43" t="s">
        <v>331</v>
      </c>
      <c r="U43">
        <v>2.2043322523336625E-2</v>
      </c>
      <c r="V43" t="s">
        <v>251</v>
      </c>
      <c r="X43">
        <v>2.1232876712328767E-2</v>
      </c>
      <c r="Y43">
        <v>4.5420116185598634E-3</v>
      </c>
      <c r="Z43" t="s">
        <v>331</v>
      </c>
      <c r="AA43" t="s">
        <v>25</v>
      </c>
      <c r="AC43" t="s">
        <v>22</v>
      </c>
      <c r="AD43" t="s">
        <v>331</v>
      </c>
      <c r="AE43">
        <v>1.9690617990117655E-2</v>
      </c>
      <c r="AG43" t="s">
        <v>97</v>
      </c>
      <c r="AH43" t="s">
        <v>331</v>
      </c>
      <c r="AI43">
        <v>0.14699788631802058</v>
      </c>
    </row>
    <row r="44" spans="9:35" x14ac:dyDescent="0.45">
      <c r="I44" t="s">
        <v>249</v>
      </c>
      <c r="J44" t="s">
        <v>332</v>
      </c>
      <c r="K44">
        <v>4.3764532232293662E-3</v>
      </c>
      <c r="L44" t="s">
        <v>251</v>
      </c>
      <c r="N44" t="s">
        <v>419</v>
      </c>
      <c r="O44" t="s">
        <v>332</v>
      </c>
      <c r="P44">
        <v>3.4246522466074075E-3</v>
      </c>
      <c r="Q44" t="s">
        <v>251</v>
      </c>
      <c r="S44" t="s">
        <v>420</v>
      </c>
      <c r="T44" t="s">
        <v>332</v>
      </c>
      <c r="U44">
        <v>3.4398434511848245E-3</v>
      </c>
      <c r="V44" t="s">
        <v>251</v>
      </c>
      <c r="X44">
        <v>3.5388127853881279E-3</v>
      </c>
      <c r="Y44">
        <v>5.240782636799844E-3</v>
      </c>
      <c r="Z44" t="s">
        <v>332</v>
      </c>
      <c r="AA44" t="s">
        <v>25</v>
      </c>
      <c r="AC44" t="s">
        <v>22</v>
      </c>
      <c r="AD44" t="s">
        <v>332</v>
      </c>
      <c r="AE44">
        <v>2.6456368637571403E-3</v>
      </c>
      <c r="AG44" t="s">
        <v>97</v>
      </c>
      <c r="AH44" t="s">
        <v>332</v>
      </c>
      <c r="AI44">
        <v>3.7687404662287927E-2</v>
      </c>
    </row>
    <row r="45" spans="9:35" x14ac:dyDescent="0.45">
      <c r="I45" t="s">
        <v>249</v>
      </c>
      <c r="J45" t="s">
        <v>333</v>
      </c>
      <c r="K45">
        <v>6.5776751073149996E-3</v>
      </c>
      <c r="L45" t="s">
        <v>251</v>
      </c>
      <c r="N45" t="s">
        <v>419</v>
      </c>
      <c r="O45" t="s">
        <v>333</v>
      </c>
      <c r="P45">
        <v>3.173072011760042E-3</v>
      </c>
      <c r="Q45" t="s">
        <v>251</v>
      </c>
      <c r="S45" t="s">
        <v>420</v>
      </c>
      <c r="T45" t="s">
        <v>333</v>
      </c>
      <c r="U45">
        <v>3.4487992132888889E-3</v>
      </c>
      <c r="V45" t="s">
        <v>251</v>
      </c>
      <c r="X45">
        <v>3.5388127853881279E-3</v>
      </c>
      <c r="Y45">
        <v>5.9087255218821738E-3</v>
      </c>
      <c r="Z45" t="s">
        <v>333</v>
      </c>
      <c r="AA45" t="s">
        <v>25</v>
      </c>
      <c r="AC45" t="s">
        <v>22</v>
      </c>
      <c r="AD45" t="s">
        <v>333</v>
      </c>
      <c r="AE45">
        <v>2.5681020358651455E-3</v>
      </c>
      <c r="AG45" t="s">
        <v>97</v>
      </c>
      <c r="AH45" t="s">
        <v>333</v>
      </c>
      <c r="AI45">
        <v>2.836679987744839E-2</v>
      </c>
    </row>
    <row r="46" spans="9:35" x14ac:dyDescent="0.45">
      <c r="I46" t="s">
        <v>249</v>
      </c>
      <c r="J46" t="s">
        <v>334</v>
      </c>
      <c r="K46">
        <v>6.3579767558584299E-2</v>
      </c>
      <c r="L46" t="s">
        <v>251</v>
      </c>
      <c r="N46" t="s">
        <v>419</v>
      </c>
      <c r="O46" t="s">
        <v>334</v>
      </c>
      <c r="P46">
        <v>2.3592593292150223E-2</v>
      </c>
      <c r="Q46" t="s">
        <v>251</v>
      </c>
      <c r="S46" t="s">
        <v>420</v>
      </c>
      <c r="T46" t="s">
        <v>334</v>
      </c>
      <c r="U46">
        <v>2.3343586610834285E-2</v>
      </c>
      <c r="V46" t="s">
        <v>251</v>
      </c>
      <c r="X46">
        <v>2.4771689497716895E-2</v>
      </c>
      <c r="Y46">
        <v>3.1424143732027281E-2</v>
      </c>
      <c r="Z46" t="s">
        <v>334</v>
      </c>
      <c r="AA46" t="s">
        <v>25</v>
      </c>
      <c r="AC46" t="s">
        <v>22</v>
      </c>
      <c r="AD46" t="s">
        <v>334</v>
      </c>
      <c r="AE46">
        <v>2.1583667654061441E-2</v>
      </c>
      <c r="AG46" t="s">
        <v>97</v>
      </c>
      <c r="AH46" t="s">
        <v>334</v>
      </c>
      <c r="AI46">
        <v>0.21092089255818691</v>
      </c>
    </row>
    <row r="47" spans="9:35" x14ac:dyDescent="0.45">
      <c r="I47" t="s">
        <v>249</v>
      </c>
      <c r="J47" t="s">
        <v>335</v>
      </c>
      <c r="K47">
        <v>8.5853735167836995E-3</v>
      </c>
      <c r="L47" t="s">
        <v>251</v>
      </c>
      <c r="N47" t="s">
        <v>419</v>
      </c>
      <c r="O47" t="s">
        <v>335</v>
      </c>
      <c r="P47">
        <v>3.5208185497496692E-3</v>
      </c>
      <c r="Q47" t="s">
        <v>251</v>
      </c>
      <c r="S47" t="s">
        <v>420</v>
      </c>
      <c r="T47" t="s">
        <v>335</v>
      </c>
      <c r="U47">
        <v>3.6820393775627205E-3</v>
      </c>
      <c r="V47" t="s">
        <v>251</v>
      </c>
      <c r="X47">
        <v>3.5388127853881279E-3</v>
      </c>
      <c r="Y47">
        <v>5.3435430806586613E-3</v>
      </c>
      <c r="Z47" t="s">
        <v>335</v>
      </c>
      <c r="AA47" t="s">
        <v>25</v>
      </c>
      <c r="AC47" t="s">
        <v>22</v>
      </c>
      <c r="AD47" t="s">
        <v>335</v>
      </c>
      <c r="AE47">
        <v>3.5276761669721327E-3</v>
      </c>
      <c r="AG47" t="s">
        <v>97</v>
      </c>
      <c r="AH47" t="s">
        <v>335</v>
      </c>
      <c r="AI47">
        <v>4.8412946255800948E-2</v>
      </c>
    </row>
    <row r="48" spans="9:35" x14ac:dyDescent="0.45">
      <c r="I48" t="s">
        <v>249</v>
      </c>
      <c r="J48" t="s">
        <v>336</v>
      </c>
      <c r="K48">
        <v>7.7224142138008003E-3</v>
      </c>
      <c r="L48" t="s">
        <v>251</v>
      </c>
      <c r="N48" t="s">
        <v>419</v>
      </c>
      <c r="O48" t="s">
        <v>336</v>
      </c>
      <c r="P48">
        <v>3.5198585800589751E-3</v>
      </c>
      <c r="Q48" t="s">
        <v>251</v>
      </c>
      <c r="S48" t="s">
        <v>420</v>
      </c>
      <c r="T48" t="s">
        <v>336</v>
      </c>
      <c r="U48">
        <v>3.6434575328003469E-3</v>
      </c>
      <c r="V48" t="s">
        <v>251</v>
      </c>
      <c r="X48">
        <v>3.5388127853881279E-3</v>
      </c>
      <c r="Y48">
        <v>6.8849497385409693E-3</v>
      </c>
      <c r="Z48" t="s">
        <v>336</v>
      </c>
      <c r="AA48" t="s">
        <v>25</v>
      </c>
      <c r="AC48" t="s">
        <v>22</v>
      </c>
      <c r="AD48" t="s">
        <v>336</v>
      </c>
      <c r="AE48">
        <v>3.5353409168752282E-3</v>
      </c>
      <c r="AG48" t="s">
        <v>97</v>
      </c>
      <c r="AH48" t="s">
        <v>336</v>
      </c>
      <c r="AI48">
        <v>5.2748421298292492E-2</v>
      </c>
    </row>
    <row r="49" spans="9:35" x14ac:dyDescent="0.45">
      <c r="I49" t="s">
        <v>249</v>
      </c>
      <c r="J49" t="s">
        <v>337</v>
      </c>
      <c r="K49">
        <v>6.4833732845173001E-3</v>
      </c>
      <c r="L49" t="s">
        <v>251</v>
      </c>
      <c r="N49" t="s">
        <v>419</v>
      </c>
      <c r="O49" t="s">
        <v>337</v>
      </c>
      <c r="P49">
        <v>3.4614343159606415E-3</v>
      </c>
      <c r="Q49" t="s">
        <v>251</v>
      </c>
      <c r="S49" t="s">
        <v>420</v>
      </c>
      <c r="T49" t="s">
        <v>337</v>
      </c>
      <c r="U49">
        <v>3.6810394552026686E-3</v>
      </c>
      <c r="V49" t="s">
        <v>251</v>
      </c>
      <c r="X49">
        <v>3.5388127853881279E-3</v>
      </c>
      <c r="Y49">
        <v>6.8849497385409693E-3</v>
      </c>
      <c r="Z49" t="s">
        <v>337</v>
      </c>
      <c r="AA49" t="s">
        <v>25</v>
      </c>
      <c r="AC49" t="s">
        <v>22</v>
      </c>
      <c r="AD49" t="s">
        <v>337</v>
      </c>
      <c r="AE49">
        <v>3.540813222827623E-3</v>
      </c>
      <c r="AG49" t="s">
        <v>97</v>
      </c>
      <c r="AH49" t="s">
        <v>337</v>
      </c>
      <c r="AI49">
        <v>5.7215910366320788E-2</v>
      </c>
    </row>
    <row r="50" spans="9:35" x14ac:dyDescent="0.45">
      <c r="I50" t="s">
        <v>249</v>
      </c>
      <c r="J50" t="s">
        <v>338</v>
      </c>
      <c r="K50">
        <v>6.4179318594734976E-3</v>
      </c>
      <c r="L50" t="s">
        <v>251</v>
      </c>
      <c r="N50" t="s">
        <v>419</v>
      </c>
      <c r="O50" t="s">
        <v>338</v>
      </c>
      <c r="P50">
        <v>2.4570720173719644E-2</v>
      </c>
      <c r="Q50" t="s">
        <v>251</v>
      </c>
      <c r="S50" t="s">
        <v>420</v>
      </c>
      <c r="T50" t="s">
        <v>338</v>
      </c>
      <c r="U50">
        <v>2.4641906355335301E-2</v>
      </c>
      <c r="V50" t="s">
        <v>251</v>
      </c>
      <c r="X50">
        <v>2.1232876712328767E-2</v>
      </c>
      <c r="Y50">
        <v>1.8702400782305319E-2</v>
      </c>
      <c r="Z50" t="s">
        <v>338</v>
      </c>
      <c r="AA50" t="s">
        <v>25</v>
      </c>
      <c r="AC50" t="s">
        <v>22</v>
      </c>
      <c r="AD50" t="s">
        <v>338</v>
      </c>
      <c r="AE50">
        <v>2.1518813976932626E-2</v>
      </c>
      <c r="AG50" t="s">
        <v>97</v>
      </c>
      <c r="AH50" t="s">
        <v>338</v>
      </c>
      <c r="AI50">
        <v>8.0073275109394881E-2</v>
      </c>
    </row>
    <row r="51" spans="9:35" x14ac:dyDescent="0.45">
      <c r="I51" t="s">
        <v>249</v>
      </c>
      <c r="J51" t="s">
        <v>339</v>
      </c>
      <c r="K51">
        <v>8.9620492023086194E-4</v>
      </c>
      <c r="L51" t="s">
        <v>251</v>
      </c>
      <c r="N51" t="s">
        <v>419</v>
      </c>
      <c r="O51" t="s">
        <v>339</v>
      </c>
      <c r="P51">
        <v>2.1638010353090851E-2</v>
      </c>
      <c r="Q51" t="s">
        <v>251</v>
      </c>
      <c r="S51" t="s">
        <v>420</v>
      </c>
      <c r="T51" t="s">
        <v>339</v>
      </c>
      <c r="U51">
        <v>1.46554772617355E-2</v>
      </c>
      <c r="V51" t="s">
        <v>251</v>
      </c>
      <c r="X51">
        <v>2.0547945205479451E-2</v>
      </c>
      <c r="Y51">
        <v>4.3954951147353507E-3</v>
      </c>
      <c r="Z51" t="s">
        <v>339</v>
      </c>
      <c r="AA51" t="s">
        <v>25</v>
      </c>
      <c r="AC51" t="s">
        <v>22</v>
      </c>
      <c r="AD51" t="s">
        <v>339</v>
      </c>
      <c r="AE51">
        <v>1.9260500610045455E-2</v>
      </c>
      <c r="AG51" t="s">
        <v>97</v>
      </c>
      <c r="AH51" t="s">
        <v>339</v>
      </c>
      <c r="AI51">
        <v>0.14272160879684503</v>
      </c>
    </row>
    <row r="52" spans="9:35" x14ac:dyDescent="0.45">
      <c r="I52" t="s">
        <v>249</v>
      </c>
      <c r="J52" t="s">
        <v>340</v>
      </c>
      <c r="K52">
        <v>4.2189396573354999E-3</v>
      </c>
      <c r="L52" t="s">
        <v>251</v>
      </c>
      <c r="N52" t="s">
        <v>419</v>
      </c>
      <c r="O52" t="s">
        <v>340</v>
      </c>
      <c r="P52">
        <v>2.932390726346185E-3</v>
      </c>
      <c r="Q52" t="s">
        <v>251</v>
      </c>
      <c r="S52" t="s">
        <v>420</v>
      </c>
      <c r="T52" t="s">
        <v>340</v>
      </c>
      <c r="U52">
        <v>2.0274377563429028E-3</v>
      </c>
      <c r="V52" t="s">
        <v>251</v>
      </c>
      <c r="X52">
        <v>3.4246575342465752E-3</v>
      </c>
      <c r="Y52">
        <v>5.0717251323869452E-3</v>
      </c>
      <c r="Z52" t="s">
        <v>340</v>
      </c>
      <c r="AA52" t="s">
        <v>25</v>
      </c>
      <c r="AC52" t="s">
        <v>22</v>
      </c>
      <c r="AD52" t="s">
        <v>340</v>
      </c>
      <c r="AE52">
        <v>2.6497103592723766E-3</v>
      </c>
      <c r="AG52" t="s">
        <v>97</v>
      </c>
      <c r="AH52" t="s">
        <v>340</v>
      </c>
      <c r="AI52">
        <v>6.8326103573197461E-2</v>
      </c>
    </row>
    <row r="53" spans="9:35" x14ac:dyDescent="0.45">
      <c r="I53" t="s">
        <v>249</v>
      </c>
      <c r="J53" t="s">
        <v>341</v>
      </c>
      <c r="K53">
        <v>6.1886482059352998E-3</v>
      </c>
      <c r="L53" t="s">
        <v>251</v>
      </c>
      <c r="N53" t="s">
        <v>419</v>
      </c>
      <c r="O53" t="s">
        <v>341</v>
      </c>
      <c r="P53">
        <v>2.645260723797086E-3</v>
      </c>
      <c r="Q53" t="s">
        <v>251</v>
      </c>
      <c r="S53" t="s">
        <v>420</v>
      </c>
      <c r="T53" t="s">
        <v>341</v>
      </c>
      <c r="U53">
        <v>2.0224615995105386E-3</v>
      </c>
      <c r="V53" t="s">
        <v>251</v>
      </c>
      <c r="X53">
        <v>3.4246575342465752E-3</v>
      </c>
      <c r="Y53">
        <v>5.7181214727892006E-3</v>
      </c>
      <c r="Z53" t="s">
        <v>341</v>
      </c>
      <c r="AA53" t="s">
        <v>25</v>
      </c>
      <c r="AC53" t="s">
        <v>22</v>
      </c>
      <c r="AD53" t="s">
        <v>341</v>
      </c>
      <c r="AE53">
        <v>2.5584782257930265E-3</v>
      </c>
      <c r="AG53" t="s">
        <v>97</v>
      </c>
      <c r="AH53" t="s">
        <v>341</v>
      </c>
      <c r="AI53">
        <v>6.3283153241070034E-2</v>
      </c>
    </row>
    <row r="54" spans="9:35" x14ac:dyDescent="0.45">
      <c r="I54" t="s">
        <v>249</v>
      </c>
      <c r="J54" t="s">
        <v>342</v>
      </c>
      <c r="K54">
        <v>5.9391656967384999E-2</v>
      </c>
      <c r="L54" t="s">
        <v>251</v>
      </c>
      <c r="N54" t="s">
        <v>419</v>
      </c>
      <c r="O54" t="s">
        <v>342</v>
      </c>
      <c r="P54">
        <v>2.0186747215789343E-2</v>
      </c>
      <c r="Q54" t="s">
        <v>251</v>
      </c>
      <c r="S54" t="s">
        <v>420</v>
      </c>
      <c r="T54" t="s">
        <v>342</v>
      </c>
      <c r="U54">
        <v>1.5028412364267944E-2</v>
      </c>
      <c r="V54" t="s">
        <v>251</v>
      </c>
      <c r="X54">
        <v>2.3972602739726026E-2</v>
      </c>
      <c r="Y54">
        <v>3.0410461676155433E-2</v>
      </c>
      <c r="Z54" t="s">
        <v>342</v>
      </c>
      <c r="AA54" t="s">
        <v>25</v>
      </c>
      <c r="AC54" t="s">
        <v>22</v>
      </c>
      <c r="AD54" t="s">
        <v>342</v>
      </c>
      <c r="AE54">
        <v>2.0666995204675419E-2</v>
      </c>
      <c r="AG54" t="s">
        <v>97</v>
      </c>
      <c r="AH54" t="s">
        <v>342</v>
      </c>
      <c r="AI54">
        <v>0.19022521607323695</v>
      </c>
    </row>
    <row r="55" spans="9:35" x14ac:dyDescent="0.45">
      <c r="I55" t="s">
        <v>249</v>
      </c>
      <c r="J55" t="s">
        <v>343</v>
      </c>
      <c r="K55">
        <v>7.9800602970408006E-3</v>
      </c>
      <c r="L55" t="s">
        <v>251</v>
      </c>
      <c r="N55" t="s">
        <v>419</v>
      </c>
      <c r="O55" t="s">
        <v>343</v>
      </c>
      <c r="P55">
        <v>3.0852712538663382E-3</v>
      </c>
      <c r="Q55" t="s">
        <v>251</v>
      </c>
      <c r="S55" t="s">
        <v>420</v>
      </c>
      <c r="T55" t="s">
        <v>343</v>
      </c>
      <c r="U55">
        <v>2.547697763517483E-3</v>
      </c>
      <c r="V55" t="s">
        <v>251</v>
      </c>
      <c r="X55">
        <v>3.4246575342465752E-3</v>
      </c>
      <c r="Y55">
        <v>5.1711707232180593E-3</v>
      </c>
      <c r="Z55" t="s">
        <v>343</v>
      </c>
      <c r="AA55" t="s">
        <v>25</v>
      </c>
      <c r="AC55" t="s">
        <v>22</v>
      </c>
      <c r="AD55" t="s">
        <v>343</v>
      </c>
      <c r="AE55">
        <v>3.4028927577294411E-3</v>
      </c>
      <c r="AG55" t="s">
        <v>97</v>
      </c>
      <c r="AH55" t="s">
        <v>343</v>
      </c>
      <c r="AI55">
        <v>6.2489829878334291E-2</v>
      </c>
    </row>
    <row r="56" spans="9:35" x14ac:dyDescent="0.45">
      <c r="I56" t="s">
        <v>249</v>
      </c>
      <c r="J56" t="s">
        <v>344</v>
      </c>
      <c r="K56">
        <v>7.1260513681538004E-3</v>
      </c>
      <c r="L56" t="s">
        <v>251</v>
      </c>
      <c r="N56" t="s">
        <v>419</v>
      </c>
      <c r="O56" t="s">
        <v>344</v>
      </c>
      <c r="P56">
        <v>3.1615154664669859E-3</v>
      </c>
      <c r="Q56" t="s">
        <v>251</v>
      </c>
      <c r="S56" t="s">
        <v>420</v>
      </c>
      <c r="T56" t="s">
        <v>344</v>
      </c>
      <c r="U56">
        <v>2.4478011458801108E-3</v>
      </c>
      <c r="V56" t="s">
        <v>251</v>
      </c>
      <c r="X56">
        <v>3.4246575342465752E-3</v>
      </c>
      <c r="Y56">
        <v>6.662854585684809E-3</v>
      </c>
      <c r="Z56" t="s">
        <v>344</v>
      </c>
      <c r="AA56" t="s">
        <v>25</v>
      </c>
      <c r="AC56" t="s">
        <v>22</v>
      </c>
      <c r="AD56" t="s">
        <v>344</v>
      </c>
      <c r="AE56">
        <v>3.4198347096210586E-3</v>
      </c>
      <c r="AG56" t="s">
        <v>97</v>
      </c>
      <c r="AH56" t="s">
        <v>344</v>
      </c>
      <c r="AI56">
        <v>7.1290983808581343E-2</v>
      </c>
    </row>
    <row r="57" spans="9:35" x14ac:dyDescent="0.45">
      <c r="I57" t="s">
        <v>249</v>
      </c>
      <c r="J57" t="s">
        <v>345</v>
      </c>
      <c r="K57">
        <v>5.97267425403E-3</v>
      </c>
      <c r="L57" t="s">
        <v>251</v>
      </c>
      <c r="N57" t="s">
        <v>419</v>
      </c>
      <c r="O57" t="s">
        <v>345</v>
      </c>
      <c r="P57">
        <v>3.1609198927553899E-3</v>
      </c>
      <c r="Q57" t="s">
        <v>251</v>
      </c>
      <c r="S57" t="s">
        <v>420</v>
      </c>
      <c r="T57" t="s">
        <v>345</v>
      </c>
      <c r="U57">
        <v>2.4219064195414191E-3</v>
      </c>
      <c r="V57" t="s">
        <v>251</v>
      </c>
      <c r="X57">
        <v>3.4246575342465752E-3</v>
      </c>
      <c r="Y57">
        <v>6.662854585684809E-3</v>
      </c>
      <c r="Z57" t="s">
        <v>345</v>
      </c>
      <c r="AA57" t="s">
        <v>25</v>
      </c>
      <c r="AC57" t="s">
        <v>22</v>
      </c>
      <c r="AD57" t="s">
        <v>345</v>
      </c>
      <c r="AE57">
        <v>3.4450851650362443E-3</v>
      </c>
      <c r="AG57" t="s">
        <v>97</v>
      </c>
      <c r="AH57" t="s">
        <v>345</v>
      </c>
      <c r="AI57">
        <v>7.9933885841087848E-2</v>
      </c>
    </row>
    <row r="58" spans="9:35" x14ac:dyDescent="0.45">
      <c r="I58" t="s">
        <v>249</v>
      </c>
      <c r="J58" t="s">
        <v>346</v>
      </c>
      <c r="K58">
        <v>6.6998443253581154E-3</v>
      </c>
      <c r="L58" t="s">
        <v>251</v>
      </c>
      <c r="N58" t="s">
        <v>419</v>
      </c>
      <c r="O58" t="s">
        <v>346</v>
      </c>
      <c r="P58">
        <v>2.1552171110743049E-2</v>
      </c>
      <c r="Q58" t="s">
        <v>251</v>
      </c>
      <c r="S58" t="s">
        <v>420</v>
      </c>
      <c r="T58" t="s">
        <v>346</v>
      </c>
      <c r="U58">
        <v>1.5920745316699014E-2</v>
      </c>
      <c r="V58" t="s">
        <v>251</v>
      </c>
      <c r="X58">
        <v>2.0547945205479451E-2</v>
      </c>
      <c r="Y58">
        <v>1.8099097531263209E-2</v>
      </c>
      <c r="Z58" t="s">
        <v>346</v>
      </c>
      <c r="AA58" t="s">
        <v>25</v>
      </c>
      <c r="AC58" t="s">
        <v>22</v>
      </c>
      <c r="AD58" t="s">
        <v>346</v>
      </c>
      <c r="AE58">
        <v>2.1050393923406293E-2</v>
      </c>
      <c r="AG58" t="s">
        <v>97</v>
      </c>
      <c r="AH58" t="s">
        <v>346</v>
      </c>
      <c r="AI58">
        <v>0.12607735122688024</v>
      </c>
    </row>
    <row r="59" spans="9:35" x14ac:dyDescent="0.45">
      <c r="I59" t="s">
        <v>249</v>
      </c>
      <c r="J59" t="s">
        <v>347</v>
      </c>
      <c r="K59">
        <v>2.6851131546107499E-4</v>
      </c>
      <c r="L59" t="s">
        <v>251</v>
      </c>
      <c r="N59" t="s">
        <v>419</v>
      </c>
      <c r="O59" t="s">
        <v>347</v>
      </c>
      <c r="P59">
        <v>1.7906356699202514E-2</v>
      </c>
      <c r="Q59" t="s">
        <v>251</v>
      </c>
      <c r="S59" t="s">
        <v>420</v>
      </c>
      <c r="T59" t="s">
        <v>347</v>
      </c>
      <c r="U59">
        <v>1.6784868353445087E-2</v>
      </c>
      <c r="V59" t="s">
        <v>251</v>
      </c>
      <c r="X59">
        <v>2.1232876712328767E-2</v>
      </c>
      <c r="Y59">
        <v>4.5420116185598634E-3</v>
      </c>
      <c r="Z59" t="s">
        <v>347</v>
      </c>
      <c r="AA59" t="s">
        <v>25</v>
      </c>
      <c r="AC59" t="s">
        <v>22</v>
      </c>
      <c r="AD59" t="s">
        <v>347</v>
      </c>
      <c r="AE59">
        <v>2.1060695450919414E-2</v>
      </c>
      <c r="AG59" t="s">
        <v>97</v>
      </c>
      <c r="AH59" t="s">
        <v>347</v>
      </c>
      <c r="AI59">
        <v>0.2315021641066155</v>
      </c>
    </row>
    <row r="60" spans="9:35" x14ac:dyDescent="0.45">
      <c r="I60" t="s">
        <v>249</v>
      </c>
      <c r="J60" t="s">
        <v>348</v>
      </c>
      <c r="K60">
        <v>3.2204031164093181E-3</v>
      </c>
      <c r="L60" t="s">
        <v>251</v>
      </c>
      <c r="N60" t="s">
        <v>419</v>
      </c>
      <c r="O60" t="s">
        <v>348</v>
      </c>
      <c r="P60">
        <v>2.1598997955974584E-3</v>
      </c>
      <c r="Q60" t="s">
        <v>251</v>
      </c>
      <c r="S60" t="s">
        <v>420</v>
      </c>
      <c r="T60" t="s">
        <v>348</v>
      </c>
      <c r="U60">
        <v>2.4552076392760176E-3</v>
      </c>
      <c r="V60" t="s">
        <v>251</v>
      </c>
      <c r="X60">
        <v>3.5388127853881279E-3</v>
      </c>
      <c r="Y60">
        <v>5.240782636799844E-3</v>
      </c>
      <c r="Z60" t="s">
        <v>348</v>
      </c>
      <c r="AA60" t="s">
        <v>25</v>
      </c>
      <c r="AC60" t="s">
        <v>22</v>
      </c>
      <c r="AD60" t="s">
        <v>348</v>
      </c>
      <c r="AE60">
        <v>2.8922928243539656E-3</v>
      </c>
      <c r="AG60" t="s">
        <v>97</v>
      </c>
      <c r="AH60" t="s">
        <v>348</v>
      </c>
      <c r="AI60">
        <v>5.6133928654755527E-2</v>
      </c>
    </row>
    <row r="61" spans="9:35" x14ac:dyDescent="0.45">
      <c r="I61" t="s">
        <v>249</v>
      </c>
      <c r="J61" t="s">
        <v>349</v>
      </c>
      <c r="K61">
        <v>5.2350618749991001E-3</v>
      </c>
      <c r="L61" t="s">
        <v>251</v>
      </c>
      <c r="N61" t="s">
        <v>419</v>
      </c>
      <c r="O61" t="s">
        <v>349</v>
      </c>
      <c r="P61">
        <v>1.8496526274653208E-3</v>
      </c>
      <c r="Q61" t="s">
        <v>251</v>
      </c>
      <c r="S61" t="s">
        <v>420</v>
      </c>
      <c r="T61" t="s">
        <v>349</v>
      </c>
      <c r="U61">
        <v>2.3873461693071727E-3</v>
      </c>
      <c r="V61" t="s">
        <v>251</v>
      </c>
      <c r="X61">
        <v>3.5388127853881279E-3</v>
      </c>
      <c r="Y61">
        <v>5.9087255218821738E-3</v>
      </c>
      <c r="Z61" t="s">
        <v>349</v>
      </c>
      <c r="AA61" t="s">
        <v>25</v>
      </c>
      <c r="AC61" t="s">
        <v>22</v>
      </c>
      <c r="AD61" t="s">
        <v>349</v>
      </c>
      <c r="AE61">
        <v>2.7751816886173938E-3</v>
      </c>
      <c r="AG61" t="s">
        <v>97</v>
      </c>
      <c r="AH61" t="s">
        <v>349</v>
      </c>
      <c r="AI61">
        <v>5.9458371844419711E-2</v>
      </c>
    </row>
    <row r="62" spans="9:35" x14ac:dyDescent="0.45">
      <c r="I62" t="s">
        <v>249</v>
      </c>
      <c r="J62" t="s">
        <v>350</v>
      </c>
      <c r="K62">
        <v>5.4726961163533497E-2</v>
      </c>
      <c r="L62" t="s">
        <v>251</v>
      </c>
      <c r="N62" t="s">
        <v>419</v>
      </c>
      <c r="O62" t="s">
        <v>350</v>
      </c>
      <c r="P62">
        <v>1.3394753685262772E-2</v>
      </c>
      <c r="Q62" t="s">
        <v>251</v>
      </c>
      <c r="S62" t="s">
        <v>420</v>
      </c>
      <c r="T62" t="s">
        <v>350</v>
      </c>
      <c r="U62">
        <v>1.5760182629451346E-2</v>
      </c>
      <c r="V62" t="s">
        <v>251</v>
      </c>
      <c r="X62">
        <v>2.4771689497716895E-2</v>
      </c>
      <c r="Y62">
        <v>3.1424143732027281E-2</v>
      </c>
      <c r="Z62" t="s">
        <v>350</v>
      </c>
      <c r="AA62" t="s">
        <v>25</v>
      </c>
      <c r="AC62" t="s">
        <v>22</v>
      </c>
      <c r="AD62" t="s">
        <v>350</v>
      </c>
      <c r="AE62">
        <v>2.2015949371621827E-2</v>
      </c>
      <c r="AG62" t="s">
        <v>97</v>
      </c>
      <c r="AH62" t="s">
        <v>350</v>
      </c>
      <c r="AI62">
        <v>0.20573239206764882</v>
      </c>
    </row>
    <row r="63" spans="9:35" x14ac:dyDescent="0.45">
      <c r="I63" t="s">
        <v>249</v>
      </c>
      <c r="J63" t="s">
        <v>351</v>
      </c>
      <c r="K63">
        <v>7.1083135960544001E-3</v>
      </c>
      <c r="L63" t="s">
        <v>251</v>
      </c>
      <c r="N63" t="s">
        <v>419</v>
      </c>
      <c r="O63" t="s">
        <v>351</v>
      </c>
      <c r="P63">
        <v>2.0138639294259761E-3</v>
      </c>
      <c r="Q63" t="s">
        <v>251</v>
      </c>
      <c r="S63" t="s">
        <v>420</v>
      </c>
      <c r="T63" t="s">
        <v>351</v>
      </c>
      <c r="U63">
        <v>2.6066075866898052E-3</v>
      </c>
      <c r="V63" t="s">
        <v>251</v>
      </c>
      <c r="X63">
        <v>3.5388127853881279E-3</v>
      </c>
      <c r="Y63">
        <v>5.3435430806586613E-3</v>
      </c>
      <c r="Z63" t="s">
        <v>351</v>
      </c>
      <c r="AA63" t="s">
        <v>25</v>
      </c>
      <c r="AC63" t="s">
        <v>22</v>
      </c>
      <c r="AD63" t="s">
        <v>351</v>
      </c>
      <c r="AE63">
        <v>3.7274002743161584E-3</v>
      </c>
      <c r="AG63" t="s">
        <v>97</v>
      </c>
      <c r="AH63" t="s">
        <v>351</v>
      </c>
      <c r="AI63">
        <v>7.3142236951218909E-2</v>
      </c>
    </row>
    <row r="64" spans="9:35" x14ac:dyDescent="0.45">
      <c r="I64" t="s">
        <v>249</v>
      </c>
      <c r="J64" t="s">
        <v>352</v>
      </c>
      <c r="K64">
        <v>6.1891237235557998E-3</v>
      </c>
      <c r="L64" t="s">
        <v>251</v>
      </c>
      <c r="N64" t="s">
        <v>419</v>
      </c>
      <c r="O64" t="s">
        <v>352</v>
      </c>
      <c r="P64">
        <v>2.0792526059573023E-3</v>
      </c>
      <c r="Q64" t="s">
        <v>251</v>
      </c>
      <c r="S64" t="s">
        <v>420</v>
      </c>
      <c r="T64" t="s">
        <v>352</v>
      </c>
      <c r="U64">
        <v>2.5679852482390691E-3</v>
      </c>
      <c r="V64" t="s">
        <v>251</v>
      </c>
      <c r="X64">
        <v>3.5388127853881279E-3</v>
      </c>
      <c r="Y64">
        <v>6.8849497385409693E-3</v>
      </c>
      <c r="Z64" t="s">
        <v>352</v>
      </c>
      <c r="AA64" t="s">
        <v>25</v>
      </c>
      <c r="AC64" t="s">
        <v>22</v>
      </c>
      <c r="AD64" t="s">
        <v>352</v>
      </c>
      <c r="AE64">
        <v>3.785287944468385E-3</v>
      </c>
      <c r="AG64" t="s">
        <v>97</v>
      </c>
      <c r="AH64" t="s">
        <v>352</v>
      </c>
      <c r="AI64">
        <v>0.1053933651502823</v>
      </c>
    </row>
    <row r="65" spans="9:35" x14ac:dyDescent="0.45">
      <c r="I65" t="s">
        <v>249</v>
      </c>
      <c r="J65" t="s">
        <v>353</v>
      </c>
      <c r="K65">
        <v>4.9659416849278997E-3</v>
      </c>
      <c r="L65" t="s">
        <v>251</v>
      </c>
      <c r="N65" t="s">
        <v>419</v>
      </c>
      <c r="O65" t="s">
        <v>353</v>
      </c>
      <c r="P65">
        <v>2.1234054464425787E-3</v>
      </c>
      <c r="Q65" t="s">
        <v>251</v>
      </c>
      <c r="S65" t="s">
        <v>420</v>
      </c>
      <c r="T65" t="s">
        <v>353</v>
      </c>
      <c r="U65">
        <v>2.5660690043538253E-3</v>
      </c>
      <c r="V65" t="s">
        <v>251</v>
      </c>
      <c r="X65">
        <v>3.5388127853881279E-3</v>
      </c>
      <c r="Y65">
        <v>6.8849497385409693E-3</v>
      </c>
      <c r="Z65" t="s">
        <v>353</v>
      </c>
      <c r="AA65" t="s">
        <v>25</v>
      </c>
      <c r="AC65" t="s">
        <v>22</v>
      </c>
      <c r="AD65" t="s">
        <v>353</v>
      </c>
      <c r="AE65">
        <v>3.843480283760511E-3</v>
      </c>
      <c r="AG65" t="s">
        <v>97</v>
      </c>
      <c r="AH65" t="s">
        <v>353</v>
      </c>
      <c r="AI65">
        <v>0.10499916203418347</v>
      </c>
    </row>
    <row r="66" spans="9:35" x14ac:dyDescent="0.45">
      <c r="I66" t="s">
        <v>249</v>
      </c>
      <c r="J66" t="s">
        <v>354</v>
      </c>
      <c r="K66">
        <v>5.2532482843577442E-3</v>
      </c>
      <c r="L66" t="s">
        <v>251</v>
      </c>
      <c r="N66" t="s">
        <v>419</v>
      </c>
      <c r="O66" t="s">
        <v>354</v>
      </c>
      <c r="P66">
        <v>1.8305678872793222E-2</v>
      </c>
      <c r="Q66" t="s">
        <v>251</v>
      </c>
      <c r="S66" t="s">
        <v>420</v>
      </c>
      <c r="T66" t="s">
        <v>354</v>
      </c>
      <c r="U66">
        <v>1.6816073507230526E-2</v>
      </c>
      <c r="V66" t="s">
        <v>251</v>
      </c>
      <c r="X66">
        <v>2.1232876712328767E-2</v>
      </c>
      <c r="Y66">
        <v>1.8702400782305319E-2</v>
      </c>
      <c r="Z66" t="s">
        <v>354</v>
      </c>
      <c r="AA66" t="s">
        <v>25</v>
      </c>
      <c r="AC66" t="s">
        <v>22</v>
      </c>
      <c r="AD66" t="s">
        <v>354</v>
      </c>
      <c r="AE66">
        <v>2.3704335456036028E-2</v>
      </c>
      <c r="AG66" t="s">
        <v>97</v>
      </c>
      <c r="AH66" t="s">
        <v>354</v>
      </c>
      <c r="AI66">
        <v>0.13820527616738598</v>
      </c>
    </row>
    <row r="67" spans="9:35" x14ac:dyDescent="0.45">
      <c r="I67" t="s">
        <v>249</v>
      </c>
      <c r="J67" t="s">
        <v>355</v>
      </c>
      <c r="K67">
        <v>2.783153874109351E-8</v>
      </c>
      <c r="L67" t="s">
        <v>251</v>
      </c>
      <c r="N67" t="s">
        <v>419</v>
      </c>
      <c r="O67" t="s">
        <v>355</v>
      </c>
      <c r="P67">
        <v>1.6476624077206636E-2</v>
      </c>
      <c r="Q67" t="s">
        <v>251</v>
      </c>
      <c r="S67" t="s">
        <v>420</v>
      </c>
      <c r="T67" t="s">
        <v>355</v>
      </c>
      <c r="U67">
        <v>1.4198100847300008E-2</v>
      </c>
      <c r="V67" t="s">
        <v>251</v>
      </c>
      <c r="X67">
        <v>2.1232876712328767E-2</v>
      </c>
      <c r="Y67">
        <v>4.5420116185598634E-3</v>
      </c>
      <c r="Z67" t="s">
        <v>355</v>
      </c>
      <c r="AA67" t="s">
        <v>25</v>
      </c>
      <c r="AC67" t="s">
        <v>22</v>
      </c>
      <c r="AD67" t="s">
        <v>355</v>
      </c>
      <c r="AE67">
        <v>2.0531327419762581E-2</v>
      </c>
      <c r="AG67" t="s">
        <v>97</v>
      </c>
      <c r="AH67" t="s">
        <v>355</v>
      </c>
      <c r="AI67">
        <v>0.20279576727930415</v>
      </c>
    </row>
    <row r="68" spans="9:35" x14ac:dyDescent="0.45">
      <c r="I68" t="s">
        <v>249</v>
      </c>
      <c r="J68" t="s">
        <v>356</v>
      </c>
      <c r="K68">
        <v>2.7522411699255861E-3</v>
      </c>
      <c r="L68" t="s">
        <v>251</v>
      </c>
      <c r="N68" t="s">
        <v>419</v>
      </c>
      <c r="O68" t="s">
        <v>356</v>
      </c>
      <c r="P68">
        <v>2.0483594360940671E-3</v>
      </c>
      <c r="Q68" t="s">
        <v>251</v>
      </c>
      <c r="S68" t="s">
        <v>420</v>
      </c>
      <c r="T68" t="s">
        <v>356</v>
      </c>
      <c r="U68">
        <v>2.0917873914683208E-3</v>
      </c>
      <c r="V68" t="s">
        <v>251</v>
      </c>
      <c r="X68">
        <v>3.5388127853881279E-3</v>
      </c>
      <c r="Y68">
        <v>5.240782636799844E-3</v>
      </c>
      <c r="Z68" t="s">
        <v>356</v>
      </c>
      <c r="AA68" t="s">
        <v>25</v>
      </c>
      <c r="AC68" t="s">
        <v>22</v>
      </c>
      <c r="AD68" t="s">
        <v>356</v>
      </c>
      <c r="AE68">
        <v>2.7922388810710285E-3</v>
      </c>
      <c r="AG68" t="s">
        <v>97</v>
      </c>
      <c r="AH68" t="s">
        <v>356</v>
      </c>
      <c r="AI68">
        <v>7.8332183240009012E-2</v>
      </c>
    </row>
    <row r="69" spans="9:35" x14ac:dyDescent="0.45">
      <c r="I69" t="s">
        <v>249</v>
      </c>
      <c r="J69" t="s">
        <v>357</v>
      </c>
      <c r="K69">
        <v>5.5222011424492998E-3</v>
      </c>
      <c r="L69" t="s">
        <v>251</v>
      </c>
      <c r="N69" t="s">
        <v>419</v>
      </c>
      <c r="O69" t="s">
        <v>357</v>
      </c>
      <c r="P69">
        <v>1.563764425558836E-3</v>
      </c>
      <c r="Q69" t="s">
        <v>251</v>
      </c>
      <c r="S69" t="s">
        <v>420</v>
      </c>
      <c r="T69" t="s">
        <v>357</v>
      </c>
      <c r="U69">
        <v>2.0390217860858477E-3</v>
      </c>
      <c r="V69" t="s">
        <v>251</v>
      </c>
      <c r="X69">
        <v>3.5388127853881279E-3</v>
      </c>
      <c r="Y69">
        <v>5.9087255218821738E-3</v>
      </c>
      <c r="Z69" t="s">
        <v>357</v>
      </c>
      <c r="AA69" t="s">
        <v>25</v>
      </c>
      <c r="AC69" t="s">
        <v>22</v>
      </c>
      <c r="AD69" t="s">
        <v>357</v>
      </c>
      <c r="AE69">
        <v>2.68234189438178E-3</v>
      </c>
      <c r="AG69" t="s">
        <v>97</v>
      </c>
      <c r="AH69" t="s">
        <v>357</v>
      </c>
      <c r="AI69">
        <v>7.2485883556521413E-2</v>
      </c>
    </row>
    <row r="70" spans="9:35" x14ac:dyDescent="0.45">
      <c r="I70" t="s">
        <v>249</v>
      </c>
      <c r="J70" t="s">
        <v>358</v>
      </c>
      <c r="K70">
        <v>5.6711374637086802E-2</v>
      </c>
      <c r="L70" t="s">
        <v>251</v>
      </c>
      <c r="N70" t="s">
        <v>419</v>
      </c>
      <c r="O70" t="s">
        <v>358</v>
      </c>
      <c r="P70">
        <v>1.0239656113572375E-2</v>
      </c>
      <c r="Q70" t="s">
        <v>251</v>
      </c>
      <c r="S70" t="s">
        <v>420</v>
      </c>
      <c r="T70" t="s">
        <v>358</v>
      </c>
      <c r="U70">
        <v>1.3599721801736927E-2</v>
      </c>
      <c r="V70" t="s">
        <v>251</v>
      </c>
      <c r="X70">
        <v>2.4771689497716895E-2</v>
      </c>
      <c r="Y70">
        <v>3.1424143732027281E-2</v>
      </c>
      <c r="Z70" t="s">
        <v>358</v>
      </c>
      <c r="AA70" t="s">
        <v>25</v>
      </c>
      <c r="AC70" t="s">
        <v>22</v>
      </c>
      <c r="AD70" t="s">
        <v>358</v>
      </c>
      <c r="AE70">
        <v>2.1516877500868201E-2</v>
      </c>
      <c r="AG70" t="s">
        <v>97</v>
      </c>
      <c r="AH70" t="s">
        <v>358</v>
      </c>
      <c r="AI70">
        <v>0.19699593812495508</v>
      </c>
    </row>
    <row r="71" spans="9:35" x14ac:dyDescent="0.45">
      <c r="I71" t="s">
        <v>249</v>
      </c>
      <c r="J71" t="s">
        <v>359</v>
      </c>
      <c r="K71">
        <v>7.4687617925409998E-3</v>
      </c>
      <c r="L71" t="s">
        <v>251</v>
      </c>
      <c r="N71" t="s">
        <v>419</v>
      </c>
      <c r="O71" t="s">
        <v>359</v>
      </c>
      <c r="P71">
        <v>1.6032268362819705E-3</v>
      </c>
      <c r="Q71" t="s">
        <v>251</v>
      </c>
      <c r="S71" t="s">
        <v>420</v>
      </c>
      <c r="T71" t="s">
        <v>359</v>
      </c>
      <c r="U71">
        <v>2.1334074833218876E-3</v>
      </c>
      <c r="V71" t="s">
        <v>251</v>
      </c>
      <c r="X71">
        <v>3.5388127853881279E-3</v>
      </c>
      <c r="Y71">
        <v>5.3435430806586613E-3</v>
      </c>
      <c r="Z71" t="s">
        <v>359</v>
      </c>
      <c r="AA71" t="s">
        <v>25</v>
      </c>
      <c r="AC71" t="s">
        <v>22</v>
      </c>
      <c r="AD71" t="s">
        <v>359</v>
      </c>
      <c r="AE71">
        <v>3.6319932023806674E-3</v>
      </c>
      <c r="AG71" t="s">
        <v>97</v>
      </c>
      <c r="AH71" t="s">
        <v>359</v>
      </c>
      <c r="AI71">
        <v>6.75965833044474E-2</v>
      </c>
    </row>
    <row r="72" spans="9:35" x14ac:dyDescent="0.45">
      <c r="I72" t="s">
        <v>249</v>
      </c>
      <c r="J72" t="s">
        <v>360</v>
      </c>
      <c r="K72">
        <v>6.6138938984641E-3</v>
      </c>
      <c r="L72" t="s">
        <v>251</v>
      </c>
      <c r="N72" t="s">
        <v>419</v>
      </c>
      <c r="O72" t="s">
        <v>360</v>
      </c>
      <c r="P72">
        <v>1.702274214395016E-3</v>
      </c>
      <c r="Q72" t="s">
        <v>251</v>
      </c>
      <c r="S72" t="s">
        <v>420</v>
      </c>
      <c r="T72" t="s">
        <v>360</v>
      </c>
      <c r="U72">
        <v>2.0736100584980966E-3</v>
      </c>
      <c r="V72" t="s">
        <v>251</v>
      </c>
      <c r="X72">
        <v>3.5388127853881279E-3</v>
      </c>
      <c r="Y72">
        <v>6.8849497385409693E-3</v>
      </c>
      <c r="Z72" t="s">
        <v>360</v>
      </c>
      <c r="AA72" t="s">
        <v>25</v>
      </c>
      <c r="AC72" t="s">
        <v>22</v>
      </c>
      <c r="AD72" t="s">
        <v>360</v>
      </c>
      <c r="AE72">
        <v>3.6660521175087145E-3</v>
      </c>
      <c r="AG72" t="s">
        <v>97</v>
      </c>
      <c r="AH72" t="s">
        <v>360</v>
      </c>
      <c r="AI72">
        <v>7.9800658589176843E-2</v>
      </c>
    </row>
    <row r="73" spans="9:35" x14ac:dyDescent="0.45">
      <c r="I73" t="s">
        <v>249</v>
      </c>
      <c r="J73" t="s">
        <v>361</v>
      </c>
      <c r="K73">
        <v>5.3870160545135999E-3</v>
      </c>
      <c r="L73" t="s">
        <v>251</v>
      </c>
      <c r="N73" t="s">
        <v>419</v>
      </c>
      <c r="O73" t="s">
        <v>361</v>
      </c>
      <c r="P73">
        <v>1.8296506997353484E-3</v>
      </c>
      <c r="Q73" t="s">
        <v>251</v>
      </c>
      <c r="S73" t="s">
        <v>420</v>
      </c>
      <c r="T73" t="s">
        <v>361</v>
      </c>
      <c r="U73">
        <v>2.0472469150234025E-3</v>
      </c>
      <c r="V73" t="s">
        <v>251</v>
      </c>
      <c r="X73">
        <v>3.5388127853881279E-3</v>
      </c>
      <c r="Y73">
        <v>6.8849497385409693E-3</v>
      </c>
      <c r="Z73" t="s">
        <v>361</v>
      </c>
      <c r="AA73" t="s">
        <v>25</v>
      </c>
      <c r="AC73" t="s">
        <v>22</v>
      </c>
      <c r="AD73" t="s">
        <v>361</v>
      </c>
      <c r="AE73">
        <v>3.7098463054774798E-3</v>
      </c>
      <c r="AG73" t="s">
        <v>97</v>
      </c>
      <c r="AH73" t="s">
        <v>361</v>
      </c>
      <c r="AI73">
        <v>0.11778085626857693</v>
      </c>
    </row>
    <row r="74" spans="9:35" x14ac:dyDescent="0.45">
      <c r="I74" t="s">
        <v>249</v>
      </c>
      <c r="J74" t="s">
        <v>362</v>
      </c>
      <c r="K74">
        <v>4.8833452718522428E-3</v>
      </c>
      <c r="L74" t="s">
        <v>251</v>
      </c>
      <c r="N74" t="s">
        <v>419</v>
      </c>
      <c r="O74" t="s">
        <v>362</v>
      </c>
      <c r="P74">
        <v>1.8211523341571861E-2</v>
      </c>
      <c r="Q74" t="s">
        <v>251</v>
      </c>
      <c r="S74" t="s">
        <v>420</v>
      </c>
      <c r="T74" t="s">
        <v>362</v>
      </c>
      <c r="U74">
        <v>1.4510372030929865E-2</v>
      </c>
      <c r="V74" t="s">
        <v>251</v>
      </c>
      <c r="X74">
        <v>2.1232876712328767E-2</v>
      </c>
      <c r="Y74">
        <v>1.8702400782305319E-2</v>
      </c>
      <c r="Z74" t="s">
        <v>362</v>
      </c>
      <c r="AA74" t="s">
        <v>25</v>
      </c>
      <c r="AC74" t="s">
        <v>22</v>
      </c>
      <c r="AD74" t="s">
        <v>362</v>
      </c>
      <c r="AE74">
        <v>2.3018083360320719E-2</v>
      </c>
      <c r="AG74" t="s">
        <v>97</v>
      </c>
      <c r="AH74" t="s">
        <v>362</v>
      </c>
      <c r="AI74">
        <v>0.16156484455199549</v>
      </c>
    </row>
    <row r="75" spans="9:35" x14ac:dyDescent="0.45">
      <c r="I75" t="s">
        <v>249</v>
      </c>
      <c r="J75" t="s">
        <v>363</v>
      </c>
      <c r="K75">
        <v>0</v>
      </c>
      <c r="L75" t="s">
        <v>251</v>
      </c>
      <c r="N75" t="s">
        <v>419</v>
      </c>
      <c r="O75" t="s">
        <v>363</v>
      </c>
      <c r="P75">
        <v>2.1987516014648524E-2</v>
      </c>
      <c r="Q75" t="s">
        <v>251</v>
      </c>
      <c r="S75" t="s">
        <v>420</v>
      </c>
      <c r="T75" t="s">
        <v>363</v>
      </c>
      <c r="U75">
        <v>1.7916686543167984E-2</v>
      </c>
      <c r="V75" t="s">
        <v>251</v>
      </c>
      <c r="X75">
        <v>2.0547945205479451E-2</v>
      </c>
      <c r="Y75">
        <v>4.3954951147353507E-3</v>
      </c>
      <c r="Z75" t="s">
        <v>363</v>
      </c>
      <c r="AA75" t="s">
        <v>25</v>
      </c>
      <c r="AC75" t="s">
        <v>22</v>
      </c>
      <c r="AD75" t="s">
        <v>363</v>
      </c>
      <c r="AE75">
        <v>1.9431112851412507E-2</v>
      </c>
      <c r="AG75" t="s">
        <v>97</v>
      </c>
      <c r="AH75" t="s">
        <v>363</v>
      </c>
      <c r="AI75">
        <v>0.17457053711121984</v>
      </c>
    </row>
    <row r="76" spans="9:35" x14ac:dyDescent="0.45">
      <c r="I76" t="s">
        <v>249</v>
      </c>
      <c r="J76" t="s">
        <v>364</v>
      </c>
      <c r="K76">
        <v>1.4265884888544206E-3</v>
      </c>
      <c r="L76" t="s">
        <v>251</v>
      </c>
      <c r="N76" t="s">
        <v>419</v>
      </c>
      <c r="O76" t="s">
        <v>364</v>
      </c>
      <c r="P76">
        <v>3.2426110992468502E-3</v>
      </c>
      <c r="Q76" t="s">
        <v>251</v>
      </c>
      <c r="S76" t="s">
        <v>420</v>
      </c>
      <c r="T76" t="s">
        <v>364</v>
      </c>
      <c r="U76">
        <v>2.7519371231801543E-3</v>
      </c>
      <c r="V76" t="s">
        <v>251</v>
      </c>
      <c r="X76">
        <v>3.4246575342465752E-3</v>
      </c>
      <c r="Y76">
        <v>5.0717251323869452E-3</v>
      </c>
      <c r="Z76" t="s">
        <v>364</v>
      </c>
      <c r="AA76" t="s">
        <v>25</v>
      </c>
      <c r="AC76" t="s">
        <v>22</v>
      </c>
      <c r="AD76" t="s">
        <v>364</v>
      </c>
      <c r="AE76">
        <v>2.6420198074447719E-3</v>
      </c>
      <c r="AG76" t="s">
        <v>97</v>
      </c>
      <c r="AH76" t="s">
        <v>364</v>
      </c>
      <c r="AI76">
        <v>7.3776432002171433E-2</v>
      </c>
    </row>
    <row r="77" spans="9:35" x14ac:dyDescent="0.45">
      <c r="I77" t="s">
        <v>249</v>
      </c>
      <c r="J77" t="s">
        <v>365</v>
      </c>
      <c r="K77">
        <v>5.1126615802918616E-3</v>
      </c>
      <c r="L77" t="s">
        <v>251</v>
      </c>
      <c r="N77" t="s">
        <v>419</v>
      </c>
      <c r="O77" t="s">
        <v>365</v>
      </c>
      <c r="P77">
        <v>2.803716330340197E-3</v>
      </c>
      <c r="Q77" t="s">
        <v>251</v>
      </c>
      <c r="S77" t="s">
        <v>420</v>
      </c>
      <c r="T77" t="s">
        <v>365</v>
      </c>
      <c r="U77">
        <v>2.7649685483693981E-3</v>
      </c>
      <c r="V77" t="s">
        <v>251</v>
      </c>
      <c r="X77">
        <v>3.4246575342465752E-3</v>
      </c>
      <c r="Y77">
        <v>5.7181214727892006E-3</v>
      </c>
      <c r="Z77" t="s">
        <v>365</v>
      </c>
      <c r="AA77" t="s">
        <v>25</v>
      </c>
      <c r="AC77" t="s">
        <v>22</v>
      </c>
      <c r="AD77" t="s">
        <v>365</v>
      </c>
      <c r="AE77">
        <v>2.5530318743199232E-3</v>
      </c>
      <c r="AG77" t="s">
        <v>97</v>
      </c>
      <c r="AH77" t="s">
        <v>365</v>
      </c>
      <c r="AI77">
        <v>6.9391447068593237E-2</v>
      </c>
    </row>
    <row r="78" spans="9:35" x14ac:dyDescent="0.45">
      <c r="I78" t="s">
        <v>249</v>
      </c>
      <c r="J78" t="s">
        <v>366</v>
      </c>
      <c r="K78">
        <v>5.3028538289522399E-2</v>
      </c>
      <c r="L78" t="s">
        <v>251</v>
      </c>
      <c r="N78" t="s">
        <v>419</v>
      </c>
      <c r="O78" t="s">
        <v>366</v>
      </c>
      <c r="P78">
        <v>1.8409756149597192E-2</v>
      </c>
      <c r="Q78" t="s">
        <v>251</v>
      </c>
      <c r="S78" t="s">
        <v>420</v>
      </c>
      <c r="T78" t="s">
        <v>366</v>
      </c>
      <c r="U78">
        <v>1.8641999437587101E-2</v>
      </c>
      <c r="V78" t="s">
        <v>251</v>
      </c>
      <c r="X78">
        <v>2.3972602739726026E-2</v>
      </c>
      <c r="Y78">
        <v>3.0410461676155433E-2</v>
      </c>
      <c r="Z78" t="s">
        <v>366</v>
      </c>
      <c r="AA78" t="s">
        <v>25</v>
      </c>
      <c r="AC78" t="s">
        <v>22</v>
      </c>
      <c r="AD78" t="s">
        <v>366</v>
      </c>
      <c r="AE78">
        <v>2.0836927752645198E-2</v>
      </c>
      <c r="AG78" t="s">
        <v>97</v>
      </c>
      <c r="AH78" t="s">
        <v>366</v>
      </c>
      <c r="AI78">
        <v>0.18759917858258945</v>
      </c>
    </row>
    <row r="79" spans="9:35" x14ac:dyDescent="0.45">
      <c r="I79" t="s">
        <v>249</v>
      </c>
      <c r="J79" t="s">
        <v>367</v>
      </c>
      <c r="K79">
        <v>7.2820246575173997E-3</v>
      </c>
      <c r="L79" t="s">
        <v>251</v>
      </c>
      <c r="N79" t="s">
        <v>419</v>
      </c>
      <c r="O79" t="s">
        <v>367</v>
      </c>
      <c r="P79">
        <v>2.7197156049932948E-3</v>
      </c>
      <c r="Q79" t="s">
        <v>251</v>
      </c>
      <c r="S79" t="s">
        <v>420</v>
      </c>
      <c r="T79" t="s">
        <v>367</v>
      </c>
      <c r="U79">
        <v>2.7008986209608697E-3</v>
      </c>
      <c r="V79" t="s">
        <v>251</v>
      </c>
      <c r="X79">
        <v>3.4246575342465752E-3</v>
      </c>
      <c r="Y79">
        <v>5.1711707232180593E-3</v>
      </c>
      <c r="Z79" t="s">
        <v>367</v>
      </c>
      <c r="AA79" t="s">
        <v>25</v>
      </c>
      <c r="AC79" t="s">
        <v>22</v>
      </c>
      <c r="AD79" t="s">
        <v>367</v>
      </c>
      <c r="AE79">
        <v>3.489624828211369E-3</v>
      </c>
      <c r="AG79" t="s">
        <v>97</v>
      </c>
      <c r="AH79" t="s">
        <v>367</v>
      </c>
      <c r="AI79">
        <v>6.1271045772115285E-2</v>
      </c>
    </row>
    <row r="80" spans="9:35" x14ac:dyDescent="0.45">
      <c r="I80" t="s">
        <v>249</v>
      </c>
      <c r="J80" t="s">
        <v>368</v>
      </c>
      <c r="K80">
        <v>6.5244460907635995E-3</v>
      </c>
      <c r="L80" t="s">
        <v>251</v>
      </c>
      <c r="N80" t="s">
        <v>419</v>
      </c>
      <c r="O80" t="s">
        <v>368</v>
      </c>
      <c r="P80">
        <v>2.7032479440840698E-3</v>
      </c>
      <c r="Q80" t="s">
        <v>251</v>
      </c>
      <c r="S80" t="s">
        <v>420</v>
      </c>
      <c r="T80" t="s">
        <v>368</v>
      </c>
      <c r="U80">
        <v>2.5803912726566642E-3</v>
      </c>
      <c r="V80" t="s">
        <v>251</v>
      </c>
      <c r="X80">
        <v>3.4246575342465752E-3</v>
      </c>
      <c r="Y80">
        <v>6.662854585684809E-3</v>
      </c>
      <c r="Z80" t="s">
        <v>368</v>
      </c>
      <c r="AA80" t="s">
        <v>25</v>
      </c>
      <c r="AC80" t="s">
        <v>22</v>
      </c>
      <c r="AD80" t="s">
        <v>368</v>
      </c>
      <c r="AE80">
        <v>3.51736652743425E-3</v>
      </c>
      <c r="AG80" t="s">
        <v>97</v>
      </c>
      <c r="AH80" t="s">
        <v>368</v>
      </c>
      <c r="AI80">
        <v>7.6431784277328108E-2</v>
      </c>
    </row>
    <row r="81" spans="9:35" x14ac:dyDescent="0.45">
      <c r="I81" t="s">
        <v>249</v>
      </c>
      <c r="J81" t="s">
        <v>369</v>
      </c>
      <c r="K81">
        <v>5.1555486044243997E-3</v>
      </c>
      <c r="L81" t="s">
        <v>251</v>
      </c>
      <c r="N81" t="s">
        <v>419</v>
      </c>
      <c r="O81" t="s">
        <v>369</v>
      </c>
      <c r="P81">
        <v>2.7923664979789486E-3</v>
      </c>
      <c r="Q81" t="s">
        <v>251</v>
      </c>
      <c r="S81" t="s">
        <v>420</v>
      </c>
      <c r="T81" t="s">
        <v>369</v>
      </c>
      <c r="U81">
        <v>2.6869127570920432E-3</v>
      </c>
      <c r="V81" t="s">
        <v>251</v>
      </c>
      <c r="X81">
        <v>3.4246575342465752E-3</v>
      </c>
      <c r="Y81">
        <v>6.662854585684809E-3</v>
      </c>
      <c r="Z81" t="s">
        <v>369</v>
      </c>
      <c r="AA81" t="s">
        <v>25</v>
      </c>
      <c r="AC81" t="s">
        <v>22</v>
      </c>
      <c r="AD81" t="s">
        <v>369</v>
      </c>
      <c r="AE81">
        <v>3.5463583839159514E-3</v>
      </c>
      <c r="AG81" t="s">
        <v>97</v>
      </c>
      <c r="AH81" t="s">
        <v>369</v>
      </c>
      <c r="AI81">
        <v>8.7840284602749064E-2</v>
      </c>
    </row>
    <row r="82" spans="9:35" x14ac:dyDescent="0.45">
      <c r="I82" t="s">
        <v>249</v>
      </c>
      <c r="J82" t="s">
        <v>370</v>
      </c>
      <c r="K82">
        <v>2.5682558522210274E-3</v>
      </c>
      <c r="L82" t="s">
        <v>251</v>
      </c>
      <c r="N82" t="s">
        <v>419</v>
      </c>
      <c r="O82" t="s">
        <v>370</v>
      </c>
      <c r="P82">
        <v>2.3119393430554084E-2</v>
      </c>
      <c r="Q82" t="s">
        <v>251</v>
      </c>
      <c r="S82" t="s">
        <v>420</v>
      </c>
      <c r="T82" t="s">
        <v>370</v>
      </c>
      <c r="U82">
        <v>1.9178574975898272E-2</v>
      </c>
      <c r="V82" t="s">
        <v>251</v>
      </c>
      <c r="X82">
        <v>2.0547945205479451E-2</v>
      </c>
      <c r="Y82">
        <v>1.8099097531263209E-2</v>
      </c>
      <c r="Z82" t="s">
        <v>370</v>
      </c>
      <c r="AA82" t="s">
        <v>25</v>
      </c>
      <c r="AC82" t="s">
        <v>22</v>
      </c>
      <c r="AD82" t="s">
        <v>370</v>
      </c>
      <c r="AE82">
        <v>2.1819185337057481E-2</v>
      </c>
      <c r="AG82" t="s">
        <v>97</v>
      </c>
      <c r="AH82" t="s">
        <v>370</v>
      </c>
      <c r="AI82">
        <v>0.12204049558381702</v>
      </c>
    </row>
    <row r="83" spans="9:35" x14ac:dyDescent="0.45">
      <c r="I83" t="s">
        <v>249</v>
      </c>
      <c r="J83" t="s">
        <v>395</v>
      </c>
      <c r="K83">
        <v>0</v>
      </c>
      <c r="L83" t="s">
        <v>251</v>
      </c>
      <c r="N83" t="s">
        <v>419</v>
      </c>
      <c r="O83" t="s">
        <v>395</v>
      </c>
      <c r="P83">
        <v>2.672996351164476E-2</v>
      </c>
      <c r="Q83" t="s">
        <v>251</v>
      </c>
      <c r="S83" t="s">
        <v>420</v>
      </c>
      <c r="T83" t="s">
        <v>395</v>
      </c>
      <c r="U83">
        <v>2.2216646502896346E-2</v>
      </c>
      <c r="V83" t="s">
        <v>251</v>
      </c>
      <c r="X83">
        <v>2.1232876712328767E-2</v>
      </c>
      <c r="Y83">
        <v>4.5420116185598634E-3</v>
      </c>
      <c r="Z83" t="s">
        <v>395</v>
      </c>
      <c r="AA83" t="s">
        <v>25</v>
      </c>
      <c r="AC83" t="s">
        <v>22</v>
      </c>
      <c r="AD83" t="s">
        <v>395</v>
      </c>
      <c r="AE83">
        <v>1.9792621807780571E-2</v>
      </c>
      <c r="AG83" t="s">
        <v>97</v>
      </c>
      <c r="AH83" t="s">
        <v>395</v>
      </c>
      <c r="AI83">
        <v>0.14546037012229274</v>
      </c>
    </row>
    <row r="84" spans="9:35" x14ac:dyDescent="0.45">
      <c r="I84" t="s">
        <v>249</v>
      </c>
      <c r="J84" t="s">
        <v>396</v>
      </c>
      <c r="K84">
        <v>2.9377313160573786E-4</v>
      </c>
      <c r="L84" t="s">
        <v>251</v>
      </c>
      <c r="N84" t="s">
        <v>419</v>
      </c>
      <c r="O84" t="s">
        <v>396</v>
      </c>
      <c r="P84">
        <v>4.2543244324251541E-3</v>
      </c>
      <c r="Q84" t="s">
        <v>251</v>
      </c>
      <c r="S84" t="s">
        <v>420</v>
      </c>
      <c r="T84" t="s">
        <v>396</v>
      </c>
      <c r="U84">
        <v>3.6311291673658875E-3</v>
      </c>
      <c r="V84" t="s">
        <v>251</v>
      </c>
      <c r="X84">
        <v>3.5388127853881279E-3</v>
      </c>
      <c r="Y84">
        <v>5.240782636799844E-3</v>
      </c>
      <c r="Z84" t="s">
        <v>396</v>
      </c>
      <c r="AA84" t="s">
        <v>25</v>
      </c>
      <c r="AC84" t="s">
        <v>22</v>
      </c>
      <c r="AD84" t="s">
        <v>396</v>
      </c>
      <c r="AE84">
        <v>2.6543176581232944E-3</v>
      </c>
      <c r="AG84" t="s">
        <v>97</v>
      </c>
      <c r="AH84" t="s">
        <v>396</v>
      </c>
      <c r="AI84">
        <v>3.3040825794567352E-2</v>
      </c>
    </row>
    <row r="85" spans="9:35" x14ac:dyDescent="0.45">
      <c r="I85" t="s">
        <v>249</v>
      </c>
      <c r="J85" t="s">
        <v>397</v>
      </c>
      <c r="K85">
        <v>5.1106613015486834E-3</v>
      </c>
      <c r="L85" t="s">
        <v>251</v>
      </c>
      <c r="N85" t="s">
        <v>419</v>
      </c>
      <c r="O85" t="s">
        <v>397</v>
      </c>
      <c r="P85">
        <v>4.0331475106903433E-3</v>
      </c>
      <c r="Q85" t="s">
        <v>251</v>
      </c>
      <c r="S85" t="s">
        <v>420</v>
      </c>
      <c r="T85" t="s">
        <v>397</v>
      </c>
      <c r="U85">
        <v>3.6183135117650459E-3</v>
      </c>
      <c r="V85" t="s">
        <v>251</v>
      </c>
      <c r="X85">
        <v>3.5388127853881279E-3</v>
      </c>
      <c r="Y85">
        <v>5.9087255218821738E-3</v>
      </c>
      <c r="Z85" t="s">
        <v>397</v>
      </c>
      <c r="AA85" t="s">
        <v>25</v>
      </c>
      <c r="AC85" t="s">
        <v>22</v>
      </c>
      <c r="AD85" t="s">
        <v>397</v>
      </c>
      <c r="AE85">
        <v>2.5804887488147976E-3</v>
      </c>
      <c r="AG85" t="s">
        <v>97</v>
      </c>
      <c r="AH85" t="s">
        <v>397</v>
      </c>
      <c r="AI85">
        <v>2.5958608869261823E-2</v>
      </c>
    </row>
    <row r="86" spans="9:35" x14ac:dyDescent="0.45">
      <c r="I86" t="s">
        <v>249</v>
      </c>
      <c r="J86" t="s">
        <v>398</v>
      </c>
      <c r="K86">
        <v>5.7744684487604302E-2</v>
      </c>
      <c r="L86" t="s">
        <v>251</v>
      </c>
      <c r="N86" t="s">
        <v>419</v>
      </c>
      <c r="O86" t="s">
        <v>398</v>
      </c>
      <c r="P86">
        <v>2.6052330729859945E-2</v>
      </c>
      <c r="Q86" t="s">
        <v>251</v>
      </c>
      <c r="S86" t="s">
        <v>420</v>
      </c>
      <c r="T86" t="s">
        <v>398</v>
      </c>
      <c r="U86">
        <v>2.3925689322265881E-2</v>
      </c>
      <c r="V86" t="s">
        <v>251</v>
      </c>
      <c r="X86">
        <v>2.4771689497716895E-2</v>
      </c>
      <c r="Y86">
        <v>3.1424143732027281E-2</v>
      </c>
      <c r="Z86" t="s">
        <v>398</v>
      </c>
      <c r="AA86" t="s">
        <v>25</v>
      </c>
      <c r="AC86" t="s">
        <v>22</v>
      </c>
      <c r="AD86" t="s">
        <v>398</v>
      </c>
      <c r="AE86">
        <v>2.1944566199195794E-2</v>
      </c>
      <c r="AG86" t="s">
        <v>97</v>
      </c>
      <c r="AH86" t="s">
        <v>398</v>
      </c>
      <c r="AI86">
        <v>0.2497240775983629</v>
      </c>
    </row>
    <row r="87" spans="9:35" x14ac:dyDescent="0.45">
      <c r="I87" t="s">
        <v>249</v>
      </c>
      <c r="J87" t="s">
        <v>399</v>
      </c>
      <c r="K87">
        <v>8.1286848741940997E-3</v>
      </c>
      <c r="L87" t="s">
        <v>251</v>
      </c>
      <c r="N87" t="s">
        <v>419</v>
      </c>
      <c r="O87" t="s">
        <v>399</v>
      </c>
      <c r="P87">
        <v>3.661709304739004E-3</v>
      </c>
      <c r="Q87" t="s">
        <v>251</v>
      </c>
      <c r="S87" t="s">
        <v>420</v>
      </c>
      <c r="T87" t="s">
        <v>399</v>
      </c>
      <c r="U87">
        <v>3.5723945211106572E-3</v>
      </c>
      <c r="V87" t="s">
        <v>251</v>
      </c>
      <c r="X87">
        <v>3.5388127853881279E-3</v>
      </c>
      <c r="Y87">
        <v>5.3435430806586613E-3</v>
      </c>
      <c r="Z87" t="s">
        <v>399</v>
      </c>
      <c r="AA87" t="s">
        <v>25</v>
      </c>
      <c r="AC87" t="s">
        <v>22</v>
      </c>
      <c r="AD87" t="s">
        <v>399</v>
      </c>
      <c r="AE87">
        <v>3.5150034429866075E-3</v>
      </c>
      <c r="AG87" t="s">
        <v>97</v>
      </c>
      <c r="AH87" t="s">
        <v>399</v>
      </c>
      <c r="AI87">
        <v>5.2894178929967728E-2</v>
      </c>
    </row>
    <row r="88" spans="9:35" x14ac:dyDescent="0.45">
      <c r="I88" t="s">
        <v>249</v>
      </c>
      <c r="J88" t="s">
        <v>400</v>
      </c>
      <c r="K88">
        <v>7.0069966313310002E-3</v>
      </c>
      <c r="L88" t="s">
        <v>251</v>
      </c>
      <c r="N88" t="s">
        <v>419</v>
      </c>
      <c r="O88" t="s">
        <v>400</v>
      </c>
      <c r="P88">
        <v>3.5484948676191815E-3</v>
      </c>
      <c r="Q88" t="s">
        <v>251</v>
      </c>
      <c r="S88" t="s">
        <v>420</v>
      </c>
      <c r="T88" t="s">
        <v>400</v>
      </c>
      <c r="U88">
        <v>3.4846446280784498E-3</v>
      </c>
      <c r="V88" t="s">
        <v>251</v>
      </c>
      <c r="X88">
        <v>3.5388127853881279E-3</v>
      </c>
      <c r="Y88">
        <v>6.8849497385409693E-3</v>
      </c>
      <c r="Z88" t="s">
        <v>400</v>
      </c>
      <c r="AA88" t="s">
        <v>25</v>
      </c>
      <c r="AC88" t="s">
        <v>22</v>
      </c>
      <c r="AD88" t="s">
        <v>400</v>
      </c>
      <c r="AE88">
        <v>3.5353938653706518E-3</v>
      </c>
      <c r="AG88" t="s">
        <v>97</v>
      </c>
      <c r="AH88" t="s">
        <v>400</v>
      </c>
      <c r="AI88">
        <v>5.5112731512192425E-2</v>
      </c>
    </row>
    <row r="89" spans="9:35" x14ac:dyDescent="0.45">
      <c r="I89" t="s">
        <v>249</v>
      </c>
      <c r="J89" t="s">
        <v>401</v>
      </c>
      <c r="K89">
        <v>4.7699674303072776E-3</v>
      </c>
      <c r="L89" t="s">
        <v>251</v>
      </c>
      <c r="N89" t="s">
        <v>419</v>
      </c>
      <c r="O89" t="s">
        <v>401</v>
      </c>
      <c r="P89">
        <v>3.6102067267179024E-3</v>
      </c>
      <c r="Q89" t="s">
        <v>251</v>
      </c>
      <c r="S89" t="s">
        <v>420</v>
      </c>
      <c r="T89" t="s">
        <v>401</v>
      </c>
      <c r="U89">
        <v>3.5324148970068132E-3</v>
      </c>
      <c r="V89" t="s">
        <v>251</v>
      </c>
      <c r="X89">
        <v>3.5388127853881279E-3</v>
      </c>
      <c r="Y89">
        <v>6.8849497385409693E-3</v>
      </c>
      <c r="Z89" t="s">
        <v>401</v>
      </c>
      <c r="AA89" t="s">
        <v>25</v>
      </c>
      <c r="AC89" t="s">
        <v>22</v>
      </c>
      <c r="AD89" t="s">
        <v>401</v>
      </c>
      <c r="AE89">
        <v>3.5299058190686478E-3</v>
      </c>
      <c r="AG89" t="s">
        <v>97</v>
      </c>
      <c r="AH89" t="s">
        <v>401</v>
      </c>
      <c r="AI89">
        <v>4.6894091713638453E-2</v>
      </c>
    </row>
    <row r="90" spans="9:35" x14ac:dyDescent="0.45">
      <c r="I90" t="s">
        <v>249</v>
      </c>
      <c r="J90" t="s">
        <v>402</v>
      </c>
      <c r="K90">
        <v>3.935434326233821E-4</v>
      </c>
      <c r="L90" t="s">
        <v>251</v>
      </c>
      <c r="N90" t="s">
        <v>419</v>
      </c>
      <c r="O90" t="s">
        <v>402</v>
      </c>
      <c r="P90">
        <v>2.5229958240348592E-2</v>
      </c>
      <c r="Q90" t="s">
        <v>251</v>
      </c>
      <c r="S90" t="s">
        <v>420</v>
      </c>
      <c r="T90" t="s">
        <v>402</v>
      </c>
      <c r="U90">
        <v>2.2967935906960009E-2</v>
      </c>
      <c r="V90" t="s">
        <v>251</v>
      </c>
      <c r="X90">
        <v>2.1232876712328767E-2</v>
      </c>
      <c r="Y90">
        <v>1.8702400782305319E-2</v>
      </c>
      <c r="Z90" t="s">
        <v>402</v>
      </c>
      <c r="AA90" t="s">
        <v>25</v>
      </c>
      <c r="AC90" t="s">
        <v>22</v>
      </c>
      <c r="AD90" t="s">
        <v>402</v>
      </c>
      <c r="AE90">
        <v>2.1397713812444066E-2</v>
      </c>
      <c r="AG90" t="s">
        <v>97</v>
      </c>
      <c r="AH90" t="s">
        <v>402</v>
      </c>
      <c r="AI90">
        <v>5.0407627829197166E-2</v>
      </c>
    </row>
    <row r="91" spans="9:35" x14ac:dyDescent="0.45">
      <c r="I91" t="s">
        <v>249</v>
      </c>
      <c r="J91" t="s">
        <v>403</v>
      </c>
      <c r="K91">
        <v>0</v>
      </c>
      <c r="L91" t="s">
        <v>251</v>
      </c>
      <c r="N91" t="s">
        <v>419</v>
      </c>
      <c r="O91" t="s">
        <v>403</v>
      </c>
      <c r="P91">
        <v>2.6290768194464902E-2</v>
      </c>
      <c r="Q91" t="s">
        <v>251</v>
      </c>
      <c r="S91" t="s">
        <v>420</v>
      </c>
      <c r="T91" t="s">
        <v>403</v>
      </c>
      <c r="U91">
        <v>3.1388211361776309E-2</v>
      </c>
      <c r="V91" t="s">
        <v>251</v>
      </c>
      <c r="X91">
        <v>2.0547945205479451E-2</v>
      </c>
      <c r="Y91">
        <v>4.3954951147353507E-3</v>
      </c>
      <c r="Z91" t="s">
        <v>403</v>
      </c>
      <c r="AA91" t="s">
        <v>25</v>
      </c>
      <c r="AC91" t="s">
        <v>22</v>
      </c>
      <c r="AD91" t="s">
        <v>403</v>
      </c>
      <c r="AE91">
        <v>2.135735561039645E-2</v>
      </c>
      <c r="AG91" t="s">
        <v>97</v>
      </c>
      <c r="AH91" t="s">
        <v>403</v>
      </c>
      <c r="AI91">
        <v>0.16590715241750775</v>
      </c>
    </row>
    <row r="92" spans="9:35" x14ac:dyDescent="0.45">
      <c r="I92" t="s">
        <v>249</v>
      </c>
      <c r="J92" t="s">
        <v>404</v>
      </c>
      <c r="K92">
        <v>0</v>
      </c>
      <c r="L92" t="s">
        <v>251</v>
      </c>
      <c r="N92" t="s">
        <v>419</v>
      </c>
      <c r="O92" t="s">
        <v>404</v>
      </c>
      <c r="P92">
        <v>4.2231595671420388E-3</v>
      </c>
      <c r="Q92" t="s">
        <v>251</v>
      </c>
      <c r="S92" t="s">
        <v>420</v>
      </c>
      <c r="T92" t="s">
        <v>404</v>
      </c>
      <c r="U92">
        <v>4.8432276859190137E-3</v>
      </c>
      <c r="V92" t="s">
        <v>251</v>
      </c>
      <c r="X92">
        <v>3.4246575342465752E-3</v>
      </c>
      <c r="Y92">
        <v>5.0717251323869452E-3</v>
      </c>
      <c r="Z92" t="s">
        <v>404</v>
      </c>
      <c r="AA92" t="s">
        <v>25</v>
      </c>
      <c r="AC92" t="s">
        <v>22</v>
      </c>
      <c r="AD92" t="s">
        <v>404</v>
      </c>
      <c r="AE92">
        <v>2.7805928433539532E-3</v>
      </c>
      <c r="AG92" t="s">
        <v>97</v>
      </c>
      <c r="AH92" t="s">
        <v>404</v>
      </c>
      <c r="AI92">
        <v>8.1331108766788285E-2</v>
      </c>
    </row>
    <row r="93" spans="9:35" x14ac:dyDescent="0.45">
      <c r="I93" t="s">
        <v>249</v>
      </c>
      <c r="J93" t="s">
        <v>405</v>
      </c>
      <c r="K93">
        <v>1.8896915844992782E-3</v>
      </c>
      <c r="L93" t="s">
        <v>251</v>
      </c>
      <c r="N93" t="s">
        <v>419</v>
      </c>
      <c r="O93" t="s">
        <v>405</v>
      </c>
      <c r="P93">
        <v>4.1383417732428884E-3</v>
      </c>
      <c r="Q93" t="s">
        <v>251</v>
      </c>
      <c r="S93" t="s">
        <v>420</v>
      </c>
      <c r="T93" t="s">
        <v>405</v>
      </c>
      <c r="U93">
        <v>4.732082844955676E-3</v>
      </c>
      <c r="V93" t="s">
        <v>251</v>
      </c>
      <c r="X93">
        <v>3.4246575342465752E-3</v>
      </c>
      <c r="Y93">
        <v>5.7181214727892006E-3</v>
      </c>
      <c r="Z93" t="s">
        <v>405</v>
      </c>
      <c r="AA93" t="s">
        <v>25</v>
      </c>
      <c r="AC93" t="s">
        <v>22</v>
      </c>
      <c r="AD93" t="s">
        <v>405</v>
      </c>
      <c r="AE93">
        <v>2.6799725250820539E-3</v>
      </c>
      <c r="AG93" t="s">
        <v>97</v>
      </c>
      <c r="AH93" t="s">
        <v>405</v>
      </c>
      <c r="AI93">
        <v>8.3802546931571076E-2</v>
      </c>
    </row>
    <row r="94" spans="9:35" x14ac:dyDescent="0.45">
      <c r="I94" t="s">
        <v>249</v>
      </c>
      <c r="J94" t="s">
        <v>406</v>
      </c>
      <c r="K94">
        <v>4.4865158665029686E-2</v>
      </c>
      <c r="L94" t="s">
        <v>251</v>
      </c>
      <c r="N94" t="s">
        <v>419</v>
      </c>
      <c r="O94" t="s">
        <v>406</v>
      </c>
      <c r="P94">
        <v>2.4027306818481448E-2</v>
      </c>
      <c r="Q94" t="s">
        <v>251</v>
      </c>
      <c r="S94" t="s">
        <v>420</v>
      </c>
      <c r="T94" t="s">
        <v>406</v>
      </c>
      <c r="U94">
        <v>3.0272452677844109E-2</v>
      </c>
      <c r="V94" t="s">
        <v>251</v>
      </c>
      <c r="X94">
        <v>2.3972602739726026E-2</v>
      </c>
      <c r="Y94">
        <v>3.0410461676155433E-2</v>
      </c>
      <c r="Z94" t="s">
        <v>406</v>
      </c>
      <c r="AA94" t="s">
        <v>25</v>
      </c>
      <c r="AC94" t="s">
        <v>22</v>
      </c>
      <c r="AD94" t="s">
        <v>406</v>
      </c>
      <c r="AE94">
        <v>2.1587464106192545E-2</v>
      </c>
      <c r="AG94" t="s">
        <v>97</v>
      </c>
      <c r="AH94" t="s">
        <v>406</v>
      </c>
      <c r="AI94">
        <v>0.32547198019413748</v>
      </c>
    </row>
    <row r="95" spans="9:35" x14ac:dyDescent="0.45">
      <c r="I95" t="s">
        <v>249</v>
      </c>
      <c r="J95" t="s">
        <v>407</v>
      </c>
      <c r="K95">
        <v>6.3172085507909861E-3</v>
      </c>
      <c r="L95" t="s">
        <v>251</v>
      </c>
      <c r="N95" t="s">
        <v>419</v>
      </c>
      <c r="O95" t="s">
        <v>407</v>
      </c>
      <c r="P95">
        <v>3.2171602602617017E-3</v>
      </c>
      <c r="Q95" t="s">
        <v>251</v>
      </c>
      <c r="S95" t="s">
        <v>420</v>
      </c>
      <c r="T95" t="s">
        <v>407</v>
      </c>
      <c r="U95">
        <v>4.3394164192400633E-3</v>
      </c>
      <c r="V95" t="s">
        <v>251</v>
      </c>
      <c r="X95">
        <v>3.4246575342465752E-3</v>
      </c>
      <c r="Y95">
        <v>5.1711707232180593E-3</v>
      </c>
      <c r="Z95" t="s">
        <v>407</v>
      </c>
      <c r="AA95" t="s">
        <v>25</v>
      </c>
      <c r="AC95" t="s">
        <v>22</v>
      </c>
      <c r="AD95" t="s">
        <v>407</v>
      </c>
      <c r="AE95">
        <v>3.7025915585158845E-3</v>
      </c>
      <c r="AG95" t="s">
        <v>97</v>
      </c>
      <c r="AH95" t="s">
        <v>407</v>
      </c>
      <c r="AI95">
        <v>8.3194700539909405E-2</v>
      </c>
    </row>
    <row r="96" spans="9:35" x14ac:dyDescent="0.45">
      <c r="I96" t="s">
        <v>249</v>
      </c>
      <c r="J96" t="s">
        <v>408</v>
      </c>
      <c r="K96">
        <v>4.8356400062868421E-3</v>
      </c>
      <c r="L96" t="s">
        <v>251</v>
      </c>
      <c r="N96" t="s">
        <v>419</v>
      </c>
      <c r="O96" t="s">
        <v>408</v>
      </c>
      <c r="P96">
        <v>3.3849627325211926E-3</v>
      </c>
      <c r="Q96" t="s">
        <v>251</v>
      </c>
      <c r="S96" t="s">
        <v>420</v>
      </c>
      <c r="T96" t="s">
        <v>408</v>
      </c>
      <c r="U96">
        <v>4.3269001474537114E-3</v>
      </c>
      <c r="V96" t="s">
        <v>251</v>
      </c>
      <c r="X96">
        <v>3.4246575342465752E-3</v>
      </c>
      <c r="Y96">
        <v>6.662854585684809E-3</v>
      </c>
      <c r="Z96" t="s">
        <v>408</v>
      </c>
      <c r="AA96" t="s">
        <v>25</v>
      </c>
      <c r="AC96" t="s">
        <v>22</v>
      </c>
      <c r="AD96" t="s">
        <v>408</v>
      </c>
      <c r="AE96">
        <v>3.5324431813771101E-3</v>
      </c>
      <c r="AG96" t="s">
        <v>97</v>
      </c>
      <c r="AH96" t="s">
        <v>408</v>
      </c>
      <c r="AI96">
        <v>7.2780637671513215E-2</v>
      </c>
    </row>
    <row r="97" spans="9:35" x14ac:dyDescent="0.45">
      <c r="I97" t="s">
        <v>249</v>
      </c>
      <c r="J97" t="s">
        <v>409</v>
      </c>
      <c r="K97">
        <v>1.7930817588130059E-3</v>
      </c>
      <c r="L97" t="s">
        <v>251</v>
      </c>
      <c r="N97" t="s">
        <v>419</v>
      </c>
      <c r="O97" t="s">
        <v>409</v>
      </c>
      <c r="P97">
        <v>3.704504599009549E-3</v>
      </c>
      <c r="Q97" t="s">
        <v>251</v>
      </c>
      <c r="S97" t="s">
        <v>420</v>
      </c>
      <c r="T97" t="s">
        <v>409</v>
      </c>
      <c r="U97">
        <v>4.5099090788113831E-3</v>
      </c>
      <c r="V97" t="s">
        <v>251</v>
      </c>
      <c r="X97">
        <v>3.4246575342465752E-3</v>
      </c>
      <c r="Y97">
        <v>6.662854585684809E-3</v>
      </c>
      <c r="Z97" t="s">
        <v>409</v>
      </c>
      <c r="AA97" t="s">
        <v>25</v>
      </c>
      <c r="AC97" t="s">
        <v>22</v>
      </c>
      <c r="AD97" t="s">
        <v>409</v>
      </c>
      <c r="AE97">
        <v>3.566564524332422E-3</v>
      </c>
      <c r="AG97" t="s">
        <v>97</v>
      </c>
      <c r="AH97" t="s">
        <v>409</v>
      </c>
      <c r="AI97">
        <v>8.7148724965787183E-2</v>
      </c>
    </row>
    <row r="98" spans="9:35" x14ac:dyDescent="0.45">
      <c r="I98" t="s">
        <v>249</v>
      </c>
      <c r="J98" t="s">
        <v>410</v>
      </c>
      <c r="K98">
        <v>0</v>
      </c>
      <c r="L98" t="s">
        <v>251</v>
      </c>
      <c r="N98" t="s">
        <v>419</v>
      </c>
      <c r="O98" t="s">
        <v>410</v>
      </c>
      <c r="P98">
        <v>2.4756115856334106E-2</v>
      </c>
      <c r="Q98" t="s">
        <v>251</v>
      </c>
      <c r="S98" t="s">
        <v>420</v>
      </c>
      <c r="T98" t="s">
        <v>410</v>
      </c>
      <c r="U98">
        <v>3.1147941723048071E-2</v>
      </c>
      <c r="V98" t="s">
        <v>251</v>
      </c>
      <c r="X98">
        <v>2.0547945205479451E-2</v>
      </c>
      <c r="Y98">
        <v>1.8099097531263209E-2</v>
      </c>
      <c r="Z98" t="s">
        <v>410</v>
      </c>
      <c r="AA98" t="s">
        <v>25</v>
      </c>
      <c r="AC98" t="s">
        <v>22</v>
      </c>
      <c r="AD98" t="s">
        <v>410</v>
      </c>
      <c r="AE98">
        <v>2.1448875071952572E-2</v>
      </c>
      <c r="AG98" t="s">
        <v>97</v>
      </c>
      <c r="AH98" t="s">
        <v>410</v>
      </c>
      <c r="AI98">
        <v>0.14052964599654549</v>
      </c>
    </row>
    <row r="99" spans="9:35" x14ac:dyDescent="0.45">
      <c r="I99" t="s">
        <v>249</v>
      </c>
      <c r="J99" t="s">
        <v>411</v>
      </c>
      <c r="K99">
        <v>0</v>
      </c>
      <c r="L99" t="s">
        <v>251</v>
      </c>
      <c r="N99" t="s">
        <v>419</v>
      </c>
      <c r="O99" t="s">
        <v>411</v>
      </c>
      <c r="P99">
        <v>2.5496793989504236E-2</v>
      </c>
      <c r="Q99" t="s">
        <v>251</v>
      </c>
      <c r="S99" t="s">
        <v>420</v>
      </c>
      <c r="T99" t="s">
        <v>411</v>
      </c>
      <c r="U99">
        <v>2.4325664483547334E-2</v>
      </c>
      <c r="V99" t="s">
        <v>251</v>
      </c>
      <c r="X99">
        <v>2.1232876712328767E-2</v>
      </c>
      <c r="Y99">
        <v>4.5420116185598634E-3</v>
      </c>
      <c r="Z99" t="s">
        <v>411</v>
      </c>
      <c r="AA99" t="s">
        <v>25</v>
      </c>
      <c r="AC99" t="s">
        <v>22</v>
      </c>
      <c r="AD99" t="s">
        <v>411</v>
      </c>
      <c r="AE99">
        <v>2.4629116939589045E-2</v>
      </c>
      <c r="AG99" t="s">
        <v>97</v>
      </c>
      <c r="AH99" t="s">
        <v>411</v>
      </c>
      <c r="AI99">
        <v>0.1481249413504333</v>
      </c>
    </row>
    <row r="100" spans="9:35" x14ac:dyDescent="0.45">
      <c r="I100" t="s">
        <v>249</v>
      </c>
      <c r="J100" t="s">
        <v>412</v>
      </c>
      <c r="K100">
        <v>0</v>
      </c>
      <c r="L100" t="s">
        <v>251</v>
      </c>
      <c r="N100" t="s">
        <v>419</v>
      </c>
      <c r="O100" t="s">
        <v>412</v>
      </c>
      <c r="P100">
        <v>4.1246423586555909E-3</v>
      </c>
      <c r="Q100" t="s">
        <v>251</v>
      </c>
      <c r="S100" t="s">
        <v>420</v>
      </c>
      <c r="T100" t="s">
        <v>412</v>
      </c>
      <c r="U100">
        <v>3.8377822201510429E-3</v>
      </c>
      <c r="V100" t="s">
        <v>251</v>
      </c>
      <c r="X100">
        <v>3.5388127853881279E-3</v>
      </c>
      <c r="Y100">
        <v>5.240782636799844E-3</v>
      </c>
      <c r="Z100" t="s">
        <v>412</v>
      </c>
      <c r="AA100" t="s">
        <v>25</v>
      </c>
      <c r="AC100" t="s">
        <v>22</v>
      </c>
      <c r="AD100" t="s">
        <v>412</v>
      </c>
      <c r="AE100">
        <v>3.2411769055468846E-3</v>
      </c>
      <c r="AG100" t="s">
        <v>97</v>
      </c>
      <c r="AH100" t="s">
        <v>412</v>
      </c>
      <c r="AI100">
        <v>5.0935213205418828E-2</v>
      </c>
    </row>
    <row r="101" spans="9:35" x14ac:dyDescent="0.45">
      <c r="I101" t="s">
        <v>249</v>
      </c>
      <c r="J101" t="s">
        <v>413</v>
      </c>
      <c r="K101">
        <v>4.242480914009414E-4</v>
      </c>
      <c r="L101" t="s">
        <v>251</v>
      </c>
      <c r="N101" t="s">
        <v>419</v>
      </c>
      <c r="O101" t="s">
        <v>413</v>
      </c>
      <c r="P101">
        <v>4.0538060849123802E-3</v>
      </c>
      <c r="Q101" t="s">
        <v>251</v>
      </c>
      <c r="S101" t="s">
        <v>420</v>
      </c>
      <c r="T101" t="s">
        <v>413</v>
      </c>
      <c r="U101">
        <v>3.8336327649822182E-3</v>
      </c>
      <c r="V101" t="s">
        <v>251</v>
      </c>
      <c r="X101">
        <v>3.5388127853881279E-3</v>
      </c>
      <c r="Y101">
        <v>5.9087255218821738E-3</v>
      </c>
      <c r="Z101" t="s">
        <v>413</v>
      </c>
      <c r="AA101" t="s">
        <v>25</v>
      </c>
      <c r="AC101" t="s">
        <v>22</v>
      </c>
      <c r="AD101" t="s">
        <v>413</v>
      </c>
      <c r="AE101">
        <v>3.1207600296067188E-3</v>
      </c>
      <c r="AG101" t="s">
        <v>97</v>
      </c>
      <c r="AH101" t="s">
        <v>413</v>
      </c>
      <c r="AI101">
        <v>5.8844990241713413E-2</v>
      </c>
    </row>
    <row r="102" spans="9:35" x14ac:dyDescent="0.45">
      <c r="I102" t="s">
        <v>249</v>
      </c>
      <c r="J102" t="s">
        <v>414</v>
      </c>
      <c r="K102">
        <v>4.7229662109685773E-2</v>
      </c>
      <c r="L102" t="s">
        <v>251</v>
      </c>
      <c r="N102" t="s">
        <v>419</v>
      </c>
      <c r="O102" t="s">
        <v>414</v>
      </c>
      <c r="P102">
        <v>2.321968723487541E-2</v>
      </c>
      <c r="Q102" t="s">
        <v>251</v>
      </c>
      <c r="S102" t="s">
        <v>420</v>
      </c>
      <c r="T102" t="s">
        <v>414</v>
      </c>
      <c r="U102">
        <v>2.7454291210554579E-2</v>
      </c>
      <c r="V102" t="s">
        <v>251</v>
      </c>
      <c r="X102">
        <v>2.4771689497716895E-2</v>
      </c>
      <c r="Y102">
        <v>3.1424143732027281E-2</v>
      </c>
      <c r="Z102" t="s">
        <v>414</v>
      </c>
      <c r="AA102" t="s">
        <v>25</v>
      </c>
      <c r="AC102" t="s">
        <v>22</v>
      </c>
      <c r="AD102" t="s">
        <v>414</v>
      </c>
      <c r="AE102">
        <v>2.4612467532539015E-2</v>
      </c>
      <c r="AG102" t="s">
        <v>97</v>
      </c>
      <c r="AH102" t="s">
        <v>414</v>
      </c>
      <c r="AI102">
        <v>0.26152286155431348</v>
      </c>
    </row>
    <row r="103" spans="9:35" x14ac:dyDescent="0.45">
      <c r="I103" t="s">
        <v>249</v>
      </c>
      <c r="J103" t="s">
        <v>415</v>
      </c>
      <c r="K103">
        <v>7.0918338165213996E-3</v>
      </c>
      <c r="L103" t="s">
        <v>251</v>
      </c>
      <c r="N103" t="s">
        <v>419</v>
      </c>
      <c r="O103" t="s">
        <v>415</v>
      </c>
      <c r="P103">
        <v>3.0354251121071461E-3</v>
      </c>
      <c r="Q103" t="s">
        <v>251</v>
      </c>
      <c r="S103" t="s">
        <v>420</v>
      </c>
      <c r="T103" t="s">
        <v>415</v>
      </c>
      <c r="U103">
        <v>4.1673853152347706E-3</v>
      </c>
      <c r="V103" t="s">
        <v>251</v>
      </c>
      <c r="X103">
        <v>3.5388127853881279E-3</v>
      </c>
      <c r="Y103">
        <v>5.3435430806586613E-3</v>
      </c>
      <c r="Z103" t="s">
        <v>415</v>
      </c>
      <c r="AA103" t="s">
        <v>25</v>
      </c>
      <c r="AC103" t="s">
        <v>22</v>
      </c>
      <c r="AD103" t="s">
        <v>415</v>
      </c>
      <c r="AE103">
        <v>4.0800799140496748E-3</v>
      </c>
      <c r="AG103" t="s">
        <v>97</v>
      </c>
      <c r="AH103" t="s">
        <v>415</v>
      </c>
      <c r="AI103">
        <v>6.2116660462306461E-2</v>
      </c>
    </row>
    <row r="104" spans="9:35" x14ac:dyDescent="0.45">
      <c r="I104" t="s">
        <v>249</v>
      </c>
      <c r="J104" t="s">
        <v>416</v>
      </c>
      <c r="K104">
        <v>5.4379791779680152E-3</v>
      </c>
      <c r="L104" t="s">
        <v>251</v>
      </c>
      <c r="N104" t="s">
        <v>419</v>
      </c>
      <c r="O104" t="s">
        <v>416</v>
      </c>
      <c r="P104">
        <v>3.2277862540783667E-3</v>
      </c>
      <c r="Q104" t="s">
        <v>251</v>
      </c>
      <c r="S104" t="s">
        <v>420</v>
      </c>
      <c r="T104" t="s">
        <v>416</v>
      </c>
      <c r="U104">
        <v>4.1590847310642035E-3</v>
      </c>
      <c r="V104" t="s">
        <v>251</v>
      </c>
      <c r="X104">
        <v>3.5388127853881279E-3</v>
      </c>
      <c r="Y104">
        <v>6.8849497385409693E-3</v>
      </c>
      <c r="Z104" t="s">
        <v>416</v>
      </c>
      <c r="AA104" t="s">
        <v>25</v>
      </c>
      <c r="AC104" t="s">
        <v>22</v>
      </c>
      <c r="AD104" t="s">
        <v>416</v>
      </c>
      <c r="AE104">
        <v>4.0871281224621313E-3</v>
      </c>
      <c r="AG104" t="s">
        <v>97</v>
      </c>
      <c r="AH104" t="s">
        <v>416</v>
      </c>
      <c r="AI104">
        <v>4.7083028720061648E-2</v>
      </c>
    </row>
    <row r="105" spans="9:35" x14ac:dyDescent="0.45">
      <c r="I105" t="s">
        <v>249</v>
      </c>
      <c r="J105" t="s">
        <v>417</v>
      </c>
      <c r="K105">
        <v>1.7189199422202423E-3</v>
      </c>
      <c r="L105" t="s">
        <v>251</v>
      </c>
      <c r="N105" t="s">
        <v>419</v>
      </c>
      <c r="O105" t="s">
        <v>417</v>
      </c>
      <c r="P105">
        <v>3.4153482552153505E-3</v>
      </c>
      <c r="Q105" t="s">
        <v>251</v>
      </c>
      <c r="S105" t="s">
        <v>420</v>
      </c>
      <c r="T105" t="s">
        <v>417</v>
      </c>
      <c r="U105">
        <v>4.2921547043580062E-3</v>
      </c>
      <c r="V105" t="s">
        <v>251</v>
      </c>
      <c r="X105">
        <v>3.5388127853881279E-3</v>
      </c>
      <c r="Y105">
        <v>6.8849497385409693E-3</v>
      </c>
      <c r="Z105" t="s">
        <v>417</v>
      </c>
      <c r="AA105" t="s">
        <v>25</v>
      </c>
      <c r="AC105" t="s">
        <v>22</v>
      </c>
      <c r="AD105" t="s">
        <v>417</v>
      </c>
      <c r="AE105">
        <v>4.1620705948091077E-3</v>
      </c>
      <c r="AG105" t="s">
        <v>97</v>
      </c>
      <c r="AH105" t="s">
        <v>417</v>
      </c>
      <c r="AI105">
        <v>5.3418938222020707E-2</v>
      </c>
    </row>
    <row r="106" spans="9:35" x14ac:dyDescent="0.45">
      <c r="I106" t="s">
        <v>249</v>
      </c>
      <c r="J106" t="s">
        <v>418</v>
      </c>
      <c r="K106">
        <v>0</v>
      </c>
      <c r="L106" t="s">
        <v>251</v>
      </c>
      <c r="N106" t="s">
        <v>419</v>
      </c>
      <c r="O106" t="s">
        <v>418</v>
      </c>
      <c r="P106">
        <v>2.3247680365130773E-2</v>
      </c>
      <c r="Q106" t="s">
        <v>251</v>
      </c>
      <c r="S106" t="s">
        <v>420</v>
      </c>
      <c r="T106" t="s">
        <v>418</v>
      </c>
      <c r="U106">
        <v>2.7169243077500283E-2</v>
      </c>
      <c r="V106" t="s">
        <v>251</v>
      </c>
      <c r="X106">
        <v>2.1232876712328767E-2</v>
      </c>
      <c r="Y106">
        <v>1.8702400782305319E-2</v>
      </c>
      <c r="Z106" t="s">
        <v>418</v>
      </c>
      <c r="AA106" t="s">
        <v>25</v>
      </c>
      <c r="AC106" t="s">
        <v>22</v>
      </c>
      <c r="AD106" t="s">
        <v>418</v>
      </c>
      <c r="AE106">
        <v>2.5585407206910538E-2</v>
      </c>
      <c r="AG106" t="s">
        <v>97</v>
      </c>
      <c r="AH106" t="s">
        <v>418</v>
      </c>
      <c r="AI106">
        <v>0.10840364341062592</v>
      </c>
    </row>
    <row r="107" spans="9:35" x14ac:dyDescent="0.45">
      <c r="AC107" t="s">
        <v>19</v>
      </c>
      <c r="AD107" t="s">
        <v>250</v>
      </c>
      <c r="AE107">
        <v>2.1374482737781916E-2</v>
      </c>
    </row>
    <row r="108" spans="9:35" x14ac:dyDescent="0.45">
      <c r="AC108" t="s">
        <v>19</v>
      </c>
      <c r="AD108" t="s">
        <v>252</v>
      </c>
      <c r="AE108">
        <v>3.485168226884158E-3</v>
      </c>
    </row>
    <row r="109" spans="9:35" x14ac:dyDescent="0.45">
      <c r="AC109" t="s">
        <v>19</v>
      </c>
      <c r="AD109" t="s">
        <v>253</v>
      </c>
      <c r="AE109">
        <v>3.4724734662795196E-3</v>
      </c>
    </row>
    <row r="110" spans="9:35" x14ac:dyDescent="0.45">
      <c r="AC110" t="s">
        <v>19</v>
      </c>
      <c r="AD110" t="s">
        <v>254</v>
      </c>
      <c r="AE110">
        <v>2.4571821931557183E-2</v>
      </c>
    </row>
    <row r="111" spans="9:35" x14ac:dyDescent="0.45">
      <c r="AC111" t="s">
        <v>19</v>
      </c>
      <c r="AD111" t="s">
        <v>255</v>
      </c>
      <c r="AE111">
        <v>3.5616006831969537E-3</v>
      </c>
    </row>
    <row r="112" spans="9:35" x14ac:dyDescent="0.45">
      <c r="AC112" t="s">
        <v>19</v>
      </c>
      <c r="AD112" t="s">
        <v>256</v>
      </c>
      <c r="AE112">
        <v>3.5590811445633131E-3</v>
      </c>
    </row>
    <row r="113" spans="29:31" x14ac:dyDescent="0.45">
      <c r="AC113" t="s">
        <v>19</v>
      </c>
      <c r="AD113" t="s">
        <v>257</v>
      </c>
      <c r="AE113">
        <v>3.5638648660911904E-3</v>
      </c>
    </row>
    <row r="114" spans="29:31" x14ac:dyDescent="0.45">
      <c r="AC114" t="s">
        <v>19</v>
      </c>
      <c r="AD114" t="s">
        <v>258</v>
      </c>
      <c r="AE114">
        <v>2.1434813181539874E-2</v>
      </c>
    </row>
    <row r="115" spans="29:31" x14ac:dyDescent="0.45">
      <c r="AC115" t="s">
        <v>19</v>
      </c>
      <c r="AD115" t="s">
        <v>259</v>
      </c>
      <c r="AE115">
        <v>1.9307227285069097E-2</v>
      </c>
    </row>
    <row r="116" spans="29:31" x14ac:dyDescent="0.45">
      <c r="AC116" t="s">
        <v>19</v>
      </c>
      <c r="AD116" t="s">
        <v>260</v>
      </c>
      <c r="AE116">
        <v>3.1492536900016872E-3</v>
      </c>
    </row>
    <row r="117" spans="29:31" x14ac:dyDescent="0.45">
      <c r="AC117" t="s">
        <v>19</v>
      </c>
      <c r="AD117" t="s">
        <v>261</v>
      </c>
      <c r="AE117">
        <v>3.1403516556196263E-3</v>
      </c>
    </row>
    <row r="118" spans="29:31" x14ac:dyDescent="0.45">
      <c r="AC118" t="s">
        <v>19</v>
      </c>
      <c r="AD118" t="s">
        <v>262</v>
      </c>
      <c r="AE118">
        <v>2.2194600020251681E-2</v>
      </c>
    </row>
    <row r="119" spans="29:31" x14ac:dyDescent="0.45">
      <c r="AC119" t="s">
        <v>19</v>
      </c>
      <c r="AD119" t="s">
        <v>263</v>
      </c>
      <c r="AE119">
        <v>3.2111912728966245E-3</v>
      </c>
    </row>
    <row r="120" spans="29:31" x14ac:dyDescent="0.45">
      <c r="AC120" t="s">
        <v>19</v>
      </c>
      <c r="AD120" t="s">
        <v>264</v>
      </c>
      <c r="AE120">
        <v>3.2131361697261313E-3</v>
      </c>
    </row>
    <row r="121" spans="29:31" x14ac:dyDescent="0.45">
      <c r="AC121" t="s">
        <v>19</v>
      </c>
      <c r="AD121" t="s">
        <v>265</v>
      </c>
      <c r="AE121">
        <v>3.2176122386591744E-3</v>
      </c>
    </row>
    <row r="122" spans="29:31" x14ac:dyDescent="0.45">
      <c r="AC122" t="s">
        <v>19</v>
      </c>
      <c r="AD122" t="s">
        <v>266</v>
      </c>
      <c r="AE122">
        <v>1.9353151170863662E-2</v>
      </c>
    </row>
    <row r="123" spans="29:31" x14ac:dyDescent="0.45">
      <c r="AC123" t="s">
        <v>19</v>
      </c>
      <c r="AD123" t="s">
        <v>267</v>
      </c>
      <c r="AE123">
        <v>2.1290058222585766E-2</v>
      </c>
    </row>
    <row r="124" spans="29:31" x14ac:dyDescent="0.45">
      <c r="AC124" t="s">
        <v>19</v>
      </c>
      <c r="AD124" t="s">
        <v>268</v>
      </c>
      <c r="AE124">
        <v>3.4778004388648837E-3</v>
      </c>
    </row>
    <row r="125" spans="29:31" x14ac:dyDescent="0.45">
      <c r="AC125" t="s">
        <v>19</v>
      </c>
      <c r="AD125" t="s">
        <v>269</v>
      </c>
      <c r="AE125">
        <v>3.4715970469441268E-3</v>
      </c>
    </row>
    <row r="126" spans="29:31" x14ac:dyDescent="0.45">
      <c r="AC126" t="s">
        <v>19</v>
      </c>
      <c r="AD126" t="s">
        <v>270</v>
      </c>
      <c r="AE126">
        <v>2.4634624229355605E-2</v>
      </c>
    </row>
    <row r="127" spans="29:31" x14ac:dyDescent="0.45">
      <c r="AC127" t="s">
        <v>19</v>
      </c>
      <c r="AD127" t="s">
        <v>271</v>
      </c>
      <c r="AE127">
        <v>3.5563084696348369E-3</v>
      </c>
    </row>
    <row r="128" spans="29:31" x14ac:dyDescent="0.45">
      <c r="AC128" t="s">
        <v>19</v>
      </c>
      <c r="AD128" t="s">
        <v>272</v>
      </c>
      <c r="AE128">
        <v>3.5612535544863764E-3</v>
      </c>
    </row>
    <row r="129" spans="29:31" x14ac:dyDescent="0.45">
      <c r="AC129" t="s">
        <v>19</v>
      </c>
      <c r="AD129" t="s">
        <v>273</v>
      </c>
      <c r="AE129">
        <v>3.5630902880005818E-3</v>
      </c>
    </row>
    <row r="130" spans="29:31" x14ac:dyDescent="0.45">
      <c r="AC130" t="s">
        <v>19</v>
      </c>
      <c r="AD130" t="s">
        <v>274</v>
      </c>
      <c r="AE130">
        <v>2.1399527217477787E-2</v>
      </c>
    </row>
    <row r="131" spans="29:31" x14ac:dyDescent="0.45">
      <c r="AC131" t="s">
        <v>19</v>
      </c>
      <c r="AD131" t="s">
        <v>299</v>
      </c>
      <c r="AE131">
        <v>2.0544805611545983E-2</v>
      </c>
    </row>
    <row r="132" spans="29:31" x14ac:dyDescent="0.45">
      <c r="AC132" t="s">
        <v>19</v>
      </c>
      <c r="AD132" t="s">
        <v>300</v>
      </c>
      <c r="AE132">
        <v>3.3706895093697778E-3</v>
      </c>
    </row>
    <row r="133" spans="29:31" x14ac:dyDescent="0.45">
      <c r="AC133" t="s">
        <v>19</v>
      </c>
      <c r="AD133" t="s">
        <v>301</v>
      </c>
      <c r="AE133">
        <v>3.3652314981643863E-3</v>
      </c>
    </row>
    <row r="134" spans="29:31" x14ac:dyDescent="0.45">
      <c r="AC134" t="s">
        <v>19</v>
      </c>
      <c r="AD134" t="s">
        <v>302</v>
      </c>
      <c r="AE134">
        <v>2.3891737339009008E-2</v>
      </c>
    </row>
    <row r="135" spans="29:31" x14ac:dyDescent="0.45">
      <c r="AC135" t="s">
        <v>19</v>
      </c>
      <c r="AD135" t="s">
        <v>303</v>
      </c>
      <c r="AE135">
        <v>3.4397409913617121E-3</v>
      </c>
    </row>
    <row r="136" spans="29:31" x14ac:dyDescent="0.45">
      <c r="AC136" t="s">
        <v>19</v>
      </c>
      <c r="AD136" t="s">
        <v>304</v>
      </c>
      <c r="AE136">
        <v>3.444651691890952E-3</v>
      </c>
    </row>
    <row r="137" spans="29:31" x14ac:dyDescent="0.45">
      <c r="AC137" t="s">
        <v>19</v>
      </c>
      <c r="AD137" t="s">
        <v>305</v>
      </c>
      <c r="AE137">
        <v>3.4408199580632137E-3</v>
      </c>
    </row>
    <row r="138" spans="29:31" x14ac:dyDescent="0.45">
      <c r="AC138" t="s">
        <v>19</v>
      </c>
      <c r="AD138" t="s">
        <v>306</v>
      </c>
      <c r="AE138">
        <v>2.0662350750472003E-2</v>
      </c>
    </row>
    <row r="139" spans="29:31" x14ac:dyDescent="0.45">
      <c r="AC139" t="s">
        <v>19</v>
      </c>
      <c r="AD139" t="s">
        <v>331</v>
      </c>
      <c r="AE139">
        <v>2.1223441092015214E-2</v>
      </c>
    </row>
    <row r="140" spans="29:31" x14ac:dyDescent="0.45">
      <c r="AC140" t="s">
        <v>19</v>
      </c>
      <c r="AD140" t="s">
        <v>332</v>
      </c>
      <c r="AE140">
        <v>3.4859661544347823E-3</v>
      </c>
    </row>
    <row r="141" spans="29:31" x14ac:dyDescent="0.45">
      <c r="AC141" t="s">
        <v>19</v>
      </c>
      <c r="AD141" t="s">
        <v>333</v>
      </c>
      <c r="AE141">
        <v>3.4797166372036231E-3</v>
      </c>
    </row>
    <row r="142" spans="29:31" x14ac:dyDescent="0.45">
      <c r="AC142" t="s">
        <v>19</v>
      </c>
      <c r="AD142" t="s">
        <v>334</v>
      </c>
      <c r="AE142">
        <v>2.4648746678792133E-2</v>
      </c>
    </row>
    <row r="143" spans="29:31" x14ac:dyDescent="0.45">
      <c r="AC143" t="s">
        <v>19</v>
      </c>
      <c r="AD143" t="s">
        <v>335</v>
      </c>
      <c r="AE143">
        <v>3.5570609124147721E-3</v>
      </c>
    </row>
    <row r="144" spans="29:31" x14ac:dyDescent="0.45">
      <c r="AC144" t="s">
        <v>19</v>
      </c>
      <c r="AD144" t="s">
        <v>336</v>
      </c>
      <c r="AE144">
        <v>3.5576787120268202E-3</v>
      </c>
    </row>
    <row r="145" spans="29:31" x14ac:dyDescent="0.45">
      <c r="AC145" t="s">
        <v>19</v>
      </c>
      <c r="AD145" t="s">
        <v>337</v>
      </c>
      <c r="AE145">
        <v>3.5581197947153805E-3</v>
      </c>
    </row>
    <row r="146" spans="29:31" x14ac:dyDescent="0.45">
      <c r="AC146" t="s">
        <v>19</v>
      </c>
      <c r="AD146" t="s">
        <v>338</v>
      </c>
      <c r="AE146">
        <v>2.137079864257883E-2</v>
      </c>
    </row>
    <row r="147" spans="29:31" x14ac:dyDescent="0.45">
      <c r="AC147" t="s">
        <v>19</v>
      </c>
      <c r="AD147" t="s">
        <v>339</v>
      </c>
      <c r="AE147">
        <v>2.0548453822010204E-2</v>
      </c>
    </row>
    <row r="148" spans="29:31" x14ac:dyDescent="0.45">
      <c r="AC148" t="s">
        <v>19</v>
      </c>
      <c r="AD148" t="s">
        <v>340</v>
      </c>
      <c r="AE148">
        <v>3.379574715271021E-3</v>
      </c>
    </row>
    <row r="149" spans="29:31" x14ac:dyDescent="0.45">
      <c r="AC149" t="s">
        <v>19</v>
      </c>
      <c r="AD149" t="s">
        <v>341</v>
      </c>
      <c r="AE149">
        <v>3.3722211580927064E-3</v>
      </c>
    </row>
    <row r="150" spans="29:31" x14ac:dyDescent="0.45">
      <c r="AC150" t="s">
        <v>19</v>
      </c>
      <c r="AD150" t="s">
        <v>342</v>
      </c>
      <c r="AE150">
        <v>2.3827821977797994E-2</v>
      </c>
    </row>
    <row r="151" spans="29:31" x14ac:dyDescent="0.45">
      <c r="AC151" t="s">
        <v>19</v>
      </c>
      <c r="AD151" t="s">
        <v>343</v>
      </c>
      <c r="AE151">
        <v>3.4402832575524313E-3</v>
      </c>
    </row>
    <row r="152" spans="29:31" x14ac:dyDescent="0.45">
      <c r="AC152" t="s">
        <v>19</v>
      </c>
      <c r="AD152" t="s">
        <v>344</v>
      </c>
      <c r="AE152">
        <v>3.44164882478402E-3</v>
      </c>
    </row>
    <row r="153" spans="29:31" x14ac:dyDescent="0.45">
      <c r="AC153" t="s">
        <v>19</v>
      </c>
      <c r="AD153" t="s">
        <v>345</v>
      </c>
      <c r="AE153">
        <v>3.443684079913903E-3</v>
      </c>
    </row>
    <row r="154" spans="29:31" x14ac:dyDescent="0.45">
      <c r="AC154" t="s">
        <v>19</v>
      </c>
      <c r="AD154" t="s">
        <v>346</v>
      </c>
      <c r="AE154">
        <v>2.0692724073301229E-2</v>
      </c>
    </row>
    <row r="155" spans="29:31" x14ac:dyDescent="0.45">
      <c r="AC155" t="s">
        <v>19</v>
      </c>
      <c r="AD155" t="s">
        <v>347</v>
      </c>
      <c r="AE155">
        <v>2.1239478364632636E-2</v>
      </c>
    </row>
    <row r="156" spans="29:31" x14ac:dyDescent="0.45">
      <c r="AC156" t="s">
        <v>19</v>
      </c>
      <c r="AD156" t="s">
        <v>348</v>
      </c>
      <c r="AE156">
        <v>3.4901148460204979E-3</v>
      </c>
    </row>
    <row r="157" spans="29:31" x14ac:dyDescent="0.45">
      <c r="AC157" t="s">
        <v>19</v>
      </c>
      <c r="AD157" t="s">
        <v>349</v>
      </c>
      <c r="AE157">
        <v>3.4806753711336021E-3</v>
      </c>
    </row>
    <row r="158" spans="29:31" x14ac:dyDescent="0.45">
      <c r="AC158" t="s">
        <v>19</v>
      </c>
      <c r="AD158" t="s">
        <v>350</v>
      </c>
      <c r="AE158">
        <v>2.4573462626051094E-2</v>
      </c>
    </row>
    <row r="159" spans="29:31" x14ac:dyDescent="0.45">
      <c r="AC159" t="s">
        <v>19</v>
      </c>
      <c r="AD159" t="s">
        <v>351</v>
      </c>
      <c r="AE159">
        <v>3.557426769452868E-3</v>
      </c>
    </row>
    <row r="160" spans="29:31" x14ac:dyDescent="0.45">
      <c r="AC160" t="s">
        <v>19</v>
      </c>
      <c r="AD160" t="s">
        <v>352</v>
      </c>
      <c r="AE160">
        <v>3.5620926725305397E-3</v>
      </c>
    </row>
    <row r="161" spans="29:31" x14ac:dyDescent="0.45">
      <c r="AC161" t="s">
        <v>19</v>
      </c>
      <c r="AD161" t="s">
        <v>353</v>
      </c>
      <c r="AE161">
        <v>3.5667831327664762E-3</v>
      </c>
    </row>
    <row r="162" spans="29:31" x14ac:dyDescent="0.45">
      <c r="AC162" t="s">
        <v>19</v>
      </c>
      <c r="AD162" t="s">
        <v>354</v>
      </c>
      <c r="AE162">
        <v>2.145256291275302E-2</v>
      </c>
    </row>
    <row r="163" spans="29:31" x14ac:dyDescent="0.45">
      <c r="AC163" t="s">
        <v>19</v>
      </c>
      <c r="AD163" t="s">
        <v>355</v>
      </c>
      <c r="AE163">
        <v>2.1237807807494583E-2</v>
      </c>
    </row>
    <row r="164" spans="29:31" x14ac:dyDescent="0.45">
      <c r="AC164" t="s">
        <v>19</v>
      </c>
      <c r="AD164" t="s">
        <v>356</v>
      </c>
      <c r="AE164">
        <v>3.4888832171749555E-3</v>
      </c>
    </row>
    <row r="165" spans="29:31" x14ac:dyDescent="0.45">
      <c r="AC165" t="s">
        <v>19</v>
      </c>
      <c r="AD165" t="s">
        <v>357</v>
      </c>
      <c r="AE165">
        <v>3.4800252222500988E-3</v>
      </c>
    </row>
    <row r="166" spans="29:31" x14ac:dyDescent="0.45">
      <c r="AC166" t="s">
        <v>19</v>
      </c>
      <c r="AD166" t="s">
        <v>358</v>
      </c>
      <c r="AE166">
        <v>2.458106701164595E-2</v>
      </c>
    </row>
    <row r="167" spans="29:31" x14ac:dyDescent="0.45">
      <c r="AC167" t="s">
        <v>19</v>
      </c>
      <c r="AD167" t="s">
        <v>359</v>
      </c>
      <c r="AE167">
        <v>3.5565696910299731E-3</v>
      </c>
    </row>
    <row r="168" spans="29:31" x14ac:dyDescent="0.45">
      <c r="AC168" t="s">
        <v>19</v>
      </c>
      <c r="AD168" t="s">
        <v>360</v>
      </c>
      <c r="AE168">
        <v>3.5593149318817849E-3</v>
      </c>
    </row>
    <row r="169" spans="29:31" x14ac:dyDescent="0.45">
      <c r="AC169" t="s">
        <v>19</v>
      </c>
      <c r="AD169" t="s">
        <v>361</v>
      </c>
      <c r="AE169">
        <v>3.562844862105099E-3</v>
      </c>
    </row>
    <row r="170" spans="29:31" x14ac:dyDescent="0.45">
      <c r="AC170" t="s">
        <v>19</v>
      </c>
      <c r="AD170" t="s">
        <v>362</v>
      </c>
      <c r="AE170">
        <v>2.1438247074888759E-2</v>
      </c>
    </row>
    <row r="171" spans="29:31" x14ac:dyDescent="0.45">
      <c r="AC171" t="s">
        <v>19</v>
      </c>
      <c r="AD171" t="s">
        <v>363</v>
      </c>
      <c r="AE171">
        <v>2.0537094018741476E-2</v>
      </c>
    </row>
    <row r="172" spans="29:31" x14ac:dyDescent="0.45">
      <c r="AC172" t="s">
        <v>19</v>
      </c>
      <c r="AD172" t="s">
        <v>364</v>
      </c>
      <c r="AE172">
        <v>3.374769567246244E-3</v>
      </c>
    </row>
    <row r="173" spans="29:31" x14ac:dyDescent="0.45">
      <c r="AC173" t="s">
        <v>19</v>
      </c>
      <c r="AD173" t="s">
        <v>365</v>
      </c>
      <c r="AE173">
        <v>3.3675968986978124E-3</v>
      </c>
    </row>
    <row r="174" spans="29:31" x14ac:dyDescent="0.45">
      <c r="AC174" t="s">
        <v>19</v>
      </c>
      <c r="AD174" t="s">
        <v>366</v>
      </c>
      <c r="AE174">
        <v>2.3812222120691923E-2</v>
      </c>
    </row>
    <row r="175" spans="29:31" x14ac:dyDescent="0.45">
      <c r="AC175" t="s">
        <v>19</v>
      </c>
      <c r="AD175" t="s">
        <v>367</v>
      </c>
      <c r="AE175">
        <v>3.4430888287512351E-3</v>
      </c>
    </row>
    <row r="176" spans="29:31" x14ac:dyDescent="0.45">
      <c r="AC176" t="s">
        <v>19</v>
      </c>
      <c r="AD176" t="s">
        <v>368</v>
      </c>
      <c r="AE176">
        <v>3.4453248848827652E-3</v>
      </c>
    </row>
    <row r="177" spans="29:31" x14ac:dyDescent="0.45">
      <c r="AC177" t="s">
        <v>19</v>
      </c>
      <c r="AD177" t="s">
        <v>369</v>
      </c>
      <c r="AE177">
        <v>3.4476617070770192E-3</v>
      </c>
    </row>
    <row r="178" spans="29:31" x14ac:dyDescent="0.45">
      <c r="AC178" t="s">
        <v>19</v>
      </c>
      <c r="AD178" t="s">
        <v>370</v>
      </c>
      <c r="AE178">
        <v>2.0729579132258261E-2</v>
      </c>
    </row>
    <row r="179" spans="29:31" x14ac:dyDescent="0.45">
      <c r="AC179" t="s">
        <v>19</v>
      </c>
      <c r="AD179" t="s">
        <v>395</v>
      </c>
      <c r="AE179">
        <v>2.1225495681068917E-2</v>
      </c>
    </row>
    <row r="180" spans="29:31" x14ac:dyDescent="0.45">
      <c r="AC180" t="s">
        <v>19</v>
      </c>
      <c r="AD180" t="s">
        <v>396</v>
      </c>
      <c r="AE180">
        <v>3.4856379841406849E-3</v>
      </c>
    </row>
    <row r="181" spans="29:31" x14ac:dyDescent="0.45">
      <c r="AC181" t="s">
        <v>19</v>
      </c>
      <c r="AD181" t="s">
        <v>397</v>
      </c>
      <c r="AE181">
        <v>3.4796871739896157E-3</v>
      </c>
    </row>
    <row r="182" spans="29:31" x14ac:dyDescent="0.45">
      <c r="AC182" t="s">
        <v>19</v>
      </c>
      <c r="AD182" t="s">
        <v>398</v>
      </c>
      <c r="AE182">
        <v>2.4670641018587115E-2</v>
      </c>
    </row>
    <row r="183" spans="29:31" x14ac:dyDescent="0.45">
      <c r="AC183" t="s">
        <v>19</v>
      </c>
      <c r="AD183" t="s">
        <v>399</v>
      </c>
      <c r="AE183">
        <v>3.5550115906779894E-3</v>
      </c>
    </row>
    <row r="184" spans="29:31" x14ac:dyDescent="0.45">
      <c r="AC184" t="s">
        <v>19</v>
      </c>
      <c r="AD184" t="s">
        <v>400</v>
      </c>
      <c r="AE184">
        <v>3.5566551139758961E-3</v>
      </c>
    </row>
    <row r="185" spans="29:31" x14ac:dyDescent="0.45">
      <c r="AC185" t="s">
        <v>19</v>
      </c>
      <c r="AD185" t="s">
        <v>401</v>
      </c>
      <c r="AE185">
        <v>3.5562127625725043E-3</v>
      </c>
    </row>
    <row r="186" spans="29:31" x14ac:dyDescent="0.45">
      <c r="AC186" t="s">
        <v>19</v>
      </c>
      <c r="AD186" t="s">
        <v>402</v>
      </c>
      <c r="AE186">
        <v>2.1354870446106289E-2</v>
      </c>
    </row>
    <row r="187" spans="29:31" x14ac:dyDescent="0.45">
      <c r="AC187" t="s">
        <v>19</v>
      </c>
      <c r="AD187" t="s">
        <v>403</v>
      </c>
      <c r="AE187">
        <v>2.0641099640495167E-2</v>
      </c>
    </row>
    <row r="188" spans="29:31" x14ac:dyDescent="0.45">
      <c r="AC188" t="s">
        <v>19</v>
      </c>
      <c r="AD188" t="s">
        <v>404</v>
      </c>
      <c r="AE188">
        <v>3.3773964687221409E-3</v>
      </c>
    </row>
    <row r="189" spans="29:31" x14ac:dyDescent="0.45">
      <c r="AC189" t="s">
        <v>19</v>
      </c>
      <c r="AD189" t="s">
        <v>405</v>
      </c>
      <c r="AE189">
        <v>3.3692861984095418E-3</v>
      </c>
    </row>
    <row r="190" spans="29:31" x14ac:dyDescent="0.45">
      <c r="AC190" t="s">
        <v>19</v>
      </c>
      <c r="AD190" t="s">
        <v>406</v>
      </c>
      <c r="AE190">
        <v>2.3812920159528385E-2</v>
      </c>
    </row>
    <row r="191" spans="29:31" x14ac:dyDescent="0.45">
      <c r="AC191" t="s">
        <v>19</v>
      </c>
      <c r="AD191" t="s">
        <v>407</v>
      </c>
      <c r="AE191">
        <v>3.4517120635866503E-3</v>
      </c>
    </row>
    <row r="192" spans="29:31" x14ac:dyDescent="0.45">
      <c r="AC192" t="s">
        <v>19</v>
      </c>
      <c r="AD192" t="s">
        <v>408</v>
      </c>
      <c r="AE192">
        <v>3.4379976433229751E-3</v>
      </c>
    </row>
    <row r="193" spans="29:31" x14ac:dyDescent="0.45">
      <c r="AC193" t="s">
        <v>19</v>
      </c>
      <c r="AD193" t="s">
        <v>409</v>
      </c>
      <c r="AE193">
        <v>3.4407479160268313E-3</v>
      </c>
    </row>
    <row r="194" spans="29:31" x14ac:dyDescent="0.45">
      <c r="AC194" t="s">
        <v>19</v>
      </c>
      <c r="AD194" t="s">
        <v>410</v>
      </c>
      <c r="AE194">
        <v>2.0648476357095068E-2</v>
      </c>
    </row>
    <row r="195" spans="29:31" x14ac:dyDescent="0.45">
      <c r="AC195" t="s">
        <v>19</v>
      </c>
      <c r="AD195" t="s">
        <v>411</v>
      </c>
      <c r="AE195">
        <v>2.1350568589997714E-2</v>
      </c>
    </row>
    <row r="196" spans="29:31" x14ac:dyDescent="0.45">
      <c r="AC196" t="s">
        <v>19</v>
      </c>
      <c r="AD196" t="s">
        <v>412</v>
      </c>
      <c r="AE196">
        <v>3.4888134789849336E-3</v>
      </c>
    </row>
    <row r="197" spans="29:31" x14ac:dyDescent="0.45">
      <c r="AC197" t="s">
        <v>19</v>
      </c>
      <c r="AD197" t="s">
        <v>413</v>
      </c>
      <c r="AE197">
        <v>3.4791075524797672E-3</v>
      </c>
    </row>
    <row r="198" spans="29:31" x14ac:dyDescent="0.45">
      <c r="AC198" t="s">
        <v>19</v>
      </c>
      <c r="AD198" t="s">
        <v>414</v>
      </c>
      <c r="AE198">
        <v>2.4576792440163732E-2</v>
      </c>
    </row>
    <row r="199" spans="29:31" x14ac:dyDescent="0.45">
      <c r="AC199" t="s">
        <v>19</v>
      </c>
      <c r="AD199" t="s">
        <v>415</v>
      </c>
      <c r="AE199">
        <v>3.5564313347208405E-3</v>
      </c>
    </row>
    <row r="200" spans="29:31" x14ac:dyDescent="0.45">
      <c r="AC200" t="s">
        <v>19</v>
      </c>
      <c r="AD200" t="s">
        <v>416</v>
      </c>
      <c r="AE200">
        <v>3.5569994394180453E-3</v>
      </c>
    </row>
    <row r="201" spans="29:31" x14ac:dyDescent="0.45">
      <c r="AC201" t="s">
        <v>19</v>
      </c>
      <c r="AD201" t="s">
        <v>417</v>
      </c>
      <c r="AE201">
        <v>3.5630400057675383E-3</v>
      </c>
    </row>
    <row r="202" spans="29:31" x14ac:dyDescent="0.45">
      <c r="AC202" t="s">
        <v>19</v>
      </c>
      <c r="AD202" t="s">
        <v>418</v>
      </c>
      <c r="AE202">
        <v>2.1427648176889174E-2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1C251A-0012-47EE-BD21-BF2CE131632A}">
  <dimension ref="A9:AN20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131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248</v>
      </c>
      <c r="L10" t="s">
        <v>30</v>
      </c>
      <c r="N10" t="s">
        <v>13</v>
      </c>
      <c r="O10" t="s">
        <v>122</v>
      </c>
      <c r="P10" t="s">
        <v>248</v>
      </c>
      <c r="Q10" t="s">
        <v>30</v>
      </c>
      <c r="S10" t="s">
        <v>13</v>
      </c>
      <c r="T10" t="s">
        <v>122</v>
      </c>
      <c r="U10" t="s">
        <v>248</v>
      </c>
      <c r="V10" t="s">
        <v>30</v>
      </c>
      <c r="X10" t="s">
        <v>421</v>
      </c>
      <c r="Y10" t="s">
        <v>248</v>
      </c>
      <c r="Z10" t="s">
        <v>122</v>
      </c>
      <c r="AA10" t="s">
        <v>13</v>
      </c>
      <c r="AC10" t="s">
        <v>13</v>
      </c>
      <c r="AD10" t="s">
        <v>122</v>
      </c>
      <c r="AE10" t="s">
        <v>248</v>
      </c>
      <c r="AG10" t="s">
        <v>13</v>
      </c>
      <c r="AH10" t="s">
        <v>122</v>
      </c>
      <c r="AI10" t="s">
        <v>427</v>
      </c>
      <c r="AK10" t="s">
        <v>47</v>
      </c>
      <c r="AL10" t="s">
        <v>122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240</v>
      </c>
      <c r="F11" t="s">
        <v>154</v>
      </c>
      <c r="G11" t="s">
        <v>152</v>
      </c>
      <c r="I11" t="s">
        <v>249</v>
      </c>
      <c r="J11" t="s">
        <v>250</v>
      </c>
      <c r="K11">
        <v>0</v>
      </c>
      <c r="L11" t="s">
        <v>251</v>
      </c>
      <c r="N11" t="s">
        <v>419</v>
      </c>
      <c r="O11" t="s">
        <v>250</v>
      </c>
      <c r="P11">
        <v>2.5660311917472152E-2</v>
      </c>
      <c r="Q11" t="s">
        <v>251</v>
      </c>
      <c r="S11" t="s">
        <v>420</v>
      </c>
      <c r="T11" t="s">
        <v>250</v>
      </c>
      <c r="U11">
        <v>2.6769906846017193E-2</v>
      </c>
      <c r="V11" t="s">
        <v>251</v>
      </c>
      <c r="X11">
        <v>2.1232876712328767E-2</v>
      </c>
      <c r="Y11">
        <v>4.5420116185598634E-3</v>
      </c>
      <c r="Z11" t="s">
        <v>250</v>
      </c>
      <c r="AA11" t="s">
        <v>25</v>
      </c>
      <c r="AC11" t="s">
        <v>22</v>
      </c>
      <c r="AD11" t="s">
        <v>250</v>
      </c>
      <c r="AE11">
        <v>2.5607497604483307E-2</v>
      </c>
      <c r="AG11" t="s">
        <v>97</v>
      </c>
      <c r="AH11" t="s">
        <v>250</v>
      </c>
      <c r="AI11">
        <v>0.1255692735717755</v>
      </c>
    </row>
    <row r="12" spans="1:40" x14ac:dyDescent="0.45">
      <c r="C12" t="s">
        <v>156</v>
      </c>
      <c r="E12" t="s">
        <v>241</v>
      </c>
      <c r="G12" t="s">
        <v>152</v>
      </c>
      <c r="I12" t="s">
        <v>249</v>
      </c>
      <c r="J12" t="s">
        <v>252</v>
      </c>
      <c r="K12">
        <v>0</v>
      </c>
      <c r="L12" t="s">
        <v>251</v>
      </c>
      <c r="N12" t="s">
        <v>419</v>
      </c>
      <c r="O12" t="s">
        <v>252</v>
      </c>
      <c r="P12">
        <v>4.0814319723471888E-3</v>
      </c>
      <c r="Q12" t="s">
        <v>251</v>
      </c>
      <c r="S12" t="s">
        <v>420</v>
      </c>
      <c r="T12" t="s">
        <v>252</v>
      </c>
      <c r="U12">
        <v>4.3097825222294175E-3</v>
      </c>
      <c r="V12" t="s">
        <v>251</v>
      </c>
      <c r="X12">
        <v>3.5388127853881279E-3</v>
      </c>
      <c r="Y12">
        <v>5.240782636799844E-3</v>
      </c>
      <c r="Z12" t="s">
        <v>252</v>
      </c>
      <c r="AA12" t="s">
        <v>25</v>
      </c>
      <c r="AC12" t="s">
        <v>22</v>
      </c>
      <c r="AD12" t="s">
        <v>252</v>
      </c>
      <c r="AE12">
        <v>3.3095668155421962E-3</v>
      </c>
      <c r="AG12" t="s">
        <v>97</v>
      </c>
      <c r="AH12" t="s">
        <v>252</v>
      </c>
      <c r="AI12">
        <v>3.1209633865931563E-2</v>
      </c>
    </row>
    <row r="13" spans="1:40" x14ac:dyDescent="0.45">
      <c r="C13" t="s">
        <v>158</v>
      </c>
      <c r="E13" t="s">
        <v>242</v>
      </c>
      <c r="G13" t="s">
        <v>152</v>
      </c>
      <c r="I13" t="s">
        <v>249</v>
      </c>
      <c r="J13" t="s">
        <v>253</v>
      </c>
      <c r="K13">
        <v>2.0106799524999386E-4</v>
      </c>
      <c r="L13" t="s">
        <v>251</v>
      </c>
      <c r="N13" t="s">
        <v>419</v>
      </c>
      <c r="O13" t="s">
        <v>253</v>
      </c>
      <c r="P13">
        <v>4.033150452332668E-3</v>
      </c>
      <c r="Q13" t="s">
        <v>251</v>
      </c>
      <c r="S13" t="s">
        <v>420</v>
      </c>
      <c r="T13" t="s">
        <v>253</v>
      </c>
      <c r="U13">
        <v>4.30556758140406E-3</v>
      </c>
      <c r="V13" t="s">
        <v>251</v>
      </c>
      <c r="X13">
        <v>3.5388127853881279E-3</v>
      </c>
      <c r="Y13">
        <v>5.9087255218821738E-3</v>
      </c>
      <c r="Z13" t="s">
        <v>253</v>
      </c>
      <c r="AA13" t="s">
        <v>25</v>
      </c>
      <c r="AC13" t="s">
        <v>22</v>
      </c>
      <c r="AD13" t="s">
        <v>253</v>
      </c>
      <c r="AE13">
        <v>3.1520688773489483E-3</v>
      </c>
      <c r="AG13" t="s">
        <v>97</v>
      </c>
      <c r="AH13" t="s">
        <v>253</v>
      </c>
      <c r="AI13">
        <v>3.7632188426626412E-2</v>
      </c>
    </row>
    <row r="14" spans="1:40" x14ac:dyDescent="0.45">
      <c r="C14" t="s">
        <v>161</v>
      </c>
      <c r="E14" t="s">
        <v>243</v>
      </c>
      <c r="G14" t="s">
        <v>152</v>
      </c>
      <c r="I14" t="s">
        <v>249</v>
      </c>
      <c r="J14" t="s">
        <v>254</v>
      </c>
      <c r="K14">
        <v>4.9834507681872697E-2</v>
      </c>
      <c r="L14" t="s">
        <v>251</v>
      </c>
      <c r="N14" t="s">
        <v>419</v>
      </c>
      <c r="O14" t="s">
        <v>254</v>
      </c>
      <c r="P14">
        <v>2.3667065373781479E-2</v>
      </c>
      <c r="Q14" t="s">
        <v>251</v>
      </c>
      <c r="S14" t="s">
        <v>420</v>
      </c>
      <c r="T14" t="s">
        <v>254</v>
      </c>
      <c r="U14">
        <v>2.8474195890723288E-2</v>
      </c>
      <c r="V14" t="s">
        <v>251</v>
      </c>
      <c r="X14">
        <v>2.4771689497716895E-2</v>
      </c>
      <c r="Y14">
        <v>3.1424143732027281E-2</v>
      </c>
      <c r="Z14" t="s">
        <v>254</v>
      </c>
      <c r="AA14" t="s">
        <v>25</v>
      </c>
      <c r="AC14" t="s">
        <v>22</v>
      </c>
      <c r="AD14" t="s">
        <v>254</v>
      </c>
      <c r="AE14">
        <v>2.5346104661222169E-2</v>
      </c>
      <c r="AG14" t="s">
        <v>97</v>
      </c>
      <c r="AH14" t="s">
        <v>254</v>
      </c>
      <c r="AI14">
        <v>0.28402737458105975</v>
      </c>
    </row>
    <row r="15" spans="1:40" x14ac:dyDescent="0.45">
      <c r="C15" t="s">
        <v>165</v>
      </c>
      <c r="E15" t="s">
        <v>244</v>
      </c>
      <c r="G15" t="s">
        <v>152</v>
      </c>
      <c r="I15" t="s">
        <v>249</v>
      </c>
      <c r="J15" t="s">
        <v>255</v>
      </c>
      <c r="K15">
        <v>7.7021391491125003E-3</v>
      </c>
      <c r="L15" t="s">
        <v>251</v>
      </c>
      <c r="N15" t="s">
        <v>419</v>
      </c>
      <c r="O15" t="s">
        <v>255</v>
      </c>
      <c r="P15">
        <v>3.101223359272192E-3</v>
      </c>
      <c r="Q15" t="s">
        <v>251</v>
      </c>
      <c r="S15" t="s">
        <v>420</v>
      </c>
      <c r="T15" t="s">
        <v>255</v>
      </c>
      <c r="U15">
        <v>4.067137061951746E-3</v>
      </c>
      <c r="V15" t="s">
        <v>251</v>
      </c>
      <c r="X15">
        <v>3.5388127853881279E-3</v>
      </c>
      <c r="Y15">
        <v>5.3435430806586613E-3</v>
      </c>
      <c r="Z15" t="s">
        <v>255</v>
      </c>
      <c r="AA15" t="s">
        <v>25</v>
      </c>
      <c r="AC15" t="s">
        <v>22</v>
      </c>
      <c r="AD15" t="s">
        <v>255</v>
      </c>
      <c r="AE15">
        <v>4.2578284374204705E-3</v>
      </c>
      <c r="AG15" t="s">
        <v>97</v>
      </c>
      <c r="AH15" t="s">
        <v>255</v>
      </c>
      <c r="AI15">
        <v>5.7465312640921917E-2</v>
      </c>
    </row>
    <row r="16" spans="1:40" x14ac:dyDescent="0.45">
      <c r="C16" t="s">
        <v>167</v>
      </c>
      <c r="E16" t="s">
        <v>245</v>
      </c>
      <c r="G16" t="s">
        <v>152</v>
      </c>
      <c r="I16" t="s">
        <v>249</v>
      </c>
      <c r="J16" t="s">
        <v>256</v>
      </c>
      <c r="K16">
        <v>6.5047348408537988E-3</v>
      </c>
      <c r="L16" t="s">
        <v>251</v>
      </c>
      <c r="N16" t="s">
        <v>419</v>
      </c>
      <c r="O16" t="s">
        <v>256</v>
      </c>
      <c r="P16">
        <v>3.1831217606181723E-3</v>
      </c>
      <c r="Q16" t="s">
        <v>251</v>
      </c>
      <c r="S16" t="s">
        <v>420</v>
      </c>
      <c r="T16" t="s">
        <v>256</v>
      </c>
      <c r="U16">
        <v>4.0561869751066289E-3</v>
      </c>
      <c r="V16" t="s">
        <v>251</v>
      </c>
      <c r="X16">
        <v>3.5388127853881279E-3</v>
      </c>
      <c r="Y16">
        <v>6.8849497385409693E-3</v>
      </c>
      <c r="Z16" t="s">
        <v>256</v>
      </c>
      <c r="AA16" t="s">
        <v>25</v>
      </c>
      <c r="AC16" t="s">
        <v>22</v>
      </c>
      <c r="AD16" t="s">
        <v>256</v>
      </c>
      <c r="AE16">
        <v>4.2265697038094052E-3</v>
      </c>
      <c r="AG16" t="s">
        <v>97</v>
      </c>
      <c r="AH16" t="s">
        <v>256</v>
      </c>
      <c r="AI16">
        <v>3.8379035468125267E-2</v>
      </c>
    </row>
    <row r="17" spans="3:35" x14ac:dyDescent="0.45">
      <c r="C17" t="s">
        <v>169</v>
      </c>
      <c r="E17" t="s">
        <v>246</v>
      </c>
      <c r="G17" t="s">
        <v>152</v>
      </c>
      <c r="I17" t="s">
        <v>249</v>
      </c>
      <c r="J17" t="s">
        <v>257</v>
      </c>
      <c r="K17">
        <v>3.8391612194623543E-3</v>
      </c>
      <c r="L17" t="s">
        <v>251</v>
      </c>
      <c r="N17" t="s">
        <v>419</v>
      </c>
      <c r="O17" t="s">
        <v>257</v>
      </c>
      <c r="P17">
        <v>3.4653706361787956E-3</v>
      </c>
      <c r="Q17" t="s">
        <v>251</v>
      </c>
      <c r="S17" t="s">
        <v>420</v>
      </c>
      <c r="T17" t="s">
        <v>257</v>
      </c>
      <c r="U17">
        <v>4.1657394600128654E-3</v>
      </c>
      <c r="V17" t="s">
        <v>251</v>
      </c>
      <c r="X17">
        <v>3.5388127853881279E-3</v>
      </c>
      <c r="Y17">
        <v>6.8849497385409693E-3</v>
      </c>
      <c r="Z17" t="s">
        <v>257</v>
      </c>
      <c r="AA17" t="s">
        <v>25</v>
      </c>
      <c r="AC17" t="s">
        <v>22</v>
      </c>
      <c r="AD17" t="s">
        <v>257</v>
      </c>
      <c r="AE17">
        <v>4.2859190921906275E-3</v>
      </c>
      <c r="AG17" t="s">
        <v>97</v>
      </c>
      <c r="AH17" t="s">
        <v>257</v>
      </c>
      <c r="AI17">
        <v>4.4527242369231779E-2</v>
      </c>
    </row>
    <row r="18" spans="3:35" x14ac:dyDescent="0.45">
      <c r="C18" t="s">
        <v>171</v>
      </c>
      <c r="E18" t="s">
        <v>247</v>
      </c>
      <c r="G18" t="s">
        <v>152</v>
      </c>
      <c r="I18" t="s">
        <v>249</v>
      </c>
      <c r="J18" t="s">
        <v>258</v>
      </c>
      <c r="K18">
        <v>2.5439683141916474E-5</v>
      </c>
      <c r="L18" t="s">
        <v>251</v>
      </c>
      <c r="N18" t="s">
        <v>419</v>
      </c>
      <c r="O18" t="s">
        <v>258</v>
      </c>
      <c r="P18">
        <v>2.4479808311505789E-2</v>
      </c>
      <c r="Q18" t="s">
        <v>251</v>
      </c>
      <c r="S18" t="s">
        <v>420</v>
      </c>
      <c r="T18" t="s">
        <v>258</v>
      </c>
      <c r="U18">
        <v>2.8289011003994943E-2</v>
      </c>
      <c r="V18" t="s">
        <v>251</v>
      </c>
      <c r="X18">
        <v>2.1232876712328767E-2</v>
      </c>
      <c r="Y18">
        <v>1.8702400782305319E-2</v>
      </c>
      <c r="Z18" t="s">
        <v>258</v>
      </c>
      <c r="AA18" t="s">
        <v>25</v>
      </c>
      <c r="AC18" t="s">
        <v>22</v>
      </c>
      <c r="AD18" t="s">
        <v>258</v>
      </c>
      <c r="AE18">
        <v>2.6355989111971137E-2</v>
      </c>
      <c r="AG18" t="s">
        <v>97</v>
      </c>
      <c r="AH18" t="s">
        <v>258</v>
      </c>
      <c r="AI18">
        <v>9.6362226456162325E-2</v>
      </c>
    </row>
    <row r="19" spans="3:35" x14ac:dyDescent="0.45">
      <c r="C19" t="s">
        <v>164</v>
      </c>
      <c r="I19" t="s">
        <v>249</v>
      </c>
      <c r="J19" t="s">
        <v>259</v>
      </c>
      <c r="K19">
        <v>0</v>
      </c>
      <c r="L19" t="s">
        <v>251</v>
      </c>
      <c r="N19" t="s">
        <v>419</v>
      </c>
      <c r="O19" t="s">
        <v>259</v>
      </c>
      <c r="P19">
        <v>2.3481304814210565E-2</v>
      </c>
      <c r="Q19" t="s">
        <v>251</v>
      </c>
      <c r="S19" t="s">
        <v>420</v>
      </c>
      <c r="T19" t="s">
        <v>259</v>
      </c>
      <c r="U19">
        <v>1.9754903091872038E-2</v>
      </c>
      <c r="V19" t="s">
        <v>251</v>
      </c>
      <c r="X19">
        <v>1.9178082191780823E-2</v>
      </c>
      <c r="Y19">
        <v>4.1024621070863279E-3</v>
      </c>
      <c r="Z19" t="s">
        <v>259</v>
      </c>
      <c r="AA19" t="s">
        <v>25</v>
      </c>
      <c r="AC19" t="s">
        <v>22</v>
      </c>
      <c r="AD19" t="s">
        <v>259</v>
      </c>
      <c r="AE19">
        <v>2.2896086115652619E-2</v>
      </c>
      <c r="AG19" t="s">
        <v>97</v>
      </c>
      <c r="AH19" t="s">
        <v>259</v>
      </c>
      <c r="AI19">
        <v>0.12864077698193355</v>
      </c>
    </row>
    <row r="20" spans="3:35" x14ac:dyDescent="0.45">
      <c r="C20" t="s">
        <v>174</v>
      </c>
      <c r="I20" t="s">
        <v>249</v>
      </c>
      <c r="J20" t="s">
        <v>260</v>
      </c>
      <c r="K20">
        <v>0</v>
      </c>
      <c r="L20" t="s">
        <v>251</v>
      </c>
      <c r="N20" t="s">
        <v>419</v>
      </c>
      <c r="O20" t="s">
        <v>260</v>
      </c>
      <c r="P20">
        <v>3.7740954442265625E-3</v>
      </c>
      <c r="Q20" t="s">
        <v>251</v>
      </c>
      <c r="S20" t="s">
        <v>420</v>
      </c>
      <c r="T20" t="s">
        <v>260</v>
      </c>
      <c r="U20">
        <v>3.2951224764679998E-3</v>
      </c>
      <c r="V20" t="s">
        <v>251</v>
      </c>
      <c r="X20">
        <v>3.1963470319634705E-3</v>
      </c>
      <c r="Y20">
        <v>4.7336101235611484E-3</v>
      </c>
      <c r="Z20" t="s">
        <v>260</v>
      </c>
      <c r="AA20" t="s">
        <v>25</v>
      </c>
      <c r="AC20" t="s">
        <v>22</v>
      </c>
      <c r="AD20" t="s">
        <v>260</v>
      </c>
      <c r="AE20">
        <v>2.9647089268274645E-3</v>
      </c>
      <c r="AG20" t="s">
        <v>97</v>
      </c>
      <c r="AH20" t="s">
        <v>260</v>
      </c>
      <c r="AI20">
        <v>3.3859865116665055E-2</v>
      </c>
    </row>
    <row r="21" spans="3:35" x14ac:dyDescent="0.45">
      <c r="C21" t="s">
        <v>176</v>
      </c>
      <c r="I21" t="s">
        <v>249</v>
      </c>
      <c r="J21" t="s">
        <v>261</v>
      </c>
      <c r="K21">
        <v>1.4992998855750718E-3</v>
      </c>
      <c r="L21" t="s">
        <v>251</v>
      </c>
      <c r="N21" t="s">
        <v>419</v>
      </c>
      <c r="O21" t="s">
        <v>261</v>
      </c>
      <c r="P21">
        <v>3.6923333232428317E-3</v>
      </c>
      <c r="Q21" t="s">
        <v>251</v>
      </c>
      <c r="S21" t="s">
        <v>420</v>
      </c>
      <c r="T21" t="s">
        <v>261</v>
      </c>
      <c r="U21">
        <v>3.3367695807182242E-3</v>
      </c>
      <c r="V21" t="s">
        <v>251</v>
      </c>
      <c r="X21">
        <v>3.1963470319634705E-3</v>
      </c>
      <c r="Y21">
        <v>5.3369133746032542E-3</v>
      </c>
      <c r="Z21" t="s">
        <v>261</v>
      </c>
      <c r="AA21" t="s">
        <v>25</v>
      </c>
      <c r="AC21" t="s">
        <v>22</v>
      </c>
      <c r="AD21" t="s">
        <v>261</v>
      </c>
      <c r="AE21">
        <v>2.8542655632568538E-3</v>
      </c>
      <c r="AG21" t="s">
        <v>97</v>
      </c>
      <c r="AH21" t="s">
        <v>261</v>
      </c>
      <c r="AI21">
        <v>3.8486308157986038E-2</v>
      </c>
    </row>
    <row r="22" spans="3:35" x14ac:dyDescent="0.45">
      <c r="C22" t="s">
        <v>178</v>
      </c>
      <c r="I22" t="s">
        <v>249</v>
      </c>
      <c r="J22" t="s">
        <v>262</v>
      </c>
      <c r="K22">
        <v>5.1766651636087666E-2</v>
      </c>
      <c r="L22" t="s">
        <v>251</v>
      </c>
      <c r="N22" t="s">
        <v>419</v>
      </c>
      <c r="O22" t="s">
        <v>262</v>
      </c>
      <c r="P22">
        <v>2.2324505427612603E-2</v>
      </c>
      <c r="Q22" t="s">
        <v>251</v>
      </c>
      <c r="S22" t="s">
        <v>420</v>
      </c>
      <c r="T22" t="s">
        <v>262</v>
      </c>
      <c r="U22">
        <v>2.2551272067444204E-2</v>
      </c>
      <c r="V22" t="s">
        <v>251</v>
      </c>
      <c r="X22">
        <v>2.2374429223744292E-2</v>
      </c>
      <c r="Y22">
        <v>2.8383097564411743E-2</v>
      </c>
      <c r="Z22" t="s">
        <v>262</v>
      </c>
      <c r="AA22" t="s">
        <v>25</v>
      </c>
      <c r="AC22" t="s">
        <v>22</v>
      </c>
      <c r="AD22" t="s">
        <v>262</v>
      </c>
      <c r="AE22">
        <v>2.2611760915675246E-2</v>
      </c>
      <c r="AG22" t="s">
        <v>97</v>
      </c>
      <c r="AH22" t="s">
        <v>262</v>
      </c>
      <c r="AI22">
        <v>0.25495227960040112</v>
      </c>
    </row>
    <row r="23" spans="3:35" x14ac:dyDescent="0.45">
      <c r="I23" t="s">
        <v>249</v>
      </c>
      <c r="J23" t="s">
        <v>263</v>
      </c>
      <c r="K23">
        <v>7.7527070420746998E-3</v>
      </c>
      <c r="L23" t="s">
        <v>251</v>
      </c>
      <c r="N23" t="s">
        <v>419</v>
      </c>
      <c r="O23" t="s">
        <v>263</v>
      </c>
      <c r="P23">
        <v>3.1634338998694418E-3</v>
      </c>
      <c r="Q23" t="s">
        <v>251</v>
      </c>
      <c r="S23" t="s">
        <v>420</v>
      </c>
      <c r="T23" t="s">
        <v>263</v>
      </c>
      <c r="U23">
        <v>3.2777538177060517E-3</v>
      </c>
      <c r="V23" t="s">
        <v>251</v>
      </c>
      <c r="X23">
        <v>3.1963470319634705E-3</v>
      </c>
      <c r="Y23">
        <v>4.8264260083368555E-3</v>
      </c>
      <c r="Z23" t="s">
        <v>263</v>
      </c>
      <c r="AA23" t="s">
        <v>25</v>
      </c>
      <c r="AC23" t="s">
        <v>22</v>
      </c>
      <c r="AD23" t="s">
        <v>263</v>
      </c>
      <c r="AE23">
        <v>3.7331394554868057E-3</v>
      </c>
      <c r="AG23" t="s">
        <v>97</v>
      </c>
      <c r="AH23" t="s">
        <v>263</v>
      </c>
      <c r="AI23">
        <v>6.1402087948880135E-2</v>
      </c>
    </row>
    <row r="24" spans="3:35" x14ac:dyDescent="0.45">
      <c r="I24" t="s">
        <v>249</v>
      </c>
      <c r="J24" t="s">
        <v>264</v>
      </c>
      <c r="K24">
        <v>6.9369952756191998E-3</v>
      </c>
      <c r="L24" t="s">
        <v>251</v>
      </c>
      <c r="N24" t="s">
        <v>419</v>
      </c>
      <c r="O24" t="s">
        <v>264</v>
      </c>
      <c r="P24">
        <v>3.1287299784836832E-3</v>
      </c>
      <c r="Q24" t="s">
        <v>251</v>
      </c>
      <c r="S24" t="s">
        <v>420</v>
      </c>
      <c r="T24" t="s">
        <v>264</v>
      </c>
      <c r="U24">
        <v>3.207477124844925E-3</v>
      </c>
      <c r="V24" t="s">
        <v>251</v>
      </c>
      <c r="X24">
        <v>3.1963470319634705E-3</v>
      </c>
      <c r="Y24">
        <v>6.2186642799724884E-3</v>
      </c>
      <c r="Z24" t="s">
        <v>264</v>
      </c>
      <c r="AA24" t="s">
        <v>25</v>
      </c>
      <c r="AC24" t="s">
        <v>22</v>
      </c>
      <c r="AD24" t="s">
        <v>264</v>
      </c>
      <c r="AE24">
        <v>3.7572688778670866E-3</v>
      </c>
      <c r="AG24" t="s">
        <v>97</v>
      </c>
      <c r="AH24" t="s">
        <v>264</v>
      </c>
      <c r="AI24">
        <v>4.131887142725077E-2</v>
      </c>
    </row>
    <row r="25" spans="3:35" x14ac:dyDescent="0.45">
      <c r="I25" t="s">
        <v>249</v>
      </c>
      <c r="J25" t="s">
        <v>265</v>
      </c>
      <c r="K25">
        <v>5.2681138919458571E-3</v>
      </c>
      <c r="L25" t="s">
        <v>251</v>
      </c>
      <c r="N25" t="s">
        <v>419</v>
      </c>
      <c r="O25" t="s">
        <v>265</v>
      </c>
      <c r="P25">
        <v>3.195747205006759E-3</v>
      </c>
      <c r="Q25" t="s">
        <v>251</v>
      </c>
      <c r="S25" t="s">
        <v>420</v>
      </c>
      <c r="T25" t="s">
        <v>265</v>
      </c>
      <c r="U25">
        <v>3.2125535585024651E-3</v>
      </c>
      <c r="V25" t="s">
        <v>251</v>
      </c>
      <c r="X25">
        <v>3.1963470319634705E-3</v>
      </c>
      <c r="Y25">
        <v>6.2186642799724884E-3</v>
      </c>
      <c r="Z25" t="s">
        <v>265</v>
      </c>
      <c r="AA25" t="s">
        <v>25</v>
      </c>
      <c r="AC25" t="s">
        <v>22</v>
      </c>
      <c r="AD25" t="s">
        <v>265</v>
      </c>
      <c r="AE25">
        <v>3.8128013648607842E-3</v>
      </c>
      <c r="AG25" t="s">
        <v>97</v>
      </c>
      <c r="AH25" t="s">
        <v>265</v>
      </c>
      <c r="AI25">
        <v>4.7685309383565633E-2</v>
      </c>
    </row>
    <row r="26" spans="3:35" x14ac:dyDescent="0.45">
      <c r="I26" t="s">
        <v>249</v>
      </c>
      <c r="J26" t="s">
        <v>266</v>
      </c>
      <c r="K26">
        <v>1.4233024215025481E-3</v>
      </c>
      <c r="L26" t="s">
        <v>251</v>
      </c>
      <c r="N26" t="s">
        <v>419</v>
      </c>
      <c r="O26" t="s">
        <v>266</v>
      </c>
      <c r="P26">
        <v>2.2390086492101429E-2</v>
      </c>
      <c r="Q26" t="s">
        <v>251</v>
      </c>
      <c r="S26" t="s">
        <v>420</v>
      </c>
      <c r="T26" t="s">
        <v>266</v>
      </c>
      <c r="U26">
        <v>2.1220689791239932E-2</v>
      </c>
      <c r="V26" t="s">
        <v>251</v>
      </c>
      <c r="X26">
        <v>1.9178082191780823E-2</v>
      </c>
      <c r="Y26">
        <v>1.6892491029178995E-2</v>
      </c>
      <c r="Z26" t="s">
        <v>266</v>
      </c>
      <c r="AA26" t="s">
        <v>25</v>
      </c>
      <c r="AC26" t="s">
        <v>22</v>
      </c>
      <c r="AD26" t="s">
        <v>266</v>
      </c>
      <c r="AE26">
        <v>2.3465842218325692E-2</v>
      </c>
      <c r="AG26" t="s">
        <v>97</v>
      </c>
      <c r="AH26" t="s">
        <v>266</v>
      </c>
      <c r="AI26">
        <v>0.10329064660861342</v>
      </c>
    </row>
    <row r="27" spans="3:35" x14ac:dyDescent="0.45">
      <c r="I27" t="s">
        <v>249</v>
      </c>
      <c r="J27" t="s">
        <v>267</v>
      </c>
      <c r="K27">
        <v>0</v>
      </c>
      <c r="L27" t="s">
        <v>251</v>
      </c>
      <c r="N27" t="s">
        <v>419</v>
      </c>
      <c r="O27" t="s">
        <v>267</v>
      </c>
      <c r="P27">
        <v>2.3696513651476212E-2</v>
      </c>
      <c r="Q27" t="s">
        <v>251</v>
      </c>
      <c r="S27" t="s">
        <v>420</v>
      </c>
      <c r="T27" t="s">
        <v>267</v>
      </c>
      <c r="U27">
        <v>2.2481855357132385E-2</v>
      </c>
      <c r="V27" t="s">
        <v>251</v>
      </c>
      <c r="X27">
        <v>2.1232876712328767E-2</v>
      </c>
      <c r="Y27">
        <v>4.5420116185598634E-3</v>
      </c>
      <c r="Z27" t="s">
        <v>267</v>
      </c>
      <c r="AA27" t="s">
        <v>25</v>
      </c>
      <c r="AC27" t="s">
        <v>22</v>
      </c>
      <c r="AD27" t="s">
        <v>267</v>
      </c>
      <c r="AE27">
        <v>2.2591121974294134E-2</v>
      </c>
      <c r="AG27" t="s">
        <v>97</v>
      </c>
      <c r="AH27" t="s">
        <v>267</v>
      </c>
      <c r="AI27">
        <v>0.19029896922146872</v>
      </c>
    </row>
    <row r="28" spans="3:35" x14ac:dyDescent="0.45">
      <c r="I28" t="s">
        <v>249</v>
      </c>
      <c r="J28" t="s">
        <v>268</v>
      </c>
      <c r="K28">
        <v>3.098396949005206E-4</v>
      </c>
      <c r="L28" t="s">
        <v>251</v>
      </c>
      <c r="N28" t="s">
        <v>419</v>
      </c>
      <c r="O28" t="s">
        <v>268</v>
      </c>
      <c r="P28">
        <v>3.8857602971645077E-3</v>
      </c>
      <c r="Q28" t="s">
        <v>251</v>
      </c>
      <c r="S28" t="s">
        <v>420</v>
      </c>
      <c r="T28" t="s">
        <v>268</v>
      </c>
      <c r="U28">
        <v>3.5880290938523677E-3</v>
      </c>
      <c r="V28" t="s">
        <v>251</v>
      </c>
      <c r="X28">
        <v>3.5388127853881279E-3</v>
      </c>
      <c r="Y28">
        <v>5.240782636799844E-3</v>
      </c>
      <c r="Z28" t="s">
        <v>268</v>
      </c>
      <c r="AA28" t="s">
        <v>25</v>
      </c>
      <c r="AC28" t="s">
        <v>22</v>
      </c>
      <c r="AD28" t="s">
        <v>268</v>
      </c>
      <c r="AE28">
        <v>2.8899980794006869E-3</v>
      </c>
      <c r="AG28" t="s">
        <v>97</v>
      </c>
      <c r="AH28" t="s">
        <v>268</v>
      </c>
      <c r="AI28">
        <v>5.7731845492582368E-2</v>
      </c>
    </row>
    <row r="29" spans="3:35" x14ac:dyDescent="0.45">
      <c r="I29" t="s">
        <v>249</v>
      </c>
      <c r="J29" t="s">
        <v>269</v>
      </c>
      <c r="K29">
        <v>4.6947273088958604E-3</v>
      </c>
      <c r="L29" t="s">
        <v>251</v>
      </c>
      <c r="N29" t="s">
        <v>419</v>
      </c>
      <c r="O29" t="s">
        <v>269</v>
      </c>
      <c r="P29">
        <v>3.6912018004516918E-3</v>
      </c>
      <c r="Q29" t="s">
        <v>251</v>
      </c>
      <c r="S29" t="s">
        <v>420</v>
      </c>
      <c r="T29" t="s">
        <v>269</v>
      </c>
      <c r="U29">
        <v>3.6183869490340197E-3</v>
      </c>
      <c r="V29" t="s">
        <v>251</v>
      </c>
      <c r="X29">
        <v>3.5388127853881279E-3</v>
      </c>
      <c r="Y29">
        <v>5.9087255218821738E-3</v>
      </c>
      <c r="Z29" t="s">
        <v>269</v>
      </c>
      <c r="AA29" t="s">
        <v>25</v>
      </c>
      <c r="AC29" t="s">
        <v>22</v>
      </c>
      <c r="AD29" t="s">
        <v>269</v>
      </c>
      <c r="AE29">
        <v>2.8130355065919548E-3</v>
      </c>
      <c r="AG29" t="s">
        <v>97</v>
      </c>
      <c r="AH29" t="s">
        <v>269</v>
      </c>
      <c r="AI29">
        <v>4.5896852839682145E-2</v>
      </c>
    </row>
    <row r="30" spans="3:35" x14ac:dyDescent="0.45">
      <c r="I30" t="s">
        <v>249</v>
      </c>
      <c r="J30" t="s">
        <v>270</v>
      </c>
      <c r="K30">
        <v>6.0680554667195602E-2</v>
      </c>
      <c r="L30" t="s">
        <v>251</v>
      </c>
      <c r="N30" t="s">
        <v>419</v>
      </c>
      <c r="O30" t="s">
        <v>270</v>
      </c>
      <c r="P30">
        <v>2.3114177176220312E-2</v>
      </c>
      <c r="Q30" t="s">
        <v>251</v>
      </c>
      <c r="S30" t="s">
        <v>420</v>
      </c>
      <c r="T30" t="s">
        <v>270</v>
      </c>
      <c r="U30">
        <v>2.3473608931984646E-2</v>
      </c>
      <c r="V30" t="s">
        <v>251</v>
      </c>
      <c r="X30">
        <v>2.4771689497716895E-2</v>
      </c>
      <c r="Y30">
        <v>3.1424143732027281E-2</v>
      </c>
      <c r="Z30" t="s">
        <v>270</v>
      </c>
      <c r="AA30" t="s">
        <v>25</v>
      </c>
      <c r="AC30" t="s">
        <v>22</v>
      </c>
      <c r="AD30" t="s">
        <v>270</v>
      </c>
      <c r="AE30">
        <v>2.3828142970877594E-2</v>
      </c>
      <c r="AG30" t="s">
        <v>97</v>
      </c>
      <c r="AH30" t="s">
        <v>270</v>
      </c>
      <c r="AI30">
        <v>0.25131970288420269</v>
      </c>
    </row>
    <row r="31" spans="3:35" x14ac:dyDescent="0.45">
      <c r="I31" t="s">
        <v>249</v>
      </c>
      <c r="J31" t="s">
        <v>271</v>
      </c>
      <c r="K31">
        <v>8.5743995904747003E-3</v>
      </c>
      <c r="L31" t="s">
        <v>251</v>
      </c>
      <c r="N31" t="s">
        <v>419</v>
      </c>
      <c r="O31" t="s">
        <v>271</v>
      </c>
      <c r="P31">
        <v>3.3965600826528692E-3</v>
      </c>
      <c r="Q31" t="s">
        <v>251</v>
      </c>
      <c r="S31" t="s">
        <v>420</v>
      </c>
      <c r="T31" t="s">
        <v>271</v>
      </c>
      <c r="U31">
        <v>3.5377034987083399E-3</v>
      </c>
      <c r="V31" t="s">
        <v>251</v>
      </c>
      <c r="X31">
        <v>3.5388127853881279E-3</v>
      </c>
      <c r="Y31">
        <v>5.3435430806586613E-3</v>
      </c>
      <c r="Z31" t="s">
        <v>271</v>
      </c>
      <c r="AA31" t="s">
        <v>25</v>
      </c>
      <c r="AC31" t="s">
        <v>22</v>
      </c>
      <c r="AD31" t="s">
        <v>271</v>
      </c>
      <c r="AE31">
        <v>3.864010379669026E-3</v>
      </c>
      <c r="AG31" t="s">
        <v>97</v>
      </c>
      <c r="AH31" t="s">
        <v>271</v>
      </c>
      <c r="AI31">
        <v>7.296282269468457E-2</v>
      </c>
    </row>
    <row r="32" spans="3:35" x14ac:dyDescent="0.45">
      <c r="I32" t="s">
        <v>249</v>
      </c>
      <c r="J32" t="s">
        <v>272</v>
      </c>
      <c r="K32">
        <v>7.7274077237577E-3</v>
      </c>
      <c r="L32" t="s">
        <v>251</v>
      </c>
      <c r="N32" t="s">
        <v>419</v>
      </c>
      <c r="O32" t="s">
        <v>272</v>
      </c>
      <c r="P32">
        <v>3.3435607283967025E-3</v>
      </c>
      <c r="Q32" t="s">
        <v>251</v>
      </c>
      <c r="S32" t="s">
        <v>420</v>
      </c>
      <c r="T32" t="s">
        <v>272</v>
      </c>
      <c r="U32">
        <v>3.4445733437099288E-3</v>
      </c>
      <c r="V32" t="s">
        <v>251</v>
      </c>
      <c r="X32">
        <v>3.5388127853881279E-3</v>
      </c>
      <c r="Y32">
        <v>6.8849497385409693E-3</v>
      </c>
      <c r="Z32" t="s">
        <v>272</v>
      </c>
      <c r="AA32" t="s">
        <v>25</v>
      </c>
      <c r="AC32" t="s">
        <v>22</v>
      </c>
      <c r="AD32" t="s">
        <v>272</v>
      </c>
      <c r="AE32">
        <v>3.9253617270921153E-3</v>
      </c>
      <c r="AG32" t="s">
        <v>97</v>
      </c>
      <c r="AH32" t="s">
        <v>272</v>
      </c>
      <c r="AI32">
        <v>6.5117229720367042E-2</v>
      </c>
    </row>
    <row r="33" spans="9:35" x14ac:dyDescent="0.45">
      <c r="I33" t="s">
        <v>249</v>
      </c>
      <c r="J33" t="s">
        <v>273</v>
      </c>
      <c r="K33">
        <v>6.1223491736783998E-3</v>
      </c>
      <c r="L33" t="s">
        <v>251</v>
      </c>
      <c r="N33" t="s">
        <v>419</v>
      </c>
      <c r="O33" t="s">
        <v>273</v>
      </c>
      <c r="P33">
        <v>3.3132880062322922E-3</v>
      </c>
      <c r="Q33" t="s">
        <v>251</v>
      </c>
      <c r="S33" t="s">
        <v>420</v>
      </c>
      <c r="T33" t="s">
        <v>273</v>
      </c>
      <c r="U33">
        <v>3.498821357711757E-3</v>
      </c>
      <c r="V33" t="s">
        <v>251</v>
      </c>
      <c r="X33">
        <v>3.5388127853881279E-3</v>
      </c>
      <c r="Y33">
        <v>6.8849497385409693E-3</v>
      </c>
      <c r="Z33" t="s">
        <v>273</v>
      </c>
      <c r="AA33" t="s">
        <v>25</v>
      </c>
      <c r="AC33" t="s">
        <v>22</v>
      </c>
      <c r="AD33" t="s">
        <v>273</v>
      </c>
      <c r="AE33">
        <v>3.9481492179717845E-3</v>
      </c>
      <c r="AG33" t="s">
        <v>97</v>
      </c>
      <c r="AH33" t="s">
        <v>273</v>
      </c>
      <c r="AI33">
        <v>6.4590164827822427E-2</v>
      </c>
    </row>
    <row r="34" spans="9:35" x14ac:dyDescent="0.45">
      <c r="I34" t="s">
        <v>249</v>
      </c>
      <c r="J34" t="s">
        <v>274</v>
      </c>
      <c r="K34">
        <v>3.3081446193830759E-3</v>
      </c>
      <c r="L34" t="s">
        <v>251</v>
      </c>
      <c r="N34" t="s">
        <v>419</v>
      </c>
      <c r="O34" t="s">
        <v>274</v>
      </c>
      <c r="P34">
        <v>2.387487882341412E-2</v>
      </c>
      <c r="Q34" t="s">
        <v>251</v>
      </c>
      <c r="S34" t="s">
        <v>420</v>
      </c>
      <c r="T34" t="s">
        <v>274</v>
      </c>
      <c r="U34">
        <v>2.5380273552431849E-2</v>
      </c>
      <c r="V34" t="s">
        <v>251</v>
      </c>
      <c r="X34">
        <v>2.1232876712328767E-2</v>
      </c>
      <c r="Y34">
        <v>1.8702400782305319E-2</v>
      </c>
      <c r="Z34" t="s">
        <v>274</v>
      </c>
      <c r="AA34" t="s">
        <v>25</v>
      </c>
      <c r="AC34" t="s">
        <v>22</v>
      </c>
      <c r="AD34" t="s">
        <v>274</v>
      </c>
      <c r="AE34">
        <v>2.3949252428938625E-2</v>
      </c>
      <c r="AG34" t="s">
        <v>97</v>
      </c>
      <c r="AH34" t="s">
        <v>274</v>
      </c>
      <c r="AI34">
        <v>0.10463476900940427</v>
      </c>
    </row>
    <row r="35" spans="9:35" x14ac:dyDescent="0.45">
      <c r="I35" t="s">
        <v>249</v>
      </c>
      <c r="J35" t="s">
        <v>299</v>
      </c>
      <c r="K35">
        <v>3.9643991682068213E-8</v>
      </c>
      <c r="L35" t="s">
        <v>251</v>
      </c>
      <c r="N35" t="s">
        <v>419</v>
      </c>
      <c r="O35" t="s">
        <v>299</v>
      </c>
      <c r="P35">
        <v>2.5869099599477884E-2</v>
      </c>
      <c r="Q35" t="s">
        <v>251</v>
      </c>
      <c r="S35" t="s">
        <v>420</v>
      </c>
      <c r="T35" t="s">
        <v>299</v>
      </c>
      <c r="U35">
        <v>2.5681260124252221E-2</v>
      </c>
      <c r="V35" t="s">
        <v>251</v>
      </c>
      <c r="X35">
        <v>2.0547945205479451E-2</v>
      </c>
      <c r="Y35">
        <v>4.3954951147353507E-3</v>
      </c>
      <c r="Z35" t="s">
        <v>299</v>
      </c>
      <c r="AA35" t="s">
        <v>25</v>
      </c>
      <c r="AC35" t="s">
        <v>22</v>
      </c>
      <c r="AD35" t="s">
        <v>299</v>
      </c>
      <c r="AE35">
        <v>1.9603501346148886E-2</v>
      </c>
      <c r="AG35" t="s">
        <v>97</v>
      </c>
      <c r="AH35" t="s">
        <v>299</v>
      </c>
      <c r="AI35">
        <v>0.19976052691896506</v>
      </c>
    </row>
    <row r="36" spans="9:35" x14ac:dyDescent="0.45">
      <c r="I36" t="s">
        <v>249</v>
      </c>
      <c r="J36" t="s">
        <v>300</v>
      </c>
      <c r="K36">
        <v>2.9835807767553241E-3</v>
      </c>
      <c r="L36" t="s">
        <v>251</v>
      </c>
      <c r="N36" t="s">
        <v>419</v>
      </c>
      <c r="O36" t="s">
        <v>300</v>
      </c>
      <c r="P36">
        <v>4.0462097063318318E-3</v>
      </c>
      <c r="Q36" t="s">
        <v>251</v>
      </c>
      <c r="S36" t="s">
        <v>420</v>
      </c>
      <c r="T36" t="s">
        <v>300</v>
      </c>
      <c r="U36">
        <v>4.0794251722387799E-3</v>
      </c>
      <c r="V36" t="s">
        <v>251</v>
      </c>
      <c r="X36">
        <v>3.4246575342465752E-3</v>
      </c>
      <c r="Y36">
        <v>5.0717251323869452E-3</v>
      </c>
      <c r="Z36" t="s">
        <v>300</v>
      </c>
      <c r="AA36" t="s">
        <v>25</v>
      </c>
      <c r="AC36" t="s">
        <v>22</v>
      </c>
      <c r="AD36" t="s">
        <v>300</v>
      </c>
      <c r="AE36">
        <v>2.6041861740206322E-3</v>
      </c>
      <c r="AG36" t="s">
        <v>97</v>
      </c>
      <c r="AH36" t="s">
        <v>300</v>
      </c>
      <c r="AI36">
        <v>4.6989301675159023E-2</v>
      </c>
    </row>
    <row r="37" spans="9:35" x14ac:dyDescent="0.45">
      <c r="I37" t="s">
        <v>249</v>
      </c>
      <c r="J37" t="s">
        <v>301</v>
      </c>
      <c r="K37">
        <v>6.3119455269569002E-3</v>
      </c>
      <c r="L37" t="s">
        <v>251</v>
      </c>
      <c r="N37" t="s">
        <v>419</v>
      </c>
      <c r="O37" t="s">
        <v>301</v>
      </c>
      <c r="P37">
        <v>3.6579561231334231E-3</v>
      </c>
      <c r="Q37" t="s">
        <v>251</v>
      </c>
      <c r="S37" t="s">
        <v>420</v>
      </c>
      <c r="T37" t="s">
        <v>301</v>
      </c>
      <c r="U37">
        <v>3.9970054852407023E-3</v>
      </c>
      <c r="V37" t="s">
        <v>251</v>
      </c>
      <c r="X37">
        <v>3.4246575342465752E-3</v>
      </c>
      <c r="Y37">
        <v>5.7181214727892006E-3</v>
      </c>
      <c r="Z37" t="s">
        <v>301</v>
      </c>
      <c r="AA37" t="s">
        <v>25</v>
      </c>
      <c r="AC37" t="s">
        <v>22</v>
      </c>
      <c r="AD37" t="s">
        <v>301</v>
      </c>
      <c r="AE37">
        <v>2.5364711900003091E-3</v>
      </c>
      <c r="AG37" t="s">
        <v>97</v>
      </c>
      <c r="AH37" t="s">
        <v>301</v>
      </c>
      <c r="AI37">
        <v>4.7432229729670761E-2</v>
      </c>
    </row>
    <row r="38" spans="9:35" x14ac:dyDescent="0.45">
      <c r="I38" t="s">
        <v>249</v>
      </c>
      <c r="J38" t="s">
        <v>302</v>
      </c>
      <c r="K38">
        <v>6.3004707507981997E-2</v>
      </c>
      <c r="L38" t="s">
        <v>251</v>
      </c>
      <c r="N38" t="s">
        <v>419</v>
      </c>
      <c r="O38" t="s">
        <v>302</v>
      </c>
      <c r="P38">
        <v>2.5309534118686337E-2</v>
      </c>
      <c r="Q38" t="s">
        <v>251</v>
      </c>
      <c r="S38" t="s">
        <v>420</v>
      </c>
      <c r="T38" t="s">
        <v>302</v>
      </c>
      <c r="U38">
        <v>2.5526334347950597E-2</v>
      </c>
      <c r="V38" t="s">
        <v>251</v>
      </c>
      <c r="X38">
        <v>2.3972602739726026E-2</v>
      </c>
      <c r="Y38">
        <v>3.0410461676155433E-2</v>
      </c>
      <c r="Z38" t="s">
        <v>302</v>
      </c>
      <c r="AA38" t="s">
        <v>25</v>
      </c>
      <c r="AC38" t="s">
        <v>22</v>
      </c>
      <c r="AD38" t="s">
        <v>302</v>
      </c>
      <c r="AE38">
        <v>2.1912935867665611E-2</v>
      </c>
      <c r="AG38" t="s">
        <v>97</v>
      </c>
      <c r="AH38" t="s">
        <v>302</v>
      </c>
      <c r="AI38">
        <v>0.27985849117652761</v>
      </c>
    </row>
    <row r="39" spans="9:35" x14ac:dyDescent="0.45">
      <c r="I39" t="s">
        <v>249</v>
      </c>
      <c r="J39" t="s">
        <v>303</v>
      </c>
      <c r="K39">
        <v>8.7096659273677001E-3</v>
      </c>
      <c r="L39" t="s">
        <v>251</v>
      </c>
      <c r="N39" t="s">
        <v>419</v>
      </c>
      <c r="O39" t="s">
        <v>303</v>
      </c>
      <c r="P39">
        <v>3.7310920823443853E-3</v>
      </c>
      <c r="Q39" t="s">
        <v>251</v>
      </c>
      <c r="S39" t="s">
        <v>420</v>
      </c>
      <c r="T39" t="s">
        <v>303</v>
      </c>
      <c r="U39">
        <v>3.8578398457758518E-3</v>
      </c>
      <c r="V39" t="s">
        <v>251</v>
      </c>
      <c r="X39">
        <v>3.4246575342465752E-3</v>
      </c>
      <c r="Y39">
        <v>5.1711707232180593E-3</v>
      </c>
      <c r="Z39" t="s">
        <v>303</v>
      </c>
      <c r="AA39" t="s">
        <v>25</v>
      </c>
      <c r="AC39" t="s">
        <v>22</v>
      </c>
      <c r="AD39" t="s">
        <v>303</v>
      </c>
      <c r="AE39">
        <v>3.4608755107966372E-3</v>
      </c>
      <c r="AG39" t="s">
        <v>97</v>
      </c>
      <c r="AH39" t="s">
        <v>303</v>
      </c>
      <c r="AI39">
        <v>7.9496397641006356E-2</v>
      </c>
    </row>
    <row r="40" spans="9:35" x14ac:dyDescent="0.45">
      <c r="I40" t="s">
        <v>249</v>
      </c>
      <c r="J40" t="s">
        <v>304</v>
      </c>
      <c r="K40">
        <v>7.9061939428314992E-3</v>
      </c>
      <c r="L40" t="s">
        <v>251</v>
      </c>
      <c r="N40" t="s">
        <v>419</v>
      </c>
      <c r="O40" t="s">
        <v>304</v>
      </c>
      <c r="P40">
        <v>3.6932451873580292E-3</v>
      </c>
      <c r="Q40" t="s">
        <v>251</v>
      </c>
      <c r="S40" t="s">
        <v>420</v>
      </c>
      <c r="T40" t="s">
        <v>304</v>
      </c>
      <c r="U40">
        <v>3.7160579524920107E-3</v>
      </c>
      <c r="V40" t="s">
        <v>251</v>
      </c>
      <c r="X40">
        <v>3.4246575342465752E-3</v>
      </c>
      <c r="Y40">
        <v>6.662854585684809E-3</v>
      </c>
      <c r="Z40" t="s">
        <v>304</v>
      </c>
      <c r="AA40" t="s">
        <v>25</v>
      </c>
      <c r="AC40" t="s">
        <v>22</v>
      </c>
      <c r="AD40" t="s">
        <v>304</v>
      </c>
      <c r="AE40">
        <v>3.5218002680667483E-3</v>
      </c>
      <c r="AG40" t="s">
        <v>97</v>
      </c>
      <c r="AH40" t="s">
        <v>304</v>
      </c>
      <c r="AI40">
        <v>8.98582995951418E-2</v>
      </c>
    </row>
    <row r="41" spans="9:35" x14ac:dyDescent="0.45">
      <c r="I41" t="s">
        <v>249</v>
      </c>
      <c r="J41" t="s">
        <v>305</v>
      </c>
      <c r="K41">
        <v>6.6288090420439996E-3</v>
      </c>
      <c r="L41" t="s">
        <v>251</v>
      </c>
      <c r="N41" t="s">
        <v>419</v>
      </c>
      <c r="O41" t="s">
        <v>305</v>
      </c>
      <c r="P41">
        <v>3.6443678514296437E-3</v>
      </c>
      <c r="Q41" t="s">
        <v>251</v>
      </c>
      <c r="S41" t="s">
        <v>420</v>
      </c>
      <c r="T41" t="s">
        <v>305</v>
      </c>
      <c r="U41">
        <v>3.7643623151889468E-3</v>
      </c>
      <c r="V41" t="s">
        <v>251</v>
      </c>
      <c r="X41">
        <v>3.4246575342465752E-3</v>
      </c>
      <c r="Y41">
        <v>6.662854585684809E-3</v>
      </c>
      <c r="Z41" t="s">
        <v>305</v>
      </c>
      <c r="AA41" t="s">
        <v>25</v>
      </c>
      <c r="AC41" t="s">
        <v>22</v>
      </c>
      <c r="AD41" t="s">
        <v>305</v>
      </c>
      <c r="AE41">
        <v>3.4742617443900138E-3</v>
      </c>
      <c r="AG41" t="s">
        <v>97</v>
      </c>
      <c r="AH41" t="s">
        <v>305</v>
      </c>
      <c r="AI41">
        <v>9.490312773469789E-2</v>
      </c>
    </row>
    <row r="42" spans="9:35" x14ac:dyDescent="0.45">
      <c r="I42" t="s">
        <v>249</v>
      </c>
      <c r="J42" t="s">
        <v>306</v>
      </c>
      <c r="K42">
        <v>5.1168688102999783E-3</v>
      </c>
      <c r="L42" t="s">
        <v>251</v>
      </c>
      <c r="N42" t="s">
        <v>419</v>
      </c>
      <c r="O42" t="s">
        <v>306</v>
      </c>
      <c r="P42">
        <v>2.5695716582115717E-2</v>
      </c>
      <c r="Q42" t="s">
        <v>251</v>
      </c>
      <c r="S42" t="s">
        <v>420</v>
      </c>
      <c r="T42" t="s">
        <v>306</v>
      </c>
      <c r="U42">
        <v>2.5455933039626823E-2</v>
      </c>
      <c r="V42" t="s">
        <v>251</v>
      </c>
      <c r="X42">
        <v>2.0547945205479451E-2</v>
      </c>
      <c r="Y42">
        <v>1.8099097531263209E-2</v>
      </c>
      <c r="Z42" t="s">
        <v>306</v>
      </c>
      <c r="AA42" t="s">
        <v>25</v>
      </c>
      <c r="AC42" t="s">
        <v>22</v>
      </c>
      <c r="AD42" t="s">
        <v>306</v>
      </c>
      <c r="AE42">
        <v>2.1061828730339335E-2</v>
      </c>
      <c r="AG42" t="s">
        <v>97</v>
      </c>
      <c r="AH42" t="s">
        <v>306</v>
      </c>
      <c r="AI42">
        <v>0.11698992717501278</v>
      </c>
    </row>
    <row r="43" spans="9:35" x14ac:dyDescent="0.45">
      <c r="I43" t="s">
        <v>249</v>
      </c>
      <c r="J43" t="s">
        <v>331</v>
      </c>
      <c r="K43">
        <v>4.9335144791813233E-4</v>
      </c>
      <c r="L43" t="s">
        <v>251</v>
      </c>
      <c r="N43" t="s">
        <v>419</v>
      </c>
      <c r="O43" t="s">
        <v>331</v>
      </c>
      <c r="P43">
        <v>2.3619791243746632E-2</v>
      </c>
      <c r="Q43" t="s">
        <v>251</v>
      </c>
      <c r="S43" t="s">
        <v>420</v>
      </c>
      <c r="T43" t="s">
        <v>331</v>
      </c>
      <c r="U43">
        <v>2.2043322523336625E-2</v>
      </c>
      <c r="V43" t="s">
        <v>251</v>
      </c>
      <c r="X43">
        <v>2.1232876712328767E-2</v>
      </c>
      <c r="Y43">
        <v>4.5420116185598634E-3</v>
      </c>
      <c r="Z43" t="s">
        <v>331</v>
      </c>
      <c r="AA43" t="s">
        <v>25</v>
      </c>
      <c r="AC43" t="s">
        <v>22</v>
      </c>
      <c r="AD43" t="s">
        <v>331</v>
      </c>
      <c r="AE43">
        <v>1.9690617990117655E-2</v>
      </c>
      <c r="AG43" t="s">
        <v>97</v>
      </c>
      <c r="AH43" t="s">
        <v>331</v>
      </c>
      <c r="AI43">
        <v>0.14699788631802058</v>
      </c>
    </row>
    <row r="44" spans="9:35" x14ac:dyDescent="0.45">
      <c r="I44" t="s">
        <v>249</v>
      </c>
      <c r="J44" t="s">
        <v>332</v>
      </c>
      <c r="K44">
        <v>4.3764532232293662E-3</v>
      </c>
      <c r="L44" t="s">
        <v>251</v>
      </c>
      <c r="N44" t="s">
        <v>419</v>
      </c>
      <c r="O44" t="s">
        <v>332</v>
      </c>
      <c r="P44">
        <v>3.4246522466074075E-3</v>
      </c>
      <c r="Q44" t="s">
        <v>251</v>
      </c>
      <c r="S44" t="s">
        <v>420</v>
      </c>
      <c r="T44" t="s">
        <v>332</v>
      </c>
      <c r="U44">
        <v>3.4398434511848245E-3</v>
      </c>
      <c r="V44" t="s">
        <v>251</v>
      </c>
      <c r="X44">
        <v>3.5388127853881279E-3</v>
      </c>
      <c r="Y44">
        <v>5.240782636799844E-3</v>
      </c>
      <c r="Z44" t="s">
        <v>332</v>
      </c>
      <c r="AA44" t="s">
        <v>25</v>
      </c>
      <c r="AC44" t="s">
        <v>22</v>
      </c>
      <c r="AD44" t="s">
        <v>332</v>
      </c>
      <c r="AE44">
        <v>2.6456368637571403E-3</v>
      </c>
      <c r="AG44" t="s">
        <v>97</v>
      </c>
      <c r="AH44" t="s">
        <v>332</v>
      </c>
      <c r="AI44">
        <v>3.7687404662287927E-2</v>
      </c>
    </row>
    <row r="45" spans="9:35" x14ac:dyDescent="0.45">
      <c r="I45" t="s">
        <v>249</v>
      </c>
      <c r="J45" t="s">
        <v>333</v>
      </c>
      <c r="K45">
        <v>6.5776751073149996E-3</v>
      </c>
      <c r="L45" t="s">
        <v>251</v>
      </c>
      <c r="N45" t="s">
        <v>419</v>
      </c>
      <c r="O45" t="s">
        <v>333</v>
      </c>
      <c r="P45">
        <v>3.173072011760042E-3</v>
      </c>
      <c r="Q45" t="s">
        <v>251</v>
      </c>
      <c r="S45" t="s">
        <v>420</v>
      </c>
      <c r="T45" t="s">
        <v>333</v>
      </c>
      <c r="U45">
        <v>3.4487992132888889E-3</v>
      </c>
      <c r="V45" t="s">
        <v>251</v>
      </c>
      <c r="X45">
        <v>3.5388127853881279E-3</v>
      </c>
      <c r="Y45">
        <v>5.9087255218821738E-3</v>
      </c>
      <c r="Z45" t="s">
        <v>333</v>
      </c>
      <c r="AA45" t="s">
        <v>25</v>
      </c>
      <c r="AC45" t="s">
        <v>22</v>
      </c>
      <c r="AD45" t="s">
        <v>333</v>
      </c>
      <c r="AE45">
        <v>2.5681020358651455E-3</v>
      </c>
      <c r="AG45" t="s">
        <v>97</v>
      </c>
      <c r="AH45" t="s">
        <v>333</v>
      </c>
      <c r="AI45">
        <v>2.836679987744839E-2</v>
      </c>
    </row>
    <row r="46" spans="9:35" x14ac:dyDescent="0.45">
      <c r="I46" t="s">
        <v>249</v>
      </c>
      <c r="J46" t="s">
        <v>334</v>
      </c>
      <c r="K46">
        <v>6.3579767558584299E-2</v>
      </c>
      <c r="L46" t="s">
        <v>251</v>
      </c>
      <c r="N46" t="s">
        <v>419</v>
      </c>
      <c r="O46" t="s">
        <v>334</v>
      </c>
      <c r="P46">
        <v>2.3592593292150223E-2</v>
      </c>
      <c r="Q46" t="s">
        <v>251</v>
      </c>
      <c r="S46" t="s">
        <v>420</v>
      </c>
      <c r="T46" t="s">
        <v>334</v>
      </c>
      <c r="U46">
        <v>2.3343586610834285E-2</v>
      </c>
      <c r="V46" t="s">
        <v>251</v>
      </c>
      <c r="X46">
        <v>2.4771689497716895E-2</v>
      </c>
      <c r="Y46">
        <v>3.1424143732027281E-2</v>
      </c>
      <c r="Z46" t="s">
        <v>334</v>
      </c>
      <c r="AA46" t="s">
        <v>25</v>
      </c>
      <c r="AC46" t="s">
        <v>22</v>
      </c>
      <c r="AD46" t="s">
        <v>334</v>
      </c>
      <c r="AE46">
        <v>2.1583667654061441E-2</v>
      </c>
      <c r="AG46" t="s">
        <v>97</v>
      </c>
      <c r="AH46" t="s">
        <v>334</v>
      </c>
      <c r="AI46">
        <v>0.21092089255818691</v>
      </c>
    </row>
    <row r="47" spans="9:35" x14ac:dyDescent="0.45">
      <c r="I47" t="s">
        <v>249</v>
      </c>
      <c r="J47" t="s">
        <v>335</v>
      </c>
      <c r="K47">
        <v>8.5853735167836995E-3</v>
      </c>
      <c r="L47" t="s">
        <v>251</v>
      </c>
      <c r="N47" t="s">
        <v>419</v>
      </c>
      <c r="O47" t="s">
        <v>335</v>
      </c>
      <c r="P47">
        <v>3.5208185497496692E-3</v>
      </c>
      <c r="Q47" t="s">
        <v>251</v>
      </c>
      <c r="S47" t="s">
        <v>420</v>
      </c>
      <c r="T47" t="s">
        <v>335</v>
      </c>
      <c r="U47">
        <v>3.6820393775627205E-3</v>
      </c>
      <c r="V47" t="s">
        <v>251</v>
      </c>
      <c r="X47">
        <v>3.5388127853881279E-3</v>
      </c>
      <c r="Y47">
        <v>5.3435430806586613E-3</v>
      </c>
      <c r="Z47" t="s">
        <v>335</v>
      </c>
      <c r="AA47" t="s">
        <v>25</v>
      </c>
      <c r="AC47" t="s">
        <v>22</v>
      </c>
      <c r="AD47" t="s">
        <v>335</v>
      </c>
      <c r="AE47">
        <v>3.5276761669721327E-3</v>
      </c>
      <c r="AG47" t="s">
        <v>97</v>
      </c>
      <c r="AH47" t="s">
        <v>335</v>
      </c>
      <c r="AI47">
        <v>4.8412946255800948E-2</v>
      </c>
    </row>
    <row r="48" spans="9:35" x14ac:dyDescent="0.45">
      <c r="I48" t="s">
        <v>249</v>
      </c>
      <c r="J48" t="s">
        <v>336</v>
      </c>
      <c r="K48">
        <v>7.7224142138008003E-3</v>
      </c>
      <c r="L48" t="s">
        <v>251</v>
      </c>
      <c r="N48" t="s">
        <v>419</v>
      </c>
      <c r="O48" t="s">
        <v>336</v>
      </c>
      <c r="P48">
        <v>3.5198585800589751E-3</v>
      </c>
      <c r="Q48" t="s">
        <v>251</v>
      </c>
      <c r="S48" t="s">
        <v>420</v>
      </c>
      <c r="T48" t="s">
        <v>336</v>
      </c>
      <c r="U48">
        <v>3.6434575328003469E-3</v>
      </c>
      <c r="V48" t="s">
        <v>251</v>
      </c>
      <c r="X48">
        <v>3.5388127853881279E-3</v>
      </c>
      <c r="Y48">
        <v>6.8849497385409693E-3</v>
      </c>
      <c r="Z48" t="s">
        <v>336</v>
      </c>
      <c r="AA48" t="s">
        <v>25</v>
      </c>
      <c r="AC48" t="s">
        <v>22</v>
      </c>
      <c r="AD48" t="s">
        <v>336</v>
      </c>
      <c r="AE48">
        <v>3.5353409168752282E-3</v>
      </c>
      <c r="AG48" t="s">
        <v>97</v>
      </c>
      <c r="AH48" t="s">
        <v>336</v>
      </c>
      <c r="AI48">
        <v>5.2748421298292492E-2</v>
      </c>
    </row>
    <row r="49" spans="9:35" x14ac:dyDescent="0.45">
      <c r="I49" t="s">
        <v>249</v>
      </c>
      <c r="J49" t="s">
        <v>337</v>
      </c>
      <c r="K49">
        <v>6.4833732845173001E-3</v>
      </c>
      <c r="L49" t="s">
        <v>251</v>
      </c>
      <c r="N49" t="s">
        <v>419</v>
      </c>
      <c r="O49" t="s">
        <v>337</v>
      </c>
      <c r="P49">
        <v>3.4614343159606415E-3</v>
      </c>
      <c r="Q49" t="s">
        <v>251</v>
      </c>
      <c r="S49" t="s">
        <v>420</v>
      </c>
      <c r="T49" t="s">
        <v>337</v>
      </c>
      <c r="U49">
        <v>3.6810394552026686E-3</v>
      </c>
      <c r="V49" t="s">
        <v>251</v>
      </c>
      <c r="X49">
        <v>3.5388127853881279E-3</v>
      </c>
      <c r="Y49">
        <v>6.8849497385409693E-3</v>
      </c>
      <c r="Z49" t="s">
        <v>337</v>
      </c>
      <c r="AA49" t="s">
        <v>25</v>
      </c>
      <c r="AC49" t="s">
        <v>22</v>
      </c>
      <c r="AD49" t="s">
        <v>337</v>
      </c>
      <c r="AE49">
        <v>3.540813222827623E-3</v>
      </c>
      <c r="AG49" t="s">
        <v>97</v>
      </c>
      <c r="AH49" t="s">
        <v>337</v>
      </c>
      <c r="AI49">
        <v>5.7215910366320788E-2</v>
      </c>
    </row>
    <row r="50" spans="9:35" x14ac:dyDescent="0.45">
      <c r="I50" t="s">
        <v>249</v>
      </c>
      <c r="J50" t="s">
        <v>338</v>
      </c>
      <c r="K50">
        <v>6.4179318594734976E-3</v>
      </c>
      <c r="L50" t="s">
        <v>251</v>
      </c>
      <c r="N50" t="s">
        <v>419</v>
      </c>
      <c r="O50" t="s">
        <v>338</v>
      </c>
      <c r="P50">
        <v>2.4570720173719644E-2</v>
      </c>
      <c r="Q50" t="s">
        <v>251</v>
      </c>
      <c r="S50" t="s">
        <v>420</v>
      </c>
      <c r="T50" t="s">
        <v>338</v>
      </c>
      <c r="U50">
        <v>2.4641906355335301E-2</v>
      </c>
      <c r="V50" t="s">
        <v>251</v>
      </c>
      <c r="X50">
        <v>2.1232876712328767E-2</v>
      </c>
      <c r="Y50">
        <v>1.8702400782305319E-2</v>
      </c>
      <c r="Z50" t="s">
        <v>338</v>
      </c>
      <c r="AA50" t="s">
        <v>25</v>
      </c>
      <c r="AC50" t="s">
        <v>22</v>
      </c>
      <c r="AD50" t="s">
        <v>338</v>
      </c>
      <c r="AE50">
        <v>2.1518813976932626E-2</v>
      </c>
      <c r="AG50" t="s">
        <v>97</v>
      </c>
      <c r="AH50" t="s">
        <v>338</v>
      </c>
      <c r="AI50">
        <v>8.0073275109394881E-2</v>
      </c>
    </row>
    <row r="51" spans="9:35" x14ac:dyDescent="0.45">
      <c r="I51" t="s">
        <v>249</v>
      </c>
      <c r="J51" t="s">
        <v>339</v>
      </c>
      <c r="K51">
        <v>8.9620492023086194E-4</v>
      </c>
      <c r="L51" t="s">
        <v>251</v>
      </c>
      <c r="N51" t="s">
        <v>419</v>
      </c>
      <c r="O51" t="s">
        <v>339</v>
      </c>
      <c r="P51">
        <v>2.1638010353090851E-2</v>
      </c>
      <c r="Q51" t="s">
        <v>251</v>
      </c>
      <c r="S51" t="s">
        <v>420</v>
      </c>
      <c r="T51" t="s">
        <v>339</v>
      </c>
      <c r="U51">
        <v>1.46554772617355E-2</v>
      </c>
      <c r="V51" t="s">
        <v>251</v>
      </c>
      <c r="X51">
        <v>2.0547945205479451E-2</v>
      </c>
      <c r="Y51">
        <v>4.3954951147353507E-3</v>
      </c>
      <c r="Z51" t="s">
        <v>339</v>
      </c>
      <c r="AA51" t="s">
        <v>25</v>
      </c>
      <c r="AC51" t="s">
        <v>22</v>
      </c>
      <c r="AD51" t="s">
        <v>339</v>
      </c>
      <c r="AE51">
        <v>1.9260500610045455E-2</v>
      </c>
      <c r="AG51" t="s">
        <v>97</v>
      </c>
      <c r="AH51" t="s">
        <v>339</v>
      </c>
      <c r="AI51">
        <v>0.14272160879684503</v>
      </c>
    </row>
    <row r="52" spans="9:35" x14ac:dyDescent="0.45">
      <c r="I52" t="s">
        <v>249</v>
      </c>
      <c r="J52" t="s">
        <v>340</v>
      </c>
      <c r="K52">
        <v>4.2189396573354999E-3</v>
      </c>
      <c r="L52" t="s">
        <v>251</v>
      </c>
      <c r="N52" t="s">
        <v>419</v>
      </c>
      <c r="O52" t="s">
        <v>340</v>
      </c>
      <c r="P52">
        <v>2.932390726346185E-3</v>
      </c>
      <c r="Q52" t="s">
        <v>251</v>
      </c>
      <c r="S52" t="s">
        <v>420</v>
      </c>
      <c r="T52" t="s">
        <v>340</v>
      </c>
      <c r="U52">
        <v>2.0274377563429028E-3</v>
      </c>
      <c r="V52" t="s">
        <v>251</v>
      </c>
      <c r="X52">
        <v>3.4246575342465752E-3</v>
      </c>
      <c r="Y52">
        <v>5.0717251323869452E-3</v>
      </c>
      <c r="Z52" t="s">
        <v>340</v>
      </c>
      <c r="AA52" t="s">
        <v>25</v>
      </c>
      <c r="AC52" t="s">
        <v>22</v>
      </c>
      <c r="AD52" t="s">
        <v>340</v>
      </c>
      <c r="AE52">
        <v>2.6497103592723766E-3</v>
      </c>
      <c r="AG52" t="s">
        <v>97</v>
      </c>
      <c r="AH52" t="s">
        <v>340</v>
      </c>
      <c r="AI52">
        <v>6.8326103573197461E-2</v>
      </c>
    </row>
    <row r="53" spans="9:35" x14ac:dyDescent="0.45">
      <c r="I53" t="s">
        <v>249</v>
      </c>
      <c r="J53" t="s">
        <v>341</v>
      </c>
      <c r="K53">
        <v>6.1886482059352998E-3</v>
      </c>
      <c r="L53" t="s">
        <v>251</v>
      </c>
      <c r="N53" t="s">
        <v>419</v>
      </c>
      <c r="O53" t="s">
        <v>341</v>
      </c>
      <c r="P53">
        <v>2.645260723797086E-3</v>
      </c>
      <c r="Q53" t="s">
        <v>251</v>
      </c>
      <c r="S53" t="s">
        <v>420</v>
      </c>
      <c r="T53" t="s">
        <v>341</v>
      </c>
      <c r="U53">
        <v>2.0224615995105386E-3</v>
      </c>
      <c r="V53" t="s">
        <v>251</v>
      </c>
      <c r="X53">
        <v>3.4246575342465752E-3</v>
      </c>
      <c r="Y53">
        <v>5.7181214727892006E-3</v>
      </c>
      <c r="Z53" t="s">
        <v>341</v>
      </c>
      <c r="AA53" t="s">
        <v>25</v>
      </c>
      <c r="AC53" t="s">
        <v>22</v>
      </c>
      <c r="AD53" t="s">
        <v>341</v>
      </c>
      <c r="AE53">
        <v>2.5584782257930265E-3</v>
      </c>
      <c r="AG53" t="s">
        <v>97</v>
      </c>
      <c r="AH53" t="s">
        <v>341</v>
      </c>
      <c r="AI53">
        <v>6.3283153241070034E-2</v>
      </c>
    </row>
    <row r="54" spans="9:35" x14ac:dyDescent="0.45">
      <c r="I54" t="s">
        <v>249</v>
      </c>
      <c r="J54" t="s">
        <v>342</v>
      </c>
      <c r="K54">
        <v>5.9391656967384999E-2</v>
      </c>
      <c r="L54" t="s">
        <v>251</v>
      </c>
      <c r="N54" t="s">
        <v>419</v>
      </c>
      <c r="O54" t="s">
        <v>342</v>
      </c>
      <c r="P54">
        <v>2.0186747215789343E-2</v>
      </c>
      <c r="Q54" t="s">
        <v>251</v>
      </c>
      <c r="S54" t="s">
        <v>420</v>
      </c>
      <c r="T54" t="s">
        <v>342</v>
      </c>
      <c r="U54">
        <v>1.5028412364267944E-2</v>
      </c>
      <c r="V54" t="s">
        <v>251</v>
      </c>
      <c r="X54">
        <v>2.3972602739726026E-2</v>
      </c>
      <c r="Y54">
        <v>3.0410461676155433E-2</v>
      </c>
      <c r="Z54" t="s">
        <v>342</v>
      </c>
      <c r="AA54" t="s">
        <v>25</v>
      </c>
      <c r="AC54" t="s">
        <v>22</v>
      </c>
      <c r="AD54" t="s">
        <v>342</v>
      </c>
      <c r="AE54">
        <v>2.0666995204675419E-2</v>
      </c>
      <c r="AG54" t="s">
        <v>97</v>
      </c>
      <c r="AH54" t="s">
        <v>342</v>
      </c>
      <c r="AI54">
        <v>0.19022521607323695</v>
      </c>
    </row>
    <row r="55" spans="9:35" x14ac:dyDescent="0.45">
      <c r="I55" t="s">
        <v>249</v>
      </c>
      <c r="J55" t="s">
        <v>343</v>
      </c>
      <c r="K55">
        <v>7.9800602970408006E-3</v>
      </c>
      <c r="L55" t="s">
        <v>251</v>
      </c>
      <c r="N55" t="s">
        <v>419</v>
      </c>
      <c r="O55" t="s">
        <v>343</v>
      </c>
      <c r="P55">
        <v>3.0852712538663382E-3</v>
      </c>
      <c r="Q55" t="s">
        <v>251</v>
      </c>
      <c r="S55" t="s">
        <v>420</v>
      </c>
      <c r="T55" t="s">
        <v>343</v>
      </c>
      <c r="U55">
        <v>2.547697763517483E-3</v>
      </c>
      <c r="V55" t="s">
        <v>251</v>
      </c>
      <c r="X55">
        <v>3.4246575342465752E-3</v>
      </c>
      <c r="Y55">
        <v>5.1711707232180593E-3</v>
      </c>
      <c r="Z55" t="s">
        <v>343</v>
      </c>
      <c r="AA55" t="s">
        <v>25</v>
      </c>
      <c r="AC55" t="s">
        <v>22</v>
      </c>
      <c r="AD55" t="s">
        <v>343</v>
      </c>
      <c r="AE55">
        <v>3.4028927577294411E-3</v>
      </c>
      <c r="AG55" t="s">
        <v>97</v>
      </c>
      <c r="AH55" t="s">
        <v>343</v>
      </c>
      <c r="AI55">
        <v>6.2489829878334291E-2</v>
      </c>
    </row>
    <row r="56" spans="9:35" x14ac:dyDescent="0.45">
      <c r="I56" t="s">
        <v>249</v>
      </c>
      <c r="J56" t="s">
        <v>344</v>
      </c>
      <c r="K56">
        <v>7.1260513681538004E-3</v>
      </c>
      <c r="L56" t="s">
        <v>251</v>
      </c>
      <c r="N56" t="s">
        <v>419</v>
      </c>
      <c r="O56" t="s">
        <v>344</v>
      </c>
      <c r="P56">
        <v>3.1615154664669859E-3</v>
      </c>
      <c r="Q56" t="s">
        <v>251</v>
      </c>
      <c r="S56" t="s">
        <v>420</v>
      </c>
      <c r="T56" t="s">
        <v>344</v>
      </c>
      <c r="U56">
        <v>2.4478011458801108E-3</v>
      </c>
      <c r="V56" t="s">
        <v>251</v>
      </c>
      <c r="X56">
        <v>3.4246575342465752E-3</v>
      </c>
      <c r="Y56">
        <v>6.662854585684809E-3</v>
      </c>
      <c r="Z56" t="s">
        <v>344</v>
      </c>
      <c r="AA56" t="s">
        <v>25</v>
      </c>
      <c r="AC56" t="s">
        <v>22</v>
      </c>
      <c r="AD56" t="s">
        <v>344</v>
      </c>
      <c r="AE56">
        <v>3.4198347096210586E-3</v>
      </c>
      <c r="AG56" t="s">
        <v>97</v>
      </c>
      <c r="AH56" t="s">
        <v>344</v>
      </c>
      <c r="AI56">
        <v>7.1290983808581343E-2</v>
      </c>
    </row>
    <row r="57" spans="9:35" x14ac:dyDescent="0.45">
      <c r="I57" t="s">
        <v>249</v>
      </c>
      <c r="J57" t="s">
        <v>345</v>
      </c>
      <c r="K57">
        <v>5.97267425403E-3</v>
      </c>
      <c r="L57" t="s">
        <v>251</v>
      </c>
      <c r="N57" t="s">
        <v>419</v>
      </c>
      <c r="O57" t="s">
        <v>345</v>
      </c>
      <c r="P57">
        <v>3.1609198927553899E-3</v>
      </c>
      <c r="Q57" t="s">
        <v>251</v>
      </c>
      <c r="S57" t="s">
        <v>420</v>
      </c>
      <c r="T57" t="s">
        <v>345</v>
      </c>
      <c r="U57">
        <v>2.4219064195414191E-3</v>
      </c>
      <c r="V57" t="s">
        <v>251</v>
      </c>
      <c r="X57">
        <v>3.4246575342465752E-3</v>
      </c>
      <c r="Y57">
        <v>6.662854585684809E-3</v>
      </c>
      <c r="Z57" t="s">
        <v>345</v>
      </c>
      <c r="AA57" t="s">
        <v>25</v>
      </c>
      <c r="AC57" t="s">
        <v>22</v>
      </c>
      <c r="AD57" t="s">
        <v>345</v>
      </c>
      <c r="AE57">
        <v>3.4450851650362443E-3</v>
      </c>
      <c r="AG57" t="s">
        <v>97</v>
      </c>
      <c r="AH57" t="s">
        <v>345</v>
      </c>
      <c r="AI57">
        <v>7.9933885841087848E-2</v>
      </c>
    </row>
    <row r="58" spans="9:35" x14ac:dyDescent="0.45">
      <c r="I58" t="s">
        <v>249</v>
      </c>
      <c r="J58" t="s">
        <v>346</v>
      </c>
      <c r="K58">
        <v>6.6998443253581154E-3</v>
      </c>
      <c r="L58" t="s">
        <v>251</v>
      </c>
      <c r="N58" t="s">
        <v>419</v>
      </c>
      <c r="O58" t="s">
        <v>346</v>
      </c>
      <c r="P58">
        <v>2.1552171110743049E-2</v>
      </c>
      <c r="Q58" t="s">
        <v>251</v>
      </c>
      <c r="S58" t="s">
        <v>420</v>
      </c>
      <c r="T58" t="s">
        <v>346</v>
      </c>
      <c r="U58">
        <v>1.5920745316699014E-2</v>
      </c>
      <c r="V58" t="s">
        <v>251</v>
      </c>
      <c r="X58">
        <v>2.0547945205479451E-2</v>
      </c>
      <c r="Y58">
        <v>1.8099097531263209E-2</v>
      </c>
      <c r="Z58" t="s">
        <v>346</v>
      </c>
      <c r="AA58" t="s">
        <v>25</v>
      </c>
      <c r="AC58" t="s">
        <v>22</v>
      </c>
      <c r="AD58" t="s">
        <v>346</v>
      </c>
      <c r="AE58">
        <v>2.1050393923406293E-2</v>
      </c>
      <c r="AG58" t="s">
        <v>97</v>
      </c>
      <c r="AH58" t="s">
        <v>346</v>
      </c>
      <c r="AI58">
        <v>0.12607735122688024</v>
      </c>
    </row>
    <row r="59" spans="9:35" x14ac:dyDescent="0.45">
      <c r="I59" t="s">
        <v>249</v>
      </c>
      <c r="J59" t="s">
        <v>347</v>
      </c>
      <c r="K59">
        <v>2.6851131546107499E-4</v>
      </c>
      <c r="L59" t="s">
        <v>251</v>
      </c>
      <c r="N59" t="s">
        <v>419</v>
      </c>
      <c r="O59" t="s">
        <v>347</v>
      </c>
      <c r="P59">
        <v>1.7906356699202514E-2</v>
      </c>
      <c r="Q59" t="s">
        <v>251</v>
      </c>
      <c r="S59" t="s">
        <v>420</v>
      </c>
      <c r="T59" t="s">
        <v>347</v>
      </c>
      <c r="U59">
        <v>1.6784868353445087E-2</v>
      </c>
      <c r="V59" t="s">
        <v>251</v>
      </c>
      <c r="X59">
        <v>2.1232876712328767E-2</v>
      </c>
      <c r="Y59">
        <v>4.5420116185598634E-3</v>
      </c>
      <c r="Z59" t="s">
        <v>347</v>
      </c>
      <c r="AA59" t="s">
        <v>25</v>
      </c>
      <c r="AC59" t="s">
        <v>22</v>
      </c>
      <c r="AD59" t="s">
        <v>347</v>
      </c>
      <c r="AE59">
        <v>2.1060695450919414E-2</v>
      </c>
      <c r="AG59" t="s">
        <v>97</v>
      </c>
      <c r="AH59" t="s">
        <v>347</v>
      </c>
      <c r="AI59">
        <v>0.2315021641066155</v>
      </c>
    </row>
    <row r="60" spans="9:35" x14ac:dyDescent="0.45">
      <c r="I60" t="s">
        <v>249</v>
      </c>
      <c r="J60" t="s">
        <v>348</v>
      </c>
      <c r="K60">
        <v>3.2204031164093181E-3</v>
      </c>
      <c r="L60" t="s">
        <v>251</v>
      </c>
      <c r="N60" t="s">
        <v>419</v>
      </c>
      <c r="O60" t="s">
        <v>348</v>
      </c>
      <c r="P60">
        <v>2.1598997955974584E-3</v>
      </c>
      <c r="Q60" t="s">
        <v>251</v>
      </c>
      <c r="S60" t="s">
        <v>420</v>
      </c>
      <c r="T60" t="s">
        <v>348</v>
      </c>
      <c r="U60">
        <v>2.4552076392760176E-3</v>
      </c>
      <c r="V60" t="s">
        <v>251</v>
      </c>
      <c r="X60">
        <v>3.5388127853881279E-3</v>
      </c>
      <c r="Y60">
        <v>5.240782636799844E-3</v>
      </c>
      <c r="Z60" t="s">
        <v>348</v>
      </c>
      <c r="AA60" t="s">
        <v>25</v>
      </c>
      <c r="AC60" t="s">
        <v>22</v>
      </c>
      <c r="AD60" t="s">
        <v>348</v>
      </c>
      <c r="AE60">
        <v>2.8922928243539656E-3</v>
      </c>
      <c r="AG60" t="s">
        <v>97</v>
      </c>
      <c r="AH60" t="s">
        <v>348</v>
      </c>
      <c r="AI60">
        <v>5.6133928654755527E-2</v>
      </c>
    </row>
    <row r="61" spans="9:35" x14ac:dyDescent="0.45">
      <c r="I61" t="s">
        <v>249</v>
      </c>
      <c r="J61" t="s">
        <v>349</v>
      </c>
      <c r="K61">
        <v>5.2350618749991001E-3</v>
      </c>
      <c r="L61" t="s">
        <v>251</v>
      </c>
      <c r="N61" t="s">
        <v>419</v>
      </c>
      <c r="O61" t="s">
        <v>349</v>
      </c>
      <c r="P61">
        <v>1.8496526274653208E-3</v>
      </c>
      <c r="Q61" t="s">
        <v>251</v>
      </c>
      <c r="S61" t="s">
        <v>420</v>
      </c>
      <c r="T61" t="s">
        <v>349</v>
      </c>
      <c r="U61">
        <v>2.3873461693071727E-3</v>
      </c>
      <c r="V61" t="s">
        <v>251</v>
      </c>
      <c r="X61">
        <v>3.5388127853881279E-3</v>
      </c>
      <c r="Y61">
        <v>5.9087255218821738E-3</v>
      </c>
      <c r="Z61" t="s">
        <v>349</v>
      </c>
      <c r="AA61" t="s">
        <v>25</v>
      </c>
      <c r="AC61" t="s">
        <v>22</v>
      </c>
      <c r="AD61" t="s">
        <v>349</v>
      </c>
      <c r="AE61">
        <v>2.7751816886173938E-3</v>
      </c>
      <c r="AG61" t="s">
        <v>97</v>
      </c>
      <c r="AH61" t="s">
        <v>349</v>
      </c>
      <c r="AI61">
        <v>5.9458371844419711E-2</v>
      </c>
    </row>
    <row r="62" spans="9:35" x14ac:dyDescent="0.45">
      <c r="I62" t="s">
        <v>249</v>
      </c>
      <c r="J62" t="s">
        <v>350</v>
      </c>
      <c r="K62">
        <v>5.4726961163533497E-2</v>
      </c>
      <c r="L62" t="s">
        <v>251</v>
      </c>
      <c r="N62" t="s">
        <v>419</v>
      </c>
      <c r="O62" t="s">
        <v>350</v>
      </c>
      <c r="P62">
        <v>1.3394753685262772E-2</v>
      </c>
      <c r="Q62" t="s">
        <v>251</v>
      </c>
      <c r="S62" t="s">
        <v>420</v>
      </c>
      <c r="T62" t="s">
        <v>350</v>
      </c>
      <c r="U62">
        <v>1.5760182629451346E-2</v>
      </c>
      <c r="V62" t="s">
        <v>251</v>
      </c>
      <c r="X62">
        <v>2.4771689497716895E-2</v>
      </c>
      <c r="Y62">
        <v>3.1424143732027281E-2</v>
      </c>
      <c r="Z62" t="s">
        <v>350</v>
      </c>
      <c r="AA62" t="s">
        <v>25</v>
      </c>
      <c r="AC62" t="s">
        <v>22</v>
      </c>
      <c r="AD62" t="s">
        <v>350</v>
      </c>
      <c r="AE62">
        <v>2.2015949371621827E-2</v>
      </c>
      <c r="AG62" t="s">
        <v>97</v>
      </c>
      <c r="AH62" t="s">
        <v>350</v>
      </c>
      <c r="AI62">
        <v>0.20573239206764882</v>
      </c>
    </row>
    <row r="63" spans="9:35" x14ac:dyDescent="0.45">
      <c r="I63" t="s">
        <v>249</v>
      </c>
      <c r="J63" t="s">
        <v>351</v>
      </c>
      <c r="K63">
        <v>7.1083135960544001E-3</v>
      </c>
      <c r="L63" t="s">
        <v>251</v>
      </c>
      <c r="N63" t="s">
        <v>419</v>
      </c>
      <c r="O63" t="s">
        <v>351</v>
      </c>
      <c r="P63">
        <v>2.0138639294259761E-3</v>
      </c>
      <c r="Q63" t="s">
        <v>251</v>
      </c>
      <c r="S63" t="s">
        <v>420</v>
      </c>
      <c r="T63" t="s">
        <v>351</v>
      </c>
      <c r="U63">
        <v>2.6066075866898052E-3</v>
      </c>
      <c r="V63" t="s">
        <v>251</v>
      </c>
      <c r="X63">
        <v>3.5388127853881279E-3</v>
      </c>
      <c r="Y63">
        <v>5.3435430806586613E-3</v>
      </c>
      <c r="Z63" t="s">
        <v>351</v>
      </c>
      <c r="AA63" t="s">
        <v>25</v>
      </c>
      <c r="AC63" t="s">
        <v>22</v>
      </c>
      <c r="AD63" t="s">
        <v>351</v>
      </c>
      <c r="AE63">
        <v>3.7274002743161584E-3</v>
      </c>
      <c r="AG63" t="s">
        <v>97</v>
      </c>
      <c r="AH63" t="s">
        <v>351</v>
      </c>
      <c r="AI63">
        <v>7.3142236951218909E-2</v>
      </c>
    </row>
    <row r="64" spans="9:35" x14ac:dyDescent="0.45">
      <c r="I64" t="s">
        <v>249</v>
      </c>
      <c r="J64" t="s">
        <v>352</v>
      </c>
      <c r="K64">
        <v>6.1891237235557998E-3</v>
      </c>
      <c r="L64" t="s">
        <v>251</v>
      </c>
      <c r="N64" t="s">
        <v>419</v>
      </c>
      <c r="O64" t="s">
        <v>352</v>
      </c>
      <c r="P64">
        <v>2.0792526059573023E-3</v>
      </c>
      <c r="Q64" t="s">
        <v>251</v>
      </c>
      <c r="S64" t="s">
        <v>420</v>
      </c>
      <c r="T64" t="s">
        <v>352</v>
      </c>
      <c r="U64">
        <v>2.5679852482390691E-3</v>
      </c>
      <c r="V64" t="s">
        <v>251</v>
      </c>
      <c r="X64">
        <v>3.5388127853881279E-3</v>
      </c>
      <c r="Y64">
        <v>6.8849497385409693E-3</v>
      </c>
      <c r="Z64" t="s">
        <v>352</v>
      </c>
      <c r="AA64" t="s">
        <v>25</v>
      </c>
      <c r="AC64" t="s">
        <v>22</v>
      </c>
      <c r="AD64" t="s">
        <v>352</v>
      </c>
      <c r="AE64">
        <v>3.785287944468385E-3</v>
      </c>
      <c r="AG64" t="s">
        <v>97</v>
      </c>
      <c r="AH64" t="s">
        <v>352</v>
      </c>
      <c r="AI64">
        <v>0.1053933651502823</v>
      </c>
    </row>
    <row r="65" spans="9:35" x14ac:dyDescent="0.45">
      <c r="I65" t="s">
        <v>249</v>
      </c>
      <c r="J65" t="s">
        <v>353</v>
      </c>
      <c r="K65">
        <v>4.9659416849278997E-3</v>
      </c>
      <c r="L65" t="s">
        <v>251</v>
      </c>
      <c r="N65" t="s">
        <v>419</v>
      </c>
      <c r="O65" t="s">
        <v>353</v>
      </c>
      <c r="P65">
        <v>2.1234054464425787E-3</v>
      </c>
      <c r="Q65" t="s">
        <v>251</v>
      </c>
      <c r="S65" t="s">
        <v>420</v>
      </c>
      <c r="T65" t="s">
        <v>353</v>
      </c>
      <c r="U65">
        <v>2.5660690043538253E-3</v>
      </c>
      <c r="V65" t="s">
        <v>251</v>
      </c>
      <c r="X65">
        <v>3.5388127853881279E-3</v>
      </c>
      <c r="Y65">
        <v>6.8849497385409693E-3</v>
      </c>
      <c r="Z65" t="s">
        <v>353</v>
      </c>
      <c r="AA65" t="s">
        <v>25</v>
      </c>
      <c r="AC65" t="s">
        <v>22</v>
      </c>
      <c r="AD65" t="s">
        <v>353</v>
      </c>
      <c r="AE65">
        <v>3.843480283760511E-3</v>
      </c>
      <c r="AG65" t="s">
        <v>97</v>
      </c>
      <c r="AH65" t="s">
        <v>353</v>
      </c>
      <c r="AI65">
        <v>0.10499916203418347</v>
      </c>
    </row>
    <row r="66" spans="9:35" x14ac:dyDescent="0.45">
      <c r="I66" t="s">
        <v>249</v>
      </c>
      <c r="J66" t="s">
        <v>354</v>
      </c>
      <c r="K66">
        <v>5.2532482843577442E-3</v>
      </c>
      <c r="L66" t="s">
        <v>251</v>
      </c>
      <c r="N66" t="s">
        <v>419</v>
      </c>
      <c r="O66" t="s">
        <v>354</v>
      </c>
      <c r="P66">
        <v>1.8305678872793222E-2</v>
      </c>
      <c r="Q66" t="s">
        <v>251</v>
      </c>
      <c r="S66" t="s">
        <v>420</v>
      </c>
      <c r="T66" t="s">
        <v>354</v>
      </c>
      <c r="U66">
        <v>1.6816073507230526E-2</v>
      </c>
      <c r="V66" t="s">
        <v>251</v>
      </c>
      <c r="X66">
        <v>2.1232876712328767E-2</v>
      </c>
      <c r="Y66">
        <v>1.8702400782305319E-2</v>
      </c>
      <c r="Z66" t="s">
        <v>354</v>
      </c>
      <c r="AA66" t="s">
        <v>25</v>
      </c>
      <c r="AC66" t="s">
        <v>22</v>
      </c>
      <c r="AD66" t="s">
        <v>354</v>
      </c>
      <c r="AE66">
        <v>2.3704335456036028E-2</v>
      </c>
      <c r="AG66" t="s">
        <v>97</v>
      </c>
      <c r="AH66" t="s">
        <v>354</v>
      </c>
      <c r="AI66">
        <v>0.13820527616738598</v>
      </c>
    </row>
    <row r="67" spans="9:35" x14ac:dyDescent="0.45">
      <c r="I67" t="s">
        <v>249</v>
      </c>
      <c r="J67" t="s">
        <v>355</v>
      </c>
      <c r="K67">
        <v>2.783153874109351E-8</v>
      </c>
      <c r="L67" t="s">
        <v>251</v>
      </c>
      <c r="N67" t="s">
        <v>419</v>
      </c>
      <c r="O67" t="s">
        <v>355</v>
      </c>
      <c r="P67">
        <v>1.6476624077206636E-2</v>
      </c>
      <c r="Q67" t="s">
        <v>251</v>
      </c>
      <c r="S67" t="s">
        <v>420</v>
      </c>
      <c r="T67" t="s">
        <v>355</v>
      </c>
      <c r="U67">
        <v>1.4198100847300008E-2</v>
      </c>
      <c r="V67" t="s">
        <v>251</v>
      </c>
      <c r="X67">
        <v>2.1232876712328767E-2</v>
      </c>
      <c r="Y67">
        <v>4.5420116185598634E-3</v>
      </c>
      <c r="Z67" t="s">
        <v>355</v>
      </c>
      <c r="AA67" t="s">
        <v>25</v>
      </c>
      <c r="AC67" t="s">
        <v>22</v>
      </c>
      <c r="AD67" t="s">
        <v>355</v>
      </c>
      <c r="AE67">
        <v>2.0531327419762581E-2</v>
      </c>
      <c r="AG67" t="s">
        <v>97</v>
      </c>
      <c r="AH67" t="s">
        <v>355</v>
      </c>
      <c r="AI67">
        <v>0.20279576727930415</v>
      </c>
    </row>
    <row r="68" spans="9:35" x14ac:dyDescent="0.45">
      <c r="I68" t="s">
        <v>249</v>
      </c>
      <c r="J68" t="s">
        <v>356</v>
      </c>
      <c r="K68">
        <v>2.7522411699255861E-3</v>
      </c>
      <c r="L68" t="s">
        <v>251</v>
      </c>
      <c r="N68" t="s">
        <v>419</v>
      </c>
      <c r="O68" t="s">
        <v>356</v>
      </c>
      <c r="P68">
        <v>2.0483594360940671E-3</v>
      </c>
      <c r="Q68" t="s">
        <v>251</v>
      </c>
      <c r="S68" t="s">
        <v>420</v>
      </c>
      <c r="T68" t="s">
        <v>356</v>
      </c>
      <c r="U68">
        <v>2.0917873914683208E-3</v>
      </c>
      <c r="V68" t="s">
        <v>251</v>
      </c>
      <c r="X68">
        <v>3.5388127853881279E-3</v>
      </c>
      <c r="Y68">
        <v>5.240782636799844E-3</v>
      </c>
      <c r="Z68" t="s">
        <v>356</v>
      </c>
      <c r="AA68" t="s">
        <v>25</v>
      </c>
      <c r="AC68" t="s">
        <v>22</v>
      </c>
      <c r="AD68" t="s">
        <v>356</v>
      </c>
      <c r="AE68">
        <v>2.7922388810710285E-3</v>
      </c>
      <c r="AG68" t="s">
        <v>97</v>
      </c>
      <c r="AH68" t="s">
        <v>356</v>
      </c>
      <c r="AI68">
        <v>7.8332183240009012E-2</v>
      </c>
    </row>
    <row r="69" spans="9:35" x14ac:dyDescent="0.45">
      <c r="I69" t="s">
        <v>249</v>
      </c>
      <c r="J69" t="s">
        <v>357</v>
      </c>
      <c r="K69">
        <v>5.5222011424492998E-3</v>
      </c>
      <c r="L69" t="s">
        <v>251</v>
      </c>
      <c r="N69" t="s">
        <v>419</v>
      </c>
      <c r="O69" t="s">
        <v>357</v>
      </c>
      <c r="P69">
        <v>1.563764425558836E-3</v>
      </c>
      <c r="Q69" t="s">
        <v>251</v>
      </c>
      <c r="S69" t="s">
        <v>420</v>
      </c>
      <c r="T69" t="s">
        <v>357</v>
      </c>
      <c r="U69">
        <v>2.0390217860858477E-3</v>
      </c>
      <c r="V69" t="s">
        <v>251</v>
      </c>
      <c r="X69">
        <v>3.5388127853881279E-3</v>
      </c>
      <c r="Y69">
        <v>5.9087255218821738E-3</v>
      </c>
      <c r="Z69" t="s">
        <v>357</v>
      </c>
      <c r="AA69" t="s">
        <v>25</v>
      </c>
      <c r="AC69" t="s">
        <v>22</v>
      </c>
      <c r="AD69" t="s">
        <v>357</v>
      </c>
      <c r="AE69">
        <v>2.68234189438178E-3</v>
      </c>
      <c r="AG69" t="s">
        <v>97</v>
      </c>
      <c r="AH69" t="s">
        <v>357</v>
      </c>
      <c r="AI69">
        <v>7.2485883556521413E-2</v>
      </c>
    </row>
    <row r="70" spans="9:35" x14ac:dyDescent="0.45">
      <c r="I70" t="s">
        <v>249</v>
      </c>
      <c r="J70" t="s">
        <v>358</v>
      </c>
      <c r="K70">
        <v>5.6711374637086802E-2</v>
      </c>
      <c r="L70" t="s">
        <v>251</v>
      </c>
      <c r="N70" t="s">
        <v>419</v>
      </c>
      <c r="O70" t="s">
        <v>358</v>
      </c>
      <c r="P70">
        <v>1.0239656113572375E-2</v>
      </c>
      <c r="Q70" t="s">
        <v>251</v>
      </c>
      <c r="S70" t="s">
        <v>420</v>
      </c>
      <c r="T70" t="s">
        <v>358</v>
      </c>
      <c r="U70">
        <v>1.3599721801736927E-2</v>
      </c>
      <c r="V70" t="s">
        <v>251</v>
      </c>
      <c r="X70">
        <v>2.4771689497716895E-2</v>
      </c>
      <c r="Y70">
        <v>3.1424143732027281E-2</v>
      </c>
      <c r="Z70" t="s">
        <v>358</v>
      </c>
      <c r="AA70" t="s">
        <v>25</v>
      </c>
      <c r="AC70" t="s">
        <v>22</v>
      </c>
      <c r="AD70" t="s">
        <v>358</v>
      </c>
      <c r="AE70">
        <v>2.1516877500868201E-2</v>
      </c>
      <c r="AG70" t="s">
        <v>97</v>
      </c>
      <c r="AH70" t="s">
        <v>358</v>
      </c>
      <c r="AI70">
        <v>0.19699593812495508</v>
      </c>
    </row>
    <row r="71" spans="9:35" x14ac:dyDescent="0.45">
      <c r="I71" t="s">
        <v>249</v>
      </c>
      <c r="J71" t="s">
        <v>359</v>
      </c>
      <c r="K71">
        <v>7.4687617925409998E-3</v>
      </c>
      <c r="L71" t="s">
        <v>251</v>
      </c>
      <c r="N71" t="s">
        <v>419</v>
      </c>
      <c r="O71" t="s">
        <v>359</v>
      </c>
      <c r="P71">
        <v>1.6032268362819705E-3</v>
      </c>
      <c r="Q71" t="s">
        <v>251</v>
      </c>
      <c r="S71" t="s">
        <v>420</v>
      </c>
      <c r="T71" t="s">
        <v>359</v>
      </c>
      <c r="U71">
        <v>2.1334074833218876E-3</v>
      </c>
      <c r="V71" t="s">
        <v>251</v>
      </c>
      <c r="X71">
        <v>3.5388127853881279E-3</v>
      </c>
      <c r="Y71">
        <v>5.3435430806586613E-3</v>
      </c>
      <c r="Z71" t="s">
        <v>359</v>
      </c>
      <c r="AA71" t="s">
        <v>25</v>
      </c>
      <c r="AC71" t="s">
        <v>22</v>
      </c>
      <c r="AD71" t="s">
        <v>359</v>
      </c>
      <c r="AE71">
        <v>3.6319932023806674E-3</v>
      </c>
      <c r="AG71" t="s">
        <v>97</v>
      </c>
      <c r="AH71" t="s">
        <v>359</v>
      </c>
      <c r="AI71">
        <v>6.75965833044474E-2</v>
      </c>
    </row>
    <row r="72" spans="9:35" x14ac:dyDescent="0.45">
      <c r="I72" t="s">
        <v>249</v>
      </c>
      <c r="J72" t="s">
        <v>360</v>
      </c>
      <c r="K72">
        <v>6.6138938984641E-3</v>
      </c>
      <c r="L72" t="s">
        <v>251</v>
      </c>
      <c r="N72" t="s">
        <v>419</v>
      </c>
      <c r="O72" t="s">
        <v>360</v>
      </c>
      <c r="P72">
        <v>1.702274214395016E-3</v>
      </c>
      <c r="Q72" t="s">
        <v>251</v>
      </c>
      <c r="S72" t="s">
        <v>420</v>
      </c>
      <c r="T72" t="s">
        <v>360</v>
      </c>
      <c r="U72">
        <v>2.0736100584980966E-3</v>
      </c>
      <c r="V72" t="s">
        <v>251</v>
      </c>
      <c r="X72">
        <v>3.5388127853881279E-3</v>
      </c>
      <c r="Y72">
        <v>6.8849497385409693E-3</v>
      </c>
      <c r="Z72" t="s">
        <v>360</v>
      </c>
      <c r="AA72" t="s">
        <v>25</v>
      </c>
      <c r="AC72" t="s">
        <v>22</v>
      </c>
      <c r="AD72" t="s">
        <v>360</v>
      </c>
      <c r="AE72">
        <v>3.6660521175087145E-3</v>
      </c>
      <c r="AG72" t="s">
        <v>97</v>
      </c>
      <c r="AH72" t="s">
        <v>360</v>
      </c>
      <c r="AI72">
        <v>7.9800658589176843E-2</v>
      </c>
    </row>
    <row r="73" spans="9:35" x14ac:dyDescent="0.45">
      <c r="I73" t="s">
        <v>249</v>
      </c>
      <c r="J73" t="s">
        <v>361</v>
      </c>
      <c r="K73">
        <v>5.3870160545135999E-3</v>
      </c>
      <c r="L73" t="s">
        <v>251</v>
      </c>
      <c r="N73" t="s">
        <v>419</v>
      </c>
      <c r="O73" t="s">
        <v>361</v>
      </c>
      <c r="P73">
        <v>1.8296506997353484E-3</v>
      </c>
      <c r="Q73" t="s">
        <v>251</v>
      </c>
      <c r="S73" t="s">
        <v>420</v>
      </c>
      <c r="T73" t="s">
        <v>361</v>
      </c>
      <c r="U73">
        <v>2.0472469150234025E-3</v>
      </c>
      <c r="V73" t="s">
        <v>251</v>
      </c>
      <c r="X73">
        <v>3.5388127853881279E-3</v>
      </c>
      <c r="Y73">
        <v>6.8849497385409693E-3</v>
      </c>
      <c r="Z73" t="s">
        <v>361</v>
      </c>
      <c r="AA73" t="s">
        <v>25</v>
      </c>
      <c r="AC73" t="s">
        <v>22</v>
      </c>
      <c r="AD73" t="s">
        <v>361</v>
      </c>
      <c r="AE73">
        <v>3.7098463054774798E-3</v>
      </c>
      <c r="AG73" t="s">
        <v>97</v>
      </c>
      <c r="AH73" t="s">
        <v>361</v>
      </c>
      <c r="AI73">
        <v>0.11778085626857693</v>
      </c>
    </row>
    <row r="74" spans="9:35" x14ac:dyDescent="0.45">
      <c r="I74" t="s">
        <v>249</v>
      </c>
      <c r="J74" t="s">
        <v>362</v>
      </c>
      <c r="K74">
        <v>4.8833452718522428E-3</v>
      </c>
      <c r="L74" t="s">
        <v>251</v>
      </c>
      <c r="N74" t="s">
        <v>419</v>
      </c>
      <c r="O74" t="s">
        <v>362</v>
      </c>
      <c r="P74">
        <v>1.8211523341571861E-2</v>
      </c>
      <c r="Q74" t="s">
        <v>251</v>
      </c>
      <c r="S74" t="s">
        <v>420</v>
      </c>
      <c r="T74" t="s">
        <v>362</v>
      </c>
      <c r="U74">
        <v>1.4510372030929865E-2</v>
      </c>
      <c r="V74" t="s">
        <v>251</v>
      </c>
      <c r="X74">
        <v>2.1232876712328767E-2</v>
      </c>
      <c r="Y74">
        <v>1.8702400782305319E-2</v>
      </c>
      <c r="Z74" t="s">
        <v>362</v>
      </c>
      <c r="AA74" t="s">
        <v>25</v>
      </c>
      <c r="AC74" t="s">
        <v>22</v>
      </c>
      <c r="AD74" t="s">
        <v>362</v>
      </c>
      <c r="AE74">
        <v>2.3018083360320719E-2</v>
      </c>
      <c r="AG74" t="s">
        <v>97</v>
      </c>
      <c r="AH74" t="s">
        <v>362</v>
      </c>
      <c r="AI74">
        <v>0.16156484455199549</v>
      </c>
    </row>
    <row r="75" spans="9:35" x14ac:dyDescent="0.45">
      <c r="I75" t="s">
        <v>249</v>
      </c>
      <c r="J75" t="s">
        <v>363</v>
      </c>
      <c r="K75">
        <v>0</v>
      </c>
      <c r="L75" t="s">
        <v>251</v>
      </c>
      <c r="N75" t="s">
        <v>419</v>
      </c>
      <c r="O75" t="s">
        <v>363</v>
      </c>
      <c r="P75">
        <v>2.1987516014648524E-2</v>
      </c>
      <c r="Q75" t="s">
        <v>251</v>
      </c>
      <c r="S75" t="s">
        <v>420</v>
      </c>
      <c r="T75" t="s">
        <v>363</v>
      </c>
      <c r="U75">
        <v>1.7916686543167984E-2</v>
      </c>
      <c r="V75" t="s">
        <v>251</v>
      </c>
      <c r="X75">
        <v>2.0547945205479451E-2</v>
      </c>
      <c r="Y75">
        <v>4.3954951147353507E-3</v>
      </c>
      <c r="Z75" t="s">
        <v>363</v>
      </c>
      <c r="AA75" t="s">
        <v>25</v>
      </c>
      <c r="AC75" t="s">
        <v>22</v>
      </c>
      <c r="AD75" t="s">
        <v>363</v>
      </c>
      <c r="AE75">
        <v>1.9431112851412507E-2</v>
      </c>
      <c r="AG75" t="s">
        <v>97</v>
      </c>
      <c r="AH75" t="s">
        <v>363</v>
      </c>
      <c r="AI75">
        <v>0.17457053711121984</v>
      </c>
    </row>
    <row r="76" spans="9:35" x14ac:dyDescent="0.45">
      <c r="I76" t="s">
        <v>249</v>
      </c>
      <c r="J76" t="s">
        <v>364</v>
      </c>
      <c r="K76">
        <v>1.4265884888544206E-3</v>
      </c>
      <c r="L76" t="s">
        <v>251</v>
      </c>
      <c r="N76" t="s">
        <v>419</v>
      </c>
      <c r="O76" t="s">
        <v>364</v>
      </c>
      <c r="P76">
        <v>3.2426110992468502E-3</v>
      </c>
      <c r="Q76" t="s">
        <v>251</v>
      </c>
      <c r="S76" t="s">
        <v>420</v>
      </c>
      <c r="T76" t="s">
        <v>364</v>
      </c>
      <c r="U76">
        <v>2.7519371231801543E-3</v>
      </c>
      <c r="V76" t="s">
        <v>251</v>
      </c>
      <c r="X76">
        <v>3.4246575342465752E-3</v>
      </c>
      <c r="Y76">
        <v>5.0717251323869452E-3</v>
      </c>
      <c r="Z76" t="s">
        <v>364</v>
      </c>
      <c r="AA76" t="s">
        <v>25</v>
      </c>
      <c r="AC76" t="s">
        <v>22</v>
      </c>
      <c r="AD76" t="s">
        <v>364</v>
      </c>
      <c r="AE76">
        <v>2.6420198074447719E-3</v>
      </c>
      <c r="AG76" t="s">
        <v>97</v>
      </c>
      <c r="AH76" t="s">
        <v>364</v>
      </c>
      <c r="AI76">
        <v>7.3776432002171433E-2</v>
      </c>
    </row>
    <row r="77" spans="9:35" x14ac:dyDescent="0.45">
      <c r="I77" t="s">
        <v>249</v>
      </c>
      <c r="J77" t="s">
        <v>365</v>
      </c>
      <c r="K77">
        <v>5.1126615802918616E-3</v>
      </c>
      <c r="L77" t="s">
        <v>251</v>
      </c>
      <c r="N77" t="s">
        <v>419</v>
      </c>
      <c r="O77" t="s">
        <v>365</v>
      </c>
      <c r="P77">
        <v>2.803716330340197E-3</v>
      </c>
      <c r="Q77" t="s">
        <v>251</v>
      </c>
      <c r="S77" t="s">
        <v>420</v>
      </c>
      <c r="T77" t="s">
        <v>365</v>
      </c>
      <c r="U77">
        <v>2.7649685483693981E-3</v>
      </c>
      <c r="V77" t="s">
        <v>251</v>
      </c>
      <c r="X77">
        <v>3.4246575342465752E-3</v>
      </c>
      <c r="Y77">
        <v>5.7181214727892006E-3</v>
      </c>
      <c r="Z77" t="s">
        <v>365</v>
      </c>
      <c r="AA77" t="s">
        <v>25</v>
      </c>
      <c r="AC77" t="s">
        <v>22</v>
      </c>
      <c r="AD77" t="s">
        <v>365</v>
      </c>
      <c r="AE77">
        <v>2.5530318743199232E-3</v>
      </c>
      <c r="AG77" t="s">
        <v>97</v>
      </c>
      <c r="AH77" t="s">
        <v>365</v>
      </c>
      <c r="AI77">
        <v>6.9391447068593237E-2</v>
      </c>
    </row>
    <row r="78" spans="9:35" x14ac:dyDescent="0.45">
      <c r="I78" t="s">
        <v>249</v>
      </c>
      <c r="J78" t="s">
        <v>366</v>
      </c>
      <c r="K78">
        <v>5.3028538289522399E-2</v>
      </c>
      <c r="L78" t="s">
        <v>251</v>
      </c>
      <c r="N78" t="s">
        <v>419</v>
      </c>
      <c r="O78" t="s">
        <v>366</v>
      </c>
      <c r="P78">
        <v>1.8409756149597192E-2</v>
      </c>
      <c r="Q78" t="s">
        <v>251</v>
      </c>
      <c r="S78" t="s">
        <v>420</v>
      </c>
      <c r="T78" t="s">
        <v>366</v>
      </c>
      <c r="U78">
        <v>1.8641999437587101E-2</v>
      </c>
      <c r="V78" t="s">
        <v>251</v>
      </c>
      <c r="X78">
        <v>2.3972602739726026E-2</v>
      </c>
      <c r="Y78">
        <v>3.0410461676155433E-2</v>
      </c>
      <c r="Z78" t="s">
        <v>366</v>
      </c>
      <c r="AA78" t="s">
        <v>25</v>
      </c>
      <c r="AC78" t="s">
        <v>22</v>
      </c>
      <c r="AD78" t="s">
        <v>366</v>
      </c>
      <c r="AE78">
        <v>2.0836927752645198E-2</v>
      </c>
      <c r="AG78" t="s">
        <v>97</v>
      </c>
      <c r="AH78" t="s">
        <v>366</v>
      </c>
      <c r="AI78">
        <v>0.18759917858258945</v>
      </c>
    </row>
    <row r="79" spans="9:35" x14ac:dyDescent="0.45">
      <c r="I79" t="s">
        <v>249</v>
      </c>
      <c r="J79" t="s">
        <v>367</v>
      </c>
      <c r="K79">
        <v>7.2820246575173997E-3</v>
      </c>
      <c r="L79" t="s">
        <v>251</v>
      </c>
      <c r="N79" t="s">
        <v>419</v>
      </c>
      <c r="O79" t="s">
        <v>367</v>
      </c>
      <c r="P79">
        <v>2.7197156049932948E-3</v>
      </c>
      <c r="Q79" t="s">
        <v>251</v>
      </c>
      <c r="S79" t="s">
        <v>420</v>
      </c>
      <c r="T79" t="s">
        <v>367</v>
      </c>
      <c r="U79">
        <v>2.7008986209608697E-3</v>
      </c>
      <c r="V79" t="s">
        <v>251</v>
      </c>
      <c r="X79">
        <v>3.4246575342465752E-3</v>
      </c>
      <c r="Y79">
        <v>5.1711707232180593E-3</v>
      </c>
      <c r="Z79" t="s">
        <v>367</v>
      </c>
      <c r="AA79" t="s">
        <v>25</v>
      </c>
      <c r="AC79" t="s">
        <v>22</v>
      </c>
      <c r="AD79" t="s">
        <v>367</v>
      </c>
      <c r="AE79">
        <v>3.489624828211369E-3</v>
      </c>
      <c r="AG79" t="s">
        <v>97</v>
      </c>
      <c r="AH79" t="s">
        <v>367</v>
      </c>
      <c r="AI79">
        <v>6.1271045772115285E-2</v>
      </c>
    </row>
    <row r="80" spans="9:35" x14ac:dyDescent="0.45">
      <c r="I80" t="s">
        <v>249</v>
      </c>
      <c r="J80" t="s">
        <v>368</v>
      </c>
      <c r="K80">
        <v>6.5244460907635995E-3</v>
      </c>
      <c r="L80" t="s">
        <v>251</v>
      </c>
      <c r="N80" t="s">
        <v>419</v>
      </c>
      <c r="O80" t="s">
        <v>368</v>
      </c>
      <c r="P80">
        <v>2.7032479440840698E-3</v>
      </c>
      <c r="Q80" t="s">
        <v>251</v>
      </c>
      <c r="S80" t="s">
        <v>420</v>
      </c>
      <c r="T80" t="s">
        <v>368</v>
      </c>
      <c r="U80">
        <v>2.5803912726566642E-3</v>
      </c>
      <c r="V80" t="s">
        <v>251</v>
      </c>
      <c r="X80">
        <v>3.4246575342465752E-3</v>
      </c>
      <c r="Y80">
        <v>6.662854585684809E-3</v>
      </c>
      <c r="Z80" t="s">
        <v>368</v>
      </c>
      <c r="AA80" t="s">
        <v>25</v>
      </c>
      <c r="AC80" t="s">
        <v>22</v>
      </c>
      <c r="AD80" t="s">
        <v>368</v>
      </c>
      <c r="AE80">
        <v>3.51736652743425E-3</v>
      </c>
      <c r="AG80" t="s">
        <v>97</v>
      </c>
      <c r="AH80" t="s">
        <v>368</v>
      </c>
      <c r="AI80">
        <v>7.6431784277328108E-2</v>
      </c>
    </row>
    <row r="81" spans="9:35" x14ac:dyDescent="0.45">
      <c r="I81" t="s">
        <v>249</v>
      </c>
      <c r="J81" t="s">
        <v>369</v>
      </c>
      <c r="K81">
        <v>5.1555486044243997E-3</v>
      </c>
      <c r="L81" t="s">
        <v>251</v>
      </c>
      <c r="N81" t="s">
        <v>419</v>
      </c>
      <c r="O81" t="s">
        <v>369</v>
      </c>
      <c r="P81">
        <v>2.7923664979789486E-3</v>
      </c>
      <c r="Q81" t="s">
        <v>251</v>
      </c>
      <c r="S81" t="s">
        <v>420</v>
      </c>
      <c r="T81" t="s">
        <v>369</v>
      </c>
      <c r="U81">
        <v>2.6869127570920432E-3</v>
      </c>
      <c r="V81" t="s">
        <v>251</v>
      </c>
      <c r="X81">
        <v>3.4246575342465752E-3</v>
      </c>
      <c r="Y81">
        <v>6.662854585684809E-3</v>
      </c>
      <c r="Z81" t="s">
        <v>369</v>
      </c>
      <c r="AA81" t="s">
        <v>25</v>
      </c>
      <c r="AC81" t="s">
        <v>22</v>
      </c>
      <c r="AD81" t="s">
        <v>369</v>
      </c>
      <c r="AE81">
        <v>3.5463583839159514E-3</v>
      </c>
      <c r="AG81" t="s">
        <v>97</v>
      </c>
      <c r="AH81" t="s">
        <v>369</v>
      </c>
      <c r="AI81">
        <v>8.7840284602749064E-2</v>
      </c>
    </row>
    <row r="82" spans="9:35" x14ac:dyDescent="0.45">
      <c r="I82" t="s">
        <v>249</v>
      </c>
      <c r="J82" t="s">
        <v>370</v>
      </c>
      <c r="K82">
        <v>2.5682558522210274E-3</v>
      </c>
      <c r="L82" t="s">
        <v>251</v>
      </c>
      <c r="N82" t="s">
        <v>419</v>
      </c>
      <c r="O82" t="s">
        <v>370</v>
      </c>
      <c r="P82">
        <v>2.3119393430554084E-2</v>
      </c>
      <c r="Q82" t="s">
        <v>251</v>
      </c>
      <c r="S82" t="s">
        <v>420</v>
      </c>
      <c r="T82" t="s">
        <v>370</v>
      </c>
      <c r="U82">
        <v>1.9178574975898272E-2</v>
      </c>
      <c r="V82" t="s">
        <v>251</v>
      </c>
      <c r="X82">
        <v>2.0547945205479451E-2</v>
      </c>
      <c r="Y82">
        <v>1.8099097531263209E-2</v>
      </c>
      <c r="Z82" t="s">
        <v>370</v>
      </c>
      <c r="AA82" t="s">
        <v>25</v>
      </c>
      <c r="AC82" t="s">
        <v>22</v>
      </c>
      <c r="AD82" t="s">
        <v>370</v>
      </c>
      <c r="AE82">
        <v>2.1819185337057481E-2</v>
      </c>
      <c r="AG82" t="s">
        <v>97</v>
      </c>
      <c r="AH82" t="s">
        <v>370</v>
      </c>
      <c r="AI82">
        <v>0.12204049558381702</v>
      </c>
    </row>
    <row r="83" spans="9:35" x14ac:dyDescent="0.45">
      <c r="I83" t="s">
        <v>249</v>
      </c>
      <c r="J83" t="s">
        <v>395</v>
      </c>
      <c r="K83">
        <v>0</v>
      </c>
      <c r="L83" t="s">
        <v>251</v>
      </c>
      <c r="N83" t="s">
        <v>419</v>
      </c>
      <c r="O83" t="s">
        <v>395</v>
      </c>
      <c r="P83">
        <v>2.672996351164476E-2</v>
      </c>
      <c r="Q83" t="s">
        <v>251</v>
      </c>
      <c r="S83" t="s">
        <v>420</v>
      </c>
      <c r="T83" t="s">
        <v>395</v>
      </c>
      <c r="U83">
        <v>2.2216646502896346E-2</v>
      </c>
      <c r="V83" t="s">
        <v>251</v>
      </c>
      <c r="X83">
        <v>2.1232876712328767E-2</v>
      </c>
      <c r="Y83">
        <v>4.5420116185598634E-3</v>
      </c>
      <c r="Z83" t="s">
        <v>395</v>
      </c>
      <c r="AA83" t="s">
        <v>25</v>
      </c>
      <c r="AC83" t="s">
        <v>22</v>
      </c>
      <c r="AD83" t="s">
        <v>395</v>
      </c>
      <c r="AE83">
        <v>1.9792621807780571E-2</v>
      </c>
      <c r="AG83" t="s">
        <v>97</v>
      </c>
      <c r="AH83" t="s">
        <v>395</v>
      </c>
      <c r="AI83">
        <v>0.14546037012229274</v>
      </c>
    </row>
    <row r="84" spans="9:35" x14ac:dyDescent="0.45">
      <c r="I84" t="s">
        <v>249</v>
      </c>
      <c r="J84" t="s">
        <v>396</v>
      </c>
      <c r="K84">
        <v>2.9377313160573786E-4</v>
      </c>
      <c r="L84" t="s">
        <v>251</v>
      </c>
      <c r="N84" t="s">
        <v>419</v>
      </c>
      <c r="O84" t="s">
        <v>396</v>
      </c>
      <c r="P84">
        <v>4.2543244324251541E-3</v>
      </c>
      <c r="Q84" t="s">
        <v>251</v>
      </c>
      <c r="S84" t="s">
        <v>420</v>
      </c>
      <c r="T84" t="s">
        <v>396</v>
      </c>
      <c r="U84">
        <v>3.6311291673658875E-3</v>
      </c>
      <c r="V84" t="s">
        <v>251</v>
      </c>
      <c r="X84">
        <v>3.5388127853881279E-3</v>
      </c>
      <c r="Y84">
        <v>5.240782636799844E-3</v>
      </c>
      <c r="Z84" t="s">
        <v>396</v>
      </c>
      <c r="AA84" t="s">
        <v>25</v>
      </c>
      <c r="AC84" t="s">
        <v>22</v>
      </c>
      <c r="AD84" t="s">
        <v>396</v>
      </c>
      <c r="AE84">
        <v>2.6543176581232944E-3</v>
      </c>
      <c r="AG84" t="s">
        <v>97</v>
      </c>
      <c r="AH84" t="s">
        <v>396</v>
      </c>
      <c r="AI84">
        <v>3.3040825794567352E-2</v>
      </c>
    </row>
    <row r="85" spans="9:35" x14ac:dyDescent="0.45">
      <c r="I85" t="s">
        <v>249</v>
      </c>
      <c r="J85" t="s">
        <v>397</v>
      </c>
      <c r="K85">
        <v>5.1106613015486834E-3</v>
      </c>
      <c r="L85" t="s">
        <v>251</v>
      </c>
      <c r="N85" t="s">
        <v>419</v>
      </c>
      <c r="O85" t="s">
        <v>397</v>
      </c>
      <c r="P85">
        <v>4.0331475106903433E-3</v>
      </c>
      <c r="Q85" t="s">
        <v>251</v>
      </c>
      <c r="S85" t="s">
        <v>420</v>
      </c>
      <c r="T85" t="s">
        <v>397</v>
      </c>
      <c r="U85">
        <v>3.6183135117650459E-3</v>
      </c>
      <c r="V85" t="s">
        <v>251</v>
      </c>
      <c r="X85">
        <v>3.5388127853881279E-3</v>
      </c>
      <c r="Y85">
        <v>5.9087255218821738E-3</v>
      </c>
      <c r="Z85" t="s">
        <v>397</v>
      </c>
      <c r="AA85" t="s">
        <v>25</v>
      </c>
      <c r="AC85" t="s">
        <v>22</v>
      </c>
      <c r="AD85" t="s">
        <v>397</v>
      </c>
      <c r="AE85">
        <v>2.5804887488147976E-3</v>
      </c>
      <c r="AG85" t="s">
        <v>97</v>
      </c>
      <c r="AH85" t="s">
        <v>397</v>
      </c>
      <c r="AI85">
        <v>2.5958608869261823E-2</v>
      </c>
    </row>
    <row r="86" spans="9:35" x14ac:dyDescent="0.45">
      <c r="I86" t="s">
        <v>249</v>
      </c>
      <c r="J86" t="s">
        <v>398</v>
      </c>
      <c r="K86">
        <v>5.7744684487604302E-2</v>
      </c>
      <c r="L86" t="s">
        <v>251</v>
      </c>
      <c r="N86" t="s">
        <v>419</v>
      </c>
      <c r="O86" t="s">
        <v>398</v>
      </c>
      <c r="P86">
        <v>2.6052330729859945E-2</v>
      </c>
      <c r="Q86" t="s">
        <v>251</v>
      </c>
      <c r="S86" t="s">
        <v>420</v>
      </c>
      <c r="T86" t="s">
        <v>398</v>
      </c>
      <c r="U86">
        <v>2.3925689322265881E-2</v>
      </c>
      <c r="V86" t="s">
        <v>251</v>
      </c>
      <c r="X86">
        <v>2.4771689497716895E-2</v>
      </c>
      <c r="Y86">
        <v>3.1424143732027281E-2</v>
      </c>
      <c r="Z86" t="s">
        <v>398</v>
      </c>
      <c r="AA86" t="s">
        <v>25</v>
      </c>
      <c r="AC86" t="s">
        <v>22</v>
      </c>
      <c r="AD86" t="s">
        <v>398</v>
      </c>
      <c r="AE86">
        <v>2.1944566199195794E-2</v>
      </c>
      <c r="AG86" t="s">
        <v>97</v>
      </c>
      <c r="AH86" t="s">
        <v>398</v>
      </c>
      <c r="AI86">
        <v>0.2497240775983629</v>
      </c>
    </row>
    <row r="87" spans="9:35" x14ac:dyDescent="0.45">
      <c r="I87" t="s">
        <v>249</v>
      </c>
      <c r="J87" t="s">
        <v>399</v>
      </c>
      <c r="K87">
        <v>8.1286848741940997E-3</v>
      </c>
      <c r="L87" t="s">
        <v>251</v>
      </c>
      <c r="N87" t="s">
        <v>419</v>
      </c>
      <c r="O87" t="s">
        <v>399</v>
      </c>
      <c r="P87">
        <v>3.661709304739004E-3</v>
      </c>
      <c r="Q87" t="s">
        <v>251</v>
      </c>
      <c r="S87" t="s">
        <v>420</v>
      </c>
      <c r="T87" t="s">
        <v>399</v>
      </c>
      <c r="U87">
        <v>3.5723945211106572E-3</v>
      </c>
      <c r="V87" t="s">
        <v>251</v>
      </c>
      <c r="X87">
        <v>3.5388127853881279E-3</v>
      </c>
      <c r="Y87">
        <v>5.3435430806586613E-3</v>
      </c>
      <c r="Z87" t="s">
        <v>399</v>
      </c>
      <c r="AA87" t="s">
        <v>25</v>
      </c>
      <c r="AC87" t="s">
        <v>22</v>
      </c>
      <c r="AD87" t="s">
        <v>399</v>
      </c>
      <c r="AE87">
        <v>3.5150034429866075E-3</v>
      </c>
      <c r="AG87" t="s">
        <v>97</v>
      </c>
      <c r="AH87" t="s">
        <v>399</v>
      </c>
      <c r="AI87">
        <v>5.2894178929967728E-2</v>
      </c>
    </row>
    <row r="88" spans="9:35" x14ac:dyDescent="0.45">
      <c r="I88" t="s">
        <v>249</v>
      </c>
      <c r="J88" t="s">
        <v>400</v>
      </c>
      <c r="K88">
        <v>7.0069966313310002E-3</v>
      </c>
      <c r="L88" t="s">
        <v>251</v>
      </c>
      <c r="N88" t="s">
        <v>419</v>
      </c>
      <c r="O88" t="s">
        <v>400</v>
      </c>
      <c r="P88">
        <v>3.5484948676191815E-3</v>
      </c>
      <c r="Q88" t="s">
        <v>251</v>
      </c>
      <c r="S88" t="s">
        <v>420</v>
      </c>
      <c r="T88" t="s">
        <v>400</v>
      </c>
      <c r="U88">
        <v>3.4846446280784498E-3</v>
      </c>
      <c r="V88" t="s">
        <v>251</v>
      </c>
      <c r="X88">
        <v>3.5388127853881279E-3</v>
      </c>
      <c r="Y88">
        <v>6.8849497385409693E-3</v>
      </c>
      <c r="Z88" t="s">
        <v>400</v>
      </c>
      <c r="AA88" t="s">
        <v>25</v>
      </c>
      <c r="AC88" t="s">
        <v>22</v>
      </c>
      <c r="AD88" t="s">
        <v>400</v>
      </c>
      <c r="AE88">
        <v>3.5353938653706518E-3</v>
      </c>
      <c r="AG88" t="s">
        <v>97</v>
      </c>
      <c r="AH88" t="s">
        <v>400</v>
      </c>
      <c r="AI88">
        <v>5.5112731512192425E-2</v>
      </c>
    </row>
    <row r="89" spans="9:35" x14ac:dyDescent="0.45">
      <c r="I89" t="s">
        <v>249</v>
      </c>
      <c r="J89" t="s">
        <v>401</v>
      </c>
      <c r="K89">
        <v>4.7699674303072776E-3</v>
      </c>
      <c r="L89" t="s">
        <v>251</v>
      </c>
      <c r="N89" t="s">
        <v>419</v>
      </c>
      <c r="O89" t="s">
        <v>401</v>
      </c>
      <c r="P89">
        <v>3.6102067267179024E-3</v>
      </c>
      <c r="Q89" t="s">
        <v>251</v>
      </c>
      <c r="S89" t="s">
        <v>420</v>
      </c>
      <c r="T89" t="s">
        <v>401</v>
      </c>
      <c r="U89">
        <v>3.5324148970068132E-3</v>
      </c>
      <c r="V89" t="s">
        <v>251</v>
      </c>
      <c r="X89">
        <v>3.5388127853881279E-3</v>
      </c>
      <c r="Y89">
        <v>6.8849497385409693E-3</v>
      </c>
      <c r="Z89" t="s">
        <v>401</v>
      </c>
      <c r="AA89" t="s">
        <v>25</v>
      </c>
      <c r="AC89" t="s">
        <v>22</v>
      </c>
      <c r="AD89" t="s">
        <v>401</v>
      </c>
      <c r="AE89">
        <v>3.5299058190686478E-3</v>
      </c>
      <c r="AG89" t="s">
        <v>97</v>
      </c>
      <c r="AH89" t="s">
        <v>401</v>
      </c>
      <c r="AI89">
        <v>4.6894091713638453E-2</v>
      </c>
    </row>
    <row r="90" spans="9:35" x14ac:dyDescent="0.45">
      <c r="I90" t="s">
        <v>249</v>
      </c>
      <c r="J90" t="s">
        <v>402</v>
      </c>
      <c r="K90">
        <v>3.935434326233821E-4</v>
      </c>
      <c r="L90" t="s">
        <v>251</v>
      </c>
      <c r="N90" t="s">
        <v>419</v>
      </c>
      <c r="O90" t="s">
        <v>402</v>
      </c>
      <c r="P90">
        <v>2.5229958240348592E-2</v>
      </c>
      <c r="Q90" t="s">
        <v>251</v>
      </c>
      <c r="S90" t="s">
        <v>420</v>
      </c>
      <c r="T90" t="s">
        <v>402</v>
      </c>
      <c r="U90">
        <v>2.2967935906960009E-2</v>
      </c>
      <c r="V90" t="s">
        <v>251</v>
      </c>
      <c r="X90">
        <v>2.1232876712328767E-2</v>
      </c>
      <c r="Y90">
        <v>1.8702400782305319E-2</v>
      </c>
      <c r="Z90" t="s">
        <v>402</v>
      </c>
      <c r="AA90" t="s">
        <v>25</v>
      </c>
      <c r="AC90" t="s">
        <v>22</v>
      </c>
      <c r="AD90" t="s">
        <v>402</v>
      </c>
      <c r="AE90">
        <v>2.1397713812444066E-2</v>
      </c>
      <c r="AG90" t="s">
        <v>97</v>
      </c>
      <c r="AH90" t="s">
        <v>402</v>
      </c>
      <c r="AI90">
        <v>5.0407627829197166E-2</v>
      </c>
    </row>
    <row r="91" spans="9:35" x14ac:dyDescent="0.45">
      <c r="I91" t="s">
        <v>249</v>
      </c>
      <c r="J91" t="s">
        <v>403</v>
      </c>
      <c r="K91">
        <v>0</v>
      </c>
      <c r="L91" t="s">
        <v>251</v>
      </c>
      <c r="N91" t="s">
        <v>419</v>
      </c>
      <c r="O91" t="s">
        <v>403</v>
      </c>
      <c r="P91">
        <v>2.6290768194464902E-2</v>
      </c>
      <c r="Q91" t="s">
        <v>251</v>
      </c>
      <c r="S91" t="s">
        <v>420</v>
      </c>
      <c r="T91" t="s">
        <v>403</v>
      </c>
      <c r="U91">
        <v>3.1388211361776309E-2</v>
      </c>
      <c r="V91" t="s">
        <v>251</v>
      </c>
      <c r="X91">
        <v>2.0547945205479451E-2</v>
      </c>
      <c r="Y91">
        <v>4.3954951147353507E-3</v>
      </c>
      <c r="Z91" t="s">
        <v>403</v>
      </c>
      <c r="AA91" t="s">
        <v>25</v>
      </c>
      <c r="AC91" t="s">
        <v>22</v>
      </c>
      <c r="AD91" t="s">
        <v>403</v>
      </c>
      <c r="AE91">
        <v>2.135735561039645E-2</v>
      </c>
      <c r="AG91" t="s">
        <v>97</v>
      </c>
      <c r="AH91" t="s">
        <v>403</v>
      </c>
      <c r="AI91">
        <v>0.16590715241750775</v>
      </c>
    </row>
    <row r="92" spans="9:35" x14ac:dyDescent="0.45">
      <c r="I92" t="s">
        <v>249</v>
      </c>
      <c r="J92" t="s">
        <v>404</v>
      </c>
      <c r="K92">
        <v>0</v>
      </c>
      <c r="L92" t="s">
        <v>251</v>
      </c>
      <c r="N92" t="s">
        <v>419</v>
      </c>
      <c r="O92" t="s">
        <v>404</v>
      </c>
      <c r="P92">
        <v>4.2231595671420388E-3</v>
      </c>
      <c r="Q92" t="s">
        <v>251</v>
      </c>
      <c r="S92" t="s">
        <v>420</v>
      </c>
      <c r="T92" t="s">
        <v>404</v>
      </c>
      <c r="U92">
        <v>4.8432276859190137E-3</v>
      </c>
      <c r="V92" t="s">
        <v>251</v>
      </c>
      <c r="X92">
        <v>3.4246575342465752E-3</v>
      </c>
      <c r="Y92">
        <v>5.0717251323869452E-3</v>
      </c>
      <c r="Z92" t="s">
        <v>404</v>
      </c>
      <c r="AA92" t="s">
        <v>25</v>
      </c>
      <c r="AC92" t="s">
        <v>22</v>
      </c>
      <c r="AD92" t="s">
        <v>404</v>
      </c>
      <c r="AE92">
        <v>2.7805928433539532E-3</v>
      </c>
      <c r="AG92" t="s">
        <v>97</v>
      </c>
      <c r="AH92" t="s">
        <v>404</v>
      </c>
      <c r="AI92">
        <v>8.1331108766788285E-2</v>
      </c>
    </row>
    <row r="93" spans="9:35" x14ac:dyDescent="0.45">
      <c r="I93" t="s">
        <v>249</v>
      </c>
      <c r="J93" t="s">
        <v>405</v>
      </c>
      <c r="K93">
        <v>1.8896915844992782E-3</v>
      </c>
      <c r="L93" t="s">
        <v>251</v>
      </c>
      <c r="N93" t="s">
        <v>419</v>
      </c>
      <c r="O93" t="s">
        <v>405</v>
      </c>
      <c r="P93">
        <v>4.1383417732428884E-3</v>
      </c>
      <c r="Q93" t="s">
        <v>251</v>
      </c>
      <c r="S93" t="s">
        <v>420</v>
      </c>
      <c r="T93" t="s">
        <v>405</v>
      </c>
      <c r="U93">
        <v>4.732082844955676E-3</v>
      </c>
      <c r="V93" t="s">
        <v>251</v>
      </c>
      <c r="X93">
        <v>3.4246575342465752E-3</v>
      </c>
      <c r="Y93">
        <v>5.7181214727892006E-3</v>
      </c>
      <c r="Z93" t="s">
        <v>405</v>
      </c>
      <c r="AA93" t="s">
        <v>25</v>
      </c>
      <c r="AC93" t="s">
        <v>22</v>
      </c>
      <c r="AD93" t="s">
        <v>405</v>
      </c>
      <c r="AE93">
        <v>2.6799725250820539E-3</v>
      </c>
      <c r="AG93" t="s">
        <v>97</v>
      </c>
      <c r="AH93" t="s">
        <v>405</v>
      </c>
      <c r="AI93">
        <v>8.3802546931571076E-2</v>
      </c>
    </row>
    <row r="94" spans="9:35" x14ac:dyDescent="0.45">
      <c r="I94" t="s">
        <v>249</v>
      </c>
      <c r="J94" t="s">
        <v>406</v>
      </c>
      <c r="K94">
        <v>4.4865158665029686E-2</v>
      </c>
      <c r="L94" t="s">
        <v>251</v>
      </c>
      <c r="N94" t="s">
        <v>419</v>
      </c>
      <c r="O94" t="s">
        <v>406</v>
      </c>
      <c r="P94">
        <v>2.4027306818481448E-2</v>
      </c>
      <c r="Q94" t="s">
        <v>251</v>
      </c>
      <c r="S94" t="s">
        <v>420</v>
      </c>
      <c r="T94" t="s">
        <v>406</v>
      </c>
      <c r="U94">
        <v>3.0272452677844109E-2</v>
      </c>
      <c r="V94" t="s">
        <v>251</v>
      </c>
      <c r="X94">
        <v>2.3972602739726026E-2</v>
      </c>
      <c r="Y94">
        <v>3.0410461676155433E-2</v>
      </c>
      <c r="Z94" t="s">
        <v>406</v>
      </c>
      <c r="AA94" t="s">
        <v>25</v>
      </c>
      <c r="AC94" t="s">
        <v>22</v>
      </c>
      <c r="AD94" t="s">
        <v>406</v>
      </c>
      <c r="AE94">
        <v>2.1587464106192545E-2</v>
      </c>
      <c r="AG94" t="s">
        <v>97</v>
      </c>
      <c r="AH94" t="s">
        <v>406</v>
      </c>
      <c r="AI94">
        <v>0.32547198019413748</v>
      </c>
    </row>
    <row r="95" spans="9:35" x14ac:dyDescent="0.45">
      <c r="I95" t="s">
        <v>249</v>
      </c>
      <c r="J95" t="s">
        <v>407</v>
      </c>
      <c r="K95">
        <v>6.3172085507909861E-3</v>
      </c>
      <c r="L95" t="s">
        <v>251</v>
      </c>
      <c r="N95" t="s">
        <v>419</v>
      </c>
      <c r="O95" t="s">
        <v>407</v>
      </c>
      <c r="P95">
        <v>3.2171602602617017E-3</v>
      </c>
      <c r="Q95" t="s">
        <v>251</v>
      </c>
      <c r="S95" t="s">
        <v>420</v>
      </c>
      <c r="T95" t="s">
        <v>407</v>
      </c>
      <c r="U95">
        <v>4.3394164192400633E-3</v>
      </c>
      <c r="V95" t="s">
        <v>251</v>
      </c>
      <c r="X95">
        <v>3.4246575342465752E-3</v>
      </c>
      <c r="Y95">
        <v>5.1711707232180593E-3</v>
      </c>
      <c r="Z95" t="s">
        <v>407</v>
      </c>
      <c r="AA95" t="s">
        <v>25</v>
      </c>
      <c r="AC95" t="s">
        <v>22</v>
      </c>
      <c r="AD95" t="s">
        <v>407</v>
      </c>
      <c r="AE95">
        <v>3.7025915585158845E-3</v>
      </c>
      <c r="AG95" t="s">
        <v>97</v>
      </c>
      <c r="AH95" t="s">
        <v>407</v>
      </c>
      <c r="AI95">
        <v>8.3194700539909405E-2</v>
      </c>
    </row>
    <row r="96" spans="9:35" x14ac:dyDescent="0.45">
      <c r="I96" t="s">
        <v>249</v>
      </c>
      <c r="J96" t="s">
        <v>408</v>
      </c>
      <c r="K96">
        <v>4.8356400062868421E-3</v>
      </c>
      <c r="L96" t="s">
        <v>251</v>
      </c>
      <c r="N96" t="s">
        <v>419</v>
      </c>
      <c r="O96" t="s">
        <v>408</v>
      </c>
      <c r="P96">
        <v>3.3849627325211926E-3</v>
      </c>
      <c r="Q96" t="s">
        <v>251</v>
      </c>
      <c r="S96" t="s">
        <v>420</v>
      </c>
      <c r="T96" t="s">
        <v>408</v>
      </c>
      <c r="U96">
        <v>4.3269001474537114E-3</v>
      </c>
      <c r="V96" t="s">
        <v>251</v>
      </c>
      <c r="X96">
        <v>3.4246575342465752E-3</v>
      </c>
      <c r="Y96">
        <v>6.662854585684809E-3</v>
      </c>
      <c r="Z96" t="s">
        <v>408</v>
      </c>
      <c r="AA96" t="s">
        <v>25</v>
      </c>
      <c r="AC96" t="s">
        <v>22</v>
      </c>
      <c r="AD96" t="s">
        <v>408</v>
      </c>
      <c r="AE96">
        <v>3.5324431813771101E-3</v>
      </c>
      <c r="AG96" t="s">
        <v>97</v>
      </c>
      <c r="AH96" t="s">
        <v>408</v>
      </c>
      <c r="AI96">
        <v>7.2780637671513215E-2</v>
      </c>
    </row>
    <row r="97" spans="9:35" x14ac:dyDescent="0.45">
      <c r="I97" t="s">
        <v>249</v>
      </c>
      <c r="J97" t="s">
        <v>409</v>
      </c>
      <c r="K97">
        <v>1.7930817588130059E-3</v>
      </c>
      <c r="L97" t="s">
        <v>251</v>
      </c>
      <c r="N97" t="s">
        <v>419</v>
      </c>
      <c r="O97" t="s">
        <v>409</v>
      </c>
      <c r="P97">
        <v>3.704504599009549E-3</v>
      </c>
      <c r="Q97" t="s">
        <v>251</v>
      </c>
      <c r="S97" t="s">
        <v>420</v>
      </c>
      <c r="T97" t="s">
        <v>409</v>
      </c>
      <c r="U97">
        <v>4.5099090788113831E-3</v>
      </c>
      <c r="V97" t="s">
        <v>251</v>
      </c>
      <c r="X97">
        <v>3.4246575342465752E-3</v>
      </c>
      <c r="Y97">
        <v>6.662854585684809E-3</v>
      </c>
      <c r="Z97" t="s">
        <v>409</v>
      </c>
      <c r="AA97" t="s">
        <v>25</v>
      </c>
      <c r="AC97" t="s">
        <v>22</v>
      </c>
      <c r="AD97" t="s">
        <v>409</v>
      </c>
      <c r="AE97">
        <v>3.566564524332422E-3</v>
      </c>
      <c r="AG97" t="s">
        <v>97</v>
      </c>
      <c r="AH97" t="s">
        <v>409</v>
      </c>
      <c r="AI97">
        <v>8.7148724965787183E-2</v>
      </c>
    </row>
    <row r="98" spans="9:35" x14ac:dyDescent="0.45">
      <c r="I98" t="s">
        <v>249</v>
      </c>
      <c r="J98" t="s">
        <v>410</v>
      </c>
      <c r="K98">
        <v>0</v>
      </c>
      <c r="L98" t="s">
        <v>251</v>
      </c>
      <c r="N98" t="s">
        <v>419</v>
      </c>
      <c r="O98" t="s">
        <v>410</v>
      </c>
      <c r="P98">
        <v>2.4756115856334106E-2</v>
      </c>
      <c r="Q98" t="s">
        <v>251</v>
      </c>
      <c r="S98" t="s">
        <v>420</v>
      </c>
      <c r="T98" t="s">
        <v>410</v>
      </c>
      <c r="U98">
        <v>3.1147941723048071E-2</v>
      </c>
      <c r="V98" t="s">
        <v>251</v>
      </c>
      <c r="X98">
        <v>2.0547945205479451E-2</v>
      </c>
      <c r="Y98">
        <v>1.8099097531263209E-2</v>
      </c>
      <c r="Z98" t="s">
        <v>410</v>
      </c>
      <c r="AA98" t="s">
        <v>25</v>
      </c>
      <c r="AC98" t="s">
        <v>22</v>
      </c>
      <c r="AD98" t="s">
        <v>410</v>
      </c>
      <c r="AE98">
        <v>2.1448875071952572E-2</v>
      </c>
      <c r="AG98" t="s">
        <v>97</v>
      </c>
      <c r="AH98" t="s">
        <v>410</v>
      </c>
      <c r="AI98">
        <v>0.14052964599654549</v>
      </c>
    </row>
    <row r="99" spans="9:35" x14ac:dyDescent="0.45">
      <c r="I99" t="s">
        <v>249</v>
      </c>
      <c r="J99" t="s">
        <v>411</v>
      </c>
      <c r="K99">
        <v>0</v>
      </c>
      <c r="L99" t="s">
        <v>251</v>
      </c>
      <c r="N99" t="s">
        <v>419</v>
      </c>
      <c r="O99" t="s">
        <v>411</v>
      </c>
      <c r="P99">
        <v>2.5496793989504236E-2</v>
      </c>
      <c r="Q99" t="s">
        <v>251</v>
      </c>
      <c r="S99" t="s">
        <v>420</v>
      </c>
      <c r="T99" t="s">
        <v>411</v>
      </c>
      <c r="U99">
        <v>2.4325664483547334E-2</v>
      </c>
      <c r="V99" t="s">
        <v>251</v>
      </c>
      <c r="X99">
        <v>2.1232876712328767E-2</v>
      </c>
      <c r="Y99">
        <v>4.5420116185598634E-3</v>
      </c>
      <c r="Z99" t="s">
        <v>411</v>
      </c>
      <c r="AA99" t="s">
        <v>25</v>
      </c>
      <c r="AC99" t="s">
        <v>22</v>
      </c>
      <c r="AD99" t="s">
        <v>411</v>
      </c>
      <c r="AE99">
        <v>2.4629116939589045E-2</v>
      </c>
      <c r="AG99" t="s">
        <v>97</v>
      </c>
      <c r="AH99" t="s">
        <v>411</v>
      </c>
      <c r="AI99">
        <v>0.1481249413504333</v>
      </c>
    </row>
    <row r="100" spans="9:35" x14ac:dyDescent="0.45">
      <c r="I100" t="s">
        <v>249</v>
      </c>
      <c r="J100" t="s">
        <v>412</v>
      </c>
      <c r="K100">
        <v>0</v>
      </c>
      <c r="L100" t="s">
        <v>251</v>
      </c>
      <c r="N100" t="s">
        <v>419</v>
      </c>
      <c r="O100" t="s">
        <v>412</v>
      </c>
      <c r="P100">
        <v>4.1246423586555909E-3</v>
      </c>
      <c r="Q100" t="s">
        <v>251</v>
      </c>
      <c r="S100" t="s">
        <v>420</v>
      </c>
      <c r="T100" t="s">
        <v>412</v>
      </c>
      <c r="U100">
        <v>3.8377822201510429E-3</v>
      </c>
      <c r="V100" t="s">
        <v>251</v>
      </c>
      <c r="X100">
        <v>3.5388127853881279E-3</v>
      </c>
      <c r="Y100">
        <v>5.240782636799844E-3</v>
      </c>
      <c r="Z100" t="s">
        <v>412</v>
      </c>
      <c r="AA100" t="s">
        <v>25</v>
      </c>
      <c r="AC100" t="s">
        <v>22</v>
      </c>
      <c r="AD100" t="s">
        <v>412</v>
      </c>
      <c r="AE100">
        <v>3.2411769055468846E-3</v>
      </c>
      <c r="AG100" t="s">
        <v>97</v>
      </c>
      <c r="AH100" t="s">
        <v>412</v>
      </c>
      <c r="AI100">
        <v>5.0935213205418828E-2</v>
      </c>
    </row>
    <row r="101" spans="9:35" x14ac:dyDescent="0.45">
      <c r="I101" t="s">
        <v>249</v>
      </c>
      <c r="J101" t="s">
        <v>413</v>
      </c>
      <c r="K101">
        <v>4.242480914009414E-4</v>
      </c>
      <c r="L101" t="s">
        <v>251</v>
      </c>
      <c r="N101" t="s">
        <v>419</v>
      </c>
      <c r="O101" t="s">
        <v>413</v>
      </c>
      <c r="P101">
        <v>4.0538060849123802E-3</v>
      </c>
      <c r="Q101" t="s">
        <v>251</v>
      </c>
      <c r="S101" t="s">
        <v>420</v>
      </c>
      <c r="T101" t="s">
        <v>413</v>
      </c>
      <c r="U101">
        <v>3.8336327649822182E-3</v>
      </c>
      <c r="V101" t="s">
        <v>251</v>
      </c>
      <c r="X101">
        <v>3.5388127853881279E-3</v>
      </c>
      <c r="Y101">
        <v>5.9087255218821738E-3</v>
      </c>
      <c r="Z101" t="s">
        <v>413</v>
      </c>
      <c r="AA101" t="s">
        <v>25</v>
      </c>
      <c r="AC101" t="s">
        <v>22</v>
      </c>
      <c r="AD101" t="s">
        <v>413</v>
      </c>
      <c r="AE101">
        <v>3.1207600296067188E-3</v>
      </c>
      <c r="AG101" t="s">
        <v>97</v>
      </c>
      <c r="AH101" t="s">
        <v>413</v>
      </c>
      <c r="AI101">
        <v>5.8844990241713413E-2</v>
      </c>
    </row>
    <row r="102" spans="9:35" x14ac:dyDescent="0.45">
      <c r="I102" t="s">
        <v>249</v>
      </c>
      <c r="J102" t="s">
        <v>414</v>
      </c>
      <c r="K102">
        <v>4.7229662109685773E-2</v>
      </c>
      <c r="L102" t="s">
        <v>251</v>
      </c>
      <c r="N102" t="s">
        <v>419</v>
      </c>
      <c r="O102" t="s">
        <v>414</v>
      </c>
      <c r="P102">
        <v>2.321968723487541E-2</v>
      </c>
      <c r="Q102" t="s">
        <v>251</v>
      </c>
      <c r="S102" t="s">
        <v>420</v>
      </c>
      <c r="T102" t="s">
        <v>414</v>
      </c>
      <c r="U102">
        <v>2.7454291210554579E-2</v>
      </c>
      <c r="V102" t="s">
        <v>251</v>
      </c>
      <c r="X102">
        <v>2.4771689497716895E-2</v>
      </c>
      <c r="Y102">
        <v>3.1424143732027281E-2</v>
      </c>
      <c r="Z102" t="s">
        <v>414</v>
      </c>
      <c r="AA102" t="s">
        <v>25</v>
      </c>
      <c r="AC102" t="s">
        <v>22</v>
      </c>
      <c r="AD102" t="s">
        <v>414</v>
      </c>
      <c r="AE102">
        <v>2.4612467532539015E-2</v>
      </c>
      <c r="AG102" t="s">
        <v>97</v>
      </c>
      <c r="AH102" t="s">
        <v>414</v>
      </c>
      <c r="AI102">
        <v>0.26152286155431348</v>
      </c>
    </row>
    <row r="103" spans="9:35" x14ac:dyDescent="0.45">
      <c r="I103" t="s">
        <v>249</v>
      </c>
      <c r="J103" t="s">
        <v>415</v>
      </c>
      <c r="K103">
        <v>7.0918338165213996E-3</v>
      </c>
      <c r="L103" t="s">
        <v>251</v>
      </c>
      <c r="N103" t="s">
        <v>419</v>
      </c>
      <c r="O103" t="s">
        <v>415</v>
      </c>
      <c r="P103">
        <v>3.0354251121071461E-3</v>
      </c>
      <c r="Q103" t="s">
        <v>251</v>
      </c>
      <c r="S103" t="s">
        <v>420</v>
      </c>
      <c r="T103" t="s">
        <v>415</v>
      </c>
      <c r="U103">
        <v>4.1673853152347706E-3</v>
      </c>
      <c r="V103" t="s">
        <v>251</v>
      </c>
      <c r="X103">
        <v>3.5388127853881279E-3</v>
      </c>
      <c r="Y103">
        <v>5.3435430806586613E-3</v>
      </c>
      <c r="Z103" t="s">
        <v>415</v>
      </c>
      <c r="AA103" t="s">
        <v>25</v>
      </c>
      <c r="AC103" t="s">
        <v>22</v>
      </c>
      <c r="AD103" t="s">
        <v>415</v>
      </c>
      <c r="AE103">
        <v>4.0800799140496748E-3</v>
      </c>
      <c r="AG103" t="s">
        <v>97</v>
      </c>
      <c r="AH103" t="s">
        <v>415</v>
      </c>
      <c r="AI103">
        <v>6.2116660462306461E-2</v>
      </c>
    </row>
    <row r="104" spans="9:35" x14ac:dyDescent="0.45">
      <c r="I104" t="s">
        <v>249</v>
      </c>
      <c r="J104" t="s">
        <v>416</v>
      </c>
      <c r="K104">
        <v>5.4379791779680152E-3</v>
      </c>
      <c r="L104" t="s">
        <v>251</v>
      </c>
      <c r="N104" t="s">
        <v>419</v>
      </c>
      <c r="O104" t="s">
        <v>416</v>
      </c>
      <c r="P104">
        <v>3.2277862540783667E-3</v>
      </c>
      <c r="Q104" t="s">
        <v>251</v>
      </c>
      <c r="S104" t="s">
        <v>420</v>
      </c>
      <c r="T104" t="s">
        <v>416</v>
      </c>
      <c r="U104">
        <v>4.1590847310642035E-3</v>
      </c>
      <c r="V104" t="s">
        <v>251</v>
      </c>
      <c r="X104">
        <v>3.5388127853881279E-3</v>
      </c>
      <c r="Y104">
        <v>6.8849497385409693E-3</v>
      </c>
      <c r="Z104" t="s">
        <v>416</v>
      </c>
      <c r="AA104" t="s">
        <v>25</v>
      </c>
      <c r="AC104" t="s">
        <v>22</v>
      </c>
      <c r="AD104" t="s">
        <v>416</v>
      </c>
      <c r="AE104">
        <v>4.0871281224621313E-3</v>
      </c>
      <c r="AG104" t="s">
        <v>97</v>
      </c>
      <c r="AH104" t="s">
        <v>416</v>
      </c>
      <c r="AI104">
        <v>4.7083028720061648E-2</v>
      </c>
    </row>
    <row r="105" spans="9:35" x14ac:dyDescent="0.45">
      <c r="I105" t="s">
        <v>249</v>
      </c>
      <c r="J105" t="s">
        <v>417</v>
      </c>
      <c r="K105">
        <v>1.7189199422202423E-3</v>
      </c>
      <c r="L105" t="s">
        <v>251</v>
      </c>
      <c r="N105" t="s">
        <v>419</v>
      </c>
      <c r="O105" t="s">
        <v>417</v>
      </c>
      <c r="P105">
        <v>3.4153482552153505E-3</v>
      </c>
      <c r="Q105" t="s">
        <v>251</v>
      </c>
      <c r="S105" t="s">
        <v>420</v>
      </c>
      <c r="T105" t="s">
        <v>417</v>
      </c>
      <c r="U105">
        <v>4.2921547043580062E-3</v>
      </c>
      <c r="V105" t="s">
        <v>251</v>
      </c>
      <c r="X105">
        <v>3.5388127853881279E-3</v>
      </c>
      <c r="Y105">
        <v>6.8849497385409693E-3</v>
      </c>
      <c r="Z105" t="s">
        <v>417</v>
      </c>
      <c r="AA105" t="s">
        <v>25</v>
      </c>
      <c r="AC105" t="s">
        <v>22</v>
      </c>
      <c r="AD105" t="s">
        <v>417</v>
      </c>
      <c r="AE105">
        <v>4.1620705948091077E-3</v>
      </c>
      <c r="AG105" t="s">
        <v>97</v>
      </c>
      <c r="AH105" t="s">
        <v>417</v>
      </c>
      <c r="AI105">
        <v>5.3418938222020707E-2</v>
      </c>
    </row>
    <row r="106" spans="9:35" x14ac:dyDescent="0.45">
      <c r="I106" t="s">
        <v>249</v>
      </c>
      <c r="J106" t="s">
        <v>418</v>
      </c>
      <c r="K106">
        <v>0</v>
      </c>
      <c r="L106" t="s">
        <v>251</v>
      </c>
      <c r="N106" t="s">
        <v>419</v>
      </c>
      <c r="O106" t="s">
        <v>418</v>
      </c>
      <c r="P106">
        <v>2.3247680365130773E-2</v>
      </c>
      <c r="Q106" t="s">
        <v>251</v>
      </c>
      <c r="S106" t="s">
        <v>420</v>
      </c>
      <c r="T106" t="s">
        <v>418</v>
      </c>
      <c r="U106">
        <v>2.7169243077500283E-2</v>
      </c>
      <c r="V106" t="s">
        <v>251</v>
      </c>
      <c r="X106">
        <v>2.1232876712328767E-2</v>
      </c>
      <c r="Y106">
        <v>1.8702400782305319E-2</v>
      </c>
      <c r="Z106" t="s">
        <v>418</v>
      </c>
      <c r="AA106" t="s">
        <v>25</v>
      </c>
      <c r="AC106" t="s">
        <v>22</v>
      </c>
      <c r="AD106" t="s">
        <v>418</v>
      </c>
      <c r="AE106">
        <v>2.5585407206910538E-2</v>
      </c>
      <c r="AG106" t="s">
        <v>97</v>
      </c>
      <c r="AH106" t="s">
        <v>418</v>
      </c>
      <c r="AI106">
        <v>0.10840364341062592</v>
      </c>
    </row>
    <row r="107" spans="9:35" x14ac:dyDescent="0.45">
      <c r="AC107" t="s">
        <v>19</v>
      </c>
      <c r="AD107" t="s">
        <v>250</v>
      </c>
      <c r="AE107">
        <v>2.1374482737781916E-2</v>
      </c>
    </row>
    <row r="108" spans="9:35" x14ac:dyDescent="0.45">
      <c r="AC108" t="s">
        <v>19</v>
      </c>
      <c r="AD108" t="s">
        <v>252</v>
      </c>
      <c r="AE108">
        <v>3.485168226884158E-3</v>
      </c>
    </row>
    <row r="109" spans="9:35" x14ac:dyDescent="0.45">
      <c r="AC109" t="s">
        <v>19</v>
      </c>
      <c r="AD109" t="s">
        <v>253</v>
      </c>
      <c r="AE109">
        <v>3.4724734662795196E-3</v>
      </c>
    </row>
    <row r="110" spans="9:35" x14ac:dyDescent="0.45">
      <c r="AC110" t="s">
        <v>19</v>
      </c>
      <c r="AD110" t="s">
        <v>254</v>
      </c>
      <c r="AE110">
        <v>2.4571821931557183E-2</v>
      </c>
    </row>
    <row r="111" spans="9:35" x14ac:dyDescent="0.45">
      <c r="AC111" t="s">
        <v>19</v>
      </c>
      <c r="AD111" t="s">
        <v>255</v>
      </c>
      <c r="AE111">
        <v>3.5616006831969537E-3</v>
      </c>
    </row>
    <row r="112" spans="9:35" x14ac:dyDescent="0.45">
      <c r="AC112" t="s">
        <v>19</v>
      </c>
      <c r="AD112" t="s">
        <v>256</v>
      </c>
      <c r="AE112">
        <v>3.5590811445633131E-3</v>
      </c>
    </row>
    <row r="113" spans="29:31" x14ac:dyDescent="0.45">
      <c r="AC113" t="s">
        <v>19</v>
      </c>
      <c r="AD113" t="s">
        <v>257</v>
      </c>
      <c r="AE113">
        <v>3.5638648660911904E-3</v>
      </c>
    </row>
    <row r="114" spans="29:31" x14ac:dyDescent="0.45">
      <c r="AC114" t="s">
        <v>19</v>
      </c>
      <c r="AD114" t="s">
        <v>258</v>
      </c>
      <c r="AE114">
        <v>2.1434813181539874E-2</v>
      </c>
    </row>
    <row r="115" spans="29:31" x14ac:dyDescent="0.45">
      <c r="AC115" t="s">
        <v>19</v>
      </c>
      <c r="AD115" t="s">
        <v>259</v>
      </c>
      <c r="AE115">
        <v>1.9307227285069097E-2</v>
      </c>
    </row>
    <row r="116" spans="29:31" x14ac:dyDescent="0.45">
      <c r="AC116" t="s">
        <v>19</v>
      </c>
      <c r="AD116" t="s">
        <v>260</v>
      </c>
      <c r="AE116">
        <v>3.1492536900016872E-3</v>
      </c>
    </row>
    <row r="117" spans="29:31" x14ac:dyDescent="0.45">
      <c r="AC117" t="s">
        <v>19</v>
      </c>
      <c r="AD117" t="s">
        <v>261</v>
      </c>
      <c r="AE117">
        <v>3.1403516556196263E-3</v>
      </c>
    </row>
    <row r="118" spans="29:31" x14ac:dyDescent="0.45">
      <c r="AC118" t="s">
        <v>19</v>
      </c>
      <c r="AD118" t="s">
        <v>262</v>
      </c>
      <c r="AE118">
        <v>2.2194600020251681E-2</v>
      </c>
    </row>
    <row r="119" spans="29:31" x14ac:dyDescent="0.45">
      <c r="AC119" t="s">
        <v>19</v>
      </c>
      <c r="AD119" t="s">
        <v>263</v>
      </c>
      <c r="AE119">
        <v>3.2111912728966245E-3</v>
      </c>
    </row>
    <row r="120" spans="29:31" x14ac:dyDescent="0.45">
      <c r="AC120" t="s">
        <v>19</v>
      </c>
      <c r="AD120" t="s">
        <v>264</v>
      </c>
      <c r="AE120">
        <v>3.2131361697261313E-3</v>
      </c>
    </row>
    <row r="121" spans="29:31" x14ac:dyDescent="0.45">
      <c r="AC121" t="s">
        <v>19</v>
      </c>
      <c r="AD121" t="s">
        <v>265</v>
      </c>
      <c r="AE121">
        <v>3.2176122386591744E-3</v>
      </c>
    </row>
    <row r="122" spans="29:31" x14ac:dyDescent="0.45">
      <c r="AC122" t="s">
        <v>19</v>
      </c>
      <c r="AD122" t="s">
        <v>266</v>
      </c>
      <c r="AE122">
        <v>1.9353151170863662E-2</v>
      </c>
    </row>
    <row r="123" spans="29:31" x14ac:dyDescent="0.45">
      <c r="AC123" t="s">
        <v>19</v>
      </c>
      <c r="AD123" t="s">
        <v>267</v>
      </c>
      <c r="AE123">
        <v>2.1290058222585766E-2</v>
      </c>
    </row>
    <row r="124" spans="29:31" x14ac:dyDescent="0.45">
      <c r="AC124" t="s">
        <v>19</v>
      </c>
      <c r="AD124" t="s">
        <v>268</v>
      </c>
      <c r="AE124">
        <v>3.4778004388648837E-3</v>
      </c>
    </row>
    <row r="125" spans="29:31" x14ac:dyDescent="0.45">
      <c r="AC125" t="s">
        <v>19</v>
      </c>
      <c r="AD125" t="s">
        <v>269</v>
      </c>
      <c r="AE125">
        <v>3.4715970469441268E-3</v>
      </c>
    </row>
    <row r="126" spans="29:31" x14ac:dyDescent="0.45">
      <c r="AC126" t="s">
        <v>19</v>
      </c>
      <c r="AD126" t="s">
        <v>270</v>
      </c>
      <c r="AE126">
        <v>2.4634624229355605E-2</v>
      </c>
    </row>
    <row r="127" spans="29:31" x14ac:dyDescent="0.45">
      <c r="AC127" t="s">
        <v>19</v>
      </c>
      <c r="AD127" t="s">
        <v>271</v>
      </c>
      <c r="AE127">
        <v>3.5563084696348369E-3</v>
      </c>
    </row>
    <row r="128" spans="29:31" x14ac:dyDescent="0.45">
      <c r="AC128" t="s">
        <v>19</v>
      </c>
      <c r="AD128" t="s">
        <v>272</v>
      </c>
      <c r="AE128">
        <v>3.5612535544863764E-3</v>
      </c>
    </row>
    <row r="129" spans="29:31" x14ac:dyDescent="0.45">
      <c r="AC129" t="s">
        <v>19</v>
      </c>
      <c r="AD129" t="s">
        <v>273</v>
      </c>
      <c r="AE129">
        <v>3.5630902880005818E-3</v>
      </c>
    </row>
    <row r="130" spans="29:31" x14ac:dyDescent="0.45">
      <c r="AC130" t="s">
        <v>19</v>
      </c>
      <c r="AD130" t="s">
        <v>274</v>
      </c>
      <c r="AE130">
        <v>2.1399527217477787E-2</v>
      </c>
    </row>
    <row r="131" spans="29:31" x14ac:dyDescent="0.45">
      <c r="AC131" t="s">
        <v>19</v>
      </c>
      <c r="AD131" t="s">
        <v>299</v>
      </c>
      <c r="AE131">
        <v>2.0544805611545983E-2</v>
      </c>
    </row>
    <row r="132" spans="29:31" x14ac:dyDescent="0.45">
      <c r="AC132" t="s">
        <v>19</v>
      </c>
      <c r="AD132" t="s">
        <v>300</v>
      </c>
      <c r="AE132">
        <v>3.3706895093697778E-3</v>
      </c>
    </row>
    <row r="133" spans="29:31" x14ac:dyDescent="0.45">
      <c r="AC133" t="s">
        <v>19</v>
      </c>
      <c r="AD133" t="s">
        <v>301</v>
      </c>
      <c r="AE133">
        <v>3.3652314981643863E-3</v>
      </c>
    </row>
    <row r="134" spans="29:31" x14ac:dyDescent="0.45">
      <c r="AC134" t="s">
        <v>19</v>
      </c>
      <c r="AD134" t="s">
        <v>302</v>
      </c>
      <c r="AE134">
        <v>2.3891737339009008E-2</v>
      </c>
    </row>
    <row r="135" spans="29:31" x14ac:dyDescent="0.45">
      <c r="AC135" t="s">
        <v>19</v>
      </c>
      <c r="AD135" t="s">
        <v>303</v>
      </c>
      <c r="AE135">
        <v>3.4397409913617121E-3</v>
      </c>
    </row>
    <row r="136" spans="29:31" x14ac:dyDescent="0.45">
      <c r="AC136" t="s">
        <v>19</v>
      </c>
      <c r="AD136" t="s">
        <v>304</v>
      </c>
      <c r="AE136">
        <v>3.444651691890952E-3</v>
      </c>
    </row>
    <row r="137" spans="29:31" x14ac:dyDescent="0.45">
      <c r="AC137" t="s">
        <v>19</v>
      </c>
      <c r="AD137" t="s">
        <v>305</v>
      </c>
      <c r="AE137">
        <v>3.4408199580632137E-3</v>
      </c>
    </row>
    <row r="138" spans="29:31" x14ac:dyDescent="0.45">
      <c r="AC138" t="s">
        <v>19</v>
      </c>
      <c r="AD138" t="s">
        <v>306</v>
      </c>
      <c r="AE138">
        <v>2.0662350750472003E-2</v>
      </c>
    </row>
    <row r="139" spans="29:31" x14ac:dyDescent="0.45">
      <c r="AC139" t="s">
        <v>19</v>
      </c>
      <c r="AD139" t="s">
        <v>331</v>
      </c>
      <c r="AE139">
        <v>2.1223441092015214E-2</v>
      </c>
    </row>
    <row r="140" spans="29:31" x14ac:dyDescent="0.45">
      <c r="AC140" t="s">
        <v>19</v>
      </c>
      <c r="AD140" t="s">
        <v>332</v>
      </c>
      <c r="AE140">
        <v>3.4859661544347823E-3</v>
      </c>
    </row>
    <row r="141" spans="29:31" x14ac:dyDescent="0.45">
      <c r="AC141" t="s">
        <v>19</v>
      </c>
      <c r="AD141" t="s">
        <v>333</v>
      </c>
      <c r="AE141">
        <v>3.4797166372036231E-3</v>
      </c>
    </row>
    <row r="142" spans="29:31" x14ac:dyDescent="0.45">
      <c r="AC142" t="s">
        <v>19</v>
      </c>
      <c r="AD142" t="s">
        <v>334</v>
      </c>
      <c r="AE142">
        <v>2.4648746678792133E-2</v>
      </c>
    </row>
    <row r="143" spans="29:31" x14ac:dyDescent="0.45">
      <c r="AC143" t="s">
        <v>19</v>
      </c>
      <c r="AD143" t="s">
        <v>335</v>
      </c>
      <c r="AE143">
        <v>3.5570609124147721E-3</v>
      </c>
    </row>
    <row r="144" spans="29:31" x14ac:dyDescent="0.45">
      <c r="AC144" t="s">
        <v>19</v>
      </c>
      <c r="AD144" t="s">
        <v>336</v>
      </c>
      <c r="AE144">
        <v>3.5576787120268202E-3</v>
      </c>
    </row>
    <row r="145" spans="29:31" x14ac:dyDescent="0.45">
      <c r="AC145" t="s">
        <v>19</v>
      </c>
      <c r="AD145" t="s">
        <v>337</v>
      </c>
      <c r="AE145">
        <v>3.5581197947153805E-3</v>
      </c>
    </row>
    <row r="146" spans="29:31" x14ac:dyDescent="0.45">
      <c r="AC146" t="s">
        <v>19</v>
      </c>
      <c r="AD146" t="s">
        <v>338</v>
      </c>
      <c r="AE146">
        <v>2.137079864257883E-2</v>
      </c>
    </row>
    <row r="147" spans="29:31" x14ac:dyDescent="0.45">
      <c r="AC147" t="s">
        <v>19</v>
      </c>
      <c r="AD147" t="s">
        <v>339</v>
      </c>
      <c r="AE147">
        <v>2.0548453822010204E-2</v>
      </c>
    </row>
    <row r="148" spans="29:31" x14ac:dyDescent="0.45">
      <c r="AC148" t="s">
        <v>19</v>
      </c>
      <c r="AD148" t="s">
        <v>340</v>
      </c>
      <c r="AE148">
        <v>3.379574715271021E-3</v>
      </c>
    </row>
    <row r="149" spans="29:31" x14ac:dyDescent="0.45">
      <c r="AC149" t="s">
        <v>19</v>
      </c>
      <c r="AD149" t="s">
        <v>341</v>
      </c>
      <c r="AE149">
        <v>3.3722211580927064E-3</v>
      </c>
    </row>
    <row r="150" spans="29:31" x14ac:dyDescent="0.45">
      <c r="AC150" t="s">
        <v>19</v>
      </c>
      <c r="AD150" t="s">
        <v>342</v>
      </c>
      <c r="AE150">
        <v>2.3827821977797994E-2</v>
      </c>
    </row>
    <row r="151" spans="29:31" x14ac:dyDescent="0.45">
      <c r="AC151" t="s">
        <v>19</v>
      </c>
      <c r="AD151" t="s">
        <v>343</v>
      </c>
      <c r="AE151">
        <v>3.4402832575524313E-3</v>
      </c>
    </row>
    <row r="152" spans="29:31" x14ac:dyDescent="0.45">
      <c r="AC152" t="s">
        <v>19</v>
      </c>
      <c r="AD152" t="s">
        <v>344</v>
      </c>
      <c r="AE152">
        <v>3.44164882478402E-3</v>
      </c>
    </row>
    <row r="153" spans="29:31" x14ac:dyDescent="0.45">
      <c r="AC153" t="s">
        <v>19</v>
      </c>
      <c r="AD153" t="s">
        <v>345</v>
      </c>
      <c r="AE153">
        <v>3.443684079913903E-3</v>
      </c>
    </row>
    <row r="154" spans="29:31" x14ac:dyDescent="0.45">
      <c r="AC154" t="s">
        <v>19</v>
      </c>
      <c r="AD154" t="s">
        <v>346</v>
      </c>
      <c r="AE154">
        <v>2.0692724073301229E-2</v>
      </c>
    </row>
    <row r="155" spans="29:31" x14ac:dyDescent="0.45">
      <c r="AC155" t="s">
        <v>19</v>
      </c>
      <c r="AD155" t="s">
        <v>347</v>
      </c>
      <c r="AE155">
        <v>2.1239478364632636E-2</v>
      </c>
    </row>
    <row r="156" spans="29:31" x14ac:dyDescent="0.45">
      <c r="AC156" t="s">
        <v>19</v>
      </c>
      <c r="AD156" t="s">
        <v>348</v>
      </c>
      <c r="AE156">
        <v>3.4901148460204979E-3</v>
      </c>
    </row>
    <row r="157" spans="29:31" x14ac:dyDescent="0.45">
      <c r="AC157" t="s">
        <v>19</v>
      </c>
      <c r="AD157" t="s">
        <v>349</v>
      </c>
      <c r="AE157">
        <v>3.4806753711336021E-3</v>
      </c>
    </row>
    <row r="158" spans="29:31" x14ac:dyDescent="0.45">
      <c r="AC158" t="s">
        <v>19</v>
      </c>
      <c r="AD158" t="s">
        <v>350</v>
      </c>
      <c r="AE158">
        <v>2.4573462626051094E-2</v>
      </c>
    </row>
    <row r="159" spans="29:31" x14ac:dyDescent="0.45">
      <c r="AC159" t="s">
        <v>19</v>
      </c>
      <c r="AD159" t="s">
        <v>351</v>
      </c>
      <c r="AE159">
        <v>3.557426769452868E-3</v>
      </c>
    </row>
    <row r="160" spans="29:31" x14ac:dyDescent="0.45">
      <c r="AC160" t="s">
        <v>19</v>
      </c>
      <c r="AD160" t="s">
        <v>352</v>
      </c>
      <c r="AE160">
        <v>3.5620926725305397E-3</v>
      </c>
    </row>
    <row r="161" spans="29:31" x14ac:dyDescent="0.45">
      <c r="AC161" t="s">
        <v>19</v>
      </c>
      <c r="AD161" t="s">
        <v>353</v>
      </c>
      <c r="AE161">
        <v>3.5667831327664762E-3</v>
      </c>
    </row>
    <row r="162" spans="29:31" x14ac:dyDescent="0.45">
      <c r="AC162" t="s">
        <v>19</v>
      </c>
      <c r="AD162" t="s">
        <v>354</v>
      </c>
      <c r="AE162">
        <v>2.145256291275302E-2</v>
      </c>
    </row>
    <row r="163" spans="29:31" x14ac:dyDescent="0.45">
      <c r="AC163" t="s">
        <v>19</v>
      </c>
      <c r="AD163" t="s">
        <v>355</v>
      </c>
      <c r="AE163">
        <v>2.1237807807494583E-2</v>
      </c>
    </row>
    <row r="164" spans="29:31" x14ac:dyDescent="0.45">
      <c r="AC164" t="s">
        <v>19</v>
      </c>
      <c r="AD164" t="s">
        <v>356</v>
      </c>
      <c r="AE164">
        <v>3.4888832171749555E-3</v>
      </c>
    </row>
    <row r="165" spans="29:31" x14ac:dyDescent="0.45">
      <c r="AC165" t="s">
        <v>19</v>
      </c>
      <c r="AD165" t="s">
        <v>357</v>
      </c>
      <c r="AE165">
        <v>3.4800252222500988E-3</v>
      </c>
    </row>
    <row r="166" spans="29:31" x14ac:dyDescent="0.45">
      <c r="AC166" t="s">
        <v>19</v>
      </c>
      <c r="AD166" t="s">
        <v>358</v>
      </c>
      <c r="AE166">
        <v>2.458106701164595E-2</v>
      </c>
    </row>
    <row r="167" spans="29:31" x14ac:dyDescent="0.45">
      <c r="AC167" t="s">
        <v>19</v>
      </c>
      <c r="AD167" t="s">
        <v>359</v>
      </c>
      <c r="AE167">
        <v>3.5565696910299731E-3</v>
      </c>
    </row>
    <row r="168" spans="29:31" x14ac:dyDescent="0.45">
      <c r="AC168" t="s">
        <v>19</v>
      </c>
      <c r="AD168" t="s">
        <v>360</v>
      </c>
      <c r="AE168">
        <v>3.5593149318817849E-3</v>
      </c>
    </row>
    <row r="169" spans="29:31" x14ac:dyDescent="0.45">
      <c r="AC169" t="s">
        <v>19</v>
      </c>
      <c r="AD169" t="s">
        <v>361</v>
      </c>
      <c r="AE169">
        <v>3.562844862105099E-3</v>
      </c>
    </row>
    <row r="170" spans="29:31" x14ac:dyDescent="0.45">
      <c r="AC170" t="s">
        <v>19</v>
      </c>
      <c r="AD170" t="s">
        <v>362</v>
      </c>
      <c r="AE170">
        <v>2.1438247074888759E-2</v>
      </c>
    </row>
    <row r="171" spans="29:31" x14ac:dyDescent="0.45">
      <c r="AC171" t="s">
        <v>19</v>
      </c>
      <c r="AD171" t="s">
        <v>363</v>
      </c>
      <c r="AE171">
        <v>2.0537094018741476E-2</v>
      </c>
    </row>
    <row r="172" spans="29:31" x14ac:dyDescent="0.45">
      <c r="AC172" t="s">
        <v>19</v>
      </c>
      <c r="AD172" t="s">
        <v>364</v>
      </c>
      <c r="AE172">
        <v>3.374769567246244E-3</v>
      </c>
    </row>
    <row r="173" spans="29:31" x14ac:dyDescent="0.45">
      <c r="AC173" t="s">
        <v>19</v>
      </c>
      <c r="AD173" t="s">
        <v>365</v>
      </c>
      <c r="AE173">
        <v>3.3675968986978124E-3</v>
      </c>
    </row>
    <row r="174" spans="29:31" x14ac:dyDescent="0.45">
      <c r="AC174" t="s">
        <v>19</v>
      </c>
      <c r="AD174" t="s">
        <v>366</v>
      </c>
      <c r="AE174">
        <v>2.3812222120691923E-2</v>
      </c>
    </row>
    <row r="175" spans="29:31" x14ac:dyDescent="0.45">
      <c r="AC175" t="s">
        <v>19</v>
      </c>
      <c r="AD175" t="s">
        <v>367</v>
      </c>
      <c r="AE175">
        <v>3.4430888287512351E-3</v>
      </c>
    </row>
    <row r="176" spans="29:31" x14ac:dyDescent="0.45">
      <c r="AC176" t="s">
        <v>19</v>
      </c>
      <c r="AD176" t="s">
        <v>368</v>
      </c>
      <c r="AE176">
        <v>3.4453248848827652E-3</v>
      </c>
    </row>
    <row r="177" spans="29:31" x14ac:dyDescent="0.45">
      <c r="AC177" t="s">
        <v>19</v>
      </c>
      <c r="AD177" t="s">
        <v>369</v>
      </c>
      <c r="AE177">
        <v>3.4476617070770192E-3</v>
      </c>
    </row>
    <row r="178" spans="29:31" x14ac:dyDescent="0.45">
      <c r="AC178" t="s">
        <v>19</v>
      </c>
      <c r="AD178" t="s">
        <v>370</v>
      </c>
      <c r="AE178">
        <v>2.0729579132258261E-2</v>
      </c>
    </row>
    <row r="179" spans="29:31" x14ac:dyDescent="0.45">
      <c r="AC179" t="s">
        <v>19</v>
      </c>
      <c r="AD179" t="s">
        <v>395</v>
      </c>
      <c r="AE179">
        <v>2.1225495681068917E-2</v>
      </c>
    </row>
    <row r="180" spans="29:31" x14ac:dyDescent="0.45">
      <c r="AC180" t="s">
        <v>19</v>
      </c>
      <c r="AD180" t="s">
        <v>396</v>
      </c>
      <c r="AE180">
        <v>3.4856379841406849E-3</v>
      </c>
    </row>
    <row r="181" spans="29:31" x14ac:dyDescent="0.45">
      <c r="AC181" t="s">
        <v>19</v>
      </c>
      <c r="AD181" t="s">
        <v>397</v>
      </c>
      <c r="AE181">
        <v>3.4796871739896157E-3</v>
      </c>
    </row>
    <row r="182" spans="29:31" x14ac:dyDescent="0.45">
      <c r="AC182" t="s">
        <v>19</v>
      </c>
      <c r="AD182" t="s">
        <v>398</v>
      </c>
      <c r="AE182">
        <v>2.4670641018587115E-2</v>
      </c>
    </row>
    <row r="183" spans="29:31" x14ac:dyDescent="0.45">
      <c r="AC183" t="s">
        <v>19</v>
      </c>
      <c r="AD183" t="s">
        <v>399</v>
      </c>
      <c r="AE183">
        <v>3.5550115906779894E-3</v>
      </c>
    </row>
    <row r="184" spans="29:31" x14ac:dyDescent="0.45">
      <c r="AC184" t="s">
        <v>19</v>
      </c>
      <c r="AD184" t="s">
        <v>400</v>
      </c>
      <c r="AE184">
        <v>3.5566551139758961E-3</v>
      </c>
    </row>
    <row r="185" spans="29:31" x14ac:dyDescent="0.45">
      <c r="AC185" t="s">
        <v>19</v>
      </c>
      <c r="AD185" t="s">
        <v>401</v>
      </c>
      <c r="AE185">
        <v>3.5562127625725043E-3</v>
      </c>
    </row>
    <row r="186" spans="29:31" x14ac:dyDescent="0.45">
      <c r="AC186" t="s">
        <v>19</v>
      </c>
      <c r="AD186" t="s">
        <v>402</v>
      </c>
      <c r="AE186">
        <v>2.1354870446106289E-2</v>
      </c>
    </row>
    <row r="187" spans="29:31" x14ac:dyDescent="0.45">
      <c r="AC187" t="s">
        <v>19</v>
      </c>
      <c r="AD187" t="s">
        <v>403</v>
      </c>
      <c r="AE187">
        <v>2.0641099640495167E-2</v>
      </c>
    </row>
    <row r="188" spans="29:31" x14ac:dyDescent="0.45">
      <c r="AC188" t="s">
        <v>19</v>
      </c>
      <c r="AD188" t="s">
        <v>404</v>
      </c>
      <c r="AE188">
        <v>3.3773964687221409E-3</v>
      </c>
    </row>
    <row r="189" spans="29:31" x14ac:dyDescent="0.45">
      <c r="AC189" t="s">
        <v>19</v>
      </c>
      <c r="AD189" t="s">
        <v>405</v>
      </c>
      <c r="AE189">
        <v>3.3692861984095418E-3</v>
      </c>
    </row>
    <row r="190" spans="29:31" x14ac:dyDescent="0.45">
      <c r="AC190" t="s">
        <v>19</v>
      </c>
      <c r="AD190" t="s">
        <v>406</v>
      </c>
      <c r="AE190">
        <v>2.3812920159528385E-2</v>
      </c>
    </row>
    <row r="191" spans="29:31" x14ac:dyDescent="0.45">
      <c r="AC191" t="s">
        <v>19</v>
      </c>
      <c r="AD191" t="s">
        <v>407</v>
      </c>
      <c r="AE191">
        <v>3.4517120635866503E-3</v>
      </c>
    </row>
    <row r="192" spans="29:31" x14ac:dyDescent="0.45">
      <c r="AC192" t="s">
        <v>19</v>
      </c>
      <c r="AD192" t="s">
        <v>408</v>
      </c>
      <c r="AE192">
        <v>3.4379976433229751E-3</v>
      </c>
    </row>
    <row r="193" spans="29:31" x14ac:dyDescent="0.45">
      <c r="AC193" t="s">
        <v>19</v>
      </c>
      <c r="AD193" t="s">
        <v>409</v>
      </c>
      <c r="AE193">
        <v>3.4407479160268313E-3</v>
      </c>
    </row>
    <row r="194" spans="29:31" x14ac:dyDescent="0.45">
      <c r="AC194" t="s">
        <v>19</v>
      </c>
      <c r="AD194" t="s">
        <v>410</v>
      </c>
      <c r="AE194">
        <v>2.0648476357095068E-2</v>
      </c>
    </row>
    <row r="195" spans="29:31" x14ac:dyDescent="0.45">
      <c r="AC195" t="s">
        <v>19</v>
      </c>
      <c r="AD195" t="s">
        <v>411</v>
      </c>
      <c r="AE195">
        <v>2.1350568589997714E-2</v>
      </c>
    </row>
    <row r="196" spans="29:31" x14ac:dyDescent="0.45">
      <c r="AC196" t="s">
        <v>19</v>
      </c>
      <c r="AD196" t="s">
        <v>412</v>
      </c>
      <c r="AE196">
        <v>3.4888134789849336E-3</v>
      </c>
    </row>
    <row r="197" spans="29:31" x14ac:dyDescent="0.45">
      <c r="AC197" t="s">
        <v>19</v>
      </c>
      <c r="AD197" t="s">
        <v>413</v>
      </c>
      <c r="AE197">
        <v>3.4791075524797672E-3</v>
      </c>
    </row>
    <row r="198" spans="29:31" x14ac:dyDescent="0.45">
      <c r="AC198" t="s">
        <v>19</v>
      </c>
      <c r="AD198" t="s">
        <v>414</v>
      </c>
      <c r="AE198">
        <v>2.4576792440163732E-2</v>
      </c>
    </row>
    <row r="199" spans="29:31" x14ac:dyDescent="0.45">
      <c r="AC199" t="s">
        <v>19</v>
      </c>
      <c r="AD199" t="s">
        <v>415</v>
      </c>
      <c r="AE199">
        <v>3.5564313347208405E-3</v>
      </c>
    </row>
    <row r="200" spans="29:31" x14ac:dyDescent="0.45">
      <c r="AC200" t="s">
        <v>19</v>
      </c>
      <c r="AD200" t="s">
        <v>416</v>
      </c>
      <c r="AE200">
        <v>3.5569994394180453E-3</v>
      </c>
    </row>
    <row r="201" spans="29:31" x14ac:dyDescent="0.45">
      <c r="AC201" t="s">
        <v>19</v>
      </c>
      <c r="AD201" t="s">
        <v>417</v>
      </c>
      <c r="AE201">
        <v>3.5630400057675383E-3</v>
      </c>
    </row>
    <row r="202" spans="29:31" x14ac:dyDescent="0.45">
      <c r="AC202" t="s">
        <v>19</v>
      </c>
      <c r="AD202" t="s">
        <v>418</v>
      </c>
      <c r="AE202">
        <v>2.1427648176889174E-2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6E1D3D-6D80-485C-9FE0-46822F873061}">
  <dimension ref="A9:AN1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107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248</v>
      </c>
      <c r="L10" t="s">
        <v>30</v>
      </c>
      <c r="N10" t="s">
        <v>13</v>
      </c>
      <c r="O10" t="s">
        <v>122</v>
      </c>
      <c r="P10" t="s">
        <v>248</v>
      </c>
      <c r="Q10" t="s">
        <v>30</v>
      </c>
      <c r="S10" t="s">
        <v>13</v>
      </c>
      <c r="T10" t="s">
        <v>122</v>
      </c>
      <c r="U10" t="s">
        <v>248</v>
      </c>
      <c r="V10" t="s">
        <v>30</v>
      </c>
      <c r="X10" t="s">
        <v>421</v>
      </c>
      <c r="Y10" t="s">
        <v>248</v>
      </c>
      <c r="Z10" t="s">
        <v>122</v>
      </c>
      <c r="AA10" t="s">
        <v>13</v>
      </c>
      <c r="AC10" t="s">
        <v>13</v>
      </c>
      <c r="AD10" t="s">
        <v>122</v>
      </c>
      <c r="AE10" t="s">
        <v>248</v>
      </c>
      <c r="AG10" t="s">
        <v>13</v>
      </c>
      <c r="AH10" t="s">
        <v>122</v>
      </c>
      <c r="AI10" t="s">
        <v>427</v>
      </c>
      <c r="AK10" t="s">
        <v>47</v>
      </c>
      <c r="AL10" t="s">
        <v>122</v>
      </c>
      <c r="AM10" t="s">
        <v>428</v>
      </c>
      <c r="AN10" t="s">
        <v>429</v>
      </c>
    </row>
    <row r="11" spans="1:40" x14ac:dyDescent="0.45">
      <c r="A11" t="str">
        <f>IFERROR(IF(Veda!D5=A10,"ok","x"),"")</f>
        <v>ok</v>
      </c>
      <c r="C11" t="s">
        <v>2122</v>
      </c>
      <c r="D11" t="s">
        <v>152</v>
      </c>
      <c r="E11" t="s">
        <v>2123</v>
      </c>
      <c r="F11" t="s">
        <v>2122</v>
      </c>
      <c r="G11" t="s">
        <v>152</v>
      </c>
      <c r="I11" t="s">
        <v>249</v>
      </c>
      <c r="J11" t="s">
        <v>2124</v>
      </c>
      <c r="K11">
        <v>0.99999999999980071</v>
      </c>
      <c r="L11" t="s">
        <v>251</v>
      </c>
      <c r="N11" t="s">
        <v>419</v>
      </c>
      <c r="O11" t="s">
        <v>2124</v>
      </c>
      <c r="P11">
        <v>0.99999999999974509</v>
      </c>
      <c r="Q11" t="s">
        <v>251</v>
      </c>
      <c r="S11" t="s">
        <v>420</v>
      </c>
      <c r="T11" t="s">
        <v>2124</v>
      </c>
      <c r="U11">
        <v>0.9999999999997673</v>
      </c>
      <c r="V11" t="s">
        <v>251</v>
      </c>
      <c r="X11">
        <v>1</v>
      </c>
      <c r="Y11">
        <v>1.0000000000000002</v>
      </c>
      <c r="Z11" t="s">
        <v>2124</v>
      </c>
      <c r="AA11" t="s">
        <v>25</v>
      </c>
      <c r="AC11" t="s">
        <v>22</v>
      </c>
      <c r="AD11" t="s">
        <v>2124</v>
      </c>
      <c r="AE11">
        <v>1</v>
      </c>
      <c r="AG11" t="s">
        <v>97</v>
      </c>
      <c r="AH11" t="s">
        <v>2124</v>
      </c>
      <c r="AI11">
        <v>0.31012842753179237</v>
      </c>
    </row>
    <row r="12" spans="1:40" x14ac:dyDescent="0.45">
      <c r="AC12" t="s">
        <v>19</v>
      </c>
      <c r="AD12" t="s">
        <v>2124</v>
      </c>
      <c r="AE12">
        <v>1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51A6D0-439F-437C-A45C-902827D4D462}">
  <dimension ref="A9:AN34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132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248</v>
      </c>
      <c r="L10" t="s">
        <v>30</v>
      </c>
      <c r="N10" t="s">
        <v>13</v>
      </c>
      <c r="O10" t="s">
        <v>122</v>
      </c>
      <c r="P10" t="s">
        <v>248</v>
      </c>
      <c r="Q10" t="s">
        <v>30</v>
      </c>
      <c r="S10" t="s">
        <v>13</v>
      </c>
      <c r="T10" t="s">
        <v>122</v>
      </c>
      <c r="U10" t="s">
        <v>248</v>
      </c>
      <c r="V10" t="s">
        <v>30</v>
      </c>
      <c r="X10" t="s">
        <v>421</v>
      </c>
      <c r="Y10" t="s">
        <v>248</v>
      </c>
      <c r="Z10" t="s">
        <v>122</v>
      </c>
      <c r="AA10" t="s">
        <v>13</v>
      </c>
      <c r="AC10" t="s">
        <v>13</v>
      </c>
      <c r="AD10" t="s">
        <v>122</v>
      </c>
      <c r="AE10" t="s">
        <v>248</v>
      </c>
      <c r="AG10" t="s">
        <v>13</v>
      </c>
      <c r="AH10" t="s">
        <v>122</v>
      </c>
      <c r="AI10" t="s">
        <v>427</v>
      </c>
      <c r="AK10" t="s">
        <v>47</v>
      </c>
      <c r="AL10" t="s">
        <v>122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2125</v>
      </c>
      <c r="D11" t="s">
        <v>152</v>
      </c>
      <c r="E11" t="s">
        <v>423</v>
      </c>
      <c r="F11" t="s">
        <v>2126</v>
      </c>
      <c r="G11" t="s">
        <v>152</v>
      </c>
      <c r="I11" t="s">
        <v>249</v>
      </c>
      <c r="J11" t="s">
        <v>2131</v>
      </c>
      <c r="K11">
        <v>0.20956675833984029</v>
      </c>
      <c r="L11" t="s">
        <v>251</v>
      </c>
      <c r="N11" t="s">
        <v>419</v>
      </c>
      <c r="O11" t="s">
        <v>2131</v>
      </c>
      <c r="P11">
        <v>0.11041998512524449</v>
      </c>
      <c r="Q11" t="s">
        <v>251</v>
      </c>
      <c r="S11" t="s">
        <v>420</v>
      </c>
      <c r="T11" t="s">
        <v>2131</v>
      </c>
      <c r="U11">
        <v>0.11618644592875269</v>
      </c>
      <c r="V11" t="s">
        <v>251</v>
      </c>
      <c r="X11">
        <v>0.11426940639269406</v>
      </c>
      <c r="Y11">
        <v>0.16087081189037786</v>
      </c>
      <c r="Z11" t="s">
        <v>2131</v>
      </c>
      <c r="AA11" t="s">
        <v>25</v>
      </c>
      <c r="AC11" t="s">
        <v>22</v>
      </c>
      <c r="AD11" t="s">
        <v>2131</v>
      </c>
      <c r="AE11">
        <v>0.10155180491906821</v>
      </c>
      <c r="AG11" t="s">
        <v>97</v>
      </c>
      <c r="AH11" t="s">
        <v>2131</v>
      </c>
      <c r="AI11">
        <v>0.33866485493367748</v>
      </c>
    </row>
    <row r="12" spans="1:40" x14ac:dyDescent="0.45">
      <c r="C12" t="s">
        <v>2127</v>
      </c>
      <c r="E12" t="s">
        <v>425</v>
      </c>
      <c r="G12" t="s">
        <v>152</v>
      </c>
      <c r="I12" t="s">
        <v>249</v>
      </c>
      <c r="J12" t="s">
        <v>2132</v>
      </c>
      <c r="K12">
        <v>3.2273477055638569E-6</v>
      </c>
      <c r="L12" t="s">
        <v>251</v>
      </c>
      <c r="N12" t="s">
        <v>419</v>
      </c>
      <c r="O12" t="s">
        <v>2132</v>
      </c>
      <c r="P12">
        <v>0.1371321787865179</v>
      </c>
      <c r="Q12" t="s">
        <v>251</v>
      </c>
      <c r="S12" t="s">
        <v>420</v>
      </c>
      <c r="T12" t="s">
        <v>2132</v>
      </c>
      <c r="U12">
        <v>0.13343222210818123</v>
      </c>
      <c r="V12" t="s">
        <v>251</v>
      </c>
      <c r="X12">
        <v>0.11426940639269406</v>
      </c>
      <c r="Y12">
        <v>5.2547713165767528E-2</v>
      </c>
      <c r="Z12" t="s">
        <v>2132</v>
      </c>
      <c r="AA12" t="s">
        <v>25</v>
      </c>
      <c r="AC12" t="s">
        <v>22</v>
      </c>
      <c r="AD12" t="s">
        <v>2132</v>
      </c>
      <c r="AE12">
        <v>0.11458130509817691</v>
      </c>
      <c r="AG12" t="s">
        <v>97</v>
      </c>
      <c r="AH12" t="s">
        <v>2132</v>
      </c>
      <c r="AI12">
        <v>0.1997435675652679</v>
      </c>
    </row>
    <row r="13" spans="1:40" x14ac:dyDescent="0.45">
      <c r="C13" t="s">
        <v>2128</v>
      </c>
      <c r="E13" t="s">
        <v>2129</v>
      </c>
      <c r="G13" t="s">
        <v>152</v>
      </c>
      <c r="I13" t="s">
        <v>249</v>
      </c>
      <c r="J13" t="s">
        <v>2133</v>
      </c>
      <c r="K13">
        <v>1.467716973068353E-2</v>
      </c>
      <c r="L13" t="s">
        <v>251</v>
      </c>
      <c r="N13" t="s">
        <v>419</v>
      </c>
      <c r="O13" t="s">
        <v>2133</v>
      </c>
      <c r="P13">
        <v>2.1088614285183455E-2</v>
      </c>
      <c r="Q13" t="s">
        <v>251</v>
      </c>
      <c r="S13" t="s">
        <v>420</v>
      </c>
      <c r="T13" t="s">
        <v>2133</v>
      </c>
      <c r="U13">
        <v>2.2113011638476017E-2</v>
      </c>
      <c r="V13" t="s">
        <v>251</v>
      </c>
      <c r="X13">
        <v>2.0776255707762557E-2</v>
      </c>
      <c r="Y13">
        <v>3.5896543437005365E-2</v>
      </c>
      <c r="Z13" t="s">
        <v>2133</v>
      </c>
      <c r="AA13" t="s">
        <v>25</v>
      </c>
      <c r="AC13" t="s">
        <v>22</v>
      </c>
      <c r="AD13" t="s">
        <v>2133</v>
      </c>
      <c r="AE13">
        <v>2.1308388120183763E-2</v>
      </c>
      <c r="AG13" t="s">
        <v>97</v>
      </c>
      <c r="AH13" t="s">
        <v>2133</v>
      </c>
      <c r="AI13">
        <v>0.13134368904318294</v>
      </c>
    </row>
    <row r="14" spans="1:40" x14ac:dyDescent="0.45">
      <c r="C14" t="s">
        <v>2130</v>
      </c>
      <c r="I14" t="s">
        <v>249</v>
      </c>
      <c r="J14" t="s">
        <v>2134</v>
      </c>
      <c r="K14">
        <v>0.261744706286831</v>
      </c>
      <c r="L14" t="s">
        <v>251</v>
      </c>
      <c r="N14" t="s">
        <v>419</v>
      </c>
      <c r="O14" t="s">
        <v>2134</v>
      </c>
      <c r="P14">
        <v>0.1151002919830664</v>
      </c>
      <c r="Q14" t="s">
        <v>251</v>
      </c>
      <c r="S14" t="s">
        <v>420</v>
      </c>
      <c r="T14" t="s">
        <v>2134</v>
      </c>
      <c r="U14">
        <v>0.11639669080665831</v>
      </c>
      <c r="V14" t="s">
        <v>251</v>
      </c>
      <c r="X14">
        <v>0.11552511415525114</v>
      </c>
      <c r="Y14">
        <v>0.16263862301005233</v>
      </c>
      <c r="Z14" t="s">
        <v>2134</v>
      </c>
      <c r="AA14" t="s">
        <v>25</v>
      </c>
      <c r="AC14" t="s">
        <v>22</v>
      </c>
      <c r="AD14" t="s">
        <v>2134</v>
      </c>
      <c r="AE14">
        <v>0.10521724131171241</v>
      </c>
      <c r="AG14" t="s">
        <v>97</v>
      </c>
      <c r="AH14" t="s">
        <v>2134</v>
      </c>
      <c r="AI14">
        <v>0.30555351594159896</v>
      </c>
    </row>
    <row r="15" spans="1:40" x14ac:dyDescent="0.45">
      <c r="I15" t="s">
        <v>249</v>
      </c>
      <c r="J15" t="s">
        <v>2135</v>
      </c>
      <c r="K15">
        <v>2.75603647353679E-3</v>
      </c>
      <c r="L15" t="s">
        <v>251</v>
      </c>
      <c r="N15" t="s">
        <v>419</v>
      </c>
      <c r="O15" t="s">
        <v>2135</v>
      </c>
      <c r="P15">
        <v>0.1363578731880864</v>
      </c>
      <c r="Q15" t="s">
        <v>251</v>
      </c>
      <c r="S15" t="s">
        <v>420</v>
      </c>
      <c r="T15" t="s">
        <v>2135</v>
      </c>
      <c r="U15">
        <v>0.13399951626745896</v>
      </c>
      <c r="V15" t="s">
        <v>251</v>
      </c>
      <c r="X15">
        <v>0.11552511415525114</v>
      </c>
      <c r="Y15">
        <v>5.3125160563193538E-2</v>
      </c>
      <c r="Z15" t="s">
        <v>2135</v>
      </c>
      <c r="AA15" t="s">
        <v>25</v>
      </c>
      <c r="AC15" t="s">
        <v>22</v>
      </c>
      <c r="AD15" t="s">
        <v>2135</v>
      </c>
      <c r="AE15">
        <v>0.11744838695684046</v>
      </c>
      <c r="AG15" t="s">
        <v>97</v>
      </c>
      <c r="AH15" t="s">
        <v>2135</v>
      </c>
      <c r="AI15">
        <v>0.2339351090601447</v>
      </c>
    </row>
    <row r="16" spans="1:40" x14ac:dyDescent="0.45">
      <c r="I16" t="s">
        <v>249</v>
      </c>
      <c r="J16" t="s">
        <v>2136</v>
      </c>
      <c r="K16">
        <v>3.1814831407769278E-2</v>
      </c>
      <c r="L16" t="s">
        <v>251</v>
      </c>
      <c r="N16" t="s">
        <v>419</v>
      </c>
      <c r="O16" t="s">
        <v>2136</v>
      </c>
      <c r="P16">
        <v>2.1387937059486394E-2</v>
      </c>
      <c r="Q16" t="s">
        <v>251</v>
      </c>
      <c r="S16" t="s">
        <v>420</v>
      </c>
      <c r="T16" t="s">
        <v>2136</v>
      </c>
      <c r="U16">
        <v>2.2629257812759606E-2</v>
      </c>
      <c r="V16" t="s">
        <v>251</v>
      </c>
      <c r="X16">
        <v>2.1004566210045664E-2</v>
      </c>
      <c r="Y16">
        <v>3.6291010947302131E-2</v>
      </c>
      <c r="Z16" t="s">
        <v>2136</v>
      </c>
      <c r="AA16" t="s">
        <v>25</v>
      </c>
      <c r="AC16" t="s">
        <v>22</v>
      </c>
      <c r="AD16" t="s">
        <v>2136</v>
      </c>
      <c r="AE16">
        <v>2.1929973675120208E-2</v>
      </c>
      <c r="AG16" t="s">
        <v>97</v>
      </c>
      <c r="AH16" t="s">
        <v>2136</v>
      </c>
      <c r="AI16">
        <v>0.1250432988003618</v>
      </c>
    </row>
    <row r="17" spans="9:35" x14ac:dyDescent="0.45">
      <c r="I17" t="s">
        <v>249</v>
      </c>
      <c r="J17" t="s">
        <v>2137</v>
      </c>
      <c r="K17">
        <v>0.2404536926108693</v>
      </c>
      <c r="L17" t="s">
        <v>251</v>
      </c>
      <c r="N17" t="s">
        <v>419</v>
      </c>
      <c r="O17" t="s">
        <v>2137</v>
      </c>
      <c r="P17">
        <v>7.0665889055877035E-2</v>
      </c>
      <c r="Q17" t="s">
        <v>251</v>
      </c>
      <c r="S17" t="s">
        <v>420</v>
      </c>
      <c r="T17" t="s">
        <v>2137</v>
      </c>
      <c r="U17">
        <v>7.1788688423593469E-2</v>
      </c>
      <c r="V17" t="s">
        <v>251</v>
      </c>
      <c r="X17">
        <v>0.11552511415525114</v>
      </c>
      <c r="Y17">
        <v>0.16263862301005233</v>
      </c>
      <c r="Z17" t="s">
        <v>2137</v>
      </c>
      <c r="AA17" t="s">
        <v>25</v>
      </c>
      <c r="AC17" t="s">
        <v>22</v>
      </c>
      <c r="AD17" t="s">
        <v>2137</v>
      </c>
      <c r="AE17">
        <v>0.10218352695667944</v>
      </c>
      <c r="AG17" t="s">
        <v>97</v>
      </c>
      <c r="AH17" t="s">
        <v>2137</v>
      </c>
      <c r="AI17">
        <v>0.28663884225026814</v>
      </c>
    </row>
    <row r="18" spans="9:35" x14ac:dyDescent="0.45">
      <c r="I18" t="s">
        <v>249</v>
      </c>
      <c r="J18" t="s">
        <v>2138</v>
      </c>
      <c r="K18">
        <v>6.302454684551856E-3</v>
      </c>
      <c r="L18" t="s">
        <v>251</v>
      </c>
      <c r="N18" t="s">
        <v>419</v>
      </c>
      <c r="O18" t="s">
        <v>2138</v>
      </c>
      <c r="P18">
        <v>0.10649801478147493</v>
      </c>
      <c r="Q18" t="s">
        <v>251</v>
      </c>
      <c r="S18" t="s">
        <v>420</v>
      </c>
      <c r="T18" t="s">
        <v>2138</v>
      </c>
      <c r="U18">
        <v>8.5554426977867498E-2</v>
      </c>
      <c r="V18" t="s">
        <v>251</v>
      </c>
      <c r="X18">
        <v>0.11552511415525114</v>
      </c>
      <c r="Y18">
        <v>5.3125160563193538E-2</v>
      </c>
      <c r="Z18" t="s">
        <v>2138</v>
      </c>
      <c r="AA18" t="s">
        <v>25</v>
      </c>
      <c r="AC18" t="s">
        <v>22</v>
      </c>
      <c r="AD18" t="s">
        <v>2138</v>
      </c>
      <c r="AE18">
        <v>0.11752724590106507</v>
      </c>
      <c r="AG18" t="s">
        <v>97</v>
      </c>
      <c r="AH18" t="s">
        <v>2138</v>
      </c>
      <c r="AI18">
        <v>0.22731335314224888</v>
      </c>
    </row>
    <row r="19" spans="9:35" x14ac:dyDescent="0.45">
      <c r="I19" t="s">
        <v>249</v>
      </c>
      <c r="J19" t="s">
        <v>2139</v>
      </c>
      <c r="K19">
        <v>2.8024359257718425E-2</v>
      </c>
      <c r="L19" t="s">
        <v>251</v>
      </c>
      <c r="N19" t="s">
        <v>419</v>
      </c>
      <c r="O19" t="s">
        <v>2139</v>
      </c>
      <c r="P19">
        <v>1.4706325712066513E-2</v>
      </c>
      <c r="Q19" t="s">
        <v>251</v>
      </c>
      <c r="S19" t="s">
        <v>420</v>
      </c>
      <c r="T19" t="s">
        <v>2139</v>
      </c>
      <c r="U19">
        <v>1.436643267839114E-2</v>
      </c>
      <c r="V19" t="s">
        <v>251</v>
      </c>
      <c r="X19">
        <v>2.1004566210045664E-2</v>
      </c>
      <c r="Y19">
        <v>3.6291010947302131E-2</v>
      </c>
      <c r="Z19" t="s">
        <v>2139</v>
      </c>
      <c r="AA19" t="s">
        <v>25</v>
      </c>
      <c r="AC19" t="s">
        <v>22</v>
      </c>
      <c r="AD19" t="s">
        <v>2139</v>
      </c>
      <c r="AE19">
        <v>2.2096502073699661E-2</v>
      </c>
      <c r="AG19" t="s">
        <v>97</v>
      </c>
      <c r="AH19" t="s">
        <v>2139</v>
      </c>
      <c r="AI19">
        <v>0.15123414467120067</v>
      </c>
    </row>
    <row r="20" spans="9:35" x14ac:dyDescent="0.45">
      <c r="I20" t="s">
        <v>249</v>
      </c>
      <c r="J20" t="s">
        <v>2140</v>
      </c>
      <c r="K20">
        <v>0.19238182670202175</v>
      </c>
      <c r="L20" t="s">
        <v>251</v>
      </c>
      <c r="N20" t="s">
        <v>419</v>
      </c>
      <c r="O20" t="s">
        <v>2140</v>
      </c>
      <c r="P20">
        <v>0.11181043803641572</v>
      </c>
      <c r="Q20" t="s">
        <v>251</v>
      </c>
      <c r="S20" t="s">
        <v>420</v>
      </c>
      <c r="T20" t="s">
        <v>2140</v>
      </c>
      <c r="U20">
        <v>0.12433344134058336</v>
      </c>
      <c r="V20" t="s">
        <v>251</v>
      </c>
      <c r="X20">
        <v>0.11301369863013698</v>
      </c>
      <c r="Y20">
        <v>0.15910300077070333</v>
      </c>
      <c r="Z20" t="s">
        <v>2140</v>
      </c>
      <c r="AA20" t="s">
        <v>25</v>
      </c>
      <c r="AC20" t="s">
        <v>22</v>
      </c>
      <c r="AD20" t="s">
        <v>2140</v>
      </c>
      <c r="AE20">
        <v>0.11535489473866106</v>
      </c>
      <c r="AG20" t="s">
        <v>97</v>
      </c>
      <c r="AH20" t="s">
        <v>2140</v>
      </c>
      <c r="AI20">
        <v>0.28622395065893103</v>
      </c>
    </row>
    <row r="21" spans="9:35" x14ac:dyDescent="0.45">
      <c r="I21" t="s">
        <v>249</v>
      </c>
      <c r="J21" t="s">
        <v>2141</v>
      </c>
      <c r="K21">
        <v>0</v>
      </c>
      <c r="L21" t="s">
        <v>251</v>
      </c>
      <c r="N21" t="s">
        <v>419</v>
      </c>
      <c r="O21" t="s">
        <v>2141</v>
      </c>
      <c r="P21">
        <v>0.13397806210255855</v>
      </c>
      <c r="Q21" t="s">
        <v>251</v>
      </c>
      <c r="S21" t="s">
        <v>420</v>
      </c>
      <c r="T21" t="s">
        <v>2141</v>
      </c>
      <c r="U21">
        <v>0.13523398600453715</v>
      </c>
      <c r="V21" t="s">
        <v>251</v>
      </c>
      <c r="X21">
        <v>0.11301369863013698</v>
      </c>
      <c r="Y21">
        <v>5.197026576834151E-2</v>
      </c>
      <c r="Z21" t="s">
        <v>2141</v>
      </c>
      <c r="AA21" t="s">
        <v>25</v>
      </c>
      <c r="AC21" t="s">
        <v>22</v>
      </c>
      <c r="AD21" t="s">
        <v>2141</v>
      </c>
      <c r="AE21">
        <v>0.13622022934862738</v>
      </c>
      <c r="AG21" t="s">
        <v>97</v>
      </c>
      <c r="AH21" t="s">
        <v>2141</v>
      </c>
      <c r="AI21">
        <v>0.12585732723874177</v>
      </c>
    </row>
    <row r="22" spans="9:35" x14ac:dyDescent="0.45">
      <c r="I22" t="s">
        <v>249</v>
      </c>
      <c r="J22" t="s">
        <v>2142</v>
      </c>
      <c r="K22">
        <v>1.2274937158272919E-2</v>
      </c>
      <c r="L22" t="s">
        <v>251</v>
      </c>
      <c r="N22" t="s">
        <v>419</v>
      </c>
      <c r="O22" t="s">
        <v>2142</v>
      </c>
      <c r="P22">
        <v>2.0854389883767307E-2</v>
      </c>
      <c r="Q22" t="s">
        <v>251</v>
      </c>
      <c r="S22" t="s">
        <v>420</v>
      </c>
      <c r="T22" t="s">
        <v>2142</v>
      </c>
      <c r="U22">
        <v>2.3965880012507917E-2</v>
      </c>
      <c r="V22" t="s">
        <v>251</v>
      </c>
      <c r="X22">
        <v>2.0547945205479451E-2</v>
      </c>
      <c r="Y22">
        <v>3.5502075926708607E-2</v>
      </c>
      <c r="Z22" t="s">
        <v>2142</v>
      </c>
      <c r="AA22" t="s">
        <v>25</v>
      </c>
      <c r="AC22" t="s">
        <v>22</v>
      </c>
      <c r="AD22" t="s">
        <v>2142</v>
      </c>
      <c r="AE22">
        <v>2.4580500900165482E-2</v>
      </c>
      <c r="AG22" t="s">
        <v>97</v>
      </c>
      <c r="AH22" t="s">
        <v>2142</v>
      </c>
      <c r="AI22">
        <v>6.295855449191845E-2</v>
      </c>
    </row>
    <row r="23" spans="9:35" x14ac:dyDescent="0.45">
      <c r="AC23" t="s">
        <v>19</v>
      </c>
      <c r="AD23" t="s">
        <v>2131</v>
      </c>
      <c r="AE23">
        <v>0.11363994771521098</v>
      </c>
    </row>
    <row r="24" spans="9:35" x14ac:dyDescent="0.45">
      <c r="AC24" t="s">
        <v>19</v>
      </c>
      <c r="AD24" t="s">
        <v>2132</v>
      </c>
      <c r="AE24">
        <v>0.11469016073685019</v>
      </c>
    </row>
    <row r="25" spans="9:35" x14ac:dyDescent="0.45">
      <c r="AC25" t="s">
        <v>19</v>
      </c>
      <c r="AD25" t="s">
        <v>2133</v>
      </c>
      <c r="AE25">
        <v>2.0891076924591339E-2</v>
      </c>
    </row>
    <row r="26" spans="9:35" x14ac:dyDescent="0.45">
      <c r="AC26" t="s">
        <v>19</v>
      </c>
      <c r="AD26" t="s">
        <v>2134</v>
      </c>
      <c r="AE26">
        <v>0.11494280386395381</v>
      </c>
    </row>
    <row r="27" spans="9:35" x14ac:dyDescent="0.45">
      <c r="AC27" t="s">
        <v>19</v>
      </c>
      <c r="AD27" t="s">
        <v>2135</v>
      </c>
      <c r="AE27">
        <v>0.11592866734678142</v>
      </c>
    </row>
    <row r="28" spans="9:35" x14ac:dyDescent="0.45">
      <c r="AC28" t="s">
        <v>19</v>
      </c>
      <c r="AD28" t="s">
        <v>2136</v>
      </c>
      <c r="AE28">
        <v>2.1124344230673341E-2</v>
      </c>
    </row>
    <row r="29" spans="9:35" x14ac:dyDescent="0.45">
      <c r="AC29" t="s">
        <v>19</v>
      </c>
      <c r="AD29" t="s">
        <v>2137</v>
      </c>
      <c r="AE29">
        <v>0.11479118229266953</v>
      </c>
    </row>
    <row r="30" spans="9:35" x14ac:dyDescent="0.45">
      <c r="AC30" t="s">
        <v>19</v>
      </c>
      <c r="AD30" t="s">
        <v>2138</v>
      </c>
      <c r="AE30">
        <v>0.11602792761783583</v>
      </c>
    </row>
    <row r="31" spans="9:35" x14ac:dyDescent="0.45">
      <c r="AC31" t="s">
        <v>19</v>
      </c>
      <c r="AD31" t="s">
        <v>2139</v>
      </c>
      <c r="AE31">
        <v>2.1154658512030074E-2</v>
      </c>
    </row>
    <row r="32" spans="9:35" x14ac:dyDescent="0.45">
      <c r="AC32" t="s">
        <v>19</v>
      </c>
      <c r="AD32" t="s">
        <v>2140</v>
      </c>
      <c r="AE32">
        <v>0.11221682250674421</v>
      </c>
    </row>
    <row r="33" spans="29:31" x14ac:dyDescent="0.45">
      <c r="AC33" t="s">
        <v>19</v>
      </c>
      <c r="AD33" t="s">
        <v>2141</v>
      </c>
      <c r="AE33">
        <v>0.11389862501697257</v>
      </c>
    </row>
    <row r="34" spans="29:31" x14ac:dyDescent="0.45">
      <c r="AC34" t="s">
        <v>19</v>
      </c>
      <c r="AD34" t="s">
        <v>2142</v>
      </c>
      <c r="AE34">
        <v>2.0693783235686762E-2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Veda</vt:lpstr>
      <vt:lpstr>fuel_prices</vt:lpstr>
      <vt:lpstr>iea_data</vt:lpstr>
      <vt:lpstr>ar6_r10</vt:lpstr>
      <vt:lpstr>ev_charging_uc</vt:lpstr>
      <vt:lpstr>s1p1v1_d</vt:lpstr>
      <vt:lpstr>s3p3v3_d</vt:lpstr>
      <vt:lpstr>s5p5v5_d</vt:lpstr>
      <vt:lpstr>s2_w</vt:lpstr>
      <vt:lpstr>s2_w_p2_d</vt:lpstr>
      <vt:lpstr>ts_012</vt:lpstr>
      <vt:lpstr>ts_024</vt:lpstr>
      <vt:lpstr>ts_048</vt:lpstr>
      <vt:lpstr>ts_064</vt:lpstr>
      <vt:lpstr>ts_096P50</vt:lpstr>
      <vt:lpstr>ts_096P10</vt:lpstr>
      <vt:lpstr>ts_096P90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2025-09-12T10:42:10Z</dcterms:modified>
</cp:coreProperties>
</file>