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121AD2A2-326D-4D2E-AF5F-A099EFE3EFC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<sst xmlns="http://schemas.openxmlformats.org/spreadsheetml/2006/main" count="1898" uniqueCount="187">
  <si>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</si>
  <si>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</si>
  <si>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</si>
  <si>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</si>
  <si>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</si>
  <si>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</si>
  <si>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</si>
  <si>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</si>
  <si>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</si>
  <si>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</si>
  <si>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</si>
  <si>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</si>
  <si>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</si>
  <si>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</si>
  <si>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</si>
  <si>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</si>
  <si>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</si>
  <si>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</si>
  <si>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</si>
  <si>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</si>
  <si>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</si>
  <si>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</si>
  <si>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</si>
  <si>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</si>
  <si>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</si>
  <si>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</si>
  <si>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</si>
  <si>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</si>
  <si>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</si>
  <si>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</si>
  <si>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</si>
  <si>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</si>
  <si>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</si>
  <si>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</si>
  <si>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</si>
  <si>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</si>
  <si>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</si>
  <si>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</si>
  <si>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</si>
  <si>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</si>
  <si>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</si>
  <si>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</si>
  <si>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</si>
  <si>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</si>
  <si>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</si>
  <si>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</si>
  <si>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</si>
  <si>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</si>
  <si>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</si>
  <si>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</si>
  <si>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</si>
  <si>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</si>
  <si>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</si>
  <si>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</si>
  <si>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</si>
  <si>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</si>
  <si>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</si>
  <si>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</si>
  <si>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</si>
  <si>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</si>
  <si>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</si>
  <si>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</si>
  <si>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</si>
  <si>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</si>
  <si>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</si>
  <si>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</si>
  <si>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</si>
  <si>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</si>
  <si>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</si>
  <si>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</si>
  <si>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</si>
  <si>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</si>
  <si>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</si>
  <si>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</si>
  <si>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</si>
  <si>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</si>
  <si>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</si>
  <si>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</si>
  <si>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</si>
  <si>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</si>
  <si>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</si>
  <si>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</si>
  <si>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</si>
  <si>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</si>
  <si>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</si>
  <si>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</si>
  <si>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</si>
  <si>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</si>
  <si>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</si>
  <si>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</si>
  <si>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</si>
  <si>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</si>
  <si>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</si>
  <si>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</si>
  <si>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</si>
  <si>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</si>
  <si>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</si>
  <si>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</si>
  <si>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</si>
  <si>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</si>
  <si>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</si>
  <si>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</si>
  <si>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</si>
  <si>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</si>
  <si>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</si>
  <si>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</si>
  <si>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</si>
  <si>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</si>
  <si>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</si>
  <si>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</si>
  <si>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</si>
  <si>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</si>
  <si>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</si>
  <si>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</si>
  <si>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</si>
  <si>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</si>
  <si>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</si>
  <si>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</si>
  <si>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</si>
  <si>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</si>
  <si>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</si>
  <si>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</si>
  <si>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</si>
  <si>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</si>
  <si>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</si>
  <si>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</si>
  <si>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</si>
  <si>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</si>
  <si>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</si>
  <si>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</si>
  <si>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</si>
  <si>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</si>
  <si>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</si>
  <si>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</si>
  <si>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</si>
  <si>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</si>
  <si>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</si>
  <si>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</si>
  <si>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</si>
  <si>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</si>
  <si>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</si>
  <si>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</si>
  <si>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USA</t>
  </si>
  <si>
    <t>R10NORTH_AM</t>
  </si>
  <si>
    <t>Shale gas revolution, coal declining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</si>
  <si>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</si>
  <si>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</si>
  <si>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</si>
  <si>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</si>
  <si>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</si>
  <si>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</si>
  <si>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</si>
  <si>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</si>
  <si>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</si>
  <si>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</si>
  <si>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elc_spv-USA</t>
  </si>
  <si>
    <t>AllSaAllH</t>
  </si>
  <si>
    <t>IMPNRGZ</t>
  </si>
  <si>
    <t>elc_won-USA</t>
  </si>
  <si>
    <t>elc_wof-USA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</si>
  <si>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</si>
  <si>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</si>
  <si>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</si>
  <si>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</si>
  <si>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</si>
  <si>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</si>
  <si>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</si>
  <si>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</si>
  <si>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</si>
  <si>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</si>
  <si>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</si>
  <si>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</si>
  <si>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</si>
  <si>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</si>
  <si>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</si>
  <si>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</si>
  <si>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</si>
  <si>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</si>
  <si>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</si>
  <si>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</si>
  <si>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</si>
  <si>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</si>
  <si>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</si>
  <si>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</si>
  <si>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</si>
  <si>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SaD,FaP,SaP,RaD,RaP,WaD,WaP,FaD</t>
  </si>
  <si>
    <t>FaP,SaP,FaN,RaN,RaP,SaN,WaN,WaP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</si>
</sst>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4514.1099999999997</c:v>
                </c:pt>
                <c:pt idx="1">
                  <c:v>4559.2510999999995</c:v>
                </c:pt>
                <c:pt idx="2">
                  <c:v>4920.3798999999999</c:v>
                </c:pt>
                <c:pt idx="3">
                  <c:v>5326.6497999999992</c:v>
                </c:pt>
                <c:pt idx="4">
                  <c:v>5868.3429999999998</c:v>
                </c:pt>
                <c:pt idx="5">
                  <c:v>6771.1649999999991</c:v>
                </c:pt>
                <c:pt idx="6">
                  <c:v>7673.9869999999992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4514.1099999999997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4514.1099999999997</v>
      </c>
      <c r="U14" s="8">
        <f t="shared" ref="U14:Z14" si="3">$S$12*J15</f>
        <v>4559.2510999999995</v>
      </c>
      <c r="V14" s="8">
        <f t="shared" si="3"/>
        <v>4920.3798999999999</v>
      </c>
      <c r="W14" s="8">
        <f t="shared" si="3"/>
        <v>5326.6497999999992</v>
      </c>
      <c r="X14" s="8">
        <f t="shared" si="3"/>
        <v>5868.3429999999998</v>
      </c>
      <c r="Y14" s="8">
        <f t="shared" si="3"/>
        <v>6771.1649999999991</v>
      </c>
      <c r="Z14" s="8">
        <f t="shared" si="3"/>
        <v>7673.9869999999992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49.203799000000004</v>
      </c>
      <c r="W18" s="6">
        <f t="shared" si="7"/>
        <v>53.266497999999991</v>
      </c>
      <c r="X18" s="6">
        <f t="shared" si="7"/>
        <v>117.36686</v>
      </c>
      <c r="Y18" s="6">
        <f t="shared" si="7"/>
        <v>67.711649999999992</v>
      </c>
      <c r="Z18" s="6">
        <f t="shared" si="7"/>
        <v>230.21960999999996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993.10419999999988</v>
      </c>
      <c r="U19" s="6">
        <f t="shared" si="7"/>
        <v>957.44273099999987</v>
      </c>
      <c r="V19" s="6">
        <f t="shared" si="7"/>
        <v>1033.279779</v>
      </c>
      <c r="W19" s="6">
        <f t="shared" si="7"/>
        <v>1118.5964579999998</v>
      </c>
      <c r="X19" s="6">
        <f t="shared" si="7"/>
        <v>1232.35203</v>
      </c>
      <c r="Y19" s="6">
        <f t="shared" si="7"/>
        <v>1489.6562999999999</v>
      </c>
      <c r="Z19" s="6">
        <f t="shared" si="7"/>
        <v>1841.7568799999997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3430.7235999999998</v>
      </c>
      <c r="U20" s="6">
        <f t="shared" si="7"/>
        <v>3510.6233469999997</v>
      </c>
      <c r="V20" s="6">
        <f t="shared" si="7"/>
        <v>3690.2849249999999</v>
      </c>
      <c r="W20" s="6">
        <f t="shared" si="7"/>
        <v>3781.9213579999991</v>
      </c>
      <c r="X20" s="6">
        <f t="shared" si="7"/>
        <v>4049.1566699999994</v>
      </c>
      <c r="Y20" s="6">
        <f t="shared" si="7"/>
        <v>4333.5455999999995</v>
      </c>
      <c r="Z20" s="6">
        <f t="shared" si="7"/>
        <v>4604.3921999999993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90.282199999999648</v>
      </c>
      <c r="U22" s="6">
        <f t="shared" si="9"/>
        <v>91.185021999999663</v>
      </c>
      <c r="V22" s="6">
        <f t="shared" si="9"/>
        <v>196.81519599999956</v>
      </c>
      <c r="W22" s="6">
        <f t="shared" si="9"/>
        <v>426.13198400000056</v>
      </c>
      <c r="X22" s="6">
        <f t="shared" si="9"/>
        <v>586.83430000000044</v>
      </c>
      <c r="Y22" s="6">
        <f t="shared" si="9"/>
        <v>947.96309999999994</v>
      </c>
      <c r="Z22" s="6">
        <f t="shared" si="9"/>
        <v>1227.8379199999999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56.97</v>
      </c>
      <c r="S28" t="s">
        <v>32</v>
      </c>
      <c r="T28" s="3">
        <f>Q28</f>
        <v>56.97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-15.76</v>
      </c>
      <c r="S29" t="s">
        <v>35</v>
      </c>
      <c r="T29" s="3">
        <f>-1*Q29</f>
        <v>15.76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12</v>
      </c>
      <c r="J45">
        <f t="shared" si="12"/>
        <v>13.440000000000001</v>
      </c>
      <c r="K45">
        <f t="shared" si="12"/>
        <v>13.200000000000001</v>
      </c>
      <c r="L45">
        <f t="shared" si="12"/>
        <v>13.32</v>
      </c>
      <c r="M45">
        <f t="shared" si="12"/>
        <v>14.04</v>
      </c>
      <c r="N45">
        <f t="shared" si="12"/>
        <v>13.799999999999999</v>
      </c>
      <c r="O45">
        <f t="shared" si="12"/>
        <v>15.120000000000001</v>
      </c>
      <c r="R45">
        <f>HLOOKUP($G45&amp;"_"&amp;R$44,fuel_prices!$B$10:$I$11,2,FALSE)</f>
        <v>10.3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</v>
      </c>
      <c r="J46">
        <f t="shared" si="12"/>
        <v>13.65</v>
      </c>
      <c r="K46">
        <f t="shared" si="12"/>
        <v>14.430000000000001</v>
      </c>
      <c r="L46">
        <f t="shared" si="12"/>
        <v>14.819999999999999</v>
      </c>
      <c r="M46">
        <f t="shared" si="12"/>
        <v>15.6</v>
      </c>
      <c r="N46">
        <f t="shared" si="12"/>
        <v>16.510000000000002</v>
      </c>
      <c r="O46">
        <f t="shared" si="12"/>
        <v>15.6</v>
      </c>
      <c r="R46">
        <f>HLOOKUP($G46&amp;"_"&amp;R$44,fuel_prices!$B$10:$I$11,2,FALSE)</f>
        <v>11.5</v>
      </c>
      <c r="S46">
        <f>HLOOKUP($G46&amp;"_"&amp;S$44,fuel_prices!$B$10:$I$11,2,FALSE)</f>
        <v>14.5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23.1</v>
      </c>
      <c r="K48">
        <f t="shared" si="12"/>
        <v>23.76</v>
      </c>
      <c r="L48">
        <f t="shared" si="12"/>
        <v>23.32</v>
      </c>
      <c r="M48">
        <f t="shared" si="12"/>
        <v>22.880000000000003</v>
      </c>
      <c r="N48">
        <f t="shared" si="12"/>
        <v>23.540000000000003</v>
      </c>
      <c r="O48">
        <f t="shared" si="12"/>
        <v>26.4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10.3</v>
      </c>
      <c r="C11">
        <v>13.7</v>
      </c>
      <c r="D11">
        <v>11.5</v>
      </c>
      <c r="E11">
        <v>14.5</v>
      </c>
      <c r="F11">
        <v>45</v>
      </c>
      <c r="G11">
        <v>55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1697.49</v>
      </c>
      <c r="D11">
        <v>2352.75</v>
      </c>
      <c r="E11">
        <v>4.42</v>
      </c>
      <c r="F11">
        <v>0</v>
      </c>
      <c r="G11">
        <v>48.59</v>
      </c>
      <c r="H11">
        <v>-14.68</v>
      </c>
      <c r="I11">
        <v>4025.88</v>
      </c>
    </row>
    <row r="12" spans="1:9" x14ac:dyDescent="0.45">
      <c r="A12" t="s">
        <v>142</v>
      </c>
      <c r="B12">
        <v>2001</v>
      </c>
      <c r="C12">
        <v>1446.53</v>
      </c>
      <c r="D12">
        <v>2400.96</v>
      </c>
      <c r="E12">
        <v>4.59</v>
      </c>
      <c r="F12">
        <v>0</v>
      </c>
      <c r="G12">
        <v>38.5</v>
      </c>
      <c r="H12">
        <v>-16.47</v>
      </c>
      <c r="I12">
        <v>3838.83</v>
      </c>
    </row>
    <row r="13" spans="1:9" x14ac:dyDescent="0.45">
      <c r="A13" t="s">
        <v>142</v>
      </c>
      <c r="B13">
        <v>2002</v>
      </c>
      <c r="C13">
        <v>1358.49</v>
      </c>
      <c r="D13">
        <v>2509.35</v>
      </c>
      <c r="E13">
        <v>5.96</v>
      </c>
      <c r="F13">
        <v>0.06</v>
      </c>
      <c r="G13">
        <v>36.369999999999997</v>
      </c>
      <c r="H13">
        <v>-13.56</v>
      </c>
      <c r="I13">
        <v>4026.4</v>
      </c>
    </row>
    <row r="14" spans="1:9" x14ac:dyDescent="0.45">
      <c r="A14" t="s">
        <v>142</v>
      </c>
      <c r="B14">
        <v>2003</v>
      </c>
      <c r="C14">
        <v>1359.62</v>
      </c>
      <c r="D14">
        <v>2516.13</v>
      </c>
      <c r="E14">
        <v>5.91</v>
      </c>
      <c r="F14">
        <v>7.0000000000000007E-2</v>
      </c>
      <c r="G14">
        <v>30.39</v>
      </c>
      <c r="H14">
        <v>-23.97</v>
      </c>
      <c r="I14">
        <v>4054.65</v>
      </c>
    </row>
    <row r="15" spans="1:9" x14ac:dyDescent="0.45">
      <c r="A15" t="s">
        <v>142</v>
      </c>
      <c r="B15">
        <v>2004</v>
      </c>
      <c r="C15">
        <v>1410.36</v>
      </c>
      <c r="D15">
        <v>2562.4699999999998</v>
      </c>
      <c r="E15">
        <v>6.04</v>
      </c>
      <c r="F15">
        <v>7.0000000000000007E-2</v>
      </c>
      <c r="G15">
        <v>34.21</v>
      </c>
      <c r="H15">
        <v>-22.9</v>
      </c>
      <c r="I15">
        <v>4148.08</v>
      </c>
    </row>
    <row r="16" spans="1:9" x14ac:dyDescent="0.45">
      <c r="A16" t="s">
        <v>142</v>
      </c>
      <c r="B16">
        <v>2005</v>
      </c>
      <c r="C16">
        <v>1451.1</v>
      </c>
      <c r="D16">
        <v>2675.35</v>
      </c>
      <c r="E16">
        <v>6.13</v>
      </c>
      <c r="F16">
        <v>0.08</v>
      </c>
      <c r="G16">
        <v>44.53</v>
      </c>
      <c r="H16">
        <v>-19.8</v>
      </c>
      <c r="I16">
        <v>4268.8900000000003</v>
      </c>
    </row>
    <row r="17" spans="1:9" x14ac:dyDescent="0.45">
      <c r="A17" t="s">
        <v>142</v>
      </c>
      <c r="B17">
        <v>2006</v>
      </c>
      <c r="C17">
        <v>1436.04</v>
      </c>
      <c r="D17">
        <v>2692.23</v>
      </c>
      <c r="E17">
        <v>6.14</v>
      </c>
      <c r="F17">
        <v>0.09</v>
      </c>
      <c r="G17">
        <v>42.69</v>
      </c>
      <c r="H17">
        <v>-24.27</v>
      </c>
      <c r="I17">
        <v>4275.01</v>
      </c>
    </row>
    <row r="18" spans="1:9" x14ac:dyDescent="0.45">
      <c r="A18" t="s">
        <v>142</v>
      </c>
      <c r="B18">
        <v>2007</v>
      </c>
      <c r="C18">
        <v>1409.14</v>
      </c>
      <c r="D18">
        <v>2768.37</v>
      </c>
      <c r="E18">
        <v>6.59</v>
      </c>
      <c r="F18">
        <v>0.1</v>
      </c>
      <c r="G18">
        <v>51.4</v>
      </c>
      <c r="H18">
        <v>-20.14</v>
      </c>
      <c r="I18">
        <v>4323.92</v>
      </c>
    </row>
    <row r="19" spans="1:9" x14ac:dyDescent="0.45">
      <c r="A19" t="s">
        <v>142</v>
      </c>
      <c r="B19">
        <v>2008</v>
      </c>
      <c r="C19">
        <v>1424.69</v>
      </c>
      <c r="D19">
        <v>2754.59</v>
      </c>
      <c r="E19">
        <v>6.72</v>
      </c>
      <c r="F19">
        <v>0.1</v>
      </c>
      <c r="G19">
        <v>57.02</v>
      </c>
      <c r="H19">
        <v>-24.2</v>
      </c>
      <c r="I19">
        <v>4342.9799999999996</v>
      </c>
    </row>
    <row r="20" spans="1:9" x14ac:dyDescent="0.45">
      <c r="A20" t="s">
        <v>142</v>
      </c>
      <c r="B20">
        <v>2009</v>
      </c>
      <c r="C20">
        <v>1334.57</v>
      </c>
      <c r="D20">
        <v>2711.81</v>
      </c>
      <c r="E20">
        <v>6.23</v>
      </c>
      <c r="F20">
        <v>0.1</v>
      </c>
      <c r="G20">
        <v>52.19</v>
      </c>
      <c r="H20">
        <v>-18.14</v>
      </c>
      <c r="I20">
        <v>4165.3999999999996</v>
      </c>
    </row>
    <row r="21" spans="1:9" x14ac:dyDescent="0.45">
      <c r="A21" t="s">
        <v>142</v>
      </c>
      <c r="B21">
        <v>2010</v>
      </c>
      <c r="C21">
        <v>1398.31</v>
      </c>
      <c r="D21">
        <v>2814.31</v>
      </c>
      <c r="E21">
        <v>6.32</v>
      </c>
      <c r="F21">
        <v>0.1</v>
      </c>
      <c r="G21">
        <v>45.08</v>
      </c>
      <c r="H21">
        <v>-19.11</v>
      </c>
      <c r="I21">
        <v>4354.3599999999997</v>
      </c>
    </row>
    <row r="22" spans="1:9" x14ac:dyDescent="0.45">
      <c r="A22" t="s">
        <v>142</v>
      </c>
      <c r="B22">
        <v>2011</v>
      </c>
      <c r="C22">
        <v>1417.12</v>
      </c>
      <c r="D22">
        <v>2785.03</v>
      </c>
      <c r="E22">
        <v>6.39</v>
      </c>
      <c r="F22">
        <v>0.17</v>
      </c>
      <c r="G22">
        <v>52.3</v>
      </c>
      <c r="H22">
        <v>-15.04</v>
      </c>
      <c r="I22">
        <v>4326.6400000000003</v>
      </c>
    </row>
    <row r="23" spans="1:9" x14ac:dyDescent="0.45">
      <c r="A23" t="s">
        <v>142</v>
      </c>
      <c r="B23">
        <v>2012</v>
      </c>
      <c r="C23">
        <v>1419.44</v>
      </c>
      <c r="D23">
        <v>2729.2</v>
      </c>
      <c r="E23">
        <v>6.48</v>
      </c>
      <c r="F23">
        <v>0.36</v>
      </c>
      <c r="G23">
        <v>59.26</v>
      </c>
      <c r="H23">
        <v>-12</v>
      </c>
      <c r="I23">
        <v>4270.88</v>
      </c>
    </row>
    <row r="24" spans="1:9" x14ac:dyDescent="0.45">
      <c r="A24" t="s">
        <v>142</v>
      </c>
      <c r="B24">
        <v>2013</v>
      </c>
      <c r="C24">
        <v>1406.11</v>
      </c>
      <c r="D24">
        <v>2759.12</v>
      </c>
      <c r="E24">
        <v>6.63</v>
      </c>
      <c r="F24">
        <v>0.6</v>
      </c>
      <c r="G24">
        <v>68.95</v>
      </c>
      <c r="H24">
        <v>-11.35</v>
      </c>
      <c r="I24">
        <v>4287.1099999999997</v>
      </c>
    </row>
    <row r="25" spans="1:9" x14ac:dyDescent="0.45">
      <c r="A25" t="s">
        <v>142</v>
      </c>
      <c r="B25">
        <v>2014</v>
      </c>
      <c r="C25">
        <v>1385.2</v>
      </c>
      <c r="D25">
        <v>2794.58</v>
      </c>
      <c r="E25">
        <v>6.72</v>
      </c>
      <c r="F25">
        <v>0.88</v>
      </c>
      <c r="G25">
        <v>66.510000000000005</v>
      </c>
      <c r="H25">
        <v>-13.3</v>
      </c>
      <c r="I25">
        <v>4320.32</v>
      </c>
    </row>
    <row r="26" spans="1:9" x14ac:dyDescent="0.45">
      <c r="A26" t="s">
        <v>142</v>
      </c>
      <c r="B26">
        <v>2015</v>
      </c>
      <c r="C26">
        <v>1373.2</v>
      </c>
      <c r="D26">
        <v>2799.19</v>
      </c>
      <c r="E26">
        <v>6.83</v>
      </c>
      <c r="F26">
        <v>2.04</v>
      </c>
      <c r="G26">
        <v>75.77</v>
      </c>
      <c r="H26">
        <v>-9.1</v>
      </c>
      <c r="I26">
        <v>4297.05</v>
      </c>
    </row>
    <row r="27" spans="1:9" x14ac:dyDescent="0.45">
      <c r="A27" t="s">
        <v>142</v>
      </c>
      <c r="B27">
        <v>2016</v>
      </c>
      <c r="C27">
        <v>1331.52</v>
      </c>
      <c r="D27">
        <v>2811.1</v>
      </c>
      <c r="E27">
        <v>6.82</v>
      </c>
      <c r="F27">
        <v>3.78</v>
      </c>
      <c r="G27">
        <v>72.72</v>
      </c>
      <c r="H27">
        <v>-6.21</v>
      </c>
      <c r="I27">
        <v>4299.6000000000004</v>
      </c>
    </row>
    <row r="28" spans="1:9" x14ac:dyDescent="0.45">
      <c r="A28" t="s">
        <v>142</v>
      </c>
      <c r="B28">
        <v>2017</v>
      </c>
      <c r="C28">
        <v>1324.97</v>
      </c>
      <c r="D28">
        <v>2771.37</v>
      </c>
      <c r="E28">
        <v>7.14</v>
      </c>
      <c r="F28">
        <v>3.95</v>
      </c>
      <c r="G28">
        <v>65.680000000000007</v>
      </c>
      <c r="H28">
        <v>-9.3699999999999992</v>
      </c>
      <c r="I28">
        <v>4263.68</v>
      </c>
    </row>
    <row r="29" spans="1:9" x14ac:dyDescent="0.45">
      <c r="A29" t="s">
        <v>142</v>
      </c>
      <c r="B29">
        <v>2018</v>
      </c>
      <c r="C29">
        <v>1333.6</v>
      </c>
      <c r="D29">
        <v>2879.18</v>
      </c>
      <c r="E29">
        <v>7.04</v>
      </c>
      <c r="F29">
        <v>5.25</v>
      </c>
      <c r="G29">
        <v>58.26</v>
      </c>
      <c r="H29">
        <v>-13.8</v>
      </c>
      <c r="I29">
        <v>4433.9399999999996</v>
      </c>
    </row>
    <row r="30" spans="1:9" x14ac:dyDescent="0.45">
      <c r="A30" t="s">
        <v>142</v>
      </c>
      <c r="B30">
        <v>2019</v>
      </c>
      <c r="C30">
        <v>1312.83</v>
      </c>
      <c r="D30">
        <v>2875.78</v>
      </c>
      <c r="E30">
        <v>7.33</v>
      </c>
      <c r="F30">
        <v>6.5</v>
      </c>
      <c r="G30">
        <v>59.05</v>
      </c>
      <c r="H30">
        <v>-20.010000000000002</v>
      </c>
      <c r="I30">
        <v>4370.99</v>
      </c>
    </row>
    <row r="31" spans="1:9" x14ac:dyDescent="0.45">
      <c r="A31" t="s">
        <v>142</v>
      </c>
      <c r="B31">
        <v>2020</v>
      </c>
      <c r="C31">
        <v>1202.6300000000001</v>
      </c>
      <c r="D31">
        <v>2824.89</v>
      </c>
      <c r="E31">
        <v>4.6500000000000004</v>
      </c>
      <c r="F31">
        <v>5.6</v>
      </c>
      <c r="G31">
        <v>61.45</v>
      </c>
      <c r="H31">
        <v>-14.13</v>
      </c>
      <c r="I31">
        <v>4238.97</v>
      </c>
    </row>
    <row r="32" spans="1:9" x14ac:dyDescent="0.45">
      <c r="A32" t="s">
        <v>142</v>
      </c>
      <c r="B32">
        <v>2021</v>
      </c>
      <c r="C32">
        <v>1377.84</v>
      </c>
      <c r="D32">
        <v>2866.31</v>
      </c>
      <c r="E32">
        <v>5.55</v>
      </c>
      <c r="F32">
        <v>7.26</v>
      </c>
      <c r="G32">
        <v>53.17</v>
      </c>
      <c r="H32">
        <v>-13.86</v>
      </c>
      <c r="I32">
        <v>4354.0600000000004</v>
      </c>
    </row>
    <row r="33" spans="1:9" x14ac:dyDescent="0.45">
      <c r="A33" t="s">
        <v>142</v>
      </c>
      <c r="B33">
        <v>2022</v>
      </c>
      <c r="C33">
        <v>1335.73</v>
      </c>
      <c r="D33">
        <v>2928.09</v>
      </c>
      <c r="E33">
        <v>7.3</v>
      </c>
      <c r="F33">
        <v>9.44</v>
      </c>
      <c r="G33">
        <v>56.97</v>
      </c>
      <c r="H33">
        <v>-15.76</v>
      </c>
      <c r="I33">
        <v>4472.8999999999996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161</v>
      </c>
      <c r="D10" t="s">
        <v>107</v>
      </c>
      <c r="F10" t="s">
        <v>161</v>
      </c>
      <c r="G10" t="s">
        <v>132</v>
      </c>
    </row>
    <row r="11" spans="1:7" x14ac:dyDescent="0.45">
      <c r="B11" s="15"/>
      <c r="C11" s="15" t="s">
        <v>162</v>
      </c>
      <c r="D11" t="s">
        <v>156</v>
      </c>
      <c r="F11" t="s">
        <v>162</v>
      </c>
      <c r="G11" t="s">
        <v>185</v>
      </c>
    </row>
    <row r="12" spans="1:7" x14ac:dyDescent="0.45">
      <c r="B12" s="15"/>
      <c r="C12" s="15" t="s">
        <v>163</v>
      </c>
      <c r="D12" t="s">
        <v>156</v>
      </c>
      <c r="F12" t="s">
        <v>163</v>
      </c>
      <c r="G12" t="s">
        <v>186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EE1CF-F4EE-4DC9-9A2C-25895DBC3AD7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0.99999999999980071</v>
      </c>
      <c r="L11" t="s">
        <v>157</v>
      </c>
      <c r="N11" t="s">
        <v>158</v>
      </c>
      <c r="O11" t="s">
        <v>156</v>
      </c>
      <c r="P11">
        <v>0.99999999999974509</v>
      </c>
      <c r="Q11" t="s">
        <v>157</v>
      </c>
      <c r="S11" t="s">
        <v>159</v>
      </c>
      <c r="T11" t="s">
        <v>156</v>
      </c>
      <c r="U11">
        <v>0.9999999999997673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0.31012842753179237</v>
      </c>
    </row>
    <row r="12" spans="1:40" x14ac:dyDescent="0.45">
      <c r="AC12" t="s">
        <v>19</v>
      </c>
      <c r="AD12" t="s">
        <v>156</v>
      </c>
      <c r="AE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9C85F-37E6-43AD-AD8E-238463809336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160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164</v>
      </c>
      <c r="AK10" t="s">
        <v>47</v>
      </c>
      <c r="AL10" t="s">
        <v>122</v>
      </c>
      <c r="AM10" t="s">
        <v>165</v>
      </c>
      <c r="AN10" t="s">
        <v>166</v>
      </c>
    </row>
    <row r="11" spans="1:40" x14ac:dyDescent="0.45">
      <c r="A11" t="str">
        <f>IFERROR(IF(Veda!D5=A10,"ok","x"),"")</f>
        <v>x</v>
      </c>
      <c r="C11" t="s">
        <v>167</v>
      </c>
      <c r="D11" t="s">
        <v>152</v>
      </c>
      <c r="E11" t="s">
        <v>162</v>
      </c>
      <c r="F11" t="s">
        <v>168</v>
      </c>
      <c r="G11" t="s">
        <v>152</v>
      </c>
      <c r="I11" t="s">
        <v>155</v>
      </c>
      <c r="J11" t="s">
        <v>173</v>
      </c>
      <c r="K11">
        <v>0.20956675833984029</v>
      </c>
      <c r="L11" t="s">
        <v>157</v>
      </c>
      <c r="N11" t="s">
        <v>158</v>
      </c>
      <c r="O11" t="s">
        <v>173</v>
      </c>
      <c r="P11">
        <v>0.11041998512524449</v>
      </c>
      <c r="Q11" t="s">
        <v>157</v>
      </c>
      <c r="S11" t="s">
        <v>159</v>
      </c>
      <c r="T11" t="s">
        <v>173</v>
      </c>
      <c r="U11">
        <v>0.11618644592875269</v>
      </c>
      <c r="V11" t="s">
        <v>157</v>
      </c>
      <c r="X11">
        <v>0.11426940639269406</v>
      </c>
      <c r="Y11">
        <v>0.16087081189037786</v>
      </c>
      <c r="Z11" t="s">
        <v>173</v>
      </c>
      <c r="AA11" t="s">
        <v>25</v>
      </c>
      <c r="AC11" t="s">
        <v>22</v>
      </c>
      <c r="AD11" t="s">
        <v>173</v>
      </c>
      <c r="AE11">
        <v>0.10155180491906821</v>
      </c>
      <c r="AG11" t="s">
        <v>97</v>
      </c>
      <c r="AH11" t="s">
        <v>173</v>
      </c>
      <c r="AI11">
        <v>0.33866485493367748</v>
      </c>
    </row>
    <row r="12" spans="1:40" x14ac:dyDescent="0.45">
      <c r="C12" t="s">
        <v>169</v>
      </c>
      <c r="E12" t="s">
        <v>163</v>
      </c>
      <c r="G12" t="s">
        <v>152</v>
      </c>
      <c r="I12" t="s">
        <v>155</v>
      </c>
      <c r="J12" t="s">
        <v>174</v>
      </c>
      <c r="K12">
        <v>3.2273477055638569E-6</v>
      </c>
      <c r="L12" t="s">
        <v>157</v>
      </c>
      <c r="N12" t="s">
        <v>158</v>
      </c>
      <c r="O12" t="s">
        <v>174</v>
      </c>
      <c r="P12">
        <v>0.1371321787865179</v>
      </c>
      <c r="Q12" t="s">
        <v>157</v>
      </c>
      <c r="S12" t="s">
        <v>159</v>
      </c>
      <c r="T12" t="s">
        <v>174</v>
      </c>
      <c r="U12">
        <v>0.13343222210818123</v>
      </c>
      <c r="V12" t="s">
        <v>157</v>
      </c>
      <c r="X12">
        <v>0.11426940639269406</v>
      </c>
      <c r="Y12">
        <v>5.2547713165767528E-2</v>
      </c>
      <c r="Z12" t="s">
        <v>174</v>
      </c>
      <c r="AA12" t="s">
        <v>25</v>
      </c>
      <c r="AC12" t="s">
        <v>22</v>
      </c>
      <c r="AD12" t="s">
        <v>174</v>
      </c>
      <c r="AE12">
        <v>0.11458130509817691</v>
      </c>
      <c r="AG12" t="s">
        <v>97</v>
      </c>
      <c r="AH12" t="s">
        <v>174</v>
      </c>
      <c r="AI12">
        <v>0.1997435675652679</v>
      </c>
    </row>
    <row r="13" spans="1:40" x14ac:dyDescent="0.45">
      <c r="C13" t="s">
        <v>170</v>
      </c>
      <c r="E13" t="s">
        <v>171</v>
      </c>
      <c r="G13" t="s">
        <v>152</v>
      </c>
      <c r="I13" t="s">
        <v>155</v>
      </c>
      <c r="J13" t="s">
        <v>175</v>
      </c>
      <c r="K13">
        <v>1.467716973068353E-2</v>
      </c>
      <c r="L13" t="s">
        <v>157</v>
      </c>
      <c r="N13" t="s">
        <v>158</v>
      </c>
      <c r="O13" t="s">
        <v>175</v>
      </c>
      <c r="P13">
        <v>2.1088614285183455E-2</v>
      </c>
      <c r="Q13" t="s">
        <v>157</v>
      </c>
      <c r="S13" t="s">
        <v>159</v>
      </c>
      <c r="T13" t="s">
        <v>175</v>
      </c>
      <c r="U13">
        <v>2.2113011638476017E-2</v>
      </c>
      <c r="V13" t="s">
        <v>157</v>
      </c>
      <c r="X13">
        <v>2.0776255707762557E-2</v>
      </c>
      <c r="Y13">
        <v>3.5896543437005365E-2</v>
      </c>
      <c r="Z13" t="s">
        <v>175</v>
      </c>
      <c r="AA13" t="s">
        <v>25</v>
      </c>
      <c r="AC13" t="s">
        <v>22</v>
      </c>
      <c r="AD13" t="s">
        <v>175</v>
      </c>
      <c r="AE13">
        <v>2.1308388120183763E-2</v>
      </c>
      <c r="AG13" t="s">
        <v>97</v>
      </c>
      <c r="AH13" t="s">
        <v>175</v>
      </c>
      <c r="AI13">
        <v>0.13134368904318294</v>
      </c>
    </row>
    <row r="14" spans="1:40" x14ac:dyDescent="0.45">
      <c r="C14" t="s">
        <v>172</v>
      </c>
      <c r="I14" t="s">
        <v>155</v>
      </c>
      <c r="J14" t="s">
        <v>176</v>
      </c>
      <c r="K14">
        <v>0.261744706286831</v>
      </c>
      <c r="L14" t="s">
        <v>157</v>
      </c>
      <c r="N14" t="s">
        <v>158</v>
      </c>
      <c r="O14" t="s">
        <v>176</v>
      </c>
      <c r="P14">
        <v>0.1151002919830664</v>
      </c>
      <c r="Q14" t="s">
        <v>157</v>
      </c>
      <c r="S14" t="s">
        <v>159</v>
      </c>
      <c r="T14" t="s">
        <v>176</v>
      </c>
      <c r="U14">
        <v>0.11639669080665831</v>
      </c>
      <c r="V14" t="s">
        <v>157</v>
      </c>
      <c r="X14">
        <v>0.11552511415525114</v>
      </c>
      <c r="Y14">
        <v>0.16263862301005233</v>
      </c>
      <c r="Z14" t="s">
        <v>176</v>
      </c>
      <c r="AA14" t="s">
        <v>25</v>
      </c>
      <c r="AC14" t="s">
        <v>22</v>
      </c>
      <c r="AD14" t="s">
        <v>176</v>
      </c>
      <c r="AE14">
        <v>0.10521724131171241</v>
      </c>
      <c r="AG14" t="s">
        <v>97</v>
      </c>
      <c r="AH14" t="s">
        <v>176</v>
      </c>
      <c r="AI14">
        <v>0.30555351594159896</v>
      </c>
    </row>
    <row r="15" spans="1:40" x14ac:dyDescent="0.45">
      <c r="I15" t="s">
        <v>155</v>
      </c>
      <c r="J15" t="s">
        <v>177</v>
      </c>
      <c r="K15">
        <v>2.75603647353679E-3</v>
      </c>
      <c r="L15" t="s">
        <v>157</v>
      </c>
      <c r="N15" t="s">
        <v>158</v>
      </c>
      <c r="O15" t="s">
        <v>177</v>
      </c>
      <c r="P15">
        <v>0.1363578731880864</v>
      </c>
      <c r="Q15" t="s">
        <v>157</v>
      </c>
      <c r="S15" t="s">
        <v>159</v>
      </c>
      <c r="T15" t="s">
        <v>177</v>
      </c>
      <c r="U15">
        <v>0.13399951626745896</v>
      </c>
      <c r="V15" t="s">
        <v>157</v>
      </c>
      <c r="X15">
        <v>0.11552511415525114</v>
      </c>
      <c r="Y15">
        <v>5.3125160563193538E-2</v>
      </c>
      <c r="Z15" t="s">
        <v>177</v>
      </c>
      <c r="AA15" t="s">
        <v>25</v>
      </c>
      <c r="AC15" t="s">
        <v>22</v>
      </c>
      <c r="AD15" t="s">
        <v>177</v>
      </c>
      <c r="AE15">
        <v>0.11744838695684046</v>
      </c>
      <c r="AG15" t="s">
        <v>97</v>
      </c>
      <c r="AH15" t="s">
        <v>177</v>
      </c>
      <c r="AI15">
        <v>0.2339351090601447</v>
      </c>
    </row>
    <row r="16" spans="1:40" x14ac:dyDescent="0.45">
      <c r="I16" t="s">
        <v>155</v>
      </c>
      <c r="J16" t="s">
        <v>178</v>
      </c>
      <c r="K16">
        <v>3.1814831407769278E-2</v>
      </c>
      <c r="L16" t="s">
        <v>157</v>
      </c>
      <c r="N16" t="s">
        <v>158</v>
      </c>
      <c r="O16" t="s">
        <v>178</v>
      </c>
      <c r="P16">
        <v>2.1387937059486394E-2</v>
      </c>
      <c r="Q16" t="s">
        <v>157</v>
      </c>
      <c r="S16" t="s">
        <v>159</v>
      </c>
      <c r="T16" t="s">
        <v>178</v>
      </c>
      <c r="U16">
        <v>2.2629257812759606E-2</v>
      </c>
      <c r="V16" t="s">
        <v>157</v>
      </c>
      <c r="X16">
        <v>2.1004566210045664E-2</v>
      </c>
      <c r="Y16">
        <v>3.6291010947302131E-2</v>
      </c>
      <c r="Z16" t="s">
        <v>178</v>
      </c>
      <c r="AA16" t="s">
        <v>25</v>
      </c>
      <c r="AC16" t="s">
        <v>22</v>
      </c>
      <c r="AD16" t="s">
        <v>178</v>
      </c>
      <c r="AE16">
        <v>2.1929973675120208E-2</v>
      </c>
      <c r="AG16" t="s">
        <v>97</v>
      </c>
      <c r="AH16" t="s">
        <v>178</v>
      </c>
      <c r="AI16">
        <v>0.1250432988003618</v>
      </c>
    </row>
    <row r="17" spans="9:35" x14ac:dyDescent="0.45">
      <c r="I17" t="s">
        <v>155</v>
      </c>
      <c r="J17" t="s">
        <v>179</v>
      </c>
      <c r="K17">
        <v>0.2404536926108693</v>
      </c>
      <c r="L17" t="s">
        <v>157</v>
      </c>
      <c r="N17" t="s">
        <v>158</v>
      </c>
      <c r="O17" t="s">
        <v>179</v>
      </c>
      <c r="P17">
        <v>7.0665889055877035E-2</v>
      </c>
      <c r="Q17" t="s">
        <v>157</v>
      </c>
      <c r="S17" t="s">
        <v>159</v>
      </c>
      <c r="T17" t="s">
        <v>179</v>
      </c>
      <c r="U17">
        <v>7.1788688423593469E-2</v>
      </c>
      <c r="V17" t="s">
        <v>157</v>
      </c>
      <c r="X17">
        <v>0.11552511415525114</v>
      </c>
      <c r="Y17">
        <v>0.16263862301005233</v>
      </c>
      <c r="Z17" t="s">
        <v>179</v>
      </c>
      <c r="AA17" t="s">
        <v>25</v>
      </c>
      <c r="AC17" t="s">
        <v>22</v>
      </c>
      <c r="AD17" t="s">
        <v>179</v>
      </c>
      <c r="AE17">
        <v>0.10218352695667944</v>
      </c>
      <c r="AG17" t="s">
        <v>97</v>
      </c>
      <c r="AH17" t="s">
        <v>179</v>
      </c>
      <c r="AI17">
        <v>0.28663884225026814</v>
      </c>
    </row>
    <row r="18" spans="9:35" x14ac:dyDescent="0.45">
      <c r="I18" t="s">
        <v>155</v>
      </c>
      <c r="J18" t="s">
        <v>180</v>
      </c>
      <c r="K18">
        <v>6.302454684551856E-3</v>
      </c>
      <c r="L18" t="s">
        <v>157</v>
      </c>
      <c r="N18" t="s">
        <v>158</v>
      </c>
      <c r="O18" t="s">
        <v>180</v>
      </c>
      <c r="P18">
        <v>0.10649801478147493</v>
      </c>
      <c r="Q18" t="s">
        <v>157</v>
      </c>
      <c r="S18" t="s">
        <v>159</v>
      </c>
      <c r="T18" t="s">
        <v>180</v>
      </c>
      <c r="U18">
        <v>8.5554426977867498E-2</v>
      </c>
      <c r="V18" t="s">
        <v>157</v>
      </c>
      <c r="X18">
        <v>0.11552511415525114</v>
      </c>
      <c r="Y18">
        <v>5.3125160563193538E-2</v>
      </c>
      <c r="Z18" t="s">
        <v>180</v>
      </c>
      <c r="AA18" t="s">
        <v>25</v>
      </c>
      <c r="AC18" t="s">
        <v>22</v>
      </c>
      <c r="AD18" t="s">
        <v>180</v>
      </c>
      <c r="AE18">
        <v>0.11752724590106507</v>
      </c>
      <c r="AG18" t="s">
        <v>97</v>
      </c>
      <c r="AH18" t="s">
        <v>180</v>
      </c>
      <c r="AI18">
        <v>0.22731335314224888</v>
      </c>
    </row>
    <row r="19" spans="9:35" x14ac:dyDescent="0.45">
      <c r="I19" t="s">
        <v>155</v>
      </c>
      <c r="J19" t="s">
        <v>181</v>
      </c>
      <c r="K19">
        <v>2.8024359257718425E-2</v>
      </c>
      <c r="L19" t="s">
        <v>157</v>
      </c>
      <c r="N19" t="s">
        <v>158</v>
      </c>
      <c r="O19" t="s">
        <v>181</v>
      </c>
      <c r="P19">
        <v>1.4706325712066513E-2</v>
      </c>
      <c r="Q19" t="s">
        <v>157</v>
      </c>
      <c r="S19" t="s">
        <v>159</v>
      </c>
      <c r="T19" t="s">
        <v>181</v>
      </c>
      <c r="U19">
        <v>1.436643267839114E-2</v>
      </c>
      <c r="V19" t="s">
        <v>157</v>
      </c>
      <c r="X19">
        <v>2.1004566210045664E-2</v>
      </c>
      <c r="Y19">
        <v>3.6291010947302131E-2</v>
      </c>
      <c r="Z19" t="s">
        <v>181</v>
      </c>
      <c r="AA19" t="s">
        <v>25</v>
      </c>
      <c r="AC19" t="s">
        <v>22</v>
      </c>
      <c r="AD19" t="s">
        <v>181</v>
      </c>
      <c r="AE19">
        <v>2.2096502073699661E-2</v>
      </c>
      <c r="AG19" t="s">
        <v>97</v>
      </c>
      <c r="AH19" t="s">
        <v>181</v>
      </c>
      <c r="AI19">
        <v>0.15123414467120067</v>
      </c>
    </row>
    <row r="20" spans="9:35" x14ac:dyDescent="0.45">
      <c r="I20" t="s">
        <v>155</v>
      </c>
      <c r="J20" t="s">
        <v>182</v>
      </c>
      <c r="K20">
        <v>0.19238182670202175</v>
      </c>
      <c r="L20" t="s">
        <v>157</v>
      </c>
      <c r="N20" t="s">
        <v>158</v>
      </c>
      <c r="O20" t="s">
        <v>182</v>
      </c>
      <c r="P20">
        <v>0.11181043803641572</v>
      </c>
      <c r="Q20" t="s">
        <v>157</v>
      </c>
      <c r="S20" t="s">
        <v>159</v>
      </c>
      <c r="T20" t="s">
        <v>182</v>
      </c>
      <c r="U20">
        <v>0.12433344134058336</v>
      </c>
      <c r="V20" t="s">
        <v>157</v>
      </c>
      <c r="X20">
        <v>0.11301369863013698</v>
      </c>
      <c r="Y20">
        <v>0.15910300077070333</v>
      </c>
      <c r="Z20" t="s">
        <v>182</v>
      </c>
      <c r="AA20" t="s">
        <v>25</v>
      </c>
      <c r="AC20" t="s">
        <v>22</v>
      </c>
      <c r="AD20" t="s">
        <v>182</v>
      </c>
      <c r="AE20">
        <v>0.11535489473866106</v>
      </c>
      <c r="AG20" t="s">
        <v>97</v>
      </c>
      <c r="AH20" t="s">
        <v>182</v>
      </c>
      <c r="AI20">
        <v>0.28622395065893103</v>
      </c>
    </row>
    <row r="21" spans="9:35" x14ac:dyDescent="0.45">
      <c r="I21" t="s">
        <v>155</v>
      </c>
      <c r="J21" t="s">
        <v>183</v>
      </c>
      <c r="K21">
        <v>0</v>
      </c>
      <c r="L21" t="s">
        <v>157</v>
      </c>
      <c r="N21" t="s">
        <v>158</v>
      </c>
      <c r="O21" t="s">
        <v>183</v>
      </c>
      <c r="P21">
        <v>0.13397806210255855</v>
      </c>
      <c r="Q21" t="s">
        <v>157</v>
      </c>
      <c r="S21" t="s">
        <v>159</v>
      </c>
      <c r="T21" t="s">
        <v>183</v>
      </c>
      <c r="U21">
        <v>0.13523398600453715</v>
      </c>
      <c r="V21" t="s">
        <v>157</v>
      </c>
      <c r="X21">
        <v>0.11301369863013698</v>
      </c>
      <c r="Y21">
        <v>5.197026576834151E-2</v>
      </c>
      <c r="Z21" t="s">
        <v>183</v>
      </c>
      <c r="AA21" t="s">
        <v>25</v>
      </c>
      <c r="AC21" t="s">
        <v>22</v>
      </c>
      <c r="AD21" t="s">
        <v>183</v>
      </c>
      <c r="AE21">
        <v>0.13622022934862738</v>
      </c>
      <c r="AG21" t="s">
        <v>97</v>
      </c>
      <c r="AH21" t="s">
        <v>183</v>
      </c>
      <c r="AI21">
        <v>0.12585732723874177</v>
      </c>
    </row>
    <row r="22" spans="9:35" x14ac:dyDescent="0.45">
      <c r="I22" t="s">
        <v>155</v>
      </c>
      <c r="J22" t="s">
        <v>184</v>
      </c>
      <c r="K22">
        <v>1.2274937158272919E-2</v>
      </c>
      <c r="L22" t="s">
        <v>157</v>
      </c>
      <c r="N22" t="s">
        <v>158</v>
      </c>
      <c r="O22" t="s">
        <v>184</v>
      </c>
      <c r="P22">
        <v>2.0854389883767307E-2</v>
      </c>
      <c r="Q22" t="s">
        <v>157</v>
      </c>
      <c r="S22" t="s">
        <v>159</v>
      </c>
      <c r="T22" t="s">
        <v>184</v>
      </c>
      <c r="U22">
        <v>2.3965880012507917E-2</v>
      </c>
      <c r="V22" t="s">
        <v>157</v>
      </c>
      <c r="X22">
        <v>2.0547945205479451E-2</v>
      </c>
      <c r="Y22">
        <v>3.5502075926708607E-2</v>
      </c>
      <c r="Z22" t="s">
        <v>184</v>
      </c>
      <c r="AA22" t="s">
        <v>25</v>
      </c>
      <c r="AC22" t="s">
        <v>22</v>
      </c>
      <c r="AD22" t="s">
        <v>184</v>
      </c>
      <c r="AE22">
        <v>2.4580500900165482E-2</v>
      </c>
      <c r="AG22" t="s">
        <v>97</v>
      </c>
      <c r="AH22" t="s">
        <v>184</v>
      </c>
      <c r="AI22">
        <v>6.295855449191845E-2</v>
      </c>
    </row>
    <row r="23" spans="9:35" x14ac:dyDescent="0.45">
      <c r="AC23" t="s">
        <v>19</v>
      </c>
      <c r="AD23" t="s">
        <v>173</v>
      </c>
      <c r="AE23">
        <v>0.11363994771521098</v>
      </c>
    </row>
    <row r="24" spans="9:35" x14ac:dyDescent="0.45">
      <c r="AC24" t="s">
        <v>19</v>
      </c>
      <c r="AD24" t="s">
        <v>174</v>
      </c>
      <c r="AE24">
        <v>0.11469016073685019</v>
      </c>
    </row>
    <row r="25" spans="9:35" x14ac:dyDescent="0.45">
      <c r="AC25" t="s">
        <v>19</v>
      </c>
      <c r="AD25" t="s">
        <v>175</v>
      </c>
      <c r="AE25">
        <v>2.0891076924591339E-2</v>
      </c>
    </row>
    <row r="26" spans="9:35" x14ac:dyDescent="0.45">
      <c r="AC26" t="s">
        <v>19</v>
      </c>
      <c r="AD26" t="s">
        <v>176</v>
      </c>
      <c r="AE26">
        <v>0.11494280386395381</v>
      </c>
    </row>
    <row r="27" spans="9:35" x14ac:dyDescent="0.45">
      <c r="AC27" t="s">
        <v>19</v>
      </c>
      <c r="AD27" t="s">
        <v>177</v>
      </c>
      <c r="AE27">
        <v>0.11592866734678142</v>
      </c>
    </row>
    <row r="28" spans="9:35" x14ac:dyDescent="0.45">
      <c r="AC28" t="s">
        <v>19</v>
      </c>
      <c r="AD28" t="s">
        <v>178</v>
      </c>
      <c r="AE28">
        <v>2.1124344230673341E-2</v>
      </c>
    </row>
    <row r="29" spans="9:35" x14ac:dyDescent="0.45">
      <c r="AC29" t="s">
        <v>19</v>
      </c>
      <c r="AD29" t="s">
        <v>179</v>
      </c>
      <c r="AE29">
        <v>0.11479118229266953</v>
      </c>
    </row>
    <row r="30" spans="9:35" x14ac:dyDescent="0.45">
      <c r="AC30" t="s">
        <v>19</v>
      </c>
      <c r="AD30" t="s">
        <v>180</v>
      </c>
      <c r="AE30">
        <v>0.11602792761783583</v>
      </c>
    </row>
    <row r="31" spans="9:35" x14ac:dyDescent="0.45">
      <c r="AC31" t="s">
        <v>19</v>
      </c>
      <c r="AD31" t="s">
        <v>181</v>
      </c>
      <c r="AE31">
        <v>2.1154658512030074E-2</v>
      </c>
    </row>
    <row r="32" spans="9:35" x14ac:dyDescent="0.45">
      <c r="AC32" t="s">
        <v>19</v>
      </c>
      <c r="AD32" t="s">
        <v>182</v>
      </c>
      <c r="AE32">
        <v>0.11221682250674421</v>
      </c>
    </row>
    <row r="33" spans="29:31" x14ac:dyDescent="0.45">
      <c r="AC33" t="s">
        <v>19</v>
      </c>
      <c r="AD33" t="s">
        <v>183</v>
      </c>
      <c r="AE33">
        <v>0.11389862501697257</v>
      </c>
    </row>
    <row r="34" spans="29:31" x14ac:dyDescent="0.45">
      <c r="AC34" t="s">
        <v>19</v>
      </c>
      <c r="AD34" t="s">
        <v>184</v>
      </c>
      <c r="AE34">
        <v>2.0693783235686762E-2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2025-09-12T18:14:48Z</dcterms:modified>
</cp:coreProperties>
</file>