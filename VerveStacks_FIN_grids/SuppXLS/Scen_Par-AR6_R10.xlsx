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ppXLS\"/>
    </mc:Choice>
  </mc:AlternateContent>
  <xr:revisionPtr revIDLastSave="0" documentId="8_{3A719EC3-E16E-48C0-80BB-9D6B1F9C1396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<sst xmlns="http://schemas.openxmlformats.org/spreadsheetml/2006/main" count="11032" uniqueCount="291">
  <si>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</si>
  <si>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</si>
  <si>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</si>
  <si>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</si>
  <si>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</si>
  <si>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</si>
  <si>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</si>
  <si>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</si>
  <si>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</si>
  <si>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</si>
  <si>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</si>
  <si>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</si>
  <si>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</si>
  <si>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</si>
  <si>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</si>
  <si>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</si>
  <si>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</si>
  <si>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</si>
  <si>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</si>
  <si>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</si>
  <si>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</si>
  <si>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</si>
  <si>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</si>
  <si>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</si>
  <si>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</si>
  <si>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</si>
  <si>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</si>
  <si>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</si>
  <si>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</si>
  <si>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</si>
  <si>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</si>
  <si>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</si>
  <si>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</si>
  <si>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</si>
  <si>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</si>
  <si>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</si>
  <si>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</si>
  <si>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</si>
  <si>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</si>
  <si>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</si>
  <si>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</si>
  <si>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</si>
  <si>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</si>
  <si>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</si>
  <si>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</si>
  <si>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</si>
  <si>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</si>
  <si>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</si>
  <si>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</si>
  <si>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</si>
  <si>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</si>
  <si>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</si>
  <si>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</si>
  <si>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</si>
  <si>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</si>
  <si>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</si>
  <si>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</si>
  <si>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</si>
  <si>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</si>
  <si>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</si>
  <si>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</si>
  <si>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</si>
  <si>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</si>
  <si>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</si>
  <si>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</si>
  <si>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</si>
  <si>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</si>
  <si>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</si>
  <si>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</si>
  <si>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</si>
  <si>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</si>
  <si>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</si>
  <si>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</si>
  <si>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</si>
  <si>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</si>
  <si>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</si>
  <si>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</si>
  <si>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</si>
  <si>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</si>
  <si>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</si>
  <si>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</si>
  <si>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</si>
  <si>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</si>
  <si>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</si>
  <si>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</si>
  <si>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</si>
  <si>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</si>
  <si>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</si>
  <si>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</si>
  <si>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</si>
  <si>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</si>
  <si>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</si>
  <si>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</si>
  <si>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</si>
  <si>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</si>
  <si>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</si>
  <si>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</si>
  <si>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</si>
  <si>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</si>
  <si>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</si>
  <si>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</si>
  <si>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</si>
  <si>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</si>
  <si>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</si>
  <si>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</si>
  <si>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</si>
  <si>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</si>
  <si>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</si>
  <si>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</si>
  <si>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</si>
  <si>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</si>
  <si>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</si>
  <si>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</si>
  <si>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</si>
  <si>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</si>
  <si>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</si>
  <si>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</si>
  <si>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</si>
  <si>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</si>
  <si>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</si>
  <si>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</si>
  <si>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</si>
  <si>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</si>
  <si>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</si>
  <si>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</si>
  <si>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</si>
  <si>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</si>
  <si>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</si>
  <si>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</si>
  <si>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</si>
  <si>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</si>
  <si>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</si>
  <si>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</si>
  <si>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</si>
  <si>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</si>
  <si>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</si>
  <si>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</si>
  <si>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</si>
  <si>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</si>
  <si>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</si>
  <si>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</si>
  <si>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</si>
  <si>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FIN</t>
  </si>
  <si>
    <t>R10EUROPE</t>
  </si>
  <si>
    <t>Baltic pipe, strong forestry sector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</si>
  <si>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</si>
  <si>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</si>
  <si>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</si>
  <si>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</si>
  <si>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</si>
  <si>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</si>
  <si>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</si>
  <si>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</si>
  <si>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</si>
  <si>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</si>
  <si>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</si>
  <si>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</si>
  <si>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</si>
  <si>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</si>
  <si>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</si>
  <si>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</si>
  <si>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</si>
  <si>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</si>
  <si>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</si>
  <si>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</si>
  <si>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</si>
  <si>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</si>
  <si>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</si>
  <si>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</si>
  <si>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</si>
  <si>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</si>
  <si>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</si>
  <si>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</si>
  <si>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</si>
  <si>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</si>
  <si>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</si>
  <si>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</si>
  <si>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</si>
  <si>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</si>
  <si>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</si>
  <si>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</si>
  <si>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</si>
  <si>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</si>
  <si>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</si>
  <si>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</si>
  <si>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</si>
  <si>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</si>
  <si>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</si>
  <si>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</si>
  <si>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</si>
  <si>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</si>
  <si>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</si>
  <si>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</si>
  <si>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</si>
  <si>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</si>
  <si>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</si>
  <si>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</si>
  <si>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</si>
  <si>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</si>
  <si>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</si>
  <si>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</si>
  <si>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</si>
  <si>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</si>
  <si>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</si>
  <si>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</si>
  <si>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</si>
  <si>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</si>
  <si>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</si>
  <si>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</si>
  <si>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</si>
  <si>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</si>
  <si>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</si>
  <si>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</si>
  <si>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</si>
  <si>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</si>
  <si>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S02aH01,S03aH01,S01aH01,S04aH01</t>
  </si>
  <si>
    <t>N</t>
  </si>
  <si>
    <t>S04aH03,S02aH02,S01aH03,S02aH03,S01aH02,S03aH02,S03aH03,S04aH02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</si>
  <si>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</si>
  <si>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</si>
  <si>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</si>
  <si>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</si>
  <si>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</si>
  <si>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</si>
  <si>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</si>
  <si>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</si>
  <si>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</si>
  <si>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</si>
  <si>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</si>
  <si>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</si>
  <si>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</si>
  <si>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</si>
  <si>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</si>
  <si>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</si>
  <si>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</si>
  <si>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</si>
  <si>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</si>
  <si>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</si>
  <si>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</si>
  <si>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</si>
  <si>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</si>
  <si>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</si>
  <si>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</si>
  <si>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</si>
  <si>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</si>
  <si>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</si>
  <si>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</si>
  <si>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</si>
  <si>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</si>
  <si>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</si>
  <si>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</si>
  <si>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</si>
  <si>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</si>
  <si>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</si>
  <si>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</si>
  <si>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</si>
  <si>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</si>
  <si>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</si>
  <si>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</si>
  <si>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</si>
  <si>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</si>
  <si>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</si>
  <si>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</si>
  <si>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</si>
  <si>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</si>
  <si>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</si>
  <si>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S02aH02,S01aH02,S05aH02,S03aH02,S08aH02,S07aH02,S04aH02,S06aH02</t>
  </si>
  <si>
    <t>S02aH04,S02aH05,S03aH01,S03aH03,S01aH05,S03aH06,S06aH05,S06aH06,S04aH03,S07aH04,S08aH03,S04aH05,S06aH01,S02aH06,S03aH05,S05aH05,S06aH04,S08aH04,S03aH04,S08aH01,S08aH05,S01aH03,S02aH01,S05aH03,S05aH06,S01aH01,S04aH01,S04aH06,S05aH04,S06aH03,S07aH05,S01aH06,S02aH03,S07aH01,S07aH03,S08aH06,S01aH04,S05aH01,S07aH06,S04aH04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</si>
  <si>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</si>
  <si>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</si>
  <si>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</si>
  <si>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</si>
  <si>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</si>
  <si>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</si>
  <si>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</si>
  <si>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</si>
  <si>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</si>
  <si>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</si>
  <si>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</si>
  <si>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</si>
  <si>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</si>
  <si>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</si>
  <si>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</si>
  <si>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</si>
  <si>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</si>
  <si>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</si>
  <si>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</si>
  <si>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</si>
  <si>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</si>
  <si>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RaP,SaD,FaD,FaP,SaP,WaP,RaD,WaD</t>
  </si>
  <si>
    <t>FaP,SaP,RaP,WaP,SaN,WaN,RaN,FaN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</si>
</sst>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84.110000000000014</c:v>
                </c:pt>
                <c:pt idx="1">
                  <c:v>88.315500000000014</c:v>
                </c:pt>
                <c:pt idx="2">
                  <c:v>98.40870000000001</c:v>
                </c:pt>
                <c:pt idx="3">
                  <c:v>111.02520000000003</c:v>
                </c:pt>
                <c:pt idx="4">
                  <c:v>126.16500000000002</c:v>
                </c:pt>
                <c:pt idx="5">
                  <c:v>141.30480000000003</c:v>
                </c:pt>
                <c:pt idx="6">
                  <c:v>152.23910000000004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84.110000000000014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84.110000000000014</v>
      </c>
      <c r="U14" s="8">
        <f t="shared" ref="U14:Z14" si="3">$S$12*J15</f>
        <v>88.315500000000014</v>
      </c>
      <c r="V14" s="8">
        <f t="shared" si="3"/>
        <v>98.40870000000001</v>
      </c>
      <c r="W14" s="8">
        <f t="shared" si="3"/>
        <v>111.02520000000003</v>
      </c>
      <c r="X14" s="8">
        <f t="shared" si="3"/>
        <v>126.16500000000002</v>
      </c>
      <c r="Y14" s="8">
        <f t="shared" si="3"/>
        <v>141.30480000000003</v>
      </c>
      <c r="Z14" s="8">
        <f t="shared" si="3"/>
        <v>152.23910000000004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0.98408700000000016</v>
      </c>
      <c r="W18" s="6">
        <f t="shared" si="7"/>
        <v>1.1102520000000002</v>
      </c>
      <c r="X18" s="6">
        <f t="shared" si="7"/>
        <v>1.2616500000000002</v>
      </c>
      <c r="Y18" s="6">
        <f t="shared" si="7"/>
        <v>2.8260960000000006</v>
      </c>
      <c r="Z18" s="6">
        <f t="shared" si="7"/>
        <v>4.5671730000000013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30.279600000000002</v>
      </c>
      <c r="U19" s="6">
        <f t="shared" si="7"/>
        <v>28.260960000000004</v>
      </c>
      <c r="V19" s="6">
        <f t="shared" si="7"/>
        <v>30.506697000000003</v>
      </c>
      <c r="W19" s="6">
        <f t="shared" si="7"/>
        <v>32.197308000000007</v>
      </c>
      <c r="X19" s="6">
        <f t="shared" si="7"/>
        <v>36.587850000000003</v>
      </c>
      <c r="Y19" s="6">
        <f t="shared" si="7"/>
        <v>40.978392000000007</v>
      </c>
      <c r="Z19" s="6">
        <f t="shared" si="7"/>
        <v>45.671730000000011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50.466000000000008</v>
      </c>
      <c r="U20" s="6">
        <f t="shared" si="7"/>
        <v>52.989300000000007</v>
      </c>
      <c r="V20" s="6">
        <f t="shared" si="7"/>
        <v>59.04522</v>
      </c>
      <c r="W20" s="6">
        <f t="shared" si="7"/>
        <v>63.284364000000011</v>
      </c>
      <c r="X20" s="6">
        <f t="shared" si="7"/>
        <v>68.129100000000022</v>
      </c>
      <c r="Y20" s="6">
        <f t="shared" si="7"/>
        <v>73.478496000000021</v>
      </c>
      <c r="Z20" s="6">
        <f t="shared" si="7"/>
        <v>80.686723000000029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2.5233000000000003</v>
      </c>
      <c r="U21" s="6">
        <f t="shared" ref="U21:Z21" si="8">T21</f>
        <v>2.5233000000000003</v>
      </c>
      <c r="V21" s="6">
        <f t="shared" si="8"/>
        <v>2.5233000000000003</v>
      </c>
      <c r="W21" s="6">
        <f t="shared" si="8"/>
        <v>2.5233000000000003</v>
      </c>
      <c r="X21" s="6">
        <f t="shared" si="8"/>
        <v>2.5233000000000003</v>
      </c>
      <c r="Y21" s="6">
        <f t="shared" si="8"/>
        <v>2.5233000000000003</v>
      </c>
      <c r="Z21" s="6">
        <f t="shared" si="8"/>
        <v>2.5233000000000003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0.84109999999999729</v>
      </c>
      <c r="U22" s="6">
        <f t="shared" si="9"/>
        <v>4.5419399999999968</v>
      </c>
      <c r="V22" s="6">
        <f t="shared" si="9"/>
        <v>6.3334830000000011</v>
      </c>
      <c r="W22" s="6">
        <f t="shared" si="9"/>
        <v>13.020228000000003</v>
      </c>
      <c r="X22" s="6">
        <f t="shared" si="9"/>
        <v>18.924749999999989</v>
      </c>
      <c r="Y22" s="6">
        <f t="shared" si="9"/>
        <v>24.324612000000002</v>
      </c>
      <c r="Z22" s="6">
        <f t="shared" si="9"/>
        <v>23.357347000000004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19.399999999999999</v>
      </c>
      <c r="S28" t="s">
        <v>32</v>
      </c>
      <c r="T28" s="3">
        <f>Q28</f>
        <v>19.399999999999999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-6.88</v>
      </c>
      <c r="S29" t="s">
        <v>35</v>
      </c>
      <c r="T29" s="3">
        <f>-1*Q29</f>
        <v>6.88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22</v>
      </c>
      <c r="J48">
        <f t="shared" si="12"/>
        <v>21.119999999999997</v>
      </c>
      <c r="K48">
        <f t="shared" si="12"/>
        <v>22.880000000000003</v>
      </c>
      <c r="L48">
        <f t="shared" si="12"/>
        <v>22.880000000000003</v>
      </c>
      <c r="M48">
        <f t="shared" si="12"/>
        <v>21.56</v>
      </c>
      <c r="N48">
        <f t="shared" si="12"/>
        <v>21.78</v>
      </c>
      <c r="O48">
        <f t="shared" si="12"/>
        <v>22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147</v>
      </c>
      <c r="C84">
        <v>1.55</v>
      </c>
      <c r="D84">
        <v>3.2</v>
      </c>
      <c r="E84">
        <v>4</v>
      </c>
      <c r="F84" t="s">
        <v>148</v>
      </c>
    </row>
    <row r="85" spans="1:6" x14ac:dyDescent="0.45">
      <c r="A85" t="s">
        <v>32</v>
      </c>
      <c r="B85" t="s">
        <v>147</v>
      </c>
      <c r="C85">
        <v>1.016</v>
      </c>
      <c r="D85">
        <v>1.016</v>
      </c>
      <c r="E85">
        <v>1.716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18</v>
      </c>
      <c r="I11">
        <v>26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49</v>
      </c>
      <c r="D11">
        <v>32.25</v>
      </c>
      <c r="E11">
        <v>0.54</v>
      </c>
      <c r="F11">
        <v>0</v>
      </c>
      <c r="G11">
        <v>12.21</v>
      </c>
      <c r="H11">
        <v>-0.33</v>
      </c>
      <c r="I11">
        <v>69.91</v>
      </c>
    </row>
    <row r="12" spans="1:9" x14ac:dyDescent="0.45">
      <c r="A12" t="s">
        <v>142</v>
      </c>
      <c r="B12">
        <v>2001</v>
      </c>
      <c r="C12">
        <v>49.47</v>
      </c>
      <c r="D12">
        <v>34.36</v>
      </c>
      <c r="E12">
        <v>0.56999999999999995</v>
      </c>
      <c r="F12">
        <v>0</v>
      </c>
      <c r="G12">
        <v>11.77</v>
      </c>
      <c r="H12">
        <v>-1.81</v>
      </c>
      <c r="I12">
        <v>74.430000000000007</v>
      </c>
    </row>
    <row r="13" spans="1:9" x14ac:dyDescent="0.45">
      <c r="A13" t="s">
        <v>142</v>
      </c>
      <c r="B13">
        <v>2002</v>
      </c>
      <c r="C13">
        <v>50.79</v>
      </c>
      <c r="D13">
        <v>35.44</v>
      </c>
      <c r="E13">
        <v>0.59</v>
      </c>
      <c r="F13">
        <v>0</v>
      </c>
      <c r="G13">
        <v>13.46</v>
      </c>
      <c r="H13">
        <v>-1.54</v>
      </c>
      <c r="I13">
        <v>74.89</v>
      </c>
    </row>
    <row r="14" spans="1:9" x14ac:dyDescent="0.45">
      <c r="A14" t="s">
        <v>142</v>
      </c>
      <c r="B14">
        <v>2003</v>
      </c>
      <c r="C14">
        <v>52.58</v>
      </c>
      <c r="D14">
        <v>35.94</v>
      </c>
      <c r="E14">
        <v>0.63</v>
      </c>
      <c r="F14">
        <v>0</v>
      </c>
      <c r="G14">
        <v>11.88</v>
      </c>
      <c r="H14">
        <v>-7.03</v>
      </c>
      <c r="I14">
        <v>84.3</v>
      </c>
    </row>
    <row r="15" spans="1:9" x14ac:dyDescent="0.45">
      <c r="A15" t="s">
        <v>142</v>
      </c>
      <c r="B15">
        <v>2004</v>
      </c>
      <c r="C15">
        <v>53.68</v>
      </c>
      <c r="D15">
        <v>36.380000000000003</v>
      </c>
      <c r="E15">
        <v>0.63</v>
      </c>
      <c r="F15">
        <v>0</v>
      </c>
      <c r="G15">
        <v>11.67</v>
      </c>
      <c r="H15">
        <v>-6.8</v>
      </c>
      <c r="I15">
        <v>85.82</v>
      </c>
    </row>
    <row r="16" spans="1:9" x14ac:dyDescent="0.45">
      <c r="A16" t="s">
        <v>142</v>
      </c>
      <c r="B16">
        <v>2005</v>
      </c>
      <c r="C16">
        <v>49.71</v>
      </c>
      <c r="D16">
        <v>37.049999999999997</v>
      </c>
      <c r="E16">
        <v>0.65</v>
      </c>
      <c r="F16">
        <v>0</v>
      </c>
      <c r="G16">
        <v>17.95</v>
      </c>
      <c r="H16">
        <v>-0.93</v>
      </c>
      <c r="I16">
        <v>70.56</v>
      </c>
    </row>
    <row r="17" spans="1:9" x14ac:dyDescent="0.45">
      <c r="A17" t="s">
        <v>142</v>
      </c>
      <c r="B17">
        <v>2006</v>
      </c>
      <c r="C17">
        <v>54.82</v>
      </c>
      <c r="D17">
        <v>38.19</v>
      </c>
      <c r="E17">
        <v>0.68</v>
      </c>
      <c r="F17">
        <v>0</v>
      </c>
      <c r="G17">
        <v>14.12</v>
      </c>
      <c r="H17">
        <v>-2.72</v>
      </c>
      <c r="I17">
        <v>82.28</v>
      </c>
    </row>
    <row r="18" spans="1:9" x14ac:dyDescent="0.45">
      <c r="A18" t="s">
        <v>142</v>
      </c>
      <c r="B18">
        <v>2007</v>
      </c>
      <c r="C18">
        <v>54.43</v>
      </c>
      <c r="D18">
        <v>38.6</v>
      </c>
      <c r="E18">
        <v>0.72</v>
      </c>
      <c r="F18">
        <v>0</v>
      </c>
      <c r="G18">
        <v>15.42</v>
      </c>
      <c r="H18">
        <v>-2.86</v>
      </c>
      <c r="I18">
        <v>81.2</v>
      </c>
    </row>
    <row r="19" spans="1:9" x14ac:dyDescent="0.45">
      <c r="A19" t="s">
        <v>142</v>
      </c>
      <c r="B19">
        <v>2008</v>
      </c>
      <c r="C19">
        <v>50.74</v>
      </c>
      <c r="D19">
        <v>38.630000000000003</v>
      </c>
      <c r="E19">
        <v>0.73</v>
      </c>
      <c r="F19">
        <v>0</v>
      </c>
      <c r="G19">
        <v>16.11</v>
      </c>
      <c r="H19">
        <v>-3.34</v>
      </c>
      <c r="I19">
        <v>77.33</v>
      </c>
    </row>
    <row r="20" spans="1:9" x14ac:dyDescent="0.45">
      <c r="A20" t="s">
        <v>142</v>
      </c>
      <c r="B20">
        <v>2009</v>
      </c>
      <c r="C20">
        <v>43.12</v>
      </c>
      <c r="D20">
        <v>40.21</v>
      </c>
      <c r="E20">
        <v>0.72</v>
      </c>
      <c r="F20">
        <v>0</v>
      </c>
      <c r="G20">
        <v>15.46</v>
      </c>
      <c r="H20">
        <v>-3.38</v>
      </c>
      <c r="I20">
        <v>71.95</v>
      </c>
    </row>
    <row r="21" spans="1:9" x14ac:dyDescent="0.45">
      <c r="A21" t="s">
        <v>142</v>
      </c>
      <c r="B21">
        <v>2010</v>
      </c>
      <c r="C21">
        <v>47.87</v>
      </c>
      <c r="D21">
        <v>42.41</v>
      </c>
      <c r="E21">
        <v>0.74</v>
      </c>
      <c r="F21">
        <v>0</v>
      </c>
      <c r="G21">
        <v>15.72</v>
      </c>
      <c r="H21">
        <v>-5.22</v>
      </c>
      <c r="I21">
        <v>80.5</v>
      </c>
    </row>
    <row r="22" spans="1:9" x14ac:dyDescent="0.45">
      <c r="A22" t="s">
        <v>142</v>
      </c>
      <c r="B22">
        <v>2011</v>
      </c>
      <c r="C22">
        <v>46.32</v>
      </c>
      <c r="D22">
        <v>40.14</v>
      </c>
      <c r="E22">
        <v>0.73</v>
      </c>
      <c r="F22">
        <v>0</v>
      </c>
      <c r="G22">
        <v>17.66</v>
      </c>
      <c r="H22">
        <v>-3.8</v>
      </c>
      <c r="I22">
        <v>73.34</v>
      </c>
    </row>
    <row r="23" spans="1:9" x14ac:dyDescent="0.45">
      <c r="A23" t="s">
        <v>142</v>
      </c>
      <c r="B23">
        <v>2012</v>
      </c>
      <c r="C23">
        <v>45.09</v>
      </c>
      <c r="D23">
        <v>41.82</v>
      </c>
      <c r="E23">
        <v>0.74</v>
      </c>
      <c r="F23">
        <v>0</v>
      </c>
      <c r="G23">
        <v>19.09</v>
      </c>
      <c r="H23">
        <v>-1.64</v>
      </c>
      <c r="I23">
        <v>70.2</v>
      </c>
    </row>
    <row r="24" spans="1:9" x14ac:dyDescent="0.45">
      <c r="A24" t="s">
        <v>142</v>
      </c>
      <c r="B24">
        <v>2013</v>
      </c>
      <c r="C24">
        <v>45.54</v>
      </c>
      <c r="D24">
        <v>40.520000000000003</v>
      </c>
      <c r="E24">
        <v>0.73</v>
      </c>
      <c r="F24">
        <v>0</v>
      </c>
      <c r="G24">
        <v>17.59</v>
      </c>
      <c r="H24">
        <v>-1.88</v>
      </c>
      <c r="I24">
        <v>71.069999999999993</v>
      </c>
    </row>
    <row r="25" spans="1:9" x14ac:dyDescent="0.45">
      <c r="A25" t="s">
        <v>142</v>
      </c>
      <c r="B25">
        <v>2014</v>
      </c>
      <c r="C25">
        <v>44.86</v>
      </c>
      <c r="D25">
        <v>40.25</v>
      </c>
      <c r="E25">
        <v>0.72</v>
      </c>
      <c r="F25">
        <v>0</v>
      </c>
      <c r="G25">
        <v>21.62</v>
      </c>
      <c r="H25">
        <v>-3.65</v>
      </c>
      <c r="I25">
        <v>67.87</v>
      </c>
    </row>
    <row r="26" spans="1:9" x14ac:dyDescent="0.45">
      <c r="A26" t="s">
        <v>142</v>
      </c>
      <c r="B26">
        <v>2015</v>
      </c>
      <c r="C26">
        <v>43.96</v>
      </c>
      <c r="D26">
        <v>39.9</v>
      </c>
      <c r="E26">
        <v>0.7</v>
      </c>
      <c r="F26">
        <v>0</v>
      </c>
      <c r="G26">
        <v>21.46</v>
      </c>
      <c r="H26">
        <v>-5.12</v>
      </c>
      <c r="I26">
        <v>68.209999999999994</v>
      </c>
    </row>
    <row r="27" spans="1:9" x14ac:dyDescent="0.45">
      <c r="A27" t="s">
        <v>142</v>
      </c>
      <c r="B27">
        <v>2016</v>
      </c>
      <c r="C27">
        <v>44.87</v>
      </c>
      <c r="D27">
        <v>41.74</v>
      </c>
      <c r="E27">
        <v>0.7</v>
      </c>
      <c r="F27">
        <v>0.01</v>
      </c>
      <c r="G27">
        <v>22.11</v>
      </c>
      <c r="H27">
        <v>-3.16</v>
      </c>
      <c r="I27">
        <v>68.37</v>
      </c>
    </row>
    <row r="28" spans="1:9" x14ac:dyDescent="0.45">
      <c r="A28" t="s">
        <v>142</v>
      </c>
      <c r="B28">
        <v>2017</v>
      </c>
      <c r="C28">
        <v>45.19</v>
      </c>
      <c r="D28">
        <v>41.55</v>
      </c>
      <c r="E28">
        <v>0.75</v>
      </c>
      <c r="F28">
        <v>0.02</v>
      </c>
      <c r="G28">
        <v>22.2</v>
      </c>
      <c r="H28">
        <v>-1.78</v>
      </c>
      <c r="I28">
        <v>67.099999999999994</v>
      </c>
    </row>
    <row r="29" spans="1:9" x14ac:dyDescent="0.45">
      <c r="A29" t="s">
        <v>142</v>
      </c>
      <c r="B29">
        <v>2018</v>
      </c>
      <c r="C29">
        <v>46.49</v>
      </c>
      <c r="D29">
        <v>42.44</v>
      </c>
      <c r="E29">
        <v>0.8</v>
      </c>
      <c r="F29">
        <v>0.05</v>
      </c>
      <c r="G29">
        <v>22.55</v>
      </c>
      <c r="H29">
        <v>-2.61</v>
      </c>
      <c r="I29">
        <v>69.84</v>
      </c>
    </row>
    <row r="30" spans="1:9" x14ac:dyDescent="0.45">
      <c r="A30" t="s">
        <v>142</v>
      </c>
      <c r="B30">
        <v>2019</v>
      </c>
      <c r="C30">
        <v>45.55</v>
      </c>
      <c r="D30">
        <v>41.89</v>
      </c>
      <c r="E30">
        <v>0.79</v>
      </c>
      <c r="F30">
        <v>7.0000000000000007E-2</v>
      </c>
      <c r="G30">
        <v>23.94</v>
      </c>
      <c r="H30">
        <v>-3.9</v>
      </c>
      <c r="I30">
        <v>68.260000000000005</v>
      </c>
    </row>
    <row r="31" spans="1:9" x14ac:dyDescent="0.45">
      <c r="A31" t="s">
        <v>142</v>
      </c>
      <c r="B31">
        <v>2020</v>
      </c>
      <c r="C31">
        <v>43.15</v>
      </c>
      <c r="D31">
        <v>39.99</v>
      </c>
      <c r="E31">
        <v>0.69</v>
      </c>
      <c r="F31">
        <v>0.13</v>
      </c>
      <c r="G31">
        <v>21.77</v>
      </c>
      <c r="H31">
        <v>-6.67</v>
      </c>
      <c r="I31">
        <v>68.849999999999994</v>
      </c>
    </row>
    <row r="32" spans="1:9" x14ac:dyDescent="0.45">
      <c r="A32" t="s">
        <v>142</v>
      </c>
      <c r="B32">
        <v>2021</v>
      </c>
      <c r="C32">
        <v>45.3</v>
      </c>
      <c r="D32">
        <v>43.06</v>
      </c>
      <c r="E32">
        <v>0.69</v>
      </c>
      <c r="F32">
        <v>0.24</v>
      </c>
      <c r="G32">
        <v>24.49</v>
      </c>
      <c r="H32">
        <v>-6.72</v>
      </c>
      <c r="I32">
        <v>71.52</v>
      </c>
    </row>
    <row r="33" spans="1:9" x14ac:dyDescent="0.45">
      <c r="A33" t="s">
        <v>142</v>
      </c>
      <c r="B33">
        <v>2022</v>
      </c>
      <c r="C33">
        <v>41.93</v>
      </c>
      <c r="D33">
        <v>41.01</v>
      </c>
      <c r="E33">
        <v>0.69</v>
      </c>
      <c r="F33">
        <v>0.4</v>
      </c>
      <c r="G33">
        <v>19.399999999999999</v>
      </c>
      <c r="H33">
        <v>-6.88</v>
      </c>
      <c r="I33">
        <v>71.59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213</v>
      </c>
      <c r="D10" t="s">
        <v>125</v>
      </c>
      <c r="F10" t="s">
        <v>213</v>
      </c>
      <c r="G10" t="s">
        <v>127</v>
      </c>
      <c r="I10" t="s">
        <v>213</v>
      </c>
      <c r="J10" t="s">
        <v>107</v>
      </c>
      <c r="L10" t="s">
        <v>213</v>
      </c>
      <c r="M10" t="s">
        <v>132</v>
      </c>
    </row>
    <row r="11" spans="1:13" x14ac:dyDescent="0.45">
      <c r="B11" s="15"/>
      <c r="C11" s="15" t="s">
        <v>214</v>
      </c>
      <c r="D11" t="s">
        <v>215</v>
      </c>
      <c r="F11" t="s">
        <v>214</v>
      </c>
      <c r="G11" t="s">
        <v>266</v>
      </c>
      <c r="I11" t="s">
        <v>214</v>
      </c>
      <c r="J11" t="s">
        <v>270</v>
      </c>
      <c r="L11" t="s">
        <v>214</v>
      </c>
      <c r="M11" t="s">
        <v>289</v>
      </c>
    </row>
    <row r="12" spans="1:13" x14ac:dyDescent="0.45">
      <c r="B12" s="15"/>
      <c r="C12" s="15" t="s">
        <v>216</v>
      </c>
      <c r="D12" t="s">
        <v>217</v>
      </c>
      <c r="F12" t="s">
        <v>216</v>
      </c>
      <c r="G12" t="s">
        <v>267</v>
      </c>
      <c r="I12" t="s">
        <v>216</v>
      </c>
      <c r="J12" t="s">
        <v>270</v>
      </c>
      <c r="L12" t="s">
        <v>216</v>
      </c>
      <c r="M12" t="s">
        <v>290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7DE4-8F61-4670-8136-0D6475923E03}">
  <dimension ref="A9:AN29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212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218</v>
      </c>
      <c r="AK10" t="s">
        <v>47</v>
      </c>
      <c r="AL10" t="s">
        <v>122</v>
      </c>
      <c r="AM10" t="s">
        <v>219</v>
      </c>
      <c r="AN10" t="s">
        <v>220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155</v>
      </c>
      <c r="I11" t="s">
        <v>164</v>
      </c>
      <c r="J11" t="s">
        <v>165</v>
      </c>
      <c r="K11">
        <v>9.1772047064025298E-3</v>
      </c>
      <c r="L11" t="s">
        <v>166</v>
      </c>
      <c r="N11" t="s">
        <v>178</v>
      </c>
      <c r="O11" t="s">
        <v>165</v>
      </c>
      <c r="P11">
        <v>5.9020619153724967E-2</v>
      </c>
      <c r="Q11" t="s">
        <v>166</v>
      </c>
      <c r="S11" t="s">
        <v>202</v>
      </c>
      <c r="T11" t="s">
        <v>165</v>
      </c>
      <c r="U11">
        <v>5.388386079032164E-2</v>
      </c>
      <c r="V11" t="s">
        <v>166</v>
      </c>
      <c r="X11">
        <v>6.0159817351598172E-2</v>
      </c>
      <c r="Y11">
        <v>5.9344156328468789E-2</v>
      </c>
      <c r="Z11" t="s">
        <v>165</v>
      </c>
      <c r="AA11" t="s">
        <v>25</v>
      </c>
      <c r="AC11" t="s">
        <v>22</v>
      </c>
      <c r="AD11" t="s">
        <v>165</v>
      </c>
      <c r="AE11">
        <v>7.5229636690778298E-2</v>
      </c>
      <c r="AG11" t="s">
        <v>97</v>
      </c>
      <c r="AH11" t="s">
        <v>165</v>
      </c>
      <c r="AI11">
        <v>0.12008140135844347</v>
      </c>
      <c r="AK11">
        <v>2020</v>
      </c>
      <c r="AL11" t="s">
        <v>154</v>
      </c>
      <c r="AM11">
        <v>0.55720021777596307</v>
      </c>
      <c r="AN11" t="s">
        <v>221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0</v>
      </c>
      <c r="L12" t="s">
        <v>166</v>
      </c>
      <c r="N12" t="s">
        <v>178</v>
      </c>
      <c r="O12" t="s">
        <v>167</v>
      </c>
      <c r="P12">
        <v>1.3940978289114199E-2</v>
      </c>
      <c r="Q12" t="s">
        <v>166</v>
      </c>
      <c r="S12" t="s">
        <v>202</v>
      </c>
      <c r="T12" t="s">
        <v>167</v>
      </c>
      <c r="U12">
        <v>1.2741942711848031E-2</v>
      </c>
      <c r="V12" t="s">
        <v>166</v>
      </c>
      <c r="X12">
        <v>1.4155251141552512E-2</v>
      </c>
      <c r="Y12">
        <v>2.0449328327905261E-2</v>
      </c>
      <c r="Z12" t="s">
        <v>167</v>
      </c>
      <c r="AA12" t="s">
        <v>25</v>
      </c>
      <c r="AC12" t="s">
        <v>22</v>
      </c>
      <c r="AD12" t="s">
        <v>167</v>
      </c>
      <c r="AE12">
        <v>1.8882756109311529E-2</v>
      </c>
      <c r="AG12" t="s">
        <v>97</v>
      </c>
      <c r="AH12" t="s">
        <v>167</v>
      </c>
      <c r="AI12">
        <v>7.5635163289049956E-2</v>
      </c>
      <c r="AK12">
        <v>2020</v>
      </c>
      <c r="AL12" t="s">
        <v>158</v>
      </c>
      <c r="AM12">
        <v>0.57921402299297575</v>
      </c>
      <c r="AN12" t="s">
        <v>221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0</v>
      </c>
      <c r="L13" t="s">
        <v>166</v>
      </c>
      <c r="N13" t="s">
        <v>178</v>
      </c>
      <c r="O13" t="s">
        <v>168</v>
      </c>
      <c r="P13">
        <v>1.095105994397234E-2</v>
      </c>
      <c r="Q13" t="s">
        <v>166</v>
      </c>
      <c r="S13" t="s">
        <v>202</v>
      </c>
      <c r="T13" t="s">
        <v>168</v>
      </c>
      <c r="U13">
        <v>9.5723942331375975E-3</v>
      </c>
      <c r="V13" t="s">
        <v>166</v>
      </c>
      <c r="X13">
        <v>1.0616438356164383E-2</v>
      </c>
      <c r="Y13">
        <v>5.1380221929410216E-3</v>
      </c>
      <c r="Z13" t="s">
        <v>168</v>
      </c>
      <c r="AA13" t="s">
        <v>25</v>
      </c>
      <c r="AC13" t="s">
        <v>22</v>
      </c>
      <c r="AD13" t="s">
        <v>168</v>
      </c>
      <c r="AE13">
        <v>1.1594212010656885E-2</v>
      </c>
      <c r="AG13" t="s">
        <v>97</v>
      </c>
      <c r="AH13" t="s">
        <v>168</v>
      </c>
      <c r="AI13">
        <v>6.1066418085308216E-2</v>
      </c>
      <c r="AK13">
        <v>2020</v>
      </c>
      <c r="AL13" t="s">
        <v>160</v>
      </c>
      <c r="AM13">
        <v>0.48113459008211967</v>
      </c>
      <c r="AN13" t="s">
        <v>221</v>
      </c>
    </row>
    <row r="14" spans="1:40" x14ac:dyDescent="0.45">
      <c r="C14" t="s">
        <v>162</v>
      </c>
      <c r="I14" t="s">
        <v>164</v>
      </c>
      <c r="J14" t="s">
        <v>169</v>
      </c>
      <c r="K14">
        <v>0.71605014097418285</v>
      </c>
      <c r="L14" t="s">
        <v>166</v>
      </c>
      <c r="N14" t="s">
        <v>178</v>
      </c>
      <c r="O14" t="s">
        <v>169</v>
      </c>
      <c r="P14">
        <v>0.3541192315652707</v>
      </c>
      <c r="Q14" t="s">
        <v>166</v>
      </c>
      <c r="S14" t="s">
        <v>202</v>
      </c>
      <c r="T14" t="s">
        <v>169</v>
      </c>
      <c r="U14">
        <v>0.36610071606916739</v>
      </c>
      <c r="V14" t="s">
        <v>166</v>
      </c>
      <c r="X14">
        <v>0.41141552511415524</v>
      </c>
      <c r="Y14">
        <v>0.40583745618178652</v>
      </c>
      <c r="Z14" t="s">
        <v>169</v>
      </c>
      <c r="AA14" t="s">
        <v>25</v>
      </c>
      <c r="AC14" t="s">
        <v>22</v>
      </c>
      <c r="AD14" t="s">
        <v>169</v>
      </c>
      <c r="AE14">
        <v>0.41168067341053893</v>
      </c>
      <c r="AG14" t="s">
        <v>97</v>
      </c>
      <c r="AH14" t="s">
        <v>169</v>
      </c>
      <c r="AI14">
        <v>0.2851497884812364</v>
      </c>
      <c r="AK14">
        <v>2020</v>
      </c>
      <c r="AL14" t="s">
        <v>162</v>
      </c>
      <c r="AM14">
        <v>0.65552549793566539</v>
      </c>
      <c r="AN14" t="s">
        <v>221</v>
      </c>
    </row>
    <row r="15" spans="1:40" x14ac:dyDescent="0.45">
      <c r="I15" t="s">
        <v>164</v>
      </c>
      <c r="J15" t="s">
        <v>170</v>
      </c>
      <c r="K15">
        <v>0.11811385868949918</v>
      </c>
      <c r="L15" t="s">
        <v>166</v>
      </c>
      <c r="N15" t="s">
        <v>178</v>
      </c>
      <c r="O15" t="s">
        <v>170</v>
      </c>
      <c r="P15">
        <v>8.464964558060678E-2</v>
      </c>
      <c r="Q15" t="s">
        <v>166</v>
      </c>
      <c r="S15" t="s">
        <v>202</v>
      </c>
      <c r="T15" t="s">
        <v>170</v>
      </c>
      <c r="U15">
        <v>8.9337311843041597E-2</v>
      </c>
      <c r="V15" t="s">
        <v>166</v>
      </c>
      <c r="X15">
        <v>9.680365296803653E-2</v>
      </c>
      <c r="Y15">
        <v>0.13984701953277148</v>
      </c>
      <c r="Z15" t="s">
        <v>170</v>
      </c>
      <c r="AA15" t="s">
        <v>25</v>
      </c>
      <c r="AC15" t="s">
        <v>22</v>
      </c>
      <c r="AD15" t="s">
        <v>170</v>
      </c>
      <c r="AE15">
        <v>0.10073845826968215</v>
      </c>
      <c r="AG15" t="s">
        <v>97</v>
      </c>
      <c r="AH15" t="s">
        <v>170</v>
      </c>
      <c r="AI15">
        <v>0.2479809183064996</v>
      </c>
      <c r="AK15">
        <v>2021</v>
      </c>
      <c r="AL15" t="s">
        <v>154</v>
      </c>
      <c r="AM15">
        <v>0.61480275431633924</v>
      </c>
      <c r="AN15" t="s">
        <v>221</v>
      </c>
    </row>
    <row r="16" spans="1:40" x14ac:dyDescent="0.45">
      <c r="I16" t="s">
        <v>164</v>
      </c>
      <c r="J16" t="s">
        <v>171</v>
      </c>
      <c r="K16">
        <v>9.8958780631696903E-4</v>
      </c>
      <c r="L16" t="s">
        <v>166</v>
      </c>
      <c r="N16" t="s">
        <v>178</v>
      </c>
      <c r="O16" t="s">
        <v>171</v>
      </c>
      <c r="P16">
        <v>6.592940830496101E-2</v>
      </c>
      <c r="Q16" t="s">
        <v>166</v>
      </c>
      <c r="S16" t="s">
        <v>202</v>
      </c>
      <c r="T16" t="s">
        <v>171</v>
      </c>
      <c r="U16">
        <v>7.023958183017788E-2</v>
      </c>
      <c r="V16" t="s">
        <v>166</v>
      </c>
      <c r="X16">
        <v>7.260273972602739E-2</v>
      </c>
      <c r="Y16">
        <v>3.5137442093661181E-2</v>
      </c>
      <c r="Z16" t="s">
        <v>171</v>
      </c>
      <c r="AA16" t="s">
        <v>25</v>
      </c>
      <c r="AC16" t="s">
        <v>22</v>
      </c>
      <c r="AD16" t="s">
        <v>171</v>
      </c>
      <c r="AE16">
        <v>5.9190920633155231E-2</v>
      </c>
      <c r="AG16" t="s">
        <v>97</v>
      </c>
      <c r="AH16" t="s">
        <v>171</v>
      </c>
      <c r="AI16">
        <v>0.25003827329451878</v>
      </c>
      <c r="AK16">
        <v>2021</v>
      </c>
      <c r="AL16" t="s">
        <v>158</v>
      </c>
      <c r="AM16">
        <v>0.5655565200877678</v>
      </c>
      <c r="AN16" t="s">
        <v>221</v>
      </c>
    </row>
    <row r="17" spans="9:40" x14ac:dyDescent="0.45">
      <c r="I17" t="s">
        <v>164</v>
      </c>
      <c r="J17" t="s">
        <v>172</v>
      </c>
      <c r="K17">
        <v>0.12462502573766898</v>
      </c>
      <c r="L17" t="s">
        <v>166</v>
      </c>
      <c r="N17" t="s">
        <v>178</v>
      </c>
      <c r="O17" t="s">
        <v>172</v>
      </c>
      <c r="P17">
        <v>0.11929845359601997</v>
      </c>
      <c r="Q17" t="s">
        <v>166</v>
      </c>
      <c r="S17" t="s">
        <v>202</v>
      </c>
      <c r="T17" t="s">
        <v>172</v>
      </c>
      <c r="U17">
        <v>0.1230632206789125</v>
      </c>
      <c r="V17" t="s">
        <v>166</v>
      </c>
      <c r="X17">
        <v>0.11837899543378995</v>
      </c>
      <c r="Y17">
        <v>0.1167739850334386</v>
      </c>
      <c r="Z17" t="s">
        <v>172</v>
      </c>
      <c r="AA17" t="s">
        <v>25</v>
      </c>
      <c r="AC17" t="s">
        <v>22</v>
      </c>
      <c r="AD17" t="s">
        <v>172</v>
      </c>
      <c r="AE17">
        <v>0.10585505346349409</v>
      </c>
      <c r="AG17" t="s">
        <v>97</v>
      </c>
      <c r="AH17" t="s">
        <v>172</v>
      </c>
      <c r="AI17">
        <v>0.10810948620401484</v>
      </c>
      <c r="AK17">
        <v>2021</v>
      </c>
      <c r="AL17" t="s">
        <v>160</v>
      </c>
      <c r="AM17">
        <v>0.51862499010662244</v>
      </c>
      <c r="AN17" t="s">
        <v>221</v>
      </c>
    </row>
    <row r="18" spans="9:40" x14ac:dyDescent="0.45">
      <c r="I18" t="s">
        <v>164</v>
      </c>
      <c r="J18" t="s">
        <v>173</v>
      </c>
      <c r="K18">
        <v>8.0578234077755689E-3</v>
      </c>
      <c r="L18" t="s">
        <v>166</v>
      </c>
      <c r="N18" t="s">
        <v>178</v>
      </c>
      <c r="O18" t="s">
        <v>173</v>
      </c>
      <c r="P18">
        <v>3.1061236353304308E-2</v>
      </c>
      <c r="Q18" t="s">
        <v>166</v>
      </c>
      <c r="S18" t="s">
        <v>202</v>
      </c>
      <c r="T18" t="s">
        <v>173</v>
      </c>
      <c r="U18">
        <v>3.0506336174208708E-2</v>
      </c>
      <c r="V18" t="s">
        <v>166</v>
      </c>
      <c r="X18">
        <v>2.7853881278538814E-2</v>
      </c>
      <c r="Y18">
        <v>4.0239000903297448E-2</v>
      </c>
      <c r="Z18" t="s">
        <v>173</v>
      </c>
      <c r="AA18" t="s">
        <v>25</v>
      </c>
      <c r="AC18" t="s">
        <v>22</v>
      </c>
      <c r="AD18" t="s">
        <v>173</v>
      </c>
      <c r="AE18">
        <v>2.6425037863040502E-2</v>
      </c>
      <c r="AG18" t="s">
        <v>97</v>
      </c>
      <c r="AH18" t="s">
        <v>173</v>
      </c>
      <c r="AI18">
        <v>8.3883118984165783E-2</v>
      </c>
      <c r="AK18">
        <v>2021</v>
      </c>
      <c r="AL18" t="s">
        <v>162</v>
      </c>
      <c r="AM18">
        <v>0.59141198285901653</v>
      </c>
      <c r="AN18" t="s">
        <v>221</v>
      </c>
    </row>
    <row r="19" spans="9:40" x14ac:dyDescent="0.45">
      <c r="I19" t="s">
        <v>164</v>
      </c>
      <c r="J19" t="s">
        <v>174</v>
      </c>
      <c r="K19">
        <v>0</v>
      </c>
      <c r="L19" t="s">
        <v>166</v>
      </c>
      <c r="N19" t="s">
        <v>178</v>
      </c>
      <c r="O19" t="s">
        <v>174</v>
      </c>
      <c r="P19">
        <v>2.1588150114559643E-2</v>
      </c>
      <c r="Q19" t="s">
        <v>166</v>
      </c>
      <c r="S19" t="s">
        <v>202</v>
      </c>
      <c r="T19" t="s">
        <v>174</v>
      </c>
      <c r="U19">
        <v>2.4604601916127216E-2</v>
      </c>
      <c r="V19" t="s">
        <v>166</v>
      </c>
      <c r="X19">
        <v>2.0890410958904111E-2</v>
      </c>
      <c r="Y19">
        <v>1.0110301734496849E-2</v>
      </c>
      <c r="Z19" t="s">
        <v>174</v>
      </c>
      <c r="AA19" t="s">
        <v>25</v>
      </c>
      <c r="AC19" t="s">
        <v>22</v>
      </c>
      <c r="AD19" t="s">
        <v>174</v>
      </c>
      <c r="AE19">
        <v>1.4778561860199E-2</v>
      </c>
      <c r="AG19" t="s">
        <v>97</v>
      </c>
      <c r="AH19" t="s">
        <v>174</v>
      </c>
      <c r="AI19">
        <v>0.16643661571181201</v>
      </c>
      <c r="AK19">
        <v>2022</v>
      </c>
      <c r="AL19" t="s">
        <v>154</v>
      </c>
      <c r="AM19">
        <v>0.51304229842949689</v>
      </c>
      <c r="AN19" t="s">
        <v>221</v>
      </c>
    </row>
    <row r="20" spans="9:40" x14ac:dyDescent="0.45">
      <c r="I20" t="s">
        <v>164</v>
      </c>
      <c r="J20" t="s">
        <v>175</v>
      </c>
      <c r="K20">
        <v>2.2986358678152456E-2</v>
      </c>
      <c r="L20" t="s">
        <v>166</v>
      </c>
      <c r="N20" t="s">
        <v>178</v>
      </c>
      <c r="O20" t="s">
        <v>175</v>
      </c>
      <c r="P20">
        <v>0.16813497375378278</v>
      </c>
      <c r="Q20" t="s">
        <v>166</v>
      </c>
      <c r="S20" t="s">
        <v>202</v>
      </c>
      <c r="T20" t="s">
        <v>175</v>
      </c>
      <c r="U20">
        <v>0.15426520032226032</v>
      </c>
      <c r="V20" t="s">
        <v>166</v>
      </c>
      <c r="X20">
        <v>0.11837899543378995</v>
      </c>
      <c r="Y20">
        <v>0.1167739850334386</v>
      </c>
      <c r="Z20" t="s">
        <v>175</v>
      </c>
      <c r="AA20" t="s">
        <v>25</v>
      </c>
      <c r="AC20" t="s">
        <v>22</v>
      </c>
      <c r="AD20" t="s">
        <v>175</v>
      </c>
      <c r="AE20">
        <v>0.12498756895062127</v>
      </c>
      <c r="AG20" t="s">
        <v>97</v>
      </c>
      <c r="AH20" t="s">
        <v>175</v>
      </c>
      <c r="AI20">
        <v>0.1144391155152682</v>
      </c>
      <c r="AK20">
        <v>2022</v>
      </c>
      <c r="AL20" t="s">
        <v>158</v>
      </c>
      <c r="AM20">
        <v>0.53885016915079864</v>
      </c>
      <c r="AN20" t="s">
        <v>221</v>
      </c>
    </row>
    <row r="21" spans="9:40" x14ac:dyDescent="0.45">
      <c r="I21" t="s">
        <v>164</v>
      </c>
      <c r="J21" t="s">
        <v>176</v>
      </c>
      <c r="K21">
        <v>0</v>
      </c>
      <c r="L21" t="s">
        <v>166</v>
      </c>
      <c r="N21" t="s">
        <v>178</v>
      </c>
      <c r="O21" t="s">
        <v>176</v>
      </c>
      <c r="P21">
        <v>4.0599240070084454E-2</v>
      </c>
      <c r="Q21" t="s">
        <v>166</v>
      </c>
      <c r="S21" t="s">
        <v>202</v>
      </c>
      <c r="T21" t="s">
        <v>176</v>
      </c>
      <c r="U21">
        <v>3.7179193566727171E-2</v>
      </c>
      <c r="V21" t="s">
        <v>166</v>
      </c>
      <c r="X21">
        <v>2.7853881278538814E-2</v>
      </c>
      <c r="Y21">
        <v>4.0239000903297448E-2</v>
      </c>
      <c r="Z21" t="s">
        <v>176</v>
      </c>
      <c r="AA21" t="s">
        <v>25</v>
      </c>
      <c r="AC21" t="s">
        <v>22</v>
      </c>
      <c r="AD21" t="s">
        <v>176</v>
      </c>
      <c r="AE21">
        <v>3.0874511488450669E-2</v>
      </c>
      <c r="AG21" t="s">
        <v>97</v>
      </c>
      <c r="AH21" t="s">
        <v>176</v>
      </c>
      <c r="AI21">
        <v>3.9423855400439578E-2</v>
      </c>
      <c r="AK21">
        <v>2022</v>
      </c>
      <c r="AL21" t="s">
        <v>160</v>
      </c>
      <c r="AM21">
        <v>0.3579989371685719</v>
      </c>
      <c r="AN21" t="s">
        <v>221</v>
      </c>
    </row>
    <row r="22" spans="9:40" x14ac:dyDescent="0.45">
      <c r="I22" t="s">
        <v>164</v>
      </c>
      <c r="J22" t="s">
        <v>177</v>
      </c>
      <c r="K22">
        <v>0</v>
      </c>
      <c r="L22" t="s">
        <v>166</v>
      </c>
      <c r="N22" t="s">
        <v>178</v>
      </c>
      <c r="O22" t="s">
        <v>177</v>
      </c>
      <c r="P22">
        <v>3.0707003274601404E-2</v>
      </c>
      <c r="Q22" t="s">
        <v>166</v>
      </c>
      <c r="S22" t="s">
        <v>202</v>
      </c>
      <c r="T22" t="s">
        <v>177</v>
      </c>
      <c r="U22">
        <v>2.8505639864070054E-2</v>
      </c>
      <c r="V22" t="s">
        <v>166</v>
      </c>
      <c r="X22">
        <v>2.0890410958904111E-2</v>
      </c>
      <c r="Y22">
        <v>1.0110301734496849E-2</v>
      </c>
      <c r="Z22" t="s">
        <v>177</v>
      </c>
      <c r="AA22" t="s">
        <v>25</v>
      </c>
      <c r="AC22" t="s">
        <v>22</v>
      </c>
      <c r="AD22" t="s">
        <v>177</v>
      </c>
      <c r="AE22">
        <v>1.9762609250071526E-2</v>
      </c>
      <c r="AG22" t="s">
        <v>97</v>
      </c>
      <c r="AH22" t="s">
        <v>177</v>
      </c>
      <c r="AI22">
        <v>5.8868665258915653E-2</v>
      </c>
      <c r="AK22">
        <v>2022</v>
      </c>
      <c r="AL22" t="s">
        <v>162</v>
      </c>
      <c r="AM22">
        <v>0.4356619517655439</v>
      </c>
      <c r="AN22" t="s">
        <v>221</v>
      </c>
    </row>
    <row r="23" spans="9:40" x14ac:dyDescent="0.45">
      <c r="N23" t="s">
        <v>179</v>
      </c>
      <c r="O23" t="s">
        <v>165</v>
      </c>
      <c r="P23">
        <v>6.341190230004469E-2</v>
      </c>
      <c r="Q23" t="s">
        <v>166</v>
      </c>
      <c r="S23" t="s">
        <v>203</v>
      </c>
      <c r="T23" t="s">
        <v>165</v>
      </c>
      <c r="U23">
        <v>5.9625639992669496E-2</v>
      </c>
      <c r="V23" t="s">
        <v>166</v>
      </c>
      <c r="AC23" t="s">
        <v>19</v>
      </c>
      <c r="AD23" t="s">
        <v>165</v>
      </c>
      <c r="AE23">
        <v>6.0254540145399896E-2</v>
      </c>
      <c r="AK23">
        <v>2025</v>
      </c>
      <c r="AL23" t="s">
        <v>154</v>
      </c>
      <c r="AM23">
        <v>0.61280000000000001</v>
      </c>
      <c r="AN23" t="s">
        <v>221</v>
      </c>
    </row>
    <row r="24" spans="9:40" x14ac:dyDescent="0.45">
      <c r="N24" t="s">
        <v>179</v>
      </c>
      <c r="O24" t="s">
        <v>167</v>
      </c>
      <c r="P24">
        <v>1.4277098362194056E-2</v>
      </c>
      <c r="Q24" t="s">
        <v>166</v>
      </c>
      <c r="S24" t="s">
        <v>203</v>
      </c>
      <c r="T24" t="s">
        <v>167</v>
      </c>
      <c r="U24">
        <v>1.3744572323146905E-2</v>
      </c>
      <c r="V24" t="s">
        <v>166</v>
      </c>
      <c r="AC24" t="s">
        <v>19</v>
      </c>
      <c r="AD24" t="s">
        <v>167</v>
      </c>
      <c r="AE24">
        <v>1.4241110241577225E-2</v>
      </c>
      <c r="AK24">
        <v>2025</v>
      </c>
      <c r="AL24" t="s">
        <v>158</v>
      </c>
      <c r="AM24">
        <v>0.59804285714285721</v>
      </c>
      <c r="AN24" t="s">
        <v>221</v>
      </c>
    </row>
    <row r="25" spans="9:40" x14ac:dyDescent="0.45">
      <c r="N25" t="s">
        <v>179</v>
      </c>
      <c r="O25" t="s">
        <v>168</v>
      </c>
      <c r="P25">
        <v>1.0631155894921243E-2</v>
      </c>
      <c r="Q25" t="s">
        <v>166</v>
      </c>
      <c r="S25" t="s">
        <v>203</v>
      </c>
      <c r="T25" t="s">
        <v>168</v>
      </c>
      <c r="U25">
        <v>1.0136283641845814E-2</v>
      </c>
      <c r="V25" t="s">
        <v>166</v>
      </c>
      <c r="AC25" t="s">
        <v>19</v>
      </c>
      <c r="AD25" t="s">
        <v>168</v>
      </c>
      <c r="AE25">
        <v>1.0542686858679255E-2</v>
      </c>
      <c r="AK25">
        <v>2025</v>
      </c>
      <c r="AL25" t="s">
        <v>160</v>
      </c>
      <c r="AM25">
        <v>0.55774999999999997</v>
      </c>
      <c r="AN25" t="s">
        <v>221</v>
      </c>
    </row>
    <row r="26" spans="9:40" x14ac:dyDescent="0.45">
      <c r="N26" t="s">
        <v>179</v>
      </c>
      <c r="O26" t="s">
        <v>169</v>
      </c>
      <c r="P26">
        <v>0.32921655656855953</v>
      </c>
      <c r="Q26" t="s">
        <v>166</v>
      </c>
      <c r="S26" t="s">
        <v>203</v>
      </c>
      <c r="T26" t="s">
        <v>169</v>
      </c>
      <c r="U26">
        <v>0.33726635826174078</v>
      </c>
      <c r="V26" t="s">
        <v>166</v>
      </c>
      <c r="AC26" t="s">
        <v>19</v>
      </c>
      <c r="AD26" t="s">
        <v>169</v>
      </c>
      <c r="AE26">
        <v>0.4117472728546116</v>
      </c>
      <c r="AK26">
        <v>2025</v>
      </c>
      <c r="AL26" t="s">
        <v>162</v>
      </c>
      <c r="AM26">
        <v>0.62515000000000009</v>
      </c>
      <c r="AN26" t="s">
        <v>221</v>
      </c>
    </row>
    <row r="27" spans="9:40" x14ac:dyDescent="0.45">
      <c r="N27" t="s">
        <v>179</v>
      </c>
      <c r="O27" t="s">
        <v>170</v>
      </c>
      <c r="P27">
        <v>8.1234249086549512E-2</v>
      </c>
      <c r="Q27" t="s">
        <v>166</v>
      </c>
      <c r="S27" t="s">
        <v>203</v>
      </c>
      <c r="T27" t="s">
        <v>170</v>
      </c>
      <c r="U27">
        <v>7.9256680327816548E-2</v>
      </c>
      <c r="V27" t="s">
        <v>166</v>
      </c>
      <c r="AC27" t="s">
        <v>19</v>
      </c>
      <c r="AD27" t="s">
        <v>170</v>
      </c>
      <c r="AE27">
        <v>9.7090040110729553E-2</v>
      </c>
      <c r="AK27">
        <v>2026</v>
      </c>
      <c r="AL27" t="s">
        <v>154</v>
      </c>
      <c r="AM27">
        <v>0.57779999999999998</v>
      </c>
      <c r="AN27" t="s">
        <v>221</v>
      </c>
    </row>
    <row r="28" spans="9:40" x14ac:dyDescent="0.45">
      <c r="N28" t="s">
        <v>179</v>
      </c>
      <c r="O28" t="s">
        <v>171</v>
      </c>
      <c r="P28">
        <v>6.3659725914011728E-2</v>
      </c>
      <c r="Q28" t="s">
        <v>166</v>
      </c>
      <c r="S28" t="s">
        <v>203</v>
      </c>
      <c r="T28" t="s">
        <v>171</v>
      </c>
      <c r="U28">
        <v>6.322673708014509E-2</v>
      </c>
      <c r="V28" t="s">
        <v>166</v>
      </c>
      <c r="AC28" t="s">
        <v>19</v>
      </c>
      <c r="AD28" t="s">
        <v>171</v>
      </c>
      <c r="AE28">
        <v>7.1937235283240586E-2</v>
      </c>
      <c r="AK28">
        <v>2026</v>
      </c>
      <c r="AL28" t="s">
        <v>158</v>
      </c>
      <c r="AM28">
        <v>0.62291428571428575</v>
      </c>
      <c r="AN28" t="s">
        <v>221</v>
      </c>
    </row>
    <row r="29" spans="9:40" x14ac:dyDescent="0.45">
      <c r="N29" t="s">
        <v>179</v>
      </c>
      <c r="O29" t="s">
        <v>172</v>
      </c>
      <c r="P29">
        <v>0.11311835961525214</v>
      </c>
      <c r="Q29" t="s">
        <v>166</v>
      </c>
      <c r="S29" t="s">
        <v>203</v>
      </c>
      <c r="T29" t="s">
        <v>172</v>
      </c>
      <c r="U29">
        <v>0.11587825123941566</v>
      </c>
      <c r="V29" t="s">
        <v>166</v>
      </c>
      <c r="AC29" t="s">
        <v>19</v>
      </c>
      <c r="AD29" t="s">
        <v>172</v>
      </c>
      <c r="AE29">
        <v>0.11839675026376191</v>
      </c>
      <c r="AK29">
        <v>2026</v>
      </c>
      <c r="AL29" t="s">
        <v>160</v>
      </c>
      <c r="AM29">
        <v>0.55505000000000004</v>
      </c>
      <c r="AN29" t="s">
        <v>221</v>
      </c>
    </row>
    <row r="30" spans="9:40" x14ac:dyDescent="0.45">
      <c r="N30" t="s">
        <v>179</v>
      </c>
      <c r="O30" t="s">
        <v>173</v>
      </c>
      <c r="P30">
        <v>2.9141891644923829E-2</v>
      </c>
      <c r="Q30" t="s">
        <v>166</v>
      </c>
      <c r="S30" t="s">
        <v>203</v>
      </c>
      <c r="T30" t="s">
        <v>173</v>
      </c>
      <c r="U30">
        <v>2.9994088746825635E-2</v>
      </c>
      <c r="V30" t="s">
        <v>166</v>
      </c>
      <c r="AC30" t="s">
        <v>19</v>
      </c>
      <c r="AD30" t="s">
        <v>173</v>
      </c>
      <c r="AE30">
        <v>2.7939722655276736E-2</v>
      </c>
      <c r="AK30">
        <v>2026</v>
      </c>
      <c r="AL30" t="s">
        <v>162</v>
      </c>
      <c r="AM30">
        <v>0.64515</v>
      </c>
      <c r="AN30" t="s">
        <v>221</v>
      </c>
    </row>
    <row r="31" spans="9:40" x14ac:dyDescent="0.45">
      <c r="N31" t="s">
        <v>179</v>
      </c>
      <c r="O31" t="s">
        <v>174</v>
      </c>
      <c r="P31">
        <v>2.0883307842070421E-2</v>
      </c>
      <c r="Q31" t="s">
        <v>166</v>
      </c>
      <c r="S31" t="s">
        <v>203</v>
      </c>
      <c r="T31" t="s">
        <v>174</v>
      </c>
      <c r="U31">
        <v>2.2325139196769136E-2</v>
      </c>
      <c r="V31" t="s">
        <v>166</v>
      </c>
      <c r="AC31" t="s">
        <v>19</v>
      </c>
      <c r="AD31" t="s">
        <v>174</v>
      </c>
      <c r="AE31">
        <v>2.068363772465856E-2</v>
      </c>
      <c r="AK31">
        <v>2027</v>
      </c>
      <c r="AL31" t="s">
        <v>154</v>
      </c>
      <c r="AM31">
        <v>0.55959999999999999</v>
      </c>
      <c r="AN31" t="s">
        <v>221</v>
      </c>
    </row>
    <row r="32" spans="9:40" x14ac:dyDescent="0.45">
      <c r="N32" t="s">
        <v>179</v>
      </c>
      <c r="O32" t="s">
        <v>175</v>
      </c>
      <c r="P32">
        <v>0.19147959972372539</v>
      </c>
      <c r="Q32" t="s">
        <v>166</v>
      </c>
      <c r="S32" t="s">
        <v>203</v>
      </c>
      <c r="T32" t="s">
        <v>175</v>
      </c>
      <c r="U32">
        <v>0.18760083875701011</v>
      </c>
      <c r="V32" t="s">
        <v>166</v>
      </c>
      <c r="AC32" t="s">
        <v>19</v>
      </c>
      <c r="AD32" t="s">
        <v>175</v>
      </c>
      <c r="AE32">
        <v>0.11844152696997702</v>
      </c>
      <c r="AK32">
        <v>2027</v>
      </c>
      <c r="AL32" t="s">
        <v>158</v>
      </c>
      <c r="AM32">
        <v>0.54188571428571419</v>
      </c>
      <c r="AN32" t="s">
        <v>221</v>
      </c>
    </row>
    <row r="33" spans="14:40" x14ac:dyDescent="0.45">
      <c r="N33" t="s">
        <v>179</v>
      </c>
      <c r="O33" t="s">
        <v>176</v>
      </c>
      <c r="P33">
        <v>4.7007437056823691E-2</v>
      </c>
      <c r="Q33" t="s">
        <v>166</v>
      </c>
      <c r="S33" t="s">
        <v>203</v>
      </c>
      <c r="T33" t="s">
        <v>176</v>
      </c>
      <c r="U33">
        <v>4.6334218229350514E-2</v>
      </c>
      <c r="V33" t="s">
        <v>166</v>
      </c>
      <c r="AC33" t="s">
        <v>19</v>
      </c>
      <c r="AD33" t="s">
        <v>176</v>
      </c>
      <c r="AE33">
        <v>2.7947444992030709E-2</v>
      </c>
      <c r="AK33">
        <v>2027</v>
      </c>
      <c r="AL33" t="s">
        <v>160</v>
      </c>
      <c r="AM33">
        <v>0.48565000000000003</v>
      </c>
      <c r="AN33" t="s">
        <v>221</v>
      </c>
    </row>
    <row r="34" spans="14:40" x14ac:dyDescent="0.45">
      <c r="N34" t="s">
        <v>179</v>
      </c>
      <c r="O34" t="s">
        <v>177</v>
      </c>
      <c r="P34">
        <v>3.5938715990922139E-2</v>
      </c>
      <c r="Q34" t="s">
        <v>166</v>
      </c>
      <c r="S34" t="s">
        <v>203</v>
      </c>
      <c r="T34" t="s">
        <v>177</v>
      </c>
      <c r="U34">
        <v>3.4611192203265508E-2</v>
      </c>
      <c r="V34" t="s">
        <v>166</v>
      </c>
      <c r="AC34" t="s">
        <v>19</v>
      </c>
      <c r="AD34" t="s">
        <v>177</v>
      </c>
      <c r="AE34">
        <v>2.0778031900056899E-2</v>
      </c>
      <c r="AK34">
        <v>2027</v>
      </c>
      <c r="AL34" t="s">
        <v>162</v>
      </c>
      <c r="AM34">
        <v>0.51550000000000007</v>
      </c>
      <c r="AN34" t="s">
        <v>221</v>
      </c>
    </row>
    <row r="35" spans="14:40" x14ac:dyDescent="0.45">
      <c r="N35" t="s">
        <v>180</v>
      </c>
      <c r="O35" t="s">
        <v>165</v>
      </c>
      <c r="P35">
        <v>6.3336978195223811E-2</v>
      </c>
      <c r="Q35" t="s">
        <v>166</v>
      </c>
      <c r="S35" t="s">
        <v>204</v>
      </c>
      <c r="T35" t="s">
        <v>165</v>
      </c>
      <c r="U35">
        <v>5.3773098579976461E-2</v>
      </c>
      <c r="V35" t="s">
        <v>166</v>
      </c>
      <c r="AK35">
        <v>2028</v>
      </c>
      <c r="AL35" t="s">
        <v>154</v>
      </c>
      <c r="AM35">
        <v>0.57889999999999997</v>
      </c>
      <c r="AN35" t="s">
        <v>221</v>
      </c>
    </row>
    <row r="36" spans="14:40" x14ac:dyDescent="0.45">
      <c r="N36" t="s">
        <v>180</v>
      </c>
      <c r="O36" t="s">
        <v>167</v>
      </c>
      <c r="P36">
        <v>1.466665872676627E-2</v>
      </c>
      <c r="Q36" t="s">
        <v>166</v>
      </c>
      <c r="S36" t="s">
        <v>204</v>
      </c>
      <c r="T36" t="s">
        <v>167</v>
      </c>
      <c r="U36">
        <v>1.3421380679690972E-2</v>
      </c>
      <c r="V36" t="s">
        <v>166</v>
      </c>
      <c r="AK36">
        <v>2028</v>
      </c>
      <c r="AL36" t="s">
        <v>158</v>
      </c>
      <c r="AM36">
        <v>0.52972857142857144</v>
      </c>
      <c r="AN36" t="s">
        <v>221</v>
      </c>
    </row>
    <row r="37" spans="14:40" x14ac:dyDescent="0.45">
      <c r="N37" t="s">
        <v>180</v>
      </c>
      <c r="O37" t="s">
        <v>168</v>
      </c>
      <c r="P37">
        <v>1.0975844487272238E-2</v>
      </c>
      <c r="Q37" t="s">
        <v>166</v>
      </c>
      <c r="S37" t="s">
        <v>204</v>
      </c>
      <c r="T37" t="s">
        <v>168</v>
      </c>
      <c r="U37">
        <v>1.0382862496732793E-2</v>
      </c>
      <c r="V37" t="s">
        <v>166</v>
      </c>
      <c r="AK37">
        <v>2028</v>
      </c>
      <c r="AL37" t="s">
        <v>160</v>
      </c>
      <c r="AM37">
        <v>0.46794999999999998</v>
      </c>
      <c r="AN37" t="s">
        <v>221</v>
      </c>
    </row>
    <row r="38" spans="14:40" x14ac:dyDescent="0.45">
      <c r="N38" t="s">
        <v>180</v>
      </c>
      <c r="O38" t="s">
        <v>169</v>
      </c>
      <c r="P38">
        <v>0.32700700036114538</v>
      </c>
      <c r="Q38" t="s">
        <v>166</v>
      </c>
      <c r="S38" t="s">
        <v>204</v>
      </c>
      <c r="T38" t="s">
        <v>169</v>
      </c>
      <c r="U38">
        <v>0.36114832030330807</v>
      </c>
      <c r="V38" t="s">
        <v>166</v>
      </c>
      <c r="AK38">
        <v>2028</v>
      </c>
      <c r="AL38" t="s">
        <v>162</v>
      </c>
      <c r="AM38">
        <v>0.51129999999999998</v>
      </c>
      <c r="AN38" t="s">
        <v>221</v>
      </c>
    </row>
    <row r="39" spans="14:40" x14ac:dyDescent="0.45">
      <c r="N39" t="s">
        <v>180</v>
      </c>
      <c r="O39" t="s">
        <v>170</v>
      </c>
      <c r="P39">
        <v>7.88397335404417E-2</v>
      </c>
      <c r="Q39" t="s">
        <v>166</v>
      </c>
      <c r="S39" t="s">
        <v>204</v>
      </c>
      <c r="T39" t="s">
        <v>170</v>
      </c>
      <c r="U39">
        <v>9.0477237476239758E-2</v>
      </c>
      <c r="V39" t="s">
        <v>166</v>
      </c>
      <c r="AK39">
        <v>2029</v>
      </c>
      <c r="AL39" t="s">
        <v>154</v>
      </c>
      <c r="AM39">
        <v>0.65549999999999997</v>
      </c>
      <c r="AN39" t="s">
        <v>221</v>
      </c>
    </row>
    <row r="40" spans="14:40" x14ac:dyDescent="0.45">
      <c r="N40" t="s">
        <v>180</v>
      </c>
      <c r="O40" t="s">
        <v>171</v>
      </c>
      <c r="P40">
        <v>6.1434914047167936E-2</v>
      </c>
      <c r="Q40" t="s">
        <v>166</v>
      </c>
      <c r="S40" t="s">
        <v>204</v>
      </c>
      <c r="T40" t="s">
        <v>171</v>
      </c>
      <c r="U40">
        <v>6.640576906094893E-2</v>
      </c>
      <c r="V40" t="s">
        <v>166</v>
      </c>
      <c r="AK40">
        <v>2029</v>
      </c>
      <c r="AL40" t="s">
        <v>158</v>
      </c>
      <c r="AM40">
        <v>0.62597142857142862</v>
      </c>
      <c r="AN40" t="s">
        <v>221</v>
      </c>
    </row>
    <row r="41" spans="14:40" x14ac:dyDescent="0.45">
      <c r="N41" t="s">
        <v>180</v>
      </c>
      <c r="O41" t="s">
        <v>172</v>
      </c>
      <c r="P41">
        <v>0.11435048345354439</v>
      </c>
      <c r="Q41" t="s">
        <v>166</v>
      </c>
      <c r="S41" t="s">
        <v>204</v>
      </c>
      <c r="T41" t="s">
        <v>172</v>
      </c>
      <c r="U41">
        <v>0.12400386124539352</v>
      </c>
      <c r="V41" t="s">
        <v>166</v>
      </c>
      <c r="AK41">
        <v>2029</v>
      </c>
      <c r="AL41" t="s">
        <v>160</v>
      </c>
      <c r="AM41">
        <v>0.57329999999999992</v>
      </c>
      <c r="AN41" t="s">
        <v>221</v>
      </c>
    </row>
    <row r="42" spans="14:40" x14ac:dyDescent="0.45">
      <c r="N42" t="s">
        <v>180</v>
      </c>
      <c r="O42" t="s">
        <v>173</v>
      </c>
      <c r="P42">
        <v>3.07825385036384E-2</v>
      </c>
      <c r="Q42" t="s">
        <v>166</v>
      </c>
      <c r="S42" t="s">
        <v>204</v>
      </c>
      <c r="T42" t="s">
        <v>173</v>
      </c>
      <c r="U42">
        <v>3.1238173032472467E-2</v>
      </c>
      <c r="V42" t="s">
        <v>166</v>
      </c>
      <c r="AK42">
        <v>2029</v>
      </c>
      <c r="AL42" t="s">
        <v>162</v>
      </c>
      <c r="AM42">
        <v>0.63009999999999999</v>
      </c>
      <c r="AN42" t="s">
        <v>221</v>
      </c>
    </row>
    <row r="43" spans="14:40" x14ac:dyDescent="0.45">
      <c r="N43" t="s">
        <v>180</v>
      </c>
      <c r="O43" t="s">
        <v>174</v>
      </c>
      <c r="P43">
        <v>2.1930531116953058E-2</v>
      </c>
      <c r="Q43" t="s">
        <v>166</v>
      </c>
      <c r="S43" t="s">
        <v>204</v>
      </c>
      <c r="T43" t="s">
        <v>174</v>
      </c>
      <c r="U43">
        <v>2.1717202878005874E-2</v>
      </c>
      <c r="V43" t="s">
        <v>166</v>
      </c>
      <c r="AK43">
        <v>2030</v>
      </c>
      <c r="AL43" t="s">
        <v>154</v>
      </c>
      <c r="AM43">
        <v>0.52529999999999999</v>
      </c>
      <c r="AN43" t="s">
        <v>221</v>
      </c>
    </row>
    <row r="44" spans="14:40" x14ac:dyDescent="0.45">
      <c r="N44" t="s">
        <v>180</v>
      </c>
      <c r="O44" t="s">
        <v>175</v>
      </c>
      <c r="P44">
        <v>0.1936018045199818</v>
      </c>
      <c r="Q44" t="s">
        <v>166</v>
      </c>
      <c r="S44" t="s">
        <v>204</v>
      </c>
      <c r="T44" t="s">
        <v>175</v>
      </c>
      <c r="U44">
        <v>0.15975783603584692</v>
      </c>
      <c r="V44" t="s">
        <v>166</v>
      </c>
      <c r="AK44">
        <v>2030</v>
      </c>
      <c r="AL44" t="s">
        <v>158</v>
      </c>
      <c r="AM44">
        <v>0.51425714285714286</v>
      </c>
      <c r="AN44" t="s">
        <v>221</v>
      </c>
    </row>
    <row r="45" spans="14:40" x14ac:dyDescent="0.45">
      <c r="N45" t="s">
        <v>180</v>
      </c>
      <c r="O45" t="s">
        <v>176</v>
      </c>
      <c r="P45">
        <v>4.7121189410427436E-2</v>
      </c>
      <c r="Q45" t="s">
        <v>166</v>
      </c>
      <c r="S45" t="s">
        <v>204</v>
      </c>
      <c r="T45" t="s">
        <v>176</v>
      </c>
      <c r="U45">
        <v>3.8160319149303408E-2</v>
      </c>
      <c r="V45" t="s">
        <v>166</v>
      </c>
      <c r="AK45">
        <v>2030</v>
      </c>
      <c r="AL45" t="s">
        <v>160</v>
      </c>
      <c r="AM45">
        <v>0.45074999999999998</v>
      </c>
      <c r="AN45" t="s">
        <v>221</v>
      </c>
    </row>
    <row r="46" spans="14:40" x14ac:dyDescent="0.45">
      <c r="N46" t="s">
        <v>180</v>
      </c>
      <c r="O46" t="s">
        <v>177</v>
      </c>
      <c r="P46">
        <v>3.595232363744038E-2</v>
      </c>
      <c r="Q46" t="s">
        <v>166</v>
      </c>
      <c r="S46" t="s">
        <v>204</v>
      </c>
      <c r="T46" t="s">
        <v>177</v>
      </c>
      <c r="U46">
        <v>2.9513939062082495E-2</v>
      </c>
      <c r="V46" t="s">
        <v>166</v>
      </c>
      <c r="AK46">
        <v>2030</v>
      </c>
      <c r="AL46" t="s">
        <v>162</v>
      </c>
      <c r="AM46">
        <v>0.52675000000000005</v>
      </c>
      <c r="AN46" t="s">
        <v>221</v>
      </c>
    </row>
    <row r="47" spans="14:40" x14ac:dyDescent="0.45">
      <c r="N47" t="s">
        <v>181</v>
      </c>
      <c r="O47" t="s">
        <v>165</v>
      </c>
      <c r="P47">
        <v>6.8364547893563096E-2</v>
      </c>
      <c r="Q47" t="s">
        <v>166</v>
      </c>
      <c r="S47" t="s">
        <v>205</v>
      </c>
      <c r="T47" t="s">
        <v>165</v>
      </c>
      <c r="U47">
        <v>5.2938785600509353E-2</v>
      </c>
      <c r="V47" t="s">
        <v>166</v>
      </c>
      <c r="AK47">
        <v>2031</v>
      </c>
      <c r="AL47" t="s">
        <v>154</v>
      </c>
      <c r="AM47">
        <v>0.48880000000000001</v>
      </c>
      <c r="AN47" t="s">
        <v>221</v>
      </c>
    </row>
    <row r="48" spans="14:40" x14ac:dyDescent="0.45">
      <c r="N48" t="s">
        <v>181</v>
      </c>
      <c r="O48" t="s">
        <v>167</v>
      </c>
      <c r="P48">
        <v>1.5718909490820457E-2</v>
      </c>
      <c r="Q48" t="s">
        <v>166</v>
      </c>
      <c r="S48" t="s">
        <v>205</v>
      </c>
      <c r="T48" t="s">
        <v>167</v>
      </c>
      <c r="U48">
        <v>1.291373030000683E-2</v>
      </c>
      <c r="V48" t="s">
        <v>166</v>
      </c>
      <c r="AK48">
        <v>2031</v>
      </c>
      <c r="AL48" t="s">
        <v>158</v>
      </c>
      <c r="AM48">
        <v>0.54811428571428567</v>
      </c>
      <c r="AN48" t="s">
        <v>221</v>
      </c>
    </row>
    <row r="49" spans="14:40" x14ac:dyDescent="0.45">
      <c r="N49" t="s">
        <v>181</v>
      </c>
      <c r="O49" t="s">
        <v>168</v>
      </c>
      <c r="P49">
        <v>1.1292629576902104E-2</v>
      </c>
      <c r="Q49" t="s">
        <v>166</v>
      </c>
      <c r="S49" t="s">
        <v>205</v>
      </c>
      <c r="T49" t="s">
        <v>168</v>
      </c>
      <c r="U49">
        <v>9.8481101936423385E-3</v>
      </c>
      <c r="V49" t="s">
        <v>166</v>
      </c>
      <c r="AK49">
        <v>2031</v>
      </c>
      <c r="AL49" t="s">
        <v>160</v>
      </c>
      <c r="AM49">
        <v>0.47460000000000002</v>
      </c>
      <c r="AN49" t="s">
        <v>221</v>
      </c>
    </row>
    <row r="50" spans="14:40" x14ac:dyDescent="0.45">
      <c r="N50" t="s">
        <v>181</v>
      </c>
      <c r="O50" t="s">
        <v>169</v>
      </c>
      <c r="P50">
        <v>0.34257023937506859</v>
      </c>
      <c r="Q50" t="s">
        <v>166</v>
      </c>
      <c r="S50" t="s">
        <v>205</v>
      </c>
      <c r="T50" t="s">
        <v>169</v>
      </c>
      <c r="U50">
        <v>0.36804204527039031</v>
      </c>
      <c r="V50" t="s">
        <v>166</v>
      </c>
      <c r="AK50">
        <v>2031</v>
      </c>
      <c r="AL50" t="s">
        <v>162</v>
      </c>
      <c r="AM50">
        <v>0.54004999999999992</v>
      </c>
      <c r="AN50" t="s">
        <v>221</v>
      </c>
    </row>
    <row r="51" spans="14:40" x14ac:dyDescent="0.45">
      <c r="N51" t="s">
        <v>181</v>
      </c>
      <c r="O51" t="s">
        <v>170</v>
      </c>
      <c r="P51">
        <v>8.8311413650671217E-2</v>
      </c>
      <c r="Q51" t="s">
        <v>166</v>
      </c>
      <c r="S51" t="s">
        <v>205</v>
      </c>
      <c r="T51" t="s">
        <v>170</v>
      </c>
      <c r="U51">
        <v>9.0665895837752974E-2</v>
      </c>
      <c r="V51" t="s">
        <v>166</v>
      </c>
      <c r="AK51">
        <v>2032</v>
      </c>
      <c r="AL51" t="s">
        <v>154</v>
      </c>
      <c r="AM51">
        <v>0.54469999999999996</v>
      </c>
      <c r="AN51" t="s">
        <v>221</v>
      </c>
    </row>
    <row r="52" spans="14:40" x14ac:dyDescent="0.45">
      <c r="N52" t="s">
        <v>181</v>
      </c>
      <c r="O52" t="s">
        <v>171</v>
      </c>
      <c r="P52">
        <v>6.4604940932943181E-2</v>
      </c>
      <c r="Q52" t="s">
        <v>166</v>
      </c>
      <c r="S52" t="s">
        <v>205</v>
      </c>
      <c r="T52" t="s">
        <v>171</v>
      </c>
      <c r="U52">
        <v>6.6715449398627433E-2</v>
      </c>
      <c r="V52" t="s">
        <v>166</v>
      </c>
      <c r="AK52">
        <v>2032</v>
      </c>
      <c r="AL52" t="s">
        <v>158</v>
      </c>
      <c r="AM52">
        <v>0.51552857142857145</v>
      </c>
      <c r="AN52" t="s">
        <v>221</v>
      </c>
    </row>
    <row r="53" spans="14:40" x14ac:dyDescent="0.45">
      <c r="N53" t="s">
        <v>181</v>
      </c>
      <c r="O53" t="s">
        <v>172</v>
      </c>
      <c r="P53">
        <v>0.11673236419950053</v>
      </c>
      <c r="Q53" t="s">
        <v>166</v>
      </c>
      <c r="S53" t="s">
        <v>205</v>
      </c>
      <c r="T53" t="s">
        <v>172</v>
      </c>
      <c r="U53">
        <v>0.12192108798706992</v>
      </c>
      <c r="V53" t="s">
        <v>166</v>
      </c>
      <c r="AK53">
        <v>2032</v>
      </c>
      <c r="AL53" t="s">
        <v>160</v>
      </c>
      <c r="AM53">
        <v>0.48180000000000001</v>
      </c>
      <c r="AN53" t="s">
        <v>221</v>
      </c>
    </row>
    <row r="54" spans="14:40" x14ac:dyDescent="0.45">
      <c r="N54" t="s">
        <v>181</v>
      </c>
      <c r="O54" t="s">
        <v>173</v>
      </c>
      <c r="P54">
        <v>3.0289962261849303E-2</v>
      </c>
      <c r="Q54" t="s">
        <v>166</v>
      </c>
      <c r="S54" t="s">
        <v>205</v>
      </c>
      <c r="T54" t="s">
        <v>173</v>
      </c>
      <c r="U54">
        <v>3.0540436047252633E-2</v>
      </c>
      <c r="V54" t="s">
        <v>166</v>
      </c>
      <c r="AK54">
        <v>2032</v>
      </c>
      <c r="AL54" t="s">
        <v>162</v>
      </c>
      <c r="AM54">
        <v>0.56559999999999999</v>
      </c>
      <c r="AN54" t="s">
        <v>221</v>
      </c>
    </row>
    <row r="55" spans="14:40" x14ac:dyDescent="0.45">
      <c r="N55" t="s">
        <v>181</v>
      </c>
      <c r="O55" t="s">
        <v>174</v>
      </c>
      <c r="P55">
        <v>2.2600497747398935E-2</v>
      </c>
      <c r="Q55" t="s">
        <v>166</v>
      </c>
      <c r="S55" t="s">
        <v>205</v>
      </c>
      <c r="T55" t="s">
        <v>174</v>
      </c>
      <c r="U55">
        <v>2.2008455503062133E-2</v>
      </c>
      <c r="V55" t="s">
        <v>166</v>
      </c>
      <c r="AK55">
        <v>2033</v>
      </c>
      <c r="AL55" t="s">
        <v>154</v>
      </c>
      <c r="AM55">
        <v>0.48370000000000002</v>
      </c>
      <c r="AN55" t="s">
        <v>221</v>
      </c>
    </row>
    <row r="56" spans="14:40" x14ac:dyDescent="0.45">
      <c r="N56" t="s">
        <v>181</v>
      </c>
      <c r="O56" t="s">
        <v>175</v>
      </c>
      <c r="P56">
        <v>0.16787198491362001</v>
      </c>
      <c r="Q56" t="s">
        <v>166</v>
      </c>
      <c r="S56" t="s">
        <v>205</v>
      </c>
      <c r="T56" t="s">
        <v>175</v>
      </c>
      <c r="U56">
        <v>0.15723519949931922</v>
      </c>
      <c r="V56" t="s">
        <v>166</v>
      </c>
      <c r="AK56">
        <v>2033</v>
      </c>
      <c r="AL56" t="s">
        <v>158</v>
      </c>
      <c r="AM56">
        <v>0.51514285714285712</v>
      </c>
      <c r="AN56" t="s">
        <v>221</v>
      </c>
    </row>
    <row r="57" spans="14:40" x14ac:dyDescent="0.45">
      <c r="N57" t="s">
        <v>181</v>
      </c>
      <c r="O57" t="s">
        <v>176</v>
      </c>
      <c r="P57">
        <v>4.0961784671204385E-2</v>
      </c>
      <c r="Q57" t="s">
        <v>166</v>
      </c>
      <c r="S57" t="s">
        <v>205</v>
      </c>
      <c r="T57" t="s">
        <v>176</v>
      </c>
      <c r="U57">
        <v>3.8363186507089156E-2</v>
      </c>
      <c r="V57" t="s">
        <v>166</v>
      </c>
      <c r="AK57">
        <v>2033</v>
      </c>
      <c r="AL57" t="s">
        <v>160</v>
      </c>
      <c r="AM57">
        <v>0.51934999999999998</v>
      </c>
      <c r="AN57" t="s">
        <v>221</v>
      </c>
    </row>
    <row r="58" spans="14:40" x14ac:dyDescent="0.45">
      <c r="N58" t="s">
        <v>181</v>
      </c>
      <c r="O58" t="s">
        <v>177</v>
      </c>
      <c r="P58">
        <v>3.0680725286459477E-2</v>
      </c>
      <c r="Q58" t="s">
        <v>166</v>
      </c>
      <c r="S58" t="s">
        <v>205</v>
      </c>
      <c r="T58" t="s">
        <v>177</v>
      </c>
      <c r="U58">
        <v>2.8807617855279449E-2</v>
      </c>
      <c r="V58" t="s">
        <v>166</v>
      </c>
      <c r="AK58">
        <v>2033</v>
      </c>
      <c r="AL58" t="s">
        <v>162</v>
      </c>
      <c r="AM58">
        <v>0.53665000000000007</v>
      </c>
      <c r="AN58" t="s">
        <v>221</v>
      </c>
    </row>
    <row r="59" spans="14:40" x14ac:dyDescent="0.45">
      <c r="N59" t="s">
        <v>182</v>
      </c>
      <c r="O59" t="s">
        <v>165</v>
      </c>
      <c r="P59">
        <v>6.7340569827762597E-2</v>
      </c>
      <c r="Q59" t="s">
        <v>166</v>
      </c>
      <c r="S59" t="s">
        <v>206</v>
      </c>
      <c r="T59" t="s">
        <v>165</v>
      </c>
      <c r="U59">
        <v>7.1134580725369767E-2</v>
      </c>
      <c r="V59" t="s">
        <v>166</v>
      </c>
      <c r="AK59">
        <v>2034</v>
      </c>
      <c r="AL59" t="s">
        <v>154</v>
      </c>
      <c r="AM59">
        <v>0.62749999999999995</v>
      </c>
      <c r="AN59" t="s">
        <v>221</v>
      </c>
    </row>
    <row r="60" spans="14:40" x14ac:dyDescent="0.45">
      <c r="N60" t="s">
        <v>182</v>
      </c>
      <c r="O60" t="s">
        <v>167</v>
      </c>
      <c r="P60">
        <v>1.5405418998453303E-2</v>
      </c>
      <c r="Q60" t="s">
        <v>166</v>
      </c>
      <c r="S60" t="s">
        <v>206</v>
      </c>
      <c r="T60" t="s">
        <v>167</v>
      </c>
      <c r="U60">
        <v>1.6122499188641764E-2</v>
      </c>
      <c r="V60" t="s">
        <v>166</v>
      </c>
      <c r="AK60">
        <v>2034</v>
      </c>
      <c r="AL60" t="s">
        <v>158</v>
      </c>
      <c r="AM60">
        <v>0.57687142857142859</v>
      </c>
      <c r="AN60" t="s">
        <v>221</v>
      </c>
    </row>
    <row r="61" spans="14:40" x14ac:dyDescent="0.45">
      <c r="N61" t="s">
        <v>182</v>
      </c>
      <c r="O61" t="s">
        <v>168</v>
      </c>
      <c r="P61">
        <v>1.0950883873507823E-2</v>
      </c>
      <c r="Q61" t="s">
        <v>166</v>
      </c>
      <c r="S61" t="s">
        <v>206</v>
      </c>
      <c r="T61" t="s">
        <v>168</v>
      </c>
      <c r="U61">
        <v>1.191820445174265E-2</v>
      </c>
      <c r="V61" t="s">
        <v>166</v>
      </c>
      <c r="AK61">
        <v>2034</v>
      </c>
      <c r="AL61" t="s">
        <v>160</v>
      </c>
      <c r="AM61">
        <v>0.58115000000000006</v>
      </c>
      <c r="AN61" t="s">
        <v>221</v>
      </c>
    </row>
    <row r="62" spans="14:40" x14ac:dyDescent="0.45">
      <c r="N62" t="s">
        <v>182</v>
      </c>
      <c r="O62" t="s">
        <v>169</v>
      </c>
      <c r="P62">
        <v>0.32246895419281174</v>
      </c>
      <c r="Q62" t="s">
        <v>166</v>
      </c>
      <c r="S62" t="s">
        <v>206</v>
      </c>
      <c r="T62" t="s">
        <v>169</v>
      </c>
      <c r="U62">
        <v>0.32130731939202123</v>
      </c>
      <c r="V62" t="s">
        <v>166</v>
      </c>
      <c r="AK62">
        <v>2034</v>
      </c>
      <c r="AL62" t="s">
        <v>162</v>
      </c>
      <c r="AM62">
        <v>0.58260000000000001</v>
      </c>
      <c r="AN62" t="s">
        <v>221</v>
      </c>
    </row>
    <row r="63" spans="14:40" x14ac:dyDescent="0.45">
      <c r="N63" t="s">
        <v>182</v>
      </c>
      <c r="O63" t="s">
        <v>170</v>
      </c>
      <c r="P63">
        <v>8.4787026958238282E-2</v>
      </c>
      <c r="Q63" t="s">
        <v>166</v>
      </c>
      <c r="S63" t="s">
        <v>206</v>
      </c>
      <c r="T63" t="s">
        <v>170</v>
      </c>
      <c r="U63">
        <v>8.8188302664811938E-2</v>
      </c>
      <c r="V63" t="s">
        <v>166</v>
      </c>
      <c r="AK63">
        <v>2035</v>
      </c>
      <c r="AL63" t="s">
        <v>154</v>
      </c>
      <c r="AM63">
        <v>0.6069</v>
      </c>
      <c r="AN63" t="s">
        <v>221</v>
      </c>
    </row>
    <row r="64" spans="14:40" x14ac:dyDescent="0.45">
      <c r="N64" t="s">
        <v>182</v>
      </c>
      <c r="O64" t="s">
        <v>171</v>
      </c>
      <c r="P64">
        <v>6.5187743999805578E-2</v>
      </c>
      <c r="Q64" t="s">
        <v>166</v>
      </c>
      <c r="S64" t="s">
        <v>206</v>
      </c>
      <c r="T64" t="s">
        <v>171</v>
      </c>
      <c r="U64">
        <v>6.2686416180641386E-2</v>
      </c>
      <c r="V64" t="s">
        <v>166</v>
      </c>
      <c r="AK64">
        <v>2035</v>
      </c>
      <c r="AL64" t="s">
        <v>158</v>
      </c>
      <c r="AM64">
        <v>0.58975714285714287</v>
      </c>
      <c r="AN64" t="s">
        <v>221</v>
      </c>
    </row>
    <row r="65" spans="14:40" x14ac:dyDescent="0.45">
      <c r="N65" t="s">
        <v>182</v>
      </c>
      <c r="O65" t="s">
        <v>172</v>
      </c>
      <c r="P65">
        <v>0.11406930762501333</v>
      </c>
      <c r="Q65" t="s">
        <v>166</v>
      </c>
      <c r="S65" t="s">
        <v>206</v>
      </c>
      <c r="T65" t="s">
        <v>172</v>
      </c>
      <c r="U65">
        <v>0.11528132892681647</v>
      </c>
      <c r="V65" t="s">
        <v>166</v>
      </c>
      <c r="AK65">
        <v>2035</v>
      </c>
      <c r="AL65" t="s">
        <v>160</v>
      </c>
      <c r="AM65">
        <v>0.58074999999999999</v>
      </c>
      <c r="AN65" t="s">
        <v>221</v>
      </c>
    </row>
    <row r="66" spans="14:40" x14ac:dyDescent="0.45">
      <c r="N66" t="s">
        <v>182</v>
      </c>
      <c r="O66" t="s">
        <v>173</v>
      </c>
      <c r="P66">
        <v>2.9985024028610797E-2</v>
      </c>
      <c r="Q66" t="s">
        <v>166</v>
      </c>
      <c r="S66" t="s">
        <v>206</v>
      </c>
      <c r="T66" t="s">
        <v>173</v>
      </c>
      <c r="U66">
        <v>3.1932702799462531E-2</v>
      </c>
      <c r="V66" t="s">
        <v>166</v>
      </c>
      <c r="AK66">
        <v>2035</v>
      </c>
      <c r="AL66" t="s">
        <v>162</v>
      </c>
      <c r="AM66">
        <v>0.66800000000000004</v>
      </c>
      <c r="AN66" t="s">
        <v>221</v>
      </c>
    </row>
    <row r="67" spans="14:40" x14ac:dyDescent="0.45">
      <c r="N67" t="s">
        <v>182</v>
      </c>
      <c r="O67" t="s">
        <v>174</v>
      </c>
      <c r="P67">
        <v>2.2314324610341538E-2</v>
      </c>
      <c r="Q67" t="s">
        <v>166</v>
      </c>
      <c r="S67" t="s">
        <v>206</v>
      </c>
      <c r="T67" t="s">
        <v>174</v>
      </c>
      <c r="U67">
        <v>2.3229139769863311E-2</v>
      </c>
      <c r="V67" t="s">
        <v>166</v>
      </c>
      <c r="AK67">
        <v>2036</v>
      </c>
      <c r="AL67" t="s">
        <v>154</v>
      </c>
      <c r="AM67">
        <v>0.56030000000000002</v>
      </c>
      <c r="AN67" t="s">
        <v>221</v>
      </c>
    </row>
    <row r="68" spans="14:40" x14ac:dyDescent="0.45">
      <c r="N68" t="s">
        <v>182</v>
      </c>
      <c r="O68" t="s">
        <v>175</v>
      </c>
      <c r="P68">
        <v>0.18632401556889056</v>
      </c>
      <c r="Q68" t="s">
        <v>166</v>
      </c>
      <c r="S68" t="s">
        <v>206</v>
      </c>
      <c r="T68" t="s">
        <v>175</v>
      </c>
      <c r="U68">
        <v>0.18132608319057081</v>
      </c>
      <c r="V68" t="s">
        <v>166</v>
      </c>
      <c r="AK68">
        <v>2036</v>
      </c>
      <c r="AL68" t="s">
        <v>158</v>
      </c>
      <c r="AM68">
        <v>0.61435714285714293</v>
      </c>
      <c r="AN68" t="s">
        <v>221</v>
      </c>
    </row>
    <row r="69" spans="14:40" x14ac:dyDescent="0.45">
      <c r="N69" t="s">
        <v>182</v>
      </c>
      <c r="O69" t="s">
        <v>176</v>
      </c>
      <c r="P69">
        <v>4.5991919862248341E-2</v>
      </c>
      <c r="Q69" t="s">
        <v>166</v>
      </c>
      <c r="S69" t="s">
        <v>206</v>
      </c>
      <c r="T69" t="s">
        <v>176</v>
      </c>
      <c r="U69">
        <v>4.3810410116389545E-2</v>
      </c>
      <c r="V69" t="s">
        <v>166</v>
      </c>
      <c r="AK69">
        <v>2036</v>
      </c>
      <c r="AL69" t="s">
        <v>160</v>
      </c>
      <c r="AM69">
        <v>0.53889999999999993</v>
      </c>
      <c r="AN69" t="s">
        <v>221</v>
      </c>
    </row>
    <row r="70" spans="14:40" x14ac:dyDescent="0.45">
      <c r="N70" t="s">
        <v>182</v>
      </c>
      <c r="O70" t="s">
        <v>177</v>
      </c>
      <c r="P70">
        <v>3.5174810454315211E-2</v>
      </c>
      <c r="Q70" t="s">
        <v>166</v>
      </c>
      <c r="S70" t="s">
        <v>206</v>
      </c>
      <c r="T70" t="s">
        <v>177</v>
      </c>
      <c r="U70">
        <v>3.3063012593666521E-2</v>
      </c>
      <c r="V70" t="s">
        <v>166</v>
      </c>
      <c r="AK70">
        <v>2036</v>
      </c>
      <c r="AL70" t="s">
        <v>162</v>
      </c>
      <c r="AM70">
        <v>0.65549999999999997</v>
      </c>
      <c r="AN70" t="s">
        <v>221</v>
      </c>
    </row>
    <row r="71" spans="14:40" x14ac:dyDescent="0.45">
      <c r="N71" t="s">
        <v>183</v>
      </c>
      <c r="O71" t="s">
        <v>165</v>
      </c>
      <c r="P71">
        <v>6.6959868764198266E-2</v>
      </c>
      <c r="Q71" t="s">
        <v>166</v>
      </c>
      <c r="S71" t="s">
        <v>207</v>
      </c>
      <c r="T71" t="s">
        <v>165</v>
      </c>
      <c r="U71">
        <v>6.9622564281246746E-2</v>
      </c>
      <c r="V71" t="s">
        <v>166</v>
      </c>
      <c r="AK71">
        <v>2037</v>
      </c>
      <c r="AL71" t="s">
        <v>154</v>
      </c>
      <c r="AM71">
        <v>0.63429999999999997</v>
      </c>
      <c r="AN71" t="s">
        <v>221</v>
      </c>
    </row>
    <row r="72" spans="14:40" x14ac:dyDescent="0.45">
      <c r="N72" t="s">
        <v>183</v>
      </c>
      <c r="O72" t="s">
        <v>167</v>
      </c>
      <c r="P72">
        <v>1.5934263133209128E-2</v>
      </c>
      <c r="Q72" t="s">
        <v>166</v>
      </c>
      <c r="S72" t="s">
        <v>207</v>
      </c>
      <c r="T72" t="s">
        <v>167</v>
      </c>
      <c r="U72">
        <v>1.5847446833010786E-2</v>
      </c>
      <c r="V72" t="s">
        <v>166</v>
      </c>
      <c r="AK72">
        <v>2037</v>
      </c>
      <c r="AL72" t="s">
        <v>158</v>
      </c>
      <c r="AM72">
        <v>0.60354285714285716</v>
      </c>
      <c r="AN72" t="s">
        <v>221</v>
      </c>
    </row>
    <row r="73" spans="14:40" x14ac:dyDescent="0.45">
      <c r="N73" t="s">
        <v>183</v>
      </c>
      <c r="O73" t="s">
        <v>168</v>
      </c>
      <c r="P73">
        <v>1.1678529400255988E-2</v>
      </c>
      <c r="Q73" t="s">
        <v>166</v>
      </c>
      <c r="S73" t="s">
        <v>207</v>
      </c>
      <c r="T73" t="s">
        <v>168</v>
      </c>
      <c r="U73">
        <v>1.1714040037655013E-2</v>
      </c>
      <c r="V73" t="s">
        <v>166</v>
      </c>
      <c r="AK73">
        <v>2037</v>
      </c>
      <c r="AL73" t="s">
        <v>160</v>
      </c>
      <c r="AM73">
        <v>0.54659999999999997</v>
      </c>
      <c r="AN73" t="s">
        <v>221</v>
      </c>
    </row>
    <row r="74" spans="14:40" x14ac:dyDescent="0.45">
      <c r="N74" t="s">
        <v>183</v>
      </c>
      <c r="O74" t="s">
        <v>169</v>
      </c>
      <c r="P74">
        <v>0.31504598435985515</v>
      </c>
      <c r="Q74" t="s">
        <v>166</v>
      </c>
      <c r="S74" t="s">
        <v>207</v>
      </c>
      <c r="T74" t="s">
        <v>169</v>
      </c>
      <c r="U74">
        <v>0.31762187696280753</v>
      </c>
      <c r="V74" t="s">
        <v>166</v>
      </c>
      <c r="AK74">
        <v>2037</v>
      </c>
      <c r="AL74" t="s">
        <v>162</v>
      </c>
      <c r="AM74">
        <v>0.61319999999999997</v>
      </c>
      <c r="AN74" t="s">
        <v>221</v>
      </c>
    </row>
    <row r="75" spans="14:40" x14ac:dyDescent="0.45">
      <c r="N75" t="s">
        <v>183</v>
      </c>
      <c r="O75" t="s">
        <v>170</v>
      </c>
      <c r="P75">
        <v>8.6681784201152717E-2</v>
      </c>
      <c r="Q75" t="s">
        <v>166</v>
      </c>
      <c r="S75" t="s">
        <v>207</v>
      </c>
      <c r="T75" t="s">
        <v>170</v>
      </c>
      <c r="U75">
        <v>8.5308990694430958E-2</v>
      </c>
      <c r="V75" t="s">
        <v>166</v>
      </c>
      <c r="AK75">
        <v>2038</v>
      </c>
      <c r="AL75" t="s">
        <v>154</v>
      </c>
      <c r="AM75">
        <v>0.63149999999999995</v>
      </c>
      <c r="AN75" t="s">
        <v>221</v>
      </c>
    </row>
    <row r="76" spans="14:40" x14ac:dyDescent="0.45">
      <c r="N76" t="s">
        <v>183</v>
      </c>
      <c r="O76" t="s">
        <v>171</v>
      </c>
      <c r="P76">
        <v>6.6516335370576926E-2</v>
      </c>
      <c r="Q76" t="s">
        <v>166</v>
      </c>
      <c r="S76" t="s">
        <v>207</v>
      </c>
      <c r="T76" t="s">
        <v>171</v>
      </c>
      <c r="U76">
        <v>6.5709672732360128E-2</v>
      </c>
      <c r="V76" t="s">
        <v>166</v>
      </c>
      <c r="AK76">
        <v>2038</v>
      </c>
      <c r="AL76" t="s">
        <v>158</v>
      </c>
      <c r="AM76">
        <v>0.58857142857142863</v>
      </c>
      <c r="AN76" t="s">
        <v>221</v>
      </c>
    </row>
    <row r="77" spans="14:40" x14ac:dyDescent="0.45">
      <c r="N77" t="s">
        <v>183</v>
      </c>
      <c r="O77" t="s">
        <v>172</v>
      </c>
      <c r="P77">
        <v>0.10924125652734029</v>
      </c>
      <c r="Q77" t="s">
        <v>166</v>
      </c>
      <c r="S77" t="s">
        <v>207</v>
      </c>
      <c r="T77" t="s">
        <v>172</v>
      </c>
      <c r="U77">
        <v>0.11614003791626311</v>
      </c>
      <c r="V77" t="s">
        <v>166</v>
      </c>
      <c r="AK77">
        <v>2038</v>
      </c>
      <c r="AL77" t="s">
        <v>160</v>
      </c>
      <c r="AM77">
        <v>0.50214999999999999</v>
      </c>
      <c r="AN77" t="s">
        <v>221</v>
      </c>
    </row>
    <row r="78" spans="14:40" x14ac:dyDescent="0.45">
      <c r="N78" t="s">
        <v>183</v>
      </c>
      <c r="O78" t="s">
        <v>173</v>
      </c>
      <c r="P78">
        <v>3.0339108690041989E-2</v>
      </c>
      <c r="Q78" t="s">
        <v>166</v>
      </c>
      <c r="S78" t="s">
        <v>207</v>
      </c>
      <c r="T78" t="s">
        <v>173</v>
      </c>
      <c r="U78">
        <v>2.9988998375485097E-2</v>
      </c>
      <c r="V78" t="s">
        <v>166</v>
      </c>
      <c r="AK78">
        <v>2038</v>
      </c>
      <c r="AL78" t="s">
        <v>162</v>
      </c>
      <c r="AM78">
        <v>0.59654999999999991</v>
      </c>
      <c r="AN78" t="s">
        <v>221</v>
      </c>
    </row>
    <row r="79" spans="14:40" x14ac:dyDescent="0.45">
      <c r="N79" t="s">
        <v>183</v>
      </c>
      <c r="O79" t="s">
        <v>174</v>
      </c>
      <c r="P79">
        <v>2.2546153377808048E-2</v>
      </c>
      <c r="Q79" t="s">
        <v>166</v>
      </c>
      <c r="S79" t="s">
        <v>207</v>
      </c>
      <c r="T79" t="s">
        <v>174</v>
      </c>
      <c r="U79">
        <v>2.3302242327975845E-2</v>
      </c>
      <c r="V79" t="s">
        <v>166</v>
      </c>
      <c r="AK79">
        <v>2039</v>
      </c>
      <c r="AL79" t="s">
        <v>154</v>
      </c>
      <c r="AM79">
        <v>0.66339999999999999</v>
      </c>
      <c r="AN79" t="s">
        <v>221</v>
      </c>
    </row>
    <row r="80" spans="14:40" x14ac:dyDescent="0.45">
      <c r="N80" t="s">
        <v>183</v>
      </c>
      <c r="O80" t="s">
        <v>175</v>
      </c>
      <c r="P80">
        <v>0.1926122811056214</v>
      </c>
      <c r="Q80" t="s">
        <v>166</v>
      </c>
      <c r="S80" t="s">
        <v>207</v>
      </c>
      <c r="T80" t="s">
        <v>175</v>
      </c>
      <c r="U80">
        <v>0.18752271969375905</v>
      </c>
      <c r="V80" t="s">
        <v>166</v>
      </c>
      <c r="AK80">
        <v>2039</v>
      </c>
      <c r="AL80" t="s">
        <v>158</v>
      </c>
      <c r="AM80">
        <v>0.58608571428571421</v>
      </c>
      <c r="AN80" t="s">
        <v>221</v>
      </c>
    </row>
    <row r="81" spans="14:40" x14ac:dyDescent="0.45">
      <c r="N81" t="s">
        <v>183</v>
      </c>
      <c r="O81" t="s">
        <v>176</v>
      </c>
      <c r="P81">
        <v>4.6837386261253201E-2</v>
      </c>
      <c r="Q81" t="s">
        <v>166</v>
      </c>
      <c r="S81" t="s">
        <v>207</v>
      </c>
      <c r="T81" t="s">
        <v>176</v>
      </c>
      <c r="U81">
        <v>4.3071569247120405E-2</v>
      </c>
      <c r="V81" t="s">
        <v>166</v>
      </c>
      <c r="AK81">
        <v>2039</v>
      </c>
      <c r="AL81" t="s">
        <v>160</v>
      </c>
      <c r="AM81">
        <v>0.53534999999999999</v>
      </c>
      <c r="AN81" t="s">
        <v>221</v>
      </c>
    </row>
    <row r="82" spans="14:40" x14ac:dyDescent="0.45">
      <c r="N82" t="s">
        <v>183</v>
      </c>
      <c r="O82" t="s">
        <v>177</v>
      </c>
      <c r="P82">
        <v>3.5607048808689049E-2</v>
      </c>
      <c r="Q82" t="s">
        <v>166</v>
      </c>
      <c r="S82" t="s">
        <v>207</v>
      </c>
      <c r="T82" t="s">
        <v>177</v>
      </c>
      <c r="U82">
        <v>3.414984089788594E-2</v>
      </c>
      <c r="V82" t="s">
        <v>166</v>
      </c>
      <c r="AK82">
        <v>2039</v>
      </c>
      <c r="AL82" t="s">
        <v>162</v>
      </c>
      <c r="AM82">
        <v>0.66269999999999996</v>
      </c>
      <c r="AN82" t="s">
        <v>221</v>
      </c>
    </row>
    <row r="83" spans="14:40" x14ac:dyDescent="0.45">
      <c r="N83" t="s">
        <v>184</v>
      </c>
      <c r="O83" t="s">
        <v>165</v>
      </c>
      <c r="P83">
        <v>6.5211326701987316E-2</v>
      </c>
      <c r="Q83" t="s">
        <v>166</v>
      </c>
      <c r="S83" t="s">
        <v>208</v>
      </c>
      <c r="T83" t="s">
        <v>165</v>
      </c>
      <c r="U83">
        <v>6.211599104366114E-2</v>
      </c>
      <c r="V83" t="s">
        <v>166</v>
      </c>
      <c r="AK83">
        <v>2040</v>
      </c>
      <c r="AL83" t="s">
        <v>154</v>
      </c>
      <c r="AM83">
        <v>0.55679999999999996</v>
      </c>
      <c r="AN83" t="s">
        <v>221</v>
      </c>
    </row>
    <row r="84" spans="14:40" x14ac:dyDescent="0.45">
      <c r="N84" t="s">
        <v>184</v>
      </c>
      <c r="O84" t="s">
        <v>167</v>
      </c>
      <c r="P84">
        <v>1.4770409496882998E-2</v>
      </c>
      <c r="Q84" t="s">
        <v>166</v>
      </c>
      <c r="S84" t="s">
        <v>208</v>
      </c>
      <c r="T84" t="s">
        <v>167</v>
      </c>
      <c r="U84">
        <v>1.4038313677714822E-2</v>
      </c>
      <c r="V84" t="s">
        <v>166</v>
      </c>
      <c r="AK84">
        <v>2040</v>
      </c>
      <c r="AL84" t="s">
        <v>158</v>
      </c>
      <c r="AM84">
        <v>0.60781428571428564</v>
      </c>
      <c r="AN84" t="s">
        <v>221</v>
      </c>
    </row>
    <row r="85" spans="14:40" x14ac:dyDescent="0.45">
      <c r="N85" t="s">
        <v>184</v>
      </c>
      <c r="O85" t="s">
        <v>168</v>
      </c>
      <c r="P85">
        <v>1.1827792368659745E-2</v>
      </c>
      <c r="Q85" t="s">
        <v>166</v>
      </c>
      <c r="S85" t="s">
        <v>208</v>
      </c>
      <c r="T85" t="s">
        <v>168</v>
      </c>
      <c r="U85">
        <v>1.0835608996808773E-2</v>
      </c>
      <c r="V85" t="s">
        <v>166</v>
      </c>
      <c r="AK85">
        <v>2040</v>
      </c>
      <c r="AL85" t="s">
        <v>160</v>
      </c>
      <c r="AM85">
        <v>0.58250000000000002</v>
      </c>
      <c r="AN85" t="s">
        <v>221</v>
      </c>
    </row>
    <row r="86" spans="14:40" x14ac:dyDescent="0.45">
      <c r="N86" t="s">
        <v>184</v>
      </c>
      <c r="O86" t="s">
        <v>169</v>
      </c>
      <c r="P86">
        <v>0.31013045388178201</v>
      </c>
      <c r="Q86" t="s">
        <v>166</v>
      </c>
      <c r="S86" t="s">
        <v>208</v>
      </c>
      <c r="T86" t="s">
        <v>169</v>
      </c>
      <c r="U86">
        <v>0.35035187000464196</v>
      </c>
      <c r="V86" t="s">
        <v>166</v>
      </c>
      <c r="AK86">
        <v>2040</v>
      </c>
      <c r="AL86" t="s">
        <v>162</v>
      </c>
      <c r="AM86">
        <v>0.64054999999999995</v>
      </c>
      <c r="AN86" t="s">
        <v>221</v>
      </c>
    </row>
    <row r="87" spans="14:40" x14ac:dyDescent="0.45">
      <c r="N87" t="s">
        <v>184</v>
      </c>
      <c r="O87" t="s">
        <v>170</v>
      </c>
      <c r="P87">
        <v>8.1334318083129034E-2</v>
      </c>
      <c r="Q87" t="s">
        <v>166</v>
      </c>
      <c r="S87" t="s">
        <v>208</v>
      </c>
      <c r="T87" t="s">
        <v>170</v>
      </c>
      <c r="U87">
        <v>8.6051768134333295E-2</v>
      </c>
      <c r="V87" t="s">
        <v>166</v>
      </c>
      <c r="AK87">
        <v>2041</v>
      </c>
      <c r="AL87" t="s">
        <v>154</v>
      </c>
      <c r="AM87">
        <v>0.64339999999999997</v>
      </c>
      <c r="AN87" t="s">
        <v>221</v>
      </c>
    </row>
    <row r="88" spans="14:40" x14ac:dyDescent="0.45">
      <c r="N88" t="s">
        <v>184</v>
      </c>
      <c r="O88" t="s">
        <v>171</v>
      </c>
      <c r="P88">
        <v>6.7237597382212119E-2</v>
      </c>
      <c r="Q88" t="s">
        <v>166</v>
      </c>
      <c r="S88" t="s">
        <v>208</v>
      </c>
      <c r="T88" t="s">
        <v>171</v>
      </c>
      <c r="U88">
        <v>6.6391374563231173E-2</v>
      </c>
      <c r="V88" t="s">
        <v>166</v>
      </c>
      <c r="AK88">
        <v>2041</v>
      </c>
      <c r="AL88" t="s">
        <v>158</v>
      </c>
      <c r="AM88">
        <v>0.5840428571428572</v>
      </c>
      <c r="AN88" t="s">
        <v>221</v>
      </c>
    </row>
    <row r="89" spans="14:40" x14ac:dyDescent="0.45">
      <c r="N89" t="s">
        <v>184</v>
      </c>
      <c r="O89" t="s">
        <v>172</v>
      </c>
      <c r="P89">
        <v>0.11769510105058091</v>
      </c>
      <c r="Q89" t="s">
        <v>166</v>
      </c>
      <c r="S89" t="s">
        <v>208</v>
      </c>
      <c r="T89" t="s">
        <v>172</v>
      </c>
      <c r="U89">
        <v>0.1149698552511448</v>
      </c>
      <c r="V89" t="s">
        <v>166</v>
      </c>
      <c r="AK89">
        <v>2041</v>
      </c>
      <c r="AL89" t="s">
        <v>160</v>
      </c>
      <c r="AM89">
        <v>0.54089999999999994</v>
      </c>
      <c r="AN89" t="s">
        <v>221</v>
      </c>
    </row>
    <row r="90" spans="14:40" x14ac:dyDescent="0.45">
      <c r="N90" t="s">
        <v>184</v>
      </c>
      <c r="O90" t="s">
        <v>173</v>
      </c>
      <c r="P90">
        <v>2.9756218220166351E-2</v>
      </c>
      <c r="Q90" t="s">
        <v>166</v>
      </c>
      <c r="S90" t="s">
        <v>208</v>
      </c>
      <c r="T90" t="s">
        <v>173</v>
      </c>
      <c r="U90">
        <v>3.0541342734876516E-2</v>
      </c>
      <c r="V90" t="s">
        <v>166</v>
      </c>
      <c r="AK90">
        <v>2041</v>
      </c>
      <c r="AL90" t="s">
        <v>162</v>
      </c>
      <c r="AM90">
        <v>0.61409999999999998</v>
      </c>
      <c r="AN90" t="s">
        <v>221</v>
      </c>
    </row>
    <row r="91" spans="14:40" x14ac:dyDescent="0.45">
      <c r="N91" t="s">
        <v>184</v>
      </c>
      <c r="O91" t="s">
        <v>174</v>
      </c>
      <c r="P91">
        <v>2.3049770599102692E-2</v>
      </c>
      <c r="Q91" t="s">
        <v>166</v>
      </c>
      <c r="S91" t="s">
        <v>208</v>
      </c>
      <c r="T91" t="s">
        <v>174</v>
      </c>
      <c r="U91">
        <v>2.1819676508629596E-2</v>
      </c>
      <c r="V91" t="s">
        <v>166</v>
      </c>
      <c r="AK91">
        <v>2042</v>
      </c>
      <c r="AL91" t="s">
        <v>154</v>
      </c>
      <c r="AM91">
        <v>0.64039999999999997</v>
      </c>
      <c r="AN91" t="s">
        <v>221</v>
      </c>
    </row>
    <row r="92" spans="14:40" x14ac:dyDescent="0.45">
      <c r="N92" t="s">
        <v>184</v>
      </c>
      <c r="O92" t="s">
        <v>175</v>
      </c>
      <c r="P92">
        <v>0.19759012954248745</v>
      </c>
      <c r="Q92" t="s">
        <v>166</v>
      </c>
      <c r="S92" t="s">
        <v>208</v>
      </c>
      <c r="T92" t="s">
        <v>175</v>
      </c>
      <c r="U92">
        <v>0.17011776279099486</v>
      </c>
      <c r="V92" t="s">
        <v>166</v>
      </c>
      <c r="AK92">
        <v>2042</v>
      </c>
      <c r="AL92" t="s">
        <v>158</v>
      </c>
      <c r="AM92">
        <v>0.59550000000000003</v>
      </c>
      <c r="AN92" t="s">
        <v>221</v>
      </c>
    </row>
    <row r="93" spans="14:40" x14ac:dyDescent="0.45">
      <c r="N93" t="s">
        <v>184</v>
      </c>
      <c r="O93" t="s">
        <v>176</v>
      </c>
      <c r="P93">
        <v>4.6325145535996183E-2</v>
      </c>
      <c r="Q93" t="s">
        <v>166</v>
      </c>
      <c r="S93" t="s">
        <v>208</v>
      </c>
      <c r="T93" t="s">
        <v>176</v>
      </c>
      <c r="U93">
        <v>4.1730449527585367E-2</v>
      </c>
      <c r="V93" t="s">
        <v>166</v>
      </c>
      <c r="AK93">
        <v>2042</v>
      </c>
      <c r="AL93" t="s">
        <v>160</v>
      </c>
      <c r="AM93">
        <v>0.56014999999999993</v>
      </c>
      <c r="AN93" t="s">
        <v>221</v>
      </c>
    </row>
    <row r="94" spans="14:40" x14ac:dyDescent="0.45">
      <c r="N94" t="s">
        <v>184</v>
      </c>
      <c r="O94" t="s">
        <v>177</v>
      </c>
      <c r="P94">
        <v>3.5071737137012872E-2</v>
      </c>
      <c r="Q94" t="s">
        <v>166</v>
      </c>
      <c r="S94" t="s">
        <v>208</v>
      </c>
      <c r="T94" t="s">
        <v>177</v>
      </c>
      <c r="U94">
        <v>3.1035986766368505E-2</v>
      </c>
      <c r="V94" t="s">
        <v>166</v>
      </c>
      <c r="AK94">
        <v>2042</v>
      </c>
      <c r="AL94" t="s">
        <v>162</v>
      </c>
      <c r="AM94">
        <v>0.64284999999999992</v>
      </c>
      <c r="AN94" t="s">
        <v>221</v>
      </c>
    </row>
    <row r="95" spans="14:40" x14ac:dyDescent="0.45">
      <c r="N95" t="s">
        <v>185</v>
      </c>
      <c r="O95" t="s">
        <v>165</v>
      </c>
      <c r="P95">
        <v>6.6107843900400642E-2</v>
      </c>
      <c r="Q95" t="s">
        <v>166</v>
      </c>
      <c r="S95" t="s">
        <v>209</v>
      </c>
      <c r="T95" t="s">
        <v>165</v>
      </c>
      <c r="U95">
        <v>6.6901341440739642E-2</v>
      </c>
      <c r="V95" t="s">
        <v>166</v>
      </c>
      <c r="AK95">
        <v>2043</v>
      </c>
      <c r="AL95" t="s">
        <v>154</v>
      </c>
      <c r="AM95">
        <v>0.63449999999999995</v>
      </c>
      <c r="AN95" t="s">
        <v>221</v>
      </c>
    </row>
    <row r="96" spans="14:40" x14ac:dyDescent="0.45">
      <c r="N96" t="s">
        <v>185</v>
      </c>
      <c r="O96" t="s">
        <v>167</v>
      </c>
      <c r="P96">
        <v>1.5494716626491031E-2</v>
      </c>
      <c r="Q96" t="s">
        <v>166</v>
      </c>
      <c r="S96" t="s">
        <v>209</v>
      </c>
      <c r="T96" t="s">
        <v>167</v>
      </c>
      <c r="U96">
        <v>1.58720940327934E-2</v>
      </c>
      <c r="V96" t="s">
        <v>166</v>
      </c>
      <c r="AK96">
        <v>2043</v>
      </c>
      <c r="AL96" t="s">
        <v>158</v>
      </c>
      <c r="AM96">
        <v>0.59328571428571431</v>
      </c>
      <c r="AN96" t="s">
        <v>221</v>
      </c>
    </row>
    <row r="97" spans="14:40" x14ac:dyDescent="0.45">
      <c r="N97" t="s">
        <v>185</v>
      </c>
      <c r="O97" t="s">
        <v>168</v>
      </c>
      <c r="P97">
        <v>1.20760950026675E-2</v>
      </c>
      <c r="Q97" t="s">
        <v>166</v>
      </c>
      <c r="S97" t="s">
        <v>209</v>
      </c>
      <c r="T97" t="s">
        <v>168</v>
      </c>
      <c r="U97">
        <v>1.0982196714737422E-2</v>
      </c>
      <c r="V97" t="s">
        <v>166</v>
      </c>
      <c r="AK97">
        <v>2043</v>
      </c>
      <c r="AL97" t="s">
        <v>160</v>
      </c>
      <c r="AM97">
        <v>0.57740000000000002</v>
      </c>
      <c r="AN97" t="s">
        <v>221</v>
      </c>
    </row>
    <row r="98" spans="14:40" x14ac:dyDescent="0.45">
      <c r="N98" t="s">
        <v>185</v>
      </c>
      <c r="O98" t="s">
        <v>169</v>
      </c>
      <c r="P98">
        <v>0.3138054368770874</v>
      </c>
      <c r="Q98" t="s">
        <v>166</v>
      </c>
      <c r="S98" t="s">
        <v>209</v>
      </c>
      <c r="T98" t="s">
        <v>169</v>
      </c>
      <c r="U98">
        <v>0.34350914222958379</v>
      </c>
      <c r="V98" t="s">
        <v>166</v>
      </c>
      <c r="AK98">
        <v>2043</v>
      </c>
      <c r="AL98" t="s">
        <v>162</v>
      </c>
      <c r="AM98">
        <v>0.63490000000000002</v>
      </c>
      <c r="AN98" t="s">
        <v>221</v>
      </c>
    </row>
    <row r="99" spans="14:40" x14ac:dyDescent="0.45">
      <c r="N99" t="s">
        <v>185</v>
      </c>
      <c r="O99" t="s">
        <v>170</v>
      </c>
      <c r="P99">
        <v>8.2326238513748193E-2</v>
      </c>
      <c r="Q99" t="s">
        <v>166</v>
      </c>
      <c r="S99" t="s">
        <v>209</v>
      </c>
      <c r="T99" t="s">
        <v>170</v>
      </c>
      <c r="U99">
        <v>8.7294879180778676E-2</v>
      </c>
      <c r="V99" t="s">
        <v>166</v>
      </c>
      <c r="AK99">
        <v>2044</v>
      </c>
      <c r="AL99" t="s">
        <v>154</v>
      </c>
      <c r="AM99">
        <v>0.59570000000000001</v>
      </c>
      <c r="AN99" t="s">
        <v>221</v>
      </c>
    </row>
    <row r="100" spans="14:40" x14ac:dyDescent="0.45">
      <c r="N100" t="s">
        <v>185</v>
      </c>
      <c r="O100" t="s">
        <v>171</v>
      </c>
      <c r="P100">
        <v>6.6640947184320384E-2</v>
      </c>
      <c r="Q100" t="s">
        <v>166</v>
      </c>
      <c r="S100" t="s">
        <v>209</v>
      </c>
      <c r="T100" t="s">
        <v>171</v>
      </c>
      <c r="U100">
        <v>6.426425226792884E-2</v>
      </c>
      <c r="V100" t="s">
        <v>166</v>
      </c>
      <c r="AK100">
        <v>2044</v>
      </c>
      <c r="AL100" t="s">
        <v>158</v>
      </c>
      <c r="AM100">
        <v>0.60041428571428568</v>
      </c>
      <c r="AN100" t="s">
        <v>221</v>
      </c>
    </row>
    <row r="101" spans="14:40" x14ac:dyDescent="0.45">
      <c r="N101" t="s">
        <v>185</v>
      </c>
      <c r="O101" t="s">
        <v>172</v>
      </c>
      <c r="P101">
        <v>0.11110287210182544</v>
      </c>
      <c r="Q101" t="s">
        <v>166</v>
      </c>
      <c r="S101" t="s">
        <v>209</v>
      </c>
      <c r="T101" t="s">
        <v>172</v>
      </c>
      <c r="U101">
        <v>0.11045625823960342</v>
      </c>
      <c r="V101" t="s">
        <v>166</v>
      </c>
      <c r="AK101">
        <v>2044</v>
      </c>
      <c r="AL101" t="s">
        <v>160</v>
      </c>
      <c r="AM101">
        <v>0.57269999999999999</v>
      </c>
      <c r="AN101" t="s">
        <v>221</v>
      </c>
    </row>
    <row r="102" spans="14:40" x14ac:dyDescent="0.45">
      <c r="N102" t="s">
        <v>185</v>
      </c>
      <c r="O102" t="s">
        <v>173</v>
      </c>
      <c r="P102">
        <v>2.9770262318503705E-2</v>
      </c>
      <c r="Q102" t="s">
        <v>166</v>
      </c>
      <c r="S102" t="s">
        <v>209</v>
      </c>
      <c r="T102" t="s">
        <v>173</v>
      </c>
      <c r="U102">
        <v>2.824037794955981E-2</v>
      </c>
      <c r="V102" t="s">
        <v>166</v>
      </c>
      <c r="AK102">
        <v>2044</v>
      </c>
      <c r="AL102" t="s">
        <v>162</v>
      </c>
      <c r="AM102">
        <v>0.61280000000000001</v>
      </c>
      <c r="AN102" t="s">
        <v>221</v>
      </c>
    </row>
    <row r="103" spans="14:40" x14ac:dyDescent="0.45">
      <c r="N103" t="s">
        <v>185</v>
      </c>
      <c r="O103" t="s">
        <v>174</v>
      </c>
      <c r="P103">
        <v>2.2995865436485727E-2</v>
      </c>
      <c r="Q103" t="s">
        <v>166</v>
      </c>
      <c r="S103" t="s">
        <v>209</v>
      </c>
      <c r="T103" t="s">
        <v>174</v>
      </c>
      <c r="U103">
        <v>2.1775270378417994E-2</v>
      </c>
      <c r="V103" t="s">
        <v>166</v>
      </c>
      <c r="AK103">
        <v>2045</v>
      </c>
      <c r="AL103" t="s">
        <v>154</v>
      </c>
      <c r="AM103">
        <v>0.61439999999999995</v>
      </c>
      <c r="AN103" t="s">
        <v>221</v>
      </c>
    </row>
    <row r="104" spans="14:40" x14ac:dyDescent="0.45">
      <c r="N104" t="s">
        <v>185</v>
      </c>
      <c r="O104" t="s">
        <v>175</v>
      </c>
      <c r="P104">
        <v>0.19734698887226546</v>
      </c>
      <c r="Q104" t="s">
        <v>166</v>
      </c>
      <c r="S104" t="s">
        <v>209</v>
      </c>
      <c r="T104" t="s">
        <v>175</v>
      </c>
      <c r="U104">
        <v>0.1755879111192184</v>
      </c>
      <c r="V104" t="s">
        <v>166</v>
      </c>
      <c r="AK104">
        <v>2045</v>
      </c>
      <c r="AL104" t="s">
        <v>158</v>
      </c>
      <c r="AM104">
        <v>0.57930000000000004</v>
      </c>
      <c r="AN104" t="s">
        <v>221</v>
      </c>
    </row>
    <row r="105" spans="14:40" x14ac:dyDescent="0.45">
      <c r="N105" t="s">
        <v>185</v>
      </c>
      <c r="O105" t="s">
        <v>176</v>
      </c>
      <c r="P105">
        <v>4.641713272116306E-2</v>
      </c>
      <c r="Q105" t="s">
        <v>166</v>
      </c>
      <c r="S105" t="s">
        <v>209</v>
      </c>
      <c r="T105" t="s">
        <v>176</v>
      </c>
      <c r="U105">
        <v>4.2997904947775376E-2</v>
      </c>
      <c r="V105" t="s">
        <v>166</v>
      </c>
      <c r="AK105">
        <v>2045</v>
      </c>
      <c r="AL105" t="s">
        <v>160</v>
      </c>
      <c r="AM105">
        <v>0.57284999999999997</v>
      </c>
      <c r="AN105" t="s">
        <v>221</v>
      </c>
    </row>
    <row r="106" spans="14:40" x14ac:dyDescent="0.45">
      <c r="N106" t="s">
        <v>185</v>
      </c>
      <c r="O106" t="s">
        <v>177</v>
      </c>
      <c r="P106">
        <v>3.5915600445039615E-2</v>
      </c>
      <c r="Q106" t="s">
        <v>166</v>
      </c>
      <c r="S106" t="s">
        <v>209</v>
      </c>
      <c r="T106" t="s">
        <v>177</v>
      </c>
      <c r="U106">
        <v>3.2118371498865796E-2</v>
      </c>
      <c r="V106" t="s">
        <v>166</v>
      </c>
      <c r="AK106">
        <v>2045</v>
      </c>
      <c r="AL106" t="s">
        <v>162</v>
      </c>
      <c r="AM106">
        <v>0.58379999999999999</v>
      </c>
      <c r="AN106" t="s">
        <v>221</v>
      </c>
    </row>
    <row r="107" spans="14:40" x14ac:dyDescent="0.45">
      <c r="N107" t="s">
        <v>186</v>
      </c>
      <c r="O107" t="s">
        <v>165</v>
      </c>
      <c r="P107">
        <v>6.9473750027370426E-2</v>
      </c>
      <c r="Q107" t="s">
        <v>166</v>
      </c>
      <c r="S107" t="s">
        <v>210</v>
      </c>
      <c r="T107" t="s">
        <v>165</v>
      </c>
      <c r="U107">
        <v>6.8351164143768905E-2</v>
      </c>
      <c r="V107" t="s">
        <v>166</v>
      </c>
      <c r="AK107">
        <v>2046</v>
      </c>
      <c r="AL107" t="s">
        <v>154</v>
      </c>
      <c r="AM107">
        <v>0.61609999999999998</v>
      </c>
      <c r="AN107" t="s">
        <v>221</v>
      </c>
    </row>
    <row r="108" spans="14:40" x14ac:dyDescent="0.45">
      <c r="N108" t="s">
        <v>186</v>
      </c>
      <c r="O108" t="s">
        <v>167</v>
      </c>
      <c r="P108">
        <v>1.5437105116386433E-2</v>
      </c>
      <c r="Q108" t="s">
        <v>166</v>
      </c>
      <c r="S108" t="s">
        <v>210</v>
      </c>
      <c r="T108" t="s">
        <v>167</v>
      </c>
      <c r="U108">
        <v>1.5524892905083253E-2</v>
      </c>
      <c r="V108" t="s">
        <v>166</v>
      </c>
      <c r="AK108">
        <v>2046</v>
      </c>
      <c r="AL108" t="s">
        <v>158</v>
      </c>
      <c r="AM108">
        <v>0.61371428571428566</v>
      </c>
      <c r="AN108" t="s">
        <v>221</v>
      </c>
    </row>
    <row r="109" spans="14:40" x14ac:dyDescent="0.45">
      <c r="N109" t="s">
        <v>186</v>
      </c>
      <c r="O109" t="s">
        <v>168</v>
      </c>
      <c r="P109">
        <v>1.1882365990003108E-2</v>
      </c>
      <c r="Q109" t="s">
        <v>166</v>
      </c>
      <c r="S109" t="s">
        <v>210</v>
      </c>
      <c r="T109" t="s">
        <v>168</v>
      </c>
      <c r="U109">
        <v>1.1216460030434245E-2</v>
      </c>
      <c r="V109" t="s">
        <v>166</v>
      </c>
      <c r="AK109">
        <v>2046</v>
      </c>
      <c r="AL109" t="s">
        <v>160</v>
      </c>
      <c r="AM109">
        <v>0.54649999999999999</v>
      </c>
      <c r="AN109" t="s">
        <v>221</v>
      </c>
    </row>
    <row r="110" spans="14:40" x14ac:dyDescent="0.45">
      <c r="N110" t="s">
        <v>186</v>
      </c>
      <c r="O110" t="s">
        <v>169</v>
      </c>
      <c r="P110">
        <v>0.31260456491847327</v>
      </c>
      <c r="Q110" t="s">
        <v>166</v>
      </c>
      <c r="S110" t="s">
        <v>210</v>
      </c>
      <c r="T110" t="s">
        <v>169</v>
      </c>
      <c r="U110">
        <v>0.34092734396255286</v>
      </c>
      <c r="V110" t="s">
        <v>166</v>
      </c>
      <c r="AK110">
        <v>2046</v>
      </c>
      <c r="AL110" t="s">
        <v>162</v>
      </c>
      <c r="AM110">
        <v>0.61644999999999994</v>
      </c>
      <c r="AN110" t="s">
        <v>221</v>
      </c>
    </row>
    <row r="111" spans="14:40" x14ac:dyDescent="0.45">
      <c r="N111" t="s">
        <v>186</v>
      </c>
      <c r="O111" t="s">
        <v>170</v>
      </c>
      <c r="P111">
        <v>8.3530287789313748E-2</v>
      </c>
      <c r="Q111" t="s">
        <v>166</v>
      </c>
      <c r="S111" t="s">
        <v>210</v>
      </c>
      <c r="T111" t="s">
        <v>170</v>
      </c>
      <c r="U111">
        <v>8.801729110184274E-2</v>
      </c>
      <c r="V111" t="s">
        <v>166</v>
      </c>
      <c r="AK111">
        <v>2047</v>
      </c>
      <c r="AL111" t="s">
        <v>154</v>
      </c>
      <c r="AM111">
        <v>0.61429999999999996</v>
      </c>
      <c r="AN111" t="s">
        <v>221</v>
      </c>
    </row>
    <row r="112" spans="14:40" x14ac:dyDescent="0.45">
      <c r="N112" t="s">
        <v>186</v>
      </c>
      <c r="O112" t="s">
        <v>171</v>
      </c>
      <c r="P112">
        <v>6.6813882580424616E-2</v>
      </c>
      <c r="Q112" t="s">
        <v>166</v>
      </c>
      <c r="S112" t="s">
        <v>210</v>
      </c>
      <c r="T112" t="s">
        <v>171</v>
      </c>
      <c r="U112">
        <v>6.207744148336531E-2</v>
      </c>
      <c r="V112" t="s">
        <v>166</v>
      </c>
      <c r="AK112">
        <v>2047</v>
      </c>
      <c r="AL112" t="s">
        <v>158</v>
      </c>
      <c r="AM112">
        <v>0.62497142857142851</v>
      </c>
      <c r="AN112" t="s">
        <v>221</v>
      </c>
    </row>
    <row r="113" spans="14:40" x14ac:dyDescent="0.45">
      <c r="N113" t="s">
        <v>186</v>
      </c>
      <c r="O113" t="s">
        <v>172</v>
      </c>
      <c r="P113">
        <v>0.11681261035748025</v>
      </c>
      <c r="Q113" t="s">
        <v>166</v>
      </c>
      <c r="S113" t="s">
        <v>210</v>
      </c>
      <c r="T113" t="s">
        <v>172</v>
      </c>
      <c r="U113">
        <v>0.11521714460763048</v>
      </c>
      <c r="V113" t="s">
        <v>166</v>
      </c>
      <c r="AK113">
        <v>2047</v>
      </c>
      <c r="AL113" t="s">
        <v>160</v>
      </c>
      <c r="AM113">
        <v>0.54659999999999997</v>
      </c>
      <c r="AN113" t="s">
        <v>221</v>
      </c>
    </row>
    <row r="114" spans="14:40" x14ac:dyDescent="0.45">
      <c r="N114" t="s">
        <v>186</v>
      </c>
      <c r="O114" t="s">
        <v>173</v>
      </c>
      <c r="P114">
        <v>2.9567422960756665E-2</v>
      </c>
      <c r="Q114" t="s">
        <v>166</v>
      </c>
      <c r="S114" t="s">
        <v>210</v>
      </c>
      <c r="T114" t="s">
        <v>173</v>
      </c>
      <c r="U114">
        <v>2.8041736127878497E-2</v>
      </c>
      <c r="V114" t="s">
        <v>166</v>
      </c>
      <c r="AK114">
        <v>2047</v>
      </c>
      <c r="AL114" t="s">
        <v>162</v>
      </c>
      <c r="AM114">
        <v>0.60270000000000001</v>
      </c>
      <c r="AN114" t="s">
        <v>221</v>
      </c>
    </row>
    <row r="115" spans="14:40" x14ac:dyDescent="0.45">
      <c r="N115" t="s">
        <v>186</v>
      </c>
      <c r="O115" t="s">
        <v>174</v>
      </c>
      <c r="P115">
        <v>2.2821704357177782E-2</v>
      </c>
      <c r="Q115" t="s">
        <v>166</v>
      </c>
      <c r="S115" t="s">
        <v>210</v>
      </c>
      <c r="T115" t="s">
        <v>174</v>
      </c>
      <c r="U115">
        <v>2.1551435804207132E-2</v>
      </c>
      <c r="V115" t="s">
        <v>166</v>
      </c>
      <c r="AK115">
        <v>2048</v>
      </c>
      <c r="AL115" t="s">
        <v>154</v>
      </c>
      <c r="AM115">
        <v>0.49659999999999999</v>
      </c>
      <c r="AN115" t="s">
        <v>221</v>
      </c>
    </row>
    <row r="116" spans="14:40" x14ac:dyDescent="0.45">
      <c r="N116" t="s">
        <v>186</v>
      </c>
      <c r="O116" t="s">
        <v>175</v>
      </c>
      <c r="P116">
        <v>0.19262033898873843</v>
      </c>
      <c r="Q116" t="s">
        <v>166</v>
      </c>
      <c r="S116" t="s">
        <v>210</v>
      </c>
      <c r="T116" t="s">
        <v>175</v>
      </c>
      <c r="U116">
        <v>0.17436312084465547</v>
      </c>
      <c r="V116" t="s">
        <v>166</v>
      </c>
      <c r="AK116">
        <v>2048</v>
      </c>
      <c r="AL116" t="s">
        <v>158</v>
      </c>
      <c r="AM116">
        <v>0.51045714285714283</v>
      </c>
      <c r="AN116" t="s">
        <v>221</v>
      </c>
    </row>
    <row r="117" spans="14:40" x14ac:dyDescent="0.45">
      <c r="N117" t="s">
        <v>186</v>
      </c>
      <c r="O117" t="s">
        <v>176</v>
      </c>
      <c r="P117">
        <v>4.4058320871951273E-2</v>
      </c>
      <c r="Q117" t="s">
        <v>166</v>
      </c>
      <c r="S117" t="s">
        <v>210</v>
      </c>
      <c r="T117" t="s">
        <v>176</v>
      </c>
      <c r="U117">
        <v>4.2832126261200552E-2</v>
      </c>
      <c r="V117" t="s">
        <v>166</v>
      </c>
      <c r="AK117">
        <v>2048</v>
      </c>
      <c r="AL117" t="s">
        <v>160</v>
      </c>
      <c r="AM117">
        <v>0.46545000000000003</v>
      </c>
      <c r="AN117" t="s">
        <v>221</v>
      </c>
    </row>
    <row r="118" spans="14:40" x14ac:dyDescent="0.45">
      <c r="N118" t="s">
        <v>186</v>
      </c>
      <c r="O118" t="s">
        <v>177</v>
      </c>
      <c r="P118">
        <v>3.4377646041925274E-2</v>
      </c>
      <c r="Q118" t="s">
        <v>166</v>
      </c>
      <c r="S118" t="s">
        <v>210</v>
      </c>
      <c r="T118" t="s">
        <v>177</v>
      </c>
      <c r="U118">
        <v>3.1879842727380411E-2</v>
      </c>
      <c r="V118" t="s">
        <v>166</v>
      </c>
      <c r="AK118">
        <v>2048</v>
      </c>
      <c r="AL118" t="s">
        <v>162</v>
      </c>
      <c r="AM118">
        <v>0.53170000000000006</v>
      </c>
      <c r="AN118" t="s">
        <v>221</v>
      </c>
    </row>
    <row r="119" spans="14:40" x14ac:dyDescent="0.45">
      <c r="N119" t="s">
        <v>187</v>
      </c>
      <c r="O119" t="s">
        <v>165</v>
      </c>
      <c r="P119">
        <v>6.6359524171015413E-2</v>
      </c>
      <c r="Q119" t="s">
        <v>166</v>
      </c>
      <c r="S119" t="s">
        <v>211</v>
      </c>
      <c r="T119" t="s">
        <v>165</v>
      </c>
      <c r="U119">
        <v>6.7426406332304636E-2</v>
      </c>
      <c r="V119" t="s">
        <v>166</v>
      </c>
      <c r="AK119">
        <v>2049</v>
      </c>
      <c r="AL119" t="s">
        <v>154</v>
      </c>
      <c r="AM119">
        <v>0.49809999999999999</v>
      </c>
      <c r="AN119" t="s">
        <v>221</v>
      </c>
    </row>
    <row r="120" spans="14:40" x14ac:dyDescent="0.45">
      <c r="N120" t="s">
        <v>187</v>
      </c>
      <c r="O120" t="s">
        <v>167</v>
      </c>
      <c r="P120">
        <v>1.5969759757440992E-2</v>
      </c>
      <c r="Q120" t="s">
        <v>166</v>
      </c>
      <c r="S120" t="s">
        <v>211</v>
      </c>
      <c r="T120" t="s">
        <v>167</v>
      </c>
      <c r="U120">
        <v>1.499289845789227E-2</v>
      </c>
      <c r="V120" t="s">
        <v>166</v>
      </c>
      <c r="AK120">
        <v>2049</v>
      </c>
      <c r="AL120" t="s">
        <v>158</v>
      </c>
      <c r="AM120">
        <v>0.51228571428571434</v>
      </c>
      <c r="AN120" t="s">
        <v>221</v>
      </c>
    </row>
    <row r="121" spans="14:40" x14ac:dyDescent="0.45">
      <c r="N121" t="s">
        <v>187</v>
      </c>
      <c r="O121" t="s">
        <v>168</v>
      </c>
      <c r="P121">
        <v>1.2246605116584722E-2</v>
      </c>
      <c r="Q121" t="s">
        <v>166</v>
      </c>
      <c r="S121" t="s">
        <v>211</v>
      </c>
      <c r="T121" t="s">
        <v>168</v>
      </c>
      <c r="U121">
        <v>1.0729105126034642E-2</v>
      </c>
      <c r="V121" t="s">
        <v>166</v>
      </c>
      <c r="AK121">
        <v>2049</v>
      </c>
      <c r="AL121" t="s">
        <v>160</v>
      </c>
      <c r="AM121">
        <v>0.49834999999999996</v>
      </c>
      <c r="AN121" t="s">
        <v>221</v>
      </c>
    </row>
    <row r="122" spans="14:40" x14ac:dyDescent="0.45">
      <c r="N122" t="s">
        <v>187</v>
      </c>
      <c r="O122" t="s">
        <v>169</v>
      </c>
      <c r="P122">
        <v>0.31766880810385401</v>
      </c>
      <c r="Q122" t="s">
        <v>166</v>
      </c>
      <c r="S122" t="s">
        <v>211</v>
      </c>
      <c r="T122" t="s">
        <v>169</v>
      </c>
      <c r="U122">
        <v>0.31019210306047984</v>
      </c>
      <c r="V122" t="s">
        <v>166</v>
      </c>
      <c r="AK122">
        <v>2049</v>
      </c>
      <c r="AL122" t="s">
        <v>162</v>
      </c>
      <c r="AM122">
        <v>0.55154999999999998</v>
      </c>
      <c r="AN122" t="s">
        <v>221</v>
      </c>
    </row>
    <row r="123" spans="14:40" x14ac:dyDescent="0.45">
      <c r="N123" t="s">
        <v>187</v>
      </c>
      <c r="O123" t="s">
        <v>170</v>
      </c>
      <c r="P123">
        <v>8.0112477910046317E-2</v>
      </c>
      <c r="Q123" t="s">
        <v>166</v>
      </c>
      <c r="S123" t="s">
        <v>211</v>
      </c>
      <c r="T123" t="s">
        <v>170</v>
      </c>
      <c r="U123">
        <v>8.0665627434942461E-2</v>
      </c>
      <c r="V123" t="s">
        <v>166</v>
      </c>
      <c r="AK123">
        <v>2050</v>
      </c>
      <c r="AL123" t="s">
        <v>154</v>
      </c>
      <c r="AM123">
        <v>0.50609999999999999</v>
      </c>
      <c r="AN123" t="s">
        <v>221</v>
      </c>
    </row>
    <row r="124" spans="14:40" x14ac:dyDescent="0.45">
      <c r="N124" t="s">
        <v>187</v>
      </c>
      <c r="O124" t="s">
        <v>171</v>
      </c>
      <c r="P124">
        <v>6.572457368881908E-2</v>
      </c>
      <c r="Q124" t="s">
        <v>166</v>
      </c>
      <c r="S124" t="s">
        <v>211</v>
      </c>
      <c r="T124" t="s">
        <v>171</v>
      </c>
      <c r="U124">
        <v>6.0999430407636605E-2</v>
      </c>
      <c r="V124" t="s">
        <v>166</v>
      </c>
      <c r="AK124">
        <v>2050</v>
      </c>
      <c r="AL124" t="s">
        <v>158</v>
      </c>
      <c r="AM124">
        <v>0.51811428571428575</v>
      </c>
      <c r="AN124" t="s">
        <v>221</v>
      </c>
    </row>
    <row r="125" spans="14:40" x14ac:dyDescent="0.45">
      <c r="N125" t="s">
        <v>187</v>
      </c>
      <c r="O125" t="s">
        <v>172</v>
      </c>
      <c r="P125">
        <v>0.11587420841262981</v>
      </c>
      <c r="Q125" t="s">
        <v>166</v>
      </c>
      <c r="S125" t="s">
        <v>211</v>
      </c>
      <c r="T125" t="s">
        <v>172</v>
      </c>
      <c r="U125">
        <v>0.11712424747528279</v>
      </c>
      <c r="V125" t="s">
        <v>166</v>
      </c>
      <c r="AK125">
        <v>2050</v>
      </c>
      <c r="AL125" t="s">
        <v>160</v>
      </c>
      <c r="AM125">
        <v>0.44295000000000001</v>
      </c>
      <c r="AN125" t="s">
        <v>221</v>
      </c>
    </row>
    <row r="126" spans="14:40" x14ac:dyDescent="0.45">
      <c r="N126" t="s">
        <v>187</v>
      </c>
      <c r="O126" t="s">
        <v>173</v>
      </c>
      <c r="P126">
        <v>2.893847477900752E-2</v>
      </c>
      <c r="Q126" t="s">
        <v>166</v>
      </c>
      <c r="S126" t="s">
        <v>211</v>
      </c>
      <c r="T126" t="s">
        <v>173</v>
      </c>
      <c r="U126">
        <v>2.9581032220121702E-2</v>
      </c>
      <c r="V126" t="s">
        <v>166</v>
      </c>
      <c r="AK126">
        <v>2050</v>
      </c>
      <c r="AL126" t="s">
        <v>162</v>
      </c>
      <c r="AM126">
        <v>0.55895000000000006</v>
      </c>
      <c r="AN126" t="s">
        <v>221</v>
      </c>
    </row>
    <row r="127" spans="14:40" x14ac:dyDescent="0.45">
      <c r="N127" t="s">
        <v>187</v>
      </c>
      <c r="O127" t="s">
        <v>174</v>
      </c>
      <c r="P127">
        <v>2.3269355177729541E-2</v>
      </c>
      <c r="Q127" t="s">
        <v>166</v>
      </c>
      <c r="S127" t="s">
        <v>211</v>
      </c>
      <c r="T127" t="s">
        <v>174</v>
      </c>
      <c r="U127">
        <v>2.2836734963342483E-2</v>
      </c>
      <c r="V127" t="s">
        <v>166</v>
      </c>
    </row>
    <row r="128" spans="14:40" x14ac:dyDescent="0.45">
      <c r="N128" t="s">
        <v>187</v>
      </c>
      <c r="O128" t="s">
        <v>175</v>
      </c>
      <c r="P128">
        <v>0.19382289374417142</v>
      </c>
      <c r="Q128" t="s">
        <v>166</v>
      </c>
      <c r="S128" t="s">
        <v>211</v>
      </c>
      <c r="T128" t="s">
        <v>175</v>
      </c>
      <c r="U128">
        <v>0.19756143072545024</v>
      </c>
      <c r="V128" t="s">
        <v>166</v>
      </c>
    </row>
    <row r="129" spans="14:22" x14ac:dyDescent="0.45">
      <c r="N129" t="s">
        <v>187</v>
      </c>
      <c r="O129" t="s">
        <v>176</v>
      </c>
      <c r="P129">
        <v>4.5296048308227858E-2</v>
      </c>
      <c r="Q129" t="s">
        <v>166</v>
      </c>
      <c r="S129" t="s">
        <v>211</v>
      </c>
      <c r="T129" t="s">
        <v>176</v>
      </c>
      <c r="U129">
        <v>4.9840655699791028E-2</v>
      </c>
      <c r="V129" t="s">
        <v>166</v>
      </c>
    </row>
    <row r="130" spans="14:22" x14ac:dyDescent="0.45">
      <c r="N130" t="s">
        <v>187</v>
      </c>
      <c r="O130" t="s">
        <v>177</v>
      </c>
      <c r="P130">
        <v>3.4717270830471832E-2</v>
      </c>
      <c r="Q130" t="s">
        <v>166</v>
      </c>
      <c r="S130" t="s">
        <v>211</v>
      </c>
      <c r="T130" t="s">
        <v>177</v>
      </c>
      <c r="U130">
        <v>3.805032809672243E-2</v>
      </c>
      <c r="V130" t="s">
        <v>166</v>
      </c>
    </row>
    <row r="131" spans="14:22" x14ac:dyDescent="0.45">
      <c r="N131" t="s">
        <v>188</v>
      </c>
      <c r="O131" t="s">
        <v>165</v>
      </c>
      <c r="P131">
        <v>6.9301516632447421E-2</v>
      </c>
      <c r="Q131" t="s">
        <v>166</v>
      </c>
    </row>
    <row r="132" spans="14:22" x14ac:dyDescent="0.45">
      <c r="N132" t="s">
        <v>188</v>
      </c>
      <c r="O132" t="s">
        <v>167</v>
      </c>
      <c r="P132">
        <v>1.7242283443340455E-2</v>
      </c>
      <c r="Q132" t="s">
        <v>166</v>
      </c>
    </row>
    <row r="133" spans="14:22" x14ac:dyDescent="0.45">
      <c r="N133" t="s">
        <v>188</v>
      </c>
      <c r="O133" t="s">
        <v>168</v>
      </c>
      <c r="P133">
        <v>1.2643838922760322E-2</v>
      </c>
      <c r="Q133" t="s">
        <v>166</v>
      </c>
    </row>
    <row r="134" spans="14:22" x14ac:dyDescent="0.45">
      <c r="N134" t="s">
        <v>188</v>
      </c>
      <c r="O134" t="s">
        <v>169</v>
      </c>
      <c r="P134">
        <v>0.31413533526307263</v>
      </c>
      <c r="Q134" t="s">
        <v>166</v>
      </c>
    </row>
    <row r="135" spans="14:22" x14ac:dyDescent="0.45">
      <c r="N135" t="s">
        <v>188</v>
      </c>
      <c r="O135" t="s">
        <v>170</v>
      </c>
      <c r="P135">
        <v>7.8144053654517792E-2</v>
      </c>
      <c r="Q135" t="s">
        <v>166</v>
      </c>
    </row>
    <row r="136" spans="14:22" x14ac:dyDescent="0.45">
      <c r="N136" t="s">
        <v>188</v>
      </c>
      <c r="O136" t="s">
        <v>171</v>
      </c>
      <c r="P136">
        <v>6.7180032790263022E-2</v>
      </c>
      <c r="Q136" t="s">
        <v>166</v>
      </c>
    </row>
    <row r="137" spans="14:22" x14ac:dyDescent="0.45">
      <c r="N137" t="s">
        <v>188</v>
      </c>
      <c r="O137" t="s">
        <v>172</v>
      </c>
      <c r="P137">
        <v>0.1219781889066049</v>
      </c>
      <c r="Q137" t="s">
        <v>166</v>
      </c>
    </row>
    <row r="138" spans="14:22" x14ac:dyDescent="0.45">
      <c r="N138" t="s">
        <v>188</v>
      </c>
      <c r="O138" t="s">
        <v>173</v>
      </c>
      <c r="P138">
        <v>2.981665372138112E-2</v>
      </c>
      <c r="Q138" t="s">
        <v>166</v>
      </c>
    </row>
    <row r="139" spans="14:22" x14ac:dyDescent="0.45">
      <c r="N139" t="s">
        <v>188</v>
      </c>
      <c r="O139" t="s">
        <v>174</v>
      </c>
      <c r="P139">
        <v>2.3213280768613623E-2</v>
      </c>
      <c r="Q139" t="s">
        <v>166</v>
      </c>
    </row>
    <row r="140" spans="14:22" x14ac:dyDescent="0.45">
      <c r="N140" t="s">
        <v>188</v>
      </c>
      <c r="O140" t="s">
        <v>175</v>
      </c>
      <c r="P140">
        <v>0.18765804260902608</v>
      </c>
      <c r="Q140" t="s">
        <v>166</v>
      </c>
    </row>
    <row r="141" spans="14:22" x14ac:dyDescent="0.45">
      <c r="N141" t="s">
        <v>188</v>
      </c>
      <c r="O141" t="s">
        <v>176</v>
      </c>
      <c r="P141">
        <v>4.5068425127170117E-2</v>
      </c>
      <c r="Q141" t="s">
        <v>166</v>
      </c>
    </row>
    <row r="142" spans="14:22" x14ac:dyDescent="0.45">
      <c r="N142" t="s">
        <v>188</v>
      </c>
      <c r="O142" t="s">
        <v>177</v>
      </c>
      <c r="P142">
        <v>3.3618348160802891E-2</v>
      </c>
      <c r="Q142" t="s">
        <v>166</v>
      </c>
    </row>
    <row r="143" spans="14:22" x14ac:dyDescent="0.45">
      <c r="N143" t="s">
        <v>189</v>
      </c>
      <c r="O143" t="s">
        <v>165</v>
      </c>
      <c r="P143">
        <v>6.5926333437095586E-2</v>
      </c>
      <c r="Q143" t="s">
        <v>166</v>
      </c>
    </row>
    <row r="144" spans="14:22" x14ac:dyDescent="0.45">
      <c r="N144" t="s">
        <v>189</v>
      </c>
      <c r="O144" t="s">
        <v>167</v>
      </c>
      <c r="P144">
        <v>1.5921717632389712E-2</v>
      </c>
      <c r="Q144" t="s">
        <v>166</v>
      </c>
    </row>
    <row r="145" spans="14:17" x14ac:dyDescent="0.45">
      <c r="N145" t="s">
        <v>189</v>
      </c>
      <c r="O145" t="s">
        <v>168</v>
      </c>
      <c r="P145">
        <v>1.2216866511080662E-2</v>
      </c>
      <c r="Q145" t="s">
        <v>166</v>
      </c>
    </row>
    <row r="146" spans="14:17" x14ac:dyDescent="0.45">
      <c r="N146" t="s">
        <v>189</v>
      </c>
      <c r="O146" t="s">
        <v>169</v>
      </c>
      <c r="P146">
        <v>0.31100981144558254</v>
      </c>
      <c r="Q146" t="s">
        <v>166</v>
      </c>
    </row>
    <row r="147" spans="14:17" x14ac:dyDescent="0.45">
      <c r="N147" t="s">
        <v>189</v>
      </c>
      <c r="O147" t="s">
        <v>170</v>
      </c>
      <c r="P147">
        <v>7.8611659914732748E-2</v>
      </c>
      <c r="Q147" t="s">
        <v>166</v>
      </c>
    </row>
    <row r="148" spans="14:17" x14ac:dyDescent="0.45">
      <c r="N148" t="s">
        <v>189</v>
      </c>
      <c r="O148" t="s">
        <v>171</v>
      </c>
      <c r="P148">
        <v>6.5910429462354314E-2</v>
      </c>
      <c r="Q148" t="s">
        <v>166</v>
      </c>
    </row>
    <row r="149" spans="14:17" x14ac:dyDescent="0.45">
      <c r="N149" t="s">
        <v>189</v>
      </c>
      <c r="O149" t="s">
        <v>172</v>
      </c>
      <c r="P149">
        <v>0.12172361298994135</v>
      </c>
      <c r="Q149" t="s">
        <v>166</v>
      </c>
    </row>
    <row r="150" spans="14:17" x14ac:dyDescent="0.45">
      <c r="N150" t="s">
        <v>189</v>
      </c>
      <c r="O150" t="s">
        <v>173</v>
      </c>
      <c r="P150">
        <v>2.9758616985528494E-2</v>
      </c>
      <c r="Q150" t="s">
        <v>166</v>
      </c>
    </row>
    <row r="151" spans="14:17" x14ac:dyDescent="0.45">
      <c r="N151" t="s">
        <v>189</v>
      </c>
      <c r="O151" t="s">
        <v>174</v>
      </c>
      <c r="P151">
        <v>2.3916934999990619E-2</v>
      </c>
      <c r="Q151" t="s">
        <v>166</v>
      </c>
    </row>
    <row r="152" spans="14:17" x14ac:dyDescent="0.45">
      <c r="N152" t="s">
        <v>189</v>
      </c>
      <c r="O152" t="s">
        <v>175</v>
      </c>
      <c r="P152">
        <v>0.19393709412268037</v>
      </c>
      <c r="Q152" t="s">
        <v>166</v>
      </c>
    </row>
    <row r="153" spans="14:17" x14ac:dyDescent="0.45">
      <c r="N153" t="s">
        <v>189</v>
      </c>
      <c r="O153" t="s">
        <v>176</v>
      </c>
      <c r="P153">
        <v>4.6583746534969453E-2</v>
      </c>
      <c r="Q153" t="s">
        <v>166</v>
      </c>
    </row>
    <row r="154" spans="14:17" x14ac:dyDescent="0.45">
      <c r="N154" t="s">
        <v>189</v>
      </c>
      <c r="O154" t="s">
        <v>177</v>
      </c>
      <c r="P154">
        <v>3.4483175963652725E-2</v>
      </c>
      <c r="Q154" t="s">
        <v>166</v>
      </c>
    </row>
    <row r="155" spans="14:17" x14ac:dyDescent="0.45">
      <c r="N155" t="s">
        <v>190</v>
      </c>
      <c r="O155" t="s">
        <v>165</v>
      </c>
      <c r="P155">
        <v>6.5106098548797328E-2</v>
      </c>
      <c r="Q155" t="s">
        <v>166</v>
      </c>
    </row>
    <row r="156" spans="14:17" x14ac:dyDescent="0.45">
      <c r="N156" t="s">
        <v>190</v>
      </c>
      <c r="O156" t="s">
        <v>167</v>
      </c>
      <c r="P156">
        <v>1.5656657520320024E-2</v>
      </c>
      <c r="Q156" t="s">
        <v>166</v>
      </c>
    </row>
    <row r="157" spans="14:17" x14ac:dyDescent="0.45">
      <c r="N157" t="s">
        <v>190</v>
      </c>
      <c r="O157" t="s">
        <v>168</v>
      </c>
      <c r="P157">
        <v>1.1872681185567325E-2</v>
      </c>
      <c r="Q157" t="s">
        <v>166</v>
      </c>
    </row>
    <row r="158" spans="14:17" x14ac:dyDescent="0.45">
      <c r="N158" t="s">
        <v>190</v>
      </c>
      <c r="O158" t="s">
        <v>169</v>
      </c>
      <c r="P158">
        <v>0.32636475458061159</v>
      </c>
      <c r="Q158" t="s">
        <v>166</v>
      </c>
    </row>
    <row r="159" spans="14:17" x14ac:dyDescent="0.45">
      <c r="N159" t="s">
        <v>190</v>
      </c>
      <c r="O159" t="s">
        <v>170</v>
      </c>
      <c r="P159">
        <v>8.034334341620121E-2</v>
      </c>
      <c r="Q159" t="s">
        <v>166</v>
      </c>
    </row>
    <row r="160" spans="14:17" x14ac:dyDescent="0.45">
      <c r="N160" t="s">
        <v>190</v>
      </c>
      <c r="O160" t="s">
        <v>171</v>
      </c>
      <c r="P160">
        <v>6.9635752522450842E-2</v>
      </c>
      <c r="Q160" t="s">
        <v>166</v>
      </c>
    </row>
    <row r="161" spans="14:17" x14ac:dyDescent="0.45">
      <c r="N161" t="s">
        <v>190</v>
      </c>
      <c r="O161" t="s">
        <v>172</v>
      </c>
      <c r="P161">
        <v>0.12086905879105581</v>
      </c>
      <c r="Q161" t="s">
        <v>166</v>
      </c>
    </row>
    <row r="162" spans="14:17" x14ac:dyDescent="0.45">
      <c r="N162" t="s">
        <v>190</v>
      </c>
      <c r="O162" t="s">
        <v>173</v>
      </c>
      <c r="P162">
        <v>2.903591998357755E-2</v>
      </c>
      <c r="Q162" t="s">
        <v>166</v>
      </c>
    </row>
    <row r="163" spans="14:17" x14ac:dyDescent="0.45">
      <c r="N163" t="s">
        <v>190</v>
      </c>
      <c r="O163" t="s">
        <v>174</v>
      </c>
      <c r="P163">
        <v>2.3560929914144799E-2</v>
      </c>
      <c r="Q163" t="s">
        <v>166</v>
      </c>
    </row>
    <row r="164" spans="14:17" x14ac:dyDescent="0.45">
      <c r="N164" t="s">
        <v>190</v>
      </c>
      <c r="O164" t="s">
        <v>175</v>
      </c>
      <c r="P164">
        <v>0.18060193134255331</v>
      </c>
      <c r="Q164" t="s">
        <v>166</v>
      </c>
    </row>
    <row r="165" spans="14:17" x14ac:dyDescent="0.45">
      <c r="N165" t="s">
        <v>190</v>
      </c>
      <c r="O165" t="s">
        <v>176</v>
      </c>
      <c r="P165">
        <v>4.332628805561143E-2</v>
      </c>
      <c r="Q165" t="s">
        <v>166</v>
      </c>
    </row>
    <row r="166" spans="14:17" x14ac:dyDescent="0.45">
      <c r="N166" t="s">
        <v>190</v>
      </c>
      <c r="O166" t="s">
        <v>177</v>
      </c>
      <c r="P166">
        <v>3.3626584139108635E-2</v>
      </c>
      <c r="Q166" t="s">
        <v>166</v>
      </c>
    </row>
    <row r="167" spans="14:17" x14ac:dyDescent="0.45">
      <c r="N167" t="s">
        <v>191</v>
      </c>
      <c r="O167" t="s">
        <v>165</v>
      </c>
      <c r="P167">
        <v>6.1839125033871699E-2</v>
      </c>
      <c r="Q167" t="s">
        <v>166</v>
      </c>
    </row>
    <row r="168" spans="14:17" x14ac:dyDescent="0.45">
      <c r="N168" t="s">
        <v>191</v>
      </c>
      <c r="O168" t="s">
        <v>167</v>
      </c>
      <c r="P168">
        <v>1.4163415040886227E-2</v>
      </c>
      <c r="Q168" t="s">
        <v>166</v>
      </c>
    </row>
    <row r="169" spans="14:17" x14ac:dyDescent="0.45">
      <c r="N169" t="s">
        <v>191</v>
      </c>
      <c r="O169" t="s">
        <v>168</v>
      </c>
      <c r="P169">
        <v>1.0372732425226202E-2</v>
      </c>
      <c r="Q169" t="s">
        <v>166</v>
      </c>
    </row>
    <row r="170" spans="14:17" x14ac:dyDescent="0.45">
      <c r="N170" t="s">
        <v>191</v>
      </c>
      <c r="O170" t="s">
        <v>169</v>
      </c>
      <c r="P170">
        <v>0.33846706626082579</v>
      </c>
      <c r="Q170" t="s">
        <v>166</v>
      </c>
    </row>
    <row r="171" spans="14:17" x14ac:dyDescent="0.45">
      <c r="N171" t="s">
        <v>191</v>
      </c>
      <c r="O171" t="s">
        <v>170</v>
      </c>
      <c r="P171">
        <v>8.0299376081133966E-2</v>
      </c>
      <c r="Q171" t="s">
        <v>166</v>
      </c>
    </row>
    <row r="172" spans="14:17" x14ac:dyDescent="0.45">
      <c r="N172" t="s">
        <v>191</v>
      </c>
      <c r="O172" t="s">
        <v>171</v>
      </c>
      <c r="P172">
        <v>6.5556840024718149E-2</v>
      </c>
      <c r="Q172" t="s">
        <v>166</v>
      </c>
    </row>
    <row r="173" spans="14:17" x14ac:dyDescent="0.45">
      <c r="N173" t="s">
        <v>191</v>
      </c>
      <c r="O173" t="s">
        <v>172</v>
      </c>
      <c r="P173">
        <v>0.11691219129999787</v>
      </c>
      <c r="Q173" t="s">
        <v>166</v>
      </c>
    </row>
    <row r="174" spans="14:17" x14ac:dyDescent="0.45">
      <c r="N174" t="s">
        <v>191</v>
      </c>
      <c r="O174" t="s">
        <v>173</v>
      </c>
      <c r="P174">
        <v>3.0086360780142585E-2</v>
      </c>
      <c r="Q174" t="s">
        <v>166</v>
      </c>
    </row>
    <row r="175" spans="14:17" x14ac:dyDescent="0.45">
      <c r="N175" t="s">
        <v>191</v>
      </c>
      <c r="O175" t="s">
        <v>174</v>
      </c>
      <c r="P175">
        <v>2.3579015462395436E-2</v>
      </c>
      <c r="Q175" t="s">
        <v>166</v>
      </c>
    </row>
    <row r="176" spans="14:17" x14ac:dyDescent="0.45">
      <c r="N176" t="s">
        <v>191</v>
      </c>
      <c r="O176" t="s">
        <v>175</v>
      </c>
      <c r="P176">
        <v>0.18114641081494484</v>
      </c>
      <c r="Q176" t="s">
        <v>166</v>
      </c>
    </row>
    <row r="177" spans="14:17" x14ac:dyDescent="0.45">
      <c r="N177" t="s">
        <v>191</v>
      </c>
      <c r="O177" t="s">
        <v>176</v>
      </c>
      <c r="P177">
        <v>4.4162891273936793E-2</v>
      </c>
      <c r="Q177" t="s">
        <v>166</v>
      </c>
    </row>
    <row r="178" spans="14:17" x14ac:dyDescent="0.45">
      <c r="N178" t="s">
        <v>191</v>
      </c>
      <c r="O178" t="s">
        <v>177</v>
      </c>
      <c r="P178">
        <v>3.3414575501922152E-2</v>
      </c>
      <c r="Q178" t="s">
        <v>166</v>
      </c>
    </row>
    <row r="179" spans="14:17" x14ac:dyDescent="0.45">
      <c r="N179" t="s">
        <v>192</v>
      </c>
      <c r="O179" t="s">
        <v>165</v>
      </c>
      <c r="P179">
        <v>6.4779257253569131E-2</v>
      </c>
      <c r="Q179" t="s">
        <v>166</v>
      </c>
    </row>
    <row r="180" spans="14:17" x14ac:dyDescent="0.45">
      <c r="N180" t="s">
        <v>192</v>
      </c>
      <c r="O180" t="s">
        <v>167</v>
      </c>
      <c r="P180">
        <v>1.6148423962620305E-2</v>
      </c>
      <c r="Q180" t="s">
        <v>166</v>
      </c>
    </row>
    <row r="181" spans="14:17" x14ac:dyDescent="0.45">
      <c r="N181" t="s">
        <v>192</v>
      </c>
      <c r="O181" t="s">
        <v>168</v>
      </c>
      <c r="P181">
        <v>1.1997126750127212E-2</v>
      </c>
      <c r="Q181" t="s">
        <v>166</v>
      </c>
    </row>
    <row r="182" spans="14:17" x14ac:dyDescent="0.45">
      <c r="N182" t="s">
        <v>192</v>
      </c>
      <c r="O182" t="s">
        <v>169</v>
      </c>
      <c r="P182">
        <v>0.34047558784247245</v>
      </c>
      <c r="Q182" t="s">
        <v>166</v>
      </c>
    </row>
    <row r="183" spans="14:17" x14ac:dyDescent="0.45">
      <c r="N183" t="s">
        <v>192</v>
      </c>
      <c r="O183" t="s">
        <v>170</v>
      </c>
      <c r="P183">
        <v>8.5233981214848098E-2</v>
      </c>
      <c r="Q183" t="s">
        <v>166</v>
      </c>
    </row>
    <row r="184" spans="14:17" x14ac:dyDescent="0.45">
      <c r="N184" t="s">
        <v>192</v>
      </c>
      <c r="O184" t="s">
        <v>171</v>
      </c>
      <c r="P184">
        <v>6.9851489168045303E-2</v>
      </c>
      <c r="Q184" t="s">
        <v>166</v>
      </c>
    </row>
    <row r="185" spans="14:17" x14ac:dyDescent="0.45">
      <c r="N185" t="s">
        <v>192</v>
      </c>
      <c r="O185" t="s">
        <v>172</v>
      </c>
      <c r="P185">
        <v>0.12013714738517145</v>
      </c>
      <c r="Q185" t="s">
        <v>166</v>
      </c>
    </row>
    <row r="186" spans="14:17" x14ac:dyDescent="0.45">
      <c r="N186" t="s">
        <v>192</v>
      </c>
      <c r="O186" t="s">
        <v>173</v>
      </c>
      <c r="P186">
        <v>3.0639314578435058E-2</v>
      </c>
      <c r="Q186" t="s">
        <v>166</v>
      </c>
    </row>
    <row r="187" spans="14:17" x14ac:dyDescent="0.45">
      <c r="N187" t="s">
        <v>192</v>
      </c>
      <c r="O187" t="s">
        <v>174</v>
      </c>
      <c r="P187">
        <v>2.4391802139262488E-2</v>
      </c>
      <c r="Q187" t="s">
        <v>166</v>
      </c>
    </row>
    <row r="188" spans="14:17" x14ac:dyDescent="0.45">
      <c r="N188" t="s">
        <v>192</v>
      </c>
      <c r="O188" t="s">
        <v>175</v>
      </c>
      <c r="P188">
        <v>0.16602415740148257</v>
      </c>
      <c r="Q188" t="s">
        <v>166</v>
      </c>
    </row>
    <row r="189" spans="14:17" x14ac:dyDescent="0.45">
      <c r="N189" t="s">
        <v>192</v>
      </c>
      <c r="O189" t="s">
        <v>176</v>
      </c>
      <c r="P189">
        <v>4.0128126616783943E-2</v>
      </c>
      <c r="Q189" t="s">
        <v>166</v>
      </c>
    </row>
    <row r="190" spans="14:17" x14ac:dyDescent="0.45">
      <c r="N190" t="s">
        <v>192</v>
      </c>
      <c r="O190" t="s">
        <v>177</v>
      </c>
      <c r="P190">
        <v>3.0193585687178337E-2</v>
      </c>
      <c r="Q190" t="s">
        <v>166</v>
      </c>
    </row>
    <row r="191" spans="14:17" x14ac:dyDescent="0.45">
      <c r="N191" t="s">
        <v>193</v>
      </c>
      <c r="O191" t="s">
        <v>165</v>
      </c>
      <c r="P191">
        <v>7.5623484188011694E-2</v>
      </c>
      <c r="Q191" t="s">
        <v>166</v>
      </c>
    </row>
    <row r="192" spans="14:17" x14ac:dyDescent="0.45">
      <c r="N192" t="s">
        <v>193</v>
      </c>
      <c r="O192" t="s">
        <v>167</v>
      </c>
      <c r="P192">
        <v>1.8961120853234217E-2</v>
      </c>
      <c r="Q192" t="s">
        <v>166</v>
      </c>
    </row>
    <row r="193" spans="14:17" x14ac:dyDescent="0.45">
      <c r="N193" t="s">
        <v>193</v>
      </c>
      <c r="O193" t="s">
        <v>168</v>
      </c>
      <c r="P193">
        <v>1.4203999888694446E-2</v>
      </c>
      <c r="Q193" t="s">
        <v>166</v>
      </c>
    </row>
    <row r="194" spans="14:17" x14ac:dyDescent="0.45">
      <c r="N194" t="s">
        <v>193</v>
      </c>
      <c r="O194" t="s">
        <v>169</v>
      </c>
      <c r="P194">
        <v>0.31486672965475981</v>
      </c>
      <c r="Q194" t="s">
        <v>166</v>
      </c>
    </row>
    <row r="195" spans="14:17" x14ac:dyDescent="0.45">
      <c r="N195" t="s">
        <v>193</v>
      </c>
      <c r="O195" t="s">
        <v>170</v>
      </c>
      <c r="P195">
        <v>8.0250833130061039E-2</v>
      </c>
      <c r="Q195" t="s">
        <v>166</v>
      </c>
    </row>
    <row r="196" spans="14:17" x14ac:dyDescent="0.45">
      <c r="N196" t="s">
        <v>193</v>
      </c>
      <c r="O196" t="s">
        <v>171</v>
      </c>
      <c r="P196">
        <v>6.733772881793422E-2</v>
      </c>
      <c r="Q196" t="s">
        <v>166</v>
      </c>
    </row>
    <row r="197" spans="14:17" x14ac:dyDescent="0.45">
      <c r="N197" t="s">
        <v>193</v>
      </c>
      <c r="O197" t="s">
        <v>172</v>
      </c>
      <c r="P197">
        <v>0.12785132907219399</v>
      </c>
      <c r="Q197" t="s">
        <v>166</v>
      </c>
    </row>
    <row r="198" spans="14:17" x14ac:dyDescent="0.45">
      <c r="N198" t="s">
        <v>193</v>
      </c>
      <c r="O198" t="s">
        <v>173</v>
      </c>
      <c r="P198">
        <v>3.0529302109838938E-2</v>
      </c>
      <c r="Q198" t="s">
        <v>166</v>
      </c>
    </row>
    <row r="199" spans="14:17" x14ac:dyDescent="0.45">
      <c r="N199" t="s">
        <v>193</v>
      </c>
      <c r="O199" t="s">
        <v>174</v>
      </c>
      <c r="P199">
        <v>2.3769341485061553E-2</v>
      </c>
      <c r="Q199" t="s">
        <v>166</v>
      </c>
    </row>
    <row r="200" spans="14:17" x14ac:dyDescent="0.45">
      <c r="N200" t="s">
        <v>193</v>
      </c>
      <c r="O200" t="s">
        <v>175</v>
      </c>
      <c r="P200">
        <v>0.17440721060197087</v>
      </c>
      <c r="Q200" t="s">
        <v>166</v>
      </c>
    </row>
    <row r="201" spans="14:17" x14ac:dyDescent="0.45">
      <c r="N201" t="s">
        <v>193</v>
      </c>
      <c r="O201" t="s">
        <v>176</v>
      </c>
      <c r="P201">
        <v>4.0815424929945401E-2</v>
      </c>
      <c r="Q201" t="s">
        <v>166</v>
      </c>
    </row>
    <row r="202" spans="14:17" x14ac:dyDescent="0.45">
      <c r="N202" t="s">
        <v>193</v>
      </c>
      <c r="O202" t="s">
        <v>177</v>
      </c>
      <c r="P202">
        <v>3.1383495268294044E-2</v>
      </c>
      <c r="Q202" t="s">
        <v>166</v>
      </c>
    </row>
    <row r="203" spans="14:17" x14ac:dyDescent="0.45">
      <c r="N203" t="s">
        <v>194</v>
      </c>
      <c r="O203" t="s">
        <v>165</v>
      </c>
      <c r="P203">
        <v>7.4898020769166601E-2</v>
      </c>
      <c r="Q203" t="s">
        <v>166</v>
      </c>
    </row>
    <row r="204" spans="14:17" x14ac:dyDescent="0.45">
      <c r="N204" t="s">
        <v>194</v>
      </c>
      <c r="O204" t="s">
        <v>167</v>
      </c>
      <c r="P204">
        <v>1.9380627441568682E-2</v>
      </c>
      <c r="Q204" t="s">
        <v>166</v>
      </c>
    </row>
    <row r="205" spans="14:17" x14ac:dyDescent="0.45">
      <c r="N205" t="s">
        <v>194</v>
      </c>
      <c r="O205" t="s">
        <v>168</v>
      </c>
      <c r="P205">
        <v>1.5119997919884319E-2</v>
      </c>
      <c r="Q205" t="s">
        <v>166</v>
      </c>
    </row>
    <row r="206" spans="14:17" x14ac:dyDescent="0.45">
      <c r="N206" t="s">
        <v>194</v>
      </c>
      <c r="O206" t="s">
        <v>169</v>
      </c>
      <c r="P206">
        <v>0.33333152038885006</v>
      </c>
      <c r="Q206" t="s">
        <v>166</v>
      </c>
    </row>
    <row r="207" spans="14:17" x14ac:dyDescent="0.45">
      <c r="N207" t="s">
        <v>194</v>
      </c>
      <c r="O207" t="s">
        <v>170</v>
      </c>
      <c r="P207">
        <v>8.2174506758197027E-2</v>
      </c>
      <c r="Q207" t="s">
        <v>166</v>
      </c>
    </row>
    <row r="208" spans="14:17" x14ac:dyDescent="0.45">
      <c r="N208" t="s">
        <v>194</v>
      </c>
      <c r="O208" t="s">
        <v>171</v>
      </c>
      <c r="P208">
        <v>6.6796933683474086E-2</v>
      </c>
      <c r="Q208" t="s">
        <v>166</v>
      </c>
    </row>
    <row r="209" spans="14:17" x14ac:dyDescent="0.45">
      <c r="N209" t="s">
        <v>194</v>
      </c>
      <c r="O209" t="s">
        <v>172</v>
      </c>
      <c r="P209">
        <v>0.1269525215932174</v>
      </c>
      <c r="Q209" t="s">
        <v>166</v>
      </c>
    </row>
    <row r="210" spans="14:17" x14ac:dyDescent="0.45">
      <c r="N210" t="s">
        <v>194</v>
      </c>
      <c r="O210" t="s">
        <v>173</v>
      </c>
      <c r="P210">
        <v>3.0741489385209844E-2</v>
      </c>
      <c r="Q210" t="s">
        <v>166</v>
      </c>
    </row>
    <row r="211" spans="14:17" x14ac:dyDescent="0.45">
      <c r="N211" t="s">
        <v>194</v>
      </c>
      <c r="O211" t="s">
        <v>174</v>
      </c>
      <c r="P211">
        <v>2.4285762894526827E-2</v>
      </c>
      <c r="Q211" t="s">
        <v>166</v>
      </c>
    </row>
    <row r="212" spans="14:17" x14ac:dyDescent="0.45">
      <c r="N212" t="s">
        <v>194</v>
      </c>
      <c r="O212" t="s">
        <v>175</v>
      </c>
      <c r="P212">
        <v>0.15719793844370622</v>
      </c>
      <c r="Q212" t="s">
        <v>166</v>
      </c>
    </row>
    <row r="213" spans="14:17" x14ac:dyDescent="0.45">
      <c r="N213" t="s">
        <v>194</v>
      </c>
      <c r="O213" t="s">
        <v>176</v>
      </c>
      <c r="P213">
        <v>3.9206756713874788E-2</v>
      </c>
      <c r="Q213" t="s">
        <v>166</v>
      </c>
    </row>
    <row r="214" spans="14:17" x14ac:dyDescent="0.45">
      <c r="N214" t="s">
        <v>194</v>
      </c>
      <c r="O214" t="s">
        <v>177</v>
      </c>
      <c r="P214">
        <v>2.991392400832776E-2</v>
      </c>
      <c r="Q214" t="s">
        <v>166</v>
      </c>
    </row>
    <row r="215" spans="14:17" x14ac:dyDescent="0.45">
      <c r="N215" t="s">
        <v>195</v>
      </c>
      <c r="O215" t="s">
        <v>165</v>
      </c>
      <c r="P215">
        <v>6.8242041721154223E-2</v>
      </c>
      <c r="Q215" t="s">
        <v>166</v>
      </c>
    </row>
    <row r="216" spans="14:17" x14ac:dyDescent="0.45">
      <c r="N216" t="s">
        <v>195</v>
      </c>
      <c r="O216" t="s">
        <v>167</v>
      </c>
      <c r="P216">
        <v>1.7591471833200596E-2</v>
      </c>
      <c r="Q216" t="s">
        <v>166</v>
      </c>
    </row>
    <row r="217" spans="14:17" x14ac:dyDescent="0.45">
      <c r="N217" t="s">
        <v>195</v>
      </c>
      <c r="O217" t="s">
        <v>168</v>
      </c>
      <c r="P217">
        <v>1.3269045082209417E-2</v>
      </c>
      <c r="Q217" t="s">
        <v>166</v>
      </c>
    </row>
    <row r="218" spans="14:17" x14ac:dyDescent="0.45">
      <c r="N218" t="s">
        <v>195</v>
      </c>
      <c r="O218" t="s">
        <v>169</v>
      </c>
      <c r="P218">
        <v>0.33961415850285004</v>
      </c>
      <c r="Q218" t="s">
        <v>166</v>
      </c>
    </row>
    <row r="219" spans="14:17" x14ac:dyDescent="0.45">
      <c r="N219" t="s">
        <v>195</v>
      </c>
      <c r="O219" t="s">
        <v>170</v>
      </c>
      <c r="P219">
        <v>8.2216849627422178E-2</v>
      </c>
      <c r="Q219" t="s">
        <v>166</v>
      </c>
    </row>
    <row r="220" spans="14:17" x14ac:dyDescent="0.45">
      <c r="N220" t="s">
        <v>195</v>
      </c>
      <c r="O220" t="s">
        <v>171</v>
      </c>
      <c r="P220">
        <v>6.8199891549995006E-2</v>
      </c>
      <c r="Q220" t="s">
        <v>166</v>
      </c>
    </row>
    <row r="221" spans="14:17" x14ac:dyDescent="0.45">
      <c r="N221" t="s">
        <v>195</v>
      </c>
      <c r="O221" t="s">
        <v>172</v>
      </c>
      <c r="P221">
        <v>0.12307471991865113</v>
      </c>
      <c r="Q221" t="s">
        <v>166</v>
      </c>
    </row>
    <row r="222" spans="14:17" x14ac:dyDescent="0.45">
      <c r="N222" t="s">
        <v>195</v>
      </c>
      <c r="O222" t="s">
        <v>173</v>
      </c>
      <c r="P222">
        <v>2.9596078922351585E-2</v>
      </c>
      <c r="Q222" t="s">
        <v>166</v>
      </c>
    </row>
    <row r="223" spans="14:17" x14ac:dyDescent="0.45">
      <c r="N223" t="s">
        <v>195</v>
      </c>
      <c r="O223" t="s">
        <v>174</v>
      </c>
      <c r="P223">
        <v>2.452502472403387E-2</v>
      </c>
      <c r="Q223" t="s">
        <v>166</v>
      </c>
    </row>
    <row r="224" spans="14:17" x14ac:dyDescent="0.45">
      <c r="N224" t="s">
        <v>195</v>
      </c>
      <c r="O224" t="s">
        <v>175</v>
      </c>
      <c r="P224">
        <v>0.16338618193811871</v>
      </c>
      <c r="Q224" t="s">
        <v>166</v>
      </c>
    </row>
    <row r="225" spans="14:17" x14ac:dyDescent="0.45">
      <c r="N225" t="s">
        <v>195</v>
      </c>
      <c r="O225" t="s">
        <v>176</v>
      </c>
      <c r="P225">
        <v>3.9615078663507823E-2</v>
      </c>
      <c r="Q225" t="s">
        <v>166</v>
      </c>
    </row>
    <row r="226" spans="14:17" x14ac:dyDescent="0.45">
      <c r="N226" t="s">
        <v>195</v>
      </c>
      <c r="O226" t="s">
        <v>177</v>
      </c>
      <c r="P226">
        <v>3.0669457516508014E-2</v>
      </c>
      <c r="Q226" t="s">
        <v>166</v>
      </c>
    </row>
    <row r="227" spans="14:17" x14ac:dyDescent="0.45">
      <c r="N227" t="s">
        <v>196</v>
      </c>
      <c r="O227" t="s">
        <v>165</v>
      </c>
      <c r="P227">
        <v>7.6627821065790289E-2</v>
      </c>
      <c r="Q227" t="s">
        <v>166</v>
      </c>
    </row>
    <row r="228" spans="14:17" x14ac:dyDescent="0.45">
      <c r="N228" t="s">
        <v>196</v>
      </c>
      <c r="O228" t="s">
        <v>167</v>
      </c>
      <c r="P228">
        <v>1.9670790587366895E-2</v>
      </c>
      <c r="Q228" t="s">
        <v>166</v>
      </c>
    </row>
    <row r="229" spans="14:17" x14ac:dyDescent="0.45">
      <c r="N229" t="s">
        <v>196</v>
      </c>
      <c r="O229" t="s">
        <v>168</v>
      </c>
      <c r="P229">
        <v>1.3800866026130029E-2</v>
      </c>
      <c r="Q229" t="s">
        <v>166</v>
      </c>
    </row>
    <row r="230" spans="14:17" x14ac:dyDescent="0.45">
      <c r="N230" t="s">
        <v>196</v>
      </c>
      <c r="O230" t="s">
        <v>169</v>
      </c>
      <c r="P230">
        <v>0.33606935248822745</v>
      </c>
      <c r="Q230" t="s">
        <v>166</v>
      </c>
    </row>
    <row r="231" spans="14:17" x14ac:dyDescent="0.45">
      <c r="N231" t="s">
        <v>196</v>
      </c>
      <c r="O231" t="s">
        <v>170</v>
      </c>
      <c r="P231">
        <v>7.7018398286214915E-2</v>
      </c>
      <c r="Q231" t="s">
        <v>166</v>
      </c>
    </row>
    <row r="232" spans="14:17" x14ac:dyDescent="0.45">
      <c r="N232" t="s">
        <v>196</v>
      </c>
      <c r="O232" t="s">
        <v>171</v>
      </c>
      <c r="P232">
        <v>6.1702438259119939E-2</v>
      </c>
      <c r="Q232" t="s">
        <v>166</v>
      </c>
    </row>
    <row r="233" spans="14:17" x14ac:dyDescent="0.45">
      <c r="N233" t="s">
        <v>196</v>
      </c>
      <c r="O233" t="s">
        <v>172</v>
      </c>
      <c r="P233">
        <v>0.12023739727794354</v>
      </c>
      <c r="Q233" t="s">
        <v>166</v>
      </c>
    </row>
    <row r="234" spans="14:17" x14ac:dyDescent="0.45">
      <c r="N234" t="s">
        <v>196</v>
      </c>
      <c r="O234" t="s">
        <v>173</v>
      </c>
      <c r="P234">
        <v>2.9400362259312092E-2</v>
      </c>
      <c r="Q234" t="s">
        <v>166</v>
      </c>
    </row>
    <row r="235" spans="14:17" x14ac:dyDescent="0.45">
      <c r="N235" t="s">
        <v>196</v>
      </c>
      <c r="O235" t="s">
        <v>174</v>
      </c>
      <c r="P235">
        <v>2.2449142485969319E-2</v>
      </c>
      <c r="Q235" t="s">
        <v>166</v>
      </c>
    </row>
    <row r="236" spans="14:17" x14ac:dyDescent="0.45">
      <c r="N236" t="s">
        <v>196</v>
      </c>
      <c r="O236" t="s">
        <v>175</v>
      </c>
      <c r="P236">
        <v>0.17185441151541087</v>
      </c>
      <c r="Q236" t="s">
        <v>166</v>
      </c>
    </row>
    <row r="237" spans="14:17" x14ac:dyDescent="0.45">
      <c r="N237" t="s">
        <v>196</v>
      </c>
      <c r="O237" t="s">
        <v>176</v>
      </c>
      <c r="P237">
        <v>4.0733617279261218E-2</v>
      </c>
      <c r="Q237" t="s">
        <v>166</v>
      </c>
    </row>
    <row r="238" spans="14:17" x14ac:dyDescent="0.45">
      <c r="N238" t="s">
        <v>196</v>
      </c>
      <c r="O238" t="s">
        <v>177</v>
      </c>
      <c r="P238">
        <v>3.0435402469253296E-2</v>
      </c>
      <c r="Q238" t="s">
        <v>166</v>
      </c>
    </row>
    <row r="239" spans="14:17" x14ac:dyDescent="0.45">
      <c r="N239" t="s">
        <v>197</v>
      </c>
      <c r="O239" t="s">
        <v>165</v>
      </c>
      <c r="P239">
        <v>7.3871327222566494E-2</v>
      </c>
      <c r="Q239" t="s">
        <v>166</v>
      </c>
    </row>
    <row r="240" spans="14:17" x14ac:dyDescent="0.45">
      <c r="N240" t="s">
        <v>197</v>
      </c>
      <c r="O240" t="s">
        <v>167</v>
      </c>
      <c r="P240">
        <v>1.9293025882393178E-2</v>
      </c>
      <c r="Q240" t="s">
        <v>166</v>
      </c>
    </row>
    <row r="241" spans="14:17" x14ac:dyDescent="0.45">
      <c r="N241" t="s">
        <v>197</v>
      </c>
      <c r="O241" t="s">
        <v>168</v>
      </c>
      <c r="P241">
        <v>1.4651634356755299E-2</v>
      </c>
      <c r="Q241" t="s">
        <v>166</v>
      </c>
    </row>
    <row r="242" spans="14:17" x14ac:dyDescent="0.45">
      <c r="N242" t="s">
        <v>197</v>
      </c>
      <c r="O242" t="s">
        <v>169</v>
      </c>
      <c r="P242">
        <v>0.34097522302367222</v>
      </c>
      <c r="Q242" t="s">
        <v>166</v>
      </c>
    </row>
    <row r="243" spans="14:17" x14ac:dyDescent="0.45">
      <c r="N243" t="s">
        <v>197</v>
      </c>
      <c r="O243" t="s">
        <v>170</v>
      </c>
      <c r="P243">
        <v>7.9823470297782056E-2</v>
      </c>
      <c r="Q243" t="s">
        <v>166</v>
      </c>
    </row>
    <row r="244" spans="14:17" x14ac:dyDescent="0.45">
      <c r="N244" t="s">
        <v>197</v>
      </c>
      <c r="O244" t="s">
        <v>171</v>
      </c>
      <c r="P244">
        <v>6.5460594942699984E-2</v>
      </c>
      <c r="Q244" t="s">
        <v>166</v>
      </c>
    </row>
    <row r="245" spans="14:17" x14ac:dyDescent="0.45">
      <c r="N245" t="s">
        <v>197</v>
      </c>
      <c r="O245" t="s">
        <v>172</v>
      </c>
      <c r="P245">
        <v>0.11913450719618636</v>
      </c>
      <c r="Q245" t="s">
        <v>166</v>
      </c>
    </row>
    <row r="246" spans="14:17" x14ac:dyDescent="0.45">
      <c r="N246" t="s">
        <v>197</v>
      </c>
      <c r="O246" t="s">
        <v>173</v>
      </c>
      <c r="P246">
        <v>2.9245986223817744E-2</v>
      </c>
      <c r="Q246" t="s">
        <v>166</v>
      </c>
    </row>
    <row r="247" spans="14:17" x14ac:dyDescent="0.45">
      <c r="N247" t="s">
        <v>197</v>
      </c>
      <c r="O247" t="s">
        <v>174</v>
      </c>
      <c r="P247">
        <v>2.248978427823305E-2</v>
      </c>
      <c r="Q247" t="s">
        <v>166</v>
      </c>
    </row>
    <row r="248" spans="14:17" x14ac:dyDescent="0.45">
      <c r="N248" t="s">
        <v>197</v>
      </c>
      <c r="O248" t="s">
        <v>175</v>
      </c>
      <c r="P248">
        <v>0.16496149166303986</v>
      </c>
      <c r="Q248" t="s">
        <v>166</v>
      </c>
    </row>
    <row r="249" spans="14:17" x14ac:dyDescent="0.45">
      <c r="N249" t="s">
        <v>197</v>
      </c>
      <c r="O249" t="s">
        <v>176</v>
      </c>
      <c r="P249">
        <v>4.1037497509268335E-2</v>
      </c>
      <c r="Q249" t="s">
        <v>166</v>
      </c>
    </row>
    <row r="250" spans="14:17" x14ac:dyDescent="0.45">
      <c r="N250" t="s">
        <v>197</v>
      </c>
      <c r="O250" t="s">
        <v>177</v>
      </c>
      <c r="P250">
        <v>2.9055457403586855E-2</v>
      </c>
      <c r="Q250" t="s">
        <v>166</v>
      </c>
    </row>
    <row r="251" spans="14:17" x14ac:dyDescent="0.45">
      <c r="N251" t="s">
        <v>198</v>
      </c>
      <c r="O251" t="s">
        <v>165</v>
      </c>
      <c r="P251">
        <v>6.6848588343324411E-2</v>
      </c>
      <c r="Q251" t="s">
        <v>166</v>
      </c>
    </row>
    <row r="252" spans="14:17" x14ac:dyDescent="0.45">
      <c r="N252" t="s">
        <v>198</v>
      </c>
      <c r="O252" t="s">
        <v>167</v>
      </c>
      <c r="P252">
        <v>1.5571435379678906E-2</v>
      </c>
      <c r="Q252" t="s">
        <v>166</v>
      </c>
    </row>
    <row r="253" spans="14:17" x14ac:dyDescent="0.45">
      <c r="N253" t="s">
        <v>198</v>
      </c>
      <c r="O253" t="s">
        <v>168</v>
      </c>
      <c r="P253">
        <v>1.1769635507728925E-2</v>
      </c>
      <c r="Q253" t="s">
        <v>166</v>
      </c>
    </row>
    <row r="254" spans="14:17" x14ac:dyDescent="0.45">
      <c r="N254" t="s">
        <v>198</v>
      </c>
      <c r="O254" t="s">
        <v>169</v>
      </c>
      <c r="P254">
        <v>0.34923184382877048</v>
      </c>
      <c r="Q254" t="s">
        <v>166</v>
      </c>
    </row>
    <row r="255" spans="14:17" x14ac:dyDescent="0.45">
      <c r="N255" t="s">
        <v>198</v>
      </c>
      <c r="O255" t="s">
        <v>170</v>
      </c>
      <c r="P255">
        <v>8.3726337052411198E-2</v>
      </c>
      <c r="Q255" t="s">
        <v>166</v>
      </c>
    </row>
    <row r="256" spans="14:17" x14ac:dyDescent="0.45">
      <c r="N256" t="s">
        <v>198</v>
      </c>
      <c r="O256" t="s">
        <v>171</v>
      </c>
      <c r="P256">
        <v>6.0378555861341381E-2</v>
      </c>
      <c r="Q256" t="s">
        <v>166</v>
      </c>
    </row>
    <row r="257" spans="14:17" x14ac:dyDescent="0.45">
      <c r="N257" t="s">
        <v>198</v>
      </c>
      <c r="O257" t="s">
        <v>172</v>
      </c>
      <c r="P257">
        <v>0.1223661560019885</v>
      </c>
      <c r="Q257" t="s">
        <v>166</v>
      </c>
    </row>
    <row r="258" spans="14:17" x14ac:dyDescent="0.45">
      <c r="N258" t="s">
        <v>198</v>
      </c>
      <c r="O258" t="s">
        <v>173</v>
      </c>
      <c r="P258">
        <v>3.1065573673138058E-2</v>
      </c>
      <c r="Q258" t="s">
        <v>166</v>
      </c>
    </row>
    <row r="259" spans="14:17" x14ac:dyDescent="0.45">
      <c r="N259" t="s">
        <v>198</v>
      </c>
      <c r="O259" t="s">
        <v>174</v>
      </c>
      <c r="P259">
        <v>2.3152271644959234E-2</v>
      </c>
      <c r="Q259" t="s">
        <v>166</v>
      </c>
    </row>
    <row r="260" spans="14:17" x14ac:dyDescent="0.45">
      <c r="N260" t="s">
        <v>198</v>
      </c>
      <c r="O260" t="s">
        <v>175</v>
      </c>
      <c r="P260">
        <v>0.16876130682907348</v>
      </c>
      <c r="Q260" t="s">
        <v>166</v>
      </c>
    </row>
    <row r="261" spans="14:17" x14ac:dyDescent="0.45">
      <c r="N261" t="s">
        <v>198</v>
      </c>
      <c r="O261" t="s">
        <v>176</v>
      </c>
      <c r="P261">
        <v>3.9300849747204596E-2</v>
      </c>
      <c r="Q261" t="s">
        <v>166</v>
      </c>
    </row>
    <row r="262" spans="14:17" x14ac:dyDescent="0.45">
      <c r="N262" t="s">
        <v>198</v>
      </c>
      <c r="O262" t="s">
        <v>177</v>
      </c>
      <c r="P262">
        <v>2.7827446130382644E-2</v>
      </c>
      <c r="Q262" t="s">
        <v>166</v>
      </c>
    </row>
    <row r="263" spans="14:17" x14ac:dyDescent="0.45">
      <c r="N263" t="s">
        <v>199</v>
      </c>
      <c r="O263" t="s">
        <v>165</v>
      </c>
      <c r="P263">
        <v>6.8792538523713184E-2</v>
      </c>
      <c r="Q263" t="s">
        <v>166</v>
      </c>
    </row>
    <row r="264" spans="14:17" x14ac:dyDescent="0.45">
      <c r="N264" t="s">
        <v>199</v>
      </c>
      <c r="O264" t="s">
        <v>167</v>
      </c>
      <c r="P264">
        <v>1.5574267841874564E-2</v>
      </c>
      <c r="Q264" t="s">
        <v>166</v>
      </c>
    </row>
    <row r="265" spans="14:17" x14ac:dyDescent="0.45">
      <c r="N265" t="s">
        <v>199</v>
      </c>
      <c r="O265" t="s">
        <v>168</v>
      </c>
      <c r="P265">
        <v>1.213423524427726E-2</v>
      </c>
      <c r="Q265" t="s">
        <v>166</v>
      </c>
    </row>
    <row r="266" spans="14:17" x14ac:dyDescent="0.45">
      <c r="N266" t="s">
        <v>199</v>
      </c>
      <c r="O266" t="s">
        <v>169</v>
      </c>
      <c r="P266">
        <v>0.35042419569874489</v>
      </c>
      <c r="Q266" t="s">
        <v>166</v>
      </c>
    </row>
    <row r="267" spans="14:17" x14ac:dyDescent="0.45">
      <c r="N267" t="s">
        <v>199</v>
      </c>
      <c r="O267" t="s">
        <v>170</v>
      </c>
      <c r="P267">
        <v>8.457934899155746E-2</v>
      </c>
      <c r="Q267" t="s">
        <v>166</v>
      </c>
    </row>
    <row r="268" spans="14:17" x14ac:dyDescent="0.45">
      <c r="N268" t="s">
        <v>199</v>
      </c>
      <c r="O268" t="s">
        <v>171</v>
      </c>
      <c r="P268">
        <v>6.6746913245119721E-2</v>
      </c>
      <c r="Q268" t="s">
        <v>166</v>
      </c>
    </row>
    <row r="269" spans="14:17" x14ac:dyDescent="0.45">
      <c r="N269" t="s">
        <v>199</v>
      </c>
      <c r="O269" t="s">
        <v>172</v>
      </c>
      <c r="P269">
        <v>0.11961874547738448</v>
      </c>
      <c r="Q269" t="s">
        <v>166</v>
      </c>
    </row>
    <row r="270" spans="14:17" x14ac:dyDescent="0.45">
      <c r="N270" t="s">
        <v>199</v>
      </c>
      <c r="O270" t="s">
        <v>173</v>
      </c>
      <c r="P270">
        <v>2.8917487054608833E-2</v>
      </c>
      <c r="Q270" t="s">
        <v>166</v>
      </c>
    </row>
    <row r="271" spans="14:17" x14ac:dyDescent="0.45">
      <c r="N271" t="s">
        <v>199</v>
      </c>
      <c r="O271" t="s">
        <v>174</v>
      </c>
      <c r="P271">
        <v>2.1798088807620263E-2</v>
      </c>
      <c r="Q271" t="s">
        <v>166</v>
      </c>
    </row>
    <row r="272" spans="14:17" x14ac:dyDescent="0.45">
      <c r="N272" t="s">
        <v>199</v>
      </c>
      <c r="O272" t="s">
        <v>175</v>
      </c>
      <c r="P272">
        <v>0.16503102119594862</v>
      </c>
      <c r="Q272" t="s">
        <v>166</v>
      </c>
    </row>
    <row r="273" spans="14:17" x14ac:dyDescent="0.45">
      <c r="N273" t="s">
        <v>199</v>
      </c>
      <c r="O273" t="s">
        <v>176</v>
      </c>
      <c r="P273">
        <v>3.7995270419366976E-2</v>
      </c>
      <c r="Q273" t="s">
        <v>166</v>
      </c>
    </row>
    <row r="274" spans="14:17" x14ac:dyDescent="0.45">
      <c r="N274" t="s">
        <v>199</v>
      </c>
      <c r="O274" t="s">
        <v>177</v>
      </c>
      <c r="P274">
        <v>2.8387887499786407E-2</v>
      </c>
      <c r="Q274" t="s">
        <v>166</v>
      </c>
    </row>
    <row r="275" spans="14:17" x14ac:dyDescent="0.45">
      <c r="N275" t="s">
        <v>200</v>
      </c>
      <c r="O275" t="s">
        <v>165</v>
      </c>
      <c r="P275">
        <v>6.8060080774605042E-2</v>
      </c>
      <c r="Q275" t="s">
        <v>166</v>
      </c>
    </row>
    <row r="276" spans="14:17" x14ac:dyDescent="0.45">
      <c r="N276" t="s">
        <v>200</v>
      </c>
      <c r="O276" t="s">
        <v>167</v>
      </c>
      <c r="P276">
        <v>1.6318102966566776E-2</v>
      </c>
      <c r="Q276" t="s">
        <v>166</v>
      </c>
    </row>
    <row r="277" spans="14:17" x14ac:dyDescent="0.45">
      <c r="N277" t="s">
        <v>200</v>
      </c>
      <c r="O277" t="s">
        <v>168</v>
      </c>
      <c r="P277">
        <v>1.1922991793609625E-2</v>
      </c>
      <c r="Q277" t="s">
        <v>166</v>
      </c>
    </row>
    <row r="278" spans="14:17" x14ac:dyDescent="0.45">
      <c r="N278" t="s">
        <v>200</v>
      </c>
      <c r="O278" t="s">
        <v>169</v>
      </c>
      <c r="P278">
        <v>0.34502591514687908</v>
      </c>
      <c r="Q278" t="s">
        <v>166</v>
      </c>
    </row>
    <row r="279" spans="14:17" x14ac:dyDescent="0.45">
      <c r="N279" t="s">
        <v>200</v>
      </c>
      <c r="O279" t="s">
        <v>170</v>
      </c>
      <c r="P279">
        <v>8.6459676518528886E-2</v>
      </c>
      <c r="Q279" t="s">
        <v>166</v>
      </c>
    </row>
    <row r="280" spans="14:17" x14ac:dyDescent="0.45">
      <c r="N280" t="s">
        <v>200</v>
      </c>
      <c r="O280" t="s">
        <v>171</v>
      </c>
      <c r="P280">
        <v>6.9953481725978484E-2</v>
      </c>
      <c r="Q280" t="s">
        <v>166</v>
      </c>
    </row>
    <row r="281" spans="14:17" x14ac:dyDescent="0.45">
      <c r="N281" t="s">
        <v>200</v>
      </c>
      <c r="O281" t="s">
        <v>172</v>
      </c>
      <c r="P281">
        <v>0.11394771052782385</v>
      </c>
      <c r="Q281" t="s">
        <v>166</v>
      </c>
    </row>
    <row r="282" spans="14:17" x14ac:dyDescent="0.45">
      <c r="N282" t="s">
        <v>200</v>
      </c>
      <c r="O282" t="s">
        <v>173</v>
      </c>
      <c r="P282">
        <v>2.913407341606367E-2</v>
      </c>
      <c r="Q282" t="s">
        <v>166</v>
      </c>
    </row>
    <row r="283" spans="14:17" x14ac:dyDescent="0.45">
      <c r="N283" t="s">
        <v>200</v>
      </c>
      <c r="O283" t="s">
        <v>174</v>
      </c>
      <c r="P283">
        <v>2.1585979755145986E-2</v>
      </c>
      <c r="Q283" t="s">
        <v>166</v>
      </c>
    </row>
    <row r="284" spans="14:17" x14ac:dyDescent="0.45">
      <c r="N284" t="s">
        <v>200</v>
      </c>
      <c r="O284" t="s">
        <v>175</v>
      </c>
      <c r="P284">
        <v>0.16821426636614809</v>
      </c>
      <c r="Q284" t="s">
        <v>166</v>
      </c>
    </row>
    <row r="285" spans="14:17" x14ac:dyDescent="0.45">
      <c r="N285" t="s">
        <v>200</v>
      </c>
      <c r="O285" t="s">
        <v>176</v>
      </c>
      <c r="P285">
        <v>4.0019929713032615E-2</v>
      </c>
      <c r="Q285" t="s">
        <v>166</v>
      </c>
    </row>
    <row r="286" spans="14:17" x14ac:dyDescent="0.45">
      <c r="N286" t="s">
        <v>200</v>
      </c>
      <c r="O286" t="s">
        <v>177</v>
      </c>
      <c r="P286">
        <v>2.9357791295615381E-2</v>
      </c>
      <c r="Q286" t="s">
        <v>166</v>
      </c>
    </row>
    <row r="287" spans="14:17" x14ac:dyDescent="0.45">
      <c r="N287" t="s">
        <v>201</v>
      </c>
      <c r="O287" t="s">
        <v>165</v>
      </c>
      <c r="P287">
        <v>6.7732752136366661E-2</v>
      </c>
      <c r="Q287" t="s">
        <v>166</v>
      </c>
    </row>
    <row r="288" spans="14:17" x14ac:dyDescent="0.45">
      <c r="N288" t="s">
        <v>201</v>
      </c>
      <c r="O288" t="s">
        <v>167</v>
      </c>
      <c r="P288">
        <v>1.6992701204423317E-2</v>
      </c>
      <c r="Q288" t="s">
        <v>166</v>
      </c>
    </row>
    <row r="289" spans="14:17" x14ac:dyDescent="0.45">
      <c r="N289" t="s">
        <v>201</v>
      </c>
      <c r="O289" t="s">
        <v>168</v>
      </c>
      <c r="P289">
        <v>1.1950743553655122E-2</v>
      </c>
      <c r="Q289" t="s">
        <v>166</v>
      </c>
    </row>
    <row r="290" spans="14:17" x14ac:dyDescent="0.45">
      <c r="N290" t="s">
        <v>201</v>
      </c>
      <c r="O290" t="s">
        <v>169</v>
      </c>
      <c r="P290">
        <v>0.34848575184898417</v>
      </c>
      <c r="Q290" t="s">
        <v>166</v>
      </c>
    </row>
    <row r="291" spans="14:17" x14ac:dyDescent="0.45">
      <c r="N291" t="s">
        <v>201</v>
      </c>
      <c r="O291" t="s">
        <v>170</v>
      </c>
      <c r="P291">
        <v>8.0452877777765858E-2</v>
      </c>
      <c r="Q291" t="s">
        <v>166</v>
      </c>
    </row>
    <row r="292" spans="14:17" x14ac:dyDescent="0.45">
      <c r="N292" t="s">
        <v>201</v>
      </c>
      <c r="O292" t="s">
        <v>171</v>
      </c>
      <c r="P292">
        <v>6.6085932586414375E-2</v>
      </c>
      <c r="Q292" t="s">
        <v>166</v>
      </c>
    </row>
    <row r="293" spans="14:17" x14ac:dyDescent="0.45">
      <c r="N293" t="s">
        <v>201</v>
      </c>
      <c r="O293" t="s">
        <v>172</v>
      </c>
      <c r="P293">
        <v>0.11390997963987327</v>
      </c>
      <c r="Q293" t="s">
        <v>166</v>
      </c>
    </row>
    <row r="294" spans="14:17" x14ac:dyDescent="0.45">
      <c r="N294" t="s">
        <v>201</v>
      </c>
      <c r="O294" t="s">
        <v>173</v>
      </c>
      <c r="P294">
        <v>2.8702158954318348E-2</v>
      </c>
      <c r="Q294" t="s">
        <v>166</v>
      </c>
    </row>
    <row r="295" spans="14:17" x14ac:dyDescent="0.45">
      <c r="N295" t="s">
        <v>201</v>
      </c>
      <c r="O295" t="s">
        <v>174</v>
      </c>
      <c r="P295">
        <v>2.1345740738138837E-2</v>
      </c>
      <c r="Q295" t="s">
        <v>166</v>
      </c>
    </row>
    <row r="296" spans="14:17" x14ac:dyDescent="0.45">
      <c r="N296" t="s">
        <v>201</v>
      </c>
      <c r="O296" t="s">
        <v>175</v>
      </c>
      <c r="P296">
        <v>0.17329963169524082</v>
      </c>
      <c r="Q296" t="s">
        <v>166</v>
      </c>
    </row>
    <row r="297" spans="14:17" x14ac:dyDescent="0.45">
      <c r="N297" t="s">
        <v>201</v>
      </c>
      <c r="O297" t="s">
        <v>176</v>
      </c>
      <c r="P297">
        <v>4.0829878408020139E-2</v>
      </c>
      <c r="Q297" t="s">
        <v>166</v>
      </c>
    </row>
    <row r="298" spans="14:17" x14ac:dyDescent="0.45">
      <c r="N298" t="s">
        <v>201</v>
      </c>
      <c r="O298" t="s">
        <v>177</v>
      </c>
      <c r="P298">
        <v>3.021185145680139E-2</v>
      </c>
      <c r="Q298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C345-59C5-467F-BA1D-8D236A788B8A}">
  <dimension ref="A9:AN116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212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218</v>
      </c>
      <c r="AK10" t="s">
        <v>47</v>
      </c>
      <c r="AL10" t="s">
        <v>122</v>
      </c>
      <c r="AM10" t="s">
        <v>219</v>
      </c>
      <c r="AN10" t="s">
        <v>220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222</v>
      </c>
      <c r="G11" t="s">
        <v>155</v>
      </c>
      <c r="I11" t="s">
        <v>164</v>
      </c>
      <c r="J11" t="s">
        <v>165</v>
      </c>
      <c r="K11">
        <v>0</v>
      </c>
      <c r="L11" t="s">
        <v>166</v>
      </c>
      <c r="N11" t="s">
        <v>178</v>
      </c>
      <c r="O11" t="s">
        <v>165</v>
      </c>
      <c r="P11">
        <v>1.8784863230384009E-2</v>
      </c>
      <c r="Q11" t="s">
        <v>166</v>
      </c>
      <c r="S11" t="s">
        <v>202</v>
      </c>
      <c r="T11" t="s">
        <v>165</v>
      </c>
      <c r="U11">
        <v>1.6451264413626432E-2</v>
      </c>
      <c r="V11" t="s">
        <v>166</v>
      </c>
      <c r="X11">
        <v>1.7694063926940638E-2</v>
      </c>
      <c r="Y11">
        <v>2.7539798954163875E-3</v>
      </c>
      <c r="Z11" t="s">
        <v>165</v>
      </c>
      <c r="AA11" t="s">
        <v>25</v>
      </c>
      <c r="AC11" t="s">
        <v>22</v>
      </c>
      <c r="AD11" t="s">
        <v>165</v>
      </c>
      <c r="AE11">
        <v>1.898534240590951E-2</v>
      </c>
      <c r="AG11" t="s">
        <v>97</v>
      </c>
      <c r="AH11" t="s">
        <v>165</v>
      </c>
      <c r="AI11">
        <v>0.13165042623825451</v>
      </c>
      <c r="AK11">
        <v>2020</v>
      </c>
      <c r="AL11" t="s">
        <v>154</v>
      </c>
      <c r="AM11">
        <v>0.55720021777596307</v>
      </c>
      <c r="AN11" t="s">
        <v>221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9.1772047064025298E-3</v>
      </c>
      <c r="L12" t="s">
        <v>166</v>
      </c>
      <c r="N12" t="s">
        <v>178</v>
      </c>
      <c r="O12" t="s">
        <v>167</v>
      </c>
      <c r="P12">
        <v>4.0235755923340964E-2</v>
      </c>
      <c r="Q12" t="s">
        <v>166</v>
      </c>
      <c r="S12" t="s">
        <v>202</v>
      </c>
      <c r="T12" t="s">
        <v>167</v>
      </c>
      <c r="U12">
        <v>3.7432596376695208E-2</v>
      </c>
      <c r="V12" t="s">
        <v>166</v>
      </c>
      <c r="X12">
        <v>4.2465753424657533E-2</v>
      </c>
      <c r="Y12">
        <v>5.6590176433052405E-2</v>
      </c>
      <c r="Z12" t="s">
        <v>167</v>
      </c>
      <c r="AA12" t="s">
        <v>25</v>
      </c>
      <c r="AC12" t="s">
        <v>22</v>
      </c>
      <c r="AD12" t="s">
        <v>167</v>
      </c>
      <c r="AE12">
        <v>5.6244294284868782E-2</v>
      </c>
      <c r="AG12" t="s">
        <v>97</v>
      </c>
      <c r="AH12" t="s">
        <v>167</v>
      </c>
      <c r="AI12">
        <v>8.19458736738361E-2</v>
      </c>
      <c r="AK12">
        <v>2020</v>
      </c>
      <c r="AL12" t="s">
        <v>158</v>
      </c>
      <c r="AM12">
        <v>0.65018914593336241</v>
      </c>
      <c r="AN12" t="s">
        <v>221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0</v>
      </c>
      <c r="L13" t="s">
        <v>166</v>
      </c>
      <c r="N13" t="s">
        <v>178</v>
      </c>
      <c r="O13" t="s">
        <v>168</v>
      </c>
      <c r="P13">
        <v>1.3940978289114199E-2</v>
      </c>
      <c r="Q13" t="s">
        <v>166</v>
      </c>
      <c r="S13" t="s">
        <v>202</v>
      </c>
      <c r="T13" t="s">
        <v>168</v>
      </c>
      <c r="U13">
        <v>1.2741942711848031E-2</v>
      </c>
      <c r="V13" t="s">
        <v>166</v>
      </c>
      <c r="X13">
        <v>1.4155251141552512E-2</v>
      </c>
      <c r="Y13">
        <v>2.0449328327905261E-2</v>
      </c>
      <c r="Z13" t="s">
        <v>168</v>
      </c>
      <c r="AA13" t="s">
        <v>25</v>
      </c>
      <c r="AC13" t="s">
        <v>22</v>
      </c>
      <c r="AD13" t="s">
        <v>168</v>
      </c>
      <c r="AE13">
        <v>1.8882756109311529E-2</v>
      </c>
      <c r="AG13" t="s">
        <v>97</v>
      </c>
      <c r="AH13" t="s">
        <v>168</v>
      </c>
      <c r="AI13">
        <v>7.5635163289049956E-2</v>
      </c>
      <c r="AK13">
        <v>2020</v>
      </c>
      <c r="AL13" t="s">
        <v>160</v>
      </c>
      <c r="AM13">
        <v>0.67204301075268824</v>
      </c>
      <c r="AN13" t="s">
        <v>221</v>
      </c>
    </row>
    <row r="14" spans="1:40" x14ac:dyDescent="0.45">
      <c r="C14" t="s">
        <v>162</v>
      </c>
      <c r="E14" t="s">
        <v>223</v>
      </c>
      <c r="G14" t="s">
        <v>155</v>
      </c>
      <c r="I14" t="s">
        <v>164</v>
      </c>
      <c r="J14" t="s">
        <v>230</v>
      </c>
      <c r="K14">
        <v>0</v>
      </c>
      <c r="L14" t="s">
        <v>166</v>
      </c>
      <c r="N14" t="s">
        <v>178</v>
      </c>
      <c r="O14" t="s">
        <v>230</v>
      </c>
      <c r="P14">
        <v>3.6202711010299101E-3</v>
      </c>
      <c r="Q14" t="s">
        <v>166</v>
      </c>
      <c r="S14" t="s">
        <v>202</v>
      </c>
      <c r="T14" t="s">
        <v>230</v>
      </c>
      <c r="U14">
        <v>3.1274612022159773E-3</v>
      </c>
      <c r="V14" t="s">
        <v>166</v>
      </c>
      <c r="X14">
        <v>3.5388127853881279E-3</v>
      </c>
      <c r="Y14">
        <v>2.4662506526116909E-3</v>
      </c>
      <c r="Z14" t="s">
        <v>230</v>
      </c>
      <c r="AA14" t="s">
        <v>25</v>
      </c>
      <c r="AC14" t="s">
        <v>22</v>
      </c>
      <c r="AD14" t="s">
        <v>230</v>
      </c>
      <c r="AE14">
        <v>4.1204315681158694E-3</v>
      </c>
      <c r="AG14" t="s">
        <v>97</v>
      </c>
      <c r="AH14" t="s">
        <v>230</v>
      </c>
      <c r="AI14">
        <v>2.2968441496337144E-2</v>
      </c>
      <c r="AK14">
        <v>2020</v>
      </c>
      <c r="AL14" t="s">
        <v>162</v>
      </c>
      <c r="AM14">
        <v>0.59335443037974689</v>
      </c>
      <c r="AN14" t="s">
        <v>221</v>
      </c>
    </row>
    <row r="15" spans="1:40" x14ac:dyDescent="0.45">
      <c r="C15" t="s">
        <v>224</v>
      </c>
      <c r="E15" t="s">
        <v>225</v>
      </c>
      <c r="G15" t="s">
        <v>155</v>
      </c>
      <c r="I15" t="s">
        <v>164</v>
      </c>
      <c r="J15" t="s">
        <v>231</v>
      </c>
      <c r="K15">
        <v>0</v>
      </c>
      <c r="L15" t="s">
        <v>166</v>
      </c>
      <c r="N15" t="s">
        <v>178</v>
      </c>
      <c r="O15" t="s">
        <v>231</v>
      </c>
      <c r="P15">
        <v>3.6054480766152517E-3</v>
      </c>
      <c r="Q15" t="s">
        <v>166</v>
      </c>
      <c r="S15" t="s">
        <v>202</v>
      </c>
      <c r="T15" t="s">
        <v>231</v>
      </c>
      <c r="U15">
        <v>3.1680607813912242E-3</v>
      </c>
      <c r="V15" t="s">
        <v>166</v>
      </c>
      <c r="X15">
        <v>3.5388127853881279E-3</v>
      </c>
      <c r="Y15">
        <v>1.7469275455999477E-3</v>
      </c>
      <c r="Z15" t="s">
        <v>231</v>
      </c>
      <c r="AA15" t="s">
        <v>25</v>
      </c>
      <c r="AC15" t="s">
        <v>22</v>
      </c>
      <c r="AD15" t="s">
        <v>231</v>
      </c>
      <c r="AE15">
        <v>3.7612506750466105E-3</v>
      </c>
      <c r="AG15" t="s">
        <v>97</v>
      </c>
      <c r="AH15" t="s">
        <v>231</v>
      </c>
      <c r="AI15">
        <v>4.493198256232489E-2</v>
      </c>
      <c r="AK15">
        <v>2020</v>
      </c>
      <c r="AL15" t="s">
        <v>224</v>
      </c>
      <c r="AM15">
        <v>0.53472789347125815</v>
      </c>
      <c r="AN15" t="s">
        <v>221</v>
      </c>
    </row>
    <row r="16" spans="1:40" x14ac:dyDescent="0.45">
      <c r="C16" t="s">
        <v>226</v>
      </c>
      <c r="E16" t="s">
        <v>227</v>
      </c>
      <c r="G16" t="s">
        <v>155</v>
      </c>
      <c r="I16" t="s">
        <v>164</v>
      </c>
      <c r="J16" t="s">
        <v>232</v>
      </c>
      <c r="K16">
        <v>0</v>
      </c>
      <c r="L16" t="s">
        <v>166</v>
      </c>
      <c r="N16" t="s">
        <v>178</v>
      </c>
      <c r="O16" t="s">
        <v>232</v>
      </c>
      <c r="P16">
        <v>3.7253407663271777E-3</v>
      </c>
      <c r="Q16" t="s">
        <v>166</v>
      </c>
      <c r="S16" t="s">
        <v>202</v>
      </c>
      <c r="T16" t="s">
        <v>232</v>
      </c>
      <c r="U16">
        <v>3.2768722495303952E-3</v>
      </c>
      <c r="V16" t="s">
        <v>166</v>
      </c>
      <c r="X16">
        <v>3.5388127853881279E-3</v>
      </c>
      <c r="Y16">
        <v>9.2484399472938378E-4</v>
      </c>
      <c r="Z16" t="s">
        <v>232</v>
      </c>
      <c r="AA16" t="s">
        <v>25</v>
      </c>
      <c r="AC16" t="s">
        <v>22</v>
      </c>
      <c r="AD16" t="s">
        <v>232</v>
      </c>
      <c r="AE16">
        <v>3.7125297674944044E-3</v>
      </c>
      <c r="AG16" t="s">
        <v>97</v>
      </c>
      <c r="AH16" t="s">
        <v>232</v>
      </c>
      <c r="AI16">
        <v>4.6533991006270758E-2</v>
      </c>
      <c r="AK16">
        <v>2020</v>
      </c>
      <c r="AL16" t="s">
        <v>226</v>
      </c>
      <c r="AM16">
        <v>0.4263361462728551</v>
      </c>
      <c r="AN16" t="s">
        <v>221</v>
      </c>
    </row>
    <row r="17" spans="3:40" x14ac:dyDescent="0.45">
      <c r="C17" t="s">
        <v>228</v>
      </c>
      <c r="I17" t="s">
        <v>164</v>
      </c>
      <c r="J17" t="s">
        <v>169</v>
      </c>
      <c r="K17">
        <v>0</v>
      </c>
      <c r="L17" t="s">
        <v>166</v>
      </c>
      <c r="N17" t="s">
        <v>178</v>
      </c>
      <c r="O17" t="s">
        <v>169</v>
      </c>
      <c r="P17">
        <v>1.5776553851799834E-2</v>
      </c>
      <c r="Q17" t="s">
        <v>166</v>
      </c>
      <c r="S17" t="s">
        <v>202</v>
      </c>
      <c r="T17" t="s">
        <v>169</v>
      </c>
      <c r="U17">
        <v>1.6786559567964116E-2</v>
      </c>
      <c r="V17" t="s">
        <v>166</v>
      </c>
      <c r="X17">
        <v>1.5981735159817351E-2</v>
      </c>
      <c r="Y17">
        <v>2.4874657119889954E-3</v>
      </c>
      <c r="Z17" t="s">
        <v>169</v>
      </c>
      <c r="AA17" t="s">
        <v>25</v>
      </c>
      <c r="AC17" t="s">
        <v>22</v>
      </c>
      <c r="AD17" t="s">
        <v>169</v>
      </c>
      <c r="AE17">
        <v>1.6515943030613007E-2</v>
      </c>
      <c r="AG17" t="s">
        <v>97</v>
      </c>
      <c r="AH17" t="s">
        <v>169</v>
      </c>
      <c r="AI17">
        <v>0.10501638510787292</v>
      </c>
      <c r="AK17">
        <v>2020</v>
      </c>
      <c r="AL17" t="s">
        <v>228</v>
      </c>
      <c r="AM17">
        <v>0.53593303389138425</v>
      </c>
      <c r="AN17" t="s">
        <v>221</v>
      </c>
    </row>
    <row r="18" spans="3:40" x14ac:dyDescent="0.45">
      <c r="C18" t="s">
        <v>229</v>
      </c>
      <c r="I18" t="s">
        <v>164</v>
      </c>
      <c r="J18" t="s">
        <v>170</v>
      </c>
      <c r="K18">
        <v>2.6256735944787658E-2</v>
      </c>
      <c r="L18" t="s">
        <v>166</v>
      </c>
      <c r="N18" t="s">
        <v>178</v>
      </c>
      <c r="O18" t="s">
        <v>170</v>
      </c>
      <c r="P18">
        <v>4.1431524990378013E-2</v>
      </c>
      <c r="Q18" t="s">
        <v>166</v>
      </c>
      <c r="S18" t="s">
        <v>202</v>
      </c>
      <c r="T18" t="s">
        <v>170</v>
      </c>
      <c r="U18">
        <v>3.9042159402641517E-2</v>
      </c>
      <c r="V18" t="s">
        <v>166</v>
      </c>
      <c r="X18">
        <v>3.8356164383561646E-2</v>
      </c>
      <c r="Y18">
        <v>5.1113707745982818E-2</v>
      </c>
      <c r="Z18" t="s">
        <v>170</v>
      </c>
      <c r="AA18" t="s">
        <v>25</v>
      </c>
      <c r="AC18" t="s">
        <v>22</v>
      </c>
      <c r="AD18" t="s">
        <v>170</v>
      </c>
      <c r="AE18">
        <v>4.4172679697472503E-2</v>
      </c>
      <c r="AG18" t="s">
        <v>97</v>
      </c>
      <c r="AH18" t="s">
        <v>170</v>
      </c>
      <c r="AI18">
        <v>8.9522747957503368E-2</v>
      </c>
      <c r="AK18">
        <v>2020</v>
      </c>
      <c r="AL18" t="s">
        <v>229</v>
      </c>
      <c r="AM18">
        <v>0.65552549793566539</v>
      </c>
      <c r="AN18" t="s">
        <v>221</v>
      </c>
    </row>
    <row r="19" spans="3:40" x14ac:dyDescent="0.45">
      <c r="I19" t="s">
        <v>164</v>
      </c>
      <c r="J19" t="s">
        <v>171</v>
      </c>
      <c r="K19">
        <v>6.7113377511563127E-4</v>
      </c>
      <c r="L19" t="s">
        <v>166</v>
      </c>
      <c r="N19" t="s">
        <v>178</v>
      </c>
      <c r="O19" t="s">
        <v>171</v>
      </c>
      <c r="P19">
        <v>1.4316081863430544E-2</v>
      </c>
      <c r="Q19" t="s">
        <v>166</v>
      </c>
      <c r="S19" t="s">
        <v>202</v>
      </c>
      <c r="T19" t="s">
        <v>171</v>
      </c>
      <c r="U19">
        <v>1.3372674648515106E-2</v>
      </c>
      <c r="V19" t="s">
        <v>166</v>
      </c>
      <c r="X19">
        <v>1.2785388127853882E-2</v>
      </c>
      <c r="Y19">
        <v>1.8470361070366044E-2</v>
      </c>
      <c r="Z19" t="s">
        <v>171</v>
      </c>
      <c r="AA19" t="s">
        <v>25</v>
      </c>
      <c r="AC19" t="s">
        <v>22</v>
      </c>
      <c r="AD19" t="s">
        <v>171</v>
      </c>
      <c r="AE19">
        <v>1.4719442222844128E-2</v>
      </c>
      <c r="AG19" t="s">
        <v>97</v>
      </c>
      <c r="AH19" t="s">
        <v>171</v>
      </c>
      <c r="AI19">
        <v>2.6472860509767937E-2</v>
      </c>
      <c r="AK19">
        <v>2021</v>
      </c>
      <c r="AL19" t="s">
        <v>154</v>
      </c>
      <c r="AM19">
        <v>0.61480275431633924</v>
      </c>
      <c r="AN19" t="s">
        <v>221</v>
      </c>
    </row>
    <row r="20" spans="3:40" x14ac:dyDescent="0.45">
      <c r="I20" t="s">
        <v>164</v>
      </c>
      <c r="J20" t="s">
        <v>233</v>
      </c>
      <c r="K20">
        <v>0</v>
      </c>
      <c r="L20" t="s">
        <v>166</v>
      </c>
      <c r="N20" t="s">
        <v>178</v>
      </c>
      <c r="O20" t="s">
        <v>233</v>
      </c>
      <c r="P20">
        <v>3.4835628343992818E-3</v>
      </c>
      <c r="Q20" t="s">
        <v>166</v>
      </c>
      <c r="S20" t="s">
        <v>202</v>
      </c>
      <c r="T20" t="s">
        <v>233</v>
      </c>
      <c r="U20">
        <v>3.3013057632566029E-3</v>
      </c>
      <c r="V20" t="s">
        <v>166</v>
      </c>
      <c r="X20">
        <v>3.1963470319634705E-3</v>
      </c>
      <c r="Y20">
        <v>2.2275812346170109E-3</v>
      </c>
      <c r="Z20" t="s">
        <v>233</v>
      </c>
      <c r="AA20" t="s">
        <v>25</v>
      </c>
      <c r="AC20" t="s">
        <v>22</v>
      </c>
      <c r="AD20" t="s">
        <v>233</v>
      </c>
      <c r="AE20">
        <v>3.3684395231324844E-3</v>
      </c>
      <c r="AG20" t="s">
        <v>97</v>
      </c>
      <c r="AH20" t="s">
        <v>233</v>
      </c>
      <c r="AI20">
        <v>1.1550018673272433E-2</v>
      </c>
      <c r="AK20">
        <v>2021</v>
      </c>
      <c r="AL20" t="s">
        <v>158</v>
      </c>
      <c r="AM20">
        <v>0.63373141054529081</v>
      </c>
      <c r="AN20" t="s">
        <v>221</v>
      </c>
    </row>
    <row r="21" spans="3:40" x14ac:dyDescent="0.45">
      <c r="I21" t="s">
        <v>164</v>
      </c>
      <c r="J21" t="s">
        <v>234</v>
      </c>
      <c r="K21">
        <v>0</v>
      </c>
      <c r="L21" t="s">
        <v>166</v>
      </c>
      <c r="N21" t="s">
        <v>178</v>
      </c>
      <c r="O21" t="s">
        <v>234</v>
      </c>
      <c r="P21">
        <v>3.4486840600244659E-3</v>
      </c>
      <c r="Q21" t="s">
        <v>166</v>
      </c>
      <c r="S21" t="s">
        <v>202</v>
      </c>
      <c r="T21" t="s">
        <v>234</v>
      </c>
      <c r="U21">
        <v>3.3149464441217268E-3</v>
      </c>
      <c r="V21" t="s">
        <v>166</v>
      </c>
      <c r="X21">
        <v>3.1963470319634705E-3</v>
      </c>
      <c r="Y21">
        <v>1.5778700411870493E-3</v>
      </c>
      <c r="Z21" t="s">
        <v>234</v>
      </c>
      <c r="AA21" t="s">
        <v>25</v>
      </c>
      <c r="AC21" t="s">
        <v>22</v>
      </c>
      <c r="AD21" t="s">
        <v>234</v>
      </c>
      <c r="AE21">
        <v>3.2889860019399302E-3</v>
      </c>
      <c r="AG21" t="s">
        <v>97</v>
      </c>
      <c r="AH21" t="s">
        <v>234</v>
      </c>
      <c r="AI21">
        <v>2.4613098750946083E-2</v>
      </c>
      <c r="AK21">
        <v>2021</v>
      </c>
      <c r="AL21" t="s">
        <v>160</v>
      </c>
      <c r="AM21">
        <v>0.58088260235405853</v>
      </c>
      <c r="AN21" t="s">
        <v>221</v>
      </c>
    </row>
    <row r="22" spans="3:40" x14ac:dyDescent="0.45">
      <c r="I22" t="s">
        <v>164</v>
      </c>
      <c r="J22" t="s">
        <v>235</v>
      </c>
      <c r="K22">
        <v>0</v>
      </c>
      <c r="L22" t="s">
        <v>166</v>
      </c>
      <c r="N22" t="s">
        <v>178</v>
      </c>
      <c r="O22" t="s">
        <v>235</v>
      </c>
      <c r="P22">
        <v>3.2635978948225902E-3</v>
      </c>
      <c r="Q22" t="s">
        <v>166</v>
      </c>
      <c r="S22" t="s">
        <v>202</v>
      </c>
      <c r="T22" t="s">
        <v>235</v>
      </c>
      <c r="U22">
        <v>3.4390535378573121E-3</v>
      </c>
      <c r="V22" t="s">
        <v>166</v>
      </c>
      <c r="X22">
        <v>3.1963470319634705E-3</v>
      </c>
      <c r="Y22">
        <v>8.3534296298137887E-4</v>
      </c>
      <c r="Z22" t="s">
        <v>235</v>
      </c>
      <c r="AA22" t="s">
        <v>25</v>
      </c>
      <c r="AC22" t="s">
        <v>22</v>
      </c>
      <c r="AD22" t="s">
        <v>235</v>
      </c>
      <c r="AE22">
        <v>3.2378415844065691E-3</v>
      </c>
      <c r="AG22" t="s">
        <v>97</v>
      </c>
      <c r="AH22" t="s">
        <v>235</v>
      </c>
      <c r="AI22">
        <v>2.270928889044499E-2</v>
      </c>
      <c r="AK22">
        <v>2021</v>
      </c>
      <c r="AL22" t="s">
        <v>162</v>
      </c>
      <c r="AM22">
        <v>0.6221521205748336</v>
      </c>
      <c r="AN22" t="s">
        <v>221</v>
      </c>
    </row>
    <row r="23" spans="3:40" x14ac:dyDescent="0.45">
      <c r="I23" t="s">
        <v>164</v>
      </c>
      <c r="J23" t="s">
        <v>172</v>
      </c>
      <c r="K23">
        <v>0</v>
      </c>
      <c r="L23" t="s">
        <v>166</v>
      </c>
      <c r="N23" t="s">
        <v>178</v>
      </c>
      <c r="O23" t="s">
        <v>172</v>
      </c>
      <c r="P23">
        <v>1.5498266183218277E-2</v>
      </c>
      <c r="Q23" t="s">
        <v>166</v>
      </c>
      <c r="S23" t="s">
        <v>202</v>
      </c>
      <c r="T23" t="s">
        <v>172</v>
      </c>
      <c r="U23">
        <v>1.8151330978959223E-2</v>
      </c>
      <c r="V23" t="s">
        <v>166</v>
      </c>
      <c r="X23">
        <v>1.7694063926940638E-2</v>
      </c>
      <c r="Y23">
        <v>2.7539798954163875E-3</v>
      </c>
      <c r="Z23" t="s">
        <v>172</v>
      </c>
      <c r="AA23" t="s">
        <v>25</v>
      </c>
      <c r="AC23" t="s">
        <v>22</v>
      </c>
      <c r="AD23" t="s">
        <v>172</v>
      </c>
      <c r="AE23">
        <v>2.1337751632626845E-2</v>
      </c>
      <c r="AG23" t="s">
        <v>97</v>
      </c>
      <c r="AH23" t="s">
        <v>172</v>
      </c>
      <c r="AI23">
        <v>0.10761701480990271</v>
      </c>
      <c r="AK23">
        <v>2021</v>
      </c>
      <c r="AL23" t="s">
        <v>224</v>
      </c>
      <c r="AM23">
        <v>0.53053237678504794</v>
      </c>
      <c r="AN23" t="s">
        <v>221</v>
      </c>
    </row>
    <row r="24" spans="3:40" x14ac:dyDescent="0.45">
      <c r="I24" t="s">
        <v>164</v>
      </c>
      <c r="J24" t="s">
        <v>173</v>
      </c>
      <c r="K24">
        <v>9.0952668598452344E-2</v>
      </c>
      <c r="L24" t="s">
        <v>166</v>
      </c>
      <c r="N24" t="s">
        <v>178</v>
      </c>
      <c r="O24" t="s">
        <v>173</v>
      </c>
      <c r="P24">
        <v>3.5408186275318505E-2</v>
      </c>
      <c r="Q24" t="s">
        <v>166</v>
      </c>
      <c r="S24" t="s">
        <v>202</v>
      </c>
      <c r="T24" t="s">
        <v>173</v>
      </c>
      <c r="U24">
        <v>3.9529918673846615E-2</v>
      </c>
      <c r="V24" t="s">
        <v>166</v>
      </c>
      <c r="X24">
        <v>4.2465753424657533E-2</v>
      </c>
      <c r="Y24">
        <v>5.6590176433052405E-2</v>
      </c>
      <c r="Z24" t="s">
        <v>173</v>
      </c>
      <c r="AA24" t="s">
        <v>25</v>
      </c>
      <c r="AC24" t="s">
        <v>22</v>
      </c>
      <c r="AD24" t="s">
        <v>173</v>
      </c>
      <c r="AE24">
        <v>5.7683644474749204E-2</v>
      </c>
      <c r="AG24" t="s">
        <v>97</v>
      </c>
      <c r="AH24" t="s">
        <v>173</v>
      </c>
      <c r="AI24">
        <v>8.4819051484579688E-2</v>
      </c>
      <c r="AK24">
        <v>2021</v>
      </c>
      <c r="AL24" t="s">
        <v>226</v>
      </c>
      <c r="AM24">
        <v>0.47756747283561179</v>
      </c>
      <c r="AN24" t="s">
        <v>221</v>
      </c>
    </row>
    <row r="25" spans="3:40" x14ac:dyDescent="0.45">
      <c r="I25" t="s">
        <v>164</v>
      </c>
      <c r="J25" t="s">
        <v>174</v>
      </c>
      <c r="K25">
        <v>7.3016887952590736E-3</v>
      </c>
      <c r="L25" t="s">
        <v>166</v>
      </c>
      <c r="N25" t="s">
        <v>178</v>
      </c>
      <c r="O25" t="s">
        <v>174</v>
      </c>
      <c r="P25">
        <v>1.3282731192653942E-2</v>
      </c>
      <c r="Q25" t="s">
        <v>166</v>
      </c>
      <c r="S25" t="s">
        <v>202</v>
      </c>
      <c r="T25" t="s">
        <v>174</v>
      </c>
      <c r="U25">
        <v>1.4542541526936752E-2</v>
      </c>
      <c r="V25" t="s">
        <v>166</v>
      </c>
      <c r="X25">
        <v>1.4155251141552512E-2</v>
      </c>
      <c r="Y25">
        <v>2.0449328327905261E-2</v>
      </c>
      <c r="Z25" t="s">
        <v>174</v>
      </c>
      <c r="AA25" t="s">
        <v>25</v>
      </c>
      <c r="AC25" t="s">
        <v>22</v>
      </c>
      <c r="AD25" t="s">
        <v>174</v>
      </c>
      <c r="AE25">
        <v>1.9323693705148425E-2</v>
      </c>
      <c r="AG25" t="s">
        <v>97</v>
      </c>
      <c r="AH25" t="s">
        <v>174</v>
      </c>
      <c r="AI25">
        <v>7.2803453444931554E-2</v>
      </c>
      <c r="AK25">
        <v>2021</v>
      </c>
      <c r="AL25" t="s">
        <v>228</v>
      </c>
      <c r="AM25">
        <v>0.55968250737763303</v>
      </c>
      <c r="AN25" t="s">
        <v>221</v>
      </c>
    </row>
    <row r="26" spans="3:40" x14ac:dyDescent="0.45">
      <c r="I26" t="s">
        <v>164</v>
      </c>
      <c r="J26" t="s">
        <v>236</v>
      </c>
      <c r="K26">
        <v>0</v>
      </c>
      <c r="L26" t="s">
        <v>166</v>
      </c>
      <c r="N26" t="s">
        <v>178</v>
      </c>
      <c r="O26" t="s">
        <v>236</v>
      </c>
      <c r="P26">
        <v>3.1142730869556348E-3</v>
      </c>
      <c r="Q26" t="s">
        <v>166</v>
      </c>
      <c r="S26" t="s">
        <v>202</v>
      </c>
      <c r="T26" t="s">
        <v>236</v>
      </c>
      <c r="U26">
        <v>3.857845802988182E-3</v>
      </c>
      <c r="V26" t="s">
        <v>166</v>
      </c>
      <c r="X26">
        <v>3.5388127853881279E-3</v>
      </c>
      <c r="Y26">
        <v>2.4662506526116909E-3</v>
      </c>
      <c r="Z26" t="s">
        <v>236</v>
      </c>
      <c r="AA26" t="s">
        <v>25</v>
      </c>
      <c r="AC26" t="s">
        <v>22</v>
      </c>
      <c r="AD26" t="s">
        <v>236</v>
      </c>
      <c r="AE26">
        <v>4.2668149166000527E-3</v>
      </c>
      <c r="AG26" t="s">
        <v>97</v>
      </c>
      <c r="AH26" t="s">
        <v>236</v>
      </c>
      <c r="AI26">
        <v>2.0727789803343777E-2</v>
      </c>
      <c r="AK26">
        <v>2021</v>
      </c>
      <c r="AL26" t="s">
        <v>229</v>
      </c>
      <c r="AM26">
        <v>0.59141198285901653</v>
      </c>
      <c r="AN26" t="s">
        <v>221</v>
      </c>
    </row>
    <row r="27" spans="3:40" x14ac:dyDescent="0.45">
      <c r="I27" t="s">
        <v>164</v>
      </c>
      <c r="J27" t="s">
        <v>237</v>
      </c>
      <c r="K27">
        <v>0</v>
      </c>
      <c r="L27" t="s">
        <v>166</v>
      </c>
      <c r="N27" t="s">
        <v>178</v>
      </c>
      <c r="O27" t="s">
        <v>237</v>
      </c>
      <c r="P27">
        <v>3.0180961897375439E-3</v>
      </c>
      <c r="Q27" t="s">
        <v>166</v>
      </c>
      <c r="S27" t="s">
        <v>202</v>
      </c>
      <c r="T27" t="s">
        <v>237</v>
      </c>
      <c r="U27">
        <v>3.884241652473309E-3</v>
      </c>
      <c r="V27" t="s">
        <v>166</v>
      </c>
      <c r="X27">
        <v>3.5388127853881279E-3</v>
      </c>
      <c r="Y27">
        <v>1.7469275455999477E-3</v>
      </c>
      <c r="Z27" t="s">
        <v>237</v>
      </c>
      <c r="AA27" t="s">
        <v>25</v>
      </c>
      <c r="AC27" t="s">
        <v>22</v>
      </c>
      <c r="AD27" t="s">
        <v>237</v>
      </c>
      <c r="AE27">
        <v>4.1609743858712911E-3</v>
      </c>
      <c r="AG27" t="s">
        <v>97</v>
      </c>
      <c r="AH27" t="s">
        <v>237</v>
      </c>
      <c r="AI27">
        <v>2.0891389312441833E-2</v>
      </c>
      <c r="AK27">
        <v>2022</v>
      </c>
      <c r="AL27" t="s">
        <v>154</v>
      </c>
      <c r="AM27">
        <v>0.51304229842949689</v>
      </c>
      <c r="AN27" t="s">
        <v>221</v>
      </c>
    </row>
    <row r="28" spans="3:40" x14ac:dyDescent="0.45">
      <c r="I28" t="s">
        <v>164</v>
      </c>
      <c r="J28" t="s">
        <v>238</v>
      </c>
      <c r="K28">
        <v>0</v>
      </c>
      <c r="L28" t="s">
        <v>166</v>
      </c>
      <c r="N28" t="s">
        <v>178</v>
      </c>
      <c r="O28" t="s">
        <v>238</v>
      </c>
      <c r="P28">
        <v>3.1328878266954716E-3</v>
      </c>
      <c r="Q28" t="s">
        <v>166</v>
      </c>
      <c r="S28" t="s">
        <v>202</v>
      </c>
      <c r="T28" t="s">
        <v>238</v>
      </c>
      <c r="U28">
        <v>4.043685560451849E-3</v>
      </c>
      <c r="V28" t="s">
        <v>166</v>
      </c>
      <c r="X28">
        <v>3.5388127853881279E-3</v>
      </c>
      <c r="Y28">
        <v>9.2484399472938378E-4</v>
      </c>
      <c r="Z28" t="s">
        <v>238</v>
      </c>
      <c r="AA28" t="s">
        <v>25</v>
      </c>
      <c r="AC28" t="s">
        <v>22</v>
      </c>
      <c r="AD28" t="s">
        <v>238</v>
      </c>
      <c r="AE28">
        <v>4.1289255556032451E-3</v>
      </c>
      <c r="AG28" t="s">
        <v>97</v>
      </c>
      <c r="AH28" t="s">
        <v>238</v>
      </c>
      <c r="AI28">
        <v>2.2302880214079446E-2</v>
      </c>
      <c r="AK28">
        <v>2022</v>
      </c>
      <c r="AL28" t="s">
        <v>158</v>
      </c>
      <c r="AM28">
        <v>0.53045666216013221</v>
      </c>
      <c r="AN28" t="s">
        <v>221</v>
      </c>
    </row>
    <row r="29" spans="3:40" x14ac:dyDescent="0.45">
      <c r="I29" t="s">
        <v>164</v>
      </c>
      <c r="J29" t="s">
        <v>175</v>
      </c>
      <c r="K29">
        <v>0</v>
      </c>
      <c r="L29" t="s">
        <v>166</v>
      </c>
      <c r="N29" t="s">
        <v>178</v>
      </c>
      <c r="O29" t="s">
        <v>175</v>
      </c>
      <c r="P29">
        <v>1.8326716289183767E-2</v>
      </c>
      <c r="Q29" t="s">
        <v>166</v>
      </c>
      <c r="S29" t="s">
        <v>202</v>
      </c>
      <c r="T29" t="s">
        <v>175</v>
      </c>
      <c r="U29">
        <v>1.9231675867498826E-2</v>
      </c>
      <c r="V29" t="s">
        <v>166</v>
      </c>
      <c r="X29">
        <v>1.7123287671232876E-2</v>
      </c>
      <c r="Y29">
        <v>2.6651418342739236E-3</v>
      </c>
      <c r="Z29" t="s">
        <v>175</v>
      </c>
      <c r="AA29" t="s">
        <v>25</v>
      </c>
      <c r="AC29" t="s">
        <v>22</v>
      </c>
      <c r="AD29" t="s">
        <v>175</v>
      </c>
      <c r="AE29">
        <v>1.7495952050652647E-2</v>
      </c>
      <c r="AG29" t="s">
        <v>97</v>
      </c>
      <c r="AH29" t="s">
        <v>175</v>
      </c>
      <c r="AI29">
        <v>0.13969225968757937</v>
      </c>
      <c r="AK29">
        <v>2022</v>
      </c>
      <c r="AL29" t="s">
        <v>160</v>
      </c>
      <c r="AM29">
        <v>0.50880227943421186</v>
      </c>
      <c r="AN29" t="s">
        <v>221</v>
      </c>
    </row>
    <row r="30" spans="3:40" x14ac:dyDescent="0.45">
      <c r="I30" t="s">
        <v>164</v>
      </c>
      <c r="J30" t="s">
        <v>176</v>
      </c>
      <c r="K30">
        <v>0.10794341267408145</v>
      </c>
      <c r="L30" t="s">
        <v>166</v>
      </c>
      <c r="N30" t="s">
        <v>178</v>
      </c>
      <c r="O30" t="s">
        <v>176</v>
      </c>
      <c r="P30">
        <v>4.2322913047559786E-2</v>
      </c>
      <c r="Q30" t="s">
        <v>166</v>
      </c>
      <c r="S30" t="s">
        <v>202</v>
      </c>
      <c r="T30" t="s">
        <v>176</v>
      </c>
      <c r="U30">
        <v>3.8933757573734226E-2</v>
      </c>
      <c r="V30" t="s">
        <v>166</v>
      </c>
      <c r="X30">
        <v>4.1095890410958902E-2</v>
      </c>
      <c r="Y30">
        <v>5.4764686870695876E-2</v>
      </c>
      <c r="Z30" t="s">
        <v>176</v>
      </c>
      <c r="AA30" t="s">
        <v>25</v>
      </c>
      <c r="AC30" t="s">
        <v>22</v>
      </c>
      <c r="AD30" t="s">
        <v>176</v>
      </c>
      <c r="AE30">
        <v>4.6939677288254794E-2</v>
      </c>
      <c r="AG30" t="s">
        <v>97</v>
      </c>
      <c r="AH30" t="s">
        <v>176</v>
      </c>
      <c r="AI30">
        <v>4.3757400395638024E-2</v>
      </c>
      <c r="AK30">
        <v>2022</v>
      </c>
      <c r="AL30" t="s">
        <v>162</v>
      </c>
      <c r="AM30">
        <v>0.55205047318611999</v>
      </c>
      <c r="AN30" t="s">
        <v>221</v>
      </c>
    </row>
    <row r="31" spans="3:40" x14ac:dyDescent="0.45">
      <c r="I31" t="s">
        <v>164</v>
      </c>
      <c r="J31" t="s">
        <v>177</v>
      </c>
      <c r="K31">
        <v>1.6512662855465467E-2</v>
      </c>
      <c r="L31" t="s">
        <v>166</v>
      </c>
      <c r="N31" t="s">
        <v>178</v>
      </c>
      <c r="O31" t="s">
        <v>177</v>
      </c>
      <c r="P31">
        <v>1.5385924437435389E-2</v>
      </c>
      <c r="Q31" t="s">
        <v>166</v>
      </c>
      <c r="S31" t="s">
        <v>202</v>
      </c>
      <c r="T31" t="s">
        <v>177</v>
      </c>
      <c r="U31">
        <v>1.5752460646698614E-2</v>
      </c>
      <c r="V31" t="s">
        <v>166</v>
      </c>
      <c r="X31">
        <v>1.3698630136986301E-2</v>
      </c>
      <c r="Y31">
        <v>1.978967257539219E-2</v>
      </c>
      <c r="Z31" t="s">
        <v>177</v>
      </c>
      <c r="AA31" t="s">
        <v>25</v>
      </c>
      <c r="AC31" t="s">
        <v>22</v>
      </c>
      <c r="AD31" t="s">
        <v>177</v>
      </c>
      <c r="AE31">
        <v>1.4852908326020327E-2</v>
      </c>
      <c r="AG31" t="s">
        <v>97</v>
      </c>
      <c r="AH31" t="s">
        <v>177</v>
      </c>
      <c r="AI31">
        <v>4.6250197581523489E-2</v>
      </c>
      <c r="AK31">
        <v>2022</v>
      </c>
      <c r="AL31" t="s">
        <v>224</v>
      </c>
      <c r="AM31">
        <v>0.54516044231878158</v>
      </c>
      <c r="AN31" t="s">
        <v>221</v>
      </c>
    </row>
    <row r="32" spans="3:40" x14ac:dyDescent="0.45">
      <c r="I32" t="s">
        <v>164</v>
      </c>
      <c r="J32" t="s">
        <v>239</v>
      </c>
      <c r="K32">
        <v>0</v>
      </c>
      <c r="L32" t="s">
        <v>166</v>
      </c>
      <c r="N32" t="s">
        <v>178</v>
      </c>
      <c r="O32" t="s">
        <v>239</v>
      </c>
      <c r="P32">
        <v>4.0229754113632688E-3</v>
      </c>
      <c r="Q32" t="s">
        <v>166</v>
      </c>
      <c r="S32" t="s">
        <v>202</v>
      </c>
      <c r="T32" t="s">
        <v>239</v>
      </c>
      <c r="U32">
        <v>3.917784732956872E-3</v>
      </c>
      <c r="V32" t="s">
        <v>166</v>
      </c>
      <c r="X32">
        <v>3.4246575342465752E-3</v>
      </c>
      <c r="Y32">
        <v>2.3866941799467974E-3</v>
      </c>
      <c r="Z32" t="s">
        <v>239</v>
      </c>
      <c r="AA32" t="s">
        <v>25</v>
      </c>
      <c r="AC32" t="s">
        <v>22</v>
      </c>
      <c r="AD32" t="s">
        <v>239</v>
      </c>
      <c r="AE32">
        <v>3.2933800926790821E-3</v>
      </c>
      <c r="AG32" t="s">
        <v>97</v>
      </c>
      <c r="AH32" t="s">
        <v>239</v>
      </c>
      <c r="AI32">
        <v>1.4301016416452095E-2</v>
      </c>
      <c r="AK32">
        <v>2022</v>
      </c>
      <c r="AL32" t="s">
        <v>226</v>
      </c>
      <c r="AM32">
        <v>0.37679635471433581</v>
      </c>
      <c r="AN32" t="s">
        <v>221</v>
      </c>
    </row>
    <row r="33" spans="9:40" x14ac:dyDescent="0.45">
      <c r="I33" t="s">
        <v>164</v>
      </c>
      <c r="J33" t="s">
        <v>240</v>
      </c>
      <c r="K33">
        <v>0</v>
      </c>
      <c r="L33" t="s">
        <v>166</v>
      </c>
      <c r="N33" t="s">
        <v>178</v>
      </c>
      <c r="O33" t="s">
        <v>240</v>
      </c>
      <c r="P33">
        <v>3.9830658469061989E-3</v>
      </c>
      <c r="Q33" t="s">
        <v>166</v>
      </c>
      <c r="S33" t="s">
        <v>202</v>
      </c>
      <c r="T33" t="s">
        <v>240</v>
      </c>
      <c r="U33">
        <v>3.9112824433436919E-3</v>
      </c>
      <c r="V33" t="s">
        <v>166</v>
      </c>
      <c r="X33">
        <v>3.4246575342465752E-3</v>
      </c>
      <c r="Y33">
        <v>1.6905750441289814E-3</v>
      </c>
      <c r="Z33" t="s">
        <v>240</v>
      </c>
      <c r="AA33" t="s">
        <v>25</v>
      </c>
      <c r="AC33" t="s">
        <v>22</v>
      </c>
      <c r="AD33" t="s">
        <v>240</v>
      </c>
      <c r="AE33">
        <v>3.2232654418449477E-3</v>
      </c>
      <c r="AG33" t="s">
        <v>97</v>
      </c>
      <c r="AH33" t="s">
        <v>240</v>
      </c>
      <c r="AI33">
        <v>2.0970946324565753E-2</v>
      </c>
      <c r="AK33">
        <v>2022</v>
      </c>
      <c r="AL33" t="s">
        <v>228</v>
      </c>
      <c r="AM33">
        <v>0.33920151962280792</v>
      </c>
      <c r="AN33" t="s">
        <v>221</v>
      </c>
    </row>
    <row r="34" spans="9:40" x14ac:dyDescent="0.45">
      <c r="I34" t="s">
        <v>164</v>
      </c>
      <c r="J34" t="s">
        <v>241</v>
      </c>
      <c r="K34">
        <v>0</v>
      </c>
      <c r="L34" t="s">
        <v>166</v>
      </c>
      <c r="N34" t="s">
        <v>178</v>
      </c>
      <c r="O34" t="s">
        <v>241</v>
      </c>
      <c r="P34">
        <v>4.0109850083023917E-3</v>
      </c>
      <c r="Q34" t="s">
        <v>166</v>
      </c>
      <c r="S34" t="s">
        <v>202</v>
      </c>
      <c r="T34" t="s">
        <v>241</v>
      </c>
      <c r="U34">
        <v>4.0677409033756306E-3</v>
      </c>
      <c r="V34" t="s">
        <v>166</v>
      </c>
      <c r="X34">
        <v>3.4246575342465752E-3</v>
      </c>
      <c r="Y34">
        <v>8.9501031748004888E-4</v>
      </c>
      <c r="Z34" t="s">
        <v>241</v>
      </c>
      <c r="AA34" t="s">
        <v>25</v>
      </c>
      <c r="AC34" t="s">
        <v>22</v>
      </c>
      <c r="AD34" t="s">
        <v>241</v>
      </c>
      <c r="AE34">
        <v>3.1865576225614039E-3</v>
      </c>
      <c r="AG34" t="s">
        <v>97</v>
      </c>
      <c r="AH34" t="s">
        <v>241</v>
      </c>
      <c r="AI34">
        <v>2.1974868294282857E-2</v>
      </c>
      <c r="AK34">
        <v>2022</v>
      </c>
      <c r="AL34" t="s">
        <v>229</v>
      </c>
      <c r="AM34">
        <v>0.4356619517655439</v>
      </c>
      <c r="AN34" t="s">
        <v>221</v>
      </c>
    </row>
    <row r="35" spans="9:40" x14ac:dyDescent="0.45">
      <c r="I35" t="s">
        <v>164</v>
      </c>
      <c r="J35" t="s">
        <v>242</v>
      </c>
      <c r="K35">
        <v>4.8341554577449718E-3</v>
      </c>
      <c r="L35" t="s">
        <v>166</v>
      </c>
      <c r="N35" t="s">
        <v>178</v>
      </c>
      <c r="O35" t="s">
        <v>242</v>
      </c>
      <c r="P35">
        <v>5.8454452881076847E-2</v>
      </c>
      <c r="Q35" t="s">
        <v>166</v>
      </c>
      <c r="S35" t="s">
        <v>202</v>
      </c>
      <c r="T35" t="s">
        <v>242</v>
      </c>
      <c r="U35">
        <v>6.1989330853058897E-2</v>
      </c>
      <c r="V35" t="s">
        <v>166</v>
      </c>
      <c r="X35">
        <v>7.0205479452054798E-2</v>
      </c>
      <c r="Y35">
        <v>1.0927081520523085E-2</v>
      </c>
      <c r="Z35" t="s">
        <v>242</v>
      </c>
      <c r="AA35" t="s">
        <v>25</v>
      </c>
      <c r="AC35" t="s">
        <v>22</v>
      </c>
      <c r="AD35" t="s">
        <v>242</v>
      </c>
      <c r="AE35">
        <v>4.6158788095934003E-2</v>
      </c>
      <c r="AG35" t="s">
        <v>97</v>
      </c>
      <c r="AH35" t="s">
        <v>242</v>
      </c>
      <c r="AI35">
        <v>0.17315589787521413</v>
      </c>
      <c r="AK35">
        <v>2025</v>
      </c>
      <c r="AL35" t="s">
        <v>154</v>
      </c>
      <c r="AM35">
        <v>0.61280000000000001</v>
      </c>
      <c r="AN35" t="s">
        <v>221</v>
      </c>
    </row>
    <row r="36" spans="9:40" x14ac:dyDescent="0.45">
      <c r="I36" t="s">
        <v>164</v>
      </c>
      <c r="J36" t="s">
        <v>243</v>
      </c>
      <c r="K36">
        <v>0.48606316829911644</v>
      </c>
      <c r="L36" t="s">
        <v>166</v>
      </c>
      <c r="N36" t="s">
        <v>178</v>
      </c>
      <c r="O36" t="s">
        <v>243</v>
      </c>
      <c r="P36">
        <v>0.12690061804673566</v>
      </c>
      <c r="Q36" t="s">
        <v>166</v>
      </c>
      <c r="S36" t="s">
        <v>202</v>
      </c>
      <c r="T36" t="s">
        <v>243</v>
      </c>
      <c r="U36">
        <v>0.13243598315146399</v>
      </c>
      <c r="V36" t="s">
        <v>166</v>
      </c>
      <c r="X36">
        <v>0.16849315068493151</v>
      </c>
      <c r="Y36">
        <v>0.22453521616985309</v>
      </c>
      <c r="Z36" t="s">
        <v>243</v>
      </c>
      <c r="AA36" t="s">
        <v>25</v>
      </c>
      <c r="AC36" t="s">
        <v>22</v>
      </c>
      <c r="AD36" t="s">
        <v>243</v>
      </c>
      <c r="AE36">
        <v>0.16137623714023591</v>
      </c>
      <c r="AG36" t="s">
        <v>97</v>
      </c>
      <c r="AH36" t="s">
        <v>243</v>
      </c>
      <c r="AI36">
        <v>0.14837885571670695</v>
      </c>
      <c r="AK36">
        <v>2025</v>
      </c>
      <c r="AL36" t="s">
        <v>158</v>
      </c>
      <c r="AM36">
        <v>0.68120000000000003</v>
      </c>
      <c r="AN36" t="s">
        <v>221</v>
      </c>
    </row>
    <row r="37" spans="9:40" x14ac:dyDescent="0.45">
      <c r="I37" t="s">
        <v>164</v>
      </c>
      <c r="J37" t="s">
        <v>244</v>
      </c>
      <c r="K37">
        <v>9.3628373263658998E-2</v>
      </c>
      <c r="L37" t="s">
        <v>166</v>
      </c>
      <c r="N37" t="s">
        <v>178</v>
      </c>
      <c r="O37" t="s">
        <v>244</v>
      </c>
      <c r="P37">
        <v>4.1664908087086908E-2</v>
      </c>
      <c r="Q37" t="s">
        <v>166</v>
      </c>
      <c r="S37" t="s">
        <v>202</v>
      </c>
      <c r="T37" t="s">
        <v>244</v>
      </c>
      <c r="U37">
        <v>4.5669635020891129E-2</v>
      </c>
      <c r="V37" t="s">
        <v>166</v>
      </c>
      <c r="X37">
        <v>5.6164383561643834E-2</v>
      </c>
      <c r="Y37">
        <v>8.1137657559107984E-2</v>
      </c>
      <c r="Z37" t="s">
        <v>244</v>
      </c>
      <c r="AA37" t="s">
        <v>25</v>
      </c>
      <c r="AC37" t="s">
        <v>22</v>
      </c>
      <c r="AD37" t="s">
        <v>244</v>
      </c>
      <c r="AE37">
        <v>5.1842414015669275E-2</v>
      </c>
      <c r="AG37" t="s">
        <v>97</v>
      </c>
      <c r="AH37" t="s">
        <v>244</v>
      </c>
      <c r="AI37">
        <v>0.15040682873259126</v>
      </c>
      <c r="AK37">
        <v>2025</v>
      </c>
      <c r="AL37" t="s">
        <v>160</v>
      </c>
      <c r="AM37">
        <v>0.58240000000000003</v>
      </c>
      <c r="AN37" t="s">
        <v>221</v>
      </c>
    </row>
    <row r="38" spans="9:40" x14ac:dyDescent="0.45">
      <c r="I38" t="s">
        <v>164</v>
      </c>
      <c r="J38" t="s">
        <v>245</v>
      </c>
      <c r="K38">
        <v>9.8958780631696903E-4</v>
      </c>
      <c r="L38" t="s">
        <v>166</v>
      </c>
      <c r="N38" t="s">
        <v>178</v>
      </c>
      <c r="O38" t="s">
        <v>245</v>
      </c>
      <c r="P38">
        <v>1.1234079558016757E-2</v>
      </c>
      <c r="Q38" t="s">
        <v>166</v>
      </c>
      <c r="S38" t="s">
        <v>202</v>
      </c>
      <c r="T38" t="s">
        <v>245</v>
      </c>
      <c r="U38">
        <v>1.1847172651366117E-2</v>
      </c>
      <c r="V38" t="s">
        <v>166</v>
      </c>
      <c r="X38">
        <v>1.4041095890410958E-2</v>
      </c>
      <c r="Y38">
        <v>9.7854461377818672E-3</v>
      </c>
      <c r="Z38" t="s">
        <v>245</v>
      </c>
      <c r="AA38" t="s">
        <v>25</v>
      </c>
      <c r="AC38" t="s">
        <v>22</v>
      </c>
      <c r="AD38" t="s">
        <v>245</v>
      </c>
      <c r="AE38">
        <v>9.675368585840954E-3</v>
      </c>
      <c r="AG38" t="s">
        <v>97</v>
      </c>
      <c r="AH38" t="s">
        <v>245</v>
      </c>
      <c r="AI38">
        <v>5.3948660616003563E-2</v>
      </c>
      <c r="AK38">
        <v>2025</v>
      </c>
      <c r="AL38" t="s">
        <v>162</v>
      </c>
      <c r="AM38">
        <v>0.5746</v>
      </c>
      <c r="AN38" t="s">
        <v>221</v>
      </c>
    </row>
    <row r="39" spans="9:40" x14ac:dyDescent="0.45">
      <c r="I39" t="s">
        <v>164</v>
      </c>
      <c r="J39" t="s">
        <v>246</v>
      </c>
      <c r="K39">
        <v>0</v>
      </c>
      <c r="L39" t="s">
        <v>166</v>
      </c>
      <c r="N39" t="s">
        <v>178</v>
      </c>
      <c r="O39" t="s">
        <v>246</v>
      </c>
      <c r="P39">
        <v>1.1374965014861458E-2</v>
      </c>
      <c r="Q39" t="s">
        <v>166</v>
      </c>
      <c r="S39" t="s">
        <v>202</v>
      </c>
      <c r="T39" t="s">
        <v>246</v>
      </c>
      <c r="U39">
        <v>1.199068748747411E-2</v>
      </c>
      <c r="V39" t="s">
        <v>166</v>
      </c>
      <c r="X39">
        <v>1.4041095890410958E-2</v>
      </c>
      <c r="Y39">
        <v>6.931357680928822E-3</v>
      </c>
      <c r="Z39" t="s">
        <v>246</v>
      </c>
      <c r="AA39" t="s">
        <v>25</v>
      </c>
      <c r="AC39" t="s">
        <v>22</v>
      </c>
      <c r="AD39" t="s">
        <v>246</v>
      </c>
      <c r="AE39">
        <v>8.9819940233012499E-3</v>
      </c>
      <c r="AG39" t="s">
        <v>97</v>
      </c>
      <c r="AH39" t="s">
        <v>246</v>
      </c>
      <c r="AI39">
        <v>6.542460748201262E-2</v>
      </c>
      <c r="AK39">
        <v>2025</v>
      </c>
      <c r="AL39" t="s">
        <v>224</v>
      </c>
      <c r="AM39">
        <v>0.58702500000000002</v>
      </c>
      <c r="AN39" t="s">
        <v>221</v>
      </c>
    </row>
    <row r="40" spans="9:40" x14ac:dyDescent="0.45">
      <c r="I40" t="s">
        <v>164</v>
      </c>
      <c r="J40" t="s">
        <v>247</v>
      </c>
      <c r="K40">
        <v>0</v>
      </c>
      <c r="L40" t="s">
        <v>166</v>
      </c>
      <c r="N40" t="s">
        <v>178</v>
      </c>
      <c r="O40" t="s">
        <v>247</v>
      </c>
      <c r="P40">
        <v>1.1842235572875946E-2</v>
      </c>
      <c r="Q40" t="s">
        <v>166</v>
      </c>
      <c r="S40" t="s">
        <v>202</v>
      </c>
      <c r="T40" t="s">
        <v>247</v>
      </c>
      <c r="U40">
        <v>1.266383485051248E-2</v>
      </c>
      <c r="V40" t="s">
        <v>166</v>
      </c>
      <c r="X40">
        <v>1.4041095890410958E-2</v>
      </c>
      <c r="Y40">
        <v>3.6695423016682009E-3</v>
      </c>
      <c r="Z40" t="s">
        <v>247</v>
      </c>
      <c r="AA40" t="s">
        <v>25</v>
      </c>
      <c r="AC40" t="s">
        <v>22</v>
      </c>
      <c r="AD40" t="s">
        <v>247</v>
      </c>
      <c r="AE40">
        <v>8.3783728993740147E-3</v>
      </c>
      <c r="AG40" t="s">
        <v>97</v>
      </c>
      <c r="AH40" t="s">
        <v>247</v>
      </c>
      <c r="AI40">
        <v>8.3732422602462275E-2</v>
      </c>
      <c r="AK40">
        <v>2025</v>
      </c>
      <c r="AL40" t="s">
        <v>226</v>
      </c>
      <c r="AM40">
        <v>0.50549999999999995</v>
      </c>
      <c r="AN40" t="s">
        <v>221</v>
      </c>
    </row>
    <row r="41" spans="9:40" x14ac:dyDescent="0.45">
      <c r="I41" t="s">
        <v>164</v>
      </c>
      <c r="J41" t="s">
        <v>248</v>
      </c>
      <c r="K41">
        <v>0</v>
      </c>
      <c r="L41" t="s">
        <v>166</v>
      </c>
      <c r="N41" t="s">
        <v>178</v>
      </c>
      <c r="O41" t="s">
        <v>248</v>
      </c>
      <c r="P41">
        <v>1.4727703920350261E-2</v>
      </c>
      <c r="Q41" t="s">
        <v>166</v>
      </c>
      <c r="S41" t="s">
        <v>202</v>
      </c>
      <c r="T41" t="s">
        <v>248</v>
      </c>
      <c r="U41">
        <v>1.8418290905454469E-2</v>
      </c>
      <c r="V41" t="s">
        <v>166</v>
      </c>
      <c r="X41">
        <v>1.7123287671232876E-2</v>
      </c>
      <c r="Y41">
        <v>2.6651418342739236E-3</v>
      </c>
      <c r="Z41" t="s">
        <v>248</v>
      </c>
      <c r="AA41" t="s">
        <v>25</v>
      </c>
      <c r="AC41" t="s">
        <v>22</v>
      </c>
      <c r="AD41" t="s">
        <v>248</v>
      </c>
      <c r="AE41">
        <v>1.1682773094253548E-2</v>
      </c>
      <c r="AG41" t="s">
        <v>97</v>
      </c>
      <c r="AH41" t="s">
        <v>248</v>
      </c>
      <c r="AI41">
        <v>0.15205121698658908</v>
      </c>
      <c r="AK41">
        <v>2025</v>
      </c>
      <c r="AL41" t="s">
        <v>228</v>
      </c>
      <c r="AM41">
        <v>0.61</v>
      </c>
      <c r="AN41" t="s">
        <v>221</v>
      </c>
    </row>
    <row r="42" spans="9:40" x14ac:dyDescent="0.45">
      <c r="I42" t="s">
        <v>164</v>
      </c>
      <c r="J42" t="s">
        <v>249</v>
      </c>
      <c r="K42">
        <v>7.610549324499917E-2</v>
      </c>
      <c r="L42" t="s">
        <v>166</v>
      </c>
      <c r="N42" t="s">
        <v>178</v>
      </c>
      <c r="O42" t="s">
        <v>249</v>
      </c>
      <c r="P42">
        <v>3.470781972090381E-2</v>
      </c>
      <c r="Q42" t="s">
        <v>166</v>
      </c>
      <c r="S42" t="s">
        <v>202</v>
      </c>
      <c r="T42" t="s">
        <v>249</v>
      </c>
      <c r="U42">
        <v>3.9159034838748767E-2</v>
      </c>
      <c r="V42" t="s">
        <v>166</v>
      </c>
      <c r="X42">
        <v>4.1095890410958902E-2</v>
      </c>
      <c r="Y42">
        <v>5.4764686870695876E-2</v>
      </c>
      <c r="Z42" t="s">
        <v>249</v>
      </c>
      <c r="AA42" t="s">
        <v>25</v>
      </c>
      <c r="AC42" t="s">
        <v>22</v>
      </c>
      <c r="AD42" t="s">
        <v>249</v>
      </c>
      <c r="AE42">
        <v>3.7965674050865865E-2</v>
      </c>
      <c r="AG42" t="s">
        <v>97</v>
      </c>
      <c r="AH42" t="s">
        <v>249</v>
      </c>
      <c r="AI42">
        <v>4.3809919841301781E-2</v>
      </c>
      <c r="AK42">
        <v>2025</v>
      </c>
      <c r="AL42" t="s">
        <v>229</v>
      </c>
      <c r="AM42">
        <v>0.62515000000000009</v>
      </c>
      <c r="AN42" t="s">
        <v>221</v>
      </c>
    </row>
    <row r="43" spans="9:40" x14ac:dyDescent="0.45">
      <c r="I43" t="s">
        <v>164</v>
      </c>
      <c r="J43" t="s">
        <v>250</v>
      </c>
      <c r="K43">
        <v>7.1399058931196809E-3</v>
      </c>
      <c r="L43" t="s">
        <v>166</v>
      </c>
      <c r="N43" t="s">
        <v>178</v>
      </c>
      <c r="O43" t="s">
        <v>250</v>
      </c>
      <c r="P43">
        <v>1.2734196299027665E-2</v>
      </c>
      <c r="Q43" t="s">
        <v>166</v>
      </c>
      <c r="S43" t="s">
        <v>202</v>
      </c>
      <c r="T43" t="s">
        <v>250</v>
      </c>
      <c r="U43">
        <v>1.4087747005620061E-2</v>
      </c>
      <c r="V43" t="s">
        <v>166</v>
      </c>
      <c r="X43">
        <v>1.3698630136986301E-2</v>
      </c>
      <c r="Y43">
        <v>1.978967257539219E-2</v>
      </c>
      <c r="Z43" t="s">
        <v>250</v>
      </c>
      <c r="AA43" t="s">
        <v>25</v>
      </c>
      <c r="AC43" t="s">
        <v>22</v>
      </c>
      <c r="AD43" t="s">
        <v>250</v>
      </c>
      <c r="AE43">
        <v>1.2293766526863505E-2</v>
      </c>
      <c r="AG43" t="s">
        <v>97</v>
      </c>
      <c r="AH43" t="s">
        <v>250</v>
      </c>
      <c r="AI43">
        <v>5.673014220157313E-2</v>
      </c>
      <c r="AK43">
        <v>2026</v>
      </c>
      <c r="AL43" t="s">
        <v>154</v>
      </c>
      <c r="AM43">
        <v>0.57779999999999998</v>
      </c>
      <c r="AN43" t="s">
        <v>221</v>
      </c>
    </row>
    <row r="44" spans="9:40" x14ac:dyDescent="0.45">
      <c r="I44" t="s">
        <v>164</v>
      </c>
      <c r="J44" t="s">
        <v>251</v>
      </c>
      <c r="K44">
        <v>0</v>
      </c>
      <c r="L44" t="s">
        <v>166</v>
      </c>
      <c r="N44" t="s">
        <v>178</v>
      </c>
      <c r="O44" t="s">
        <v>251</v>
      </c>
      <c r="P44">
        <v>3.2126719732264459E-3</v>
      </c>
      <c r="Q44" t="s">
        <v>166</v>
      </c>
      <c r="S44" t="s">
        <v>202</v>
      </c>
      <c r="T44" t="s">
        <v>251</v>
      </c>
      <c r="U44">
        <v>3.8454774390313572E-3</v>
      </c>
      <c r="V44" t="s">
        <v>166</v>
      </c>
      <c r="X44">
        <v>3.4246575342465752E-3</v>
      </c>
      <c r="Y44">
        <v>2.3866941799467974E-3</v>
      </c>
      <c r="Z44" t="s">
        <v>251</v>
      </c>
      <c r="AA44" t="s">
        <v>25</v>
      </c>
      <c r="AC44" t="s">
        <v>22</v>
      </c>
      <c r="AD44" t="s">
        <v>251</v>
      </c>
      <c r="AE44">
        <v>2.437991046958543E-3</v>
      </c>
      <c r="AG44" t="s">
        <v>97</v>
      </c>
      <c r="AH44" t="s">
        <v>251</v>
      </c>
      <c r="AI44">
        <v>4.1810041523936192E-2</v>
      </c>
      <c r="AK44">
        <v>2026</v>
      </c>
      <c r="AL44" t="s">
        <v>158</v>
      </c>
      <c r="AM44">
        <v>0.64810000000000001</v>
      </c>
      <c r="AN44" t="s">
        <v>221</v>
      </c>
    </row>
    <row r="45" spans="9:40" x14ac:dyDescent="0.45">
      <c r="I45" t="s">
        <v>164</v>
      </c>
      <c r="J45" t="s">
        <v>252</v>
      </c>
      <c r="K45">
        <v>0</v>
      </c>
      <c r="L45" t="s">
        <v>166</v>
      </c>
      <c r="N45" t="s">
        <v>178</v>
      </c>
      <c r="O45" t="s">
        <v>252</v>
      </c>
      <c r="P45">
        <v>3.1333550053384771E-3</v>
      </c>
      <c r="Q45" t="s">
        <v>166</v>
      </c>
      <c r="S45" t="s">
        <v>202</v>
      </c>
      <c r="T45" t="s">
        <v>252</v>
      </c>
      <c r="U45">
        <v>3.8603108657708019E-3</v>
      </c>
      <c r="V45" t="s">
        <v>166</v>
      </c>
      <c r="X45">
        <v>3.4246575342465752E-3</v>
      </c>
      <c r="Y45">
        <v>1.6905750441289814E-3</v>
      </c>
      <c r="Z45" t="s">
        <v>252</v>
      </c>
      <c r="AA45" t="s">
        <v>25</v>
      </c>
      <c r="AC45" t="s">
        <v>22</v>
      </c>
      <c r="AD45" t="s">
        <v>252</v>
      </c>
      <c r="AE45">
        <v>2.2782065268216363E-3</v>
      </c>
      <c r="AG45" t="s">
        <v>97</v>
      </c>
      <c r="AH45" t="s">
        <v>252</v>
      </c>
      <c r="AI45">
        <v>5.3833098271699242E-2</v>
      </c>
      <c r="AK45">
        <v>2026</v>
      </c>
      <c r="AL45" t="s">
        <v>160</v>
      </c>
      <c r="AM45">
        <v>0.66259999999999997</v>
      </c>
      <c r="AN45" t="s">
        <v>221</v>
      </c>
    </row>
    <row r="46" spans="9:40" x14ac:dyDescent="0.45">
      <c r="I46" t="s">
        <v>164</v>
      </c>
      <c r="J46" t="s">
        <v>253</v>
      </c>
      <c r="K46">
        <v>0</v>
      </c>
      <c r="L46" t="s">
        <v>166</v>
      </c>
      <c r="N46" t="s">
        <v>178</v>
      </c>
      <c r="O46" t="s">
        <v>253</v>
      </c>
      <c r="P46">
        <v>3.2220383058463448E-3</v>
      </c>
      <c r="Q46" t="s">
        <v>166</v>
      </c>
      <c r="S46" t="s">
        <v>202</v>
      </c>
      <c r="T46" t="s">
        <v>253</v>
      </c>
      <c r="U46">
        <v>3.93529605419741E-3</v>
      </c>
      <c r="V46" t="s">
        <v>166</v>
      </c>
      <c r="X46">
        <v>3.4246575342465752E-3</v>
      </c>
      <c r="Y46">
        <v>8.9501031748004888E-4</v>
      </c>
      <c r="Z46" t="s">
        <v>253</v>
      </c>
      <c r="AA46" t="s">
        <v>25</v>
      </c>
      <c r="AC46" t="s">
        <v>22</v>
      </c>
      <c r="AD46" t="s">
        <v>253</v>
      </c>
      <c r="AE46">
        <v>2.1486740967943323E-3</v>
      </c>
      <c r="AG46" t="s">
        <v>97</v>
      </c>
      <c r="AH46" t="s">
        <v>253</v>
      </c>
      <c r="AI46">
        <v>7.1822482209821903E-2</v>
      </c>
      <c r="AK46">
        <v>2026</v>
      </c>
      <c r="AL46" t="s">
        <v>162</v>
      </c>
      <c r="AM46">
        <v>0.57479999999999998</v>
      </c>
      <c r="AN46" t="s">
        <v>221</v>
      </c>
    </row>
    <row r="47" spans="9:40" x14ac:dyDescent="0.45">
      <c r="I47" t="s">
        <v>164</v>
      </c>
      <c r="J47" t="s">
        <v>254</v>
      </c>
      <c r="K47">
        <v>0</v>
      </c>
      <c r="L47" t="s">
        <v>166</v>
      </c>
      <c r="N47" t="s">
        <v>178</v>
      </c>
      <c r="O47" t="s">
        <v>254</v>
      </c>
      <c r="P47">
        <v>1.9751166732207004E-2</v>
      </c>
      <c r="Q47" t="s">
        <v>166</v>
      </c>
      <c r="S47" t="s">
        <v>202</v>
      </c>
      <c r="T47" t="s">
        <v>254</v>
      </c>
      <c r="U47">
        <v>2.0943236869169581E-2</v>
      </c>
      <c r="V47" t="s">
        <v>166</v>
      </c>
      <c r="X47">
        <v>1.7694063926940638E-2</v>
      </c>
      <c r="Y47">
        <v>2.7539798954163875E-3</v>
      </c>
      <c r="Z47" t="s">
        <v>254</v>
      </c>
      <c r="AA47" t="s">
        <v>25</v>
      </c>
      <c r="AC47" t="s">
        <v>22</v>
      </c>
      <c r="AD47" t="s">
        <v>254</v>
      </c>
      <c r="AE47">
        <v>1.3724334195531512E-2</v>
      </c>
      <c r="AG47" t="s">
        <v>97</v>
      </c>
      <c r="AH47" t="s">
        <v>254</v>
      </c>
      <c r="AI47">
        <v>0.16720805200759514</v>
      </c>
      <c r="AK47">
        <v>2026</v>
      </c>
      <c r="AL47" t="s">
        <v>224</v>
      </c>
      <c r="AM47">
        <v>0.61872499999999997</v>
      </c>
      <c r="AN47" t="s">
        <v>221</v>
      </c>
    </row>
    <row r="48" spans="9:40" x14ac:dyDescent="0.45">
      <c r="I48" t="s">
        <v>164</v>
      </c>
      <c r="J48" t="s">
        <v>255</v>
      </c>
      <c r="K48">
        <v>4.8519532492669819E-2</v>
      </c>
      <c r="L48" t="s">
        <v>166</v>
      </c>
      <c r="N48" t="s">
        <v>178</v>
      </c>
      <c r="O48" t="s">
        <v>255</v>
      </c>
      <c r="P48">
        <v>5.0111763222558892E-2</v>
      </c>
      <c r="Q48" t="s">
        <v>166</v>
      </c>
      <c r="S48" t="s">
        <v>202</v>
      </c>
      <c r="T48" t="s">
        <v>255</v>
      </c>
      <c r="U48">
        <v>4.4542658065539677E-2</v>
      </c>
      <c r="V48" t="s">
        <v>166</v>
      </c>
      <c r="X48">
        <v>4.2465753424657533E-2</v>
      </c>
      <c r="Y48">
        <v>5.6590176433052405E-2</v>
      </c>
      <c r="Z48" t="s">
        <v>255</v>
      </c>
      <c r="AA48" t="s">
        <v>25</v>
      </c>
      <c r="AC48" t="s">
        <v>22</v>
      </c>
      <c r="AD48" t="s">
        <v>255</v>
      </c>
      <c r="AE48">
        <v>4.2482272122843182E-2</v>
      </c>
      <c r="AG48" t="s">
        <v>97</v>
      </c>
      <c r="AH48" t="s">
        <v>255</v>
      </c>
      <c r="AI48">
        <v>4.602766630859767E-2</v>
      </c>
      <c r="AK48">
        <v>2026</v>
      </c>
      <c r="AL48" t="s">
        <v>226</v>
      </c>
      <c r="AM48">
        <v>0.57030000000000003</v>
      </c>
      <c r="AN48" t="s">
        <v>221</v>
      </c>
    </row>
    <row r="49" spans="9:40" x14ac:dyDescent="0.45">
      <c r="I49" t="s">
        <v>164</v>
      </c>
      <c r="J49" t="s">
        <v>256</v>
      </c>
      <c r="K49">
        <v>9.1791751465588873E-4</v>
      </c>
      <c r="L49" t="s">
        <v>166</v>
      </c>
      <c r="N49" t="s">
        <v>178</v>
      </c>
      <c r="O49" t="s">
        <v>256</v>
      </c>
      <c r="P49">
        <v>1.8327040054276642E-2</v>
      </c>
      <c r="Q49" t="s">
        <v>166</v>
      </c>
      <c r="S49" t="s">
        <v>202</v>
      </c>
      <c r="T49" t="s">
        <v>256</v>
      </c>
      <c r="U49">
        <v>1.6418589168588647E-2</v>
      </c>
      <c r="V49" t="s">
        <v>166</v>
      </c>
      <c r="X49">
        <v>1.4155251141552512E-2</v>
      </c>
      <c r="Y49">
        <v>2.0449328327905261E-2</v>
      </c>
      <c r="Z49" t="s">
        <v>256</v>
      </c>
      <c r="AA49" t="s">
        <v>25</v>
      </c>
      <c r="AC49" t="s">
        <v>22</v>
      </c>
      <c r="AD49" t="s">
        <v>256</v>
      </c>
      <c r="AE49">
        <v>1.4131271336176995E-2</v>
      </c>
      <c r="AG49" t="s">
        <v>97</v>
      </c>
      <c r="AH49" t="s">
        <v>256</v>
      </c>
      <c r="AI49">
        <v>5.60516577357697E-2</v>
      </c>
      <c r="AK49">
        <v>2026</v>
      </c>
      <c r="AL49" t="s">
        <v>228</v>
      </c>
      <c r="AM49">
        <v>0.53979999999999995</v>
      </c>
      <c r="AN49" t="s">
        <v>221</v>
      </c>
    </row>
    <row r="50" spans="9:40" x14ac:dyDescent="0.45">
      <c r="I50" t="s">
        <v>164</v>
      </c>
      <c r="J50" t="s">
        <v>257</v>
      </c>
      <c r="K50">
        <v>0</v>
      </c>
      <c r="L50" t="s">
        <v>166</v>
      </c>
      <c r="N50" t="s">
        <v>178</v>
      </c>
      <c r="O50" t="s">
        <v>257</v>
      </c>
      <c r="P50">
        <v>4.1404084500351627E-3</v>
      </c>
      <c r="Q50" t="s">
        <v>166</v>
      </c>
      <c r="S50" t="s">
        <v>202</v>
      </c>
      <c r="T50" t="s">
        <v>257</v>
      </c>
      <c r="U50">
        <v>4.2786210032612947E-3</v>
      </c>
      <c r="V50" t="s">
        <v>166</v>
      </c>
      <c r="X50">
        <v>3.5388127853881279E-3</v>
      </c>
      <c r="Y50">
        <v>2.4662506526116909E-3</v>
      </c>
      <c r="Z50" t="s">
        <v>257</v>
      </c>
      <c r="AA50" t="s">
        <v>25</v>
      </c>
      <c r="AC50" t="s">
        <v>22</v>
      </c>
      <c r="AD50" t="s">
        <v>257</v>
      </c>
      <c r="AE50">
        <v>2.7643301313342761E-3</v>
      </c>
      <c r="AG50" t="s">
        <v>97</v>
      </c>
      <c r="AH50" t="s">
        <v>257</v>
      </c>
      <c r="AI50">
        <v>0.11541556500747219</v>
      </c>
      <c r="AK50">
        <v>2026</v>
      </c>
      <c r="AL50" t="s">
        <v>229</v>
      </c>
      <c r="AM50">
        <v>0.64515</v>
      </c>
      <c r="AN50" t="s">
        <v>221</v>
      </c>
    </row>
    <row r="51" spans="9:40" x14ac:dyDescent="0.45">
      <c r="I51" t="s">
        <v>164</v>
      </c>
      <c r="J51" t="s">
        <v>258</v>
      </c>
      <c r="K51">
        <v>0</v>
      </c>
      <c r="L51" t="s">
        <v>166</v>
      </c>
      <c r="N51" t="s">
        <v>178</v>
      </c>
      <c r="O51" t="s">
        <v>258</v>
      </c>
      <c r="P51">
        <v>3.9529072368618308E-3</v>
      </c>
      <c r="Q51" t="s">
        <v>166</v>
      </c>
      <c r="S51" t="s">
        <v>202</v>
      </c>
      <c r="T51" t="s">
        <v>258</v>
      </c>
      <c r="U51">
        <v>4.2989024560508189E-3</v>
      </c>
      <c r="V51" t="s">
        <v>166</v>
      </c>
      <c r="X51">
        <v>3.5388127853881279E-3</v>
      </c>
      <c r="Y51">
        <v>1.7469275455999477E-3</v>
      </c>
      <c r="Z51" t="s">
        <v>258</v>
      </c>
      <c r="AA51" t="s">
        <v>25</v>
      </c>
      <c r="AC51" t="s">
        <v>22</v>
      </c>
      <c r="AD51" t="s">
        <v>258</v>
      </c>
      <c r="AE51">
        <v>2.6064259206655073E-3</v>
      </c>
      <c r="AG51" t="s">
        <v>97</v>
      </c>
      <c r="AH51" t="s">
        <v>258</v>
      </c>
      <c r="AI51">
        <v>7.2825966544809884E-2</v>
      </c>
      <c r="AK51">
        <v>2027</v>
      </c>
      <c r="AL51" t="s">
        <v>154</v>
      </c>
      <c r="AM51">
        <v>0.55959999999999999</v>
      </c>
      <c r="AN51" t="s">
        <v>221</v>
      </c>
    </row>
    <row r="52" spans="9:40" x14ac:dyDescent="0.45">
      <c r="I52" t="s">
        <v>164</v>
      </c>
      <c r="J52" t="s">
        <v>259</v>
      </c>
      <c r="K52">
        <v>0</v>
      </c>
      <c r="L52" t="s">
        <v>166</v>
      </c>
      <c r="N52" t="s">
        <v>178</v>
      </c>
      <c r="O52" t="s">
        <v>259</v>
      </c>
      <c r="P52">
        <v>3.9267691432513813E-3</v>
      </c>
      <c r="Q52" t="s">
        <v>166</v>
      </c>
      <c r="S52" t="s">
        <v>202</v>
      </c>
      <c r="T52" t="s">
        <v>259</v>
      </c>
      <c r="U52">
        <v>4.3859940978155341E-3</v>
      </c>
      <c r="V52" t="s">
        <v>166</v>
      </c>
      <c r="X52">
        <v>3.5388127853881279E-3</v>
      </c>
      <c r="Y52">
        <v>9.2484399472938378E-4</v>
      </c>
      <c r="Z52" t="s">
        <v>259</v>
      </c>
      <c r="AA52" t="s">
        <v>25</v>
      </c>
      <c r="AC52" t="s">
        <v>22</v>
      </c>
      <c r="AD52" t="s">
        <v>259</v>
      </c>
      <c r="AE52">
        <v>2.5429341376247048E-3</v>
      </c>
      <c r="AG52" t="s">
        <v>97</v>
      </c>
      <c r="AH52" t="s">
        <v>259</v>
      </c>
      <c r="AI52">
        <v>6.7867692916708799E-2</v>
      </c>
      <c r="AK52">
        <v>2027</v>
      </c>
      <c r="AL52" t="s">
        <v>158</v>
      </c>
      <c r="AM52">
        <v>0.58309999999999995</v>
      </c>
      <c r="AN52" t="s">
        <v>221</v>
      </c>
    </row>
    <row r="53" spans="9:40" x14ac:dyDescent="0.45">
      <c r="I53" t="s">
        <v>164</v>
      </c>
      <c r="J53" t="s">
        <v>260</v>
      </c>
      <c r="K53">
        <v>0</v>
      </c>
      <c r="L53" t="s">
        <v>166</v>
      </c>
      <c r="N53" t="s">
        <v>178</v>
      </c>
      <c r="O53" t="s">
        <v>260</v>
      </c>
      <c r="P53">
        <v>5.0163902265296934E-2</v>
      </c>
      <c r="Q53" t="s">
        <v>166</v>
      </c>
      <c r="S53" t="s">
        <v>202</v>
      </c>
      <c r="T53" t="s">
        <v>260</v>
      </c>
      <c r="U53">
        <v>4.6794052833947865E-2</v>
      </c>
      <c r="V53" t="s">
        <v>166</v>
      </c>
      <c r="X53">
        <v>3.4817351598173514E-2</v>
      </c>
      <c r="Y53">
        <v>5.4191217296903106E-3</v>
      </c>
      <c r="Z53" t="s">
        <v>260</v>
      </c>
      <c r="AA53" t="s">
        <v>25</v>
      </c>
      <c r="AC53" t="s">
        <v>22</v>
      </c>
      <c r="AD53" t="s">
        <v>260</v>
      </c>
      <c r="AE53">
        <v>3.2139212149862192E-2</v>
      </c>
      <c r="AG53" t="s">
        <v>97</v>
      </c>
      <c r="AH53" t="s">
        <v>260</v>
      </c>
      <c r="AI53">
        <v>0.15838471096185325</v>
      </c>
      <c r="AK53">
        <v>2027</v>
      </c>
      <c r="AL53" t="s">
        <v>160</v>
      </c>
      <c r="AM53">
        <v>0.5655</v>
      </c>
      <c r="AN53" t="s">
        <v>221</v>
      </c>
    </row>
    <row r="54" spans="9:40" x14ac:dyDescent="0.45">
      <c r="I54" t="s">
        <v>164</v>
      </c>
      <c r="J54" t="s">
        <v>261</v>
      </c>
      <c r="K54">
        <v>2.2986358678152456E-2</v>
      </c>
      <c r="L54" t="s">
        <v>166</v>
      </c>
      <c r="N54" t="s">
        <v>178</v>
      </c>
      <c r="O54" t="s">
        <v>261</v>
      </c>
      <c r="P54">
        <v>0.11797107148848585</v>
      </c>
      <c r="Q54" t="s">
        <v>166</v>
      </c>
      <c r="S54" t="s">
        <v>202</v>
      </c>
      <c r="T54" t="s">
        <v>261</v>
      </c>
      <c r="U54">
        <v>0.10747114748831245</v>
      </c>
      <c r="V54" t="s">
        <v>166</v>
      </c>
      <c r="X54">
        <v>8.3561643835616442E-2</v>
      </c>
      <c r="Y54">
        <v>0.11135486330374829</v>
      </c>
      <c r="Z54" t="s">
        <v>261</v>
      </c>
      <c r="AA54" t="s">
        <v>25</v>
      </c>
      <c r="AC54" t="s">
        <v>22</v>
      </c>
      <c r="AD54" t="s">
        <v>261</v>
      </c>
      <c r="AE54">
        <v>9.2848356800759077E-2</v>
      </c>
      <c r="AG54" t="s">
        <v>97</v>
      </c>
      <c r="AH54" t="s">
        <v>261</v>
      </c>
      <c r="AI54">
        <v>8.311294049660245E-2</v>
      </c>
      <c r="AK54">
        <v>2027</v>
      </c>
      <c r="AL54" t="s">
        <v>162</v>
      </c>
      <c r="AM54">
        <v>0.55620000000000003</v>
      </c>
      <c r="AN54" t="s">
        <v>221</v>
      </c>
    </row>
    <row r="55" spans="9:40" x14ac:dyDescent="0.45">
      <c r="I55" t="s">
        <v>164</v>
      </c>
      <c r="J55" t="s">
        <v>262</v>
      </c>
      <c r="K55">
        <v>0</v>
      </c>
      <c r="L55" t="s">
        <v>166</v>
      </c>
      <c r="N55" t="s">
        <v>178</v>
      </c>
      <c r="O55" t="s">
        <v>262</v>
      </c>
      <c r="P55">
        <v>4.0599240070084454E-2</v>
      </c>
      <c r="Q55" t="s">
        <v>166</v>
      </c>
      <c r="S55" t="s">
        <v>202</v>
      </c>
      <c r="T55" t="s">
        <v>262</v>
      </c>
      <c r="U55">
        <v>3.7179193566727171E-2</v>
      </c>
      <c r="V55" t="s">
        <v>166</v>
      </c>
      <c r="X55">
        <v>2.7853881278538814E-2</v>
      </c>
      <c r="Y55">
        <v>4.0239000903297448E-2</v>
      </c>
      <c r="Z55" t="s">
        <v>262</v>
      </c>
      <c r="AA55" t="s">
        <v>25</v>
      </c>
      <c r="AC55" t="s">
        <v>22</v>
      </c>
      <c r="AD55" t="s">
        <v>262</v>
      </c>
      <c r="AE55">
        <v>3.0874511488450669E-2</v>
      </c>
      <c r="AG55" t="s">
        <v>97</v>
      </c>
      <c r="AH55" t="s">
        <v>262</v>
      </c>
      <c r="AI55">
        <v>3.9423855400439578E-2</v>
      </c>
      <c r="AK55">
        <v>2027</v>
      </c>
      <c r="AL55" t="s">
        <v>224</v>
      </c>
      <c r="AM55">
        <v>0.52210000000000001</v>
      </c>
      <c r="AN55" t="s">
        <v>221</v>
      </c>
    </row>
    <row r="56" spans="9:40" x14ac:dyDescent="0.45">
      <c r="I56" t="s">
        <v>164</v>
      </c>
      <c r="J56" t="s">
        <v>263</v>
      </c>
      <c r="K56">
        <v>0</v>
      </c>
      <c r="L56" t="s">
        <v>166</v>
      </c>
      <c r="N56" t="s">
        <v>178</v>
      </c>
      <c r="O56" t="s">
        <v>263</v>
      </c>
      <c r="P56">
        <v>1.0198028255108188E-2</v>
      </c>
      <c r="Q56" t="s">
        <v>166</v>
      </c>
      <c r="S56" t="s">
        <v>202</v>
      </c>
      <c r="T56" t="s">
        <v>263</v>
      </c>
      <c r="U56">
        <v>9.4328663692979202E-3</v>
      </c>
      <c r="V56" t="s">
        <v>166</v>
      </c>
      <c r="X56">
        <v>6.9634703196347035E-3</v>
      </c>
      <c r="Y56">
        <v>4.8529448325584871E-3</v>
      </c>
      <c r="Z56" t="s">
        <v>263</v>
      </c>
      <c r="AA56" t="s">
        <v>25</v>
      </c>
      <c r="AC56" t="s">
        <v>22</v>
      </c>
      <c r="AD56" t="s">
        <v>263</v>
      </c>
      <c r="AE56">
        <v>6.9383882352268304E-3</v>
      </c>
      <c r="AG56" t="s">
        <v>97</v>
      </c>
      <c r="AH56" t="s">
        <v>263</v>
      </c>
      <c r="AI56">
        <v>3.0076393229208964E-2</v>
      </c>
      <c r="AK56">
        <v>2027</v>
      </c>
      <c r="AL56" t="s">
        <v>226</v>
      </c>
      <c r="AM56">
        <v>0.48520000000000002</v>
      </c>
      <c r="AN56" t="s">
        <v>221</v>
      </c>
    </row>
    <row r="57" spans="9:40" x14ac:dyDescent="0.45">
      <c r="I57" t="s">
        <v>164</v>
      </c>
      <c r="J57" t="s">
        <v>264</v>
      </c>
      <c r="K57">
        <v>0</v>
      </c>
      <c r="L57" t="s">
        <v>166</v>
      </c>
      <c r="N57" t="s">
        <v>178</v>
      </c>
      <c r="O57" t="s">
        <v>264</v>
      </c>
      <c r="P57">
        <v>1.0220066822807256E-2</v>
      </c>
      <c r="Q57" t="s">
        <v>166</v>
      </c>
      <c r="S57" t="s">
        <v>202</v>
      </c>
      <c r="T57" t="s">
        <v>264</v>
      </c>
      <c r="U57">
        <v>9.4254800542852967E-3</v>
      </c>
      <c r="V57" t="s">
        <v>166</v>
      </c>
      <c r="X57">
        <v>6.9634703196347035E-3</v>
      </c>
      <c r="Y57">
        <v>3.4375025897289287E-3</v>
      </c>
      <c r="Z57" t="s">
        <v>264</v>
      </c>
      <c r="AA57" t="s">
        <v>25</v>
      </c>
      <c r="AC57" t="s">
        <v>22</v>
      </c>
      <c r="AD57" t="s">
        <v>264</v>
      </c>
      <c r="AE57">
        <v>6.5049142258386842E-3</v>
      </c>
      <c r="AG57" t="s">
        <v>97</v>
      </c>
      <c r="AH57" t="s">
        <v>264</v>
      </c>
      <c r="AI57">
        <v>5.699292614845386E-2</v>
      </c>
      <c r="AK57">
        <v>2027</v>
      </c>
      <c r="AL57" t="s">
        <v>228</v>
      </c>
      <c r="AM57">
        <v>0.48609999999999998</v>
      </c>
      <c r="AN57" t="s">
        <v>221</v>
      </c>
    </row>
    <row r="58" spans="9:40" x14ac:dyDescent="0.45">
      <c r="I58" t="s">
        <v>164</v>
      </c>
      <c r="J58" t="s">
        <v>265</v>
      </c>
      <c r="K58">
        <v>0</v>
      </c>
      <c r="L58" t="s">
        <v>166</v>
      </c>
      <c r="N58" t="s">
        <v>178</v>
      </c>
      <c r="O58" t="s">
        <v>265</v>
      </c>
      <c r="P58">
        <v>1.0288908196685962E-2</v>
      </c>
      <c r="Q58" t="s">
        <v>166</v>
      </c>
      <c r="S58" t="s">
        <v>202</v>
      </c>
      <c r="T58" t="s">
        <v>265</v>
      </c>
      <c r="U58">
        <v>9.6472934404868375E-3</v>
      </c>
      <c r="V58" t="s">
        <v>166</v>
      </c>
      <c r="X58">
        <v>6.9634703196347035E-3</v>
      </c>
      <c r="Y58">
        <v>1.8198543122094333E-3</v>
      </c>
      <c r="Z58" t="s">
        <v>265</v>
      </c>
      <c r="AA58" t="s">
        <v>25</v>
      </c>
      <c r="AC58" t="s">
        <v>22</v>
      </c>
      <c r="AD58" t="s">
        <v>265</v>
      </c>
      <c r="AE58">
        <v>6.3193067890060109E-3</v>
      </c>
      <c r="AG58" t="s">
        <v>97</v>
      </c>
      <c r="AH58" t="s">
        <v>265</v>
      </c>
      <c r="AI58">
        <v>6.860647456808433E-2</v>
      </c>
      <c r="AK58">
        <v>2027</v>
      </c>
      <c r="AL58" t="s">
        <v>229</v>
      </c>
      <c r="AM58">
        <v>0.51550000000000007</v>
      </c>
      <c r="AN58" t="s">
        <v>221</v>
      </c>
    </row>
    <row r="59" spans="9:40" x14ac:dyDescent="0.45">
      <c r="N59" t="s">
        <v>179</v>
      </c>
      <c r="O59" t="s">
        <v>165</v>
      </c>
      <c r="P59">
        <v>1.960931922674633E-2</v>
      </c>
      <c r="Q59" t="s">
        <v>166</v>
      </c>
      <c r="S59" t="s">
        <v>203</v>
      </c>
      <c r="T59" t="s">
        <v>165</v>
      </c>
      <c r="U59">
        <v>1.8208374689197764E-2</v>
      </c>
      <c r="V59" t="s">
        <v>166</v>
      </c>
      <c r="AC59" t="s">
        <v>19</v>
      </c>
      <c r="AD59" t="s">
        <v>165</v>
      </c>
      <c r="AE59">
        <v>1.755294247214477E-2</v>
      </c>
      <c r="AK59">
        <v>2028</v>
      </c>
      <c r="AL59" t="s">
        <v>154</v>
      </c>
      <c r="AM59">
        <v>0.57889999999999997</v>
      </c>
      <c r="AN59" t="s">
        <v>221</v>
      </c>
    </row>
    <row r="60" spans="9:40" x14ac:dyDescent="0.45">
      <c r="N60" t="s">
        <v>179</v>
      </c>
      <c r="O60" t="s">
        <v>167</v>
      </c>
      <c r="P60">
        <v>4.3802583073298353E-2</v>
      </c>
      <c r="Q60" t="s">
        <v>166</v>
      </c>
      <c r="S60" t="s">
        <v>203</v>
      </c>
      <c r="T60" t="s">
        <v>167</v>
      </c>
      <c r="U60">
        <v>4.1417265303471736E-2</v>
      </c>
      <c r="V60" t="s">
        <v>166</v>
      </c>
      <c r="AC60" t="s">
        <v>19</v>
      </c>
      <c r="AD60" t="s">
        <v>167</v>
      </c>
      <c r="AE60">
        <v>4.2701597673255126E-2</v>
      </c>
      <c r="AK60">
        <v>2028</v>
      </c>
      <c r="AL60" t="s">
        <v>158</v>
      </c>
      <c r="AM60">
        <v>0.53080000000000005</v>
      </c>
      <c r="AN60" t="s">
        <v>221</v>
      </c>
    </row>
    <row r="61" spans="9:40" x14ac:dyDescent="0.45">
      <c r="N61" t="s">
        <v>179</v>
      </c>
      <c r="O61" t="s">
        <v>168</v>
      </c>
      <c r="P61">
        <v>1.4277098362194056E-2</v>
      </c>
      <c r="Q61" t="s">
        <v>166</v>
      </c>
      <c r="S61" t="s">
        <v>203</v>
      </c>
      <c r="T61" t="s">
        <v>168</v>
      </c>
      <c r="U61">
        <v>1.3744572323146905E-2</v>
      </c>
      <c r="V61" t="s">
        <v>166</v>
      </c>
      <c r="AC61" t="s">
        <v>19</v>
      </c>
      <c r="AD61" t="s">
        <v>168</v>
      </c>
      <c r="AE61">
        <v>1.4241110241577225E-2</v>
      </c>
      <c r="AK61">
        <v>2028</v>
      </c>
      <c r="AL61" t="s">
        <v>160</v>
      </c>
      <c r="AM61">
        <v>0.58340000000000003</v>
      </c>
      <c r="AN61" t="s">
        <v>221</v>
      </c>
    </row>
    <row r="62" spans="9:40" x14ac:dyDescent="0.45">
      <c r="N62" t="s">
        <v>179</v>
      </c>
      <c r="O62" t="s">
        <v>230</v>
      </c>
      <c r="P62">
        <v>3.5175069086195005E-3</v>
      </c>
      <c r="Q62" t="s">
        <v>166</v>
      </c>
      <c r="S62" t="s">
        <v>203</v>
      </c>
      <c r="T62" t="s">
        <v>230</v>
      </c>
      <c r="U62">
        <v>3.3546941652617276E-3</v>
      </c>
      <c r="V62" t="s">
        <v>166</v>
      </c>
      <c r="AC62" t="s">
        <v>19</v>
      </c>
      <c r="AD62" t="s">
        <v>230</v>
      </c>
      <c r="AE62">
        <v>3.5279848265314263E-3</v>
      </c>
      <c r="AK62">
        <v>2028</v>
      </c>
      <c r="AL62" t="s">
        <v>162</v>
      </c>
      <c r="AM62">
        <v>0.53100000000000003</v>
      </c>
      <c r="AN62" t="s">
        <v>221</v>
      </c>
    </row>
    <row r="63" spans="9:40" x14ac:dyDescent="0.45">
      <c r="N63" t="s">
        <v>179</v>
      </c>
      <c r="O63" t="s">
        <v>231</v>
      </c>
      <c r="P63">
        <v>3.482689517093897E-3</v>
      </c>
      <c r="Q63" t="s">
        <v>166</v>
      </c>
      <c r="S63" t="s">
        <v>203</v>
      </c>
      <c r="T63" t="s">
        <v>231</v>
      </c>
      <c r="U63">
        <v>3.3021251912935638E-3</v>
      </c>
      <c r="V63" t="s">
        <v>166</v>
      </c>
      <c r="AC63" t="s">
        <v>19</v>
      </c>
      <c r="AD63" t="s">
        <v>231</v>
      </c>
      <c r="AE63">
        <v>3.5086615631375081E-3</v>
      </c>
      <c r="AK63">
        <v>2028</v>
      </c>
      <c r="AL63" t="s">
        <v>224</v>
      </c>
      <c r="AM63">
        <v>0.51572499999999999</v>
      </c>
      <c r="AN63" t="s">
        <v>221</v>
      </c>
    </row>
    <row r="64" spans="9:40" x14ac:dyDescent="0.45">
      <c r="N64" t="s">
        <v>179</v>
      </c>
      <c r="O64" t="s">
        <v>232</v>
      </c>
      <c r="P64">
        <v>3.6309594692078453E-3</v>
      </c>
      <c r="Q64" t="s">
        <v>166</v>
      </c>
      <c r="S64" t="s">
        <v>203</v>
      </c>
      <c r="T64" t="s">
        <v>232</v>
      </c>
      <c r="U64">
        <v>3.4794642852905211E-3</v>
      </c>
      <c r="V64" t="s">
        <v>166</v>
      </c>
      <c r="AC64" t="s">
        <v>19</v>
      </c>
      <c r="AD64" t="s">
        <v>232</v>
      </c>
      <c r="AE64">
        <v>3.5060404690103208E-3</v>
      </c>
      <c r="AK64">
        <v>2028</v>
      </c>
      <c r="AL64" t="s">
        <v>226</v>
      </c>
      <c r="AM64">
        <v>0.46929999999999999</v>
      </c>
      <c r="AN64" t="s">
        <v>221</v>
      </c>
    </row>
    <row r="65" spans="14:40" x14ac:dyDescent="0.45">
      <c r="N65" t="s">
        <v>179</v>
      </c>
      <c r="O65" t="s">
        <v>169</v>
      </c>
      <c r="P65">
        <v>1.3074603317505949E-2</v>
      </c>
      <c r="Q65" t="s">
        <v>166</v>
      </c>
      <c r="S65" t="s">
        <v>203</v>
      </c>
      <c r="T65" t="s">
        <v>169</v>
      </c>
      <c r="U65">
        <v>1.6227586781547027E-2</v>
      </c>
      <c r="V65" t="s">
        <v>166</v>
      </c>
      <c r="AC65" t="s">
        <v>19</v>
      </c>
      <c r="AD65" t="s">
        <v>169</v>
      </c>
      <c r="AE65">
        <v>1.5923390581564594E-2</v>
      </c>
      <c r="AK65">
        <v>2028</v>
      </c>
      <c r="AL65" t="s">
        <v>228</v>
      </c>
      <c r="AM65">
        <v>0.46660000000000001</v>
      </c>
      <c r="AN65" t="s">
        <v>221</v>
      </c>
    </row>
    <row r="66" spans="14:40" x14ac:dyDescent="0.45">
      <c r="N66" t="s">
        <v>179</v>
      </c>
      <c r="O66" t="s">
        <v>170</v>
      </c>
      <c r="P66">
        <v>3.3043056289916127E-2</v>
      </c>
      <c r="Q66" t="s">
        <v>166</v>
      </c>
      <c r="S66" t="s">
        <v>203</v>
      </c>
      <c r="T66" t="s">
        <v>170</v>
      </c>
      <c r="U66">
        <v>4.2725767808629661E-2</v>
      </c>
      <c r="V66" t="s">
        <v>166</v>
      </c>
      <c r="AC66" t="s">
        <v>19</v>
      </c>
      <c r="AD66" t="s">
        <v>170</v>
      </c>
      <c r="AE66">
        <v>3.8460080558070701E-2</v>
      </c>
      <c r="AK66">
        <v>2028</v>
      </c>
      <c r="AL66" t="s">
        <v>229</v>
      </c>
      <c r="AM66">
        <v>0.51129999999999998</v>
      </c>
      <c r="AN66" t="s">
        <v>221</v>
      </c>
    </row>
    <row r="67" spans="14:40" x14ac:dyDescent="0.45">
      <c r="N67" t="s">
        <v>179</v>
      </c>
      <c r="O67" t="s">
        <v>171</v>
      </c>
      <c r="P67">
        <v>1.3036915332727075E-2</v>
      </c>
      <c r="Q67" t="s">
        <v>166</v>
      </c>
      <c r="S67" t="s">
        <v>203</v>
      </c>
      <c r="T67" t="s">
        <v>171</v>
      </c>
      <c r="U67">
        <v>1.359018134495292E-2</v>
      </c>
      <c r="V67" t="s">
        <v>166</v>
      </c>
      <c r="AC67" t="s">
        <v>19</v>
      </c>
      <c r="AD67" t="s">
        <v>171</v>
      </c>
      <c r="AE67">
        <v>1.2819769463944466E-2</v>
      </c>
      <c r="AK67">
        <v>2029</v>
      </c>
      <c r="AL67" t="s">
        <v>154</v>
      </c>
      <c r="AM67">
        <v>0.65549999999999997</v>
      </c>
      <c r="AN67" t="s">
        <v>221</v>
      </c>
    </row>
    <row r="68" spans="14:40" x14ac:dyDescent="0.45">
      <c r="N68" t="s">
        <v>179</v>
      </c>
      <c r="O68" t="s">
        <v>233</v>
      </c>
      <c r="P68">
        <v>3.0499812102240155E-3</v>
      </c>
      <c r="Q68" t="s">
        <v>166</v>
      </c>
      <c r="S68" t="s">
        <v>203</v>
      </c>
      <c r="T68" t="s">
        <v>233</v>
      </c>
      <c r="U68">
        <v>3.1042948575113528E-3</v>
      </c>
      <c r="V68" t="s">
        <v>166</v>
      </c>
      <c r="AC68" t="s">
        <v>19</v>
      </c>
      <c r="AD68" t="s">
        <v>233</v>
      </c>
      <c r="AE68">
        <v>3.1881884941765697E-3</v>
      </c>
      <c r="AK68">
        <v>2029</v>
      </c>
      <c r="AL68" t="s">
        <v>158</v>
      </c>
      <c r="AM68">
        <v>0.68810000000000004</v>
      </c>
      <c r="AN68" t="s">
        <v>221</v>
      </c>
    </row>
    <row r="69" spans="14:40" x14ac:dyDescent="0.45">
      <c r="N69" t="s">
        <v>179</v>
      </c>
      <c r="O69" t="s">
        <v>234</v>
      </c>
      <c r="P69">
        <v>2.9963562946236735E-3</v>
      </c>
      <c r="Q69" t="s">
        <v>166</v>
      </c>
      <c r="S69" t="s">
        <v>203</v>
      </c>
      <c r="T69" t="s">
        <v>234</v>
      </c>
      <c r="U69">
        <v>3.0438744576642062E-3</v>
      </c>
      <c r="V69" t="s">
        <v>166</v>
      </c>
      <c r="AC69" t="s">
        <v>19</v>
      </c>
      <c r="AD69" t="s">
        <v>234</v>
      </c>
      <c r="AE69">
        <v>3.1839140426475404E-3</v>
      </c>
      <c r="AK69">
        <v>2029</v>
      </c>
      <c r="AL69" t="s">
        <v>160</v>
      </c>
      <c r="AM69">
        <v>0.61660000000000004</v>
      </c>
      <c r="AN69" t="s">
        <v>221</v>
      </c>
    </row>
    <row r="70" spans="14:40" x14ac:dyDescent="0.45">
      <c r="N70" t="s">
        <v>179</v>
      </c>
      <c r="O70" t="s">
        <v>235</v>
      </c>
      <c r="P70">
        <v>2.7374233935308135E-3</v>
      </c>
      <c r="Q70" t="s">
        <v>166</v>
      </c>
      <c r="S70" t="s">
        <v>203</v>
      </c>
      <c r="T70" t="s">
        <v>235</v>
      </c>
      <c r="U70">
        <v>3.1674246217695164E-3</v>
      </c>
      <c r="V70" t="s">
        <v>166</v>
      </c>
      <c r="AC70" t="s">
        <v>19</v>
      </c>
      <c r="AD70" t="s">
        <v>235</v>
      </c>
      <c r="AE70">
        <v>3.1811625681949863E-3</v>
      </c>
      <c r="AK70">
        <v>2029</v>
      </c>
      <c r="AL70" t="s">
        <v>162</v>
      </c>
      <c r="AM70">
        <v>0.62180000000000002</v>
      </c>
      <c r="AN70" t="s">
        <v>221</v>
      </c>
    </row>
    <row r="71" spans="14:40" x14ac:dyDescent="0.45">
      <c r="N71" t="s">
        <v>179</v>
      </c>
      <c r="O71" t="s">
        <v>172</v>
      </c>
      <c r="P71">
        <v>1.6442551840009652E-2</v>
      </c>
      <c r="Q71" t="s">
        <v>166</v>
      </c>
      <c r="S71" t="s">
        <v>203</v>
      </c>
      <c r="T71" t="s">
        <v>172</v>
      </c>
      <c r="U71">
        <v>1.8315063917526082E-2</v>
      </c>
      <c r="V71" t="s">
        <v>166</v>
      </c>
      <c r="AC71" t="s">
        <v>19</v>
      </c>
      <c r="AD71" t="s">
        <v>172</v>
      </c>
      <c r="AE71">
        <v>1.7626835802538102E-2</v>
      </c>
      <c r="AK71">
        <v>2029</v>
      </c>
      <c r="AL71" t="s">
        <v>224</v>
      </c>
      <c r="AM71">
        <v>0.61382500000000007</v>
      </c>
      <c r="AN71" t="s">
        <v>221</v>
      </c>
    </row>
    <row r="72" spans="14:40" x14ac:dyDescent="0.45">
      <c r="N72" t="s">
        <v>179</v>
      </c>
      <c r="O72" t="s">
        <v>173</v>
      </c>
      <c r="P72">
        <v>3.6762625167817156E-2</v>
      </c>
      <c r="Q72" t="s">
        <v>166</v>
      </c>
      <c r="S72" t="s">
        <v>203</v>
      </c>
      <c r="T72" t="s">
        <v>173</v>
      </c>
      <c r="U72">
        <v>3.6699726989156113E-2</v>
      </c>
      <c r="V72" t="s">
        <v>166</v>
      </c>
      <c r="AC72" t="s">
        <v>19</v>
      </c>
      <c r="AD72" t="s">
        <v>173</v>
      </c>
      <c r="AE72">
        <v>4.2652643457778777E-2</v>
      </c>
      <c r="AK72">
        <v>2029</v>
      </c>
      <c r="AL72" t="s">
        <v>226</v>
      </c>
      <c r="AM72">
        <v>0.52829999999999999</v>
      </c>
      <c r="AN72" t="s">
        <v>221</v>
      </c>
    </row>
    <row r="73" spans="14:40" x14ac:dyDescent="0.45">
      <c r="N73" t="s">
        <v>179</v>
      </c>
      <c r="O73" t="s">
        <v>174</v>
      </c>
      <c r="P73">
        <v>1.649038562052443E-2</v>
      </c>
      <c r="Q73" t="s">
        <v>166</v>
      </c>
      <c r="S73" t="s">
        <v>203</v>
      </c>
      <c r="T73" t="s">
        <v>174</v>
      </c>
      <c r="U73">
        <v>1.44722583426799E-2</v>
      </c>
      <c r="V73" t="s">
        <v>166</v>
      </c>
      <c r="AC73" t="s">
        <v>19</v>
      </c>
      <c r="AD73" t="s">
        <v>174</v>
      </c>
      <c r="AE73">
        <v>1.4222702337984843E-2</v>
      </c>
      <c r="AK73">
        <v>2029</v>
      </c>
      <c r="AL73" t="s">
        <v>228</v>
      </c>
      <c r="AM73">
        <v>0.61829999999999996</v>
      </c>
      <c r="AN73" t="s">
        <v>221</v>
      </c>
    </row>
    <row r="74" spans="14:40" x14ac:dyDescent="0.45">
      <c r="N74" t="s">
        <v>179</v>
      </c>
      <c r="O74" t="s">
        <v>236</v>
      </c>
      <c r="P74">
        <v>3.5813864765328563E-3</v>
      </c>
      <c r="Q74" t="s">
        <v>166</v>
      </c>
      <c r="S74" t="s">
        <v>203</v>
      </c>
      <c r="T74" t="s">
        <v>236</v>
      </c>
      <c r="U74">
        <v>3.628470055238375E-3</v>
      </c>
      <c r="V74" t="s">
        <v>166</v>
      </c>
      <c r="AC74" t="s">
        <v>19</v>
      </c>
      <c r="AD74" t="s">
        <v>236</v>
      </c>
      <c r="AE74">
        <v>3.5253275968226815E-3</v>
      </c>
      <c r="AK74">
        <v>2029</v>
      </c>
      <c r="AL74" t="s">
        <v>229</v>
      </c>
      <c r="AM74">
        <v>0.63009999999999999</v>
      </c>
      <c r="AN74" t="s">
        <v>221</v>
      </c>
    </row>
    <row r="75" spans="14:40" x14ac:dyDescent="0.45">
      <c r="N75" t="s">
        <v>179</v>
      </c>
      <c r="O75" t="s">
        <v>237</v>
      </c>
      <c r="P75">
        <v>3.2476579204601809E-3</v>
      </c>
      <c r="Q75" t="s">
        <v>166</v>
      </c>
      <c r="S75" t="s">
        <v>203</v>
      </c>
      <c r="T75" t="s">
        <v>237</v>
      </c>
      <c r="U75">
        <v>3.6214807541232533E-3</v>
      </c>
      <c r="V75" t="s">
        <v>166</v>
      </c>
      <c r="AC75" t="s">
        <v>19</v>
      </c>
      <c r="AD75" t="s">
        <v>237</v>
      </c>
      <c r="AE75">
        <v>3.5196335733028122E-3</v>
      </c>
      <c r="AK75">
        <v>2030</v>
      </c>
      <c r="AL75" t="s">
        <v>154</v>
      </c>
      <c r="AM75">
        <v>0.52529999999999999</v>
      </c>
      <c r="AN75" t="s">
        <v>221</v>
      </c>
    </row>
    <row r="76" spans="14:40" x14ac:dyDescent="0.45">
      <c r="N76" t="s">
        <v>179</v>
      </c>
      <c r="O76" t="s">
        <v>238</v>
      </c>
      <c r="P76">
        <v>3.2391446142407674E-3</v>
      </c>
      <c r="Q76" t="s">
        <v>166</v>
      </c>
      <c r="S76" t="s">
        <v>203</v>
      </c>
      <c r="T76" t="s">
        <v>238</v>
      </c>
      <c r="U76">
        <v>3.9185153353375511E-3</v>
      </c>
      <c r="V76" t="s">
        <v>166</v>
      </c>
      <c r="AC76" t="s">
        <v>19</v>
      </c>
      <c r="AD76" t="s">
        <v>238</v>
      </c>
      <c r="AE76">
        <v>3.5179094058966779E-3</v>
      </c>
      <c r="AK76">
        <v>2030</v>
      </c>
      <c r="AL76" t="s">
        <v>158</v>
      </c>
      <c r="AM76">
        <v>0.56669999999999998</v>
      </c>
      <c r="AN76" t="s">
        <v>221</v>
      </c>
    </row>
    <row r="77" spans="14:40" x14ac:dyDescent="0.45">
      <c r="N77" t="s">
        <v>179</v>
      </c>
      <c r="O77" t="s">
        <v>175</v>
      </c>
      <c r="P77">
        <v>2.0176431065979546E-2</v>
      </c>
      <c r="Q77" t="s">
        <v>166</v>
      </c>
      <c r="S77" t="s">
        <v>203</v>
      </c>
      <c r="T77" t="s">
        <v>175</v>
      </c>
      <c r="U77">
        <v>1.9590028245673026E-2</v>
      </c>
      <c r="V77" t="s">
        <v>166</v>
      </c>
      <c r="AC77" t="s">
        <v>19</v>
      </c>
      <c r="AD77" t="s">
        <v>175</v>
      </c>
      <c r="AE77">
        <v>1.7074407527386017E-2</v>
      </c>
      <c r="AK77">
        <v>2030</v>
      </c>
      <c r="AL77" t="s">
        <v>160</v>
      </c>
      <c r="AM77">
        <v>0.49099999999999999</v>
      </c>
      <c r="AN77" t="s">
        <v>221</v>
      </c>
    </row>
    <row r="78" spans="14:40" x14ac:dyDescent="0.45">
      <c r="N78" t="s">
        <v>179</v>
      </c>
      <c r="O78" t="s">
        <v>176</v>
      </c>
      <c r="P78">
        <v>4.4629754460233262E-2</v>
      </c>
      <c r="Q78" t="s">
        <v>166</v>
      </c>
      <c r="S78" t="s">
        <v>203</v>
      </c>
      <c r="T78" t="s">
        <v>176</v>
      </c>
      <c r="U78">
        <v>3.8077957813690937E-2</v>
      </c>
      <c r="V78" t="s">
        <v>166</v>
      </c>
      <c r="AC78" t="s">
        <v>19</v>
      </c>
      <c r="AD78" t="s">
        <v>176</v>
      </c>
      <c r="AE78">
        <v>4.1244846161237088E-2</v>
      </c>
      <c r="AK78">
        <v>2030</v>
      </c>
      <c r="AL78" t="s">
        <v>162</v>
      </c>
      <c r="AM78">
        <v>0.5575</v>
      </c>
      <c r="AN78" t="s">
        <v>221</v>
      </c>
    </row>
    <row r="79" spans="14:40" x14ac:dyDescent="0.45">
      <c r="N79" t="s">
        <v>179</v>
      </c>
      <c r="O79" t="s">
        <v>177</v>
      </c>
      <c r="P79">
        <v>1.5549594699119594E-2</v>
      </c>
      <c r="Q79" t="s">
        <v>166</v>
      </c>
      <c r="S79" t="s">
        <v>203</v>
      </c>
      <c r="T79" t="s">
        <v>177</v>
      </c>
      <c r="U79">
        <v>1.5052854687007403E-2</v>
      </c>
      <c r="V79" t="s">
        <v>166</v>
      </c>
      <c r="AC79" t="s">
        <v>19</v>
      </c>
      <c r="AD79" t="s">
        <v>177</v>
      </c>
      <c r="AE79">
        <v>1.3705585119781042E-2</v>
      </c>
      <c r="AK79">
        <v>2030</v>
      </c>
      <c r="AL79" t="s">
        <v>224</v>
      </c>
      <c r="AM79">
        <v>0.49614999999999998</v>
      </c>
      <c r="AN79" t="s">
        <v>221</v>
      </c>
    </row>
    <row r="80" spans="14:40" x14ac:dyDescent="0.45">
      <c r="N80" t="s">
        <v>179</v>
      </c>
      <c r="O80" t="s">
        <v>239</v>
      </c>
      <c r="P80">
        <v>4.3858353545349477E-3</v>
      </c>
      <c r="Q80" t="s">
        <v>166</v>
      </c>
      <c r="S80" t="s">
        <v>203</v>
      </c>
      <c r="T80" t="s">
        <v>239</v>
      </c>
      <c r="U80">
        <v>4.0491447184681202E-3</v>
      </c>
      <c r="V80" t="s">
        <v>166</v>
      </c>
      <c r="AC80" t="s">
        <v>19</v>
      </c>
      <c r="AD80" t="s">
        <v>239</v>
      </c>
      <c r="AE80">
        <v>3.4038092935359822E-3</v>
      </c>
      <c r="AK80">
        <v>2030</v>
      </c>
      <c r="AL80" t="s">
        <v>226</v>
      </c>
      <c r="AM80">
        <v>0.41810000000000003</v>
      </c>
      <c r="AN80" t="s">
        <v>221</v>
      </c>
    </row>
    <row r="81" spans="14:40" x14ac:dyDescent="0.45">
      <c r="N81" t="s">
        <v>179</v>
      </c>
      <c r="O81" t="s">
        <v>240</v>
      </c>
      <c r="P81">
        <v>4.3630628037765193E-3</v>
      </c>
      <c r="Q81" t="s">
        <v>166</v>
      </c>
      <c r="S81" t="s">
        <v>203</v>
      </c>
      <c r="T81" t="s">
        <v>240</v>
      </c>
      <c r="U81">
        <v>4.063712983423267E-3</v>
      </c>
      <c r="V81" t="s">
        <v>166</v>
      </c>
      <c r="AC81" t="s">
        <v>19</v>
      </c>
      <c r="AD81" t="s">
        <v>240</v>
      </c>
      <c r="AE81">
        <v>3.4000372558469416E-3</v>
      </c>
      <c r="AK81">
        <v>2030</v>
      </c>
      <c r="AL81" t="s">
        <v>228</v>
      </c>
      <c r="AM81">
        <v>0.4834</v>
      </c>
      <c r="AN81" t="s">
        <v>221</v>
      </c>
    </row>
    <row r="82" spans="14:40" x14ac:dyDescent="0.45">
      <c r="N82" t="s">
        <v>179</v>
      </c>
      <c r="O82" t="s">
        <v>241</v>
      </c>
      <c r="P82">
        <v>4.5301263669307113E-3</v>
      </c>
      <c r="Q82" t="s">
        <v>166</v>
      </c>
      <c r="S82" t="s">
        <v>203</v>
      </c>
      <c r="T82" t="s">
        <v>241</v>
      </c>
      <c r="U82">
        <v>4.2429428981157723E-3</v>
      </c>
      <c r="V82" t="s">
        <v>166</v>
      </c>
      <c r="AC82" t="s">
        <v>19</v>
      </c>
      <c r="AD82" t="s">
        <v>241</v>
      </c>
      <c r="AE82">
        <v>3.3980624435049735E-3</v>
      </c>
      <c r="AK82">
        <v>2030</v>
      </c>
      <c r="AL82" t="s">
        <v>229</v>
      </c>
      <c r="AM82">
        <v>0.52675000000000005</v>
      </c>
      <c r="AN82" t="s">
        <v>221</v>
      </c>
    </row>
    <row r="83" spans="14:40" x14ac:dyDescent="0.45">
      <c r="N83" t="s">
        <v>179</v>
      </c>
      <c r="O83" t="s">
        <v>242</v>
      </c>
      <c r="P83">
        <v>5.1271631672337267E-2</v>
      </c>
      <c r="Q83" t="s">
        <v>166</v>
      </c>
      <c r="S83" t="s">
        <v>203</v>
      </c>
      <c r="T83" t="s">
        <v>242</v>
      </c>
      <c r="U83">
        <v>5.3994040448869178E-2</v>
      </c>
      <c r="V83" t="s">
        <v>166</v>
      </c>
      <c r="AC83" t="s">
        <v>19</v>
      </c>
      <c r="AD83" t="s">
        <v>242</v>
      </c>
      <c r="AE83">
        <v>6.9424454151485834E-2</v>
      </c>
      <c r="AK83">
        <v>2031</v>
      </c>
      <c r="AL83" t="s">
        <v>154</v>
      </c>
      <c r="AM83">
        <v>0.48880000000000001</v>
      </c>
      <c r="AN83" t="s">
        <v>221</v>
      </c>
    </row>
    <row r="84" spans="14:40" x14ac:dyDescent="0.45">
      <c r="N84" t="s">
        <v>179</v>
      </c>
      <c r="O84" t="s">
        <v>243</v>
      </c>
      <c r="P84">
        <v>0.1138159027547606</v>
      </c>
      <c r="Q84" t="s">
        <v>166</v>
      </c>
      <c r="S84" t="s">
        <v>203</v>
      </c>
      <c r="T84" t="s">
        <v>243</v>
      </c>
      <c r="U84">
        <v>0.11163618625664878</v>
      </c>
      <c r="V84" t="s">
        <v>166</v>
      </c>
      <c r="AC84" t="s">
        <v>19</v>
      </c>
      <c r="AD84" t="s">
        <v>243</v>
      </c>
      <c r="AE84">
        <v>0.16934061461455049</v>
      </c>
      <c r="AK84">
        <v>2031</v>
      </c>
      <c r="AL84" t="s">
        <v>158</v>
      </c>
      <c r="AM84">
        <v>0.59909999999999997</v>
      </c>
      <c r="AN84" t="s">
        <v>221</v>
      </c>
    </row>
    <row r="85" spans="14:40" x14ac:dyDescent="0.45">
      <c r="N85" t="s">
        <v>179</v>
      </c>
      <c r="O85" t="s">
        <v>244</v>
      </c>
      <c r="P85">
        <v>3.6157353434178419E-2</v>
      </c>
      <c r="Q85" t="s">
        <v>166</v>
      </c>
      <c r="S85" t="s">
        <v>203</v>
      </c>
      <c r="T85" t="s">
        <v>244</v>
      </c>
      <c r="U85">
        <v>3.6141385953176321E-2</v>
      </c>
      <c r="V85" t="s">
        <v>166</v>
      </c>
      <c r="AC85" t="s">
        <v>19</v>
      </c>
      <c r="AD85" t="s">
        <v>244</v>
      </c>
      <c r="AE85">
        <v>5.6341983189019201E-2</v>
      </c>
      <c r="AK85">
        <v>2031</v>
      </c>
      <c r="AL85" t="s">
        <v>160</v>
      </c>
      <c r="AM85">
        <v>0.55879999999999996</v>
      </c>
      <c r="AN85" t="s">
        <v>221</v>
      </c>
    </row>
    <row r="86" spans="14:40" x14ac:dyDescent="0.45">
      <c r="N86" t="s">
        <v>179</v>
      </c>
      <c r="O86" t="s">
        <v>245</v>
      </c>
      <c r="P86">
        <v>1.0266343433900512E-2</v>
      </c>
      <c r="Q86" t="s">
        <v>166</v>
      </c>
      <c r="S86" t="s">
        <v>203</v>
      </c>
      <c r="T86" t="s">
        <v>245</v>
      </c>
      <c r="U86">
        <v>9.5719554163764629E-3</v>
      </c>
      <c r="V86" t="s">
        <v>166</v>
      </c>
      <c r="AC86" t="s">
        <v>19</v>
      </c>
      <c r="AD86" t="s">
        <v>245</v>
      </c>
      <c r="AE86">
        <v>1.3908756274474439E-2</v>
      </c>
      <c r="AK86">
        <v>2031</v>
      </c>
      <c r="AL86" t="s">
        <v>162</v>
      </c>
      <c r="AM86">
        <v>0.57130000000000003</v>
      </c>
      <c r="AN86" t="s">
        <v>221</v>
      </c>
    </row>
    <row r="87" spans="14:40" x14ac:dyDescent="0.45">
      <c r="N87" t="s">
        <v>179</v>
      </c>
      <c r="O87" t="s">
        <v>246</v>
      </c>
      <c r="P87">
        <v>1.0468787773733149E-2</v>
      </c>
      <c r="Q87" t="s">
        <v>166</v>
      </c>
      <c r="S87" t="s">
        <v>203</v>
      </c>
      <c r="T87" t="s">
        <v>246</v>
      </c>
      <c r="U87">
        <v>9.8578998455091695E-3</v>
      </c>
      <c r="V87" t="s">
        <v>166</v>
      </c>
      <c r="AC87" t="s">
        <v>19</v>
      </c>
      <c r="AD87" t="s">
        <v>246</v>
      </c>
      <c r="AE87">
        <v>1.3871454013799864E-2</v>
      </c>
      <c r="AK87">
        <v>2031</v>
      </c>
      <c r="AL87" t="s">
        <v>224</v>
      </c>
      <c r="AM87">
        <v>0.52689999999999992</v>
      </c>
      <c r="AN87" t="s">
        <v>221</v>
      </c>
    </row>
    <row r="88" spans="14:40" x14ac:dyDescent="0.45">
      <c r="N88" t="s">
        <v>179</v>
      </c>
      <c r="O88" t="s">
        <v>247</v>
      </c>
      <c r="P88">
        <v>1.0793620271523576E-2</v>
      </c>
      <c r="Q88" t="s">
        <v>166</v>
      </c>
      <c r="S88" t="s">
        <v>203</v>
      </c>
      <c r="T88" t="s">
        <v>247</v>
      </c>
      <c r="U88">
        <v>1.0957021136608042E-2</v>
      </c>
      <c r="V88" t="s">
        <v>166</v>
      </c>
      <c r="AC88" t="s">
        <v>19</v>
      </c>
      <c r="AD88" t="s">
        <v>247</v>
      </c>
      <c r="AE88">
        <v>1.3838980321037121E-2</v>
      </c>
      <c r="AK88">
        <v>2031</v>
      </c>
      <c r="AL88" t="s">
        <v>226</v>
      </c>
      <c r="AM88">
        <v>0.4602</v>
      </c>
      <c r="AN88" t="s">
        <v>221</v>
      </c>
    </row>
    <row r="89" spans="14:40" x14ac:dyDescent="0.45">
      <c r="N89" t="s">
        <v>179</v>
      </c>
      <c r="O89" t="s">
        <v>248</v>
      </c>
      <c r="P89">
        <v>1.2806525622260052E-2</v>
      </c>
      <c r="Q89" t="s">
        <v>166</v>
      </c>
      <c r="S89" t="s">
        <v>203</v>
      </c>
      <c r="T89" t="s">
        <v>248</v>
      </c>
      <c r="U89">
        <v>1.4107438262252246E-2</v>
      </c>
      <c r="V89" t="s">
        <v>166</v>
      </c>
      <c r="AC89" t="s">
        <v>19</v>
      </c>
      <c r="AD89" t="s">
        <v>248</v>
      </c>
      <c r="AE89">
        <v>1.6966274047515689E-2</v>
      </c>
      <c r="AK89">
        <v>2031</v>
      </c>
      <c r="AL89" t="s">
        <v>228</v>
      </c>
      <c r="AM89">
        <v>0.48899999999999999</v>
      </c>
      <c r="AN89" t="s">
        <v>221</v>
      </c>
    </row>
    <row r="90" spans="14:40" x14ac:dyDescent="0.45">
      <c r="N90" t="s">
        <v>179</v>
      </c>
      <c r="O90" t="s">
        <v>249</v>
      </c>
      <c r="P90">
        <v>3.1762587637288953E-2</v>
      </c>
      <c r="Q90" t="s">
        <v>166</v>
      </c>
      <c r="S90" t="s">
        <v>203</v>
      </c>
      <c r="T90" t="s">
        <v>249</v>
      </c>
      <c r="U90">
        <v>2.9914648931890393E-2</v>
      </c>
      <c r="V90" t="s">
        <v>166</v>
      </c>
      <c r="AC90" t="s">
        <v>19</v>
      </c>
      <c r="AD90" t="s">
        <v>249</v>
      </c>
      <c r="AE90">
        <v>4.1253112835849461E-2</v>
      </c>
      <c r="AK90">
        <v>2031</v>
      </c>
      <c r="AL90" t="s">
        <v>229</v>
      </c>
      <c r="AM90">
        <v>0.54004999999999992</v>
      </c>
      <c r="AN90" t="s">
        <v>221</v>
      </c>
    </row>
    <row r="91" spans="14:40" x14ac:dyDescent="0.45">
      <c r="N91" t="s">
        <v>179</v>
      </c>
      <c r="O91" t="s">
        <v>250</v>
      </c>
      <c r="P91">
        <v>1.0531905961062989E-2</v>
      </c>
      <c r="Q91" t="s">
        <v>166</v>
      </c>
      <c r="S91" t="s">
        <v>203</v>
      </c>
      <c r="T91" t="s">
        <v>250</v>
      </c>
      <c r="U91">
        <v>1.0441223406312006E-2</v>
      </c>
      <c r="V91" t="s">
        <v>166</v>
      </c>
      <c r="AC91" t="s">
        <v>19</v>
      </c>
      <c r="AD91" t="s">
        <v>250</v>
      </c>
      <c r="AE91">
        <v>1.3731591836008793E-2</v>
      </c>
      <c r="AK91">
        <v>2032</v>
      </c>
      <c r="AL91" t="s">
        <v>154</v>
      </c>
      <c r="AM91">
        <v>0.54469999999999996</v>
      </c>
      <c r="AN91" t="s">
        <v>221</v>
      </c>
    </row>
    <row r="92" spans="14:40" x14ac:dyDescent="0.45">
      <c r="N92" t="s">
        <v>179</v>
      </c>
      <c r="O92" t="s">
        <v>251</v>
      </c>
      <c r="P92">
        <v>2.7972671524808118E-3</v>
      </c>
      <c r="Q92" t="s">
        <v>166</v>
      </c>
      <c r="S92" t="s">
        <v>203</v>
      </c>
      <c r="T92" t="s">
        <v>251</v>
      </c>
      <c r="U92">
        <v>2.8827726851812039E-3</v>
      </c>
      <c r="V92" t="s">
        <v>166</v>
      </c>
      <c r="AC92" t="s">
        <v>19</v>
      </c>
      <c r="AD92" t="s">
        <v>251</v>
      </c>
      <c r="AE92">
        <v>3.3987119005007035E-3</v>
      </c>
      <c r="AK92">
        <v>2032</v>
      </c>
      <c r="AL92" t="s">
        <v>158</v>
      </c>
      <c r="AM92">
        <v>0.5323</v>
      </c>
      <c r="AN92" t="s">
        <v>221</v>
      </c>
    </row>
    <row r="93" spans="14:40" x14ac:dyDescent="0.45">
      <c r="N93" t="s">
        <v>179</v>
      </c>
      <c r="O93" t="s">
        <v>252</v>
      </c>
      <c r="P93">
        <v>2.7397479704039519E-3</v>
      </c>
      <c r="Q93" t="s">
        <v>166</v>
      </c>
      <c r="S93" t="s">
        <v>203</v>
      </c>
      <c r="T93" t="s">
        <v>252</v>
      </c>
      <c r="U93">
        <v>2.8661600123650794E-3</v>
      </c>
      <c r="V93" t="s">
        <v>166</v>
      </c>
      <c r="AC93" t="s">
        <v>19</v>
      </c>
      <c r="AD93" t="s">
        <v>252</v>
      </c>
      <c r="AE93">
        <v>3.3901157907731167E-3</v>
      </c>
      <c r="AK93">
        <v>2032</v>
      </c>
      <c r="AL93" t="s">
        <v>160</v>
      </c>
      <c r="AM93">
        <v>0.53849999999999998</v>
      </c>
      <c r="AN93" t="s">
        <v>221</v>
      </c>
    </row>
    <row r="94" spans="14:40" x14ac:dyDescent="0.45">
      <c r="N94" t="s">
        <v>179</v>
      </c>
      <c r="O94" t="s">
        <v>253</v>
      </c>
      <c r="P94">
        <v>2.9612557912864486E-3</v>
      </c>
      <c r="Q94" t="s">
        <v>166</v>
      </c>
      <c r="S94" t="s">
        <v>203</v>
      </c>
      <c r="T94" t="s">
        <v>253</v>
      </c>
      <c r="U94">
        <v>2.9543356543767548E-3</v>
      </c>
      <c r="V94" t="s">
        <v>166</v>
      </c>
      <c r="AC94" t="s">
        <v>19</v>
      </c>
      <c r="AD94" t="s">
        <v>253</v>
      </c>
      <c r="AE94">
        <v>3.3831471871759613E-3</v>
      </c>
      <c r="AK94">
        <v>2032</v>
      </c>
      <c r="AL94" t="s">
        <v>162</v>
      </c>
      <c r="AM94">
        <v>0.50960000000000005</v>
      </c>
      <c r="AN94" t="s">
        <v>221</v>
      </c>
    </row>
    <row r="95" spans="14:40" x14ac:dyDescent="0.45">
      <c r="N95" t="s">
        <v>179</v>
      </c>
      <c r="O95" t="s">
        <v>254</v>
      </c>
      <c r="P95">
        <v>1.9271608291830288E-2</v>
      </c>
      <c r="Q95" t="s">
        <v>166</v>
      </c>
      <c r="S95" t="s">
        <v>203</v>
      </c>
      <c r="T95" t="s">
        <v>254</v>
      </c>
      <c r="U95">
        <v>2.0469306424248976E-2</v>
      </c>
      <c r="V95" t="s">
        <v>166</v>
      </c>
      <c r="AC95" t="s">
        <v>19</v>
      </c>
      <c r="AD95" t="s">
        <v>254</v>
      </c>
      <c r="AE95">
        <v>1.7548212040717059E-2</v>
      </c>
      <c r="AK95">
        <v>2032</v>
      </c>
      <c r="AL95" t="s">
        <v>224</v>
      </c>
      <c r="AM95">
        <v>0.50707500000000005</v>
      </c>
      <c r="AN95" t="s">
        <v>221</v>
      </c>
    </row>
    <row r="96" spans="14:40" x14ac:dyDescent="0.45">
      <c r="N96" t="s">
        <v>179</v>
      </c>
      <c r="O96" t="s">
        <v>255</v>
      </c>
      <c r="P96">
        <v>4.9277638063872857E-2</v>
      </c>
      <c r="Q96" t="s">
        <v>166</v>
      </c>
      <c r="S96" t="s">
        <v>203</v>
      </c>
      <c r="T96" t="s">
        <v>255</v>
      </c>
      <c r="U96">
        <v>5.1386857621024039E-2</v>
      </c>
      <c r="V96" t="s">
        <v>166</v>
      </c>
      <c r="AC96" t="s">
        <v>19</v>
      </c>
      <c r="AD96" t="s">
        <v>255</v>
      </c>
      <c r="AE96">
        <v>4.2629151339679691E-2</v>
      </c>
      <c r="AK96">
        <v>2032</v>
      </c>
      <c r="AL96" t="s">
        <v>226</v>
      </c>
      <c r="AM96">
        <v>0.47970000000000002</v>
      </c>
      <c r="AN96" t="s">
        <v>221</v>
      </c>
    </row>
    <row r="97" spans="14:40" x14ac:dyDescent="0.45">
      <c r="N97" t="s">
        <v>179</v>
      </c>
      <c r="O97" t="s">
        <v>256</v>
      </c>
      <c r="P97">
        <v>1.8609985683860839E-2</v>
      </c>
      <c r="Q97" t="s">
        <v>166</v>
      </c>
      <c r="S97" t="s">
        <v>203</v>
      </c>
      <c r="T97" t="s">
        <v>256</v>
      </c>
      <c r="U97">
        <v>1.955286534051363E-2</v>
      </c>
      <c r="V97" t="s">
        <v>166</v>
      </c>
      <c r="AC97" t="s">
        <v>19</v>
      </c>
      <c r="AD97" t="s">
        <v>256</v>
      </c>
      <c r="AE97">
        <v>1.4208130819267943E-2</v>
      </c>
      <c r="AK97">
        <v>2032</v>
      </c>
      <c r="AL97" t="s">
        <v>228</v>
      </c>
      <c r="AM97">
        <v>0.4839</v>
      </c>
      <c r="AN97" t="s">
        <v>221</v>
      </c>
    </row>
    <row r="98" spans="14:40" x14ac:dyDescent="0.45">
      <c r="N98" t="s">
        <v>179</v>
      </c>
      <c r="O98" t="s">
        <v>257</v>
      </c>
      <c r="P98">
        <v>4.2945610069457909E-3</v>
      </c>
      <c r="Q98" t="s">
        <v>166</v>
      </c>
      <c r="S98" t="s">
        <v>203</v>
      </c>
      <c r="T98" t="s">
        <v>257</v>
      </c>
      <c r="U98">
        <v>4.6793132417285834E-3</v>
      </c>
      <c r="V98" t="s">
        <v>166</v>
      </c>
      <c r="AC98" t="s">
        <v>19</v>
      </c>
      <c r="AD98" t="s">
        <v>257</v>
      </c>
      <c r="AE98">
        <v>3.5106894970323003E-3</v>
      </c>
      <c r="AK98">
        <v>2032</v>
      </c>
      <c r="AL98" t="s">
        <v>229</v>
      </c>
      <c r="AM98">
        <v>0.56559999999999999</v>
      </c>
      <c r="AN98" t="s">
        <v>221</v>
      </c>
    </row>
    <row r="99" spans="14:40" x14ac:dyDescent="0.45">
      <c r="N99" t="s">
        <v>179</v>
      </c>
      <c r="O99" t="s">
        <v>258</v>
      </c>
      <c r="P99">
        <v>4.1145510164912504E-3</v>
      </c>
      <c r="Q99" t="s">
        <v>166</v>
      </c>
      <c r="S99" t="s">
        <v>203</v>
      </c>
      <c r="T99" t="s">
        <v>258</v>
      </c>
      <c r="U99">
        <v>4.5344638204504305E-3</v>
      </c>
      <c r="V99" t="s">
        <v>166</v>
      </c>
      <c r="AC99" t="s">
        <v>19</v>
      </c>
      <c r="AD99" t="s">
        <v>258</v>
      </c>
      <c r="AE99">
        <v>3.5021945444537036E-3</v>
      </c>
      <c r="AK99">
        <v>2033</v>
      </c>
      <c r="AL99" t="s">
        <v>154</v>
      </c>
      <c r="AM99">
        <v>0.48370000000000002</v>
      </c>
      <c r="AN99" t="s">
        <v>221</v>
      </c>
    </row>
    <row r="100" spans="14:40" x14ac:dyDescent="0.45">
      <c r="N100" t="s">
        <v>179</v>
      </c>
      <c r="O100" t="s">
        <v>259</v>
      </c>
      <c r="P100">
        <v>3.9759249044621688E-3</v>
      </c>
      <c r="Q100" t="s">
        <v>166</v>
      </c>
      <c r="S100" t="s">
        <v>203</v>
      </c>
      <c r="T100" t="s">
        <v>259</v>
      </c>
      <c r="U100">
        <v>4.408093782667084E-3</v>
      </c>
      <c r="V100" t="s">
        <v>166</v>
      </c>
      <c r="AC100" t="s">
        <v>19</v>
      </c>
      <c r="AD100" t="s">
        <v>259</v>
      </c>
      <c r="AE100">
        <v>3.498778804722776E-3</v>
      </c>
      <c r="AK100">
        <v>2033</v>
      </c>
      <c r="AL100" t="s">
        <v>158</v>
      </c>
      <c r="AM100">
        <v>0.55820000000000003</v>
      </c>
      <c r="AN100" t="s">
        <v>221</v>
      </c>
    </row>
    <row r="101" spans="14:40" x14ac:dyDescent="0.45">
      <c r="N101" t="s">
        <v>179</v>
      </c>
      <c r="O101" t="s">
        <v>260</v>
      </c>
      <c r="P101">
        <v>5.8389341017726769E-2</v>
      </c>
      <c r="Q101" t="s">
        <v>166</v>
      </c>
      <c r="S101" t="s">
        <v>203</v>
      </c>
      <c r="T101" t="s">
        <v>260</v>
      </c>
      <c r="U101">
        <v>5.5110702542916432E-2</v>
      </c>
      <c r="V101" t="s">
        <v>166</v>
      </c>
      <c r="AC101" t="s">
        <v>19</v>
      </c>
      <c r="AD101" t="s">
        <v>260</v>
      </c>
      <c r="AE101">
        <v>3.4587096970770538E-2</v>
      </c>
      <c r="AK101">
        <v>2033</v>
      </c>
      <c r="AL101" t="s">
        <v>160</v>
      </c>
      <c r="AM101">
        <v>0.5353</v>
      </c>
      <c r="AN101" t="s">
        <v>221</v>
      </c>
    </row>
    <row r="102" spans="14:40" x14ac:dyDescent="0.45">
      <c r="N102" t="s">
        <v>179</v>
      </c>
      <c r="O102" t="s">
        <v>261</v>
      </c>
      <c r="P102">
        <v>0.13309025870599864</v>
      </c>
      <c r="Q102" t="s">
        <v>166</v>
      </c>
      <c r="S102" t="s">
        <v>203</v>
      </c>
      <c r="T102" t="s">
        <v>261</v>
      </c>
      <c r="U102">
        <v>0.13249013621409367</v>
      </c>
      <c r="V102" t="s">
        <v>166</v>
      </c>
      <c r="AC102" t="s">
        <v>19</v>
      </c>
      <c r="AD102" t="s">
        <v>261</v>
      </c>
      <c r="AE102">
        <v>8.3854429999206476E-2</v>
      </c>
      <c r="AK102">
        <v>2033</v>
      </c>
      <c r="AL102" t="s">
        <v>162</v>
      </c>
      <c r="AM102">
        <v>0.50580000000000003</v>
      </c>
      <c r="AN102" t="s">
        <v>221</v>
      </c>
    </row>
    <row r="103" spans="14:40" x14ac:dyDescent="0.45">
      <c r="N103" t="s">
        <v>179</v>
      </c>
      <c r="O103" t="s">
        <v>262</v>
      </c>
      <c r="P103">
        <v>4.7007437056823691E-2</v>
      </c>
      <c r="Q103" t="s">
        <v>166</v>
      </c>
      <c r="S103" t="s">
        <v>203</v>
      </c>
      <c r="T103" t="s">
        <v>262</v>
      </c>
      <c r="U103">
        <v>4.6334218229350514E-2</v>
      </c>
      <c r="V103" t="s">
        <v>166</v>
      </c>
      <c r="AC103" t="s">
        <v>19</v>
      </c>
      <c r="AD103" t="s">
        <v>262</v>
      </c>
      <c r="AE103">
        <v>2.7947444992030709E-2</v>
      </c>
      <c r="AK103">
        <v>2033</v>
      </c>
      <c r="AL103" t="s">
        <v>224</v>
      </c>
      <c r="AM103">
        <v>0.50167499999999998</v>
      </c>
      <c r="AN103" t="s">
        <v>221</v>
      </c>
    </row>
    <row r="104" spans="14:40" x14ac:dyDescent="0.45">
      <c r="N104" t="s">
        <v>179</v>
      </c>
      <c r="O104" t="s">
        <v>263</v>
      </c>
      <c r="P104">
        <v>1.1881628166074286E-2</v>
      </c>
      <c r="Q104" t="s">
        <v>166</v>
      </c>
      <c r="S104" t="s">
        <v>203</v>
      </c>
      <c r="T104" t="s">
        <v>263</v>
      </c>
      <c r="U104">
        <v>1.1631383076645463E-2</v>
      </c>
      <c r="V104" t="s">
        <v>166</v>
      </c>
      <c r="AC104" t="s">
        <v>19</v>
      </c>
      <c r="AD104" t="s">
        <v>263</v>
      </c>
      <c r="AE104">
        <v>6.9448858080417971E-3</v>
      </c>
      <c r="AK104">
        <v>2033</v>
      </c>
      <c r="AL104" t="s">
        <v>226</v>
      </c>
      <c r="AM104">
        <v>0.49259999999999998</v>
      </c>
      <c r="AN104" t="s">
        <v>221</v>
      </c>
    </row>
    <row r="105" spans="14:40" x14ac:dyDescent="0.45">
      <c r="N105" t="s">
        <v>179</v>
      </c>
      <c r="O105" t="s">
        <v>264</v>
      </c>
      <c r="P105">
        <v>1.1939659834897755E-2</v>
      </c>
      <c r="Q105" t="s">
        <v>166</v>
      </c>
      <c r="S105" t="s">
        <v>203</v>
      </c>
      <c r="T105" t="s">
        <v>264</v>
      </c>
      <c r="U105">
        <v>1.1436089013342733E-2</v>
      </c>
      <c r="V105" t="s">
        <v>166</v>
      </c>
      <c r="AC105" t="s">
        <v>19</v>
      </c>
      <c r="AD105" t="s">
        <v>264</v>
      </c>
      <c r="AE105">
        <v>6.921565713294415E-3</v>
      </c>
      <c r="AK105">
        <v>2033</v>
      </c>
      <c r="AL105" t="s">
        <v>228</v>
      </c>
      <c r="AM105">
        <v>0.54610000000000003</v>
      </c>
      <c r="AN105" t="s">
        <v>221</v>
      </c>
    </row>
    <row r="106" spans="14:40" x14ac:dyDescent="0.45">
      <c r="N106" t="s">
        <v>179</v>
      </c>
      <c r="O106" t="s">
        <v>265</v>
      </c>
      <c r="P106">
        <v>1.2117427989950099E-2</v>
      </c>
      <c r="Q106" t="s">
        <v>166</v>
      </c>
      <c r="S106" t="s">
        <v>203</v>
      </c>
      <c r="T106" t="s">
        <v>265</v>
      </c>
      <c r="U106">
        <v>1.1543720113277313E-2</v>
      </c>
      <c r="V106" t="s">
        <v>166</v>
      </c>
      <c r="AC106" t="s">
        <v>19</v>
      </c>
      <c r="AD106" t="s">
        <v>265</v>
      </c>
      <c r="AE106">
        <v>6.9115803787206864E-3</v>
      </c>
      <c r="AK106">
        <v>2033</v>
      </c>
      <c r="AL106" t="s">
        <v>229</v>
      </c>
      <c r="AM106">
        <v>0.53665000000000007</v>
      </c>
      <c r="AN106" t="s">
        <v>221</v>
      </c>
    </row>
    <row r="107" spans="14:40" x14ac:dyDescent="0.45">
      <c r="N107" t="s">
        <v>180</v>
      </c>
      <c r="O107" t="s">
        <v>165</v>
      </c>
      <c r="P107">
        <v>1.9514258055625348E-2</v>
      </c>
      <c r="Q107" t="s">
        <v>166</v>
      </c>
      <c r="S107" t="s">
        <v>204</v>
      </c>
      <c r="T107" t="s">
        <v>165</v>
      </c>
      <c r="U107">
        <v>1.7032342079466439E-2</v>
      </c>
      <c r="V107" t="s">
        <v>166</v>
      </c>
      <c r="AK107">
        <v>2034</v>
      </c>
      <c r="AL107" t="s">
        <v>154</v>
      </c>
      <c r="AM107">
        <v>0.62749999999999995</v>
      </c>
      <c r="AN107" t="s">
        <v>221</v>
      </c>
    </row>
    <row r="108" spans="14:40" x14ac:dyDescent="0.45">
      <c r="N108" t="s">
        <v>180</v>
      </c>
      <c r="O108" t="s">
        <v>167</v>
      </c>
      <c r="P108">
        <v>4.3822720139598467E-2</v>
      </c>
      <c r="Q108" t="s">
        <v>166</v>
      </c>
      <c r="S108" t="s">
        <v>204</v>
      </c>
      <c r="T108" t="s">
        <v>167</v>
      </c>
      <c r="U108">
        <v>3.6740756500510022E-2</v>
      </c>
      <c r="V108" t="s">
        <v>166</v>
      </c>
      <c r="AK108">
        <v>2034</v>
      </c>
      <c r="AL108" t="s">
        <v>158</v>
      </c>
      <c r="AM108">
        <v>0.61980000000000002</v>
      </c>
      <c r="AN108" t="s">
        <v>221</v>
      </c>
    </row>
    <row r="109" spans="14:40" x14ac:dyDescent="0.45">
      <c r="N109" t="s">
        <v>180</v>
      </c>
      <c r="O109" t="s">
        <v>168</v>
      </c>
      <c r="P109">
        <v>1.466665872676627E-2</v>
      </c>
      <c r="Q109" t="s">
        <v>166</v>
      </c>
      <c r="S109" t="s">
        <v>204</v>
      </c>
      <c r="T109" t="s">
        <v>168</v>
      </c>
      <c r="U109">
        <v>1.3421380679690972E-2</v>
      </c>
      <c r="V109" t="s">
        <v>166</v>
      </c>
      <c r="AK109">
        <v>2034</v>
      </c>
      <c r="AL109" t="s">
        <v>160</v>
      </c>
      <c r="AM109">
        <v>0.58860000000000001</v>
      </c>
      <c r="AN109" t="s">
        <v>221</v>
      </c>
    </row>
    <row r="110" spans="14:40" x14ac:dyDescent="0.45">
      <c r="N110" t="s">
        <v>180</v>
      </c>
      <c r="O110" t="s">
        <v>230</v>
      </c>
      <c r="P110">
        <v>3.6310481221088209E-3</v>
      </c>
      <c r="Q110" t="s">
        <v>166</v>
      </c>
      <c r="S110" t="s">
        <v>204</v>
      </c>
      <c r="T110" t="s">
        <v>230</v>
      </c>
      <c r="U110">
        <v>3.4506919854517008E-3</v>
      </c>
      <c r="V110" t="s">
        <v>166</v>
      </c>
      <c r="AK110">
        <v>2034</v>
      </c>
      <c r="AL110" t="s">
        <v>162</v>
      </c>
      <c r="AM110">
        <v>0.58789999999999998</v>
      </c>
      <c r="AN110" t="s">
        <v>221</v>
      </c>
    </row>
    <row r="111" spans="14:40" x14ac:dyDescent="0.45">
      <c r="N111" t="s">
        <v>180</v>
      </c>
      <c r="O111" t="s">
        <v>231</v>
      </c>
      <c r="P111">
        <v>3.587837162827485E-3</v>
      </c>
      <c r="Q111" t="s">
        <v>166</v>
      </c>
      <c r="S111" t="s">
        <v>204</v>
      </c>
      <c r="T111" t="s">
        <v>231</v>
      </c>
      <c r="U111">
        <v>3.4343110891405172E-3</v>
      </c>
      <c r="V111" t="s">
        <v>166</v>
      </c>
      <c r="AK111">
        <v>2034</v>
      </c>
      <c r="AL111" t="s">
        <v>224</v>
      </c>
      <c r="AM111">
        <v>0.56045</v>
      </c>
      <c r="AN111" t="s">
        <v>221</v>
      </c>
    </row>
    <row r="112" spans="14:40" x14ac:dyDescent="0.45">
      <c r="N112" t="s">
        <v>180</v>
      </c>
      <c r="O112" t="s">
        <v>232</v>
      </c>
      <c r="P112">
        <v>3.7569592023359326E-3</v>
      </c>
      <c r="Q112" t="s">
        <v>166</v>
      </c>
      <c r="S112" t="s">
        <v>204</v>
      </c>
      <c r="T112" t="s">
        <v>232</v>
      </c>
      <c r="U112">
        <v>3.4978594221405754E-3</v>
      </c>
      <c r="V112" t="s">
        <v>166</v>
      </c>
      <c r="AK112">
        <v>2034</v>
      </c>
      <c r="AL112" t="s">
        <v>226</v>
      </c>
      <c r="AM112">
        <v>0.55100000000000005</v>
      </c>
      <c r="AN112" t="s">
        <v>221</v>
      </c>
    </row>
    <row r="113" spans="14:40" x14ac:dyDescent="0.45">
      <c r="N113" t="s">
        <v>180</v>
      </c>
      <c r="O113" t="s">
        <v>169</v>
      </c>
      <c r="P113">
        <v>1.4093047884194571E-2</v>
      </c>
      <c r="Q113" t="s">
        <v>166</v>
      </c>
      <c r="S113" t="s">
        <v>204</v>
      </c>
      <c r="T113" t="s">
        <v>169</v>
      </c>
      <c r="U113">
        <v>1.7015433437965074E-2</v>
      </c>
      <c r="V113" t="s">
        <v>166</v>
      </c>
      <c r="AK113">
        <v>2034</v>
      </c>
      <c r="AL113" t="s">
        <v>228</v>
      </c>
      <c r="AM113">
        <v>0.61129999999999995</v>
      </c>
      <c r="AN113" t="s">
        <v>221</v>
      </c>
    </row>
    <row r="114" spans="14:40" x14ac:dyDescent="0.45">
      <c r="N114" t="s">
        <v>180</v>
      </c>
      <c r="O114" t="s">
        <v>170</v>
      </c>
      <c r="P114">
        <v>3.6570818606065432E-2</v>
      </c>
      <c r="Q114" t="s">
        <v>166</v>
      </c>
      <c r="S114" t="s">
        <v>204</v>
      </c>
      <c r="T114" t="s">
        <v>170</v>
      </c>
      <c r="U114">
        <v>4.5380176287132611E-2</v>
      </c>
      <c r="V114" t="s">
        <v>166</v>
      </c>
      <c r="AK114">
        <v>2034</v>
      </c>
      <c r="AL114" t="s">
        <v>229</v>
      </c>
      <c r="AM114">
        <v>0.58260000000000001</v>
      </c>
      <c r="AN114" t="s">
        <v>221</v>
      </c>
    </row>
    <row r="115" spans="14:40" x14ac:dyDescent="0.45">
      <c r="N115" t="s">
        <v>180</v>
      </c>
      <c r="O115" t="s">
        <v>171</v>
      </c>
      <c r="P115">
        <v>1.3596741599752066E-2</v>
      </c>
      <c r="Q115" t="s">
        <v>166</v>
      </c>
      <c r="S115" t="s">
        <v>204</v>
      </c>
      <c r="T115" t="s">
        <v>171</v>
      </c>
      <c r="U115">
        <v>1.5620130718189273E-2</v>
      </c>
      <c r="V115" t="s">
        <v>166</v>
      </c>
      <c r="AK115">
        <v>2035</v>
      </c>
      <c r="AL115" t="s">
        <v>154</v>
      </c>
      <c r="AM115">
        <v>0.6069</v>
      </c>
      <c r="AN115" t="s">
        <v>221</v>
      </c>
    </row>
    <row r="116" spans="14:40" x14ac:dyDescent="0.45">
      <c r="N116" t="s">
        <v>180</v>
      </c>
      <c r="O116" t="s">
        <v>233</v>
      </c>
      <c r="P116">
        <v>3.0771215504283955E-3</v>
      </c>
      <c r="Q116" t="s">
        <v>166</v>
      </c>
      <c r="S116" t="s">
        <v>204</v>
      </c>
      <c r="T116" t="s">
        <v>233</v>
      </c>
      <c r="U116">
        <v>3.7880319886359889E-3</v>
      </c>
      <c r="V116" t="s">
        <v>166</v>
      </c>
      <c r="AK116">
        <v>2035</v>
      </c>
      <c r="AL116" t="s">
        <v>158</v>
      </c>
      <c r="AM116">
        <v>0.61619999999999997</v>
      </c>
      <c r="AN116" t="s">
        <v>221</v>
      </c>
    </row>
    <row r="117" spans="14:40" x14ac:dyDescent="0.45">
      <c r="N117" t="s">
        <v>180</v>
      </c>
      <c r="O117" t="s">
        <v>234</v>
      </c>
      <c r="P117">
        <v>2.9561041616090748E-3</v>
      </c>
      <c r="Q117" t="s">
        <v>166</v>
      </c>
      <c r="S117" t="s">
        <v>204</v>
      </c>
      <c r="T117" t="s">
        <v>234</v>
      </c>
      <c r="U117">
        <v>3.7246938439799864E-3</v>
      </c>
      <c r="V117" t="s">
        <v>166</v>
      </c>
      <c r="AK117">
        <v>2035</v>
      </c>
      <c r="AL117" t="s">
        <v>160</v>
      </c>
      <c r="AM117">
        <v>0.62370000000000003</v>
      </c>
      <c r="AN117" t="s">
        <v>221</v>
      </c>
    </row>
    <row r="118" spans="14:40" x14ac:dyDescent="0.45">
      <c r="N118" t="s">
        <v>180</v>
      </c>
      <c r="O118" t="s">
        <v>235</v>
      </c>
      <c r="P118">
        <v>2.7634957938324129E-3</v>
      </c>
      <c r="Q118" t="s">
        <v>166</v>
      </c>
      <c r="S118" t="s">
        <v>204</v>
      </c>
      <c r="T118" t="s">
        <v>235</v>
      </c>
      <c r="U118">
        <v>3.6036945923702242E-3</v>
      </c>
      <c r="V118" t="s">
        <v>166</v>
      </c>
      <c r="AK118">
        <v>2035</v>
      </c>
      <c r="AL118" t="s">
        <v>162</v>
      </c>
      <c r="AM118">
        <v>0.55510000000000004</v>
      </c>
      <c r="AN118" t="s">
        <v>221</v>
      </c>
    </row>
    <row r="119" spans="14:40" x14ac:dyDescent="0.45">
      <c r="N119" t="s">
        <v>180</v>
      </c>
      <c r="O119" t="s">
        <v>172</v>
      </c>
      <c r="P119">
        <v>1.7690646715612317E-2</v>
      </c>
      <c r="Q119" t="s">
        <v>166</v>
      </c>
      <c r="S119" t="s">
        <v>204</v>
      </c>
      <c r="T119" t="s">
        <v>172</v>
      </c>
      <c r="U119">
        <v>1.3587177168290891E-2</v>
      </c>
      <c r="V119" t="s">
        <v>166</v>
      </c>
      <c r="AK119">
        <v>2035</v>
      </c>
      <c r="AL119" t="s">
        <v>224</v>
      </c>
      <c r="AM119">
        <v>0.58332499999999998</v>
      </c>
      <c r="AN119" t="s">
        <v>221</v>
      </c>
    </row>
    <row r="120" spans="14:40" x14ac:dyDescent="0.45">
      <c r="N120" t="s">
        <v>180</v>
      </c>
      <c r="O120" t="s">
        <v>173</v>
      </c>
      <c r="P120">
        <v>3.7043152195428725E-2</v>
      </c>
      <c r="Q120" t="s">
        <v>166</v>
      </c>
      <c r="S120" t="s">
        <v>204</v>
      </c>
      <c r="T120" t="s">
        <v>173</v>
      </c>
      <c r="U120">
        <v>3.4093708905352738E-2</v>
      </c>
      <c r="V120" t="s">
        <v>166</v>
      </c>
      <c r="AK120">
        <v>2035</v>
      </c>
      <c r="AL120" t="s">
        <v>226</v>
      </c>
      <c r="AM120">
        <v>0.57950000000000002</v>
      </c>
      <c r="AN120" t="s">
        <v>221</v>
      </c>
    </row>
    <row r="121" spans="14:40" x14ac:dyDescent="0.45">
      <c r="N121" t="s">
        <v>180</v>
      </c>
      <c r="O121" t="s">
        <v>174</v>
      </c>
      <c r="P121">
        <v>1.5886548136257176E-2</v>
      </c>
      <c r="Q121" t="s">
        <v>166</v>
      </c>
      <c r="S121" t="s">
        <v>204</v>
      </c>
      <c r="T121" t="s">
        <v>174</v>
      </c>
      <c r="U121">
        <v>1.2137514986982244E-2</v>
      </c>
      <c r="V121" t="s">
        <v>166</v>
      </c>
      <c r="AK121">
        <v>2035</v>
      </c>
      <c r="AL121" t="s">
        <v>228</v>
      </c>
      <c r="AM121">
        <v>0.58199999999999996</v>
      </c>
      <c r="AN121" t="s">
        <v>221</v>
      </c>
    </row>
    <row r="122" spans="14:40" x14ac:dyDescent="0.45">
      <c r="N122" t="s">
        <v>180</v>
      </c>
      <c r="O122" t="s">
        <v>236</v>
      </c>
      <c r="P122">
        <v>3.6074614435094234E-3</v>
      </c>
      <c r="Q122" t="s">
        <v>166</v>
      </c>
      <c r="S122" t="s">
        <v>204</v>
      </c>
      <c r="T122" t="s">
        <v>236</v>
      </c>
      <c r="U122">
        <v>2.8047239650401817E-3</v>
      </c>
      <c r="V122" t="s">
        <v>166</v>
      </c>
      <c r="AK122">
        <v>2035</v>
      </c>
      <c r="AL122" t="s">
        <v>229</v>
      </c>
      <c r="AM122">
        <v>0.66800000000000004</v>
      </c>
      <c r="AN122" t="s">
        <v>221</v>
      </c>
    </row>
    <row r="123" spans="14:40" x14ac:dyDescent="0.45">
      <c r="N123" t="s">
        <v>180</v>
      </c>
      <c r="O123" t="s">
        <v>237</v>
      </c>
      <c r="P123">
        <v>3.3690217669202333E-3</v>
      </c>
      <c r="Q123" t="s">
        <v>166</v>
      </c>
      <c r="S123" t="s">
        <v>204</v>
      </c>
      <c r="T123" t="s">
        <v>237</v>
      </c>
      <c r="U123">
        <v>2.7430688247887134E-3</v>
      </c>
      <c r="V123" t="s">
        <v>166</v>
      </c>
      <c r="AK123">
        <v>2036</v>
      </c>
      <c r="AL123" t="s">
        <v>154</v>
      </c>
      <c r="AM123">
        <v>0.56030000000000002</v>
      </c>
      <c r="AN123" t="s">
        <v>221</v>
      </c>
    </row>
    <row r="124" spans="14:40" x14ac:dyDescent="0.45">
      <c r="N124" t="s">
        <v>180</v>
      </c>
      <c r="O124" t="s">
        <v>238</v>
      </c>
      <c r="P124">
        <v>3.5100526963652164E-3</v>
      </c>
      <c r="Q124" t="s">
        <v>166</v>
      </c>
      <c r="S124" t="s">
        <v>204</v>
      </c>
      <c r="T124" t="s">
        <v>238</v>
      </c>
      <c r="U124">
        <v>2.7577027700643368E-3</v>
      </c>
      <c r="V124" t="s">
        <v>166</v>
      </c>
      <c r="AK124">
        <v>2036</v>
      </c>
      <c r="AL124" t="s">
        <v>158</v>
      </c>
      <c r="AM124">
        <v>0.66020000000000001</v>
      </c>
      <c r="AN124" t="s">
        <v>221</v>
      </c>
    </row>
    <row r="125" spans="14:40" x14ac:dyDescent="0.45">
      <c r="N125" t="s">
        <v>180</v>
      </c>
      <c r="O125" t="s">
        <v>175</v>
      </c>
      <c r="P125">
        <v>2.0088228263818432E-2</v>
      </c>
      <c r="Q125" t="s">
        <v>166</v>
      </c>
      <c r="S125" t="s">
        <v>204</v>
      </c>
      <c r="T125" t="s">
        <v>175</v>
      </c>
      <c r="U125">
        <v>1.6621824272414321E-2</v>
      </c>
      <c r="V125" t="s">
        <v>166</v>
      </c>
      <c r="AK125">
        <v>2036</v>
      </c>
      <c r="AL125" t="s">
        <v>160</v>
      </c>
      <c r="AM125">
        <v>0.64410000000000001</v>
      </c>
      <c r="AN125" t="s">
        <v>221</v>
      </c>
    </row>
    <row r="126" spans="14:40" x14ac:dyDescent="0.45">
      <c r="N126" t="s">
        <v>180</v>
      </c>
      <c r="O126" t="s">
        <v>176</v>
      </c>
      <c r="P126">
        <v>4.2182177305057772E-2</v>
      </c>
      <c r="Q126" t="s">
        <v>166</v>
      </c>
      <c r="S126" t="s">
        <v>204</v>
      </c>
      <c r="T126" t="s">
        <v>176</v>
      </c>
      <c r="U126">
        <v>4.2902246607680994E-2</v>
      </c>
      <c r="V126" t="s">
        <v>166</v>
      </c>
      <c r="AK126">
        <v>2036</v>
      </c>
      <c r="AL126" t="s">
        <v>162</v>
      </c>
      <c r="AM126">
        <v>0.59860000000000002</v>
      </c>
      <c r="AN126" t="s">
        <v>221</v>
      </c>
    </row>
    <row r="127" spans="14:40" x14ac:dyDescent="0.45">
      <c r="N127" t="s">
        <v>180</v>
      </c>
      <c r="O127" t="s">
        <v>177</v>
      </c>
      <c r="P127">
        <v>1.5412649185181555E-2</v>
      </c>
      <c r="Q127" t="s">
        <v>166</v>
      </c>
      <c r="S127" t="s">
        <v>204</v>
      </c>
      <c r="T127" t="s">
        <v>177</v>
      </c>
      <c r="U127">
        <v>1.5250127364112088E-2</v>
      </c>
      <c r="V127" t="s">
        <v>166</v>
      </c>
      <c r="AK127">
        <v>2036</v>
      </c>
      <c r="AL127" t="s">
        <v>224</v>
      </c>
      <c r="AM127">
        <v>0.59939999999999993</v>
      </c>
      <c r="AN127" t="s">
        <v>221</v>
      </c>
    </row>
    <row r="128" spans="14:40" x14ac:dyDescent="0.45">
      <c r="N128" t="s">
        <v>180</v>
      </c>
      <c r="O128" t="s">
        <v>239</v>
      </c>
      <c r="P128">
        <v>4.3666837221258206E-3</v>
      </c>
      <c r="Q128" t="s">
        <v>166</v>
      </c>
      <c r="S128" t="s">
        <v>204</v>
      </c>
      <c r="T128" t="s">
        <v>239</v>
      </c>
      <c r="U128">
        <v>3.8553464758795302E-3</v>
      </c>
      <c r="V128" t="s">
        <v>166</v>
      </c>
      <c r="AK128">
        <v>2036</v>
      </c>
      <c r="AL128" t="s">
        <v>226</v>
      </c>
      <c r="AM128">
        <v>0.52429999999999999</v>
      </c>
      <c r="AN128" t="s">
        <v>221</v>
      </c>
    </row>
    <row r="129" spans="14:40" x14ac:dyDescent="0.45">
      <c r="N129" t="s">
        <v>180</v>
      </c>
      <c r="O129" t="s">
        <v>240</v>
      </c>
      <c r="P129">
        <v>4.3407684931250452E-3</v>
      </c>
      <c r="Q129" t="s">
        <v>166</v>
      </c>
      <c r="S129" t="s">
        <v>204</v>
      </c>
      <c r="T129" t="s">
        <v>240</v>
      </c>
      <c r="U129">
        <v>3.781541444169052E-3</v>
      </c>
      <c r="V129" t="s">
        <v>166</v>
      </c>
      <c r="AK129">
        <v>2036</v>
      </c>
      <c r="AL129" t="s">
        <v>228</v>
      </c>
      <c r="AM129">
        <v>0.55349999999999999</v>
      </c>
      <c r="AN129" t="s">
        <v>221</v>
      </c>
    </row>
    <row r="130" spans="14:40" x14ac:dyDescent="0.45">
      <c r="N130" t="s">
        <v>180</v>
      </c>
      <c r="O130" t="s">
        <v>241</v>
      </c>
      <c r="P130">
        <v>4.5069073988428738E-3</v>
      </c>
      <c r="Q130" t="s">
        <v>166</v>
      </c>
      <c r="S130" t="s">
        <v>204</v>
      </c>
      <c r="T130" t="s">
        <v>241</v>
      </c>
      <c r="U130">
        <v>3.7993539329885216E-3</v>
      </c>
      <c r="V130" t="s">
        <v>166</v>
      </c>
      <c r="AK130">
        <v>2036</v>
      </c>
      <c r="AL130" t="s">
        <v>229</v>
      </c>
      <c r="AM130">
        <v>0.65549999999999997</v>
      </c>
      <c r="AN130" t="s">
        <v>221</v>
      </c>
    </row>
    <row r="131" spans="14:40" x14ac:dyDescent="0.45">
      <c r="N131" t="s">
        <v>180</v>
      </c>
      <c r="O131" t="s">
        <v>242</v>
      </c>
      <c r="P131">
        <v>4.9935361419126516E-2</v>
      </c>
      <c r="Q131" t="s">
        <v>166</v>
      </c>
      <c r="S131" t="s">
        <v>204</v>
      </c>
      <c r="T131" t="s">
        <v>242</v>
      </c>
      <c r="U131">
        <v>5.9223872210064206E-2</v>
      </c>
      <c r="V131" t="s">
        <v>166</v>
      </c>
      <c r="AK131">
        <v>2037</v>
      </c>
      <c r="AL131" t="s">
        <v>154</v>
      </c>
      <c r="AM131">
        <v>0.63429999999999997</v>
      </c>
      <c r="AN131" t="s">
        <v>221</v>
      </c>
    </row>
    <row r="132" spans="14:40" x14ac:dyDescent="0.45">
      <c r="N132" t="s">
        <v>180</v>
      </c>
      <c r="O132" t="s">
        <v>243</v>
      </c>
      <c r="P132">
        <v>0.10940356797184161</v>
      </c>
      <c r="Q132" t="s">
        <v>166</v>
      </c>
      <c r="S132" t="s">
        <v>204</v>
      </c>
      <c r="T132" t="s">
        <v>243</v>
      </c>
      <c r="U132">
        <v>0.13232388141440726</v>
      </c>
      <c r="V132" t="s">
        <v>166</v>
      </c>
      <c r="AK132">
        <v>2037</v>
      </c>
      <c r="AL132" t="s">
        <v>158</v>
      </c>
      <c r="AM132">
        <v>0.57869999999999999</v>
      </c>
      <c r="AN132" t="s">
        <v>221</v>
      </c>
    </row>
    <row r="133" spans="14:40" x14ac:dyDescent="0.45">
      <c r="N133" t="s">
        <v>180</v>
      </c>
      <c r="O133" t="s">
        <v>244</v>
      </c>
      <c r="P133">
        <v>3.3943794619250907E-2</v>
      </c>
      <c r="Q133" t="s">
        <v>166</v>
      </c>
      <c r="S133" t="s">
        <v>204</v>
      </c>
      <c r="T133" t="s">
        <v>244</v>
      </c>
      <c r="U133">
        <v>4.7469464406956159E-2</v>
      </c>
      <c r="V133" t="s">
        <v>166</v>
      </c>
      <c r="AK133">
        <v>2037</v>
      </c>
      <c r="AL133" t="s">
        <v>160</v>
      </c>
      <c r="AM133">
        <v>0.55979999999999996</v>
      </c>
      <c r="AN133" t="s">
        <v>221</v>
      </c>
    </row>
    <row r="134" spans="14:40" x14ac:dyDescent="0.45">
      <c r="N134" t="s">
        <v>180</v>
      </c>
      <c r="O134" t="s">
        <v>245</v>
      </c>
      <c r="P134">
        <v>9.2953630491479436E-3</v>
      </c>
      <c r="Q134" t="s">
        <v>166</v>
      </c>
      <c r="S134" t="s">
        <v>204</v>
      </c>
      <c r="T134" t="s">
        <v>245</v>
      </c>
      <c r="U134">
        <v>1.1571238989074395E-2</v>
      </c>
      <c r="V134" t="s">
        <v>166</v>
      </c>
      <c r="AK134">
        <v>2037</v>
      </c>
      <c r="AL134" t="s">
        <v>162</v>
      </c>
      <c r="AM134">
        <v>0.66320000000000001</v>
      </c>
      <c r="AN134" t="s">
        <v>221</v>
      </c>
    </row>
    <row r="135" spans="14:40" x14ac:dyDescent="0.45">
      <c r="N135" t="s">
        <v>180</v>
      </c>
      <c r="O135" t="s">
        <v>246</v>
      </c>
      <c r="P135">
        <v>9.5974317842300837E-3</v>
      </c>
      <c r="Q135" t="s">
        <v>166</v>
      </c>
      <c r="S135" t="s">
        <v>204</v>
      </c>
      <c r="T135" t="s">
        <v>246</v>
      </c>
      <c r="U135">
        <v>1.1667692994806736E-2</v>
      </c>
      <c r="V135" t="s">
        <v>166</v>
      </c>
      <c r="AK135">
        <v>2037</v>
      </c>
      <c r="AL135" t="s">
        <v>224</v>
      </c>
      <c r="AM135">
        <v>0.60577500000000006</v>
      </c>
      <c r="AN135" t="s">
        <v>221</v>
      </c>
    </row>
    <row r="136" spans="14:40" x14ac:dyDescent="0.45">
      <c r="N136" t="s">
        <v>180</v>
      </c>
      <c r="O136" t="s">
        <v>247</v>
      </c>
      <c r="P136">
        <v>1.0044502187031415E-2</v>
      </c>
      <c r="Q136" t="s">
        <v>166</v>
      </c>
      <c r="S136" t="s">
        <v>204</v>
      </c>
      <c r="T136" t="s">
        <v>247</v>
      </c>
      <c r="U136">
        <v>1.2308679239151264E-2</v>
      </c>
      <c r="V136" t="s">
        <v>166</v>
      </c>
      <c r="AK136">
        <v>2037</v>
      </c>
      <c r="AL136" t="s">
        <v>226</v>
      </c>
      <c r="AM136">
        <v>0.50339999999999996</v>
      </c>
      <c r="AN136" t="s">
        <v>221</v>
      </c>
    </row>
    <row r="137" spans="14:40" x14ac:dyDescent="0.45">
      <c r="N137" t="s">
        <v>180</v>
      </c>
      <c r="O137" t="s">
        <v>248</v>
      </c>
      <c r="P137">
        <v>1.2629629785679221E-2</v>
      </c>
      <c r="Q137" t="s">
        <v>166</v>
      </c>
      <c r="S137" t="s">
        <v>204</v>
      </c>
      <c r="T137" t="s">
        <v>248</v>
      </c>
      <c r="U137">
        <v>1.6345625619683588E-2</v>
      </c>
      <c r="V137" t="s">
        <v>166</v>
      </c>
      <c r="AK137">
        <v>2037</v>
      </c>
      <c r="AL137" t="s">
        <v>228</v>
      </c>
      <c r="AM137">
        <v>0.58979999999999999</v>
      </c>
      <c r="AN137" t="s">
        <v>221</v>
      </c>
    </row>
    <row r="138" spans="14:40" x14ac:dyDescent="0.45">
      <c r="N138" t="s">
        <v>180</v>
      </c>
      <c r="O138" t="s">
        <v>249</v>
      </c>
      <c r="P138">
        <v>2.9941261927867415E-2</v>
      </c>
      <c r="Q138" t="s">
        <v>166</v>
      </c>
      <c r="S138" t="s">
        <v>204</v>
      </c>
      <c r="T138" t="s">
        <v>249</v>
      </c>
      <c r="U138">
        <v>3.9074612058986366E-2</v>
      </c>
      <c r="V138" t="s">
        <v>166</v>
      </c>
      <c r="AK138">
        <v>2037</v>
      </c>
      <c r="AL138" t="s">
        <v>229</v>
      </c>
      <c r="AM138">
        <v>0.61319999999999997</v>
      </c>
      <c r="AN138" t="s">
        <v>221</v>
      </c>
    </row>
    <row r="139" spans="14:40" x14ac:dyDescent="0.45">
      <c r="N139" t="s">
        <v>180</v>
      </c>
      <c r="O139" t="s">
        <v>250</v>
      </c>
      <c r="P139">
        <v>1.0384906334393E-2</v>
      </c>
      <c r="Q139" t="s">
        <v>166</v>
      </c>
      <c r="S139" t="s">
        <v>204</v>
      </c>
      <c r="T139" t="s">
        <v>250</v>
      </c>
      <c r="U139">
        <v>1.3570682258735325E-2</v>
      </c>
      <c r="V139" t="s">
        <v>166</v>
      </c>
      <c r="AK139">
        <v>2038</v>
      </c>
      <c r="AL139" t="s">
        <v>154</v>
      </c>
      <c r="AM139">
        <v>0.63149999999999995</v>
      </c>
      <c r="AN139" t="s">
        <v>221</v>
      </c>
    </row>
    <row r="140" spans="14:40" x14ac:dyDescent="0.45">
      <c r="N140" t="s">
        <v>180</v>
      </c>
      <c r="O140" t="s">
        <v>251</v>
      </c>
      <c r="P140">
        <v>2.6567184500074473E-3</v>
      </c>
      <c r="Q140" t="s">
        <v>166</v>
      </c>
      <c r="S140" t="s">
        <v>204</v>
      </c>
      <c r="T140" t="s">
        <v>251</v>
      </c>
      <c r="U140">
        <v>3.3916255159636513E-3</v>
      </c>
      <c r="V140" t="s">
        <v>166</v>
      </c>
      <c r="AK140">
        <v>2038</v>
      </c>
      <c r="AL140" t="s">
        <v>158</v>
      </c>
      <c r="AM140">
        <v>0.66669999999999996</v>
      </c>
      <c r="AN140" t="s">
        <v>221</v>
      </c>
    </row>
    <row r="141" spans="14:40" x14ac:dyDescent="0.45">
      <c r="N141" t="s">
        <v>180</v>
      </c>
      <c r="O141" t="s">
        <v>252</v>
      </c>
      <c r="P141">
        <v>2.6076765838631069E-3</v>
      </c>
      <c r="Q141" t="s">
        <v>166</v>
      </c>
      <c r="S141" t="s">
        <v>204</v>
      </c>
      <c r="T141" t="s">
        <v>252</v>
      </c>
      <c r="U141">
        <v>3.3264175902401375E-3</v>
      </c>
      <c r="V141" t="s">
        <v>166</v>
      </c>
      <c r="AK141">
        <v>2038</v>
      </c>
      <c r="AL141" t="s">
        <v>160</v>
      </c>
      <c r="AM141">
        <v>0.61</v>
      </c>
      <c r="AN141" t="s">
        <v>221</v>
      </c>
    </row>
    <row r="142" spans="14:40" x14ac:dyDescent="0.45">
      <c r="N142" t="s">
        <v>180</v>
      </c>
      <c r="O142" t="s">
        <v>253</v>
      </c>
      <c r="P142">
        <v>2.877791730952383E-3</v>
      </c>
      <c r="Q142" t="s">
        <v>166</v>
      </c>
      <c r="S142" t="s">
        <v>204</v>
      </c>
      <c r="T142" t="s">
        <v>253</v>
      </c>
      <c r="U142">
        <v>3.3080765653760572E-3</v>
      </c>
      <c r="V142" t="s">
        <v>166</v>
      </c>
      <c r="AK142">
        <v>2038</v>
      </c>
      <c r="AL142" t="s">
        <v>162</v>
      </c>
      <c r="AM142">
        <v>0.58089999999999997</v>
      </c>
      <c r="AN142" t="s">
        <v>221</v>
      </c>
    </row>
    <row r="143" spans="14:40" x14ac:dyDescent="0.45">
      <c r="N143" t="s">
        <v>180</v>
      </c>
      <c r="O143" t="s">
        <v>254</v>
      </c>
      <c r="P143">
        <v>2.0556219511737445E-2</v>
      </c>
      <c r="Q143" t="s">
        <v>166</v>
      </c>
      <c r="S143" t="s">
        <v>204</v>
      </c>
      <c r="T143" t="s">
        <v>254</v>
      </c>
      <c r="U143">
        <v>1.8746092995890428E-2</v>
      </c>
      <c r="V143" t="s">
        <v>166</v>
      </c>
      <c r="AK143">
        <v>2038</v>
      </c>
      <c r="AL143" t="s">
        <v>224</v>
      </c>
      <c r="AM143">
        <v>0.5656000000000001</v>
      </c>
      <c r="AN143" t="s">
        <v>221</v>
      </c>
    </row>
    <row r="144" spans="14:40" x14ac:dyDescent="0.45">
      <c r="N144" t="s">
        <v>180</v>
      </c>
      <c r="O144" t="s">
        <v>255</v>
      </c>
      <c r="P144">
        <v>5.1223372228260303E-2</v>
      </c>
      <c r="Q144" t="s">
        <v>166</v>
      </c>
      <c r="S144" t="s">
        <v>204</v>
      </c>
      <c r="T144" t="s">
        <v>255</v>
      </c>
      <c r="U144">
        <v>4.9837530570833129E-2</v>
      </c>
      <c r="V144" t="s">
        <v>166</v>
      </c>
      <c r="AK144">
        <v>2038</v>
      </c>
      <c r="AL144" t="s">
        <v>226</v>
      </c>
      <c r="AM144">
        <v>0.48720000000000002</v>
      </c>
      <c r="AN144" t="s">
        <v>221</v>
      </c>
    </row>
    <row r="145" spans="14:40" x14ac:dyDescent="0.45">
      <c r="N145" t="s">
        <v>180</v>
      </c>
      <c r="O145" t="s">
        <v>256</v>
      </c>
      <c r="P145">
        <v>2.0397632169245398E-2</v>
      </c>
      <c r="Q145" t="s">
        <v>166</v>
      </c>
      <c r="S145" t="s">
        <v>204</v>
      </c>
      <c r="T145" t="s">
        <v>256</v>
      </c>
      <c r="U145">
        <v>1.7667490773737141E-2</v>
      </c>
      <c r="V145" t="s">
        <v>166</v>
      </c>
      <c r="AK145">
        <v>2038</v>
      </c>
      <c r="AL145" t="s">
        <v>228</v>
      </c>
      <c r="AM145">
        <v>0.5171</v>
      </c>
      <c r="AN145" t="s">
        <v>221</v>
      </c>
    </row>
    <row r="146" spans="14:40" x14ac:dyDescent="0.45">
      <c r="N146" t="s">
        <v>180</v>
      </c>
      <c r="O146" t="s">
        <v>257</v>
      </c>
      <c r="P146">
        <v>4.7665654936815977E-3</v>
      </c>
      <c r="Q146" t="s">
        <v>166</v>
      </c>
      <c r="S146" t="s">
        <v>204</v>
      </c>
      <c r="T146" t="s">
        <v>257</v>
      </c>
      <c r="U146">
        <v>4.0051786869698429E-3</v>
      </c>
      <c r="V146" t="s">
        <v>166</v>
      </c>
      <c r="AK146">
        <v>2038</v>
      </c>
      <c r="AL146" t="s">
        <v>229</v>
      </c>
      <c r="AM146">
        <v>0.59654999999999991</v>
      </c>
      <c r="AN146" t="s">
        <v>221</v>
      </c>
    </row>
    <row r="147" spans="14:40" x14ac:dyDescent="0.45">
      <c r="N147" t="s">
        <v>180</v>
      </c>
      <c r="O147" t="s">
        <v>258</v>
      </c>
      <c r="P147">
        <v>4.5438382296687325E-3</v>
      </c>
      <c r="Q147" t="s">
        <v>166</v>
      </c>
      <c r="S147" t="s">
        <v>204</v>
      </c>
      <c r="T147" t="s">
        <v>258</v>
      </c>
      <c r="U147">
        <v>3.8613754735037755E-3</v>
      </c>
      <c r="V147" t="s">
        <v>166</v>
      </c>
      <c r="AK147">
        <v>2039</v>
      </c>
      <c r="AL147" t="s">
        <v>154</v>
      </c>
      <c r="AM147">
        <v>0.66339999999999999</v>
      </c>
      <c r="AN147" t="s">
        <v>221</v>
      </c>
    </row>
    <row r="148" spans="14:40" x14ac:dyDescent="0.45">
      <c r="N148" t="s">
        <v>180</v>
      </c>
      <c r="O148" t="s">
        <v>259</v>
      </c>
      <c r="P148">
        <v>4.4779406287797892E-3</v>
      </c>
      <c r="Q148" t="s">
        <v>166</v>
      </c>
      <c r="S148" t="s">
        <v>204</v>
      </c>
      <c r="T148" t="s">
        <v>259</v>
      </c>
      <c r="U148">
        <v>3.8245290459524108E-3</v>
      </c>
      <c r="V148" t="s">
        <v>166</v>
      </c>
      <c r="AK148">
        <v>2039</v>
      </c>
      <c r="AL148" t="s">
        <v>158</v>
      </c>
      <c r="AM148">
        <v>0.58789999999999998</v>
      </c>
      <c r="AN148" t="s">
        <v>221</v>
      </c>
    </row>
    <row r="149" spans="14:40" x14ac:dyDescent="0.45">
      <c r="N149" t="s">
        <v>180</v>
      </c>
      <c r="O149" t="s">
        <v>260</v>
      </c>
      <c r="P149">
        <v>5.939966121847029E-2</v>
      </c>
      <c r="Q149" t="s">
        <v>166</v>
      </c>
      <c r="S149" t="s">
        <v>204</v>
      </c>
      <c r="T149" t="s">
        <v>260</v>
      </c>
      <c r="U149">
        <v>4.72872301322253E-2</v>
      </c>
      <c r="V149" t="s">
        <v>166</v>
      </c>
      <c r="AK149">
        <v>2039</v>
      </c>
      <c r="AL149" t="s">
        <v>160</v>
      </c>
      <c r="AM149">
        <v>0.66</v>
      </c>
      <c r="AN149" t="s">
        <v>221</v>
      </c>
    </row>
    <row r="150" spans="14:40" x14ac:dyDescent="0.45">
      <c r="N150" t="s">
        <v>180</v>
      </c>
      <c r="O150" t="s">
        <v>261</v>
      </c>
      <c r="P150">
        <v>0.13420214330151151</v>
      </c>
      <c r="Q150" t="s">
        <v>166</v>
      </c>
      <c r="S150" t="s">
        <v>204</v>
      </c>
      <c r="T150" t="s">
        <v>261</v>
      </c>
      <c r="U150">
        <v>0.11247060590362162</v>
      </c>
      <c r="V150" t="s">
        <v>166</v>
      </c>
      <c r="AK150">
        <v>2039</v>
      </c>
      <c r="AL150" t="s">
        <v>162</v>
      </c>
      <c r="AM150">
        <v>0.59160000000000001</v>
      </c>
      <c r="AN150" t="s">
        <v>221</v>
      </c>
    </row>
    <row r="151" spans="14:40" x14ac:dyDescent="0.45">
      <c r="N151" t="s">
        <v>180</v>
      </c>
      <c r="O151" t="s">
        <v>262</v>
      </c>
      <c r="P151">
        <v>4.7121189410427436E-2</v>
      </c>
      <c r="Q151" t="s">
        <v>166</v>
      </c>
      <c r="S151" t="s">
        <v>204</v>
      </c>
      <c r="T151" t="s">
        <v>262</v>
      </c>
      <c r="U151">
        <v>3.8160319149303408E-2</v>
      </c>
      <c r="V151" t="s">
        <v>166</v>
      </c>
      <c r="AK151">
        <v>2039</v>
      </c>
      <c r="AL151" t="s">
        <v>224</v>
      </c>
      <c r="AM151">
        <v>0.56577500000000003</v>
      </c>
      <c r="AN151" t="s">
        <v>221</v>
      </c>
    </row>
    <row r="152" spans="14:40" x14ac:dyDescent="0.45">
      <c r="N152" t="s">
        <v>180</v>
      </c>
      <c r="O152" t="s">
        <v>263</v>
      </c>
      <c r="P152">
        <v>1.1909923997677745E-2</v>
      </c>
      <c r="Q152" t="s">
        <v>166</v>
      </c>
      <c r="S152" t="s">
        <v>204</v>
      </c>
      <c r="T152" t="s">
        <v>263</v>
      </c>
      <c r="U152">
        <v>9.7898284085456179E-3</v>
      </c>
      <c r="V152" t="s">
        <v>166</v>
      </c>
      <c r="AK152">
        <v>2039</v>
      </c>
      <c r="AL152" t="s">
        <v>226</v>
      </c>
      <c r="AM152">
        <v>0.48110000000000003</v>
      </c>
      <c r="AN152" t="s">
        <v>221</v>
      </c>
    </row>
    <row r="153" spans="14:40" x14ac:dyDescent="0.45">
      <c r="N153" t="s">
        <v>180</v>
      </c>
      <c r="O153" t="s">
        <v>264</v>
      </c>
      <c r="P153">
        <v>1.1911392913744375E-2</v>
      </c>
      <c r="Q153" t="s">
        <v>166</v>
      </c>
      <c r="S153" t="s">
        <v>204</v>
      </c>
      <c r="T153" t="s">
        <v>264</v>
      </c>
      <c r="U153">
        <v>9.8462399745215812E-3</v>
      </c>
      <c r="V153" t="s">
        <v>166</v>
      </c>
      <c r="AK153">
        <v>2039</v>
      </c>
      <c r="AL153" t="s">
        <v>228</v>
      </c>
      <c r="AM153">
        <v>0.58960000000000001</v>
      </c>
      <c r="AN153" t="s">
        <v>221</v>
      </c>
    </row>
    <row r="154" spans="14:40" x14ac:dyDescent="0.45">
      <c r="N154" t="s">
        <v>180</v>
      </c>
      <c r="O154" t="s">
        <v>265</v>
      </c>
      <c r="P154">
        <v>1.2131006726018263E-2</v>
      </c>
      <c r="Q154" t="s">
        <v>166</v>
      </c>
      <c r="S154" t="s">
        <v>204</v>
      </c>
      <c r="T154" t="s">
        <v>265</v>
      </c>
      <c r="U154">
        <v>9.877870679015294E-3</v>
      </c>
      <c r="V154" t="s">
        <v>166</v>
      </c>
      <c r="AK154">
        <v>2039</v>
      </c>
      <c r="AL154" t="s">
        <v>229</v>
      </c>
      <c r="AM154">
        <v>0.66269999999999996</v>
      </c>
      <c r="AN154" t="s">
        <v>221</v>
      </c>
    </row>
    <row r="155" spans="14:40" x14ac:dyDescent="0.45">
      <c r="N155" t="s">
        <v>181</v>
      </c>
      <c r="O155" t="s">
        <v>165</v>
      </c>
      <c r="P155">
        <v>1.9195255051258471E-2</v>
      </c>
      <c r="Q155" t="s">
        <v>166</v>
      </c>
      <c r="S155" t="s">
        <v>205</v>
      </c>
      <c r="T155" t="s">
        <v>165</v>
      </c>
      <c r="U155">
        <v>1.6743182158960337E-2</v>
      </c>
      <c r="V155" t="s">
        <v>166</v>
      </c>
      <c r="AK155">
        <v>2040</v>
      </c>
      <c r="AL155" t="s">
        <v>154</v>
      </c>
      <c r="AM155">
        <v>0.55679999999999996</v>
      </c>
      <c r="AN155" t="s">
        <v>221</v>
      </c>
    </row>
    <row r="156" spans="14:40" x14ac:dyDescent="0.45">
      <c r="N156" t="s">
        <v>181</v>
      </c>
      <c r="O156" t="s">
        <v>167</v>
      </c>
      <c r="P156">
        <v>4.9169292842304625E-2</v>
      </c>
      <c r="Q156" t="s">
        <v>166</v>
      </c>
      <c r="S156" t="s">
        <v>205</v>
      </c>
      <c r="T156" t="s">
        <v>167</v>
      </c>
      <c r="U156">
        <v>3.6195603441549019E-2</v>
      </c>
      <c r="V156" t="s">
        <v>166</v>
      </c>
      <c r="AK156">
        <v>2040</v>
      </c>
      <c r="AL156" t="s">
        <v>158</v>
      </c>
      <c r="AM156">
        <v>0.61009999999999998</v>
      </c>
      <c r="AN156" t="s">
        <v>221</v>
      </c>
    </row>
    <row r="157" spans="14:40" x14ac:dyDescent="0.45">
      <c r="N157" t="s">
        <v>181</v>
      </c>
      <c r="O157" t="s">
        <v>168</v>
      </c>
      <c r="P157">
        <v>1.5718909490820457E-2</v>
      </c>
      <c r="Q157" t="s">
        <v>166</v>
      </c>
      <c r="S157" t="s">
        <v>205</v>
      </c>
      <c r="T157" t="s">
        <v>168</v>
      </c>
      <c r="U157">
        <v>1.291373030000683E-2</v>
      </c>
      <c r="V157" t="s">
        <v>166</v>
      </c>
      <c r="AK157">
        <v>2040</v>
      </c>
      <c r="AL157" t="s">
        <v>160</v>
      </c>
      <c r="AM157">
        <v>0.61709999999999998</v>
      </c>
      <c r="AN157" t="s">
        <v>221</v>
      </c>
    </row>
    <row r="158" spans="14:40" x14ac:dyDescent="0.45">
      <c r="N158" t="s">
        <v>181</v>
      </c>
      <c r="O158" t="s">
        <v>230</v>
      </c>
      <c r="P158">
        <v>3.8406027825719901E-3</v>
      </c>
      <c r="Q158" t="s">
        <v>166</v>
      </c>
      <c r="S158" t="s">
        <v>205</v>
      </c>
      <c r="T158" t="s">
        <v>230</v>
      </c>
      <c r="U158">
        <v>3.26151942488504E-3</v>
      </c>
      <c r="V158" t="s">
        <v>166</v>
      </c>
      <c r="AK158">
        <v>2040</v>
      </c>
      <c r="AL158" t="s">
        <v>162</v>
      </c>
      <c r="AM158">
        <v>0.60650000000000004</v>
      </c>
      <c r="AN158" t="s">
        <v>221</v>
      </c>
    </row>
    <row r="159" spans="14:40" x14ac:dyDescent="0.45">
      <c r="N159" t="s">
        <v>181</v>
      </c>
      <c r="O159" t="s">
        <v>231</v>
      </c>
      <c r="P159">
        <v>3.7673209888161785E-3</v>
      </c>
      <c r="Q159" t="s">
        <v>166</v>
      </c>
      <c r="S159" t="s">
        <v>205</v>
      </c>
      <c r="T159" t="s">
        <v>231</v>
      </c>
      <c r="U159">
        <v>3.2387588716382026E-3</v>
      </c>
      <c r="V159" t="s">
        <v>166</v>
      </c>
      <c r="AK159">
        <v>2040</v>
      </c>
      <c r="AL159" t="s">
        <v>224</v>
      </c>
      <c r="AM159">
        <v>0.60525000000000007</v>
      </c>
      <c r="AN159" t="s">
        <v>221</v>
      </c>
    </row>
    <row r="160" spans="14:40" x14ac:dyDescent="0.45">
      <c r="N160" t="s">
        <v>181</v>
      </c>
      <c r="O160" t="s">
        <v>232</v>
      </c>
      <c r="P160">
        <v>3.6847058055139363E-3</v>
      </c>
      <c r="Q160" t="s">
        <v>166</v>
      </c>
      <c r="S160" t="s">
        <v>205</v>
      </c>
      <c r="T160" t="s">
        <v>232</v>
      </c>
      <c r="U160">
        <v>3.3478318971190964E-3</v>
      </c>
      <c r="V160" t="s">
        <v>166</v>
      </c>
      <c r="AK160">
        <v>2040</v>
      </c>
      <c r="AL160" t="s">
        <v>226</v>
      </c>
      <c r="AM160">
        <v>0.55400000000000005</v>
      </c>
      <c r="AN160" t="s">
        <v>221</v>
      </c>
    </row>
    <row r="161" spans="14:40" x14ac:dyDescent="0.45">
      <c r="N161" t="s">
        <v>181</v>
      </c>
      <c r="O161" t="s">
        <v>169</v>
      </c>
      <c r="P161">
        <v>1.1215935578255785E-2</v>
      </c>
      <c r="Q161" t="s">
        <v>166</v>
      </c>
      <c r="S161" t="s">
        <v>205</v>
      </c>
      <c r="T161" t="s">
        <v>169</v>
      </c>
      <c r="U161">
        <v>1.6605299722374858E-2</v>
      </c>
      <c r="V161" t="s">
        <v>166</v>
      </c>
      <c r="AK161">
        <v>2040</v>
      </c>
      <c r="AL161" t="s">
        <v>228</v>
      </c>
      <c r="AM161">
        <v>0.61099999999999999</v>
      </c>
      <c r="AN161" t="s">
        <v>221</v>
      </c>
    </row>
    <row r="162" spans="14:40" x14ac:dyDescent="0.45">
      <c r="N162" t="s">
        <v>181</v>
      </c>
      <c r="O162" t="s">
        <v>170</v>
      </c>
      <c r="P162">
        <v>3.0102806534096041E-2</v>
      </c>
      <c r="Q162" t="s">
        <v>166</v>
      </c>
      <c r="S162" t="s">
        <v>205</v>
      </c>
      <c r="T162" t="s">
        <v>170</v>
      </c>
      <c r="U162">
        <v>4.543679519618514E-2</v>
      </c>
      <c r="V162" t="s">
        <v>166</v>
      </c>
      <c r="AK162">
        <v>2040</v>
      </c>
      <c r="AL162" t="s">
        <v>229</v>
      </c>
      <c r="AM162">
        <v>0.64054999999999995</v>
      </c>
      <c r="AN162" t="s">
        <v>221</v>
      </c>
    </row>
    <row r="163" spans="14:40" x14ac:dyDescent="0.45">
      <c r="N163" t="s">
        <v>181</v>
      </c>
      <c r="O163" t="s">
        <v>171</v>
      </c>
      <c r="P163">
        <v>1.0496718984850075E-2</v>
      </c>
      <c r="Q163" t="s">
        <v>166</v>
      </c>
      <c r="S163" t="s">
        <v>205</v>
      </c>
      <c r="T163" t="s">
        <v>171</v>
      </c>
      <c r="U163">
        <v>1.4493019533110928E-2</v>
      </c>
      <c r="V163" t="s">
        <v>166</v>
      </c>
      <c r="AK163">
        <v>2041</v>
      </c>
      <c r="AL163" t="s">
        <v>154</v>
      </c>
      <c r="AM163">
        <v>0.64339999999999997</v>
      </c>
      <c r="AN163" t="s">
        <v>221</v>
      </c>
    </row>
    <row r="164" spans="14:40" x14ac:dyDescent="0.45">
      <c r="N164" t="s">
        <v>181</v>
      </c>
      <c r="O164" t="s">
        <v>233</v>
      </c>
      <c r="P164">
        <v>2.5781434538036949E-3</v>
      </c>
      <c r="Q164" t="s">
        <v>166</v>
      </c>
      <c r="S164" t="s">
        <v>205</v>
      </c>
      <c r="T164" t="s">
        <v>233</v>
      </c>
      <c r="U164">
        <v>3.3702665474856239E-3</v>
      </c>
      <c r="V164" t="s">
        <v>166</v>
      </c>
      <c r="AK164">
        <v>2041</v>
      </c>
      <c r="AL164" t="s">
        <v>158</v>
      </c>
      <c r="AM164">
        <v>0.58430000000000004</v>
      </c>
      <c r="AN164" t="s">
        <v>221</v>
      </c>
    </row>
    <row r="165" spans="14:40" x14ac:dyDescent="0.45">
      <c r="N165" t="s">
        <v>181</v>
      </c>
      <c r="O165" t="s">
        <v>234</v>
      </c>
      <c r="P165">
        <v>2.5093191336773061E-3</v>
      </c>
      <c r="Q165" t="s">
        <v>166</v>
      </c>
      <c r="S165" t="s">
        <v>205</v>
      </c>
      <c r="T165" t="s">
        <v>234</v>
      </c>
      <c r="U165">
        <v>3.277923249107821E-3</v>
      </c>
      <c r="V165" t="s">
        <v>166</v>
      </c>
      <c r="AK165">
        <v>2041</v>
      </c>
      <c r="AL165" t="s">
        <v>160</v>
      </c>
      <c r="AM165">
        <v>0.56089999999999995</v>
      </c>
      <c r="AN165" t="s">
        <v>221</v>
      </c>
    </row>
    <row r="166" spans="14:40" x14ac:dyDescent="0.45">
      <c r="N166" t="s">
        <v>181</v>
      </c>
      <c r="O166" t="s">
        <v>235</v>
      </c>
      <c r="P166">
        <v>2.3680234567085611E-3</v>
      </c>
      <c r="Q166" t="s">
        <v>166</v>
      </c>
      <c r="S166" t="s">
        <v>205</v>
      </c>
      <c r="T166" t="s">
        <v>235</v>
      </c>
      <c r="U166">
        <v>3.2712079080426839E-3</v>
      </c>
      <c r="V166" t="s">
        <v>166</v>
      </c>
      <c r="AK166">
        <v>2041</v>
      </c>
      <c r="AL166" t="s">
        <v>162</v>
      </c>
      <c r="AM166">
        <v>0.63739999999999997</v>
      </c>
      <c r="AN166" t="s">
        <v>221</v>
      </c>
    </row>
    <row r="167" spans="14:40" x14ac:dyDescent="0.45">
      <c r="N167" t="s">
        <v>181</v>
      </c>
      <c r="O167" t="s">
        <v>172</v>
      </c>
      <c r="P167">
        <v>1.5135512206868831E-2</v>
      </c>
      <c r="Q167" t="s">
        <v>166</v>
      </c>
      <c r="S167" t="s">
        <v>205</v>
      </c>
      <c r="T167" t="s">
        <v>172</v>
      </c>
      <c r="U167">
        <v>1.637770832005421E-2</v>
      </c>
      <c r="V167" t="s">
        <v>166</v>
      </c>
      <c r="AK167">
        <v>2041</v>
      </c>
      <c r="AL167" t="s">
        <v>224</v>
      </c>
      <c r="AM167">
        <v>0.57642499999999997</v>
      </c>
      <c r="AN167" t="s">
        <v>221</v>
      </c>
    </row>
    <row r="168" spans="14:40" x14ac:dyDescent="0.45">
      <c r="N168" t="s">
        <v>181</v>
      </c>
      <c r="O168" t="s">
        <v>173</v>
      </c>
      <c r="P168">
        <v>3.9328829876659775E-2</v>
      </c>
      <c r="Q168" t="s">
        <v>166</v>
      </c>
      <c r="S168" t="s">
        <v>205</v>
      </c>
      <c r="T168" t="s">
        <v>173</v>
      </c>
      <c r="U168">
        <v>3.8256805092886891E-2</v>
      </c>
      <c r="V168" t="s">
        <v>166</v>
      </c>
      <c r="AK168">
        <v>2041</v>
      </c>
      <c r="AL168" t="s">
        <v>226</v>
      </c>
      <c r="AM168">
        <v>0.56540000000000001</v>
      </c>
      <c r="AN168" t="s">
        <v>221</v>
      </c>
    </row>
    <row r="169" spans="14:40" x14ac:dyDescent="0.45">
      <c r="N169" t="s">
        <v>181</v>
      </c>
      <c r="O169" t="s">
        <v>174</v>
      </c>
      <c r="P169">
        <v>1.4562842417130972E-2</v>
      </c>
      <c r="Q169" t="s">
        <v>166</v>
      </c>
      <c r="S169" t="s">
        <v>205</v>
      </c>
      <c r="T169" t="s">
        <v>174</v>
      </c>
      <c r="U169">
        <v>1.3007920740961226E-2</v>
      </c>
      <c r="V169" t="s">
        <v>166</v>
      </c>
      <c r="AK169">
        <v>2041</v>
      </c>
      <c r="AL169" t="s">
        <v>228</v>
      </c>
      <c r="AM169">
        <v>0.51639999999999997</v>
      </c>
      <c r="AN169" t="s">
        <v>221</v>
      </c>
    </row>
    <row r="170" spans="14:40" x14ac:dyDescent="0.45">
      <c r="N170" t="s">
        <v>181</v>
      </c>
      <c r="O170" t="s">
        <v>236</v>
      </c>
      <c r="P170">
        <v>3.2862404838604731E-3</v>
      </c>
      <c r="Q170" t="s">
        <v>166</v>
      </c>
      <c r="S170" t="s">
        <v>205</v>
      </c>
      <c r="T170" t="s">
        <v>236</v>
      </c>
      <c r="U170">
        <v>3.2776554562336771E-3</v>
      </c>
      <c r="V170" t="s">
        <v>166</v>
      </c>
      <c r="AK170">
        <v>2041</v>
      </c>
      <c r="AL170" t="s">
        <v>229</v>
      </c>
      <c r="AM170">
        <v>0.61409999999999998</v>
      </c>
      <c r="AN170" t="s">
        <v>221</v>
      </c>
    </row>
    <row r="171" spans="14:40" x14ac:dyDescent="0.45">
      <c r="N171" t="s">
        <v>181</v>
      </c>
      <c r="O171" t="s">
        <v>237</v>
      </c>
      <c r="P171">
        <v>3.1076811974617108E-3</v>
      </c>
      <c r="Q171" t="s">
        <v>166</v>
      </c>
      <c r="S171" t="s">
        <v>205</v>
      </c>
      <c r="T171" t="s">
        <v>237</v>
      </c>
      <c r="U171">
        <v>3.2853948469413743E-3</v>
      </c>
      <c r="V171" t="s">
        <v>166</v>
      </c>
      <c r="AK171">
        <v>2042</v>
      </c>
      <c r="AL171" t="s">
        <v>154</v>
      </c>
      <c r="AM171">
        <v>0.64039999999999997</v>
      </c>
      <c r="AN171" t="s">
        <v>221</v>
      </c>
    </row>
    <row r="172" spans="14:40" x14ac:dyDescent="0.45">
      <c r="N172" t="s">
        <v>181</v>
      </c>
      <c r="O172" t="s">
        <v>238</v>
      </c>
      <c r="P172">
        <v>3.1334823764063305E-3</v>
      </c>
      <c r="Q172" t="s">
        <v>166</v>
      </c>
      <c r="S172" t="s">
        <v>205</v>
      </c>
      <c r="T172" t="s">
        <v>238</v>
      </c>
      <c r="U172">
        <v>3.4018639436088636E-3</v>
      </c>
      <c r="V172" t="s">
        <v>166</v>
      </c>
      <c r="AK172">
        <v>2042</v>
      </c>
      <c r="AL172" t="s">
        <v>158</v>
      </c>
      <c r="AM172">
        <v>0.59340000000000004</v>
      </c>
      <c r="AN172" t="s">
        <v>221</v>
      </c>
    </row>
    <row r="173" spans="14:40" x14ac:dyDescent="0.45">
      <c r="N173" t="s">
        <v>181</v>
      </c>
      <c r="O173" t="s">
        <v>175</v>
      </c>
      <c r="P173">
        <v>1.9181618665996492E-2</v>
      </c>
      <c r="Q173" t="s">
        <v>166</v>
      </c>
      <c r="S173" t="s">
        <v>205</v>
      </c>
      <c r="T173" t="s">
        <v>175</v>
      </c>
      <c r="U173">
        <v>1.804239149243796E-2</v>
      </c>
      <c r="V173" t="s">
        <v>166</v>
      </c>
      <c r="AK173">
        <v>2042</v>
      </c>
      <c r="AL173" t="s">
        <v>160</v>
      </c>
      <c r="AM173">
        <v>0.59119999999999995</v>
      </c>
      <c r="AN173" t="s">
        <v>221</v>
      </c>
    </row>
    <row r="174" spans="14:40" x14ac:dyDescent="0.45">
      <c r="N174" t="s">
        <v>181</v>
      </c>
      <c r="O174" t="s">
        <v>176</v>
      </c>
      <c r="P174">
        <v>4.4158315580140946E-2</v>
      </c>
      <c r="Q174" t="s">
        <v>166</v>
      </c>
      <c r="S174" t="s">
        <v>205</v>
      </c>
      <c r="T174" t="s">
        <v>176</v>
      </c>
      <c r="U174">
        <v>4.1413182041590633E-2</v>
      </c>
      <c r="V174" t="s">
        <v>166</v>
      </c>
      <c r="AK174">
        <v>2042</v>
      </c>
      <c r="AL174" t="s">
        <v>162</v>
      </c>
      <c r="AM174">
        <v>0.64829999999999999</v>
      </c>
      <c r="AN174" t="s">
        <v>221</v>
      </c>
    </row>
    <row r="175" spans="14:40" x14ac:dyDescent="0.45">
      <c r="N175" t="s">
        <v>181</v>
      </c>
      <c r="O175" t="s">
        <v>177</v>
      </c>
      <c r="P175">
        <v>1.5989250825166532E-2</v>
      </c>
      <c r="Q175" t="s">
        <v>166</v>
      </c>
      <c r="S175" t="s">
        <v>205</v>
      </c>
      <c r="T175" t="s">
        <v>177</v>
      </c>
      <c r="U175">
        <v>1.608116864203947E-2</v>
      </c>
      <c r="V175" t="s">
        <v>166</v>
      </c>
      <c r="AK175">
        <v>2042</v>
      </c>
      <c r="AL175" t="s">
        <v>224</v>
      </c>
      <c r="AM175">
        <v>0.58389999999999997</v>
      </c>
      <c r="AN175" t="s">
        <v>221</v>
      </c>
    </row>
    <row r="176" spans="14:40" x14ac:dyDescent="0.45">
      <c r="N176" t="s">
        <v>181</v>
      </c>
      <c r="O176" t="s">
        <v>239</v>
      </c>
      <c r="P176">
        <v>4.1087909657635414E-3</v>
      </c>
      <c r="Q176" t="s">
        <v>166</v>
      </c>
      <c r="S176" t="s">
        <v>205</v>
      </c>
      <c r="T176" t="s">
        <v>239</v>
      </c>
      <c r="U176">
        <v>3.9605523511793191E-3</v>
      </c>
      <c r="V176" t="s">
        <v>166</v>
      </c>
      <c r="AK176">
        <v>2042</v>
      </c>
      <c r="AL176" t="s">
        <v>226</v>
      </c>
      <c r="AM176">
        <v>0.55689999999999995</v>
      </c>
      <c r="AN176" t="s">
        <v>221</v>
      </c>
    </row>
    <row r="177" spans="14:40" x14ac:dyDescent="0.45">
      <c r="N177" t="s">
        <v>181</v>
      </c>
      <c r="O177" t="s">
        <v>240</v>
      </c>
      <c r="P177">
        <v>4.1014988453043633E-3</v>
      </c>
      <c r="Q177" t="s">
        <v>166</v>
      </c>
      <c r="S177" t="s">
        <v>205</v>
      </c>
      <c r="T177" t="s">
        <v>240</v>
      </c>
      <c r="U177">
        <v>3.920403674566122E-3</v>
      </c>
      <c r="V177" t="s">
        <v>166</v>
      </c>
      <c r="AK177">
        <v>2042</v>
      </c>
      <c r="AL177" t="s">
        <v>228</v>
      </c>
      <c r="AM177">
        <v>0.56340000000000001</v>
      </c>
      <c r="AN177" t="s">
        <v>221</v>
      </c>
    </row>
    <row r="178" spans="14:40" x14ac:dyDescent="0.45">
      <c r="N178" t="s">
        <v>181</v>
      </c>
      <c r="O178" t="s">
        <v>241</v>
      </c>
      <c r="P178">
        <v>4.213240763717689E-3</v>
      </c>
      <c r="Q178" t="s">
        <v>166</v>
      </c>
      <c r="S178" t="s">
        <v>205</v>
      </c>
      <c r="T178" t="s">
        <v>241</v>
      </c>
      <c r="U178">
        <v>3.9742364547566585E-3</v>
      </c>
      <c r="V178" t="s">
        <v>166</v>
      </c>
      <c r="AK178">
        <v>2042</v>
      </c>
      <c r="AL178" t="s">
        <v>229</v>
      </c>
      <c r="AM178">
        <v>0.64284999999999992</v>
      </c>
      <c r="AN178" t="s">
        <v>221</v>
      </c>
    </row>
    <row r="179" spans="14:40" x14ac:dyDescent="0.45">
      <c r="N179" t="s">
        <v>181</v>
      </c>
      <c r="O179" t="s">
        <v>242</v>
      </c>
      <c r="P179">
        <v>5.5059406270312611E-2</v>
      </c>
      <c r="Q179" t="s">
        <v>166</v>
      </c>
      <c r="S179" t="s">
        <v>205</v>
      </c>
      <c r="T179" t="s">
        <v>242</v>
      </c>
      <c r="U179">
        <v>5.7831811814089987E-2</v>
      </c>
      <c r="V179" t="s">
        <v>166</v>
      </c>
      <c r="AK179">
        <v>2043</v>
      </c>
      <c r="AL179" t="s">
        <v>154</v>
      </c>
      <c r="AM179">
        <v>0.63449999999999995</v>
      </c>
      <c r="AN179" t="s">
        <v>221</v>
      </c>
    </row>
    <row r="180" spans="14:40" x14ac:dyDescent="0.45">
      <c r="N180" t="s">
        <v>181</v>
      </c>
      <c r="O180" t="s">
        <v>243</v>
      </c>
      <c r="P180">
        <v>0.12838781466273813</v>
      </c>
      <c r="Q180" t="s">
        <v>166</v>
      </c>
      <c r="S180" t="s">
        <v>205</v>
      </c>
      <c r="T180" t="s">
        <v>243</v>
      </c>
      <c r="U180">
        <v>0.13407805159077066</v>
      </c>
      <c r="V180" t="s">
        <v>166</v>
      </c>
      <c r="AK180">
        <v>2043</v>
      </c>
      <c r="AL180" t="s">
        <v>158</v>
      </c>
      <c r="AM180">
        <v>0.58209999999999995</v>
      </c>
      <c r="AN180" t="s">
        <v>221</v>
      </c>
    </row>
    <row r="181" spans="14:40" x14ac:dyDescent="0.45">
      <c r="N181" t="s">
        <v>181</v>
      </c>
      <c r="O181" t="s">
        <v>244</v>
      </c>
      <c r="P181">
        <v>4.7262601423523641E-2</v>
      </c>
      <c r="Q181" t="s">
        <v>166</v>
      </c>
      <c r="S181" t="s">
        <v>205</v>
      </c>
      <c r="T181" t="s">
        <v>244</v>
      </c>
      <c r="U181">
        <v>4.7083786921641356E-2</v>
      </c>
      <c r="V181" t="s">
        <v>166</v>
      </c>
      <c r="AK181">
        <v>2043</v>
      </c>
      <c r="AL181" t="s">
        <v>160</v>
      </c>
      <c r="AM181">
        <v>0.63490000000000002</v>
      </c>
      <c r="AN181" t="s">
        <v>221</v>
      </c>
    </row>
    <row r="182" spans="14:40" x14ac:dyDescent="0.45">
      <c r="N182" t="s">
        <v>181</v>
      </c>
      <c r="O182" t="s">
        <v>245</v>
      </c>
      <c r="P182">
        <v>1.1687709413131291E-2</v>
      </c>
      <c r="Q182" t="s">
        <v>166</v>
      </c>
      <c r="S182" t="s">
        <v>205</v>
      </c>
      <c r="T182" t="s">
        <v>245</v>
      </c>
      <c r="U182">
        <v>1.151823697861064E-2</v>
      </c>
      <c r="V182" t="s">
        <v>166</v>
      </c>
      <c r="AK182">
        <v>2043</v>
      </c>
      <c r="AL182" t="s">
        <v>162</v>
      </c>
      <c r="AM182">
        <v>0.63</v>
      </c>
      <c r="AN182" t="s">
        <v>221</v>
      </c>
    </row>
    <row r="183" spans="14:40" x14ac:dyDescent="0.45">
      <c r="N183" t="s">
        <v>181</v>
      </c>
      <c r="O183" t="s">
        <v>246</v>
      </c>
      <c r="P183">
        <v>1.1581411654603972E-2</v>
      </c>
      <c r="Q183" t="s">
        <v>166</v>
      </c>
      <c r="S183" t="s">
        <v>205</v>
      </c>
      <c r="T183" t="s">
        <v>246</v>
      </c>
      <c r="U183">
        <v>1.147020480766341E-2</v>
      </c>
      <c r="V183" t="s">
        <v>166</v>
      </c>
      <c r="AK183">
        <v>2043</v>
      </c>
      <c r="AL183" t="s">
        <v>224</v>
      </c>
      <c r="AM183">
        <v>0.57650000000000001</v>
      </c>
      <c r="AN183" t="s">
        <v>221</v>
      </c>
    </row>
    <row r="184" spans="14:40" x14ac:dyDescent="0.45">
      <c r="N184" t="s">
        <v>181</v>
      </c>
      <c r="O184" t="s">
        <v>247</v>
      </c>
      <c r="P184">
        <v>1.1929399188504249E-2</v>
      </c>
      <c r="Q184" t="s">
        <v>166</v>
      </c>
      <c r="S184" t="s">
        <v>205</v>
      </c>
      <c r="T184" t="s">
        <v>247</v>
      </c>
      <c r="U184">
        <v>1.1987503180431239E-2</v>
      </c>
      <c r="V184" t="s">
        <v>166</v>
      </c>
      <c r="AK184">
        <v>2043</v>
      </c>
      <c r="AL184" t="s">
        <v>226</v>
      </c>
      <c r="AM184">
        <v>0.54310000000000003</v>
      </c>
      <c r="AN184" t="s">
        <v>221</v>
      </c>
    </row>
    <row r="185" spans="14:40" x14ac:dyDescent="0.45">
      <c r="N185" t="s">
        <v>181</v>
      </c>
      <c r="O185" t="s">
        <v>248</v>
      </c>
      <c r="P185">
        <v>1.4094163319486024E-2</v>
      </c>
      <c r="Q185" t="s">
        <v>166</v>
      </c>
      <c r="S185" t="s">
        <v>205</v>
      </c>
      <c r="T185" t="s">
        <v>248</v>
      </c>
      <c r="U185">
        <v>1.6297099585591269E-2</v>
      </c>
      <c r="V185" t="s">
        <v>166</v>
      </c>
      <c r="AK185">
        <v>2043</v>
      </c>
      <c r="AL185" t="s">
        <v>228</v>
      </c>
      <c r="AM185">
        <v>0.61170000000000002</v>
      </c>
      <c r="AN185" t="s">
        <v>221</v>
      </c>
    </row>
    <row r="186" spans="14:40" x14ac:dyDescent="0.45">
      <c r="N186" t="s">
        <v>181</v>
      </c>
      <c r="O186" t="s">
        <v>249</v>
      </c>
      <c r="P186">
        <v>3.4044775288553222E-2</v>
      </c>
      <c r="Q186" t="s">
        <v>166</v>
      </c>
      <c r="S186" t="s">
        <v>205</v>
      </c>
      <c r="T186" t="s">
        <v>249</v>
      </c>
      <c r="U186">
        <v>3.7661511818533028E-2</v>
      </c>
      <c r="V186" t="s">
        <v>166</v>
      </c>
      <c r="AK186">
        <v>2043</v>
      </c>
      <c r="AL186" t="s">
        <v>229</v>
      </c>
      <c r="AM186">
        <v>0.63490000000000002</v>
      </c>
      <c r="AN186" t="s">
        <v>221</v>
      </c>
    </row>
    <row r="187" spans="14:40" x14ac:dyDescent="0.45">
      <c r="N187" t="s">
        <v>181</v>
      </c>
      <c r="O187" t="s">
        <v>250</v>
      </c>
      <c r="P187">
        <v>1.260456729862214E-2</v>
      </c>
      <c r="Q187" t="s">
        <v>166</v>
      </c>
      <c r="S187" t="s">
        <v>205</v>
      </c>
      <c r="T187" t="s">
        <v>250</v>
      </c>
      <c r="U187">
        <v>1.3651828755522292E-2</v>
      </c>
      <c r="V187" t="s">
        <v>166</v>
      </c>
      <c r="AK187">
        <v>2044</v>
      </c>
      <c r="AL187" t="s">
        <v>154</v>
      </c>
      <c r="AM187">
        <v>0.59570000000000001</v>
      </c>
      <c r="AN187" t="s">
        <v>221</v>
      </c>
    </row>
    <row r="188" spans="14:40" x14ac:dyDescent="0.45">
      <c r="N188" t="s">
        <v>181</v>
      </c>
      <c r="O188" t="s">
        <v>251</v>
      </c>
      <c r="P188">
        <v>3.1068681372527192E-3</v>
      </c>
      <c r="Q188" t="s">
        <v>166</v>
      </c>
      <c r="S188" t="s">
        <v>205</v>
      </c>
      <c r="T188" t="s">
        <v>251</v>
      </c>
      <c r="U188">
        <v>3.4974866387713589E-3</v>
      </c>
      <c r="V188" t="s">
        <v>166</v>
      </c>
      <c r="AK188">
        <v>2044</v>
      </c>
      <c r="AL188" t="s">
        <v>158</v>
      </c>
      <c r="AM188">
        <v>0.6069</v>
      </c>
      <c r="AN188" t="s">
        <v>221</v>
      </c>
    </row>
    <row r="189" spans="14:40" x14ac:dyDescent="0.45">
      <c r="N189" t="s">
        <v>181</v>
      </c>
      <c r="O189" t="s">
        <v>252</v>
      </c>
      <c r="P189">
        <v>3.0340806694983602E-3</v>
      </c>
      <c r="Q189" t="s">
        <v>166</v>
      </c>
      <c r="S189" t="s">
        <v>205</v>
      </c>
      <c r="T189" t="s">
        <v>252</v>
      </c>
      <c r="U189">
        <v>3.4234351475699422E-3</v>
      </c>
      <c r="V189" t="s">
        <v>166</v>
      </c>
      <c r="AK189">
        <v>2044</v>
      </c>
      <c r="AL189" t="s">
        <v>160</v>
      </c>
      <c r="AM189">
        <v>0.59599999999999997</v>
      </c>
      <c r="AN189" t="s">
        <v>221</v>
      </c>
    </row>
    <row r="190" spans="14:40" x14ac:dyDescent="0.45">
      <c r="N190" t="s">
        <v>181</v>
      </c>
      <c r="O190" t="s">
        <v>253</v>
      </c>
      <c r="P190">
        <v>3.0730305465420178E-3</v>
      </c>
      <c r="Q190" t="s">
        <v>166</v>
      </c>
      <c r="S190" t="s">
        <v>205</v>
      </c>
      <c r="T190" t="s">
        <v>253</v>
      </c>
      <c r="U190">
        <v>3.4863751185713505E-3</v>
      </c>
      <c r="V190" t="s">
        <v>166</v>
      </c>
      <c r="AK190">
        <v>2044</v>
      </c>
      <c r="AL190" t="s">
        <v>162</v>
      </c>
      <c r="AM190">
        <v>0.65449999999999997</v>
      </c>
      <c r="AN190" t="s">
        <v>221</v>
      </c>
    </row>
    <row r="191" spans="14:40" x14ac:dyDescent="0.45">
      <c r="N191" t="s">
        <v>181</v>
      </c>
      <c r="O191" t="s">
        <v>254</v>
      </c>
      <c r="P191">
        <v>2.0696467152394944E-2</v>
      </c>
      <c r="Q191" t="s">
        <v>166</v>
      </c>
      <c r="S191" t="s">
        <v>205</v>
      </c>
      <c r="T191" t="s">
        <v>254</v>
      </c>
      <c r="U191">
        <v>1.9587826004598161E-2</v>
      </c>
      <c r="V191" t="s">
        <v>166</v>
      </c>
      <c r="AK191">
        <v>2044</v>
      </c>
      <c r="AL191" t="s">
        <v>224</v>
      </c>
      <c r="AM191">
        <v>0.58637499999999998</v>
      </c>
      <c r="AN191" t="s">
        <v>221</v>
      </c>
    </row>
    <row r="192" spans="14:40" x14ac:dyDescent="0.45">
      <c r="N192" t="s">
        <v>181</v>
      </c>
      <c r="O192" t="s">
        <v>255</v>
      </c>
      <c r="P192">
        <v>4.7896958439066342E-2</v>
      </c>
      <c r="Q192" t="s">
        <v>166</v>
      </c>
      <c r="S192" t="s">
        <v>205</v>
      </c>
      <c r="T192" t="s">
        <v>255</v>
      </c>
      <c r="U192">
        <v>4.8374650578347465E-2</v>
      </c>
      <c r="V192" t="s">
        <v>166</v>
      </c>
      <c r="AK192">
        <v>2044</v>
      </c>
      <c r="AL192" t="s">
        <v>226</v>
      </c>
      <c r="AM192">
        <v>0.52639999999999998</v>
      </c>
      <c r="AN192" t="s">
        <v>221</v>
      </c>
    </row>
    <row r="193" spans="14:40" x14ac:dyDescent="0.45">
      <c r="N193" t="s">
        <v>181</v>
      </c>
      <c r="O193" t="s">
        <v>256</v>
      </c>
      <c r="P193">
        <v>1.7685394963227165E-2</v>
      </c>
      <c r="Q193" t="s">
        <v>166</v>
      </c>
      <c r="S193" t="s">
        <v>205</v>
      </c>
      <c r="T193" t="s">
        <v>256</v>
      </c>
      <c r="U193">
        <v>1.6888607291730341E-2</v>
      </c>
      <c r="V193" t="s">
        <v>166</v>
      </c>
      <c r="AK193">
        <v>2044</v>
      </c>
      <c r="AL193" t="s">
        <v>228</v>
      </c>
      <c r="AM193">
        <v>0.61899999999999999</v>
      </c>
      <c r="AN193" t="s">
        <v>221</v>
      </c>
    </row>
    <row r="194" spans="14:40" x14ac:dyDescent="0.45">
      <c r="N194" t="s">
        <v>181</v>
      </c>
      <c r="O194" t="s">
        <v>257</v>
      </c>
      <c r="P194">
        <v>4.5156643560494512E-3</v>
      </c>
      <c r="Q194" t="s">
        <v>166</v>
      </c>
      <c r="S194" t="s">
        <v>205</v>
      </c>
      <c r="T194" t="s">
        <v>257</v>
      </c>
      <c r="U194">
        <v>3.9170500724512933E-3</v>
      </c>
      <c r="V194" t="s">
        <v>166</v>
      </c>
      <c r="AK194">
        <v>2044</v>
      </c>
      <c r="AL194" t="s">
        <v>229</v>
      </c>
      <c r="AM194">
        <v>0.61280000000000001</v>
      </c>
      <c r="AN194" t="s">
        <v>221</v>
      </c>
    </row>
    <row r="195" spans="14:40" x14ac:dyDescent="0.45">
      <c r="N195" t="s">
        <v>181</v>
      </c>
      <c r="O195" t="s">
        <v>258</v>
      </c>
      <c r="P195">
        <v>4.4481200438433472E-3</v>
      </c>
      <c r="Q195" t="s">
        <v>166</v>
      </c>
      <c r="S195" t="s">
        <v>205</v>
      </c>
      <c r="T195" t="s">
        <v>258</v>
      </c>
      <c r="U195">
        <v>3.8036847199547723E-3</v>
      </c>
      <c r="V195" t="s">
        <v>166</v>
      </c>
      <c r="AK195">
        <v>2045</v>
      </c>
      <c r="AL195" t="s">
        <v>154</v>
      </c>
      <c r="AM195">
        <v>0.61439999999999995</v>
      </c>
      <c r="AN195" t="s">
        <v>221</v>
      </c>
    </row>
    <row r="196" spans="14:40" x14ac:dyDescent="0.45">
      <c r="N196" t="s">
        <v>181</v>
      </c>
      <c r="O196" t="s">
        <v>259</v>
      </c>
      <c r="P196">
        <v>4.4227339942130399E-3</v>
      </c>
      <c r="Q196" t="s">
        <v>166</v>
      </c>
      <c r="S196" t="s">
        <v>205</v>
      </c>
      <c r="T196" t="s">
        <v>259</v>
      </c>
      <c r="U196">
        <v>3.8804238057434165E-3</v>
      </c>
      <c r="V196" t="s">
        <v>166</v>
      </c>
      <c r="AK196">
        <v>2045</v>
      </c>
      <c r="AL196" t="s">
        <v>158</v>
      </c>
      <c r="AM196">
        <v>0.66659999999999997</v>
      </c>
      <c r="AN196" t="s">
        <v>221</v>
      </c>
    </row>
    <row r="197" spans="14:40" x14ac:dyDescent="0.45">
      <c r="N197" t="s">
        <v>181</v>
      </c>
      <c r="O197" t="s">
        <v>260</v>
      </c>
      <c r="P197">
        <v>4.9204137090965917E-2</v>
      </c>
      <c r="Q197" t="s">
        <v>166</v>
      </c>
      <c r="S197" t="s">
        <v>205</v>
      </c>
      <c r="T197" t="s">
        <v>260</v>
      </c>
      <c r="U197">
        <v>4.6566690473550748E-2</v>
      </c>
      <c r="V197" t="s">
        <v>166</v>
      </c>
      <c r="AK197">
        <v>2045</v>
      </c>
      <c r="AL197" t="s">
        <v>160</v>
      </c>
      <c r="AM197">
        <v>0.57799999999999996</v>
      </c>
      <c r="AN197" t="s">
        <v>221</v>
      </c>
    </row>
    <row r="198" spans="14:40" x14ac:dyDescent="0.45">
      <c r="N198" t="s">
        <v>181</v>
      </c>
      <c r="O198" t="s">
        <v>261</v>
      </c>
      <c r="P198">
        <v>0.11866784782265409</v>
      </c>
      <c r="Q198" t="s">
        <v>166</v>
      </c>
      <c r="S198" t="s">
        <v>205</v>
      </c>
      <c r="T198" t="s">
        <v>261</v>
      </c>
      <c r="U198">
        <v>0.11066850902576848</v>
      </c>
      <c r="V198" t="s">
        <v>166</v>
      </c>
      <c r="AK198">
        <v>2045</v>
      </c>
      <c r="AL198" t="s">
        <v>162</v>
      </c>
      <c r="AM198">
        <v>0.55810000000000004</v>
      </c>
      <c r="AN198" t="s">
        <v>221</v>
      </c>
    </row>
    <row r="199" spans="14:40" x14ac:dyDescent="0.45">
      <c r="N199" t="s">
        <v>181</v>
      </c>
      <c r="O199" t="s">
        <v>262</v>
      </c>
      <c r="P199">
        <v>4.0961784671204385E-2</v>
      </c>
      <c r="Q199" t="s">
        <v>166</v>
      </c>
      <c r="S199" t="s">
        <v>205</v>
      </c>
      <c r="T199" t="s">
        <v>262</v>
      </c>
      <c r="U199">
        <v>3.8363186507089156E-2</v>
      </c>
      <c r="V199" t="s">
        <v>166</v>
      </c>
      <c r="AK199">
        <v>2045</v>
      </c>
      <c r="AL199" t="s">
        <v>224</v>
      </c>
      <c r="AM199">
        <v>0.56309999999999993</v>
      </c>
      <c r="AN199" t="s">
        <v>221</v>
      </c>
    </row>
    <row r="200" spans="14:40" x14ac:dyDescent="0.45">
      <c r="N200" t="s">
        <v>181</v>
      </c>
      <c r="O200" t="s">
        <v>263</v>
      </c>
      <c r="P200">
        <v>1.0285062657051416E-2</v>
      </c>
      <c r="Q200" t="s">
        <v>166</v>
      </c>
      <c r="S200" t="s">
        <v>205</v>
      </c>
      <c r="T200" t="s">
        <v>263</v>
      </c>
      <c r="U200">
        <v>9.6929543419241419E-3</v>
      </c>
      <c r="V200" t="s">
        <v>166</v>
      </c>
      <c r="AK200">
        <v>2045</v>
      </c>
      <c r="AL200" t="s">
        <v>226</v>
      </c>
      <c r="AM200">
        <v>0.58089999999999997</v>
      </c>
      <c r="AN200" t="s">
        <v>221</v>
      </c>
    </row>
    <row r="201" spans="14:40" x14ac:dyDescent="0.45">
      <c r="N201" t="s">
        <v>181</v>
      </c>
      <c r="O201" t="s">
        <v>264</v>
      </c>
      <c r="P201">
        <v>1.0250435596699674E-2</v>
      </c>
      <c r="Q201" t="s">
        <v>166</v>
      </c>
      <c r="S201" t="s">
        <v>205</v>
      </c>
      <c r="T201" t="s">
        <v>264</v>
      </c>
      <c r="U201">
        <v>9.5719718592352752E-3</v>
      </c>
      <c r="V201" t="s">
        <v>166</v>
      </c>
      <c r="AK201">
        <v>2045</v>
      </c>
      <c r="AL201" t="s">
        <v>228</v>
      </c>
      <c r="AM201">
        <v>0.56479999999999997</v>
      </c>
      <c r="AN201" t="s">
        <v>221</v>
      </c>
    </row>
    <row r="202" spans="14:40" x14ac:dyDescent="0.45">
      <c r="N202" t="s">
        <v>181</v>
      </c>
      <c r="O202" t="s">
        <v>265</v>
      </c>
      <c r="P202">
        <v>1.0145227032708384E-2</v>
      </c>
      <c r="Q202" t="s">
        <v>166</v>
      </c>
      <c r="S202" t="s">
        <v>205</v>
      </c>
      <c r="T202" t="s">
        <v>265</v>
      </c>
      <c r="U202">
        <v>9.5426916541200297E-3</v>
      </c>
      <c r="V202" t="s">
        <v>166</v>
      </c>
      <c r="AK202">
        <v>2045</v>
      </c>
      <c r="AL202" t="s">
        <v>229</v>
      </c>
      <c r="AM202">
        <v>0.58379999999999999</v>
      </c>
      <c r="AN202" t="s">
        <v>221</v>
      </c>
    </row>
    <row r="203" spans="14:40" x14ac:dyDescent="0.45">
      <c r="N203" t="s">
        <v>182</v>
      </c>
      <c r="O203" t="s">
        <v>165</v>
      </c>
      <c r="P203">
        <v>2.0070736060967334E-2</v>
      </c>
      <c r="Q203" t="s">
        <v>166</v>
      </c>
      <c r="S203" t="s">
        <v>206</v>
      </c>
      <c r="T203" t="s">
        <v>165</v>
      </c>
      <c r="U203">
        <v>2.0985637390729832E-2</v>
      </c>
      <c r="V203" t="s">
        <v>166</v>
      </c>
      <c r="AK203">
        <v>2046</v>
      </c>
      <c r="AL203" t="s">
        <v>154</v>
      </c>
      <c r="AM203">
        <v>0.61609999999999998</v>
      </c>
      <c r="AN203" t="s">
        <v>221</v>
      </c>
    </row>
    <row r="204" spans="14:40" x14ac:dyDescent="0.45">
      <c r="N204" t="s">
        <v>182</v>
      </c>
      <c r="O204" t="s">
        <v>167</v>
      </c>
      <c r="P204">
        <v>4.7269833766795263E-2</v>
      </c>
      <c r="Q204" t="s">
        <v>166</v>
      </c>
      <c r="S204" t="s">
        <v>206</v>
      </c>
      <c r="T204" t="s">
        <v>167</v>
      </c>
      <c r="U204">
        <v>5.0148943334639935E-2</v>
      </c>
      <c r="V204" t="s">
        <v>166</v>
      </c>
      <c r="AK204">
        <v>2046</v>
      </c>
      <c r="AL204" t="s">
        <v>158</v>
      </c>
      <c r="AM204">
        <v>0.66210000000000002</v>
      </c>
      <c r="AN204" t="s">
        <v>221</v>
      </c>
    </row>
    <row r="205" spans="14:40" x14ac:dyDescent="0.45">
      <c r="N205" t="s">
        <v>182</v>
      </c>
      <c r="O205" t="s">
        <v>168</v>
      </c>
      <c r="P205">
        <v>1.5405418998453303E-2</v>
      </c>
      <c r="Q205" t="s">
        <v>166</v>
      </c>
      <c r="S205" t="s">
        <v>206</v>
      </c>
      <c r="T205" t="s">
        <v>168</v>
      </c>
      <c r="U205">
        <v>1.6122499188641764E-2</v>
      </c>
      <c r="V205" t="s">
        <v>166</v>
      </c>
      <c r="AK205">
        <v>2046</v>
      </c>
      <c r="AL205" t="s">
        <v>160</v>
      </c>
      <c r="AM205">
        <v>0.64559999999999995</v>
      </c>
      <c r="AN205" t="s">
        <v>221</v>
      </c>
    </row>
    <row r="206" spans="14:40" x14ac:dyDescent="0.45">
      <c r="N206" t="s">
        <v>182</v>
      </c>
      <c r="O206" t="s">
        <v>230</v>
      </c>
      <c r="P206">
        <v>3.703052523381834E-3</v>
      </c>
      <c r="Q206" t="s">
        <v>166</v>
      </c>
      <c r="S206" t="s">
        <v>206</v>
      </c>
      <c r="T206" t="s">
        <v>230</v>
      </c>
      <c r="U206">
        <v>4.0130982196998274E-3</v>
      </c>
      <c r="V206" t="s">
        <v>166</v>
      </c>
      <c r="AK206">
        <v>2046</v>
      </c>
      <c r="AL206" t="s">
        <v>162</v>
      </c>
      <c r="AM206">
        <v>0.65129999999999999</v>
      </c>
      <c r="AN206" t="s">
        <v>221</v>
      </c>
    </row>
    <row r="207" spans="14:40" x14ac:dyDescent="0.45">
      <c r="N207" t="s">
        <v>182</v>
      </c>
      <c r="O207" t="s">
        <v>231</v>
      </c>
      <c r="P207">
        <v>3.664373325748971E-3</v>
      </c>
      <c r="Q207" t="s">
        <v>166</v>
      </c>
      <c r="S207" t="s">
        <v>206</v>
      </c>
      <c r="T207" t="s">
        <v>231</v>
      </c>
      <c r="U207">
        <v>4.0129469903977507E-3</v>
      </c>
      <c r="V207" t="s">
        <v>166</v>
      </c>
      <c r="AK207">
        <v>2046</v>
      </c>
      <c r="AL207" t="s">
        <v>224</v>
      </c>
      <c r="AM207">
        <v>0.58424999999999994</v>
      </c>
      <c r="AN207" t="s">
        <v>221</v>
      </c>
    </row>
    <row r="208" spans="14:40" x14ac:dyDescent="0.45">
      <c r="N208" t="s">
        <v>182</v>
      </c>
      <c r="O208" t="s">
        <v>232</v>
      </c>
      <c r="P208">
        <v>3.5834580243770176E-3</v>
      </c>
      <c r="Q208" t="s">
        <v>166</v>
      </c>
      <c r="S208" t="s">
        <v>206</v>
      </c>
      <c r="T208" t="s">
        <v>232</v>
      </c>
      <c r="U208">
        <v>3.8921592416450712E-3</v>
      </c>
      <c r="V208" t="s">
        <v>166</v>
      </c>
      <c r="AK208">
        <v>2046</v>
      </c>
      <c r="AL208" t="s">
        <v>226</v>
      </c>
      <c r="AM208">
        <v>0.57220000000000004</v>
      </c>
      <c r="AN208" t="s">
        <v>221</v>
      </c>
    </row>
    <row r="209" spans="14:40" x14ac:dyDescent="0.45">
      <c r="N209" t="s">
        <v>182</v>
      </c>
      <c r="O209" t="s">
        <v>169</v>
      </c>
      <c r="P209">
        <v>1.102255437875369E-2</v>
      </c>
      <c r="Q209" t="s">
        <v>166</v>
      </c>
      <c r="S209" t="s">
        <v>206</v>
      </c>
      <c r="T209" t="s">
        <v>169</v>
      </c>
      <c r="U209">
        <v>8.9701066628454507E-3</v>
      </c>
      <c r="V209" t="s">
        <v>166</v>
      </c>
      <c r="AK209">
        <v>2046</v>
      </c>
      <c r="AL209" t="s">
        <v>228</v>
      </c>
      <c r="AM209">
        <v>0.52080000000000004</v>
      </c>
      <c r="AN209" t="s">
        <v>221</v>
      </c>
    </row>
    <row r="210" spans="14:40" x14ac:dyDescent="0.45">
      <c r="N210" t="s">
        <v>182</v>
      </c>
      <c r="O210" t="s">
        <v>170</v>
      </c>
      <c r="P210">
        <v>2.8414126119464651E-2</v>
      </c>
      <c r="Q210" t="s">
        <v>166</v>
      </c>
      <c r="S210" t="s">
        <v>206</v>
      </c>
      <c r="T210" t="s">
        <v>170</v>
      </c>
      <c r="U210">
        <v>2.6944009349709759E-2</v>
      </c>
      <c r="V210" t="s">
        <v>166</v>
      </c>
      <c r="AK210">
        <v>2046</v>
      </c>
      <c r="AL210" t="s">
        <v>229</v>
      </c>
      <c r="AM210">
        <v>0.61644999999999994</v>
      </c>
      <c r="AN210" t="s">
        <v>221</v>
      </c>
    </row>
    <row r="211" spans="14:40" x14ac:dyDescent="0.45">
      <c r="N211" t="s">
        <v>182</v>
      </c>
      <c r="O211" t="s">
        <v>171</v>
      </c>
      <c r="P211">
        <v>1.1882291306917569E-2</v>
      </c>
      <c r="Q211" t="s">
        <v>166</v>
      </c>
      <c r="S211" t="s">
        <v>206</v>
      </c>
      <c r="T211" t="s">
        <v>171</v>
      </c>
      <c r="U211">
        <v>1.0130065381962455E-2</v>
      </c>
      <c r="V211" t="s">
        <v>166</v>
      </c>
      <c r="AK211">
        <v>2047</v>
      </c>
      <c r="AL211" t="s">
        <v>154</v>
      </c>
      <c r="AM211">
        <v>0.61429999999999996</v>
      </c>
      <c r="AN211" t="s">
        <v>221</v>
      </c>
    </row>
    <row r="212" spans="14:40" x14ac:dyDescent="0.45">
      <c r="N212" t="s">
        <v>182</v>
      </c>
      <c r="O212" t="s">
        <v>233</v>
      </c>
      <c r="P212">
        <v>2.7690720958065997E-3</v>
      </c>
      <c r="Q212" t="s">
        <v>166</v>
      </c>
      <c r="S212" t="s">
        <v>206</v>
      </c>
      <c r="T212" t="s">
        <v>233</v>
      </c>
      <c r="U212">
        <v>2.3095707154460118E-3</v>
      </c>
      <c r="V212" t="s">
        <v>166</v>
      </c>
      <c r="AK212">
        <v>2047</v>
      </c>
      <c r="AL212" t="s">
        <v>158</v>
      </c>
      <c r="AM212">
        <v>0.61029999999999995</v>
      </c>
      <c r="AN212" t="s">
        <v>221</v>
      </c>
    </row>
    <row r="213" spans="14:40" x14ac:dyDescent="0.45">
      <c r="N213" t="s">
        <v>182</v>
      </c>
      <c r="O213" t="s">
        <v>234</v>
      </c>
      <c r="P213">
        <v>2.6860351798278408E-3</v>
      </c>
      <c r="Q213" t="s">
        <v>166</v>
      </c>
      <c r="S213" t="s">
        <v>206</v>
      </c>
      <c r="T213" t="s">
        <v>234</v>
      </c>
      <c r="U213">
        <v>2.2324932027591969E-3</v>
      </c>
      <c r="V213" t="s">
        <v>166</v>
      </c>
      <c r="AK213">
        <v>2047</v>
      </c>
      <c r="AL213" t="s">
        <v>160</v>
      </c>
      <c r="AM213">
        <v>0.66310000000000002</v>
      </c>
      <c r="AN213" t="s">
        <v>221</v>
      </c>
    </row>
    <row r="214" spans="14:40" x14ac:dyDescent="0.45">
      <c r="N214" t="s">
        <v>182</v>
      </c>
      <c r="O214" t="s">
        <v>235</v>
      </c>
      <c r="P214">
        <v>2.525455809056644E-3</v>
      </c>
      <c r="Q214" t="s">
        <v>166</v>
      </c>
      <c r="S214" t="s">
        <v>206</v>
      </c>
      <c r="T214" t="s">
        <v>235</v>
      </c>
      <c r="U214">
        <v>2.1687115911905291E-3</v>
      </c>
      <c r="V214" t="s">
        <v>166</v>
      </c>
      <c r="AK214">
        <v>2047</v>
      </c>
      <c r="AL214" t="s">
        <v>162</v>
      </c>
      <c r="AM214">
        <v>0.65029999999999999</v>
      </c>
      <c r="AN214" t="s">
        <v>221</v>
      </c>
    </row>
    <row r="215" spans="14:40" x14ac:dyDescent="0.45">
      <c r="N215" t="s">
        <v>182</v>
      </c>
      <c r="O215" t="s">
        <v>172</v>
      </c>
      <c r="P215">
        <v>1.6887953936995874E-2</v>
      </c>
      <c r="Q215" t="s">
        <v>166</v>
      </c>
      <c r="S215" t="s">
        <v>206</v>
      </c>
      <c r="T215" t="s">
        <v>172</v>
      </c>
      <c r="U215">
        <v>1.6230365184319907E-2</v>
      </c>
      <c r="V215" t="s">
        <v>166</v>
      </c>
      <c r="AK215">
        <v>2047</v>
      </c>
      <c r="AL215" t="s">
        <v>224</v>
      </c>
      <c r="AM215">
        <v>0.61277500000000007</v>
      </c>
      <c r="AN215" t="s">
        <v>221</v>
      </c>
    </row>
    <row r="216" spans="14:40" x14ac:dyDescent="0.45">
      <c r="N216" t="s">
        <v>182</v>
      </c>
      <c r="O216" t="s">
        <v>173</v>
      </c>
      <c r="P216">
        <v>3.7504095453076806E-2</v>
      </c>
      <c r="Q216" t="s">
        <v>166</v>
      </c>
      <c r="S216" t="s">
        <v>206</v>
      </c>
      <c r="T216" t="s">
        <v>173</v>
      </c>
      <c r="U216">
        <v>3.7524569940088258E-2</v>
      </c>
      <c r="V216" t="s">
        <v>166</v>
      </c>
      <c r="AK216">
        <v>2047</v>
      </c>
      <c r="AL216" t="s">
        <v>226</v>
      </c>
      <c r="AM216">
        <v>0.55559999999999998</v>
      </c>
      <c r="AN216" t="s">
        <v>221</v>
      </c>
    </row>
    <row r="217" spans="14:40" x14ac:dyDescent="0.45">
      <c r="N217" t="s">
        <v>182</v>
      </c>
      <c r="O217" t="s">
        <v>174</v>
      </c>
      <c r="P217">
        <v>1.6653613529110337E-2</v>
      </c>
      <c r="Q217" t="s">
        <v>166</v>
      </c>
      <c r="S217" t="s">
        <v>206</v>
      </c>
      <c r="T217" t="s">
        <v>174</v>
      </c>
      <c r="U217">
        <v>1.507228141473739E-2</v>
      </c>
      <c r="V217" t="s">
        <v>166</v>
      </c>
      <c r="AK217">
        <v>2047</v>
      </c>
      <c r="AL217" t="s">
        <v>228</v>
      </c>
      <c r="AM217">
        <v>0.53759999999999997</v>
      </c>
      <c r="AN217" t="s">
        <v>221</v>
      </c>
    </row>
    <row r="218" spans="14:40" x14ac:dyDescent="0.45">
      <c r="N218" t="s">
        <v>182</v>
      </c>
      <c r="O218" t="s">
        <v>236</v>
      </c>
      <c r="P218">
        <v>3.9765523153356026E-3</v>
      </c>
      <c r="Q218" t="s">
        <v>166</v>
      </c>
      <c r="S218" t="s">
        <v>206</v>
      </c>
      <c r="T218" t="s">
        <v>236</v>
      </c>
      <c r="U218">
        <v>3.6369020005946823E-3</v>
      </c>
      <c r="V218" t="s">
        <v>166</v>
      </c>
      <c r="AK218">
        <v>2047</v>
      </c>
      <c r="AL218" t="s">
        <v>229</v>
      </c>
      <c r="AM218">
        <v>0.60270000000000001</v>
      </c>
      <c r="AN218" t="s">
        <v>221</v>
      </c>
    </row>
    <row r="219" spans="14:40" x14ac:dyDescent="0.45">
      <c r="N219" t="s">
        <v>182</v>
      </c>
      <c r="O219" t="s">
        <v>237</v>
      </c>
      <c r="P219">
        <v>3.7337656599256228E-3</v>
      </c>
      <c r="Q219" t="s">
        <v>166</v>
      </c>
      <c r="S219" t="s">
        <v>206</v>
      </c>
      <c r="T219" t="s">
        <v>237</v>
      </c>
      <c r="U219">
        <v>3.4774075242986306E-3</v>
      </c>
      <c r="V219" t="s">
        <v>166</v>
      </c>
      <c r="AK219">
        <v>2048</v>
      </c>
      <c r="AL219" t="s">
        <v>154</v>
      </c>
      <c r="AM219">
        <v>0.49659999999999999</v>
      </c>
      <c r="AN219" t="s">
        <v>221</v>
      </c>
    </row>
    <row r="220" spans="14:40" x14ac:dyDescent="0.45">
      <c r="N220" t="s">
        <v>182</v>
      </c>
      <c r="O220" t="s">
        <v>238</v>
      </c>
      <c r="P220">
        <v>3.5979560541630927E-3</v>
      </c>
      <c r="Q220" t="s">
        <v>166</v>
      </c>
      <c r="S220" t="s">
        <v>206</v>
      </c>
      <c r="T220" t="s">
        <v>238</v>
      </c>
      <c r="U220">
        <v>3.4697500483155358E-3</v>
      </c>
      <c r="V220" t="s">
        <v>166</v>
      </c>
      <c r="AK220">
        <v>2048</v>
      </c>
      <c r="AL220" t="s">
        <v>158</v>
      </c>
      <c r="AM220">
        <v>0.57669999999999999</v>
      </c>
      <c r="AN220" t="s">
        <v>221</v>
      </c>
    </row>
    <row r="221" spans="14:40" x14ac:dyDescent="0.45">
      <c r="N221" t="s">
        <v>182</v>
      </c>
      <c r="O221" t="s">
        <v>175</v>
      </c>
      <c r="P221">
        <v>2.0054413470089981E-2</v>
      </c>
      <c r="Q221" t="s">
        <v>166</v>
      </c>
      <c r="S221" t="s">
        <v>206</v>
      </c>
      <c r="T221" t="s">
        <v>175</v>
      </c>
      <c r="U221">
        <v>1.7658516157902988E-2</v>
      </c>
      <c r="V221" t="s">
        <v>166</v>
      </c>
      <c r="AK221">
        <v>2048</v>
      </c>
      <c r="AL221" t="s">
        <v>160</v>
      </c>
      <c r="AM221">
        <v>0.51700000000000002</v>
      </c>
      <c r="AN221" t="s">
        <v>221</v>
      </c>
    </row>
    <row r="222" spans="14:40" x14ac:dyDescent="0.45">
      <c r="N222" t="s">
        <v>182</v>
      </c>
      <c r="O222" t="s">
        <v>176</v>
      </c>
      <c r="P222">
        <v>4.64188318369445E-2</v>
      </c>
      <c r="Q222" t="s">
        <v>166</v>
      </c>
      <c r="S222" t="s">
        <v>206</v>
      </c>
      <c r="T222" t="s">
        <v>176</v>
      </c>
      <c r="U222">
        <v>4.4932446099188166E-2</v>
      </c>
      <c r="V222" t="s">
        <v>166</v>
      </c>
      <c r="AK222">
        <v>2048</v>
      </c>
      <c r="AL222" t="s">
        <v>162</v>
      </c>
      <c r="AM222">
        <v>0.49690000000000001</v>
      </c>
      <c r="AN222" t="s">
        <v>221</v>
      </c>
    </row>
    <row r="223" spans="14:40" x14ac:dyDescent="0.45">
      <c r="N223" t="s">
        <v>182</v>
      </c>
      <c r="O223" t="s">
        <v>177</v>
      </c>
      <c r="P223">
        <v>1.6104365349427965E-2</v>
      </c>
      <c r="Q223" t="s">
        <v>166</v>
      </c>
      <c r="S223" t="s">
        <v>206</v>
      </c>
      <c r="T223" t="s">
        <v>177</v>
      </c>
      <c r="U223">
        <v>1.6088825369393212E-2</v>
      </c>
      <c r="V223" t="s">
        <v>166</v>
      </c>
      <c r="AK223">
        <v>2048</v>
      </c>
      <c r="AL223" t="s">
        <v>224</v>
      </c>
      <c r="AM223">
        <v>0.49565000000000003</v>
      </c>
      <c r="AN223" t="s">
        <v>221</v>
      </c>
    </row>
    <row r="224" spans="14:40" x14ac:dyDescent="0.45">
      <c r="N224" t="s">
        <v>182</v>
      </c>
      <c r="O224" t="s">
        <v>239</v>
      </c>
      <c r="P224">
        <v>4.2879886849299517E-3</v>
      </c>
      <c r="Q224" t="s">
        <v>166</v>
      </c>
      <c r="S224" t="s">
        <v>206</v>
      </c>
      <c r="T224" t="s">
        <v>239</v>
      </c>
      <c r="U224">
        <v>4.0200959784726818E-3</v>
      </c>
      <c r="V224" t="s">
        <v>166</v>
      </c>
      <c r="AK224">
        <v>2048</v>
      </c>
      <c r="AL224" t="s">
        <v>226</v>
      </c>
      <c r="AM224">
        <v>0.4501</v>
      </c>
      <c r="AN224" t="s">
        <v>221</v>
      </c>
    </row>
    <row r="225" spans="14:40" x14ac:dyDescent="0.45">
      <c r="N225" t="s">
        <v>182</v>
      </c>
      <c r="O225" t="s">
        <v>240</v>
      </c>
      <c r="P225">
        <v>4.254287402179373E-3</v>
      </c>
      <c r="Q225" t="s">
        <v>166</v>
      </c>
      <c r="S225" t="s">
        <v>206</v>
      </c>
      <c r="T225" t="s">
        <v>240</v>
      </c>
      <c r="U225">
        <v>3.9438450101267506E-3</v>
      </c>
      <c r="V225" t="s">
        <v>166</v>
      </c>
      <c r="AK225">
        <v>2048</v>
      </c>
      <c r="AL225" t="s">
        <v>228</v>
      </c>
      <c r="AM225">
        <v>0.48080000000000001</v>
      </c>
      <c r="AN225" t="s">
        <v>221</v>
      </c>
    </row>
    <row r="226" spans="14:40" x14ac:dyDescent="0.45">
      <c r="N226" t="s">
        <v>182</v>
      </c>
      <c r="O226" t="s">
        <v>241</v>
      </c>
      <c r="P226">
        <v>4.5124148411507239E-3</v>
      </c>
      <c r="Q226" t="s">
        <v>166</v>
      </c>
      <c r="S226" t="s">
        <v>206</v>
      </c>
      <c r="T226" t="s">
        <v>241</v>
      </c>
      <c r="U226">
        <v>4.0178285003527395E-3</v>
      </c>
      <c r="V226" t="s">
        <v>166</v>
      </c>
      <c r="AK226">
        <v>2048</v>
      </c>
      <c r="AL226" t="s">
        <v>229</v>
      </c>
      <c r="AM226">
        <v>0.53170000000000006</v>
      </c>
      <c r="AN226" t="s">
        <v>221</v>
      </c>
    </row>
    <row r="227" spans="14:40" x14ac:dyDescent="0.45">
      <c r="N227" t="s">
        <v>182</v>
      </c>
      <c r="O227" t="s">
        <v>242</v>
      </c>
      <c r="P227">
        <v>5.0881133145020269E-2</v>
      </c>
      <c r="Q227" t="s">
        <v>166</v>
      </c>
      <c r="S227" t="s">
        <v>206</v>
      </c>
      <c r="T227" t="s">
        <v>242</v>
      </c>
      <c r="U227">
        <v>4.9578773819506927E-2</v>
      </c>
      <c r="V227" t="s">
        <v>166</v>
      </c>
      <c r="AK227">
        <v>2049</v>
      </c>
      <c r="AL227" t="s">
        <v>154</v>
      </c>
      <c r="AM227">
        <v>0.49809999999999999</v>
      </c>
      <c r="AN227" t="s">
        <v>221</v>
      </c>
    </row>
    <row r="228" spans="14:40" x14ac:dyDescent="0.45">
      <c r="N228" t="s">
        <v>182</v>
      </c>
      <c r="O228" t="s">
        <v>243</v>
      </c>
      <c r="P228">
        <v>0.11128584585246595</v>
      </c>
      <c r="Q228" t="s">
        <v>166</v>
      </c>
      <c r="S228" t="s">
        <v>206</v>
      </c>
      <c r="T228" t="s">
        <v>243</v>
      </c>
      <c r="U228">
        <v>0.11946853217845975</v>
      </c>
      <c r="V228" t="s">
        <v>166</v>
      </c>
      <c r="AK228">
        <v>2049</v>
      </c>
      <c r="AL228" t="s">
        <v>158</v>
      </c>
      <c r="AM228">
        <v>0.50829999999999997</v>
      </c>
      <c r="AN228" t="s">
        <v>221</v>
      </c>
    </row>
    <row r="229" spans="14:40" x14ac:dyDescent="0.45">
      <c r="N229" t="s">
        <v>182</v>
      </c>
      <c r="O229" t="s">
        <v>244</v>
      </c>
      <c r="P229">
        <v>4.0146756772782413E-2</v>
      </c>
      <c r="Q229" t="s">
        <v>166</v>
      </c>
      <c r="S229" t="s">
        <v>206</v>
      </c>
      <c r="T229" t="s">
        <v>244</v>
      </c>
      <c r="U229">
        <v>4.6897130498718881E-2</v>
      </c>
      <c r="V229" t="s">
        <v>166</v>
      </c>
      <c r="AK229">
        <v>2049</v>
      </c>
      <c r="AL229" t="s">
        <v>160</v>
      </c>
      <c r="AM229">
        <v>0.48970000000000002</v>
      </c>
      <c r="AN229" t="s">
        <v>221</v>
      </c>
    </row>
    <row r="230" spans="14:40" x14ac:dyDescent="0.45">
      <c r="N230" t="s">
        <v>182</v>
      </c>
      <c r="O230" t="s">
        <v>245</v>
      </c>
      <c r="P230">
        <v>1.0788429879081053E-2</v>
      </c>
      <c r="Q230" t="s">
        <v>166</v>
      </c>
      <c r="S230" t="s">
        <v>206</v>
      </c>
      <c r="T230" t="s">
        <v>245</v>
      </c>
      <c r="U230">
        <v>1.1242128665996554E-2</v>
      </c>
      <c r="V230" t="s">
        <v>166</v>
      </c>
      <c r="AK230">
        <v>2049</v>
      </c>
      <c r="AL230" t="s">
        <v>162</v>
      </c>
      <c r="AM230">
        <v>0.52569999999999995</v>
      </c>
      <c r="AN230" t="s">
        <v>221</v>
      </c>
    </row>
    <row r="231" spans="14:40" x14ac:dyDescent="0.45">
      <c r="N231" t="s">
        <v>182</v>
      </c>
      <c r="O231" t="s">
        <v>246</v>
      </c>
      <c r="P231">
        <v>1.0760835501037441E-2</v>
      </c>
      <c r="Q231" t="s">
        <v>166</v>
      </c>
      <c r="S231" t="s">
        <v>206</v>
      </c>
      <c r="T231" t="s">
        <v>246</v>
      </c>
      <c r="U231">
        <v>1.0899195877619151E-2</v>
      </c>
      <c r="V231" t="s">
        <v>166</v>
      </c>
      <c r="AK231">
        <v>2049</v>
      </c>
      <c r="AL231" t="s">
        <v>224</v>
      </c>
      <c r="AM231">
        <v>0.51557500000000001</v>
      </c>
      <c r="AN231" t="s">
        <v>221</v>
      </c>
    </row>
    <row r="232" spans="14:40" x14ac:dyDescent="0.45">
      <c r="N232" t="s">
        <v>182</v>
      </c>
      <c r="O232" t="s">
        <v>247</v>
      </c>
      <c r="P232">
        <v>1.1294950577311629E-2</v>
      </c>
      <c r="Q232" t="s">
        <v>166</v>
      </c>
      <c r="S232" t="s">
        <v>206</v>
      </c>
      <c r="T232" t="s">
        <v>247</v>
      </c>
      <c r="U232">
        <v>1.1268487065468921E-2</v>
      </c>
      <c r="V232" t="s">
        <v>166</v>
      </c>
      <c r="AK232">
        <v>2049</v>
      </c>
      <c r="AL232" t="s">
        <v>226</v>
      </c>
      <c r="AM232">
        <v>0.50319999999999998</v>
      </c>
      <c r="AN232" t="s">
        <v>221</v>
      </c>
    </row>
    <row r="233" spans="14:40" x14ac:dyDescent="0.45">
      <c r="N233" t="s">
        <v>182</v>
      </c>
      <c r="O233" t="s">
        <v>248</v>
      </c>
      <c r="P233">
        <v>1.3068565532272619E-2</v>
      </c>
      <c r="Q233" t="s">
        <v>166</v>
      </c>
      <c r="S233" t="s">
        <v>206</v>
      </c>
      <c r="T233" t="s">
        <v>248</v>
      </c>
      <c r="U233">
        <v>1.3517670519744535E-2</v>
      </c>
      <c r="V233" t="s">
        <v>166</v>
      </c>
      <c r="AK233">
        <v>2049</v>
      </c>
      <c r="AL233" t="s">
        <v>228</v>
      </c>
      <c r="AM233">
        <v>0.49349999999999999</v>
      </c>
      <c r="AN233" t="s">
        <v>221</v>
      </c>
    </row>
    <row r="234" spans="14:40" x14ac:dyDescent="0.45">
      <c r="N234" t="s">
        <v>182</v>
      </c>
      <c r="O234" t="s">
        <v>249</v>
      </c>
      <c r="P234">
        <v>3.1866162583676881E-2</v>
      </c>
      <c r="Q234" t="s">
        <v>166</v>
      </c>
      <c r="S234" t="s">
        <v>206</v>
      </c>
      <c r="T234" t="s">
        <v>249</v>
      </c>
      <c r="U234">
        <v>2.9592597585637832E-2</v>
      </c>
      <c r="V234" t="s">
        <v>166</v>
      </c>
      <c r="AK234">
        <v>2049</v>
      </c>
      <c r="AL234" t="s">
        <v>229</v>
      </c>
      <c r="AM234">
        <v>0.55154999999999998</v>
      </c>
      <c r="AN234" t="s">
        <v>221</v>
      </c>
    </row>
    <row r="235" spans="14:40" x14ac:dyDescent="0.45">
      <c r="N235" t="s">
        <v>182</v>
      </c>
      <c r="O235" t="s">
        <v>250</v>
      </c>
      <c r="P235">
        <v>1.1298257651788242E-2</v>
      </c>
      <c r="Q235" t="s">
        <v>166</v>
      </c>
      <c r="S235" t="s">
        <v>206</v>
      </c>
      <c r="T235" t="s">
        <v>250</v>
      </c>
      <c r="U235">
        <v>1.2932767768967714E-2</v>
      </c>
      <c r="V235" t="s">
        <v>166</v>
      </c>
      <c r="AK235">
        <v>2050</v>
      </c>
      <c r="AL235" t="s">
        <v>154</v>
      </c>
      <c r="AM235">
        <v>0.50609999999999999</v>
      </c>
      <c r="AN235" t="s">
        <v>221</v>
      </c>
    </row>
    <row r="236" spans="14:40" x14ac:dyDescent="0.45">
      <c r="N236" t="s">
        <v>182</v>
      </c>
      <c r="O236" t="s">
        <v>251</v>
      </c>
      <c r="P236">
        <v>2.9379071826920186E-3</v>
      </c>
      <c r="Q236" t="s">
        <v>166</v>
      </c>
      <c r="S236" t="s">
        <v>206</v>
      </c>
      <c r="T236" t="s">
        <v>251</v>
      </c>
      <c r="U236">
        <v>3.1364000405782869E-3</v>
      </c>
      <c r="V236" t="s">
        <v>166</v>
      </c>
      <c r="AK236">
        <v>2050</v>
      </c>
      <c r="AL236" t="s">
        <v>158</v>
      </c>
      <c r="AM236">
        <v>0.52200000000000002</v>
      </c>
      <c r="AN236" t="s">
        <v>221</v>
      </c>
    </row>
    <row r="237" spans="14:40" x14ac:dyDescent="0.45">
      <c r="N237" t="s">
        <v>182</v>
      </c>
      <c r="O237" t="s">
        <v>252</v>
      </c>
      <c r="P237">
        <v>2.8676748363805505E-3</v>
      </c>
      <c r="Q237" t="s">
        <v>166</v>
      </c>
      <c r="S237" t="s">
        <v>206</v>
      </c>
      <c r="T237" t="s">
        <v>252</v>
      </c>
      <c r="U237">
        <v>2.9825134762635468E-3</v>
      </c>
      <c r="V237" t="s">
        <v>166</v>
      </c>
      <c r="AK237">
        <v>2050</v>
      </c>
      <c r="AL237" t="s">
        <v>160</v>
      </c>
      <c r="AM237">
        <v>0.50519999999999998</v>
      </c>
      <c r="AN237" t="s">
        <v>221</v>
      </c>
    </row>
    <row r="238" spans="14:40" x14ac:dyDescent="0.45">
      <c r="N238" t="s">
        <v>182</v>
      </c>
      <c r="O238" t="s">
        <v>253</v>
      </c>
      <c r="P238">
        <v>2.9437538144991946E-3</v>
      </c>
      <c r="Q238" t="s">
        <v>166</v>
      </c>
      <c r="S238" t="s">
        <v>206</v>
      </c>
      <c r="T238" t="s">
        <v>253</v>
      </c>
      <c r="U238">
        <v>3.0278555194922087E-3</v>
      </c>
      <c r="V238" t="s">
        <v>166</v>
      </c>
      <c r="AK238">
        <v>2050</v>
      </c>
      <c r="AL238" t="s">
        <v>162</v>
      </c>
      <c r="AM238">
        <v>0.53720000000000001</v>
      </c>
      <c r="AN238" t="s">
        <v>221</v>
      </c>
    </row>
    <row r="239" spans="14:40" x14ac:dyDescent="0.45">
      <c r="N239" t="s">
        <v>182</v>
      </c>
      <c r="O239" t="s">
        <v>254</v>
      </c>
      <c r="P239">
        <v>1.9938183719458151E-2</v>
      </c>
      <c r="Q239" t="s">
        <v>166</v>
      </c>
      <c r="S239" t="s">
        <v>206</v>
      </c>
      <c r="T239" t="s">
        <v>254</v>
      </c>
      <c r="U239">
        <v>2.1655176919633569E-2</v>
      </c>
      <c r="V239" t="s">
        <v>166</v>
      </c>
      <c r="AK239">
        <v>2050</v>
      </c>
      <c r="AL239" t="s">
        <v>224</v>
      </c>
      <c r="AM239">
        <v>0.51560000000000006</v>
      </c>
      <c r="AN239" t="s">
        <v>221</v>
      </c>
    </row>
    <row r="240" spans="14:40" x14ac:dyDescent="0.45">
      <c r="N240" t="s">
        <v>182</v>
      </c>
      <c r="O240" t="s">
        <v>255</v>
      </c>
      <c r="P240">
        <v>4.9196395789605669E-2</v>
      </c>
      <c r="Q240" t="s">
        <v>166</v>
      </c>
      <c r="S240" t="s">
        <v>206</v>
      </c>
      <c r="T240" t="s">
        <v>255</v>
      </c>
      <c r="U240">
        <v>5.0515883901800542E-2</v>
      </c>
      <c r="V240" t="s">
        <v>166</v>
      </c>
      <c r="AK240">
        <v>2050</v>
      </c>
      <c r="AL240" t="s">
        <v>226</v>
      </c>
      <c r="AM240">
        <v>0.42480000000000001</v>
      </c>
      <c r="AN240" t="s">
        <v>221</v>
      </c>
    </row>
    <row r="241" spans="14:40" x14ac:dyDescent="0.45">
      <c r="N241" t="s">
        <v>182</v>
      </c>
      <c r="O241" t="s">
        <v>256</v>
      </c>
      <c r="P241">
        <v>1.8686766376822553E-2</v>
      </c>
      <c r="Q241" t="s">
        <v>166</v>
      </c>
      <c r="S241" t="s">
        <v>206</v>
      </c>
      <c r="T241" t="s">
        <v>256</v>
      </c>
      <c r="U241">
        <v>1.8999935030494818E-2</v>
      </c>
      <c r="V241" t="s">
        <v>166</v>
      </c>
      <c r="AK241">
        <v>2050</v>
      </c>
      <c r="AL241" t="s">
        <v>228</v>
      </c>
      <c r="AM241">
        <v>0.46110000000000001</v>
      </c>
      <c r="AN241" t="s">
        <v>221</v>
      </c>
    </row>
    <row r="242" spans="14:40" x14ac:dyDescent="0.45">
      <c r="N242" t="s">
        <v>182</v>
      </c>
      <c r="O242" t="s">
        <v>257</v>
      </c>
      <c r="P242">
        <v>4.6810252267069623E-3</v>
      </c>
      <c r="Q242" t="s">
        <v>166</v>
      </c>
      <c r="S242" t="s">
        <v>206</v>
      </c>
      <c r="T242" t="s">
        <v>257</v>
      </c>
      <c r="U242">
        <v>4.7984249061850705E-3</v>
      </c>
      <c r="V242" t="s">
        <v>166</v>
      </c>
      <c r="AK242">
        <v>2050</v>
      </c>
      <c r="AL242" t="s">
        <v>229</v>
      </c>
      <c r="AM242">
        <v>0.55895000000000006</v>
      </c>
      <c r="AN242" t="s">
        <v>221</v>
      </c>
    </row>
    <row r="243" spans="14:40" x14ac:dyDescent="0.45">
      <c r="N243" t="s">
        <v>182</v>
      </c>
      <c r="O243" t="s">
        <v>258</v>
      </c>
      <c r="P243">
        <v>4.5682049475727453E-3</v>
      </c>
      <c r="Q243" t="s">
        <v>166</v>
      </c>
      <c r="S243" t="s">
        <v>206</v>
      </c>
      <c r="T243" t="s">
        <v>258</v>
      </c>
      <c r="U243">
        <v>4.6896303449898832E-3</v>
      </c>
      <c r="V243" t="s">
        <v>166</v>
      </c>
    </row>
    <row r="244" spans="14:40" x14ac:dyDescent="0.45">
      <c r="N244" t="s">
        <v>182</v>
      </c>
      <c r="O244" t="s">
        <v>259</v>
      </c>
      <c r="P244">
        <v>4.3157586024900642E-3</v>
      </c>
      <c r="Q244" t="s">
        <v>166</v>
      </c>
      <c r="S244" t="s">
        <v>206</v>
      </c>
      <c r="T244" t="s">
        <v>259</v>
      </c>
      <c r="U244">
        <v>4.5943154823543161E-3</v>
      </c>
      <c r="V244" t="s">
        <v>166</v>
      </c>
    </row>
    <row r="245" spans="14:40" x14ac:dyDescent="0.45">
      <c r="N245" t="s">
        <v>182</v>
      </c>
      <c r="O245" t="s">
        <v>260</v>
      </c>
      <c r="P245">
        <v>5.5747841441359476E-2</v>
      </c>
      <c r="Q245" t="s">
        <v>166</v>
      </c>
      <c r="S245" t="s">
        <v>206</v>
      </c>
      <c r="T245" t="s">
        <v>260</v>
      </c>
      <c r="U245">
        <v>5.4133494279321383E-2</v>
      </c>
      <c r="V245" t="s">
        <v>166</v>
      </c>
    </row>
    <row r="246" spans="14:40" x14ac:dyDescent="0.45">
      <c r="N246" t="s">
        <v>182</v>
      </c>
      <c r="O246" t="s">
        <v>261</v>
      </c>
      <c r="P246">
        <v>0.13057617412753109</v>
      </c>
      <c r="Q246" t="s">
        <v>166</v>
      </c>
      <c r="S246" t="s">
        <v>206</v>
      </c>
      <c r="T246" t="s">
        <v>261</v>
      </c>
      <c r="U246">
        <v>0.1271925889112494</v>
      </c>
      <c r="V246" t="s">
        <v>166</v>
      </c>
    </row>
    <row r="247" spans="14:40" x14ac:dyDescent="0.45">
      <c r="N247" t="s">
        <v>182</v>
      </c>
      <c r="O247" t="s">
        <v>262</v>
      </c>
      <c r="P247">
        <v>4.5991919862248341E-2</v>
      </c>
      <c r="Q247" t="s">
        <v>166</v>
      </c>
      <c r="S247" t="s">
        <v>206</v>
      </c>
      <c r="T247" t="s">
        <v>262</v>
      </c>
      <c r="U247">
        <v>4.3810410116389545E-2</v>
      </c>
      <c r="V247" t="s">
        <v>166</v>
      </c>
    </row>
    <row r="248" spans="14:40" x14ac:dyDescent="0.45">
      <c r="N248" t="s">
        <v>182</v>
      </c>
      <c r="O248" t="s">
        <v>263</v>
      </c>
      <c r="P248">
        <v>1.178411458454982E-2</v>
      </c>
      <c r="Q248" t="s">
        <v>166</v>
      </c>
      <c r="S248" t="s">
        <v>206</v>
      </c>
      <c r="T248" t="s">
        <v>263</v>
      </c>
      <c r="U248">
        <v>1.113598829563898E-2</v>
      </c>
      <c r="V248" t="s">
        <v>166</v>
      </c>
    </row>
    <row r="249" spans="14:40" x14ac:dyDescent="0.45">
      <c r="N249" t="s">
        <v>182</v>
      </c>
      <c r="O249" t="s">
        <v>264</v>
      </c>
      <c r="P249">
        <v>1.1740568445653993E-2</v>
      </c>
      <c r="Q249" t="s">
        <v>166</v>
      </c>
      <c r="S249" t="s">
        <v>206</v>
      </c>
      <c r="T249" t="s">
        <v>264</v>
      </c>
      <c r="U249">
        <v>1.1043222023364052E-2</v>
      </c>
      <c r="V249" t="s">
        <v>166</v>
      </c>
    </row>
    <row r="250" spans="14:40" x14ac:dyDescent="0.45">
      <c r="N250" t="s">
        <v>182</v>
      </c>
      <c r="O250" t="s">
        <v>265</v>
      </c>
      <c r="P250">
        <v>1.1650127424111398E-2</v>
      </c>
      <c r="Q250" t="s">
        <v>166</v>
      </c>
      <c r="S250" t="s">
        <v>206</v>
      </c>
      <c r="T250" t="s">
        <v>265</v>
      </c>
      <c r="U250">
        <v>1.088380227466349E-2</v>
      </c>
      <c r="V250" t="s">
        <v>166</v>
      </c>
    </row>
    <row r="251" spans="14:40" x14ac:dyDescent="0.45">
      <c r="N251" t="s">
        <v>183</v>
      </c>
      <c r="O251" t="s">
        <v>165</v>
      </c>
      <c r="P251">
        <v>2.0547300935870986E-2</v>
      </c>
      <c r="Q251" t="s">
        <v>166</v>
      </c>
      <c r="S251" t="s">
        <v>207</v>
      </c>
      <c r="T251" t="s">
        <v>165</v>
      </c>
      <c r="U251">
        <v>2.0821634933766885E-2</v>
      </c>
      <c r="V251" t="s">
        <v>166</v>
      </c>
    </row>
    <row r="252" spans="14:40" x14ac:dyDescent="0.45">
      <c r="N252" t="s">
        <v>183</v>
      </c>
      <c r="O252" t="s">
        <v>167</v>
      </c>
      <c r="P252">
        <v>4.6412567828327284E-2</v>
      </c>
      <c r="Q252" t="s">
        <v>166</v>
      </c>
      <c r="S252" t="s">
        <v>207</v>
      </c>
      <c r="T252" t="s">
        <v>167</v>
      </c>
      <c r="U252">
        <v>4.8800929347479864E-2</v>
      </c>
      <c r="V252" t="s">
        <v>166</v>
      </c>
    </row>
    <row r="253" spans="14:40" x14ac:dyDescent="0.45">
      <c r="N253" t="s">
        <v>183</v>
      </c>
      <c r="O253" t="s">
        <v>168</v>
      </c>
      <c r="P253">
        <v>1.5934263133209128E-2</v>
      </c>
      <c r="Q253" t="s">
        <v>166</v>
      </c>
      <c r="S253" t="s">
        <v>207</v>
      </c>
      <c r="T253" t="s">
        <v>168</v>
      </c>
      <c r="U253">
        <v>1.5847446833010786E-2</v>
      </c>
      <c r="V253" t="s">
        <v>166</v>
      </c>
    </row>
    <row r="254" spans="14:40" x14ac:dyDescent="0.45">
      <c r="N254" t="s">
        <v>183</v>
      </c>
      <c r="O254" t="s">
        <v>230</v>
      </c>
      <c r="P254">
        <v>3.9657146147652599E-3</v>
      </c>
      <c r="Q254" t="s">
        <v>166</v>
      </c>
      <c r="S254" t="s">
        <v>207</v>
      </c>
      <c r="T254" t="s">
        <v>230</v>
      </c>
      <c r="U254">
        <v>3.903613796858317E-3</v>
      </c>
      <c r="V254" t="s">
        <v>166</v>
      </c>
    </row>
    <row r="255" spans="14:40" x14ac:dyDescent="0.45">
      <c r="N255" t="s">
        <v>183</v>
      </c>
      <c r="O255" t="s">
        <v>231</v>
      </c>
      <c r="P255">
        <v>3.8949889878144655E-3</v>
      </c>
      <c r="Q255" t="s">
        <v>166</v>
      </c>
      <c r="S255" t="s">
        <v>207</v>
      </c>
      <c r="T255" t="s">
        <v>231</v>
      </c>
      <c r="U255">
        <v>3.910107828972333E-3</v>
      </c>
      <c r="V255" t="s">
        <v>166</v>
      </c>
    </row>
    <row r="256" spans="14:40" x14ac:dyDescent="0.45">
      <c r="N256" t="s">
        <v>183</v>
      </c>
      <c r="O256" t="s">
        <v>232</v>
      </c>
      <c r="P256">
        <v>3.8178257976762631E-3</v>
      </c>
      <c r="Q256" t="s">
        <v>166</v>
      </c>
      <c r="S256" t="s">
        <v>207</v>
      </c>
      <c r="T256" t="s">
        <v>232</v>
      </c>
      <c r="U256">
        <v>3.9003184118243635E-3</v>
      </c>
      <c r="V256" t="s">
        <v>166</v>
      </c>
    </row>
    <row r="257" spans="14:22" x14ac:dyDescent="0.45">
      <c r="N257" t="s">
        <v>183</v>
      </c>
      <c r="O257" t="s">
        <v>169</v>
      </c>
      <c r="P257">
        <v>1.0796207113770719E-2</v>
      </c>
      <c r="Q257" t="s">
        <v>166</v>
      </c>
      <c r="S257" t="s">
        <v>207</v>
      </c>
      <c r="T257" t="s">
        <v>169</v>
      </c>
      <c r="U257">
        <v>8.5070887165194405E-3</v>
      </c>
      <c r="V257" t="s">
        <v>166</v>
      </c>
    </row>
    <row r="258" spans="14:22" x14ac:dyDescent="0.45">
      <c r="N258" t="s">
        <v>183</v>
      </c>
      <c r="O258" t="s">
        <v>170</v>
      </c>
      <c r="P258">
        <v>2.7534574479315004E-2</v>
      </c>
      <c r="Q258" t="s">
        <v>166</v>
      </c>
      <c r="S258" t="s">
        <v>207</v>
      </c>
      <c r="T258" t="s">
        <v>170</v>
      </c>
      <c r="U258">
        <v>2.3846597017239509E-2</v>
      </c>
      <c r="V258" t="s">
        <v>166</v>
      </c>
    </row>
    <row r="259" spans="14:22" x14ac:dyDescent="0.45">
      <c r="N259" t="s">
        <v>183</v>
      </c>
      <c r="O259" t="s">
        <v>171</v>
      </c>
      <c r="P259">
        <v>1.2044654705994922E-2</v>
      </c>
      <c r="Q259" t="s">
        <v>166</v>
      </c>
      <c r="S259" t="s">
        <v>207</v>
      </c>
      <c r="T259" t="s">
        <v>171</v>
      </c>
      <c r="U259">
        <v>1.038194596323839E-2</v>
      </c>
      <c r="V259" t="s">
        <v>166</v>
      </c>
    </row>
    <row r="260" spans="14:22" x14ac:dyDescent="0.45">
      <c r="N260" t="s">
        <v>183</v>
      </c>
      <c r="O260" t="s">
        <v>233</v>
      </c>
      <c r="P260">
        <v>2.7233503596639907E-3</v>
      </c>
      <c r="Q260" t="s">
        <v>166</v>
      </c>
      <c r="S260" t="s">
        <v>207</v>
      </c>
      <c r="T260" t="s">
        <v>233</v>
      </c>
      <c r="U260">
        <v>2.5079603140794504E-3</v>
      </c>
      <c r="V260" t="s">
        <v>166</v>
      </c>
    </row>
    <row r="261" spans="14:22" x14ac:dyDescent="0.45">
      <c r="N261" t="s">
        <v>183</v>
      </c>
      <c r="O261" t="s">
        <v>234</v>
      </c>
      <c r="P261">
        <v>2.6049493671408594E-3</v>
      </c>
      <c r="Q261" t="s">
        <v>166</v>
      </c>
      <c r="S261" t="s">
        <v>207</v>
      </c>
      <c r="T261" t="s">
        <v>234</v>
      </c>
      <c r="U261">
        <v>2.3760555372830568E-3</v>
      </c>
      <c r="V261" t="s">
        <v>166</v>
      </c>
    </row>
    <row r="262" spans="14:22" x14ac:dyDescent="0.45">
      <c r="N262" t="s">
        <v>183</v>
      </c>
      <c r="O262" t="s">
        <v>235</v>
      </c>
      <c r="P262">
        <v>2.4131569032323956E-3</v>
      </c>
      <c r="Q262" t="s">
        <v>166</v>
      </c>
      <c r="S262" t="s">
        <v>207</v>
      </c>
      <c r="T262" t="s">
        <v>235</v>
      </c>
      <c r="U262">
        <v>2.181863931251863E-3</v>
      </c>
      <c r="V262" t="s">
        <v>166</v>
      </c>
    </row>
    <row r="263" spans="14:22" x14ac:dyDescent="0.45">
      <c r="N263" t="s">
        <v>183</v>
      </c>
      <c r="O263" t="s">
        <v>172</v>
      </c>
      <c r="P263">
        <v>1.7925699640080003E-2</v>
      </c>
      <c r="Q263" t="s">
        <v>166</v>
      </c>
      <c r="S263" t="s">
        <v>207</v>
      </c>
      <c r="T263" t="s">
        <v>172</v>
      </c>
      <c r="U263">
        <v>1.8102134659598663E-2</v>
      </c>
      <c r="V263" t="s">
        <v>166</v>
      </c>
    </row>
    <row r="264" spans="14:22" x14ac:dyDescent="0.45">
      <c r="N264" t="s">
        <v>183</v>
      </c>
      <c r="O264" t="s">
        <v>173</v>
      </c>
      <c r="P264">
        <v>3.7160076552532811E-2</v>
      </c>
      <c r="Q264" t="s">
        <v>166</v>
      </c>
      <c r="S264" t="s">
        <v>207</v>
      </c>
      <c r="T264" t="s">
        <v>173</v>
      </c>
      <c r="U264">
        <v>3.8077269348517392E-2</v>
      </c>
      <c r="V264" t="s">
        <v>166</v>
      </c>
    </row>
    <row r="265" spans="14:22" x14ac:dyDescent="0.45">
      <c r="N265" t="s">
        <v>183</v>
      </c>
      <c r="O265" t="s">
        <v>174</v>
      </c>
      <c r="P265">
        <v>1.8365040340693296E-2</v>
      </c>
      <c r="Q265" t="s">
        <v>166</v>
      </c>
      <c r="S265" t="s">
        <v>207</v>
      </c>
      <c r="T265" t="s">
        <v>174</v>
      </c>
      <c r="U265">
        <v>1.4706912519925829E-2</v>
      </c>
      <c r="V265" t="s">
        <v>166</v>
      </c>
    </row>
    <row r="266" spans="14:22" x14ac:dyDescent="0.45">
      <c r="N266" t="s">
        <v>183</v>
      </c>
      <c r="O266" t="s">
        <v>236</v>
      </c>
      <c r="P266">
        <v>4.2711425387334835E-3</v>
      </c>
      <c r="Q266" t="s">
        <v>166</v>
      </c>
      <c r="S266" t="s">
        <v>207</v>
      </c>
      <c r="T266" t="s">
        <v>236</v>
      </c>
      <c r="U266">
        <v>3.9939226575814021E-3</v>
      </c>
      <c r="V266" t="s">
        <v>166</v>
      </c>
    </row>
    <row r="267" spans="14:22" x14ac:dyDescent="0.45">
      <c r="N267" t="s">
        <v>183</v>
      </c>
      <c r="O267" t="s">
        <v>237</v>
      </c>
      <c r="P267">
        <v>3.9625993949119172E-3</v>
      </c>
      <c r="Q267" t="s">
        <v>166</v>
      </c>
      <c r="S267" t="s">
        <v>207</v>
      </c>
      <c r="T267" t="s">
        <v>237</v>
      </c>
      <c r="U267">
        <v>3.9234039157571184E-3</v>
      </c>
      <c r="V267" t="s">
        <v>166</v>
      </c>
    </row>
    <row r="268" spans="14:22" x14ac:dyDescent="0.45">
      <c r="N268" t="s">
        <v>183</v>
      </c>
      <c r="O268" t="s">
        <v>238</v>
      </c>
      <c r="P268">
        <v>3.8655320740015034E-3</v>
      </c>
      <c r="Q268" t="s">
        <v>166</v>
      </c>
      <c r="S268" t="s">
        <v>207</v>
      </c>
      <c r="T268" t="s">
        <v>238</v>
      </c>
      <c r="U268">
        <v>3.7364042017658237E-3</v>
      </c>
      <c r="V268" t="s">
        <v>166</v>
      </c>
    </row>
    <row r="269" spans="14:22" x14ac:dyDescent="0.45">
      <c r="N269" t="s">
        <v>183</v>
      </c>
      <c r="O269" t="s">
        <v>175</v>
      </c>
      <c r="P269">
        <v>2.0174799466501612E-2</v>
      </c>
      <c r="Q269" t="s">
        <v>166</v>
      </c>
      <c r="S269" t="s">
        <v>207</v>
      </c>
      <c r="T269" t="s">
        <v>175</v>
      </c>
      <c r="U269">
        <v>1.8441101090186096E-2</v>
      </c>
      <c r="V269" t="s">
        <v>166</v>
      </c>
    </row>
    <row r="270" spans="14:22" x14ac:dyDescent="0.45">
      <c r="N270" t="s">
        <v>183</v>
      </c>
      <c r="O270" t="s">
        <v>176</v>
      </c>
      <c r="P270">
        <v>4.4721939260113697E-2</v>
      </c>
      <c r="Q270" t="s">
        <v>166</v>
      </c>
      <c r="S270" t="s">
        <v>207</v>
      </c>
      <c r="T270" t="s">
        <v>176</v>
      </c>
      <c r="U270">
        <v>4.3036748681449605E-2</v>
      </c>
      <c r="V270" t="s">
        <v>166</v>
      </c>
    </row>
    <row r="271" spans="14:22" x14ac:dyDescent="0.45">
      <c r="N271" t="s">
        <v>183</v>
      </c>
      <c r="O271" t="s">
        <v>177</v>
      </c>
      <c r="P271">
        <v>1.6538692107078614E-2</v>
      </c>
      <c r="Q271" t="s">
        <v>166</v>
      </c>
      <c r="S271" t="s">
        <v>207</v>
      </c>
      <c r="T271" t="s">
        <v>177</v>
      </c>
      <c r="U271">
        <v>1.6636766766550386E-2</v>
      </c>
      <c r="V271" t="s">
        <v>166</v>
      </c>
    </row>
    <row r="272" spans="14:22" x14ac:dyDescent="0.45">
      <c r="N272" t="s">
        <v>183</v>
      </c>
      <c r="O272" t="s">
        <v>239</v>
      </c>
      <c r="P272">
        <v>4.3505798460756672E-3</v>
      </c>
      <c r="Q272" t="s">
        <v>166</v>
      </c>
      <c r="S272" t="s">
        <v>207</v>
      </c>
      <c r="T272" t="s">
        <v>239</v>
      </c>
      <c r="U272">
        <v>4.2029488470125692E-3</v>
      </c>
      <c r="V272" t="s">
        <v>166</v>
      </c>
    </row>
    <row r="273" spans="14:22" x14ac:dyDescent="0.45">
      <c r="N273" t="s">
        <v>183</v>
      </c>
      <c r="O273" t="s">
        <v>240</v>
      </c>
      <c r="P273">
        <v>4.2756474475673144E-3</v>
      </c>
      <c r="Q273" t="s">
        <v>166</v>
      </c>
      <c r="S273" t="s">
        <v>207</v>
      </c>
      <c r="T273" t="s">
        <v>240</v>
      </c>
      <c r="U273">
        <v>4.1544638455849924E-3</v>
      </c>
      <c r="V273" t="s">
        <v>166</v>
      </c>
    </row>
    <row r="274" spans="14:22" x14ac:dyDescent="0.45">
      <c r="N274" t="s">
        <v>183</v>
      </c>
      <c r="O274" t="s">
        <v>241</v>
      </c>
      <c r="P274">
        <v>4.5152097262136821E-3</v>
      </c>
      <c r="Q274" t="s">
        <v>166</v>
      </c>
      <c r="S274" t="s">
        <v>207</v>
      </c>
      <c r="T274" t="s">
        <v>241</v>
      </c>
      <c r="U274">
        <v>4.0603810895257471E-3</v>
      </c>
      <c r="V274" t="s">
        <v>166</v>
      </c>
    </row>
    <row r="275" spans="14:22" x14ac:dyDescent="0.45">
      <c r="N275" t="s">
        <v>183</v>
      </c>
      <c r="O275" t="s">
        <v>242</v>
      </c>
      <c r="P275">
        <v>5.0395367406645138E-2</v>
      </c>
      <c r="Q275" t="s">
        <v>166</v>
      </c>
      <c r="S275" t="s">
        <v>207</v>
      </c>
      <c r="T275" t="s">
        <v>242</v>
      </c>
      <c r="U275">
        <v>5.472311504640668E-2</v>
      </c>
      <c r="V275" t="s">
        <v>166</v>
      </c>
    </row>
    <row r="276" spans="14:22" x14ac:dyDescent="0.45">
      <c r="N276" t="s">
        <v>183</v>
      </c>
      <c r="O276" t="s">
        <v>243</v>
      </c>
      <c r="P276">
        <v>0.10633732044089618</v>
      </c>
      <c r="Q276" t="s">
        <v>166</v>
      </c>
      <c r="S276" t="s">
        <v>207</v>
      </c>
      <c r="T276" t="s">
        <v>243</v>
      </c>
      <c r="U276">
        <v>0.11288782240289015</v>
      </c>
      <c r="V276" t="s">
        <v>166</v>
      </c>
    </row>
    <row r="277" spans="14:22" x14ac:dyDescent="0.45">
      <c r="N277" t="s">
        <v>183</v>
      </c>
      <c r="O277" t="s">
        <v>244</v>
      </c>
      <c r="P277">
        <v>3.9733397047385891E-2</v>
      </c>
      <c r="Q277" t="s">
        <v>166</v>
      </c>
      <c r="S277" t="s">
        <v>207</v>
      </c>
      <c r="T277" t="s">
        <v>244</v>
      </c>
      <c r="U277">
        <v>4.3583365444716353E-2</v>
      </c>
      <c r="V277" t="s">
        <v>166</v>
      </c>
    </row>
    <row r="278" spans="14:22" x14ac:dyDescent="0.45">
      <c r="N278" t="s">
        <v>183</v>
      </c>
      <c r="O278" t="s">
        <v>245</v>
      </c>
      <c r="P278">
        <v>1.112098447087273E-2</v>
      </c>
      <c r="Q278" t="s">
        <v>166</v>
      </c>
      <c r="S278" t="s">
        <v>207</v>
      </c>
      <c r="T278" t="s">
        <v>245</v>
      </c>
      <c r="U278">
        <v>1.1555980306957925E-2</v>
      </c>
      <c r="V278" t="s">
        <v>166</v>
      </c>
    </row>
    <row r="279" spans="14:22" x14ac:dyDescent="0.45">
      <c r="N279" t="s">
        <v>183</v>
      </c>
      <c r="O279" t="s">
        <v>246</v>
      </c>
      <c r="P279">
        <v>1.1014421163019768E-2</v>
      </c>
      <c r="Q279" t="s">
        <v>166</v>
      </c>
      <c r="S279" t="s">
        <v>207</v>
      </c>
      <c r="T279" t="s">
        <v>246</v>
      </c>
      <c r="U279">
        <v>1.1570063388162995E-2</v>
      </c>
      <c r="V279" t="s">
        <v>166</v>
      </c>
    </row>
    <row r="280" spans="14:22" x14ac:dyDescent="0.45">
      <c r="N280" t="s">
        <v>183</v>
      </c>
      <c r="O280" t="s">
        <v>247</v>
      </c>
      <c r="P280">
        <v>1.1398762079143613E-2</v>
      </c>
      <c r="Q280" t="s">
        <v>166</v>
      </c>
      <c r="S280" t="s">
        <v>207</v>
      </c>
      <c r="T280" t="s">
        <v>247</v>
      </c>
      <c r="U280">
        <v>1.144622469739719E-2</v>
      </c>
      <c r="V280" t="s">
        <v>166</v>
      </c>
    </row>
    <row r="281" spans="14:22" x14ac:dyDescent="0.45">
      <c r="N281" t="s">
        <v>183</v>
      </c>
      <c r="O281" t="s">
        <v>248</v>
      </c>
      <c r="P281">
        <v>1.2405687092483943E-2</v>
      </c>
      <c r="Q281" t="s">
        <v>166</v>
      </c>
      <c r="S281" t="s">
        <v>207</v>
      </c>
      <c r="T281" t="s">
        <v>248</v>
      </c>
      <c r="U281">
        <v>1.3666629342479312E-2</v>
      </c>
      <c r="V281" t="s">
        <v>166</v>
      </c>
    </row>
    <row r="282" spans="14:22" x14ac:dyDescent="0.45">
      <c r="N282" t="s">
        <v>183</v>
      </c>
      <c r="O282" t="s">
        <v>249</v>
      </c>
      <c r="P282">
        <v>2.8893067663457755E-2</v>
      </c>
      <c r="Q282" t="s">
        <v>166</v>
      </c>
      <c r="S282" t="s">
        <v>207</v>
      </c>
      <c r="T282" t="s">
        <v>249</v>
      </c>
      <c r="U282">
        <v>2.6956553848059037E-2</v>
      </c>
      <c r="V282" t="s">
        <v>166</v>
      </c>
    </row>
    <row r="283" spans="14:22" x14ac:dyDescent="0.45">
      <c r="N283" t="s">
        <v>183</v>
      </c>
      <c r="O283" t="s">
        <v>250</v>
      </c>
      <c r="P283">
        <v>1.0689524869634327E-2</v>
      </c>
      <c r="Q283" t="s">
        <v>166</v>
      </c>
      <c r="S283" t="s">
        <v>207</v>
      </c>
      <c r="T283" t="s">
        <v>250</v>
      </c>
      <c r="U283">
        <v>1.076192699778241E-2</v>
      </c>
      <c r="V283" t="s">
        <v>166</v>
      </c>
    </row>
    <row r="284" spans="14:22" x14ac:dyDescent="0.45">
      <c r="N284" t="s">
        <v>183</v>
      </c>
      <c r="O284" t="s">
        <v>251</v>
      </c>
      <c r="P284">
        <v>2.8585886196146409E-3</v>
      </c>
      <c r="Q284" t="s">
        <v>166</v>
      </c>
      <c r="S284" t="s">
        <v>207</v>
      </c>
      <c r="T284" t="s">
        <v>251</v>
      </c>
      <c r="U284">
        <v>2.9429378598432492E-3</v>
      </c>
      <c r="V284" t="s">
        <v>166</v>
      </c>
    </row>
    <row r="285" spans="14:22" x14ac:dyDescent="0.45">
      <c r="N285" t="s">
        <v>183</v>
      </c>
      <c r="O285" t="s">
        <v>252</v>
      </c>
      <c r="P285">
        <v>2.786355709218629E-3</v>
      </c>
      <c r="Q285" t="s">
        <v>166</v>
      </c>
      <c r="S285" t="s">
        <v>207</v>
      </c>
      <c r="T285" t="s">
        <v>252</v>
      </c>
      <c r="U285">
        <v>2.9160005717700751E-3</v>
      </c>
      <c r="V285" t="s">
        <v>166</v>
      </c>
    </row>
    <row r="286" spans="14:22" x14ac:dyDescent="0.45">
      <c r="N286" t="s">
        <v>183</v>
      </c>
      <c r="O286" t="s">
        <v>253</v>
      </c>
      <c r="P286">
        <v>2.8861076312582624E-3</v>
      </c>
      <c r="Q286" t="s">
        <v>166</v>
      </c>
      <c r="S286" t="s">
        <v>207</v>
      </c>
      <c r="T286" t="s">
        <v>253</v>
      </c>
      <c r="U286">
        <v>2.8261252491678739E-3</v>
      </c>
      <c r="V286" t="s">
        <v>166</v>
      </c>
    </row>
    <row r="287" spans="14:22" x14ac:dyDescent="0.45">
      <c r="N287" t="s">
        <v>183</v>
      </c>
      <c r="O287" t="s">
        <v>254</v>
      </c>
      <c r="P287">
        <v>1.9637762623853125E-2</v>
      </c>
      <c r="Q287" t="s">
        <v>166</v>
      </c>
      <c r="S287" t="s">
        <v>207</v>
      </c>
      <c r="T287" t="s">
        <v>254</v>
      </c>
      <c r="U287">
        <v>2.3522465318700409E-2</v>
      </c>
      <c r="V287" t="s">
        <v>166</v>
      </c>
    </row>
    <row r="288" spans="14:22" x14ac:dyDescent="0.45">
      <c r="N288" t="s">
        <v>183</v>
      </c>
      <c r="O288" t="s">
        <v>255</v>
      </c>
      <c r="P288">
        <v>4.8304739147545461E-2</v>
      </c>
      <c r="Q288" t="s">
        <v>166</v>
      </c>
      <c r="S288" t="s">
        <v>207</v>
      </c>
      <c r="T288" t="s">
        <v>255</v>
      </c>
      <c r="U288">
        <v>5.1994389407024354E-2</v>
      </c>
      <c r="V288" t="s">
        <v>166</v>
      </c>
    </row>
    <row r="289" spans="14:22" x14ac:dyDescent="0.45">
      <c r="N289" t="s">
        <v>183</v>
      </c>
      <c r="O289" t="s">
        <v>256</v>
      </c>
      <c r="P289">
        <v>1.9649583820407664E-2</v>
      </c>
      <c r="Q289" t="s">
        <v>166</v>
      </c>
      <c r="S289" t="s">
        <v>207</v>
      </c>
      <c r="T289" t="s">
        <v>256</v>
      </c>
      <c r="U289">
        <v>1.9227071377702687E-2</v>
      </c>
      <c r="V289" t="s">
        <v>166</v>
      </c>
    </row>
    <row r="290" spans="14:22" x14ac:dyDescent="0.45">
      <c r="N290" t="s">
        <v>183</v>
      </c>
      <c r="O290" t="s">
        <v>257</v>
      </c>
      <c r="P290">
        <v>4.8120920702038076E-3</v>
      </c>
      <c r="Q290" t="s">
        <v>166</v>
      </c>
      <c r="S290" t="s">
        <v>207</v>
      </c>
      <c r="T290" t="s">
        <v>257</v>
      </c>
      <c r="U290">
        <v>4.8985959758472038E-3</v>
      </c>
      <c r="V290" t="s">
        <v>166</v>
      </c>
    </row>
    <row r="291" spans="14:22" x14ac:dyDescent="0.45">
      <c r="N291" t="s">
        <v>183</v>
      </c>
      <c r="O291" t="s">
        <v>258</v>
      </c>
      <c r="P291">
        <v>4.6839529562223686E-3</v>
      </c>
      <c r="Q291" t="s">
        <v>166</v>
      </c>
      <c r="S291" t="s">
        <v>207</v>
      </c>
      <c r="T291" t="s">
        <v>258</v>
      </c>
      <c r="U291">
        <v>4.8581046268637617E-3</v>
      </c>
      <c r="V291" t="s">
        <v>166</v>
      </c>
    </row>
    <row r="292" spans="14:22" x14ac:dyDescent="0.45">
      <c r="N292" t="s">
        <v>183</v>
      </c>
      <c r="O292" t="s">
        <v>259</v>
      </c>
      <c r="P292">
        <v>4.5190563912903409E-3</v>
      </c>
      <c r="Q292" t="s">
        <v>166</v>
      </c>
      <c r="S292" t="s">
        <v>207</v>
      </c>
      <c r="T292" t="s">
        <v>259</v>
      </c>
      <c r="U292">
        <v>4.8604780444836829E-3</v>
      </c>
      <c r="V292" t="s">
        <v>166</v>
      </c>
    </row>
    <row r="293" spans="14:22" x14ac:dyDescent="0.45">
      <c r="N293" t="s">
        <v>183</v>
      </c>
      <c r="O293" t="s">
        <v>260</v>
      </c>
      <c r="P293">
        <v>5.8670011852563826E-2</v>
      </c>
      <c r="Q293" t="s">
        <v>166</v>
      </c>
      <c r="S293" t="s">
        <v>207</v>
      </c>
      <c r="T293" t="s">
        <v>260</v>
      </c>
      <c r="U293">
        <v>5.605161044332746E-2</v>
      </c>
      <c r="V293" t="s">
        <v>166</v>
      </c>
    </row>
    <row r="294" spans="14:22" x14ac:dyDescent="0.45">
      <c r="N294" t="s">
        <v>183</v>
      </c>
      <c r="O294" t="s">
        <v>261</v>
      </c>
      <c r="P294">
        <v>0.13394226925305758</v>
      </c>
      <c r="Q294" t="s">
        <v>166</v>
      </c>
      <c r="S294" t="s">
        <v>207</v>
      </c>
      <c r="T294" t="s">
        <v>261</v>
      </c>
      <c r="U294">
        <v>0.13147110925043159</v>
      </c>
      <c r="V294" t="s">
        <v>166</v>
      </c>
    </row>
    <row r="295" spans="14:22" x14ac:dyDescent="0.45">
      <c r="N295" t="s">
        <v>183</v>
      </c>
      <c r="O295" t="s">
        <v>262</v>
      </c>
      <c r="P295">
        <v>4.6837386261253201E-2</v>
      </c>
      <c r="Q295" t="s">
        <v>166</v>
      </c>
      <c r="S295" t="s">
        <v>207</v>
      </c>
      <c r="T295" t="s">
        <v>262</v>
      </c>
      <c r="U295">
        <v>4.3071569247120405E-2</v>
      </c>
      <c r="V295" t="s">
        <v>166</v>
      </c>
    </row>
    <row r="296" spans="14:22" x14ac:dyDescent="0.45">
      <c r="N296" t="s">
        <v>183</v>
      </c>
      <c r="O296" t="s">
        <v>263</v>
      </c>
      <c r="P296">
        <v>1.1891766956724382E-2</v>
      </c>
      <c r="Q296" t="s">
        <v>166</v>
      </c>
      <c r="S296" t="s">
        <v>207</v>
      </c>
      <c r="T296" t="s">
        <v>263</v>
      </c>
      <c r="U296">
        <v>1.1326660589277759E-2</v>
      </c>
      <c r="V296" t="s">
        <v>166</v>
      </c>
    </row>
    <row r="297" spans="14:22" x14ac:dyDescent="0.45">
      <c r="N297" t="s">
        <v>183</v>
      </c>
      <c r="O297" t="s">
        <v>264</v>
      </c>
      <c r="P297">
        <v>1.1863655717736085E-2</v>
      </c>
      <c r="Q297" t="s">
        <v>166</v>
      </c>
      <c r="S297" t="s">
        <v>207</v>
      </c>
      <c r="T297" t="s">
        <v>264</v>
      </c>
      <c r="U297">
        <v>1.1427931502171104E-2</v>
      </c>
      <c r="V297" t="s">
        <v>166</v>
      </c>
    </row>
    <row r="298" spans="14:22" x14ac:dyDescent="0.45">
      <c r="N298" t="s">
        <v>183</v>
      </c>
      <c r="O298" t="s">
        <v>265</v>
      </c>
      <c r="P298">
        <v>1.1851626134228584E-2</v>
      </c>
      <c r="Q298" t="s">
        <v>166</v>
      </c>
      <c r="S298" t="s">
        <v>207</v>
      </c>
      <c r="T298" t="s">
        <v>265</v>
      </c>
      <c r="U298">
        <v>1.1395248806437077E-2</v>
      </c>
      <c r="V298" t="s">
        <v>166</v>
      </c>
    </row>
    <row r="299" spans="14:22" x14ac:dyDescent="0.45">
      <c r="N299" t="s">
        <v>184</v>
      </c>
      <c r="O299" t="s">
        <v>165</v>
      </c>
      <c r="P299">
        <v>2.0600415781483188E-2</v>
      </c>
      <c r="Q299" t="s">
        <v>166</v>
      </c>
      <c r="S299" t="s">
        <v>208</v>
      </c>
      <c r="T299" t="s">
        <v>165</v>
      </c>
      <c r="U299">
        <v>1.9344172246508931E-2</v>
      </c>
      <c r="V299" t="s">
        <v>166</v>
      </c>
    </row>
    <row r="300" spans="14:22" x14ac:dyDescent="0.45">
      <c r="N300" t="s">
        <v>184</v>
      </c>
      <c r="O300" t="s">
        <v>167</v>
      </c>
      <c r="P300">
        <v>4.4610910920504135E-2</v>
      </c>
      <c r="Q300" t="s">
        <v>166</v>
      </c>
      <c r="S300" t="s">
        <v>208</v>
      </c>
      <c r="T300" t="s">
        <v>167</v>
      </c>
      <c r="U300">
        <v>4.2771818797152208E-2</v>
      </c>
      <c r="V300" t="s">
        <v>166</v>
      </c>
    </row>
    <row r="301" spans="14:22" x14ac:dyDescent="0.45">
      <c r="N301" t="s">
        <v>184</v>
      </c>
      <c r="O301" t="s">
        <v>168</v>
      </c>
      <c r="P301">
        <v>1.4770409496882998E-2</v>
      </c>
      <c r="Q301" t="s">
        <v>166</v>
      </c>
      <c r="S301" t="s">
        <v>208</v>
      </c>
      <c r="T301" t="s">
        <v>168</v>
      </c>
      <c r="U301">
        <v>1.4038313677714822E-2</v>
      </c>
      <c r="V301" t="s">
        <v>166</v>
      </c>
    </row>
    <row r="302" spans="14:22" x14ac:dyDescent="0.45">
      <c r="N302" t="s">
        <v>184</v>
      </c>
      <c r="O302" t="s">
        <v>230</v>
      </c>
      <c r="P302">
        <v>3.8681934684988693E-3</v>
      </c>
      <c r="Q302" t="s">
        <v>166</v>
      </c>
      <c r="S302" t="s">
        <v>208</v>
      </c>
      <c r="T302" t="s">
        <v>230</v>
      </c>
      <c r="U302">
        <v>3.5617414061505366E-3</v>
      </c>
      <c r="V302" t="s">
        <v>166</v>
      </c>
    </row>
    <row r="303" spans="14:22" x14ac:dyDescent="0.45">
      <c r="N303" t="s">
        <v>184</v>
      </c>
      <c r="O303" t="s">
        <v>231</v>
      </c>
      <c r="P303">
        <v>3.9437592535984684E-3</v>
      </c>
      <c r="Q303" t="s">
        <v>166</v>
      </c>
      <c r="S303" t="s">
        <v>208</v>
      </c>
      <c r="T303" t="s">
        <v>231</v>
      </c>
      <c r="U303">
        <v>3.5748600105668204E-3</v>
      </c>
      <c r="V303" t="s">
        <v>166</v>
      </c>
    </row>
    <row r="304" spans="14:22" x14ac:dyDescent="0.45">
      <c r="N304" t="s">
        <v>184</v>
      </c>
      <c r="O304" t="s">
        <v>232</v>
      </c>
      <c r="P304">
        <v>4.015839646562408E-3</v>
      </c>
      <c r="Q304" t="s">
        <v>166</v>
      </c>
      <c r="S304" t="s">
        <v>208</v>
      </c>
      <c r="T304" t="s">
        <v>232</v>
      </c>
      <c r="U304">
        <v>3.6990075800914161E-3</v>
      </c>
      <c r="V304" t="s">
        <v>166</v>
      </c>
    </row>
    <row r="305" spans="14:22" x14ac:dyDescent="0.45">
      <c r="N305" t="s">
        <v>184</v>
      </c>
      <c r="O305" t="s">
        <v>169</v>
      </c>
      <c r="P305">
        <v>1.1306703514183494E-2</v>
      </c>
      <c r="Q305" t="s">
        <v>166</v>
      </c>
      <c r="S305" t="s">
        <v>208</v>
      </c>
      <c r="T305" t="s">
        <v>169</v>
      </c>
      <c r="U305">
        <v>1.4837975810278604E-2</v>
      </c>
      <c r="V305" t="s">
        <v>166</v>
      </c>
    </row>
    <row r="306" spans="14:22" x14ac:dyDescent="0.45">
      <c r="N306" t="s">
        <v>184</v>
      </c>
      <c r="O306" t="s">
        <v>170</v>
      </c>
      <c r="P306">
        <v>2.4940389803705273E-2</v>
      </c>
      <c r="Q306" t="s">
        <v>166</v>
      </c>
      <c r="S306" t="s">
        <v>208</v>
      </c>
      <c r="T306" t="s">
        <v>170</v>
      </c>
      <c r="U306">
        <v>3.7286931026032775E-2</v>
      </c>
      <c r="V306" t="s">
        <v>166</v>
      </c>
    </row>
    <row r="307" spans="14:22" x14ac:dyDescent="0.45">
      <c r="N307" t="s">
        <v>184</v>
      </c>
      <c r="O307" t="s">
        <v>171</v>
      </c>
      <c r="P307">
        <v>1.0658813672396242E-2</v>
      </c>
      <c r="Q307" t="s">
        <v>166</v>
      </c>
      <c r="S307" t="s">
        <v>208</v>
      </c>
      <c r="T307" t="s">
        <v>171</v>
      </c>
      <c r="U307">
        <v>1.2918313762867711E-2</v>
      </c>
      <c r="V307" t="s">
        <v>166</v>
      </c>
    </row>
    <row r="308" spans="14:22" x14ac:dyDescent="0.45">
      <c r="N308" t="s">
        <v>184</v>
      </c>
      <c r="O308" t="s">
        <v>233</v>
      </c>
      <c r="P308">
        <v>2.5596025899037532E-3</v>
      </c>
      <c r="Q308" t="s">
        <v>166</v>
      </c>
      <c r="S308" t="s">
        <v>208</v>
      </c>
      <c r="T308" t="s">
        <v>233</v>
      </c>
      <c r="U308">
        <v>3.2024803340052364E-3</v>
      </c>
      <c r="V308" t="s">
        <v>166</v>
      </c>
    </row>
    <row r="309" spans="14:22" x14ac:dyDescent="0.45">
      <c r="N309" t="s">
        <v>184</v>
      </c>
      <c r="O309" t="s">
        <v>234</v>
      </c>
      <c r="P309">
        <v>2.4440869219534232E-3</v>
      </c>
      <c r="Q309" t="s">
        <v>166</v>
      </c>
      <c r="S309" t="s">
        <v>208</v>
      </c>
      <c r="T309" t="s">
        <v>234</v>
      </c>
      <c r="U309">
        <v>3.205944302560521E-3</v>
      </c>
      <c r="V309" t="s">
        <v>166</v>
      </c>
    </row>
    <row r="310" spans="14:22" x14ac:dyDescent="0.45">
      <c r="N310" t="s">
        <v>184</v>
      </c>
      <c r="O310" t="s">
        <v>235</v>
      </c>
      <c r="P310">
        <v>2.3502226970316181E-3</v>
      </c>
      <c r="Q310" t="s">
        <v>166</v>
      </c>
      <c r="S310" t="s">
        <v>208</v>
      </c>
      <c r="T310" t="s">
        <v>235</v>
      </c>
      <c r="U310">
        <v>3.037981889258118E-3</v>
      </c>
      <c r="V310" t="s">
        <v>166</v>
      </c>
    </row>
    <row r="311" spans="14:22" x14ac:dyDescent="0.45">
      <c r="N311" t="s">
        <v>184</v>
      </c>
      <c r="O311" t="s">
        <v>172</v>
      </c>
      <c r="P311">
        <v>1.8758288629386548E-2</v>
      </c>
      <c r="Q311" t="s">
        <v>166</v>
      </c>
      <c r="S311" t="s">
        <v>208</v>
      </c>
      <c r="T311" t="s">
        <v>172</v>
      </c>
      <c r="U311">
        <v>1.412535185515507E-2</v>
      </c>
      <c r="V311" t="s">
        <v>166</v>
      </c>
    </row>
    <row r="312" spans="14:22" x14ac:dyDescent="0.45">
      <c r="N312" t="s">
        <v>184</v>
      </c>
      <c r="O312" t="s">
        <v>173</v>
      </c>
      <c r="P312">
        <v>3.8138698390523473E-2</v>
      </c>
      <c r="Q312" t="s">
        <v>166</v>
      </c>
      <c r="S312" t="s">
        <v>208</v>
      </c>
      <c r="T312" t="s">
        <v>173</v>
      </c>
      <c r="U312">
        <v>3.4232102344485989E-2</v>
      </c>
      <c r="V312" t="s">
        <v>166</v>
      </c>
    </row>
    <row r="313" spans="14:22" x14ac:dyDescent="0.45">
      <c r="N313" t="s">
        <v>184</v>
      </c>
      <c r="O313" t="s">
        <v>174</v>
      </c>
      <c r="P313">
        <v>1.7817643815244005E-2</v>
      </c>
      <c r="Q313" t="s">
        <v>166</v>
      </c>
      <c r="S313" t="s">
        <v>208</v>
      </c>
      <c r="T313" t="s">
        <v>174</v>
      </c>
      <c r="U313">
        <v>1.2359529576242945E-2</v>
      </c>
      <c r="V313" t="s">
        <v>166</v>
      </c>
    </row>
    <row r="314" spans="14:22" x14ac:dyDescent="0.45">
      <c r="N314" t="s">
        <v>184</v>
      </c>
      <c r="O314" t="s">
        <v>236</v>
      </c>
      <c r="P314">
        <v>4.3114149008140401E-3</v>
      </c>
      <c r="Q314" t="s">
        <v>166</v>
      </c>
      <c r="S314" t="s">
        <v>208</v>
      </c>
      <c r="T314" t="s">
        <v>236</v>
      </c>
      <c r="U314">
        <v>2.9343575142167827E-3</v>
      </c>
      <c r="V314" t="s">
        <v>166</v>
      </c>
    </row>
    <row r="315" spans="14:22" x14ac:dyDescent="0.45">
      <c r="N315" t="s">
        <v>184</v>
      </c>
      <c r="O315" t="s">
        <v>237</v>
      </c>
      <c r="P315">
        <v>4.060451726203884E-3</v>
      </c>
      <c r="Q315" t="s">
        <v>166</v>
      </c>
      <c r="S315" t="s">
        <v>208</v>
      </c>
      <c r="T315" t="s">
        <v>237</v>
      </c>
      <c r="U315">
        <v>2.8112873593709518E-3</v>
      </c>
      <c r="V315" t="s">
        <v>166</v>
      </c>
    </row>
    <row r="316" spans="14:22" x14ac:dyDescent="0.45">
      <c r="N316" t="s">
        <v>184</v>
      </c>
      <c r="O316" t="s">
        <v>238</v>
      </c>
      <c r="P316">
        <v>3.8158588868544281E-3</v>
      </c>
      <c r="Q316" t="s">
        <v>166</v>
      </c>
      <c r="S316" t="s">
        <v>208</v>
      </c>
      <c r="T316" t="s">
        <v>238</v>
      </c>
      <c r="U316">
        <v>2.8685034375279263E-3</v>
      </c>
      <c r="V316" t="s">
        <v>166</v>
      </c>
    </row>
    <row r="317" spans="14:22" x14ac:dyDescent="0.45">
      <c r="N317" t="s">
        <v>184</v>
      </c>
      <c r="O317" t="s">
        <v>175</v>
      </c>
      <c r="P317">
        <v>2.1317901522827479E-2</v>
      </c>
      <c r="Q317" t="s">
        <v>166</v>
      </c>
      <c r="S317" t="s">
        <v>208</v>
      </c>
      <c r="T317" t="s">
        <v>175</v>
      </c>
      <c r="U317">
        <v>1.9654556787308052E-2</v>
      </c>
      <c r="V317" t="s">
        <v>166</v>
      </c>
    </row>
    <row r="318" spans="14:22" x14ac:dyDescent="0.45">
      <c r="N318" t="s">
        <v>184</v>
      </c>
      <c r="O318" t="s">
        <v>176</v>
      </c>
      <c r="P318">
        <v>4.3551550302225829E-2</v>
      </c>
      <c r="Q318" t="s">
        <v>166</v>
      </c>
      <c r="S318" t="s">
        <v>208</v>
      </c>
      <c r="T318" t="s">
        <v>176</v>
      </c>
      <c r="U318">
        <v>4.2980859469396934E-2</v>
      </c>
      <c r="V318" t="s">
        <v>166</v>
      </c>
    </row>
    <row r="319" spans="14:22" x14ac:dyDescent="0.45">
      <c r="N319" t="s">
        <v>184</v>
      </c>
      <c r="O319" t="s">
        <v>177</v>
      </c>
      <c r="P319">
        <v>1.7236442589951932E-2</v>
      </c>
      <c r="Q319" t="s">
        <v>166</v>
      </c>
      <c r="S319" t="s">
        <v>208</v>
      </c>
      <c r="T319" t="s">
        <v>177</v>
      </c>
      <c r="U319">
        <v>1.5701954762230255E-2</v>
      </c>
      <c r="V319" t="s">
        <v>166</v>
      </c>
    </row>
    <row r="320" spans="14:22" x14ac:dyDescent="0.45">
      <c r="N320" t="s">
        <v>184</v>
      </c>
      <c r="O320" t="s">
        <v>239</v>
      </c>
      <c r="P320">
        <v>4.6817704325663604E-3</v>
      </c>
      <c r="Q320" t="s">
        <v>166</v>
      </c>
      <c r="S320" t="s">
        <v>208</v>
      </c>
      <c r="T320" t="s">
        <v>239</v>
      </c>
      <c r="U320">
        <v>4.2648929142470107E-3</v>
      </c>
      <c r="V320" t="s">
        <v>166</v>
      </c>
    </row>
    <row r="321" spans="14:22" x14ac:dyDescent="0.45">
      <c r="N321" t="s">
        <v>184</v>
      </c>
      <c r="O321" t="s">
        <v>240</v>
      </c>
      <c r="P321">
        <v>4.6111156123568916E-3</v>
      </c>
      <c r="Q321" t="s">
        <v>166</v>
      </c>
      <c r="S321" t="s">
        <v>208</v>
      </c>
      <c r="T321" t="s">
        <v>240</v>
      </c>
      <c r="U321">
        <v>4.331910643896833E-3</v>
      </c>
      <c r="V321" t="s">
        <v>166</v>
      </c>
    </row>
    <row r="322" spans="14:22" x14ac:dyDescent="0.45">
      <c r="N322" t="s">
        <v>184</v>
      </c>
      <c r="O322" t="s">
        <v>241</v>
      </c>
      <c r="P322">
        <v>4.439304914326093E-3</v>
      </c>
      <c r="Q322" t="s">
        <v>166</v>
      </c>
      <c r="S322" t="s">
        <v>208</v>
      </c>
      <c r="T322" t="s">
        <v>241</v>
      </c>
      <c r="U322">
        <v>4.3947480659078612E-3</v>
      </c>
      <c r="V322" t="s">
        <v>166</v>
      </c>
    </row>
    <row r="323" spans="14:22" x14ac:dyDescent="0.45">
      <c r="N323" t="s">
        <v>184</v>
      </c>
      <c r="O323" t="s">
        <v>242</v>
      </c>
      <c r="P323">
        <v>5.2749167415128535E-2</v>
      </c>
      <c r="Q323" t="s">
        <v>166</v>
      </c>
      <c r="S323" t="s">
        <v>208</v>
      </c>
      <c r="T323" t="s">
        <v>242</v>
      </c>
      <c r="U323">
        <v>5.9271665411386419E-2</v>
      </c>
      <c r="V323" t="s">
        <v>166</v>
      </c>
    </row>
    <row r="324" spans="14:22" x14ac:dyDescent="0.45">
      <c r="N324" t="s">
        <v>184</v>
      </c>
      <c r="O324" t="s">
        <v>243</v>
      </c>
      <c r="P324">
        <v>9.9367754303801348E-2</v>
      </c>
      <c r="Q324" t="s">
        <v>166</v>
      </c>
      <c r="S324" t="s">
        <v>208</v>
      </c>
      <c r="T324" t="s">
        <v>243</v>
      </c>
      <c r="U324">
        <v>0.12796242730059815</v>
      </c>
      <c r="V324" t="s">
        <v>166</v>
      </c>
    </row>
    <row r="325" spans="14:22" x14ac:dyDescent="0.45">
      <c r="N325" t="s">
        <v>184</v>
      </c>
      <c r="O325" t="s">
        <v>244</v>
      </c>
      <c r="P325">
        <v>3.5621418005536858E-2</v>
      </c>
      <c r="Q325" t="s">
        <v>166</v>
      </c>
      <c r="S325" t="s">
        <v>208</v>
      </c>
      <c r="T325" t="s">
        <v>244</v>
      </c>
      <c r="U325">
        <v>4.5071970032992389E-2</v>
      </c>
      <c r="V325" t="s">
        <v>166</v>
      </c>
    </row>
    <row r="326" spans="14:22" x14ac:dyDescent="0.45">
      <c r="N326" t="s">
        <v>184</v>
      </c>
      <c r="O326" t="s">
        <v>245</v>
      </c>
      <c r="P326">
        <v>1.0832852014002463E-2</v>
      </c>
      <c r="Q326" t="s">
        <v>166</v>
      </c>
      <c r="S326" t="s">
        <v>208</v>
      </c>
      <c r="T326" t="s">
        <v>245</v>
      </c>
      <c r="U326">
        <v>1.1690330933643836E-2</v>
      </c>
      <c r="V326" t="s">
        <v>166</v>
      </c>
    </row>
    <row r="327" spans="14:22" x14ac:dyDescent="0.45">
      <c r="N327" t="s">
        <v>184</v>
      </c>
      <c r="O327" t="s">
        <v>246</v>
      </c>
      <c r="P327">
        <v>1.1498299342120495E-2</v>
      </c>
      <c r="Q327" t="s">
        <v>166</v>
      </c>
      <c r="S327" t="s">
        <v>208</v>
      </c>
      <c r="T327" t="s">
        <v>246</v>
      </c>
      <c r="U327">
        <v>1.1593377274829814E-2</v>
      </c>
      <c r="V327" t="s">
        <v>166</v>
      </c>
    </row>
    <row r="328" spans="14:22" x14ac:dyDescent="0.45">
      <c r="N328" t="s">
        <v>184</v>
      </c>
      <c r="O328" t="s">
        <v>247</v>
      </c>
      <c r="P328">
        <v>1.1632617344078664E-2</v>
      </c>
      <c r="Q328" t="s">
        <v>166</v>
      </c>
      <c r="S328" t="s">
        <v>208</v>
      </c>
      <c r="T328" t="s">
        <v>247</v>
      </c>
      <c r="U328">
        <v>1.2055559893766289E-2</v>
      </c>
      <c r="V328" t="s">
        <v>166</v>
      </c>
    </row>
    <row r="329" spans="14:22" x14ac:dyDescent="0.45">
      <c r="N329" t="s">
        <v>184</v>
      </c>
      <c r="O329" t="s">
        <v>248</v>
      </c>
      <c r="P329">
        <v>1.2553575462735524E-2</v>
      </c>
      <c r="Q329" t="s">
        <v>166</v>
      </c>
      <c r="S329" t="s">
        <v>208</v>
      </c>
      <c r="T329" t="s">
        <v>248</v>
      </c>
      <c r="U329">
        <v>1.4269171438807503E-2</v>
      </c>
      <c r="V329" t="s">
        <v>166</v>
      </c>
    </row>
    <row r="330" spans="14:22" x14ac:dyDescent="0.45">
      <c r="N330" t="s">
        <v>184</v>
      </c>
      <c r="O330" t="s">
        <v>249</v>
      </c>
      <c r="P330">
        <v>3.1011226845084609E-2</v>
      </c>
      <c r="Q330" t="s">
        <v>166</v>
      </c>
      <c r="S330" t="s">
        <v>208</v>
      </c>
      <c r="T330" t="s">
        <v>249</v>
      </c>
      <c r="U330">
        <v>3.3953910320901101E-2</v>
      </c>
      <c r="V330" t="s">
        <v>166</v>
      </c>
    </row>
    <row r="331" spans="14:22" x14ac:dyDescent="0.45">
      <c r="N331" t="s">
        <v>184</v>
      </c>
      <c r="O331" t="s">
        <v>250</v>
      </c>
      <c r="P331">
        <v>1.0072883066459625E-2</v>
      </c>
      <c r="Q331" t="s">
        <v>166</v>
      </c>
      <c r="S331" t="s">
        <v>208</v>
      </c>
      <c r="T331" t="s">
        <v>250</v>
      </c>
      <c r="U331">
        <v>1.2683194645830915E-2</v>
      </c>
      <c r="V331" t="s">
        <v>166</v>
      </c>
    </row>
    <row r="332" spans="14:22" x14ac:dyDescent="0.45">
      <c r="N332" t="s">
        <v>184</v>
      </c>
      <c r="O332" t="s">
        <v>251</v>
      </c>
      <c r="P332">
        <v>2.8666285796532711E-3</v>
      </c>
      <c r="Q332" t="s">
        <v>166</v>
      </c>
      <c r="S332" t="s">
        <v>208</v>
      </c>
      <c r="T332" t="s">
        <v>251</v>
      </c>
      <c r="U332">
        <v>3.2066655104178101E-3</v>
      </c>
      <c r="V332" t="s">
        <v>166</v>
      </c>
    </row>
    <row r="333" spans="14:22" x14ac:dyDescent="0.45">
      <c r="N333" t="s">
        <v>184</v>
      </c>
      <c r="O333" t="s">
        <v>252</v>
      </c>
      <c r="P333">
        <v>2.8720184350545918E-3</v>
      </c>
      <c r="Q333" t="s">
        <v>166</v>
      </c>
      <c r="S333" t="s">
        <v>208</v>
      </c>
      <c r="T333" t="s">
        <v>252</v>
      </c>
      <c r="U333">
        <v>3.1304780147399609E-3</v>
      </c>
      <c r="V333" t="s">
        <v>166</v>
      </c>
    </row>
    <row r="334" spans="14:22" x14ac:dyDescent="0.45">
      <c r="N334" t="s">
        <v>184</v>
      </c>
      <c r="O334" t="s">
        <v>253</v>
      </c>
      <c r="P334">
        <v>2.8034262459578569E-3</v>
      </c>
      <c r="Q334" t="s">
        <v>166</v>
      </c>
      <c r="S334" t="s">
        <v>208</v>
      </c>
      <c r="T334" t="s">
        <v>253</v>
      </c>
      <c r="U334">
        <v>3.1825510521830561E-3</v>
      </c>
      <c r="V334" t="s">
        <v>166</v>
      </c>
    </row>
    <row r="335" spans="14:22" x14ac:dyDescent="0.45">
      <c r="N335" t="s">
        <v>184</v>
      </c>
      <c r="O335" t="s">
        <v>254</v>
      </c>
      <c r="P335">
        <v>2.4460964376915535E-2</v>
      </c>
      <c r="Q335" t="s">
        <v>166</v>
      </c>
      <c r="S335" t="s">
        <v>208</v>
      </c>
      <c r="T335" t="s">
        <v>254</v>
      </c>
      <c r="U335">
        <v>1.9240985287056832E-2</v>
      </c>
      <c r="V335" t="s">
        <v>166</v>
      </c>
    </row>
    <row r="336" spans="14:22" x14ac:dyDescent="0.45">
      <c r="N336" t="s">
        <v>184</v>
      </c>
      <c r="O336" t="s">
        <v>255</v>
      </c>
      <c r="P336">
        <v>4.9669334365845239E-2</v>
      </c>
      <c r="Q336" t="s">
        <v>166</v>
      </c>
      <c r="S336" t="s">
        <v>208</v>
      </c>
      <c r="T336" t="s">
        <v>255</v>
      </c>
      <c r="U336">
        <v>4.7505788204379354E-2</v>
      </c>
      <c r="V336" t="s">
        <v>166</v>
      </c>
    </row>
    <row r="337" spans="14:22" x14ac:dyDescent="0.45">
      <c r="N337" t="s">
        <v>184</v>
      </c>
      <c r="O337" t="s">
        <v>256</v>
      </c>
      <c r="P337">
        <v>1.9683335153706724E-2</v>
      </c>
      <c r="Q337" t="s">
        <v>166</v>
      </c>
      <c r="S337" t="s">
        <v>208</v>
      </c>
      <c r="T337" t="s">
        <v>256</v>
      </c>
      <c r="U337">
        <v>1.7858148089045602E-2</v>
      </c>
      <c r="V337" t="s">
        <v>166</v>
      </c>
    </row>
    <row r="338" spans="14:22" x14ac:dyDescent="0.45">
      <c r="N338" t="s">
        <v>184</v>
      </c>
      <c r="O338" t="s">
        <v>257</v>
      </c>
      <c r="P338">
        <v>4.8741020624149534E-3</v>
      </c>
      <c r="Q338" t="s">
        <v>166</v>
      </c>
      <c r="S338" t="s">
        <v>208</v>
      </c>
      <c r="T338" t="s">
        <v>257</v>
      </c>
      <c r="U338">
        <v>4.2529248334995167E-3</v>
      </c>
      <c r="V338" t="s">
        <v>166</v>
      </c>
    </row>
    <row r="339" spans="14:22" x14ac:dyDescent="0.45">
      <c r="N339" t="s">
        <v>184</v>
      </c>
      <c r="O339" t="s">
        <v>258</v>
      </c>
      <c r="P339">
        <v>4.8337878843188976E-3</v>
      </c>
      <c r="Q339" t="s">
        <v>166</v>
      </c>
      <c r="S339" t="s">
        <v>208</v>
      </c>
      <c r="T339" t="s">
        <v>258</v>
      </c>
      <c r="U339">
        <v>4.0781906432665821E-3</v>
      </c>
      <c r="V339" t="s">
        <v>166</v>
      </c>
    </row>
    <row r="340" spans="14:22" x14ac:dyDescent="0.45">
      <c r="N340" t="s">
        <v>184</v>
      </c>
      <c r="O340" t="s">
        <v>259</v>
      </c>
      <c r="P340">
        <v>4.7998073917031219E-3</v>
      </c>
      <c r="Q340" t="s">
        <v>166</v>
      </c>
      <c r="S340" t="s">
        <v>208</v>
      </c>
      <c r="T340" t="s">
        <v>259</v>
      </c>
      <c r="U340">
        <v>3.9688664545226718E-3</v>
      </c>
      <c r="V340" t="s">
        <v>166</v>
      </c>
    </row>
    <row r="341" spans="14:22" x14ac:dyDescent="0.45">
      <c r="N341" t="s">
        <v>184</v>
      </c>
      <c r="O341" t="s">
        <v>260</v>
      </c>
      <c r="P341">
        <v>5.8513706877185302E-2</v>
      </c>
      <c r="Q341" t="s">
        <v>166</v>
      </c>
      <c r="S341" t="s">
        <v>208</v>
      </c>
      <c r="T341" t="s">
        <v>260</v>
      </c>
      <c r="U341">
        <v>4.9529574553772528E-2</v>
      </c>
      <c r="V341" t="s">
        <v>166</v>
      </c>
    </row>
    <row r="342" spans="14:22" x14ac:dyDescent="0.45">
      <c r="N342" t="s">
        <v>184</v>
      </c>
      <c r="O342" t="s">
        <v>261</v>
      </c>
      <c r="P342">
        <v>0.13907642266530215</v>
      </c>
      <c r="Q342" t="s">
        <v>166</v>
      </c>
      <c r="S342" t="s">
        <v>208</v>
      </c>
      <c r="T342" t="s">
        <v>261</v>
      </c>
      <c r="U342">
        <v>0.12058818823722232</v>
      </c>
      <c r="V342" t="s">
        <v>166</v>
      </c>
    </row>
    <row r="343" spans="14:22" x14ac:dyDescent="0.45">
      <c r="N343" t="s">
        <v>184</v>
      </c>
      <c r="O343" t="s">
        <v>262</v>
      </c>
      <c r="P343">
        <v>4.6325145535996183E-2</v>
      </c>
      <c r="Q343" t="s">
        <v>166</v>
      </c>
      <c r="S343" t="s">
        <v>208</v>
      </c>
      <c r="T343" t="s">
        <v>262</v>
      </c>
      <c r="U343">
        <v>4.1730449527585367E-2</v>
      </c>
      <c r="V343" t="s">
        <v>166</v>
      </c>
    </row>
    <row r="344" spans="14:22" x14ac:dyDescent="0.45">
      <c r="N344" t="s">
        <v>184</v>
      </c>
      <c r="O344" t="s">
        <v>263</v>
      </c>
      <c r="P344">
        <v>1.1701462701918935E-2</v>
      </c>
      <c r="Q344" t="s">
        <v>166</v>
      </c>
      <c r="S344" t="s">
        <v>208</v>
      </c>
      <c r="T344" t="s">
        <v>263</v>
      </c>
      <c r="U344">
        <v>1.0388828002499854E-2</v>
      </c>
      <c r="V344" t="s">
        <v>166</v>
      </c>
    </row>
    <row r="345" spans="14:22" x14ac:dyDescent="0.45">
      <c r="N345" t="s">
        <v>184</v>
      </c>
      <c r="O345" t="s">
        <v>264</v>
      </c>
      <c r="P345">
        <v>1.1654446539053941E-2</v>
      </c>
      <c r="Q345" t="s">
        <v>166</v>
      </c>
      <c r="S345" t="s">
        <v>208</v>
      </c>
      <c r="T345" t="s">
        <v>264</v>
      </c>
      <c r="U345">
        <v>1.0384163207952669E-2</v>
      </c>
      <c r="V345" t="s">
        <v>166</v>
      </c>
    </row>
    <row r="346" spans="14:22" x14ac:dyDescent="0.45">
      <c r="N346" t="s">
        <v>184</v>
      </c>
      <c r="O346" t="s">
        <v>265</v>
      </c>
      <c r="P346">
        <v>1.1715827896039994E-2</v>
      </c>
      <c r="Q346" t="s">
        <v>166</v>
      </c>
      <c r="S346" t="s">
        <v>208</v>
      </c>
      <c r="T346" t="s">
        <v>265</v>
      </c>
      <c r="U346">
        <v>1.0262995555915982E-2</v>
      </c>
      <c r="V346" t="s">
        <v>166</v>
      </c>
    </row>
    <row r="347" spans="14:22" x14ac:dyDescent="0.45">
      <c r="N347" t="s">
        <v>185</v>
      </c>
      <c r="O347" t="s">
        <v>165</v>
      </c>
      <c r="P347">
        <v>2.0436215719647353E-2</v>
      </c>
      <c r="Q347" t="s">
        <v>166</v>
      </c>
      <c r="S347" t="s">
        <v>209</v>
      </c>
      <c r="T347" t="s">
        <v>165</v>
      </c>
      <c r="U347">
        <v>1.8803740141166963E-2</v>
      </c>
      <c r="V347" t="s">
        <v>166</v>
      </c>
    </row>
    <row r="348" spans="14:22" x14ac:dyDescent="0.45">
      <c r="N348" t="s">
        <v>185</v>
      </c>
      <c r="O348" t="s">
        <v>167</v>
      </c>
      <c r="P348">
        <v>4.5671628180753286E-2</v>
      </c>
      <c r="Q348" t="s">
        <v>166</v>
      </c>
      <c r="S348" t="s">
        <v>209</v>
      </c>
      <c r="T348" t="s">
        <v>167</v>
      </c>
      <c r="U348">
        <v>4.8097601299572683E-2</v>
      </c>
      <c r="V348" t="s">
        <v>166</v>
      </c>
    </row>
    <row r="349" spans="14:22" x14ac:dyDescent="0.45">
      <c r="N349" t="s">
        <v>185</v>
      </c>
      <c r="O349" t="s">
        <v>168</v>
      </c>
      <c r="P349">
        <v>1.5494716626491031E-2</v>
      </c>
      <c r="Q349" t="s">
        <v>166</v>
      </c>
      <c r="S349" t="s">
        <v>209</v>
      </c>
      <c r="T349" t="s">
        <v>168</v>
      </c>
      <c r="U349">
        <v>1.58720940327934E-2</v>
      </c>
      <c r="V349" t="s">
        <v>166</v>
      </c>
    </row>
    <row r="350" spans="14:22" x14ac:dyDescent="0.45">
      <c r="N350" t="s">
        <v>185</v>
      </c>
      <c r="O350" t="s">
        <v>230</v>
      </c>
      <c r="P350">
        <v>4.0130842218379934E-3</v>
      </c>
      <c r="Q350" t="s">
        <v>166</v>
      </c>
      <c r="S350" t="s">
        <v>209</v>
      </c>
      <c r="T350" t="s">
        <v>230</v>
      </c>
      <c r="U350">
        <v>3.7562419853994031E-3</v>
      </c>
      <c r="V350" t="s">
        <v>166</v>
      </c>
    </row>
    <row r="351" spans="14:22" x14ac:dyDescent="0.45">
      <c r="N351" t="s">
        <v>185</v>
      </c>
      <c r="O351" t="s">
        <v>231</v>
      </c>
      <c r="P351">
        <v>4.030406145113667E-3</v>
      </c>
      <c r="Q351" t="s">
        <v>166</v>
      </c>
      <c r="S351" t="s">
        <v>209</v>
      </c>
      <c r="T351" t="s">
        <v>231</v>
      </c>
      <c r="U351">
        <v>3.660856012361712E-3</v>
      </c>
      <c r="V351" t="s">
        <v>166</v>
      </c>
    </row>
    <row r="352" spans="14:22" x14ac:dyDescent="0.45">
      <c r="N352" t="s">
        <v>185</v>
      </c>
      <c r="O352" t="s">
        <v>232</v>
      </c>
      <c r="P352">
        <v>4.0326046357158397E-3</v>
      </c>
      <c r="Q352" t="s">
        <v>166</v>
      </c>
      <c r="S352" t="s">
        <v>209</v>
      </c>
      <c r="T352" t="s">
        <v>232</v>
      </c>
      <c r="U352">
        <v>3.5650987169763061E-3</v>
      </c>
      <c r="V352" t="s">
        <v>166</v>
      </c>
    </row>
    <row r="353" spans="14:22" x14ac:dyDescent="0.45">
      <c r="N353" t="s">
        <v>185</v>
      </c>
      <c r="O353" t="s">
        <v>169</v>
      </c>
      <c r="P353">
        <v>1.1282081365312027E-2</v>
      </c>
      <c r="Q353" t="s">
        <v>166</v>
      </c>
      <c r="S353" t="s">
        <v>209</v>
      </c>
      <c r="T353" t="s">
        <v>169</v>
      </c>
      <c r="U353">
        <v>1.1522877626603449E-2</v>
      </c>
      <c r="V353" t="s">
        <v>166</v>
      </c>
    </row>
    <row r="354" spans="14:22" x14ac:dyDescent="0.45">
      <c r="N354" t="s">
        <v>185</v>
      </c>
      <c r="O354" t="s">
        <v>170</v>
      </c>
      <c r="P354">
        <v>2.5534024494568489E-2</v>
      </c>
      <c r="Q354" t="s">
        <v>166</v>
      </c>
      <c r="S354" t="s">
        <v>209</v>
      </c>
      <c r="T354" t="s">
        <v>170</v>
      </c>
      <c r="U354">
        <v>2.9227324100006818E-2</v>
      </c>
      <c r="V354" t="s">
        <v>166</v>
      </c>
    </row>
    <row r="355" spans="14:22" x14ac:dyDescent="0.45">
      <c r="N355" t="s">
        <v>185</v>
      </c>
      <c r="O355" t="s">
        <v>171</v>
      </c>
      <c r="P355">
        <v>1.2044405390179026E-2</v>
      </c>
      <c r="Q355" t="s">
        <v>166</v>
      </c>
      <c r="S355" t="s">
        <v>209</v>
      </c>
      <c r="T355" t="s">
        <v>171</v>
      </c>
      <c r="U355">
        <v>1.0218275475368655E-2</v>
      </c>
      <c r="V355" t="s">
        <v>166</v>
      </c>
    </row>
    <row r="356" spans="14:22" x14ac:dyDescent="0.45">
      <c r="N356" t="s">
        <v>185</v>
      </c>
      <c r="O356" t="s">
        <v>233</v>
      </c>
      <c r="P356">
        <v>2.8531103878886082E-3</v>
      </c>
      <c r="Q356" t="s">
        <v>166</v>
      </c>
      <c r="S356" t="s">
        <v>209</v>
      </c>
      <c r="T356" t="s">
        <v>233</v>
      </c>
      <c r="U356">
        <v>2.4533387380998016E-3</v>
      </c>
      <c r="V356" t="s">
        <v>166</v>
      </c>
    </row>
    <row r="357" spans="14:22" x14ac:dyDescent="0.45">
      <c r="N357" t="s">
        <v>185</v>
      </c>
      <c r="O357" t="s">
        <v>234</v>
      </c>
      <c r="P357">
        <v>2.6557338404725973E-3</v>
      </c>
      <c r="Q357" t="s">
        <v>166</v>
      </c>
      <c r="S357" t="s">
        <v>209</v>
      </c>
      <c r="T357" t="s">
        <v>234</v>
      </c>
      <c r="U357">
        <v>2.4156678842468145E-3</v>
      </c>
      <c r="V357" t="s">
        <v>166</v>
      </c>
    </row>
    <row r="358" spans="14:22" x14ac:dyDescent="0.45">
      <c r="N358" t="s">
        <v>185</v>
      </c>
      <c r="O358" t="s">
        <v>235</v>
      </c>
      <c r="P358">
        <v>2.5206262016542772E-3</v>
      </c>
      <c r="Q358" t="s">
        <v>166</v>
      </c>
      <c r="S358" t="s">
        <v>209</v>
      </c>
      <c r="T358" t="s">
        <v>235</v>
      </c>
      <c r="U358">
        <v>2.2849614334999762E-3</v>
      </c>
      <c r="V358" t="s">
        <v>166</v>
      </c>
    </row>
    <row r="359" spans="14:22" x14ac:dyDescent="0.45">
      <c r="N359" t="s">
        <v>185</v>
      </c>
      <c r="O359" t="s">
        <v>172</v>
      </c>
      <c r="P359">
        <v>1.8853868842087954E-2</v>
      </c>
      <c r="Q359" t="s">
        <v>166</v>
      </c>
      <c r="S359" t="s">
        <v>209</v>
      </c>
      <c r="T359" t="s">
        <v>172</v>
      </c>
      <c r="U359">
        <v>1.4138514318073512E-2</v>
      </c>
      <c r="V359" t="s">
        <v>166</v>
      </c>
    </row>
    <row r="360" spans="14:22" x14ac:dyDescent="0.45">
      <c r="N360" t="s">
        <v>185</v>
      </c>
      <c r="O360" t="s">
        <v>173</v>
      </c>
      <c r="P360">
        <v>3.8305947409540991E-2</v>
      </c>
      <c r="Q360" t="s">
        <v>166</v>
      </c>
      <c r="S360" t="s">
        <v>209</v>
      </c>
      <c r="T360" t="s">
        <v>173</v>
      </c>
      <c r="U360">
        <v>3.9755587460324253E-2</v>
      </c>
      <c r="V360" t="s">
        <v>166</v>
      </c>
    </row>
    <row r="361" spans="14:22" x14ac:dyDescent="0.45">
      <c r="N361" t="s">
        <v>185</v>
      </c>
      <c r="O361" t="s">
        <v>174</v>
      </c>
      <c r="P361">
        <v>1.8007557247577206E-2</v>
      </c>
      <c r="Q361" t="s">
        <v>166</v>
      </c>
      <c r="S361" t="s">
        <v>209</v>
      </c>
      <c r="T361" t="s">
        <v>174</v>
      </c>
      <c r="U361">
        <v>1.330499239009161E-2</v>
      </c>
      <c r="V361" t="s">
        <v>166</v>
      </c>
    </row>
    <row r="362" spans="14:22" x14ac:dyDescent="0.45">
      <c r="N362" t="s">
        <v>185</v>
      </c>
      <c r="O362" t="s">
        <v>236</v>
      </c>
      <c r="P362">
        <v>4.520952195216219E-3</v>
      </c>
      <c r="Q362" t="s">
        <v>166</v>
      </c>
      <c r="S362" t="s">
        <v>209</v>
      </c>
      <c r="T362" t="s">
        <v>236</v>
      </c>
      <c r="U362">
        <v>3.0320830805164825E-3</v>
      </c>
      <c r="V362" t="s">
        <v>166</v>
      </c>
    </row>
    <row r="363" spans="14:22" x14ac:dyDescent="0.45">
      <c r="N363" t="s">
        <v>185</v>
      </c>
      <c r="O363" t="s">
        <v>237</v>
      </c>
      <c r="P363">
        <v>4.2565322193547856E-3</v>
      </c>
      <c r="Q363" t="s">
        <v>166</v>
      </c>
      <c r="S363" t="s">
        <v>209</v>
      </c>
      <c r="T363" t="s">
        <v>237</v>
      </c>
      <c r="U363">
        <v>2.7919355768789306E-3</v>
      </c>
      <c r="V363" t="s">
        <v>166</v>
      </c>
    </row>
    <row r="364" spans="14:22" x14ac:dyDescent="0.45">
      <c r="N364" t="s">
        <v>185</v>
      </c>
      <c r="O364" t="s">
        <v>238</v>
      </c>
      <c r="P364">
        <v>3.9862900428078362E-3</v>
      </c>
      <c r="Q364" t="s">
        <v>166</v>
      </c>
      <c r="S364" t="s">
        <v>209</v>
      </c>
      <c r="T364" t="s">
        <v>238</v>
      </c>
      <c r="U364">
        <v>2.7160100269355775E-3</v>
      </c>
      <c r="V364" t="s">
        <v>166</v>
      </c>
    </row>
    <row r="365" spans="14:22" x14ac:dyDescent="0.45">
      <c r="N365" t="s">
        <v>185</v>
      </c>
      <c r="O365" t="s">
        <v>175</v>
      </c>
      <c r="P365">
        <v>2.1730405674346597E-2</v>
      </c>
      <c r="Q365" t="s">
        <v>166</v>
      </c>
      <c r="S365" t="s">
        <v>209</v>
      </c>
      <c r="T365" t="s">
        <v>175</v>
      </c>
      <c r="U365">
        <v>2.0639748554855272E-2</v>
      </c>
      <c r="V365" t="s">
        <v>166</v>
      </c>
    </row>
    <row r="366" spans="14:22" x14ac:dyDescent="0.45">
      <c r="N366" t="s">
        <v>185</v>
      </c>
      <c r="O366" t="s">
        <v>176</v>
      </c>
      <c r="P366">
        <v>4.334311092195596E-2</v>
      </c>
      <c r="Q366" t="s">
        <v>166</v>
      </c>
      <c r="S366" t="s">
        <v>209</v>
      </c>
      <c r="T366" t="s">
        <v>176</v>
      </c>
      <c r="U366">
        <v>4.3942099370211873E-2</v>
      </c>
      <c r="V366" t="s">
        <v>166</v>
      </c>
    </row>
    <row r="367" spans="14:22" x14ac:dyDescent="0.45">
      <c r="N367" t="s">
        <v>185</v>
      </c>
      <c r="O367" t="s">
        <v>177</v>
      </c>
      <c r="P367">
        <v>1.6428903647318752E-2</v>
      </c>
      <c r="Q367" t="s">
        <v>166</v>
      </c>
      <c r="S367" t="s">
        <v>209</v>
      </c>
      <c r="T367" t="s">
        <v>177</v>
      </c>
      <c r="U367">
        <v>1.6152139529257419E-2</v>
      </c>
      <c r="V367" t="s">
        <v>166</v>
      </c>
    </row>
    <row r="368" spans="14:22" x14ac:dyDescent="0.45">
      <c r="N368" t="s">
        <v>185</v>
      </c>
      <c r="O368" t="s">
        <v>239</v>
      </c>
      <c r="P368">
        <v>4.445266132082586E-3</v>
      </c>
      <c r="Q368" t="s">
        <v>166</v>
      </c>
      <c r="S368" t="s">
        <v>209</v>
      </c>
      <c r="T368" t="s">
        <v>239</v>
      </c>
      <c r="U368">
        <v>4.2126536436227161E-3</v>
      </c>
      <c r="V368" t="s">
        <v>166</v>
      </c>
    </row>
    <row r="369" spans="14:22" x14ac:dyDescent="0.45">
      <c r="N369" t="s">
        <v>185</v>
      </c>
      <c r="O369" t="s">
        <v>240</v>
      </c>
      <c r="P369">
        <v>4.4664375713834607E-3</v>
      </c>
      <c r="Q369" t="s">
        <v>166</v>
      </c>
      <c r="S369" t="s">
        <v>209</v>
      </c>
      <c r="T369" t="s">
        <v>240</v>
      </c>
      <c r="U369">
        <v>4.241253778338336E-3</v>
      </c>
      <c r="V369" t="s">
        <v>166</v>
      </c>
    </row>
    <row r="370" spans="14:22" x14ac:dyDescent="0.45">
      <c r="N370" t="s">
        <v>185</v>
      </c>
      <c r="O370" t="s">
        <v>241</v>
      </c>
      <c r="P370">
        <v>4.4364196496743166E-3</v>
      </c>
      <c r="Q370" t="s">
        <v>166</v>
      </c>
      <c r="S370" t="s">
        <v>209</v>
      </c>
      <c r="T370" t="s">
        <v>241</v>
      </c>
      <c r="U370">
        <v>4.4237403599189998E-3</v>
      </c>
      <c r="V370" t="s">
        <v>166</v>
      </c>
    </row>
    <row r="371" spans="14:22" x14ac:dyDescent="0.45">
      <c r="N371" t="s">
        <v>185</v>
      </c>
      <c r="O371" t="s">
        <v>242</v>
      </c>
      <c r="P371">
        <v>5.2446851706924154E-2</v>
      </c>
      <c r="Q371" t="s">
        <v>166</v>
      </c>
      <c r="S371" t="s">
        <v>209</v>
      </c>
      <c r="T371" t="s">
        <v>242</v>
      </c>
      <c r="U371">
        <v>5.6323090340386288E-2</v>
      </c>
      <c r="V371" t="s">
        <v>166</v>
      </c>
    </row>
    <row r="372" spans="14:22" x14ac:dyDescent="0.45">
      <c r="N372" t="s">
        <v>185</v>
      </c>
      <c r="O372" t="s">
        <v>243</v>
      </c>
      <c r="P372">
        <v>0.10230914646235122</v>
      </c>
      <c r="Q372" t="s">
        <v>166</v>
      </c>
      <c r="S372" t="s">
        <v>209</v>
      </c>
      <c r="T372" t="s">
        <v>243</v>
      </c>
      <c r="U372">
        <v>0.12795990045912234</v>
      </c>
      <c r="V372" t="s">
        <v>166</v>
      </c>
    </row>
    <row r="373" spans="14:22" x14ac:dyDescent="0.45">
      <c r="N373" t="s">
        <v>185</v>
      </c>
      <c r="O373" t="s">
        <v>244</v>
      </c>
      <c r="P373">
        <v>3.5845372228673206E-2</v>
      </c>
      <c r="Q373" t="s">
        <v>166</v>
      </c>
      <c r="S373" t="s">
        <v>209</v>
      </c>
      <c r="T373" t="s">
        <v>244</v>
      </c>
      <c r="U373">
        <v>4.7619471786060998E-2</v>
      </c>
      <c r="V373" t="s">
        <v>166</v>
      </c>
    </row>
    <row r="374" spans="14:22" x14ac:dyDescent="0.45">
      <c r="N374" t="s">
        <v>185</v>
      </c>
      <c r="O374" t="s">
        <v>245</v>
      </c>
      <c r="P374">
        <v>1.047684559668601E-2</v>
      </c>
      <c r="Q374" t="s">
        <v>166</v>
      </c>
      <c r="S374" t="s">
        <v>209</v>
      </c>
      <c r="T374" t="s">
        <v>245</v>
      </c>
      <c r="U374">
        <v>1.1902363226255016E-2</v>
      </c>
      <c r="V374" t="s">
        <v>166</v>
      </c>
    </row>
    <row r="375" spans="14:22" x14ac:dyDescent="0.45">
      <c r="N375" t="s">
        <v>185</v>
      </c>
      <c r="O375" t="s">
        <v>246</v>
      </c>
      <c r="P375">
        <v>1.1052482026103184E-2</v>
      </c>
      <c r="Q375" t="s">
        <v>166</v>
      </c>
      <c r="S375" t="s">
        <v>209</v>
      </c>
      <c r="T375" t="s">
        <v>246</v>
      </c>
      <c r="U375">
        <v>1.1773917661792867E-2</v>
      </c>
      <c r="V375" t="s">
        <v>166</v>
      </c>
    </row>
    <row r="376" spans="14:22" x14ac:dyDescent="0.45">
      <c r="N376" t="s">
        <v>185</v>
      </c>
      <c r="O376" t="s">
        <v>247</v>
      </c>
      <c r="P376">
        <v>1.0970251320996504E-2</v>
      </c>
      <c r="Q376" t="s">
        <v>166</v>
      </c>
      <c r="S376" t="s">
        <v>209</v>
      </c>
      <c r="T376" t="s">
        <v>247</v>
      </c>
      <c r="U376">
        <v>1.2016326857823327E-2</v>
      </c>
      <c r="V376" t="s">
        <v>166</v>
      </c>
    </row>
    <row r="377" spans="14:22" x14ac:dyDescent="0.45">
      <c r="N377" t="s">
        <v>185</v>
      </c>
      <c r="O377" t="s">
        <v>248</v>
      </c>
      <c r="P377">
        <v>1.2606893900991262E-2</v>
      </c>
      <c r="Q377" t="s">
        <v>166</v>
      </c>
      <c r="S377" t="s">
        <v>209</v>
      </c>
      <c r="T377" t="s">
        <v>248</v>
      </c>
      <c r="U377">
        <v>1.248253526091558E-2</v>
      </c>
      <c r="V377" t="s">
        <v>166</v>
      </c>
    </row>
    <row r="378" spans="14:22" x14ac:dyDescent="0.45">
      <c r="N378" t="s">
        <v>185</v>
      </c>
      <c r="O378" t="s">
        <v>249</v>
      </c>
      <c r="P378">
        <v>2.8795938989370152E-2</v>
      </c>
      <c r="Q378" t="s">
        <v>166</v>
      </c>
      <c r="S378" t="s">
        <v>209</v>
      </c>
      <c r="T378" t="s">
        <v>249</v>
      </c>
      <c r="U378">
        <v>2.9640309740013797E-2</v>
      </c>
      <c r="V378" t="s">
        <v>166</v>
      </c>
    </row>
    <row r="379" spans="14:22" x14ac:dyDescent="0.45">
      <c r="N379" t="s">
        <v>185</v>
      </c>
      <c r="O379" t="s">
        <v>250</v>
      </c>
      <c r="P379">
        <v>1.0010441021307482E-2</v>
      </c>
      <c r="Q379" t="s">
        <v>166</v>
      </c>
      <c r="S379" t="s">
        <v>209</v>
      </c>
      <c r="T379" t="s">
        <v>250</v>
      </c>
      <c r="U379">
        <v>1.0824852553331672E-2</v>
      </c>
      <c r="V379" t="s">
        <v>166</v>
      </c>
    </row>
    <row r="380" spans="14:22" x14ac:dyDescent="0.45">
      <c r="N380" t="s">
        <v>185</v>
      </c>
      <c r="O380" t="s">
        <v>251</v>
      </c>
      <c r="P380">
        <v>2.772857720192395E-3</v>
      </c>
      <c r="Q380" t="s">
        <v>166</v>
      </c>
      <c r="S380" t="s">
        <v>209</v>
      </c>
      <c r="T380" t="s">
        <v>251</v>
      </c>
      <c r="U380">
        <v>2.8425188479073815E-3</v>
      </c>
      <c r="V380" t="s">
        <v>166</v>
      </c>
    </row>
    <row r="381" spans="14:22" x14ac:dyDescent="0.45">
      <c r="N381" t="s">
        <v>185</v>
      </c>
      <c r="O381" t="s">
        <v>252</v>
      </c>
      <c r="P381">
        <v>2.7542331777786581E-3</v>
      </c>
      <c r="Q381" t="s">
        <v>166</v>
      </c>
      <c r="S381" t="s">
        <v>209</v>
      </c>
      <c r="T381" t="s">
        <v>252</v>
      </c>
      <c r="U381">
        <v>2.7712961891220352E-3</v>
      </c>
      <c r="V381" t="s">
        <v>166</v>
      </c>
    </row>
    <row r="382" spans="14:22" x14ac:dyDescent="0.45">
      <c r="N382" t="s">
        <v>185</v>
      </c>
      <c r="O382" t="s">
        <v>253</v>
      </c>
      <c r="P382">
        <v>2.6448840303219994E-3</v>
      </c>
      <c r="Q382" t="s">
        <v>166</v>
      </c>
      <c r="S382" t="s">
        <v>209</v>
      </c>
      <c r="T382" t="s">
        <v>253</v>
      </c>
      <c r="U382">
        <v>2.7898620256216243E-3</v>
      </c>
      <c r="V382" t="s">
        <v>166</v>
      </c>
    </row>
    <row r="383" spans="14:22" x14ac:dyDescent="0.45">
      <c r="N383" t="s">
        <v>185</v>
      </c>
      <c r="O383" t="s">
        <v>254</v>
      </c>
      <c r="P383">
        <v>2.1991653381719951E-2</v>
      </c>
      <c r="Q383" t="s">
        <v>166</v>
      </c>
      <c r="S383" t="s">
        <v>209</v>
      </c>
      <c r="T383" t="s">
        <v>254</v>
      </c>
      <c r="U383">
        <v>2.0636149962569492E-2</v>
      </c>
      <c r="V383" t="s">
        <v>166</v>
      </c>
    </row>
    <row r="384" spans="14:22" x14ac:dyDescent="0.45">
      <c r="N384" t="s">
        <v>185</v>
      </c>
      <c r="O384" t="s">
        <v>255</v>
      </c>
      <c r="P384">
        <v>4.7708385829744071E-2</v>
      </c>
      <c r="Q384" t="s">
        <v>166</v>
      </c>
      <c r="S384" t="s">
        <v>209</v>
      </c>
      <c r="T384" t="s">
        <v>255</v>
      </c>
      <c r="U384">
        <v>4.769726327610456E-2</v>
      </c>
      <c r="V384" t="s">
        <v>166</v>
      </c>
    </row>
    <row r="385" spans="14:22" x14ac:dyDescent="0.45">
      <c r="N385" t="s">
        <v>185</v>
      </c>
      <c r="O385" t="s">
        <v>256</v>
      </c>
      <c r="P385">
        <v>1.9759821297196223E-2</v>
      </c>
      <c r="Q385" t="s">
        <v>166</v>
      </c>
      <c r="S385" t="s">
        <v>209</v>
      </c>
      <c r="T385" t="s">
        <v>256</v>
      </c>
      <c r="U385">
        <v>1.7415525396228138E-2</v>
      </c>
      <c r="V385" t="s">
        <v>166</v>
      </c>
    </row>
    <row r="386" spans="14:22" x14ac:dyDescent="0.45">
      <c r="N386" t="s">
        <v>185</v>
      </c>
      <c r="O386" t="s">
        <v>257</v>
      </c>
      <c r="P386">
        <v>4.9709175839507116E-3</v>
      </c>
      <c r="Q386" t="s">
        <v>166</v>
      </c>
      <c r="S386" t="s">
        <v>209</v>
      </c>
      <c r="T386" t="s">
        <v>257</v>
      </c>
      <c r="U386">
        <v>4.4928146884764064E-3</v>
      </c>
      <c r="V386" t="s">
        <v>166</v>
      </c>
    </row>
    <row r="387" spans="14:22" x14ac:dyDescent="0.45">
      <c r="N387" t="s">
        <v>185</v>
      </c>
      <c r="O387" t="s">
        <v>258</v>
      </c>
      <c r="P387">
        <v>4.9711509896768879E-3</v>
      </c>
      <c r="Q387" t="s">
        <v>166</v>
      </c>
      <c r="S387" t="s">
        <v>209</v>
      </c>
      <c r="T387" t="s">
        <v>258</v>
      </c>
      <c r="U387">
        <v>4.4421797325131475E-3</v>
      </c>
      <c r="V387" t="s">
        <v>166</v>
      </c>
    </row>
    <row r="388" spans="14:22" x14ac:dyDescent="0.45">
      <c r="N388" t="s">
        <v>185</v>
      </c>
      <c r="O388" t="s">
        <v>259</v>
      </c>
      <c r="P388">
        <v>4.8818219345650761E-3</v>
      </c>
      <c r="Q388" t="s">
        <v>166</v>
      </c>
      <c r="S388" t="s">
        <v>209</v>
      </c>
      <c r="T388" t="s">
        <v>259</v>
      </c>
      <c r="U388">
        <v>4.4365988947774005E-3</v>
      </c>
      <c r="V388" t="s">
        <v>166</v>
      </c>
    </row>
    <row r="389" spans="14:22" x14ac:dyDescent="0.45">
      <c r="N389" t="s">
        <v>185</v>
      </c>
      <c r="O389" t="s">
        <v>260</v>
      </c>
      <c r="P389">
        <v>5.964276798636179E-2</v>
      </c>
      <c r="Q389" t="s">
        <v>166</v>
      </c>
      <c r="S389" t="s">
        <v>209</v>
      </c>
      <c r="T389" t="s">
        <v>260</v>
      </c>
      <c r="U389">
        <v>5.1365822224267887E-2</v>
      </c>
      <c r="V389" t="s">
        <v>166</v>
      </c>
    </row>
    <row r="390" spans="14:22" x14ac:dyDescent="0.45">
      <c r="N390" t="s">
        <v>185</v>
      </c>
      <c r="O390" t="s">
        <v>261</v>
      </c>
      <c r="P390">
        <v>0.13770422088590364</v>
      </c>
      <c r="Q390" t="s">
        <v>166</v>
      </c>
      <c r="S390" t="s">
        <v>209</v>
      </c>
      <c r="T390" t="s">
        <v>261</v>
      </c>
      <c r="U390">
        <v>0.12422208889495052</v>
      </c>
      <c r="V390" t="s">
        <v>166</v>
      </c>
    </row>
    <row r="391" spans="14:22" x14ac:dyDescent="0.45">
      <c r="N391" t="s">
        <v>185</v>
      </c>
      <c r="O391" t="s">
        <v>262</v>
      </c>
      <c r="P391">
        <v>4.641713272116306E-2</v>
      </c>
      <c r="Q391" t="s">
        <v>166</v>
      </c>
      <c r="S391" t="s">
        <v>209</v>
      </c>
      <c r="T391" t="s">
        <v>262</v>
      </c>
      <c r="U391">
        <v>4.2997904947775376E-2</v>
      </c>
      <c r="V391" t="s">
        <v>166</v>
      </c>
    </row>
    <row r="392" spans="14:22" x14ac:dyDescent="0.45">
      <c r="N392" t="s">
        <v>185</v>
      </c>
      <c r="O392" t="s">
        <v>263</v>
      </c>
      <c r="P392">
        <v>1.1986372089757164E-2</v>
      </c>
      <c r="Q392" t="s">
        <v>166</v>
      </c>
      <c r="S392" t="s">
        <v>209</v>
      </c>
      <c r="T392" t="s">
        <v>263</v>
      </c>
      <c r="U392">
        <v>1.0832076028618276E-2</v>
      </c>
      <c r="V392" t="s">
        <v>166</v>
      </c>
    </row>
    <row r="393" spans="14:22" x14ac:dyDescent="0.45">
      <c r="N393" t="s">
        <v>185</v>
      </c>
      <c r="O393" t="s">
        <v>264</v>
      </c>
      <c r="P393">
        <v>1.201015137195589E-2</v>
      </c>
      <c r="Q393" t="s">
        <v>166</v>
      </c>
      <c r="S393" t="s">
        <v>209</v>
      </c>
      <c r="T393" t="s">
        <v>264</v>
      </c>
      <c r="U393">
        <v>1.0734093462867016E-2</v>
      </c>
      <c r="V393" t="s">
        <v>166</v>
      </c>
    </row>
    <row r="394" spans="14:22" x14ac:dyDescent="0.45">
      <c r="N394" t="s">
        <v>185</v>
      </c>
      <c r="O394" t="s">
        <v>265</v>
      </c>
      <c r="P394">
        <v>1.1919076983326558E-2</v>
      </c>
      <c r="Q394" t="s">
        <v>166</v>
      </c>
      <c r="S394" t="s">
        <v>209</v>
      </c>
      <c r="T394" t="s">
        <v>265</v>
      </c>
      <c r="U394">
        <v>1.0552202007380504E-2</v>
      </c>
      <c r="V394" t="s">
        <v>166</v>
      </c>
    </row>
    <row r="395" spans="14:22" x14ac:dyDescent="0.45">
      <c r="N395" t="s">
        <v>186</v>
      </c>
      <c r="O395" t="s">
        <v>165</v>
      </c>
      <c r="P395">
        <v>2.1347795576293675E-2</v>
      </c>
      <c r="Q395" t="s">
        <v>166</v>
      </c>
      <c r="S395" t="s">
        <v>210</v>
      </c>
      <c r="T395" t="s">
        <v>165</v>
      </c>
      <c r="U395">
        <v>1.8542778270292902E-2</v>
      </c>
      <c r="V395" t="s">
        <v>166</v>
      </c>
    </row>
    <row r="396" spans="14:22" x14ac:dyDescent="0.45">
      <c r="N396" t="s">
        <v>186</v>
      </c>
      <c r="O396" t="s">
        <v>167</v>
      </c>
      <c r="P396">
        <v>4.8125954451076744E-2</v>
      </c>
      <c r="Q396" t="s">
        <v>166</v>
      </c>
      <c r="S396" t="s">
        <v>210</v>
      </c>
      <c r="T396" t="s">
        <v>167</v>
      </c>
      <c r="U396">
        <v>4.980838587347601E-2</v>
      </c>
      <c r="V396" t="s">
        <v>166</v>
      </c>
    </row>
    <row r="397" spans="14:22" x14ac:dyDescent="0.45">
      <c r="N397" t="s">
        <v>186</v>
      </c>
      <c r="O397" t="s">
        <v>168</v>
      </c>
      <c r="P397">
        <v>1.5437105116386433E-2</v>
      </c>
      <c r="Q397" t="s">
        <v>166</v>
      </c>
      <c r="S397" t="s">
        <v>210</v>
      </c>
      <c r="T397" t="s">
        <v>168</v>
      </c>
      <c r="U397">
        <v>1.5524892905083253E-2</v>
      </c>
      <c r="V397" t="s">
        <v>166</v>
      </c>
    </row>
    <row r="398" spans="14:22" x14ac:dyDescent="0.45">
      <c r="N398" t="s">
        <v>186</v>
      </c>
      <c r="O398" t="s">
        <v>230</v>
      </c>
      <c r="P398">
        <v>3.8998569847379359E-3</v>
      </c>
      <c r="Q398" t="s">
        <v>166</v>
      </c>
      <c r="S398" t="s">
        <v>210</v>
      </c>
      <c r="T398" t="s">
        <v>230</v>
      </c>
      <c r="U398">
        <v>3.7825814972042501E-3</v>
      </c>
      <c r="V398" t="s">
        <v>166</v>
      </c>
    </row>
    <row r="399" spans="14:22" x14ac:dyDescent="0.45">
      <c r="N399" t="s">
        <v>186</v>
      </c>
      <c r="O399" t="s">
        <v>231</v>
      </c>
      <c r="P399">
        <v>3.9588546234573582E-3</v>
      </c>
      <c r="Q399" t="s">
        <v>166</v>
      </c>
      <c r="S399" t="s">
        <v>210</v>
      </c>
      <c r="T399" t="s">
        <v>231</v>
      </c>
      <c r="U399">
        <v>3.7482082465992599E-3</v>
      </c>
      <c r="V399" t="s">
        <v>166</v>
      </c>
    </row>
    <row r="400" spans="14:22" x14ac:dyDescent="0.45">
      <c r="N400" t="s">
        <v>186</v>
      </c>
      <c r="O400" t="s">
        <v>232</v>
      </c>
      <c r="P400">
        <v>4.0236543818078134E-3</v>
      </c>
      <c r="Q400" t="s">
        <v>166</v>
      </c>
      <c r="S400" t="s">
        <v>210</v>
      </c>
      <c r="T400" t="s">
        <v>232</v>
      </c>
      <c r="U400">
        <v>3.685670286630735E-3</v>
      </c>
      <c r="V400" t="s">
        <v>166</v>
      </c>
    </row>
    <row r="401" spans="14:22" x14ac:dyDescent="0.45">
      <c r="N401" t="s">
        <v>186</v>
      </c>
      <c r="O401" t="s">
        <v>169</v>
      </c>
      <c r="P401">
        <v>1.0529102357069886E-2</v>
      </c>
      <c r="Q401" t="s">
        <v>166</v>
      </c>
      <c r="S401" t="s">
        <v>210</v>
      </c>
      <c r="T401" t="s">
        <v>169</v>
      </c>
      <c r="U401">
        <v>1.0534752966450961E-2</v>
      </c>
      <c r="V401" t="s">
        <v>166</v>
      </c>
    </row>
    <row r="402" spans="14:22" x14ac:dyDescent="0.45">
      <c r="N402" t="s">
        <v>186</v>
      </c>
      <c r="O402" t="s">
        <v>170</v>
      </c>
      <c r="P402">
        <v>2.3677792046600834E-2</v>
      </c>
      <c r="Q402" t="s">
        <v>166</v>
      </c>
      <c r="S402" t="s">
        <v>210</v>
      </c>
      <c r="T402" t="s">
        <v>170</v>
      </c>
      <c r="U402">
        <v>2.9386301178051473E-2</v>
      </c>
      <c r="V402" t="s">
        <v>166</v>
      </c>
    </row>
    <row r="403" spans="14:22" x14ac:dyDescent="0.45">
      <c r="N403" t="s">
        <v>186</v>
      </c>
      <c r="O403" t="s">
        <v>171</v>
      </c>
      <c r="P403">
        <v>1.1370257173393168E-2</v>
      </c>
      <c r="Q403" t="s">
        <v>166</v>
      </c>
      <c r="S403" t="s">
        <v>210</v>
      </c>
      <c r="T403" t="s">
        <v>171</v>
      </c>
      <c r="U403">
        <v>1.0017608683427694E-2</v>
      </c>
      <c r="V403" t="s">
        <v>166</v>
      </c>
    </row>
    <row r="404" spans="14:22" x14ac:dyDescent="0.45">
      <c r="N404" t="s">
        <v>186</v>
      </c>
      <c r="O404" t="s">
        <v>233</v>
      </c>
      <c r="P404">
        <v>2.7379659306820932E-3</v>
      </c>
      <c r="Q404" t="s">
        <v>166</v>
      </c>
      <c r="S404" t="s">
        <v>210</v>
      </c>
      <c r="T404" t="s">
        <v>233</v>
      </c>
      <c r="U404">
        <v>2.3728843616894657E-3</v>
      </c>
      <c r="V404" t="s">
        <v>166</v>
      </c>
    </row>
    <row r="405" spans="14:22" x14ac:dyDescent="0.45">
      <c r="N405" t="s">
        <v>186</v>
      </c>
      <c r="O405" t="s">
        <v>234</v>
      </c>
      <c r="P405">
        <v>2.5854206953777642E-3</v>
      </c>
      <c r="Q405" t="s">
        <v>166</v>
      </c>
      <c r="S405" t="s">
        <v>210</v>
      </c>
      <c r="T405" t="s">
        <v>234</v>
      </c>
      <c r="U405">
        <v>2.2678781362216807E-3</v>
      </c>
      <c r="V405" t="s">
        <v>166</v>
      </c>
    </row>
    <row r="406" spans="14:22" x14ac:dyDescent="0.45">
      <c r="N406" t="s">
        <v>186</v>
      </c>
      <c r="O406" t="s">
        <v>235</v>
      </c>
      <c r="P406">
        <v>2.4334539043484459E-3</v>
      </c>
      <c r="Q406" t="s">
        <v>166</v>
      </c>
      <c r="S406" t="s">
        <v>210</v>
      </c>
      <c r="T406" t="s">
        <v>235</v>
      </c>
      <c r="U406">
        <v>2.1390369031961194E-3</v>
      </c>
      <c r="V406" t="s">
        <v>166</v>
      </c>
    </row>
    <row r="407" spans="14:22" x14ac:dyDescent="0.45">
      <c r="N407" t="s">
        <v>186</v>
      </c>
      <c r="O407" t="s">
        <v>172</v>
      </c>
      <c r="P407">
        <v>1.8952318313968028E-2</v>
      </c>
      <c r="Q407" t="s">
        <v>166</v>
      </c>
      <c r="S407" t="s">
        <v>210</v>
      </c>
      <c r="T407" t="s">
        <v>172</v>
      </c>
      <c r="U407">
        <v>1.3461251959507191E-2</v>
      </c>
      <c r="V407" t="s">
        <v>166</v>
      </c>
    </row>
    <row r="408" spans="14:22" x14ac:dyDescent="0.45">
      <c r="N408" t="s">
        <v>186</v>
      </c>
      <c r="O408" t="s">
        <v>173</v>
      </c>
      <c r="P408">
        <v>3.9366356898475487E-2</v>
      </c>
      <c r="Q408" t="s">
        <v>166</v>
      </c>
      <c r="S408" t="s">
        <v>210</v>
      </c>
      <c r="T408" t="s">
        <v>173</v>
      </c>
      <c r="U408">
        <v>3.9361861093611852E-2</v>
      </c>
      <c r="V408" t="s">
        <v>166</v>
      </c>
    </row>
    <row r="409" spans="14:22" x14ac:dyDescent="0.45">
      <c r="N409" t="s">
        <v>186</v>
      </c>
      <c r="O409" t="s">
        <v>174</v>
      </c>
      <c r="P409">
        <v>1.7027335330651074E-2</v>
      </c>
      <c r="Q409" t="s">
        <v>166</v>
      </c>
      <c r="S409" t="s">
        <v>210</v>
      </c>
      <c r="T409" t="s">
        <v>174</v>
      </c>
      <c r="U409">
        <v>1.4352126021391021E-2</v>
      </c>
      <c r="V409" t="s">
        <v>166</v>
      </c>
    </row>
    <row r="410" spans="14:22" x14ac:dyDescent="0.45">
      <c r="N410" t="s">
        <v>186</v>
      </c>
      <c r="O410" t="s">
        <v>236</v>
      </c>
      <c r="P410">
        <v>4.3781460666017452E-3</v>
      </c>
      <c r="Q410" t="s">
        <v>166</v>
      </c>
      <c r="S410" t="s">
        <v>210</v>
      </c>
      <c r="T410" t="s">
        <v>236</v>
      </c>
      <c r="U410">
        <v>3.1648361674319605E-3</v>
      </c>
      <c r="V410" t="s">
        <v>166</v>
      </c>
    </row>
    <row r="411" spans="14:22" x14ac:dyDescent="0.45">
      <c r="N411" t="s">
        <v>186</v>
      </c>
      <c r="O411" t="s">
        <v>237</v>
      </c>
      <c r="P411">
        <v>4.1771357373736667E-3</v>
      </c>
      <c r="Q411" t="s">
        <v>166</v>
      </c>
      <c r="S411" t="s">
        <v>210</v>
      </c>
      <c r="T411" t="s">
        <v>237</v>
      </c>
      <c r="U411">
        <v>2.9607738276169059E-3</v>
      </c>
      <c r="V411" t="s">
        <v>166</v>
      </c>
    </row>
    <row r="412" spans="14:22" x14ac:dyDescent="0.45">
      <c r="N412" t="s">
        <v>186</v>
      </c>
      <c r="O412" t="s">
        <v>238</v>
      </c>
      <c r="P412">
        <v>3.9936903213052769E-3</v>
      </c>
      <c r="Q412" t="s">
        <v>166</v>
      </c>
      <c r="S412" t="s">
        <v>210</v>
      </c>
      <c r="T412" t="s">
        <v>238</v>
      </c>
      <c r="U412">
        <v>2.9200339199065548E-3</v>
      </c>
      <c r="V412" t="s">
        <v>166</v>
      </c>
    </row>
    <row r="413" spans="14:22" x14ac:dyDescent="0.45">
      <c r="N413" t="s">
        <v>186</v>
      </c>
      <c r="O413" t="s">
        <v>175</v>
      </c>
      <c r="P413">
        <v>1.9294061975502097E-2</v>
      </c>
      <c r="Q413" t="s">
        <v>166</v>
      </c>
      <c r="S413" t="s">
        <v>210</v>
      </c>
      <c r="T413" t="s">
        <v>175</v>
      </c>
      <c r="U413">
        <v>1.9403812650552594E-2</v>
      </c>
      <c r="V413" t="s">
        <v>166</v>
      </c>
    </row>
    <row r="414" spans="14:22" x14ac:dyDescent="0.45">
      <c r="N414" t="s">
        <v>186</v>
      </c>
      <c r="O414" t="s">
        <v>176</v>
      </c>
      <c r="P414">
        <v>4.2261830260408431E-2</v>
      </c>
      <c r="Q414" t="s">
        <v>166</v>
      </c>
      <c r="S414" t="s">
        <v>210</v>
      </c>
      <c r="T414" t="s">
        <v>176</v>
      </c>
      <c r="U414">
        <v>4.7175262863978613E-2</v>
      </c>
      <c r="V414" t="s">
        <v>166</v>
      </c>
    </row>
    <row r="415" spans="14:22" x14ac:dyDescent="0.45">
      <c r="N415" t="s">
        <v>186</v>
      </c>
      <c r="O415" t="s">
        <v>177</v>
      </c>
      <c r="P415">
        <v>1.6521366220791003E-2</v>
      </c>
      <c r="Q415" t="s">
        <v>166</v>
      </c>
      <c r="S415" t="s">
        <v>210</v>
      </c>
      <c r="T415" t="s">
        <v>177</v>
      </c>
      <c r="U415">
        <v>1.6284535170987127E-2</v>
      </c>
      <c r="V415" t="s">
        <v>166</v>
      </c>
    </row>
    <row r="416" spans="14:22" x14ac:dyDescent="0.45">
      <c r="N416" t="s">
        <v>186</v>
      </c>
      <c r="O416" t="s">
        <v>239</v>
      </c>
      <c r="P416">
        <v>4.3483905464835812E-3</v>
      </c>
      <c r="Q416" t="s">
        <v>166</v>
      </c>
      <c r="S416" t="s">
        <v>210</v>
      </c>
      <c r="T416" t="s">
        <v>239</v>
      </c>
      <c r="U416">
        <v>4.1002037516610504E-3</v>
      </c>
      <c r="V416" t="s">
        <v>166</v>
      </c>
    </row>
    <row r="417" spans="14:22" x14ac:dyDescent="0.45">
      <c r="N417" t="s">
        <v>186</v>
      </c>
      <c r="O417" t="s">
        <v>240</v>
      </c>
      <c r="P417">
        <v>4.302858546226692E-3</v>
      </c>
      <c r="Q417" t="s">
        <v>166</v>
      </c>
      <c r="S417" t="s">
        <v>210</v>
      </c>
      <c r="T417" t="s">
        <v>240</v>
      </c>
      <c r="U417">
        <v>4.0992968232028641E-3</v>
      </c>
      <c r="V417" t="s">
        <v>166</v>
      </c>
    </row>
    <row r="418" spans="14:22" x14ac:dyDescent="0.45">
      <c r="N418" t="s">
        <v>186</v>
      </c>
      <c r="O418" t="s">
        <v>241</v>
      </c>
      <c r="P418">
        <v>4.1703115298700345E-3</v>
      </c>
      <c r="Q418" t="s">
        <v>166</v>
      </c>
      <c r="S418" t="s">
        <v>210</v>
      </c>
      <c r="T418" t="s">
        <v>241</v>
      </c>
      <c r="U418">
        <v>4.1577744576132454E-3</v>
      </c>
      <c r="V418" t="s">
        <v>166</v>
      </c>
    </row>
    <row r="419" spans="14:22" x14ac:dyDescent="0.45">
      <c r="N419" t="s">
        <v>186</v>
      </c>
      <c r="O419" t="s">
        <v>242</v>
      </c>
      <c r="P419">
        <v>5.3891879450895019E-2</v>
      </c>
      <c r="Q419" t="s">
        <v>166</v>
      </c>
      <c r="S419" t="s">
        <v>210</v>
      </c>
      <c r="T419" t="s">
        <v>242</v>
      </c>
      <c r="U419">
        <v>5.326018189940121E-2</v>
      </c>
      <c r="V419" t="s">
        <v>166</v>
      </c>
    </row>
    <row r="420" spans="14:22" x14ac:dyDescent="0.45">
      <c r="N420" t="s">
        <v>186</v>
      </c>
      <c r="O420" t="s">
        <v>243</v>
      </c>
      <c r="P420">
        <v>0.10463122361555352</v>
      </c>
      <c r="Q420" t="s">
        <v>166</v>
      </c>
      <c r="S420" t="s">
        <v>210</v>
      </c>
      <c r="T420" t="s">
        <v>243</v>
      </c>
      <c r="U420">
        <v>0.12834391935099895</v>
      </c>
      <c r="V420" t="s">
        <v>166</v>
      </c>
    </row>
    <row r="421" spans="14:22" x14ac:dyDescent="0.45">
      <c r="N421" t="s">
        <v>186</v>
      </c>
      <c r="O421" t="s">
        <v>244</v>
      </c>
      <c r="P421">
        <v>3.8611329064478499E-2</v>
      </c>
      <c r="Q421" t="s">
        <v>166</v>
      </c>
      <c r="S421" t="s">
        <v>210</v>
      </c>
      <c r="T421" t="s">
        <v>244</v>
      </c>
      <c r="U421">
        <v>4.7363021226036896E-2</v>
      </c>
      <c r="V421" t="s">
        <v>166</v>
      </c>
    </row>
    <row r="422" spans="14:22" x14ac:dyDescent="0.45">
      <c r="N422" t="s">
        <v>186</v>
      </c>
      <c r="O422" t="s">
        <v>245</v>
      </c>
      <c r="P422">
        <v>1.092232046407738E-2</v>
      </c>
      <c r="Q422" t="s">
        <v>166</v>
      </c>
      <c r="S422" t="s">
        <v>210</v>
      </c>
      <c r="T422" t="s">
        <v>245</v>
      </c>
      <c r="U422">
        <v>1.1415443813763944E-2</v>
      </c>
      <c r="V422" t="s">
        <v>166</v>
      </c>
    </row>
    <row r="423" spans="14:22" x14ac:dyDescent="0.45">
      <c r="N423" t="s">
        <v>186</v>
      </c>
      <c r="O423" t="s">
        <v>246</v>
      </c>
      <c r="P423">
        <v>1.134239930169801E-2</v>
      </c>
      <c r="Q423" t="s">
        <v>166</v>
      </c>
      <c r="S423" t="s">
        <v>210</v>
      </c>
      <c r="T423" t="s">
        <v>246</v>
      </c>
      <c r="U423">
        <v>1.1133968832343107E-2</v>
      </c>
      <c r="V423" t="s">
        <v>166</v>
      </c>
    </row>
    <row r="424" spans="14:22" x14ac:dyDescent="0.45">
      <c r="N424" t="s">
        <v>186</v>
      </c>
      <c r="O424" t="s">
        <v>247</v>
      </c>
      <c r="P424">
        <v>1.1421789536379928E-2</v>
      </c>
      <c r="Q424" t="s">
        <v>166</v>
      </c>
      <c r="S424" t="s">
        <v>210</v>
      </c>
      <c r="T424" t="s">
        <v>247</v>
      </c>
      <c r="U424">
        <v>1.134531048871841E-2</v>
      </c>
      <c r="V424" t="s">
        <v>166</v>
      </c>
    </row>
    <row r="425" spans="14:22" x14ac:dyDescent="0.45">
      <c r="N425" t="s">
        <v>186</v>
      </c>
      <c r="O425" t="s">
        <v>248</v>
      </c>
      <c r="P425">
        <v>1.256504159436843E-2</v>
      </c>
      <c r="Q425" t="s">
        <v>166</v>
      </c>
      <c r="S425" t="s">
        <v>210</v>
      </c>
      <c r="T425" t="s">
        <v>248</v>
      </c>
      <c r="U425">
        <v>1.3163722604846047E-2</v>
      </c>
      <c r="V425" t="s">
        <v>166</v>
      </c>
    </row>
    <row r="426" spans="14:22" x14ac:dyDescent="0.45">
      <c r="N426" t="s">
        <v>186</v>
      </c>
      <c r="O426" t="s">
        <v>249</v>
      </c>
      <c r="P426">
        <v>2.8864023652685689E-2</v>
      </c>
      <c r="Q426" t="s">
        <v>166</v>
      </c>
      <c r="S426" t="s">
        <v>210</v>
      </c>
      <c r="T426" t="s">
        <v>249</v>
      </c>
      <c r="U426">
        <v>3.0817027089244935E-2</v>
      </c>
      <c r="V426" t="s">
        <v>166</v>
      </c>
    </row>
    <row r="427" spans="14:22" x14ac:dyDescent="0.45">
      <c r="N427" t="s">
        <v>186</v>
      </c>
      <c r="O427" t="s">
        <v>250</v>
      </c>
      <c r="P427">
        <v>1.0046863118116669E-2</v>
      </c>
      <c r="Q427" t="s">
        <v>166</v>
      </c>
      <c r="S427" t="s">
        <v>210</v>
      </c>
      <c r="T427" t="s">
        <v>250</v>
      </c>
      <c r="U427">
        <v>1.1271847689541955E-2</v>
      </c>
      <c r="V427" t="s">
        <v>166</v>
      </c>
    </row>
    <row r="428" spans="14:22" x14ac:dyDescent="0.45">
      <c r="N428" t="s">
        <v>186</v>
      </c>
      <c r="O428" t="s">
        <v>251</v>
      </c>
      <c r="P428">
        <v>2.8007729987026501E-3</v>
      </c>
      <c r="Q428" t="s">
        <v>166</v>
      </c>
      <c r="S428" t="s">
        <v>210</v>
      </c>
      <c r="T428" t="s">
        <v>251</v>
      </c>
      <c r="U428">
        <v>2.847060444984487E-3</v>
      </c>
      <c r="V428" t="s">
        <v>166</v>
      </c>
    </row>
    <row r="429" spans="14:22" x14ac:dyDescent="0.45">
      <c r="N429" t="s">
        <v>186</v>
      </c>
      <c r="O429" t="s">
        <v>252</v>
      </c>
      <c r="P429">
        <v>2.7953495716130736E-3</v>
      </c>
      <c r="Q429" t="s">
        <v>166</v>
      </c>
      <c r="S429" t="s">
        <v>210</v>
      </c>
      <c r="T429" t="s">
        <v>252</v>
      </c>
      <c r="U429">
        <v>2.7860022743312852E-3</v>
      </c>
      <c r="V429" t="s">
        <v>166</v>
      </c>
    </row>
    <row r="430" spans="14:22" x14ac:dyDescent="0.45">
      <c r="N430" t="s">
        <v>186</v>
      </c>
      <c r="O430" t="s">
        <v>253</v>
      </c>
      <c r="P430">
        <v>2.7283079147600135E-3</v>
      </c>
      <c r="Q430" t="s">
        <v>166</v>
      </c>
      <c r="S430" t="s">
        <v>210</v>
      </c>
      <c r="T430" t="s">
        <v>253</v>
      </c>
      <c r="U430">
        <v>2.8358935110459277E-3</v>
      </c>
      <c r="V430" t="s">
        <v>166</v>
      </c>
    </row>
    <row r="431" spans="14:22" x14ac:dyDescent="0.45">
      <c r="N431" t="s">
        <v>186</v>
      </c>
      <c r="O431" t="s">
        <v>254</v>
      </c>
      <c r="P431">
        <v>2.4493201844354044E-2</v>
      </c>
      <c r="Q431" t="s">
        <v>166</v>
      </c>
      <c r="S431" t="s">
        <v>210</v>
      </c>
      <c r="T431" t="s">
        <v>254</v>
      </c>
      <c r="U431">
        <v>2.1044885661697325E-2</v>
      </c>
      <c r="V431" t="s">
        <v>166</v>
      </c>
    </row>
    <row r="432" spans="14:22" x14ac:dyDescent="0.45">
      <c r="N432" t="s">
        <v>186</v>
      </c>
      <c r="O432" t="s">
        <v>255</v>
      </c>
      <c r="P432">
        <v>5.0890343266072093E-2</v>
      </c>
      <c r="Q432" t="s">
        <v>166</v>
      </c>
      <c r="S432" t="s">
        <v>210</v>
      </c>
      <c r="T432" t="s">
        <v>255</v>
      </c>
      <c r="U432">
        <v>5.0191509251842174E-2</v>
      </c>
      <c r="V432" t="s">
        <v>166</v>
      </c>
    </row>
    <row r="433" spans="14:22" x14ac:dyDescent="0.45">
      <c r="N433" t="s">
        <v>186</v>
      </c>
      <c r="O433" t="s">
        <v>256</v>
      </c>
      <c r="P433">
        <v>1.9520559842639996E-2</v>
      </c>
      <c r="Q433" t="s">
        <v>166</v>
      </c>
      <c r="S433" t="s">
        <v>210</v>
      </c>
      <c r="T433" t="s">
        <v>256</v>
      </c>
      <c r="U433">
        <v>1.6769888438336541E-2</v>
      </c>
      <c r="V433" t="s">
        <v>166</v>
      </c>
    </row>
    <row r="434" spans="14:22" x14ac:dyDescent="0.45">
      <c r="N434" t="s">
        <v>186</v>
      </c>
      <c r="O434" t="s">
        <v>257</v>
      </c>
      <c r="P434">
        <v>4.8311456038680487E-3</v>
      </c>
      <c r="Q434" t="s">
        <v>166</v>
      </c>
      <c r="S434" t="s">
        <v>210</v>
      </c>
      <c r="T434" t="s">
        <v>257</v>
      </c>
      <c r="U434">
        <v>4.298292119286555E-3</v>
      </c>
      <c r="V434" t="s">
        <v>166</v>
      </c>
    </row>
    <row r="435" spans="14:22" x14ac:dyDescent="0.45">
      <c r="N435" t="s">
        <v>186</v>
      </c>
      <c r="O435" t="s">
        <v>258</v>
      </c>
      <c r="P435">
        <v>4.8193859336644719E-3</v>
      </c>
      <c r="Q435" t="s">
        <v>166</v>
      </c>
      <c r="S435" t="s">
        <v>210</v>
      </c>
      <c r="T435" t="s">
        <v>258</v>
      </c>
      <c r="U435">
        <v>4.3301909515574104E-3</v>
      </c>
      <c r="V435" t="s">
        <v>166</v>
      </c>
    </row>
    <row r="436" spans="14:22" x14ac:dyDescent="0.45">
      <c r="N436" t="s">
        <v>186</v>
      </c>
      <c r="O436" t="s">
        <v>259</v>
      </c>
      <c r="P436">
        <v>4.8467423345695234E-3</v>
      </c>
      <c r="Q436" t="s">
        <v>166</v>
      </c>
      <c r="S436" t="s">
        <v>210</v>
      </c>
      <c r="T436" t="s">
        <v>259</v>
      </c>
      <c r="U436">
        <v>4.453996503001466E-3</v>
      </c>
      <c r="V436" t="s">
        <v>166</v>
      </c>
    </row>
    <row r="437" spans="14:22" x14ac:dyDescent="0.45">
      <c r="N437" t="s">
        <v>186</v>
      </c>
      <c r="O437" t="s">
        <v>260</v>
      </c>
      <c r="P437">
        <v>5.7423464349288827E-2</v>
      </c>
      <c r="Q437" t="s">
        <v>166</v>
      </c>
      <c r="S437" t="s">
        <v>210</v>
      </c>
      <c r="T437" t="s">
        <v>260</v>
      </c>
      <c r="U437">
        <v>5.1190584561889858E-2</v>
      </c>
      <c r="V437" t="s">
        <v>166</v>
      </c>
    </row>
    <row r="438" spans="14:22" x14ac:dyDescent="0.45">
      <c r="N438" t="s">
        <v>186</v>
      </c>
      <c r="O438" t="s">
        <v>261</v>
      </c>
      <c r="P438">
        <v>0.1351968746394496</v>
      </c>
      <c r="Q438" t="s">
        <v>166</v>
      </c>
      <c r="S438" t="s">
        <v>210</v>
      </c>
      <c r="T438" t="s">
        <v>261</v>
      </c>
      <c r="U438">
        <v>0.12317253628276562</v>
      </c>
      <c r="V438" t="s">
        <v>166</v>
      </c>
    </row>
    <row r="439" spans="14:22" x14ac:dyDescent="0.45">
      <c r="N439" t="s">
        <v>186</v>
      </c>
      <c r="O439" t="s">
        <v>262</v>
      </c>
      <c r="P439">
        <v>4.4058320871951273E-2</v>
      </c>
      <c r="Q439" t="s">
        <v>166</v>
      </c>
      <c r="S439" t="s">
        <v>210</v>
      </c>
      <c r="T439" t="s">
        <v>262</v>
      </c>
      <c r="U439">
        <v>4.2832126261200552E-2</v>
      </c>
      <c r="V439" t="s">
        <v>166</v>
      </c>
    </row>
    <row r="440" spans="14:22" x14ac:dyDescent="0.45">
      <c r="N440" t="s">
        <v>186</v>
      </c>
      <c r="O440" t="s">
        <v>263</v>
      </c>
      <c r="P440">
        <v>1.1308097890970523E-2</v>
      </c>
      <c r="Q440" t="s">
        <v>166</v>
      </c>
      <c r="S440" t="s">
        <v>210</v>
      </c>
      <c r="T440" t="s">
        <v>263</v>
      </c>
      <c r="U440">
        <v>1.0726808582050162E-2</v>
      </c>
      <c r="V440" t="s">
        <v>166</v>
      </c>
    </row>
    <row r="441" spans="14:22" x14ac:dyDescent="0.45">
      <c r="N441" t="s">
        <v>186</v>
      </c>
      <c r="O441" t="s">
        <v>264</v>
      </c>
      <c r="P441">
        <v>1.1487248823606858E-2</v>
      </c>
      <c r="Q441" t="s">
        <v>166</v>
      </c>
      <c r="S441" t="s">
        <v>210</v>
      </c>
      <c r="T441" t="s">
        <v>264</v>
      </c>
      <c r="U441">
        <v>1.0608254664882367E-2</v>
      </c>
      <c r="V441" t="s">
        <v>166</v>
      </c>
    </row>
    <row r="442" spans="14:22" x14ac:dyDescent="0.45">
      <c r="N442" t="s">
        <v>186</v>
      </c>
      <c r="O442" t="s">
        <v>265</v>
      </c>
      <c r="P442">
        <v>1.1582299327347891E-2</v>
      </c>
      <c r="Q442" t="s">
        <v>166</v>
      </c>
      <c r="S442" t="s">
        <v>210</v>
      </c>
      <c r="T442" t="s">
        <v>265</v>
      </c>
      <c r="U442">
        <v>1.0544779480447878E-2</v>
      </c>
      <c r="V442" t="s">
        <v>166</v>
      </c>
    </row>
    <row r="443" spans="14:22" x14ac:dyDescent="0.45">
      <c r="N443" t="s">
        <v>187</v>
      </c>
      <c r="O443" t="s">
        <v>165</v>
      </c>
      <c r="P443">
        <v>1.9657456910866278E-2</v>
      </c>
      <c r="Q443" t="s">
        <v>166</v>
      </c>
      <c r="S443" t="s">
        <v>211</v>
      </c>
      <c r="T443" t="s">
        <v>165</v>
      </c>
      <c r="U443">
        <v>1.9507713687486185E-2</v>
      </c>
      <c r="V443" t="s">
        <v>166</v>
      </c>
    </row>
    <row r="444" spans="14:22" x14ac:dyDescent="0.45">
      <c r="N444" t="s">
        <v>187</v>
      </c>
      <c r="O444" t="s">
        <v>167</v>
      </c>
      <c r="P444">
        <v>4.6702067260149138E-2</v>
      </c>
      <c r="Q444" t="s">
        <v>166</v>
      </c>
      <c r="S444" t="s">
        <v>211</v>
      </c>
      <c r="T444" t="s">
        <v>167</v>
      </c>
      <c r="U444">
        <v>4.7918692644818447E-2</v>
      </c>
      <c r="V444" t="s">
        <v>166</v>
      </c>
    </row>
    <row r="445" spans="14:22" x14ac:dyDescent="0.45">
      <c r="N445" t="s">
        <v>187</v>
      </c>
      <c r="O445" t="s">
        <v>168</v>
      </c>
      <c r="P445">
        <v>1.5969759757440992E-2</v>
      </c>
      <c r="Q445" t="s">
        <v>166</v>
      </c>
      <c r="S445" t="s">
        <v>211</v>
      </c>
      <c r="T445" t="s">
        <v>168</v>
      </c>
      <c r="U445">
        <v>1.499289845789227E-2</v>
      </c>
      <c r="V445" t="s">
        <v>166</v>
      </c>
    </row>
    <row r="446" spans="14:22" x14ac:dyDescent="0.45">
      <c r="N446" t="s">
        <v>187</v>
      </c>
      <c r="O446" t="s">
        <v>230</v>
      </c>
      <c r="P446">
        <v>4.0975865560570965E-3</v>
      </c>
      <c r="Q446" t="s">
        <v>166</v>
      </c>
      <c r="S446" t="s">
        <v>211</v>
      </c>
      <c r="T446" t="s">
        <v>230</v>
      </c>
      <c r="U446">
        <v>3.6368793463667048E-3</v>
      </c>
      <c r="V446" t="s">
        <v>166</v>
      </c>
    </row>
    <row r="447" spans="14:22" x14ac:dyDescent="0.45">
      <c r="N447" t="s">
        <v>187</v>
      </c>
      <c r="O447" t="s">
        <v>231</v>
      </c>
      <c r="P447">
        <v>4.0916153446330294E-3</v>
      </c>
      <c r="Q447" t="s">
        <v>166</v>
      </c>
      <c r="S447" t="s">
        <v>211</v>
      </c>
      <c r="T447" t="s">
        <v>231</v>
      </c>
      <c r="U447">
        <v>3.6089587973272318E-3</v>
      </c>
      <c r="V447" t="s">
        <v>166</v>
      </c>
    </row>
    <row r="448" spans="14:22" x14ac:dyDescent="0.45">
      <c r="N448" t="s">
        <v>187</v>
      </c>
      <c r="O448" t="s">
        <v>232</v>
      </c>
      <c r="P448">
        <v>4.0574032158945958E-3</v>
      </c>
      <c r="Q448" t="s">
        <v>166</v>
      </c>
      <c r="S448" t="s">
        <v>211</v>
      </c>
      <c r="T448" t="s">
        <v>232</v>
      </c>
      <c r="U448">
        <v>3.4832669823407041E-3</v>
      </c>
      <c r="V448" t="s">
        <v>166</v>
      </c>
    </row>
    <row r="449" spans="14:22" x14ac:dyDescent="0.45">
      <c r="N449" t="s">
        <v>187</v>
      </c>
      <c r="O449" t="s">
        <v>169</v>
      </c>
      <c r="P449">
        <v>1.4487732897530012E-2</v>
      </c>
      <c r="Q449" t="s">
        <v>166</v>
      </c>
      <c r="S449" t="s">
        <v>211</v>
      </c>
      <c r="T449" t="s">
        <v>169</v>
      </c>
      <c r="U449">
        <v>1.0214497772694436E-2</v>
      </c>
      <c r="V449" t="s">
        <v>166</v>
      </c>
    </row>
    <row r="450" spans="14:22" x14ac:dyDescent="0.45">
      <c r="N450" t="s">
        <v>187</v>
      </c>
      <c r="O450" t="s">
        <v>170</v>
      </c>
      <c r="P450">
        <v>3.163747541184736E-2</v>
      </c>
      <c r="Q450" t="s">
        <v>166</v>
      </c>
      <c r="S450" t="s">
        <v>211</v>
      </c>
      <c r="T450" t="s">
        <v>170</v>
      </c>
      <c r="U450">
        <v>2.6966362811562138E-2</v>
      </c>
      <c r="V450" t="s">
        <v>166</v>
      </c>
    </row>
    <row r="451" spans="14:22" x14ac:dyDescent="0.45">
      <c r="N451" t="s">
        <v>187</v>
      </c>
      <c r="O451" t="s">
        <v>171</v>
      </c>
      <c r="P451">
        <v>1.2914873073839456E-2</v>
      </c>
      <c r="Q451" t="s">
        <v>166</v>
      </c>
      <c r="S451" t="s">
        <v>211</v>
      </c>
      <c r="T451" t="s">
        <v>171</v>
      </c>
      <c r="U451">
        <v>1.0753506233365477E-2</v>
      </c>
      <c r="V451" t="s">
        <v>166</v>
      </c>
    </row>
    <row r="452" spans="14:22" x14ac:dyDescent="0.45">
      <c r="N452" t="s">
        <v>187</v>
      </c>
      <c r="O452" t="s">
        <v>233</v>
      </c>
      <c r="P452">
        <v>3.0535754062819692E-3</v>
      </c>
      <c r="Q452" t="s">
        <v>166</v>
      </c>
      <c r="S452" t="s">
        <v>211</v>
      </c>
      <c r="T452" t="s">
        <v>233</v>
      </c>
      <c r="U452">
        <v>2.621293021624478E-3</v>
      </c>
      <c r="V452" t="s">
        <v>166</v>
      </c>
    </row>
    <row r="453" spans="14:22" x14ac:dyDescent="0.45">
      <c r="N453" t="s">
        <v>187</v>
      </c>
      <c r="O453" t="s">
        <v>234</v>
      </c>
      <c r="P453">
        <v>2.9543990471075981E-3</v>
      </c>
      <c r="Q453" t="s">
        <v>166</v>
      </c>
      <c r="S453" t="s">
        <v>211</v>
      </c>
      <c r="T453" t="s">
        <v>234</v>
      </c>
      <c r="U453">
        <v>2.5438441230470872E-3</v>
      </c>
      <c r="V453" t="s">
        <v>166</v>
      </c>
    </row>
    <row r="454" spans="14:22" x14ac:dyDescent="0.45">
      <c r="N454" t="s">
        <v>187</v>
      </c>
      <c r="O454" t="s">
        <v>235</v>
      </c>
      <c r="P454">
        <v>2.8961425933777618E-3</v>
      </c>
      <c r="Q454" t="s">
        <v>166</v>
      </c>
      <c r="S454" t="s">
        <v>211</v>
      </c>
      <c r="T454" t="s">
        <v>235</v>
      </c>
      <c r="U454">
        <v>2.4339799135199226E-3</v>
      </c>
      <c r="V454" t="s">
        <v>166</v>
      </c>
    </row>
    <row r="455" spans="14:22" x14ac:dyDescent="0.45">
      <c r="N455" t="s">
        <v>187</v>
      </c>
      <c r="O455" t="s">
        <v>172</v>
      </c>
      <c r="P455">
        <v>1.9218426688572581E-2</v>
      </c>
      <c r="Q455" t="s">
        <v>166</v>
      </c>
      <c r="S455" t="s">
        <v>211</v>
      </c>
      <c r="T455" t="s">
        <v>172</v>
      </c>
      <c r="U455">
        <v>1.4927448891171391E-2</v>
      </c>
      <c r="V455" t="s">
        <v>166</v>
      </c>
    </row>
    <row r="456" spans="14:22" x14ac:dyDescent="0.45">
      <c r="N456" t="s">
        <v>187</v>
      </c>
      <c r="O456" t="s">
        <v>173</v>
      </c>
      <c r="P456">
        <v>3.5099713075013819E-2</v>
      </c>
      <c r="Q456" t="s">
        <v>166</v>
      </c>
      <c r="S456" t="s">
        <v>211</v>
      </c>
      <c r="T456" t="s">
        <v>173</v>
      </c>
      <c r="U456">
        <v>3.4749184353716905E-2</v>
      </c>
      <c r="V456" t="s">
        <v>166</v>
      </c>
    </row>
    <row r="457" spans="14:22" x14ac:dyDescent="0.45">
      <c r="N457" t="s">
        <v>187</v>
      </c>
      <c r="O457" t="s">
        <v>174</v>
      </c>
      <c r="P457">
        <v>1.6363413649102074E-2</v>
      </c>
      <c r="Q457" t="s">
        <v>166</v>
      </c>
      <c r="S457" t="s">
        <v>211</v>
      </c>
      <c r="T457" t="s">
        <v>174</v>
      </c>
      <c r="U457">
        <v>1.5010745341309433E-2</v>
      </c>
      <c r="V457" t="s">
        <v>166</v>
      </c>
    </row>
    <row r="458" spans="14:22" x14ac:dyDescent="0.45">
      <c r="N458" t="s">
        <v>187</v>
      </c>
      <c r="O458" t="s">
        <v>236</v>
      </c>
      <c r="P458">
        <v>4.3541920261051404E-3</v>
      </c>
      <c r="Q458" t="s">
        <v>166</v>
      </c>
      <c r="S458" t="s">
        <v>211</v>
      </c>
      <c r="T458" t="s">
        <v>236</v>
      </c>
      <c r="U458">
        <v>3.3465876147897064E-3</v>
      </c>
      <c r="V458" t="s">
        <v>166</v>
      </c>
    </row>
    <row r="459" spans="14:22" x14ac:dyDescent="0.45">
      <c r="N459" t="s">
        <v>187</v>
      </c>
      <c r="O459" t="s">
        <v>237</v>
      </c>
      <c r="P459">
        <v>4.0974997186480951E-3</v>
      </c>
      <c r="Q459" t="s">
        <v>166</v>
      </c>
      <c r="S459" t="s">
        <v>211</v>
      </c>
      <c r="T459" t="s">
        <v>237</v>
      </c>
      <c r="U459">
        <v>3.1101790673786008E-3</v>
      </c>
      <c r="V459" t="s">
        <v>166</v>
      </c>
    </row>
    <row r="460" spans="14:22" x14ac:dyDescent="0.45">
      <c r="N460" t="s">
        <v>187</v>
      </c>
      <c r="O460" t="s">
        <v>238</v>
      </c>
      <c r="P460">
        <v>3.8195630351324878E-3</v>
      </c>
      <c r="Q460" t="s">
        <v>166</v>
      </c>
      <c r="S460" t="s">
        <v>211</v>
      </c>
      <c r="T460" t="s">
        <v>238</v>
      </c>
      <c r="U460">
        <v>3.0910215796738586E-3</v>
      </c>
      <c r="V460" t="s">
        <v>166</v>
      </c>
    </row>
    <row r="461" spans="14:22" x14ac:dyDescent="0.45">
      <c r="N461" t="s">
        <v>187</v>
      </c>
      <c r="O461" t="s">
        <v>175</v>
      </c>
      <c r="P461">
        <v>2.1498046183101673E-2</v>
      </c>
      <c r="Q461" t="s">
        <v>166</v>
      </c>
      <c r="S461" t="s">
        <v>211</v>
      </c>
      <c r="T461" t="s">
        <v>175</v>
      </c>
      <c r="U461">
        <v>2.0157796323412039E-2</v>
      </c>
      <c r="V461" t="s">
        <v>166</v>
      </c>
    </row>
    <row r="462" spans="14:22" x14ac:dyDescent="0.45">
      <c r="N462" t="s">
        <v>187</v>
      </c>
      <c r="O462" t="s">
        <v>176</v>
      </c>
      <c r="P462">
        <v>4.0861364292285242E-2</v>
      </c>
      <c r="Q462" t="s">
        <v>166</v>
      </c>
      <c r="S462" t="s">
        <v>211</v>
      </c>
      <c r="T462" t="s">
        <v>176</v>
      </c>
      <c r="U462">
        <v>4.6971515208750321E-2</v>
      </c>
      <c r="V462" t="s">
        <v>166</v>
      </c>
    </row>
    <row r="463" spans="14:22" x14ac:dyDescent="0.45">
      <c r="N463" t="s">
        <v>187</v>
      </c>
      <c r="O463" t="s">
        <v>177</v>
      </c>
      <c r="P463">
        <v>1.5631897262821871E-2</v>
      </c>
      <c r="Q463" t="s">
        <v>166</v>
      </c>
      <c r="S463" t="s">
        <v>211</v>
      </c>
      <c r="T463" t="s">
        <v>177</v>
      </c>
      <c r="U463">
        <v>1.6246118281867575E-2</v>
      </c>
      <c r="V463" t="s">
        <v>166</v>
      </c>
    </row>
    <row r="464" spans="14:22" x14ac:dyDescent="0.45">
      <c r="N464" t="s">
        <v>187</v>
      </c>
      <c r="O464" t="s">
        <v>239</v>
      </c>
      <c r="P464">
        <v>4.4654044989234929E-3</v>
      </c>
      <c r="Q464" t="s">
        <v>166</v>
      </c>
      <c r="S464" t="s">
        <v>211</v>
      </c>
      <c r="T464" t="s">
        <v>239</v>
      </c>
      <c r="U464">
        <v>4.2871812511061334E-3</v>
      </c>
      <c r="V464" t="s">
        <v>166</v>
      </c>
    </row>
    <row r="465" spans="14:22" x14ac:dyDescent="0.45">
      <c r="N465" t="s">
        <v>187</v>
      </c>
      <c r="O465" t="s">
        <v>240</v>
      </c>
      <c r="P465">
        <v>4.5092749357455181E-3</v>
      </c>
      <c r="Q465" t="s">
        <v>166</v>
      </c>
      <c r="S465" t="s">
        <v>211</v>
      </c>
      <c r="T465" t="s">
        <v>240</v>
      </c>
      <c r="U465">
        <v>4.3222036927563195E-3</v>
      </c>
      <c r="V465" t="s">
        <v>166</v>
      </c>
    </row>
    <row r="466" spans="14:22" x14ac:dyDescent="0.45">
      <c r="N466" t="s">
        <v>187</v>
      </c>
      <c r="O466" t="s">
        <v>241</v>
      </c>
      <c r="P466">
        <v>4.4384106299545038E-3</v>
      </c>
      <c r="Q466" t="s">
        <v>166</v>
      </c>
      <c r="S466" t="s">
        <v>211</v>
      </c>
      <c r="T466" t="s">
        <v>241</v>
      </c>
      <c r="U466">
        <v>4.6990724881793428E-3</v>
      </c>
      <c r="V466" t="s">
        <v>166</v>
      </c>
    </row>
    <row r="467" spans="14:22" x14ac:dyDescent="0.45">
      <c r="N467" t="s">
        <v>187</v>
      </c>
      <c r="O467" t="s">
        <v>242</v>
      </c>
      <c r="P467">
        <v>5.1257262404685026E-2</v>
      </c>
      <c r="Q467" t="s">
        <v>166</v>
      </c>
      <c r="S467" t="s">
        <v>211</v>
      </c>
      <c r="T467" t="s">
        <v>242</v>
      </c>
      <c r="U467">
        <v>4.6869897837879905E-2</v>
      </c>
      <c r="V467" t="s">
        <v>166</v>
      </c>
    </row>
    <row r="468" spans="14:22" x14ac:dyDescent="0.45">
      <c r="N468" t="s">
        <v>187</v>
      </c>
      <c r="O468" t="s">
        <v>243</v>
      </c>
      <c r="P468">
        <v>0.10360878715081828</v>
      </c>
      <c r="Q468" t="s">
        <v>166</v>
      </c>
      <c r="S468" t="s">
        <v>211</v>
      </c>
      <c r="T468" t="s">
        <v>243</v>
      </c>
      <c r="U468">
        <v>0.10933539986129269</v>
      </c>
      <c r="V468" t="s">
        <v>166</v>
      </c>
    </row>
    <row r="469" spans="14:22" x14ac:dyDescent="0.45">
      <c r="N469" t="s">
        <v>187</v>
      </c>
      <c r="O469" t="s">
        <v>244</v>
      </c>
      <c r="P469">
        <v>3.5202293924282917E-2</v>
      </c>
      <c r="Q469" t="s">
        <v>166</v>
      </c>
      <c r="S469" t="s">
        <v>211</v>
      </c>
      <c r="T469" t="s">
        <v>244</v>
      </c>
      <c r="U469">
        <v>3.8655257578399972E-2</v>
      </c>
      <c r="V469" t="s">
        <v>166</v>
      </c>
    </row>
    <row r="470" spans="14:22" x14ac:dyDescent="0.45">
      <c r="N470" t="s">
        <v>187</v>
      </c>
      <c r="O470" t="s">
        <v>245</v>
      </c>
      <c r="P470">
        <v>9.815082779933983E-3</v>
      </c>
      <c r="Q470" t="s">
        <v>166</v>
      </c>
      <c r="S470" t="s">
        <v>211</v>
      </c>
      <c r="T470" t="s">
        <v>245</v>
      </c>
      <c r="U470">
        <v>9.9909271963121837E-3</v>
      </c>
      <c r="V470" t="s">
        <v>166</v>
      </c>
    </row>
    <row r="471" spans="14:22" x14ac:dyDescent="0.45">
      <c r="N471" t="s">
        <v>187</v>
      </c>
      <c r="O471" t="s">
        <v>246</v>
      </c>
      <c r="P471">
        <v>1.0541333076821709E-2</v>
      </c>
      <c r="Q471" t="s">
        <v>166</v>
      </c>
      <c r="S471" t="s">
        <v>211</v>
      </c>
      <c r="T471" t="s">
        <v>246</v>
      </c>
      <c r="U471">
        <v>1.0019674710875464E-2</v>
      </c>
      <c r="V471" t="s">
        <v>166</v>
      </c>
    </row>
    <row r="472" spans="14:22" x14ac:dyDescent="0.45">
      <c r="N472" t="s">
        <v>187</v>
      </c>
      <c r="O472" t="s">
        <v>247</v>
      </c>
      <c r="P472">
        <v>1.0779695940786821E-2</v>
      </c>
      <c r="Q472" t="s">
        <v>166</v>
      </c>
      <c r="S472" t="s">
        <v>211</v>
      </c>
      <c r="T472" t="s">
        <v>247</v>
      </c>
      <c r="U472">
        <v>1.0533465748373511E-2</v>
      </c>
      <c r="V472" t="s">
        <v>166</v>
      </c>
    </row>
    <row r="473" spans="14:22" x14ac:dyDescent="0.45">
      <c r="N473" t="s">
        <v>187</v>
      </c>
      <c r="O473" t="s">
        <v>248</v>
      </c>
      <c r="P473">
        <v>1.3688538398106227E-2</v>
      </c>
      <c r="Q473" t="s">
        <v>166</v>
      </c>
      <c r="S473" t="s">
        <v>211</v>
      </c>
      <c r="T473" t="s">
        <v>248</v>
      </c>
      <c r="U473">
        <v>1.2933832893389044E-2</v>
      </c>
      <c r="V473" t="s">
        <v>166</v>
      </c>
    </row>
    <row r="474" spans="14:22" x14ac:dyDescent="0.45">
      <c r="N474" t="s">
        <v>187</v>
      </c>
      <c r="O474" t="s">
        <v>249</v>
      </c>
      <c r="P474">
        <v>3.1735526255058009E-2</v>
      </c>
      <c r="Q474" t="s">
        <v>166</v>
      </c>
      <c r="S474" t="s">
        <v>211</v>
      </c>
      <c r="T474" t="s">
        <v>249</v>
      </c>
      <c r="U474">
        <v>3.1757860218422286E-2</v>
      </c>
      <c r="V474" t="s">
        <v>166</v>
      </c>
    </row>
    <row r="475" spans="14:22" x14ac:dyDescent="0.45">
      <c r="N475" t="s">
        <v>187</v>
      </c>
      <c r="O475" t="s">
        <v>250</v>
      </c>
      <c r="P475">
        <v>1.0365429474921754E-2</v>
      </c>
      <c r="Q475" t="s">
        <v>166</v>
      </c>
      <c r="S475" t="s">
        <v>211</v>
      </c>
      <c r="T475" t="s">
        <v>250</v>
      </c>
      <c r="U475">
        <v>1.0968289659853156E-2</v>
      </c>
      <c r="V475" t="s">
        <v>166</v>
      </c>
    </row>
    <row r="476" spans="14:22" x14ac:dyDescent="0.45">
      <c r="N476" t="s">
        <v>187</v>
      </c>
      <c r="O476" t="s">
        <v>251</v>
      </c>
      <c r="P476">
        <v>2.8923663659871988E-3</v>
      </c>
      <c r="Q476" t="s">
        <v>166</v>
      </c>
      <c r="S476" t="s">
        <v>211</v>
      </c>
      <c r="T476" t="s">
        <v>251</v>
      </c>
      <c r="U476">
        <v>2.7891091294243793E-3</v>
      </c>
      <c r="V476" t="s">
        <v>166</v>
      </c>
    </row>
    <row r="477" spans="14:22" x14ac:dyDescent="0.45">
      <c r="N477" t="s">
        <v>187</v>
      </c>
      <c r="O477" t="s">
        <v>252</v>
      </c>
      <c r="P477">
        <v>2.8481972083688463E-3</v>
      </c>
      <c r="Q477" t="s">
        <v>166</v>
      </c>
      <c r="S477" t="s">
        <v>211</v>
      </c>
      <c r="T477" t="s">
        <v>252</v>
      </c>
      <c r="U477">
        <v>2.7248643626134874E-3</v>
      </c>
      <c r="V477" t="s">
        <v>166</v>
      </c>
    </row>
    <row r="478" spans="14:22" x14ac:dyDescent="0.45">
      <c r="N478" t="s">
        <v>187</v>
      </c>
      <c r="O478" t="s">
        <v>253</v>
      </c>
      <c r="P478">
        <v>2.7848285969723327E-3</v>
      </c>
      <c r="Q478" t="s">
        <v>166</v>
      </c>
      <c r="S478" t="s">
        <v>211</v>
      </c>
      <c r="T478" t="s">
        <v>253</v>
      </c>
      <c r="U478">
        <v>2.871097785772886E-3</v>
      </c>
      <c r="V478" t="s">
        <v>166</v>
      </c>
    </row>
    <row r="479" spans="14:22" x14ac:dyDescent="0.45">
      <c r="N479" t="s">
        <v>187</v>
      </c>
      <c r="O479" t="s">
        <v>254</v>
      </c>
      <c r="P479">
        <v>2.2541291654267579E-2</v>
      </c>
      <c r="Q479" t="s">
        <v>166</v>
      </c>
      <c r="S479" t="s">
        <v>211</v>
      </c>
      <c r="T479" t="s">
        <v>254</v>
      </c>
      <c r="U479">
        <v>2.0341685671457086E-2</v>
      </c>
      <c r="V479" t="s">
        <v>166</v>
      </c>
    </row>
    <row r="480" spans="14:22" x14ac:dyDescent="0.45">
      <c r="N480" t="s">
        <v>187</v>
      </c>
      <c r="O480" t="s">
        <v>255</v>
      </c>
      <c r="P480">
        <v>4.7908852105197991E-2</v>
      </c>
      <c r="Q480" t="s">
        <v>166</v>
      </c>
      <c r="S480" t="s">
        <v>211</v>
      </c>
      <c r="T480" t="s">
        <v>255</v>
      </c>
      <c r="U480">
        <v>5.2090868692014368E-2</v>
      </c>
      <c r="V480" t="s">
        <v>166</v>
      </c>
    </row>
    <row r="481" spans="14:22" x14ac:dyDescent="0.45">
      <c r="N481" t="s">
        <v>187</v>
      </c>
      <c r="O481" t="s">
        <v>256</v>
      </c>
      <c r="P481">
        <v>1.8573045304085767E-2</v>
      </c>
      <c r="Q481" t="s">
        <v>166</v>
      </c>
      <c r="S481" t="s">
        <v>211</v>
      </c>
      <c r="T481" t="s">
        <v>256</v>
      </c>
      <c r="U481">
        <v>1.8612742560268548E-2</v>
      </c>
      <c r="V481" t="s">
        <v>166</v>
      </c>
    </row>
    <row r="482" spans="14:22" x14ac:dyDescent="0.45">
      <c r="N482" t="s">
        <v>187</v>
      </c>
      <c r="O482" t="s">
        <v>257</v>
      </c>
      <c r="P482">
        <v>4.8824766799546952E-3</v>
      </c>
      <c r="Q482" t="s">
        <v>166</v>
      </c>
      <c r="S482" t="s">
        <v>211</v>
      </c>
      <c r="T482" t="s">
        <v>257</v>
      </c>
      <c r="U482">
        <v>4.9550361608011149E-3</v>
      </c>
      <c r="V482" t="s">
        <v>166</v>
      </c>
    </row>
    <row r="483" spans="14:22" x14ac:dyDescent="0.45">
      <c r="N483" t="s">
        <v>187</v>
      </c>
      <c r="O483" t="s">
        <v>258</v>
      </c>
      <c r="P483">
        <v>4.9211307892665906E-3</v>
      </c>
      <c r="Q483" t="s">
        <v>166</v>
      </c>
      <c r="S483" t="s">
        <v>211</v>
      </c>
      <c r="T483" t="s">
        <v>258</v>
      </c>
      <c r="U483">
        <v>4.9156236707157321E-3</v>
      </c>
      <c r="V483" t="s">
        <v>166</v>
      </c>
    </row>
    <row r="484" spans="14:22" x14ac:dyDescent="0.45">
      <c r="N484" t="s">
        <v>187</v>
      </c>
      <c r="O484" t="s">
        <v>259</v>
      </c>
      <c r="P484">
        <v>4.9403555371798791E-3</v>
      </c>
      <c r="Q484" t="s">
        <v>166</v>
      </c>
      <c r="S484" t="s">
        <v>211</v>
      </c>
      <c r="T484" t="s">
        <v>259</v>
      </c>
      <c r="U484">
        <v>4.5810038540148824E-3</v>
      </c>
      <c r="V484" t="s">
        <v>166</v>
      </c>
    </row>
    <row r="485" spans="14:22" x14ac:dyDescent="0.45">
      <c r="N485" t="s">
        <v>187</v>
      </c>
      <c r="O485" t="s">
        <v>260</v>
      </c>
      <c r="P485">
        <v>5.7798090440456334E-2</v>
      </c>
      <c r="Q485" t="s">
        <v>166</v>
      </c>
      <c r="S485" t="s">
        <v>211</v>
      </c>
      <c r="T485" t="s">
        <v>260</v>
      </c>
      <c r="U485">
        <v>5.8554790417890037E-2</v>
      </c>
      <c r="V485" t="s">
        <v>166</v>
      </c>
    </row>
    <row r="486" spans="14:22" x14ac:dyDescent="0.45">
      <c r="N486" t="s">
        <v>187</v>
      </c>
      <c r="O486" t="s">
        <v>261</v>
      </c>
      <c r="P486">
        <v>0.13602480330371508</v>
      </c>
      <c r="Q486" t="s">
        <v>166</v>
      </c>
      <c r="S486" t="s">
        <v>211</v>
      </c>
      <c r="T486" t="s">
        <v>261</v>
      </c>
      <c r="U486">
        <v>0.13900664030756019</v>
      </c>
      <c r="V486" t="s">
        <v>166</v>
      </c>
    </row>
    <row r="487" spans="14:22" x14ac:dyDescent="0.45">
      <c r="N487" t="s">
        <v>187</v>
      </c>
      <c r="O487" t="s">
        <v>262</v>
      </c>
      <c r="P487">
        <v>4.5296048308227858E-2</v>
      </c>
      <c r="Q487" t="s">
        <v>166</v>
      </c>
      <c r="S487" t="s">
        <v>211</v>
      </c>
      <c r="T487" t="s">
        <v>262</v>
      </c>
      <c r="U487">
        <v>4.9840655699791028E-2</v>
      </c>
      <c r="V487" t="s">
        <v>166</v>
      </c>
    </row>
    <row r="488" spans="14:22" x14ac:dyDescent="0.45">
      <c r="N488" t="s">
        <v>187</v>
      </c>
      <c r="O488" t="s">
        <v>263</v>
      </c>
      <c r="P488">
        <v>1.1548820388861803E-2</v>
      </c>
      <c r="Q488" t="s">
        <v>166</v>
      </c>
      <c r="S488" t="s">
        <v>211</v>
      </c>
      <c r="T488" t="s">
        <v>263</v>
      </c>
      <c r="U488">
        <v>1.2794750217074175E-2</v>
      </c>
      <c r="V488" t="s">
        <v>166</v>
      </c>
    </row>
    <row r="489" spans="14:22" x14ac:dyDescent="0.45">
      <c r="N489" t="s">
        <v>187</v>
      </c>
      <c r="O489" t="s">
        <v>264</v>
      </c>
      <c r="P489">
        <v>1.1613361984764269E-2</v>
      </c>
      <c r="Q489" t="s">
        <v>166</v>
      </c>
      <c r="S489" t="s">
        <v>211</v>
      </c>
      <c r="T489" t="s">
        <v>264</v>
      </c>
      <c r="U489">
        <v>1.2771368361712955E-2</v>
      </c>
      <c r="V489" t="s">
        <v>166</v>
      </c>
    </row>
    <row r="490" spans="14:22" x14ac:dyDescent="0.45">
      <c r="N490" t="s">
        <v>187</v>
      </c>
      <c r="O490" t="s">
        <v>265</v>
      </c>
      <c r="P490">
        <v>1.1555088456845757E-2</v>
      </c>
      <c r="Q490" t="s">
        <v>166</v>
      </c>
      <c r="S490" t="s">
        <v>211</v>
      </c>
      <c r="T490" t="s">
        <v>265</v>
      </c>
      <c r="U490">
        <v>1.2484209517935302E-2</v>
      </c>
      <c r="V490" t="s">
        <v>166</v>
      </c>
    </row>
    <row r="491" spans="14:22" x14ac:dyDescent="0.45">
      <c r="N491" t="s">
        <v>188</v>
      </c>
      <c r="O491" t="s">
        <v>165</v>
      </c>
      <c r="P491">
        <v>1.9884574083538203E-2</v>
      </c>
      <c r="Q491" t="s">
        <v>166</v>
      </c>
    </row>
    <row r="492" spans="14:22" x14ac:dyDescent="0.45">
      <c r="N492" t="s">
        <v>188</v>
      </c>
      <c r="O492" t="s">
        <v>167</v>
      </c>
      <c r="P492">
        <v>4.9416942548909222E-2</v>
      </c>
      <c r="Q492" t="s">
        <v>166</v>
      </c>
    </row>
    <row r="493" spans="14:22" x14ac:dyDescent="0.45">
      <c r="N493" t="s">
        <v>188</v>
      </c>
      <c r="O493" t="s">
        <v>168</v>
      </c>
      <c r="P493">
        <v>1.7242283443340455E-2</v>
      </c>
      <c r="Q493" t="s">
        <v>166</v>
      </c>
    </row>
    <row r="494" spans="14:22" x14ac:dyDescent="0.45">
      <c r="N494" t="s">
        <v>188</v>
      </c>
      <c r="O494" t="s">
        <v>230</v>
      </c>
      <c r="P494">
        <v>4.2546786333670277E-3</v>
      </c>
      <c r="Q494" t="s">
        <v>166</v>
      </c>
    </row>
    <row r="495" spans="14:22" x14ac:dyDescent="0.45">
      <c r="N495" t="s">
        <v>188</v>
      </c>
      <c r="O495" t="s">
        <v>231</v>
      </c>
      <c r="P495">
        <v>4.2256966368765005E-3</v>
      </c>
      <c r="Q495" t="s">
        <v>166</v>
      </c>
    </row>
    <row r="496" spans="14:22" x14ac:dyDescent="0.45">
      <c r="N496" t="s">
        <v>188</v>
      </c>
      <c r="O496" t="s">
        <v>232</v>
      </c>
      <c r="P496">
        <v>4.1634636525167941E-3</v>
      </c>
      <c r="Q496" t="s">
        <v>166</v>
      </c>
    </row>
    <row r="497" spans="14:17" x14ac:dyDescent="0.45">
      <c r="N497" t="s">
        <v>188</v>
      </c>
      <c r="O497" t="s">
        <v>169</v>
      </c>
      <c r="P497">
        <v>1.3936044371915732E-2</v>
      </c>
      <c r="Q497" t="s">
        <v>166</v>
      </c>
    </row>
    <row r="498" spans="14:17" x14ac:dyDescent="0.45">
      <c r="N498" t="s">
        <v>188</v>
      </c>
      <c r="O498" t="s">
        <v>170</v>
      </c>
      <c r="P498">
        <v>3.0162429720838949E-2</v>
      </c>
      <c r="Q498" t="s">
        <v>166</v>
      </c>
    </row>
    <row r="499" spans="14:17" x14ac:dyDescent="0.45">
      <c r="N499" t="s">
        <v>188</v>
      </c>
      <c r="O499" t="s">
        <v>171</v>
      </c>
      <c r="P499">
        <v>1.1756726065344744E-2</v>
      </c>
      <c r="Q499" t="s">
        <v>166</v>
      </c>
    </row>
    <row r="500" spans="14:17" x14ac:dyDescent="0.45">
      <c r="N500" t="s">
        <v>188</v>
      </c>
      <c r="O500" t="s">
        <v>233</v>
      </c>
      <c r="P500">
        <v>2.8302158648650208E-3</v>
      </c>
      <c r="Q500" t="s">
        <v>166</v>
      </c>
    </row>
    <row r="501" spans="14:17" x14ac:dyDescent="0.45">
      <c r="N501" t="s">
        <v>188</v>
      </c>
      <c r="O501" t="s">
        <v>234</v>
      </c>
      <c r="P501">
        <v>2.6841501260363798E-3</v>
      </c>
      <c r="Q501" t="s">
        <v>166</v>
      </c>
    </row>
    <row r="502" spans="14:17" x14ac:dyDescent="0.45">
      <c r="N502" t="s">
        <v>188</v>
      </c>
      <c r="O502" t="s">
        <v>235</v>
      </c>
      <c r="P502">
        <v>2.6476676647681132E-3</v>
      </c>
      <c r="Q502" t="s">
        <v>166</v>
      </c>
    </row>
    <row r="503" spans="14:17" x14ac:dyDescent="0.45">
      <c r="N503" t="s">
        <v>188</v>
      </c>
      <c r="O503" t="s">
        <v>172</v>
      </c>
      <c r="P503">
        <v>1.9445461915576012E-2</v>
      </c>
      <c r="Q503" t="s">
        <v>166</v>
      </c>
    </row>
    <row r="504" spans="14:17" x14ac:dyDescent="0.45">
      <c r="N504" t="s">
        <v>188</v>
      </c>
      <c r="O504" t="s">
        <v>173</v>
      </c>
      <c r="P504">
        <v>3.1754592319981297E-2</v>
      </c>
      <c r="Q504" t="s">
        <v>166</v>
      </c>
    </row>
    <row r="505" spans="14:17" x14ac:dyDescent="0.45">
      <c r="N505" t="s">
        <v>188</v>
      </c>
      <c r="O505" t="s">
        <v>174</v>
      </c>
      <c r="P505">
        <v>1.500399621430587E-2</v>
      </c>
      <c r="Q505" t="s">
        <v>166</v>
      </c>
    </row>
    <row r="506" spans="14:17" x14ac:dyDescent="0.45">
      <c r="N506" t="s">
        <v>188</v>
      </c>
      <c r="O506" t="s">
        <v>236</v>
      </c>
      <c r="P506">
        <v>4.1695111211568865E-3</v>
      </c>
      <c r="Q506" t="s">
        <v>166</v>
      </c>
    </row>
    <row r="507" spans="14:17" x14ac:dyDescent="0.45">
      <c r="N507" t="s">
        <v>188</v>
      </c>
      <c r="O507" t="s">
        <v>237</v>
      </c>
      <c r="P507">
        <v>4.0351785364842584E-3</v>
      </c>
      <c r="Q507" t="s">
        <v>166</v>
      </c>
    </row>
    <row r="508" spans="14:17" x14ac:dyDescent="0.45">
      <c r="N508" t="s">
        <v>188</v>
      </c>
      <c r="O508" t="s">
        <v>238</v>
      </c>
      <c r="P508">
        <v>3.9035025940957375E-3</v>
      </c>
      <c r="Q508" t="s">
        <v>166</v>
      </c>
    </row>
    <row r="509" spans="14:17" x14ac:dyDescent="0.45">
      <c r="N509" t="s">
        <v>188</v>
      </c>
      <c r="O509" t="s">
        <v>175</v>
      </c>
      <c r="P509">
        <v>2.0729121894229888E-2</v>
      </c>
      <c r="Q509" t="s">
        <v>166</v>
      </c>
    </row>
    <row r="510" spans="14:17" x14ac:dyDescent="0.45">
      <c r="N510" t="s">
        <v>188</v>
      </c>
      <c r="O510" t="s">
        <v>176</v>
      </c>
      <c r="P510">
        <v>4.0982871570814754E-2</v>
      </c>
      <c r="Q510" t="s">
        <v>166</v>
      </c>
    </row>
    <row r="511" spans="14:17" x14ac:dyDescent="0.45">
      <c r="N511" t="s">
        <v>188</v>
      </c>
      <c r="O511" t="s">
        <v>177</v>
      </c>
      <c r="P511">
        <v>1.5610821917922832E-2</v>
      </c>
      <c r="Q511" t="s">
        <v>166</v>
      </c>
    </row>
    <row r="512" spans="14:17" x14ac:dyDescent="0.45">
      <c r="N512" t="s">
        <v>188</v>
      </c>
      <c r="O512" t="s">
        <v>239</v>
      </c>
      <c r="P512">
        <v>4.3973718188561606E-3</v>
      </c>
      <c r="Q512" t="s">
        <v>166</v>
      </c>
    </row>
    <row r="513" spans="14:17" x14ac:dyDescent="0.45">
      <c r="N513" t="s">
        <v>188</v>
      </c>
      <c r="O513" t="s">
        <v>240</v>
      </c>
      <c r="P513">
        <v>4.3946131730123305E-3</v>
      </c>
      <c r="Q513" t="s">
        <v>166</v>
      </c>
    </row>
    <row r="514" spans="14:17" x14ac:dyDescent="0.45">
      <c r="N514" t="s">
        <v>188</v>
      </c>
      <c r="O514" t="s">
        <v>241</v>
      </c>
      <c r="P514">
        <v>4.3151560932466132E-3</v>
      </c>
      <c r="Q514" t="s">
        <v>166</v>
      </c>
    </row>
    <row r="515" spans="14:17" x14ac:dyDescent="0.45">
      <c r="N515" t="s">
        <v>188</v>
      </c>
      <c r="O515" t="s">
        <v>242</v>
      </c>
      <c r="P515">
        <v>5.3796711045531652E-2</v>
      </c>
      <c r="Q515" t="s">
        <v>166</v>
      </c>
    </row>
    <row r="516" spans="14:17" x14ac:dyDescent="0.45">
      <c r="N516" t="s">
        <v>188</v>
      </c>
      <c r="O516" t="s">
        <v>243</v>
      </c>
      <c r="P516">
        <v>0.10332810242418437</v>
      </c>
      <c r="Q516" t="s">
        <v>166</v>
      </c>
    </row>
    <row r="517" spans="14:17" x14ac:dyDescent="0.45">
      <c r="N517" t="s">
        <v>188</v>
      </c>
      <c r="O517" t="s">
        <v>244</v>
      </c>
      <c r="P517">
        <v>3.5772509456944351E-2</v>
      </c>
      <c r="Q517" t="s">
        <v>166</v>
      </c>
    </row>
    <row r="518" spans="14:17" x14ac:dyDescent="0.45">
      <c r="N518" t="s">
        <v>188</v>
      </c>
      <c r="O518" t="s">
        <v>245</v>
      </c>
      <c r="P518">
        <v>1.0789539602307151E-2</v>
      </c>
      <c r="Q518" t="s">
        <v>166</v>
      </c>
    </row>
    <row r="519" spans="14:17" x14ac:dyDescent="0.45">
      <c r="N519" t="s">
        <v>188</v>
      </c>
      <c r="O519" t="s">
        <v>246</v>
      </c>
      <c r="P519">
        <v>1.1421652990325245E-2</v>
      </c>
      <c r="Q519" t="s">
        <v>166</v>
      </c>
    </row>
    <row r="520" spans="14:17" x14ac:dyDescent="0.45">
      <c r="N520" t="s">
        <v>188</v>
      </c>
      <c r="O520" t="s">
        <v>247</v>
      </c>
      <c r="P520">
        <v>1.1591473205109126E-2</v>
      </c>
      <c r="Q520" t="s">
        <v>166</v>
      </c>
    </row>
    <row r="521" spans="14:17" x14ac:dyDescent="0.45">
      <c r="N521" t="s">
        <v>188</v>
      </c>
      <c r="O521" t="s">
        <v>248</v>
      </c>
      <c r="P521">
        <v>1.5308456240758892E-2</v>
      </c>
      <c r="Q521" t="s">
        <v>166</v>
      </c>
    </row>
    <row r="522" spans="14:17" x14ac:dyDescent="0.45">
      <c r="N522" t="s">
        <v>188</v>
      </c>
      <c r="O522" t="s">
        <v>249</v>
      </c>
      <c r="P522">
        <v>3.4468884507198899E-2</v>
      </c>
      <c r="Q522" t="s">
        <v>166</v>
      </c>
    </row>
    <row r="523" spans="14:17" x14ac:dyDescent="0.45">
      <c r="N523" t="s">
        <v>188</v>
      </c>
      <c r="O523" t="s">
        <v>250</v>
      </c>
      <c r="P523">
        <v>1.0988539271404307E-2</v>
      </c>
      <c r="Q523" t="s">
        <v>166</v>
      </c>
    </row>
    <row r="524" spans="14:17" x14ac:dyDescent="0.45">
      <c r="N524" t="s">
        <v>188</v>
      </c>
      <c r="O524" t="s">
        <v>251</v>
      </c>
      <c r="P524">
        <v>3.2732394891046498E-3</v>
      </c>
      <c r="Q524" t="s">
        <v>166</v>
      </c>
    </row>
    <row r="525" spans="14:17" x14ac:dyDescent="0.45">
      <c r="N525" t="s">
        <v>188</v>
      </c>
      <c r="O525" t="s">
        <v>252</v>
      </c>
      <c r="P525">
        <v>3.2646472339062042E-3</v>
      </c>
      <c r="Q525" t="s">
        <v>166</v>
      </c>
    </row>
    <row r="526" spans="14:17" x14ac:dyDescent="0.45">
      <c r="N526" t="s">
        <v>188</v>
      </c>
      <c r="O526" t="s">
        <v>253</v>
      </c>
      <c r="P526">
        <v>3.2601376343340915E-3</v>
      </c>
      <c r="Q526" t="s">
        <v>166</v>
      </c>
    </row>
    <row r="527" spans="14:17" x14ac:dyDescent="0.45">
      <c r="N527" t="s">
        <v>188</v>
      </c>
      <c r="O527" t="s">
        <v>254</v>
      </c>
      <c r="P527">
        <v>2.3326518832785081E-2</v>
      </c>
      <c r="Q527" t="s">
        <v>166</v>
      </c>
    </row>
    <row r="528" spans="14:17" x14ac:dyDescent="0.45">
      <c r="N528" t="s">
        <v>188</v>
      </c>
      <c r="O528" t="s">
        <v>255</v>
      </c>
      <c r="P528">
        <v>4.8874329325862033E-2</v>
      </c>
      <c r="Q528" t="s">
        <v>166</v>
      </c>
    </row>
    <row r="529" spans="14:17" x14ac:dyDescent="0.45">
      <c r="N529" t="s">
        <v>188</v>
      </c>
      <c r="O529" t="s">
        <v>256</v>
      </c>
      <c r="P529">
        <v>1.8828114449976813E-2</v>
      </c>
      <c r="Q529" t="s">
        <v>166</v>
      </c>
    </row>
    <row r="530" spans="14:17" x14ac:dyDescent="0.45">
      <c r="N530" t="s">
        <v>188</v>
      </c>
      <c r="O530" t="s">
        <v>257</v>
      </c>
      <c r="P530">
        <v>4.4924030333395749E-3</v>
      </c>
      <c r="Q530" t="s">
        <v>166</v>
      </c>
    </row>
    <row r="531" spans="14:17" x14ac:dyDescent="0.45">
      <c r="N531" t="s">
        <v>188</v>
      </c>
      <c r="O531" t="s">
        <v>258</v>
      </c>
      <c r="P531">
        <v>4.4752484322337725E-3</v>
      </c>
      <c r="Q531" t="s">
        <v>166</v>
      </c>
    </row>
    <row r="532" spans="14:17" x14ac:dyDescent="0.45">
      <c r="N532" t="s">
        <v>188</v>
      </c>
      <c r="O532" t="s">
        <v>259</v>
      </c>
      <c r="P532">
        <v>4.447604945695331E-3</v>
      </c>
      <c r="Q532" t="s">
        <v>166</v>
      </c>
    </row>
    <row r="533" spans="14:17" x14ac:dyDescent="0.45">
      <c r="N533" t="s">
        <v>188</v>
      </c>
      <c r="O533" t="s">
        <v>260</v>
      </c>
      <c r="P533">
        <v>5.5359164048931139E-2</v>
      </c>
      <c r="Q533" t="s">
        <v>166</v>
      </c>
    </row>
    <row r="534" spans="14:17" x14ac:dyDescent="0.45">
      <c r="N534" t="s">
        <v>188</v>
      </c>
      <c r="O534" t="s">
        <v>261</v>
      </c>
      <c r="P534">
        <v>0.13229887856009492</v>
      </c>
      <c r="Q534" t="s">
        <v>166</v>
      </c>
    </row>
    <row r="535" spans="14:17" x14ac:dyDescent="0.45">
      <c r="N535" t="s">
        <v>188</v>
      </c>
      <c r="O535" t="s">
        <v>262</v>
      </c>
      <c r="P535">
        <v>4.5068425127170117E-2</v>
      </c>
      <c r="Q535" t="s">
        <v>166</v>
      </c>
    </row>
    <row r="536" spans="14:17" x14ac:dyDescent="0.45">
      <c r="N536" t="s">
        <v>188</v>
      </c>
      <c r="O536" t="s">
        <v>263</v>
      </c>
      <c r="P536">
        <v>1.1253219201700347E-2</v>
      </c>
      <c r="Q536" t="s">
        <v>166</v>
      </c>
    </row>
    <row r="537" spans="14:17" x14ac:dyDescent="0.45">
      <c r="N537" t="s">
        <v>188</v>
      </c>
      <c r="O537" t="s">
        <v>264</v>
      </c>
      <c r="P537">
        <v>1.1205064803670312E-2</v>
      </c>
      <c r="Q537" t="s">
        <v>166</v>
      </c>
    </row>
    <row r="538" spans="14:17" x14ac:dyDescent="0.45">
      <c r="N538" t="s">
        <v>188</v>
      </c>
      <c r="O538" t="s">
        <v>265</v>
      </c>
      <c r="P538">
        <v>1.1160064155432232E-2</v>
      </c>
      <c r="Q538" t="s">
        <v>166</v>
      </c>
    </row>
    <row r="539" spans="14:17" x14ac:dyDescent="0.45">
      <c r="N539" t="s">
        <v>189</v>
      </c>
      <c r="O539" t="s">
        <v>165</v>
      </c>
      <c r="P539">
        <v>1.9936941988649554E-2</v>
      </c>
      <c r="Q539" t="s">
        <v>166</v>
      </c>
    </row>
    <row r="540" spans="14:17" x14ac:dyDescent="0.45">
      <c r="N540" t="s">
        <v>189</v>
      </c>
      <c r="O540" t="s">
        <v>167</v>
      </c>
      <c r="P540">
        <v>4.5989391448446028E-2</v>
      </c>
      <c r="Q540" t="s">
        <v>166</v>
      </c>
    </row>
    <row r="541" spans="14:17" x14ac:dyDescent="0.45">
      <c r="N541" t="s">
        <v>189</v>
      </c>
      <c r="O541" t="s">
        <v>168</v>
      </c>
      <c r="P541">
        <v>1.5921717632389712E-2</v>
      </c>
      <c r="Q541" t="s">
        <v>166</v>
      </c>
    </row>
    <row r="542" spans="14:17" x14ac:dyDescent="0.45">
      <c r="N542" t="s">
        <v>189</v>
      </c>
      <c r="O542" t="s">
        <v>230</v>
      </c>
      <c r="P542">
        <v>4.0443509268221975E-3</v>
      </c>
      <c r="Q542" t="s">
        <v>166</v>
      </c>
    </row>
    <row r="543" spans="14:17" x14ac:dyDescent="0.45">
      <c r="N543" t="s">
        <v>189</v>
      </c>
      <c r="O543" t="s">
        <v>231</v>
      </c>
      <c r="P543">
        <v>4.0660082350255878E-3</v>
      </c>
      <c r="Q543" t="s">
        <v>166</v>
      </c>
    </row>
    <row r="544" spans="14:17" x14ac:dyDescent="0.45">
      <c r="N544" t="s">
        <v>189</v>
      </c>
      <c r="O544" t="s">
        <v>232</v>
      </c>
      <c r="P544">
        <v>4.1065073492328767E-3</v>
      </c>
      <c r="Q544" t="s">
        <v>166</v>
      </c>
    </row>
    <row r="545" spans="14:17" x14ac:dyDescent="0.45">
      <c r="N545" t="s">
        <v>189</v>
      </c>
      <c r="O545" t="s">
        <v>169</v>
      </c>
      <c r="P545">
        <v>1.1781181241762874E-2</v>
      </c>
      <c r="Q545" t="s">
        <v>166</v>
      </c>
    </row>
    <row r="546" spans="14:17" x14ac:dyDescent="0.45">
      <c r="N546" t="s">
        <v>189</v>
      </c>
      <c r="O546" t="s">
        <v>170</v>
      </c>
      <c r="P546">
        <v>2.7966165437771036E-2</v>
      </c>
      <c r="Q546" t="s">
        <v>166</v>
      </c>
    </row>
    <row r="547" spans="14:17" x14ac:dyDescent="0.45">
      <c r="N547" t="s">
        <v>189</v>
      </c>
      <c r="O547" t="s">
        <v>171</v>
      </c>
      <c r="P547">
        <v>1.091017791684541E-2</v>
      </c>
      <c r="Q547" t="s">
        <v>166</v>
      </c>
    </row>
    <row r="548" spans="14:17" x14ac:dyDescent="0.45">
      <c r="N548" t="s">
        <v>189</v>
      </c>
      <c r="O548" t="s">
        <v>233</v>
      </c>
      <c r="P548">
        <v>2.6189622990230184E-3</v>
      </c>
      <c r="Q548" t="s">
        <v>166</v>
      </c>
    </row>
    <row r="549" spans="14:17" x14ac:dyDescent="0.45">
      <c r="N549" t="s">
        <v>189</v>
      </c>
      <c r="O549" t="s">
        <v>234</v>
      </c>
      <c r="P549">
        <v>2.4831778689729657E-3</v>
      </c>
      <c r="Q549" t="s">
        <v>166</v>
      </c>
    </row>
    <row r="550" spans="14:17" x14ac:dyDescent="0.45">
      <c r="N550" t="s">
        <v>189</v>
      </c>
      <c r="O550" t="s">
        <v>235</v>
      </c>
      <c r="P550">
        <v>2.4078211175802716E-3</v>
      </c>
      <c r="Q550" t="s">
        <v>166</v>
      </c>
    </row>
    <row r="551" spans="14:17" x14ac:dyDescent="0.45">
      <c r="N551" t="s">
        <v>189</v>
      </c>
      <c r="O551" t="s">
        <v>172</v>
      </c>
      <c r="P551">
        <v>1.9363606345767614E-2</v>
      </c>
      <c r="Q551" t="s">
        <v>166</v>
      </c>
    </row>
    <row r="552" spans="14:17" x14ac:dyDescent="0.45">
      <c r="N552" t="s">
        <v>189</v>
      </c>
      <c r="O552" t="s">
        <v>173</v>
      </c>
      <c r="P552">
        <v>3.5409590600999102E-2</v>
      </c>
      <c r="Q552" t="s">
        <v>166</v>
      </c>
    </row>
    <row r="553" spans="14:17" x14ac:dyDescent="0.45">
      <c r="N553" t="s">
        <v>189</v>
      </c>
      <c r="O553" t="s">
        <v>174</v>
      </c>
      <c r="P553">
        <v>1.5734475303272072E-2</v>
      </c>
      <c r="Q553" t="s">
        <v>166</v>
      </c>
    </row>
    <row r="554" spans="14:17" x14ac:dyDescent="0.45">
      <c r="N554" t="s">
        <v>189</v>
      </c>
      <c r="O554" t="s">
        <v>236</v>
      </c>
      <c r="P554">
        <v>4.0444195719683386E-3</v>
      </c>
      <c r="Q554" t="s">
        <v>166</v>
      </c>
    </row>
    <row r="555" spans="14:17" x14ac:dyDescent="0.45">
      <c r="N555" t="s">
        <v>189</v>
      </c>
      <c r="O555" t="s">
        <v>237</v>
      </c>
      <c r="P555">
        <v>3.8624077077742177E-3</v>
      </c>
      <c r="Q555" t="s">
        <v>166</v>
      </c>
    </row>
    <row r="556" spans="14:17" x14ac:dyDescent="0.45">
      <c r="N556" t="s">
        <v>189</v>
      </c>
      <c r="O556" t="s">
        <v>238</v>
      </c>
      <c r="P556">
        <v>3.6903639891275645E-3</v>
      </c>
      <c r="Q556" t="s">
        <v>166</v>
      </c>
    </row>
    <row r="557" spans="14:17" x14ac:dyDescent="0.45">
      <c r="N557" t="s">
        <v>189</v>
      </c>
      <c r="O557" t="s">
        <v>175</v>
      </c>
      <c r="P557">
        <v>2.1031743299566041E-2</v>
      </c>
      <c r="Q557" t="s">
        <v>166</v>
      </c>
    </row>
    <row r="558" spans="14:17" x14ac:dyDescent="0.45">
      <c r="N558" t="s">
        <v>189</v>
      </c>
      <c r="O558" t="s">
        <v>176</v>
      </c>
      <c r="P558">
        <v>4.22431971121782E-2</v>
      </c>
      <c r="Q558" t="s">
        <v>166</v>
      </c>
    </row>
    <row r="559" spans="14:17" x14ac:dyDescent="0.45">
      <c r="N559" t="s">
        <v>189</v>
      </c>
      <c r="O559" t="s">
        <v>177</v>
      </c>
      <c r="P559">
        <v>1.6289398029332533E-2</v>
      </c>
      <c r="Q559" t="s">
        <v>166</v>
      </c>
    </row>
    <row r="560" spans="14:17" x14ac:dyDescent="0.45">
      <c r="N560" t="s">
        <v>189</v>
      </c>
      <c r="O560" t="s">
        <v>239</v>
      </c>
      <c r="P560">
        <v>4.593784451855998E-3</v>
      </c>
      <c r="Q560" t="s">
        <v>166</v>
      </c>
    </row>
    <row r="561" spans="14:17" x14ac:dyDescent="0.45">
      <c r="N561" t="s">
        <v>189</v>
      </c>
      <c r="O561" t="s">
        <v>240</v>
      </c>
      <c r="P561">
        <v>4.4964430692712616E-3</v>
      </c>
      <c r="Q561" t="s">
        <v>166</v>
      </c>
    </row>
    <row r="562" spans="14:17" x14ac:dyDescent="0.45">
      <c r="N562" t="s">
        <v>189</v>
      </c>
      <c r="O562" t="s">
        <v>241</v>
      </c>
      <c r="P562">
        <v>4.3488365040688813E-3</v>
      </c>
      <c r="Q562" t="s">
        <v>166</v>
      </c>
    </row>
    <row r="563" spans="14:17" x14ac:dyDescent="0.45">
      <c r="N563" t="s">
        <v>189</v>
      </c>
      <c r="O563" t="s">
        <v>242</v>
      </c>
      <c r="P563">
        <v>5.3858862375626912E-2</v>
      </c>
      <c r="Q563" t="s">
        <v>166</v>
      </c>
    </row>
    <row r="564" spans="14:17" x14ac:dyDescent="0.45">
      <c r="N564" t="s">
        <v>189</v>
      </c>
      <c r="O564" t="s">
        <v>243</v>
      </c>
      <c r="P564">
        <v>9.9355465031910742E-2</v>
      </c>
      <c r="Q564" t="s">
        <v>166</v>
      </c>
    </row>
    <row r="565" spans="14:17" x14ac:dyDescent="0.45">
      <c r="N565" t="s">
        <v>189</v>
      </c>
      <c r="O565" t="s">
        <v>244</v>
      </c>
      <c r="P565">
        <v>3.5677608665282738E-2</v>
      </c>
      <c r="Q565" t="s">
        <v>166</v>
      </c>
    </row>
    <row r="566" spans="14:17" x14ac:dyDescent="0.45">
      <c r="N566" t="s">
        <v>189</v>
      </c>
      <c r="O566" t="s">
        <v>245</v>
      </c>
      <c r="P566">
        <v>1.0696529710780811E-2</v>
      </c>
      <c r="Q566" t="s">
        <v>166</v>
      </c>
    </row>
    <row r="567" spans="14:17" x14ac:dyDescent="0.45">
      <c r="N567" t="s">
        <v>189</v>
      </c>
      <c r="O567" t="s">
        <v>246</v>
      </c>
      <c r="P567">
        <v>1.1257181395966655E-2</v>
      </c>
      <c r="Q567" t="s">
        <v>166</v>
      </c>
    </row>
    <row r="568" spans="14:17" x14ac:dyDescent="0.45">
      <c r="N568" t="s">
        <v>189</v>
      </c>
      <c r="O568" t="s">
        <v>247</v>
      </c>
      <c r="P568">
        <v>1.1410501775964331E-2</v>
      </c>
      <c r="Q568" t="s">
        <v>166</v>
      </c>
    </row>
    <row r="569" spans="14:17" x14ac:dyDescent="0.45">
      <c r="N569" t="s">
        <v>189</v>
      </c>
      <c r="O569" t="s">
        <v>248</v>
      </c>
      <c r="P569">
        <v>1.4745637405953681E-2</v>
      </c>
      <c r="Q569" t="s">
        <v>166</v>
      </c>
    </row>
    <row r="570" spans="14:17" x14ac:dyDescent="0.45">
      <c r="N570" t="s">
        <v>189</v>
      </c>
      <c r="O570" t="s">
        <v>249</v>
      </c>
      <c r="P570">
        <v>3.3242959162310605E-2</v>
      </c>
      <c r="Q570" t="s">
        <v>166</v>
      </c>
    </row>
    <row r="571" spans="14:17" x14ac:dyDescent="0.45">
      <c r="N571" t="s">
        <v>189</v>
      </c>
      <c r="O571" t="s">
        <v>250</v>
      </c>
      <c r="P571">
        <v>1.064132739224872E-2</v>
      </c>
      <c r="Q571" t="s">
        <v>166</v>
      </c>
    </row>
    <row r="572" spans="14:17" x14ac:dyDescent="0.45">
      <c r="N572" t="s">
        <v>189</v>
      </c>
      <c r="O572" t="s">
        <v>251</v>
      </c>
      <c r="P572">
        <v>3.190088225239363E-3</v>
      </c>
      <c r="Q572" t="s">
        <v>166</v>
      </c>
    </row>
    <row r="573" spans="14:17" x14ac:dyDescent="0.45">
      <c r="N573" t="s">
        <v>189</v>
      </c>
      <c r="O573" t="s">
        <v>252</v>
      </c>
      <c r="P573">
        <v>3.2208129639119173E-3</v>
      </c>
      <c r="Q573" t="s">
        <v>166</v>
      </c>
    </row>
    <row r="574" spans="14:17" x14ac:dyDescent="0.45">
      <c r="N574" t="s">
        <v>189</v>
      </c>
      <c r="O574" t="s">
        <v>253</v>
      </c>
      <c r="P574">
        <v>3.1586809280522228E-3</v>
      </c>
      <c r="Q574" t="s">
        <v>166</v>
      </c>
    </row>
    <row r="575" spans="14:17" x14ac:dyDescent="0.45">
      <c r="N575" t="s">
        <v>189</v>
      </c>
      <c r="O575" t="s">
        <v>254</v>
      </c>
      <c r="P575">
        <v>2.3903064420649062E-2</v>
      </c>
      <c r="Q575" t="s">
        <v>166</v>
      </c>
    </row>
    <row r="576" spans="14:17" x14ac:dyDescent="0.45">
      <c r="N576" t="s">
        <v>189</v>
      </c>
      <c r="O576" t="s">
        <v>255</v>
      </c>
      <c r="P576">
        <v>4.9831952001027996E-2</v>
      </c>
      <c r="Q576" t="s">
        <v>166</v>
      </c>
    </row>
    <row r="577" spans="14:17" x14ac:dyDescent="0.45">
      <c r="N577" t="s">
        <v>189</v>
      </c>
      <c r="O577" t="s">
        <v>256</v>
      </c>
      <c r="P577">
        <v>1.9117289593279775E-2</v>
      </c>
      <c r="Q577" t="s">
        <v>166</v>
      </c>
    </row>
    <row r="578" spans="14:17" x14ac:dyDescent="0.45">
      <c r="N578" t="s">
        <v>189</v>
      </c>
      <c r="O578" t="s">
        <v>257</v>
      </c>
      <c r="P578">
        <v>4.8130068646206987E-3</v>
      </c>
      <c r="Q578" t="s">
        <v>166</v>
      </c>
    </row>
    <row r="579" spans="14:17" x14ac:dyDescent="0.45">
      <c r="N579" t="s">
        <v>189</v>
      </c>
      <c r="O579" t="s">
        <v>258</v>
      </c>
      <c r="P579">
        <v>4.7987831618586567E-3</v>
      </c>
      <c r="Q579" t="s">
        <v>166</v>
      </c>
    </row>
    <row r="580" spans="14:17" x14ac:dyDescent="0.45">
      <c r="N580" t="s">
        <v>189</v>
      </c>
      <c r="O580" t="s">
        <v>259</v>
      </c>
      <c r="P580">
        <v>4.7355628563077595E-3</v>
      </c>
      <c r="Q580" t="s">
        <v>166</v>
      </c>
    </row>
    <row r="581" spans="14:17" x14ac:dyDescent="0.45">
      <c r="N581" t="s">
        <v>189</v>
      </c>
      <c r="O581" t="s">
        <v>260</v>
      </c>
      <c r="P581">
        <v>5.6389441404494499E-2</v>
      </c>
      <c r="Q581" t="s">
        <v>166</v>
      </c>
    </row>
    <row r="582" spans="14:17" x14ac:dyDescent="0.45">
      <c r="N582" t="s">
        <v>189</v>
      </c>
      <c r="O582" t="s">
        <v>261</v>
      </c>
      <c r="P582">
        <v>0.13754765271818586</v>
      </c>
      <c r="Q582" t="s">
        <v>166</v>
      </c>
    </row>
    <row r="583" spans="14:17" x14ac:dyDescent="0.45">
      <c r="N583" t="s">
        <v>189</v>
      </c>
      <c r="O583" t="s">
        <v>262</v>
      </c>
      <c r="P583">
        <v>4.6583746534969453E-2</v>
      </c>
      <c r="Q583" t="s">
        <v>166</v>
      </c>
    </row>
    <row r="584" spans="14:17" x14ac:dyDescent="0.45">
      <c r="N584" t="s">
        <v>189</v>
      </c>
      <c r="O584" t="s">
        <v>263</v>
      </c>
      <c r="P584">
        <v>1.1581943669160735E-2</v>
      </c>
      <c r="Q584" t="s">
        <v>166</v>
      </c>
    </row>
    <row r="585" spans="14:17" x14ac:dyDescent="0.45">
      <c r="N585" t="s">
        <v>189</v>
      </c>
      <c r="O585" t="s">
        <v>264</v>
      </c>
      <c r="P585">
        <v>1.1475449317206884E-2</v>
      </c>
      <c r="Q585" t="s">
        <v>166</v>
      </c>
    </row>
    <row r="586" spans="14:17" x14ac:dyDescent="0.45">
      <c r="N586" t="s">
        <v>189</v>
      </c>
      <c r="O586" t="s">
        <v>265</v>
      </c>
      <c r="P586">
        <v>1.1425782977285109E-2</v>
      </c>
      <c r="Q586" t="s">
        <v>166</v>
      </c>
    </row>
    <row r="587" spans="14:17" x14ac:dyDescent="0.45">
      <c r="N587" t="s">
        <v>190</v>
      </c>
      <c r="O587" t="s">
        <v>165</v>
      </c>
      <c r="P587">
        <v>1.9250876472308338E-2</v>
      </c>
      <c r="Q587" t="s">
        <v>166</v>
      </c>
    </row>
    <row r="588" spans="14:17" x14ac:dyDescent="0.45">
      <c r="N588" t="s">
        <v>190</v>
      </c>
      <c r="O588" t="s">
        <v>167</v>
      </c>
      <c r="P588">
        <v>4.585522207648899E-2</v>
      </c>
      <c r="Q588" t="s">
        <v>166</v>
      </c>
    </row>
    <row r="589" spans="14:17" x14ac:dyDescent="0.45">
      <c r="N589" t="s">
        <v>190</v>
      </c>
      <c r="O589" t="s">
        <v>168</v>
      </c>
      <c r="P589">
        <v>1.5656657520320024E-2</v>
      </c>
      <c r="Q589" t="s">
        <v>166</v>
      </c>
    </row>
    <row r="590" spans="14:17" x14ac:dyDescent="0.45">
      <c r="N590" t="s">
        <v>190</v>
      </c>
      <c r="O590" t="s">
        <v>230</v>
      </c>
      <c r="P590">
        <v>4.0149481273420162E-3</v>
      </c>
      <c r="Q590" t="s">
        <v>166</v>
      </c>
    </row>
    <row r="591" spans="14:17" x14ac:dyDescent="0.45">
      <c r="N591" t="s">
        <v>190</v>
      </c>
      <c r="O591" t="s">
        <v>231</v>
      </c>
      <c r="P591">
        <v>3.9382337525692293E-3</v>
      </c>
      <c r="Q591" t="s">
        <v>166</v>
      </c>
    </row>
    <row r="592" spans="14:17" x14ac:dyDescent="0.45">
      <c r="N592" t="s">
        <v>190</v>
      </c>
      <c r="O592" t="s">
        <v>232</v>
      </c>
      <c r="P592">
        <v>3.9194993056560785E-3</v>
      </c>
      <c r="Q592" t="s">
        <v>166</v>
      </c>
    </row>
    <row r="593" spans="14:17" x14ac:dyDescent="0.45">
      <c r="N593" t="s">
        <v>190</v>
      </c>
      <c r="O593" t="s">
        <v>169</v>
      </c>
      <c r="P593">
        <v>1.7762058151944943E-2</v>
      </c>
      <c r="Q593" t="s">
        <v>166</v>
      </c>
    </row>
    <row r="594" spans="14:17" x14ac:dyDescent="0.45">
      <c r="N594" t="s">
        <v>190</v>
      </c>
      <c r="O594" t="s">
        <v>170</v>
      </c>
      <c r="P594">
        <v>3.4230540053266235E-2</v>
      </c>
      <c r="Q594" t="s">
        <v>166</v>
      </c>
    </row>
    <row r="595" spans="14:17" x14ac:dyDescent="0.45">
      <c r="N595" t="s">
        <v>190</v>
      </c>
      <c r="O595" t="s">
        <v>171</v>
      </c>
      <c r="P595">
        <v>1.3977539647347208E-2</v>
      </c>
      <c r="Q595" t="s">
        <v>166</v>
      </c>
    </row>
    <row r="596" spans="14:17" x14ac:dyDescent="0.45">
      <c r="N596" t="s">
        <v>190</v>
      </c>
      <c r="O596" t="s">
        <v>233</v>
      </c>
      <c r="P596">
        <v>3.5910510875418887E-3</v>
      </c>
      <c r="Q596" t="s">
        <v>166</v>
      </c>
    </row>
    <row r="597" spans="14:17" x14ac:dyDescent="0.45">
      <c r="N597" t="s">
        <v>190</v>
      </c>
      <c r="O597" t="s">
        <v>234</v>
      </c>
      <c r="P597">
        <v>3.5688148250454291E-3</v>
      </c>
      <c r="Q597" t="s">
        <v>166</v>
      </c>
    </row>
    <row r="598" spans="14:17" x14ac:dyDescent="0.45">
      <c r="N598" t="s">
        <v>190</v>
      </c>
      <c r="O598" t="s">
        <v>235</v>
      </c>
      <c r="P598">
        <v>3.6280862959641525E-3</v>
      </c>
      <c r="Q598" t="s">
        <v>166</v>
      </c>
    </row>
    <row r="599" spans="14:17" x14ac:dyDescent="0.45">
      <c r="N599" t="s">
        <v>190</v>
      </c>
      <c r="O599" t="s">
        <v>172</v>
      </c>
      <c r="P599">
        <v>1.9479970808052961E-2</v>
      </c>
      <c r="Q599" t="s">
        <v>166</v>
      </c>
    </row>
    <row r="600" spans="14:17" x14ac:dyDescent="0.45">
      <c r="N600" t="s">
        <v>190</v>
      </c>
      <c r="O600" t="s">
        <v>173</v>
      </c>
      <c r="P600">
        <v>3.2930843093611641E-2</v>
      </c>
      <c r="Q600" t="s">
        <v>166</v>
      </c>
    </row>
    <row r="601" spans="14:17" x14ac:dyDescent="0.45">
      <c r="N601" t="s">
        <v>190</v>
      </c>
      <c r="O601" t="s">
        <v>174</v>
      </c>
      <c r="P601">
        <v>1.6559942172908265E-2</v>
      </c>
      <c r="Q601" t="s">
        <v>166</v>
      </c>
    </row>
    <row r="602" spans="14:17" x14ac:dyDescent="0.45">
      <c r="N602" t="s">
        <v>190</v>
      </c>
      <c r="O602" t="s">
        <v>236</v>
      </c>
      <c r="P602">
        <v>4.2295791448577194E-3</v>
      </c>
      <c r="Q602" t="s">
        <v>166</v>
      </c>
    </row>
    <row r="603" spans="14:17" x14ac:dyDescent="0.45">
      <c r="N603" t="s">
        <v>190</v>
      </c>
      <c r="O603" t="s">
        <v>237</v>
      </c>
      <c r="P603">
        <v>4.0916776025469049E-3</v>
      </c>
      <c r="Q603" t="s">
        <v>166</v>
      </c>
    </row>
    <row r="604" spans="14:17" x14ac:dyDescent="0.45">
      <c r="N604" t="s">
        <v>190</v>
      </c>
      <c r="O604" t="s">
        <v>238</v>
      </c>
      <c r="P604">
        <v>4.0305976412685646E-3</v>
      </c>
      <c r="Q604" t="s">
        <v>166</v>
      </c>
    </row>
    <row r="605" spans="14:17" x14ac:dyDescent="0.45">
      <c r="N605" t="s">
        <v>190</v>
      </c>
      <c r="O605" t="s">
        <v>175</v>
      </c>
      <c r="P605">
        <v>2.0042974832820082E-2</v>
      </c>
      <c r="Q605" t="s">
        <v>166</v>
      </c>
    </row>
    <row r="606" spans="14:17" x14ac:dyDescent="0.45">
      <c r="N606" t="s">
        <v>190</v>
      </c>
      <c r="O606" t="s">
        <v>176</v>
      </c>
      <c r="P606">
        <v>3.6994281981401853E-2</v>
      </c>
      <c r="Q606" t="s">
        <v>166</v>
      </c>
    </row>
    <row r="607" spans="14:17" x14ac:dyDescent="0.45">
      <c r="N607" t="s">
        <v>190</v>
      </c>
      <c r="O607" t="s">
        <v>177</v>
      </c>
      <c r="P607">
        <v>1.400819553957214E-2</v>
      </c>
      <c r="Q607" t="s">
        <v>166</v>
      </c>
    </row>
    <row r="608" spans="14:17" x14ac:dyDescent="0.45">
      <c r="N608" t="s">
        <v>190</v>
      </c>
      <c r="O608" t="s">
        <v>239</v>
      </c>
      <c r="P608">
        <v>4.1089777182976581E-3</v>
      </c>
      <c r="Q608" t="s">
        <v>166</v>
      </c>
    </row>
    <row r="609" spans="14:17" x14ac:dyDescent="0.45">
      <c r="N609" t="s">
        <v>190</v>
      </c>
      <c r="O609" t="s">
        <v>240</v>
      </c>
      <c r="P609">
        <v>4.1382392083298414E-3</v>
      </c>
      <c r="Q609" t="s">
        <v>166</v>
      </c>
    </row>
    <row r="610" spans="14:17" x14ac:dyDescent="0.45">
      <c r="N610" t="s">
        <v>190</v>
      </c>
      <c r="O610" t="s">
        <v>241</v>
      </c>
      <c r="P610">
        <v>4.1255422782639824E-3</v>
      </c>
      <c r="Q610" t="s">
        <v>166</v>
      </c>
    </row>
    <row r="611" spans="14:17" x14ac:dyDescent="0.45">
      <c r="N611" t="s">
        <v>190</v>
      </c>
      <c r="O611" t="s">
        <v>242</v>
      </c>
      <c r="P611">
        <v>5.6636089592496608E-2</v>
      </c>
      <c r="Q611" t="s">
        <v>166</v>
      </c>
    </row>
    <row r="612" spans="14:17" x14ac:dyDescent="0.45">
      <c r="N612" t="s">
        <v>190</v>
      </c>
      <c r="O612" t="s">
        <v>243</v>
      </c>
      <c r="P612">
        <v>0.10828799606701726</v>
      </c>
      <c r="Q612" t="s">
        <v>166</v>
      </c>
    </row>
    <row r="613" spans="14:17" x14ac:dyDescent="0.45">
      <c r="N613" t="s">
        <v>190</v>
      </c>
      <c r="O613" t="s">
        <v>244</v>
      </c>
      <c r="P613">
        <v>3.5797666056373599E-2</v>
      </c>
      <c r="Q613" t="s">
        <v>166</v>
      </c>
    </row>
    <row r="614" spans="14:17" x14ac:dyDescent="0.45">
      <c r="N614" t="s">
        <v>190</v>
      </c>
      <c r="O614" t="s">
        <v>245</v>
      </c>
      <c r="P614">
        <v>1.0566389947463936E-2</v>
      </c>
      <c r="Q614" t="s">
        <v>166</v>
      </c>
    </row>
    <row r="615" spans="14:17" x14ac:dyDescent="0.45">
      <c r="N615" t="s">
        <v>190</v>
      </c>
      <c r="O615" t="s">
        <v>246</v>
      </c>
      <c r="P615">
        <v>1.15122648432384E-2</v>
      </c>
      <c r="Q615" t="s">
        <v>166</v>
      </c>
    </row>
    <row r="616" spans="14:17" x14ac:dyDescent="0.45">
      <c r="N616" t="s">
        <v>190</v>
      </c>
      <c r="O616" t="s">
        <v>247</v>
      </c>
      <c r="P616">
        <v>1.2044531929632368E-2</v>
      </c>
      <c r="Q616" t="s">
        <v>166</v>
      </c>
    </row>
    <row r="617" spans="14:17" x14ac:dyDescent="0.45">
      <c r="N617" t="s">
        <v>190</v>
      </c>
      <c r="O617" t="s">
        <v>248</v>
      </c>
      <c r="P617">
        <v>1.7480715499785908E-2</v>
      </c>
      <c r="Q617" t="s">
        <v>166</v>
      </c>
    </row>
    <row r="618" spans="14:17" x14ac:dyDescent="0.45">
      <c r="N618" t="s">
        <v>190</v>
      </c>
      <c r="O618" t="s">
        <v>249</v>
      </c>
      <c r="P618">
        <v>3.6250868342656228E-2</v>
      </c>
      <c r="Q618" t="s">
        <v>166</v>
      </c>
    </row>
    <row r="619" spans="14:17" x14ac:dyDescent="0.45">
      <c r="N619" t="s">
        <v>190</v>
      </c>
      <c r="O619" t="s">
        <v>250</v>
      </c>
      <c r="P619">
        <v>1.1759695532801116E-2</v>
      </c>
      <c r="Q619" t="s">
        <v>166</v>
      </c>
    </row>
    <row r="620" spans="14:17" x14ac:dyDescent="0.45">
      <c r="N620" t="s">
        <v>190</v>
      </c>
      <c r="O620" t="s">
        <v>251</v>
      </c>
      <c r="P620">
        <v>3.5211276113107479E-3</v>
      </c>
      <c r="Q620" t="s">
        <v>166</v>
      </c>
    </row>
    <row r="621" spans="14:17" x14ac:dyDescent="0.45">
      <c r="N621" t="s">
        <v>190</v>
      </c>
      <c r="O621" t="s">
        <v>252</v>
      </c>
      <c r="P621">
        <v>3.49134814499312E-3</v>
      </c>
      <c r="Q621" t="s">
        <v>166</v>
      </c>
    </row>
    <row r="622" spans="14:17" x14ac:dyDescent="0.45">
      <c r="N622" t="s">
        <v>190</v>
      </c>
      <c r="O622" t="s">
        <v>253</v>
      </c>
      <c r="P622">
        <v>3.5026743435065456E-3</v>
      </c>
      <c r="Q622" t="s">
        <v>166</v>
      </c>
    </row>
    <row r="623" spans="14:17" x14ac:dyDescent="0.45">
      <c r="N623" t="s">
        <v>190</v>
      </c>
      <c r="O623" t="s">
        <v>254</v>
      </c>
      <c r="P623">
        <v>2.2452486516515959E-2</v>
      </c>
      <c r="Q623" t="s">
        <v>166</v>
      </c>
    </row>
    <row r="624" spans="14:17" x14ac:dyDescent="0.45">
      <c r="N624" t="s">
        <v>190</v>
      </c>
      <c r="O624" t="s">
        <v>255</v>
      </c>
      <c r="P624">
        <v>4.4684988432097707E-2</v>
      </c>
      <c r="Q624" t="s">
        <v>166</v>
      </c>
    </row>
    <row r="625" spans="14:17" x14ac:dyDescent="0.45">
      <c r="N625" t="s">
        <v>190</v>
      </c>
      <c r="O625" t="s">
        <v>256</v>
      </c>
      <c r="P625">
        <v>1.7276224450776433E-2</v>
      </c>
      <c r="Q625" t="s">
        <v>166</v>
      </c>
    </row>
    <row r="626" spans="14:17" x14ac:dyDescent="0.45">
      <c r="N626" t="s">
        <v>190</v>
      </c>
      <c r="O626" t="s">
        <v>257</v>
      </c>
      <c r="P626">
        <v>4.261128918119402E-3</v>
      </c>
      <c r="Q626" t="s">
        <v>166</v>
      </c>
    </row>
    <row r="627" spans="14:17" x14ac:dyDescent="0.45">
      <c r="N627" t="s">
        <v>190</v>
      </c>
      <c r="O627" t="s">
        <v>258</v>
      </c>
      <c r="P627">
        <v>4.3419589620001331E-3</v>
      </c>
      <c r="Q627" t="s">
        <v>166</v>
      </c>
    </row>
    <row r="628" spans="14:17" x14ac:dyDescent="0.45">
      <c r="N628" t="s">
        <v>190</v>
      </c>
      <c r="O628" t="s">
        <v>259</v>
      </c>
      <c r="P628">
        <v>4.4426919342148525E-3</v>
      </c>
      <c r="Q628" t="s">
        <v>166</v>
      </c>
    </row>
    <row r="629" spans="14:17" x14ac:dyDescent="0.45">
      <c r="N629" t="s">
        <v>190</v>
      </c>
      <c r="O629" t="s">
        <v>260</v>
      </c>
      <c r="P629">
        <v>5.444239043069353E-2</v>
      </c>
      <c r="Q629" t="s">
        <v>166</v>
      </c>
    </row>
    <row r="630" spans="14:17" x14ac:dyDescent="0.45">
      <c r="N630" t="s">
        <v>190</v>
      </c>
      <c r="O630" t="s">
        <v>261</v>
      </c>
      <c r="P630">
        <v>0.1261595409118598</v>
      </c>
      <c r="Q630" t="s">
        <v>166</v>
      </c>
    </row>
    <row r="631" spans="14:17" x14ac:dyDescent="0.45">
      <c r="N631" t="s">
        <v>190</v>
      </c>
      <c r="O631" t="s">
        <v>262</v>
      </c>
      <c r="P631">
        <v>4.332628805561143E-2</v>
      </c>
      <c r="Q631" t="s">
        <v>166</v>
      </c>
    </row>
    <row r="632" spans="14:17" x14ac:dyDescent="0.45">
      <c r="N632" t="s">
        <v>190</v>
      </c>
      <c r="O632" t="s">
        <v>263</v>
      </c>
      <c r="P632">
        <v>1.1160717017228683E-2</v>
      </c>
      <c r="Q632" t="s">
        <v>166</v>
      </c>
    </row>
    <row r="633" spans="14:17" x14ac:dyDescent="0.45">
      <c r="N633" t="s">
        <v>190</v>
      </c>
      <c r="O633" t="s">
        <v>264</v>
      </c>
      <c r="P633">
        <v>1.1221962836225457E-2</v>
      </c>
      <c r="Q633" t="s">
        <v>166</v>
      </c>
    </row>
    <row r="634" spans="14:17" x14ac:dyDescent="0.45">
      <c r="N634" t="s">
        <v>190</v>
      </c>
      <c r="O634" t="s">
        <v>265</v>
      </c>
      <c r="P634">
        <v>1.1243904285654496E-2</v>
      </c>
      <c r="Q634" t="s">
        <v>166</v>
      </c>
    </row>
    <row r="635" spans="14:17" x14ac:dyDescent="0.45">
      <c r="N635" t="s">
        <v>191</v>
      </c>
      <c r="O635" t="s">
        <v>165</v>
      </c>
      <c r="P635">
        <v>1.8294969840941328E-2</v>
      </c>
      <c r="Q635" t="s">
        <v>166</v>
      </c>
    </row>
    <row r="636" spans="14:17" x14ac:dyDescent="0.45">
      <c r="N636" t="s">
        <v>191</v>
      </c>
      <c r="O636" t="s">
        <v>167</v>
      </c>
      <c r="P636">
        <v>4.3544155192930374E-2</v>
      </c>
      <c r="Q636" t="s">
        <v>166</v>
      </c>
    </row>
    <row r="637" spans="14:17" x14ac:dyDescent="0.45">
      <c r="N637" t="s">
        <v>191</v>
      </c>
      <c r="O637" t="s">
        <v>168</v>
      </c>
      <c r="P637">
        <v>1.4163415040886227E-2</v>
      </c>
      <c r="Q637" t="s">
        <v>166</v>
      </c>
    </row>
    <row r="638" spans="14:17" x14ac:dyDescent="0.45">
      <c r="N638" t="s">
        <v>191</v>
      </c>
      <c r="O638" t="s">
        <v>230</v>
      </c>
      <c r="P638">
        <v>3.4474344645831173E-3</v>
      </c>
      <c r="Q638" t="s">
        <v>166</v>
      </c>
    </row>
    <row r="639" spans="14:17" x14ac:dyDescent="0.45">
      <c r="N639" t="s">
        <v>191</v>
      </c>
      <c r="O639" t="s">
        <v>231</v>
      </c>
      <c r="P639">
        <v>3.3852907364898101E-3</v>
      </c>
      <c r="Q639" t="s">
        <v>166</v>
      </c>
    </row>
    <row r="640" spans="14:17" x14ac:dyDescent="0.45">
      <c r="N640" t="s">
        <v>191</v>
      </c>
      <c r="O640" t="s">
        <v>232</v>
      </c>
      <c r="P640">
        <v>3.5400072241532753E-3</v>
      </c>
      <c r="Q640" t="s">
        <v>166</v>
      </c>
    </row>
    <row r="641" spans="14:17" x14ac:dyDescent="0.45">
      <c r="N641" t="s">
        <v>191</v>
      </c>
      <c r="O641" t="s">
        <v>169</v>
      </c>
      <c r="P641">
        <v>1.6195206504462309E-2</v>
      </c>
      <c r="Q641" t="s">
        <v>166</v>
      </c>
    </row>
    <row r="642" spans="14:17" x14ac:dyDescent="0.45">
      <c r="N642" t="s">
        <v>191</v>
      </c>
      <c r="O642" t="s">
        <v>170</v>
      </c>
      <c r="P642">
        <v>4.0659506655610432E-2</v>
      </c>
      <c r="Q642" t="s">
        <v>166</v>
      </c>
    </row>
    <row r="643" spans="14:17" x14ac:dyDescent="0.45">
      <c r="N643" t="s">
        <v>191</v>
      </c>
      <c r="O643" t="s">
        <v>171</v>
      </c>
      <c r="P643">
        <v>1.4133867450855334E-2</v>
      </c>
      <c r="Q643" t="s">
        <v>166</v>
      </c>
    </row>
    <row r="644" spans="14:17" x14ac:dyDescent="0.45">
      <c r="N644" t="s">
        <v>191</v>
      </c>
      <c r="O644" t="s">
        <v>233</v>
      </c>
      <c r="P644">
        <v>3.2906996071591678E-3</v>
      </c>
      <c r="Q644" t="s">
        <v>166</v>
      </c>
    </row>
    <row r="645" spans="14:17" x14ac:dyDescent="0.45">
      <c r="N645" t="s">
        <v>191</v>
      </c>
      <c r="O645" t="s">
        <v>234</v>
      </c>
      <c r="P645">
        <v>3.2417978302323423E-3</v>
      </c>
      <c r="Q645" t="s">
        <v>166</v>
      </c>
    </row>
    <row r="646" spans="14:17" x14ac:dyDescent="0.45">
      <c r="N646" t="s">
        <v>191</v>
      </c>
      <c r="O646" t="s">
        <v>235</v>
      </c>
      <c r="P646">
        <v>3.2712455129192634E-3</v>
      </c>
      <c r="Q646" t="s">
        <v>166</v>
      </c>
    </row>
    <row r="647" spans="14:17" x14ac:dyDescent="0.45">
      <c r="N647" t="s">
        <v>191</v>
      </c>
      <c r="O647" t="s">
        <v>172</v>
      </c>
      <c r="P647">
        <v>1.9823376840986763E-2</v>
      </c>
      <c r="Q647" t="s">
        <v>166</v>
      </c>
    </row>
    <row r="648" spans="14:17" x14ac:dyDescent="0.45">
      <c r="N648" t="s">
        <v>191</v>
      </c>
      <c r="O648" t="s">
        <v>173</v>
      </c>
      <c r="P648">
        <v>3.7203588313293665E-2</v>
      </c>
      <c r="Q648" t="s">
        <v>166</v>
      </c>
    </row>
    <row r="649" spans="14:17" x14ac:dyDescent="0.45">
      <c r="N649" t="s">
        <v>191</v>
      </c>
      <c r="O649" t="s">
        <v>174</v>
      </c>
      <c r="P649">
        <v>1.5554937838646912E-2</v>
      </c>
      <c r="Q649" t="s">
        <v>166</v>
      </c>
    </row>
    <row r="650" spans="14:17" x14ac:dyDescent="0.45">
      <c r="N650" t="s">
        <v>191</v>
      </c>
      <c r="O650" t="s">
        <v>236</v>
      </c>
      <c r="P650">
        <v>3.8693323290663936E-3</v>
      </c>
      <c r="Q650" t="s">
        <v>166</v>
      </c>
    </row>
    <row r="651" spans="14:17" x14ac:dyDescent="0.45">
      <c r="N651" t="s">
        <v>191</v>
      </c>
      <c r="O651" t="s">
        <v>237</v>
      </c>
      <c r="P651">
        <v>3.813537327385496E-3</v>
      </c>
      <c r="Q651" t="s">
        <v>166</v>
      </c>
    </row>
    <row r="652" spans="14:17" x14ac:dyDescent="0.45">
      <c r="N652" t="s">
        <v>191</v>
      </c>
      <c r="O652" t="s">
        <v>238</v>
      </c>
      <c r="P652">
        <v>4.0395528461856607E-3</v>
      </c>
      <c r="Q652" t="s">
        <v>166</v>
      </c>
    </row>
    <row r="653" spans="14:17" x14ac:dyDescent="0.45">
      <c r="N653" t="s">
        <v>191</v>
      </c>
      <c r="O653" t="s">
        <v>175</v>
      </c>
      <c r="P653">
        <v>1.9758717696654663E-2</v>
      </c>
      <c r="Q653" t="s">
        <v>166</v>
      </c>
    </row>
    <row r="654" spans="14:17" x14ac:dyDescent="0.45">
      <c r="N654" t="s">
        <v>191</v>
      </c>
      <c r="O654" t="s">
        <v>176</v>
      </c>
      <c r="P654">
        <v>3.8657705902314529E-2</v>
      </c>
      <c r="Q654" t="s">
        <v>166</v>
      </c>
    </row>
    <row r="655" spans="14:17" x14ac:dyDescent="0.45">
      <c r="N655" t="s">
        <v>191</v>
      </c>
      <c r="O655" t="s">
        <v>177</v>
      </c>
      <c r="P655">
        <v>1.4609881719586392E-2</v>
      </c>
      <c r="Q655" t="s">
        <v>166</v>
      </c>
    </row>
    <row r="656" spans="14:17" x14ac:dyDescent="0.45">
      <c r="N656" t="s">
        <v>191</v>
      </c>
      <c r="O656" t="s">
        <v>239</v>
      </c>
      <c r="P656">
        <v>4.0268754491131166E-3</v>
      </c>
      <c r="Q656" t="s">
        <v>166</v>
      </c>
    </row>
    <row r="657" spans="14:17" x14ac:dyDescent="0.45">
      <c r="N657" t="s">
        <v>191</v>
      </c>
      <c r="O657" t="s">
        <v>240</v>
      </c>
      <c r="P657">
        <v>4.0474606768553011E-3</v>
      </c>
      <c r="Q657" t="s">
        <v>166</v>
      </c>
    </row>
    <row r="658" spans="14:17" x14ac:dyDescent="0.45">
      <c r="N658" t="s">
        <v>191</v>
      </c>
      <c r="O658" t="s">
        <v>241</v>
      </c>
      <c r="P658">
        <v>4.2145887155621217E-3</v>
      </c>
      <c r="Q658" t="s">
        <v>166</v>
      </c>
    </row>
    <row r="659" spans="14:17" x14ac:dyDescent="0.45">
      <c r="N659" t="s">
        <v>191</v>
      </c>
      <c r="O659" t="s">
        <v>242</v>
      </c>
      <c r="P659">
        <v>5.4274233703241047E-2</v>
      </c>
      <c r="Q659" t="s">
        <v>166</v>
      </c>
    </row>
    <row r="660" spans="14:17" x14ac:dyDescent="0.45">
      <c r="N660" t="s">
        <v>191</v>
      </c>
      <c r="O660" t="s">
        <v>243</v>
      </c>
      <c r="P660">
        <v>0.11189473064426235</v>
      </c>
      <c r="Q660" t="s">
        <v>166</v>
      </c>
    </row>
    <row r="661" spans="14:17" x14ac:dyDescent="0.45">
      <c r="N661" t="s">
        <v>191</v>
      </c>
      <c r="O661" t="s">
        <v>244</v>
      </c>
      <c r="P661">
        <v>3.600068907204533E-2</v>
      </c>
      <c r="Q661" t="s">
        <v>166</v>
      </c>
    </row>
    <row r="662" spans="14:17" x14ac:dyDescent="0.45">
      <c r="N662" t="s">
        <v>191</v>
      </c>
      <c r="O662" t="s">
        <v>245</v>
      </c>
      <c r="P662">
        <v>1.0088328202370767E-2</v>
      </c>
      <c r="Q662" t="s">
        <v>166</v>
      </c>
    </row>
    <row r="663" spans="14:17" x14ac:dyDescent="0.45">
      <c r="N663" t="s">
        <v>191</v>
      </c>
      <c r="O663" t="s">
        <v>246</v>
      </c>
      <c r="P663">
        <v>1.0497405553290436E-2</v>
      </c>
      <c r="Q663" t="s">
        <v>166</v>
      </c>
    </row>
    <row r="664" spans="14:17" x14ac:dyDescent="0.45">
      <c r="N664" t="s">
        <v>191</v>
      </c>
      <c r="O664" t="s">
        <v>247</v>
      </c>
      <c r="P664">
        <v>1.1156015974578087E-2</v>
      </c>
      <c r="Q664" t="s">
        <v>166</v>
      </c>
    </row>
    <row r="665" spans="14:17" x14ac:dyDescent="0.45">
      <c r="N665" t="s">
        <v>191</v>
      </c>
      <c r="O665" t="s">
        <v>248</v>
      </c>
      <c r="P665">
        <v>1.4936686049509417E-2</v>
      </c>
      <c r="Q665" t="s">
        <v>166</v>
      </c>
    </row>
    <row r="666" spans="14:17" x14ac:dyDescent="0.45">
      <c r="N666" t="s">
        <v>191</v>
      </c>
      <c r="O666" t="s">
        <v>249</v>
      </c>
      <c r="P666">
        <v>3.1826742740685837E-2</v>
      </c>
      <c r="Q666" t="s">
        <v>166</v>
      </c>
    </row>
    <row r="667" spans="14:17" x14ac:dyDescent="0.45">
      <c r="N667" t="s">
        <v>191</v>
      </c>
      <c r="O667" t="s">
        <v>250</v>
      </c>
      <c r="P667">
        <v>1.1283990414679044E-2</v>
      </c>
      <c r="Q667" t="s">
        <v>166</v>
      </c>
    </row>
    <row r="668" spans="14:17" x14ac:dyDescent="0.45">
      <c r="N668" t="s">
        <v>191</v>
      </c>
      <c r="O668" t="s">
        <v>251</v>
      </c>
      <c r="P668">
        <v>3.1428814459099892E-3</v>
      </c>
      <c r="Q668" t="s">
        <v>166</v>
      </c>
    </row>
    <row r="669" spans="14:17" x14ac:dyDescent="0.45">
      <c r="N669" t="s">
        <v>191</v>
      </c>
      <c r="O669" t="s">
        <v>252</v>
      </c>
      <c r="P669">
        <v>3.1260391218347933E-3</v>
      </c>
      <c r="Q669" t="s">
        <v>166</v>
      </c>
    </row>
    <row r="670" spans="14:17" x14ac:dyDescent="0.45">
      <c r="N670" t="s">
        <v>191</v>
      </c>
      <c r="O670" t="s">
        <v>253</v>
      </c>
      <c r="P670">
        <v>3.2026625864797608E-3</v>
      </c>
      <c r="Q670" t="s">
        <v>166</v>
      </c>
    </row>
    <row r="671" spans="14:17" x14ac:dyDescent="0.45">
      <c r="N671" t="s">
        <v>191</v>
      </c>
      <c r="O671" t="s">
        <v>254</v>
      </c>
      <c r="P671">
        <v>2.1197143769340641E-2</v>
      </c>
      <c r="Q671" t="s">
        <v>166</v>
      </c>
    </row>
    <row r="672" spans="14:17" x14ac:dyDescent="0.45">
      <c r="N672" t="s">
        <v>191</v>
      </c>
      <c r="O672" t="s">
        <v>255</v>
      </c>
      <c r="P672">
        <v>4.8951618740461972E-2</v>
      </c>
      <c r="Q672" t="s">
        <v>166</v>
      </c>
    </row>
    <row r="673" spans="14:17" x14ac:dyDescent="0.45">
      <c r="N673" t="s">
        <v>191</v>
      </c>
      <c r="O673" t="s">
        <v>256</v>
      </c>
      <c r="P673">
        <v>1.880237036546354E-2</v>
      </c>
      <c r="Q673" t="s">
        <v>166</v>
      </c>
    </row>
    <row r="674" spans="14:17" x14ac:dyDescent="0.45">
      <c r="N674" t="s">
        <v>191</v>
      </c>
      <c r="O674" t="s">
        <v>257</v>
      </c>
      <c r="P674">
        <v>4.7638548572359529E-3</v>
      </c>
      <c r="Q674" t="s">
        <v>166</v>
      </c>
    </row>
    <row r="675" spans="14:17" x14ac:dyDescent="0.45">
      <c r="N675" t="s">
        <v>191</v>
      </c>
      <c r="O675" t="s">
        <v>258</v>
      </c>
      <c r="P675">
        <v>4.7008631068623918E-3</v>
      </c>
      <c r="Q675" t="s">
        <v>166</v>
      </c>
    </row>
    <row r="676" spans="14:17" x14ac:dyDescent="0.45">
      <c r="N676" t="s">
        <v>191</v>
      </c>
      <c r="O676" t="s">
        <v>259</v>
      </c>
      <c r="P676">
        <v>4.6427143440725465E-3</v>
      </c>
      <c r="Q676" t="s">
        <v>166</v>
      </c>
    </row>
    <row r="677" spans="14:17" x14ac:dyDescent="0.45">
      <c r="N677" t="s">
        <v>191</v>
      </c>
      <c r="O677" t="s">
        <v>260</v>
      </c>
      <c r="P677">
        <v>5.3638958726113066E-2</v>
      </c>
      <c r="Q677" t="s">
        <v>166</v>
      </c>
    </row>
    <row r="678" spans="14:17" x14ac:dyDescent="0.45">
      <c r="N678" t="s">
        <v>191</v>
      </c>
      <c r="O678" t="s">
        <v>261</v>
      </c>
      <c r="P678">
        <v>0.1275074520888318</v>
      </c>
      <c r="Q678" t="s">
        <v>166</v>
      </c>
    </row>
    <row r="679" spans="14:17" x14ac:dyDescent="0.45">
      <c r="N679" t="s">
        <v>191</v>
      </c>
      <c r="O679" t="s">
        <v>262</v>
      </c>
      <c r="P679">
        <v>4.4162891273936793E-2</v>
      </c>
      <c r="Q679" t="s">
        <v>166</v>
      </c>
    </row>
    <row r="680" spans="14:17" x14ac:dyDescent="0.45">
      <c r="N680" t="s">
        <v>191</v>
      </c>
      <c r="O680" t="s">
        <v>263</v>
      </c>
      <c r="P680">
        <v>1.1199292725382847E-2</v>
      </c>
      <c r="Q680" t="s">
        <v>166</v>
      </c>
    </row>
    <row r="681" spans="14:17" x14ac:dyDescent="0.45">
      <c r="N681" t="s">
        <v>191</v>
      </c>
      <c r="O681" t="s">
        <v>264</v>
      </c>
      <c r="P681">
        <v>1.1043983092843702E-2</v>
      </c>
      <c r="Q681" t="s">
        <v>166</v>
      </c>
    </row>
    <row r="682" spans="14:17" x14ac:dyDescent="0.45">
      <c r="N682" t="s">
        <v>191</v>
      </c>
      <c r="O682" t="s">
        <v>265</v>
      </c>
      <c r="P682">
        <v>1.1171299683695603E-2</v>
      </c>
      <c r="Q682" t="s">
        <v>166</v>
      </c>
    </row>
    <row r="683" spans="14:17" x14ac:dyDescent="0.45">
      <c r="N683" t="s">
        <v>192</v>
      </c>
      <c r="O683" t="s">
        <v>165</v>
      </c>
      <c r="P683">
        <v>1.8855293036749723E-2</v>
      </c>
      <c r="Q683" t="s">
        <v>166</v>
      </c>
    </row>
    <row r="684" spans="14:17" x14ac:dyDescent="0.45">
      <c r="N684" t="s">
        <v>192</v>
      </c>
      <c r="O684" t="s">
        <v>167</v>
      </c>
      <c r="P684">
        <v>4.5923964216819407E-2</v>
      </c>
      <c r="Q684" t="s">
        <v>166</v>
      </c>
    </row>
    <row r="685" spans="14:17" x14ac:dyDescent="0.45">
      <c r="N685" t="s">
        <v>192</v>
      </c>
      <c r="O685" t="s">
        <v>168</v>
      </c>
      <c r="P685">
        <v>1.6148423962620305E-2</v>
      </c>
      <c r="Q685" t="s">
        <v>166</v>
      </c>
    </row>
    <row r="686" spans="14:17" x14ac:dyDescent="0.45">
      <c r="N686" t="s">
        <v>192</v>
      </c>
      <c r="O686" t="s">
        <v>230</v>
      </c>
      <c r="P686">
        <v>3.9559845437547002E-3</v>
      </c>
      <c r="Q686" t="s">
        <v>166</v>
      </c>
    </row>
    <row r="687" spans="14:17" x14ac:dyDescent="0.45">
      <c r="N687" t="s">
        <v>192</v>
      </c>
      <c r="O687" t="s">
        <v>231</v>
      </c>
      <c r="P687">
        <v>3.9164249829317802E-3</v>
      </c>
      <c r="Q687" t="s">
        <v>166</v>
      </c>
    </row>
    <row r="688" spans="14:17" x14ac:dyDescent="0.45">
      <c r="N688" t="s">
        <v>192</v>
      </c>
      <c r="O688" t="s">
        <v>232</v>
      </c>
      <c r="P688">
        <v>4.1247172234407329E-3</v>
      </c>
      <c r="Q688" t="s">
        <v>166</v>
      </c>
    </row>
    <row r="689" spans="14:17" x14ac:dyDescent="0.45">
      <c r="N689" t="s">
        <v>192</v>
      </c>
      <c r="O689" t="s">
        <v>169</v>
      </c>
      <c r="P689">
        <v>1.5420544379326377E-2</v>
      </c>
      <c r="Q689" t="s">
        <v>166</v>
      </c>
    </row>
    <row r="690" spans="14:17" x14ac:dyDescent="0.45">
      <c r="N690" t="s">
        <v>192</v>
      </c>
      <c r="O690" t="s">
        <v>170</v>
      </c>
      <c r="P690">
        <v>3.3020786778218202E-2</v>
      </c>
      <c r="Q690" t="s">
        <v>166</v>
      </c>
    </row>
    <row r="691" spans="14:17" x14ac:dyDescent="0.45">
      <c r="N691" t="s">
        <v>192</v>
      </c>
      <c r="O691" t="s">
        <v>171</v>
      </c>
      <c r="P691">
        <v>1.3768940541809422E-2</v>
      </c>
      <c r="Q691" t="s">
        <v>166</v>
      </c>
    </row>
    <row r="692" spans="14:17" x14ac:dyDescent="0.45">
      <c r="N692" t="s">
        <v>192</v>
      </c>
      <c r="O692" t="s">
        <v>233</v>
      </c>
      <c r="P692">
        <v>3.348146236942301E-3</v>
      </c>
      <c r="Q692" t="s">
        <v>166</v>
      </c>
    </row>
    <row r="693" spans="14:17" x14ac:dyDescent="0.45">
      <c r="N693" t="s">
        <v>192</v>
      </c>
      <c r="O693" t="s">
        <v>234</v>
      </c>
      <c r="P693">
        <v>3.2512026496756634E-3</v>
      </c>
      <c r="Q693" t="s">
        <v>166</v>
      </c>
    </row>
    <row r="694" spans="14:17" x14ac:dyDescent="0.45">
      <c r="N694" t="s">
        <v>192</v>
      </c>
      <c r="O694" t="s">
        <v>235</v>
      </c>
      <c r="P694">
        <v>3.5076390438549569E-3</v>
      </c>
      <c r="Q694" t="s">
        <v>166</v>
      </c>
    </row>
    <row r="695" spans="14:17" x14ac:dyDescent="0.45">
      <c r="N695" t="s">
        <v>192</v>
      </c>
      <c r="O695" t="s">
        <v>172</v>
      </c>
      <c r="P695">
        <v>1.9306063283737709E-2</v>
      </c>
      <c r="Q695" t="s">
        <v>166</v>
      </c>
    </row>
    <row r="696" spans="14:17" x14ac:dyDescent="0.45">
      <c r="N696" t="s">
        <v>192</v>
      </c>
      <c r="O696" t="s">
        <v>173</v>
      </c>
      <c r="P696">
        <v>3.8421612922729644E-2</v>
      </c>
      <c r="Q696" t="s">
        <v>166</v>
      </c>
    </row>
    <row r="697" spans="14:17" x14ac:dyDescent="0.45">
      <c r="N697" t="s">
        <v>192</v>
      </c>
      <c r="O697" t="s">
        <v>174</v>
      </c>
      <c r="P697">
        <v>1.7687176360081415E-2</v>
      </c>
      <c r="Q697" t="s">
        <v>166</v>
      </c>
    </row>
    <row r="698" spans="14:17" x14ac:dyDescent="0.45">
      <c r="N698" t="s">
        <v>192</v>
      </c>
      <c r="O698" t="s">
        <v>236</v>
      </c>
      <c r="P698">
        <v>4.1999652521394152E-3</v>
      </c>
      <c r="Q698" t="s">
        <v>166</v>
      </c>
    </row>
    <row r="699" spans="14:17" x14ac:dyDescent="0.45">
      <c r="N699" t="s">
        <v>192</v>
      </c>
      <c r="O699" t="s">
        <v>237</v>
      </c>
      <c r="P699">
        <v>4.0298345723864632E-3</v>
      </c>
      <c r="Q699" t="s">
        <v>166</v>
      </c>
    </row>
    <row r="700" spans="14:17" x14ac:dyDescent="0.45">
      <c r="N700" t="s">
        <v>192</v>
      </c>
      <c r="O700" t="s">
        <v>238</v>
      </c>
      <c r="P700">
        <v>4.1847297793247808E-3</v>
      </c>
      <c r="Q700" t="s">
        <v>166</v>
      </c>
    </row>
    <row r="701" spans="14:17" x14ac:dyDescent="0.45">
      <c r="N701" t="s">
        <v>192</v>
      </c>
      <c r="O701" t="s">
        <v>175</v>
      </c>
      <c r="P701">
        <v>1.8745923684579613E-2</v>
      </c>
      <c r="Q701" t="s">
        <v>166</v>
      </c>
    </row>
    <row r="702" spans="14:17" x14ac:dyDescent="0.45">
      <c r="N702" t="s">
        <v>192</v>
      </c>
      <c r="O702" t="s">
        <v>176</v>
      </c>
      <c r="P702">
        <v>3.406394850050979E-2</v>
      </c>
      <c r="Q702" t="s">
        <v>166</v>
      </c>
    </row>
    <row r="703" spans="14:17" x14ac:dyDescent="0.45">
      <c r="N703" t="s">
        <v>192</v>
      </c>
      <c r="O703" t="s">
        <v>177</v>
      </c>
      <c r="P703">
        <v>1.4610014288010231E-2</v>
      </c>
      <c r="Q703" t="s">
        <v>166</v>
      </c>
    </row>
    <row r="704" spans="14:17" x14ac:dyDescent="0.45">
      <c r="N704" t="s">
        <v>192</v>
      </c>
      <c r="O704" t="s">
        <v>239</v>
      </c>
      <c r="P704">
        <v>3.8258602227410955E-3</v>
      </c>
      <c r="Q704" t="s">
        <v>166</v>
      </c>
    </row>
    <row r="705" spans="14:17" x14ac:dyDescent="0.45">
      <c r="N705" t="s">
        <v>192</v>
      </c>
      <c r="O705" t="s">
        <v>240</v>
      </c>
      <c r="P705">
        <v>3.7780090741625209E-3</v>
      </c>
      <c r="Q705" t="s">
        <v>166</v>
      </c>
    </row>
    <row r="706" spans="14:17" x14ac:dyDescent="0.45">
      <c r="N706" t="s">
        <v>192</v>
      </c>
      <c r="O706" t="s">
        <v>241</v>
      </c>
      <c r="P706">
        <v>4.0008854927861158E-3</v>
      </c>
      <c r="Q706" t="s">
        <v>166</v>
      </c>
    </row>
    <row r="707" spans="14:17" x14ac:dyDescent="0.45">
      <c r="N707" t="s">
        <v>192</v>
      </c>
      <c r="O707" t="s">
        <v>242</v>
      </c>
      <c r="P707">
        <v>5.8447560160756432E-2</v>
      </c>
      <c r="Q707" t="s">
        <v>166</v>
      </c>
    </row>
    <row r="708" spans="14:17" x14ac:dyDescent="0.45">
      <c r="N708" t="s">
        <v>192</v>
      </c>
      <c r="O708" t="s">
        <v>243</v>
      </c>
      <c r="P708">
        <v>0.12304914813261469</v>
      </c>
      <c r="Q708" t="s">
        <v>166</v>
      </c>
    </row>
    <row r="709" spans="14:17" x14ac:dyDescent="0.45">
      <c r="N709" t="s">
        <v>192</v>
      </c>
      <c r="O709" t="s">
        <v>244</v>
      </c>
      <c r="P709">
        <v>3.9167850024947028E-2</v>
      </c>
      <c r="Q709" t="s">
        <v>166</v>
      </c>
    </row>
    <row r="710" spans="14:17" x14ac:dyDescent="0.45">
      <c r="N710" t="s">
        <v>192</v>
      </c>
      <c r="O710" t="s">
        <v>245</v>
      </c>
      <c r="P710">
        <v>1.1379957805843825E-2</v>
      </c>
      <c r="Q710" t="s">
        <v>166</v>
      </c>
    </row>
    <row r="711" spans="14:17" x14ac:dyDescent="0.45">
      <c r="N711" t="s">
        <v>192</v>
      </c>
      <c r="O711" t="s">
        <v>246</v>
      </c>
      <c r="P711">
        <v>1.1796229409596402E-2</v>
      </c>
      <c r="Q711" t="s">
        <v>166</v>
      </c>
    </row>
    <row r="712" spans="14:17" x14ac:dyDescent="0.45">
      <c r="N712" t="s">
        <v>192</v>
      </c>
      <c r="O712" t="s">
        <v>247</v>
      </c>
      <c r="P712">
        <v>1.2549029628591763E-2</v>
      </c>
      <c r="Q712" t="s">
        <v>166</v>
      </c>
    </row>
    <row r="713" spans="14:17" x14ac:dyDescent="0.45">
      <c r="N713" t="s">
        <v>192</v>
      </c>
      <c r="O713" t="s">
        <v>248</v>
      </c>
      <c r="P713">
        <v>1.9826060896658483E-2</v>
      </c>
      <c r="Q713" t="s">
        <v>166</v>
      </c>
    </row>
    <row r="714" spans="14:17" x14ac:dyDescent="0.45">
      <c r="N714" t="s">
        <v>192</v>
      </c>
      <c r="O714" t="s">
        <v>249</v>
      </c>
      <c r="P714">
        <v>4.3844368423743521E-2</v>
      </c>
      <c r="Q714" t="s">
        <v>166</v>
      </c>
    </row>
    <row r="715" spans="14:17" x14ac:dyDescent="0.45">
      <c r="N715" t="s">
        <v>192</v>
      </c>
      <c r="O715" t="s">
        <v>250</v>
      </c>
      <c r="P715">
        <v>1.4354008410800683E-2</v>
      </c>
      <c r="Q715" t="s">
        <v>166</v>
      </c>
    </row>
    <row r="716" spans="14:17" x14ac:dyDescent="0.45">
      <c r="N716" t="s">
        <v>192</v>
      </c>
      <c r="O716" t="s">
        <v>251</v>
      </c>
      <c r="P716">
        <v>3.9375240865410725E-3</v>
      </c>
      <c r="Q716" t="s">
        <v>166</v>
      </c>
    </row>
    <row r="717" spans="14:17" x14ac:dyDescent="0.45">
      <c r="N717" t="s">
        <v>192</v>
      </c>
      <c r="O717" t="s">
        <v>252</v>
      </c>
      <c r="P717">
        <v>3.9430057255554632E-3</v>
      </c>
      <c r="Q717" t="s">
        <v>166</v>
      </c>
    </row>
    <row r="718" spans="14:17" x14ac:dyDescent="0.45">
      <c r="N718" t="s">
        <v>192</v>
      </c>
      <c r="O718" t="s">
        <v>253</v>
      </c>
      <c r="P718">
        <v>4.3054725631359115E-3</v>
      </c>
      <c r="Q718" t="s">
        <v>166</v>
      </c>
    </row>
    <row r="719" spans="14:17" x14ac:dyDescent="0.45">
      <c r="N719" t="s">
        <v>192</v>
      </c>
      <c r="O719" t="s">
        <v>254</v>
      </c>
      <c r="P719">
        <v>1.8911638692640308E-2</v>
      </c>
      <c r="Q719" t="s">
        <v>166</v>
      </c>
    </row>
    <row r="720" spans="14:17" x14ac:dyDescent="0.45">
      <c r="N720" t="s">
        <v>192</v>
      </c>
      <c r="O720" t="s">
        <v>255</v>
      </c>
      <c r="P720">
        <v>3.7555079372129138E-2</v>
      </c>
      <c r="Q720" t="s">
        <v>166</v>
      </c>
    </row>
    <row r="721" spans="14:17" x14ac:dyDescent="0.45">
      <c r="N721" t="s">
        <v>192</v>
      </c>
      <c r="O721" t="s">
        <v>256</v>
      </c>
      <c r="P721">
        <v>1.6285306167634375E-2</v>
      </c>
      <c r="Q721" t="s">
        <v>166</v>
      </c>
    </row>
    <row r="722" spans="14:17" x14ac:dyDescent="0.45">
      <c r="N722" t="s">
        <v>192</v>
      </c>
      <c r="O722" t="s">
        <v>257</v>
      </c>
      <c r="P722">
        <v>4.0275638355456618E-3</v>
      </c>
      <c r="Q722" t="s">
        <v>166</v>
      </c>
    </row>
    <row r="723" spans="14:17" x14ac:dyDescent="0.45">
      <c r="N723" t="s">
        <v>192</v>
      </c>
      <c r="O723" t="s">
        <v>258</v>
      </c>
      <c r="P723">
        <v>4.0001675720432528E-3</v>
      </c>
      <c r="Q723" t="s">
        <v>166</v>
      </c>
    </row>
    <row r="724" spans="14:17" x14ac:dyDescent="0.45">
      <c r="N724" t="s">
        <v>192</v>
      </c>
      <c r="O724" t="s">
        <v>259</v>
      </c>
      <c r="P724">
        <v>4.1780683564411275E-3</v>
      </c>
      <c r="Q724" t="s">
        <v>166</v>
      </c>
    </row>
    <row r="725" spans="14:17" x14ac:dyDescent="0.45">
      <c r="N725" t="s">
        <v>192</v>
      </c>
      <c r="O725" t="s">
        <v>260</v>
      </c>
      <c r="P725">
        <v>4.8818117484959456E-2</v>
      </c>
      <c r="Q725" t="s">
        <v>166</v>
      </c>
    </row>
    <row r="726" spans="14:17" x14ac:dyDescent="0.45">
      <c r="N726" t="s">
        <v>192</v>
      </c>
      <c r="O726" t="s">
        <v>261</v>
      </c>
      <c r="P726">
        <v>0.11720603991652312</v>
      </c>
      <c r="Q726" t="s">
        <v>166</v>
      </c>
    </row>
    <row r="727" spans="14:17" x14ac:dyDescent="0.45">
      <c r="N727" t="s">
        <v>192</v>
      </c>
      <c r="O727" t="s">
        <v>262</v>
      </c>
      <c r="P727">
        <v>4.0128126616783943E-2</v>
      </c>
      <c r="Q727" t="s">
        <v>166</v>
      </c>
    </row>
    <row r="728" spans="14:17" x14ac:dyDescent="0.45">
      <c r="N728" t="s">
        <v>192</v>
      </c>
      <c r="O728" t="s">
        <v>263</v>
      </c>
      <c r="P728">
        <v>9.9720246396006931E-3</v>
      </c>
      <c r="Q728" t="s">
        <v>166</v>
      </c>
    </row>
    <row r="729" spans="14:17" x14ac:dyDescent="0.45">
      <c r="N729" t="s">
        <v>192</v>
      </c>
      <c r="O729" t="s">
        <v>264</v>
      </c>
      <c r="P729">
        <v>9.8570498380790624E-3</v>
      </c>
      <c r="Q729" t="s">
        <v>166</v>
      </c>
    </row>
    <row r="730" spans="14:17" x14ac:dyDescent="0.45">
      <c r="N730" t="s">
        <v>192</v>
      </c>
      <c r="O730" t="s">
        <v>265</v>
      </c>
      <c r="P730">
        <v>1.0364511209498582E-2</v>
      </c>
      <c r="Q730" t="s">
        <v>166</v>
      </c>
    </row>
    <row r="731" spans="14:17" x14ac:dyDescent="0.45">
      <c r="N731" t="s">
        <v>193</v>
      </c>
      <c r="O731" t="s">
        <v>165</v>
      </c>
      <c r="P731">
        <v>2.2845162524196241E-2</v>
      </c>
      <c r="Q731" t="s">
        <v>166</v>
      </c>
    </row>
    <row r="732" spans="14:17" x14ac:dyDescent="0.45">
      <c r="N732" t="s">
        <v>193</v>
      </c>
      <c r="O732" t="s">
        <v>167</v>
      </c>
      <c r="P732">
        <v>5.2778321663815457E-2</v>
      </c>
      <c r="Q732" t="s">
        <v>166</v>
      </c>
    </row>
    <row r="733" spans="14:17" x14ac:dyDescent="0.45">
      <c r="N733" t="s">
        <v>193</v>
      </c>
      <c r="O733" t="s">
        <v>168</v>
      </c>
      <c r="P733">
        <v>1.8961120853234217E-2</v>
      </c>
      <c r="Q733" t="s">
        <v>166</v>
      </c>
    </row>
    <row r="734" spans="14:17" x14ac:dyDescent="0.45">
      <c r="N734" t="s">
        <v>193</v>
      </c>
      <c r="O734" t="s">
        <v>230</v>
      </c>
      <c r="P734">
        <v>4.8010694821602829E-3</v>
      </c>
      <c r="Q734" t="s">
        <v>166</v>
      </c>
    </row>
    <row r="735" spans="14:17" x14ac:dyDescent="0.45">
      <c r="N735" t="s">
        <v>193</v>
      </c>
      <c r="O735" t="s">
        <v>231</v>
      </c>
      <c r="P735">
        <v>4.7349590440216877E-3</v>
      </c>
      <c r="Q735" t="s">
        <v>166</v>
      </c>
    </row>
    <row r="736" spans="14:17" x14ac:dyDescent="0.45">
      <c r="N736" t="s">
        <v>193</v>
      </c>
      <c r="O736" t="s">
        <v>232</v>
      </c>
      <c r="P736">
        <v>4.6679713625124748E-3</v>
      </c>
      <c r="Q736" t="s">
        <v>166</v>
      </c>
    </row>
    <row r="737" spans="14:17" x14ac:dyDescent="0.45">
      <c r="N737" t="s">
        <v>193</v>
      </c>
      <c r="O737" t="s">
        <v>169</v>
      </c>
      <c r="P737">
        <v>1.6226561612914279E-2</v>
      </c>
      <c r="Q737" t="s">
        <v>166</v>
      </c>
    </row>
    <row r="738" spans="14:17" x14ac:dyDescent="0.45">
      <c r="N738" t="s">
        <v>193</v>
      </c>
      <c r="O738" t="s">
        <v>170</v>
      </c>
      <c r="P738">
        <v>3.178375172996805E-2</v>
      </c>
      <c r="Q738" t="s">
        <v>166</v>
      </c>
    </row>
    <row r="739" spans="14:17" x14ac:dyDescent="0.45">
      <c r="N739" t="s">
        <v>193</v>
      </c>
      <c r="O739" t="s">
        <v>171</v>
      </c>
      <c r="P739">
        <v>1.2287396676512411E-2</v>
      </c>
      <c r="Q739" t="s">
        <v>166</v>
      </c>
    </row>
    <row r="740" spans="14:17" x14ac:dyDescent="0.45">
      <c r="N740" t="s">
        <v>193</v>
      </c>
      <c r="O740" t="s">
        <v>233</v>
      </c>
      <c r="P740">
        <v>3.1229985635029328E-3</v>
      </c>
      <c r="Q740" t="s">
        <v>166</v>
      </c>
    </row>
    <row r="741" spans="14:17" x14ac:dyDescent="0.45">
      <c r="N741" t="s">
        <v>193</v>
      </c>
      <c r="O741" t="s">
        <v>234</v>
      </c>
      <c r="P741">
        <v>3.1785225476783294E-3</v>
      </c>
      <c r="Q741" t="s">
        <v>166</v>
      </c>
    </row>
    <row r="742" spans="14:17" x14ac:dyDescent="0.45">
      <c r="N742" t="s">
        <v>193</v>
      </c>
      <c r="O742" t="s">
        <v>235</v>
      </c>
      <c r="P742">
        <v>3.1673665132690115E-3</v>
      </c>
      <c r="Q742" t="s">
        <v>166</v>
      </c>
    </row>
    <row r="743" spans="14:17" x14ac:dyDescent="0.45">
      <c r="N743" t="s">
        <v>193</v>
      </c>
      <c r="O743" t="s">
        <v>172</v>
      </c>
      <c r="P743">
        <v>1.9013800530593528E-2</v>
      </c>
      <c r="Q743" t="s">
        <v>166</v>
      </c>
    </row>
    <row r="744" spans="14:17" x14ac:dyDescent="0.45">
      <c r="N744" t="s">
        <v>193</v>
      </c>
      <c r="O744" t="s">
        <v>173</v>
      </c>
      <c r="P744">
        <v>3.4164326767445907E-2</v>
      </c>
      <c r="Q744" t="s">
        <v>166</v>
      </c>
    </row>
    <row r="745" spans="14:17" x14ac:dyDescent="0.45">
      <c r="N745" t="s">
        <v>193</v>
      </c>
      <c r="O745" t="s">
        <v>174</v>
      </c>
      <c r="P745">
        <v>1.6739685955557072E-2</v>
      </c>
      <c r="Q745" t="s">
        <v>166</v>
      </c>
    </row>
    <row r="746" spans="14:17" x14ac:dyDescent="0.45">
      <c r="N746" t="s">
        <v>193</v>
      </c>
      <c r="O746" t="s">
        <v>236</v>
      </c>
      <c r="P746">
        <v>4.402827454313708E-3</v>
      </c>
      <c r="Q746" t="s">
        <v>166</v>
      </c>
    </row>
    <row r="747" spans="14:17" x14ac:dyDescent="0.45">
      <c r="N747" t="s">
        <v>193</v>
      </c>
      <c r="O747" t="s">
        <v>237</v>
      </c>
      <c r="P747">
        <v>4.2718018355018192E-3</v>
      </c>
      <c r="Q747" t="s">
        <v>166</v>
      </c>
    </row>
    <row r="748" spans="14:17" x14ac:dyDescent="0.45">
      <c r="N748" t="s">
        <v>193</v>
      </c>
      <c r="O748" t="s">
        <v>238</v>
      </c>
      <c r="P748">
        <v>4.1554839927053673E-3</v>
      </c>
      <c r="Q748" t="s">
        <v>166</v>
      </c>
    </row>
    <row r="749" spans="14:17" x14ac:dyDescent="0.45">
      <c r="N749" t="s">
        <v>193</v>
      </c>
      <c r="O749" t="s">
        <v>175</v>
      </c>
      <c r="P749">
        <v>1.9776541655574298E-2</v>
      </c>
      <c r="Q749" t="s">
        <v>166</v>
      </c>
    </row>
    <row r="750" spans="14:17" x14ac:dyDescent="0.45">
      <c r="N750" t="s">
        <v>193</v>
      </c>
      <c r="O750" t="s">
        <v>176</v>
      </c>
      <c r="P750">
        <v>3.7508006422755771E-2</v>
      </c>
      <c r="Q750" t="s">
        <v>166</v>
      </c>
    </row>
    <row r="751" spans="14:17" x14ac:dyDescent="0.45">
      <c r="N751" t="s">
        <v>193</v>
      </c>
      <c r="O751" t="s">
        <v>177</v>
      </c>
      <c r="P751">
        <v>1.3638348369605027E-2</v>
      </c>
      <c r="Q751" t="s">
        <v>166</v>
      </c>
    </row>
    <row r="752" spans="14:17" x14ac:dyDescent="0.45">
      <c r="N752" t="s">
        <v>193</v>
      </c>
      <c r="O752" t="s">
        <v>239</v>
      </c>
      <c r="P752">
        <v>3.9612750019526466E-3</v>
      </c>
      <c r="Q752" t="s">
        <v>166</v>
      </c>
    </row>
    <row r="753" spans="14:17" x14ac:dyDescent="0.45">
      <c r="N753" t="s">
        <v>193</v>
      </c>
      <c r="O753" t="s">
        <v>240</v>
      </c>
      <c r="P753">
        <v>3.9905098376380732E-3</v>
      </c>
      <c r="Q753" t="s">
        <v>166</v>
      </c>
    </row>
    <row r="754" spans="14:17" x14ac:dyDescent="0.45">
      <c r="N754" t="s">
        <v>193</v>
      </c>
      <c r="O754" t="s">
        <v>241</v>
      </c>
      <c r="P754">
        <v>3.9535509241641004E-3</v>
      </c>
      <c r="Q754" t="s">
        <v>166</v>
      </c>
    </row>
    <row r="755" spans="14:17" x14ac:dyDescent="0.45">
      <c r="N755" t="s">
        <v>193</v>
      </c>
      <c r="O755" t="s">
        <v>242</v>
      </c>
      <c r="P755">
        <v>5.2550036889044256E-2</v>
      </c>
      <c r="Q755" t="s">
        <v>166</v>
      </c>
    </row>
    <row r="756" spans="14:17" x14ac:dyDescent="0.45">
      <c r="N756" t="s">
        <v>193</v>
      </c>
      <c r="O756" t="s">
        <v>243</v>
      </c>
      <c r="P756">
        <v>0.10384370404646374</v>
      </c>
      <c r="Q756" t="s">
        <v>166</v>
      </c>
    </row>
    <row r="757" spans="14:17" x14ac:dyDescent="0.45">
      <c r="N757" t="s">
        <v>193</v>
      </c>
      <c r="O757" t="s">
        <v>244</v>
      </c>
      <c r="P757">
        <v>3.7585402128386534E-2</v>
      </c>
      <c r="Q757" t="s">
        <v>166</v>
      </c>
    </row>
    <row r="758" spans="14:17" x14ac:dyDescent="0.45">
      <c r="N758" t="s">
        <v>193</v>
      </c>
      <c r="O758" t="s">
        <v>245</v>
      </c>
      <c r="P758">
        <v>1.0517111959556402E-2</v>
      </c>
      <c r="Q758" t="s">
        <v>166</v>
      </c>
    </row>
    <row r="759" spans="14:17" x14ac:dyDescent="0.45">
      <c r="N759" t="s">
        <v>193</v>
      </c>
      <c r="O759" t="s">
        <v>246</v>
      </c>
      <c r="P759">
        <v>1.1199097173861453E-2</v>
      </c>
      <c r="Q759" t="s">
        <v>166</v>
      </c>
    </row>
    <row r="760" spans="14:17" x14ac:dyDescent="0.45">
      <c r="N760" t="s">
        <v>193</v>
      </c>
      <c r="O760" t="s">
        <v>247</v>
      </c>
      <c r="P760">
        <v>1.1417183013790381E-2</v>
      </c>
      <c r="Q760" t="s">
        <v>166</v>
      </c>
    </row>
    <row r="761" spans="14:17" x14ac:dyDescent="0.45">
      <c r="N761" t="s">
        <v>193</v>
      </c>
      <c r="O761" t="s">
        <v>248</v>
      </c>
      <c r="P761">
        <v>1.7217155469854657E-2</v>
      </c>
      <c r="Q761" t="s">
        <v>166</v>
      </c>
    </row>
    <row r="762" spans="14:17" x14ac:dyDescent="0.45">
      <c r="N762" t="s">
        <v>193</v>
      </c>
      <c r="O762" t="s">
        <v>249</v>
      </c>
      <c r="P762">
        <v>3.8903006036989235E-2</v>
      </c>
      <c r="Q762" t="s">
        <v>166</v>
      </c>
    </row>
    <row r="763" spans="14:17" x14ac:dyDescent="0.45">
      <c r="N763" t="s">
        <v>193</v>
      </c>
      <c r="O763" t="s">
        <v>250</v>
      </c>
      <c r="P763">
        <v>1.2664159761178616E-2</v>
      </c>
      <c r="Q763" t="s">
        <v>166</v>
      </c>
    </row>
    <row r="764" spans="14:17" x14ac:dyDescent="0.45">
      <c r="N764" t="s">
        <v>193</v>
      </c>
      <c r="O764" t="s">
        <v>251</v>
      </c>
      <c r="P764">
        <v>3.6885197483498377E-3</v>
      </c>
      <c r="Q764" t="s">
        <v>166</v>
      </c>
    </row>
    <row r="765" spans="14:17" x14ac:dyDescent="0.45">
      <c r="N765" t="s">
        <v>193</v>
      </c>
      <c r="O765" t="s">
        <v>252</v>
      </c>
      <c r="P765">
        <v>3.6804837710953391E-3</v>
      </c>
      <c r="Q765" t="s">
        <v>166</v>
      </c>
    </row>
    <row r="766" spans="14:17" x14ac:dyDescent="0.45">
      <c r="N766" t="s">
        <v>193</v>
      </c>
      <c r="O766" t="s">
        <v>253</v>
      </c>
      <c r="P766">
        <v>3.5641639489039237E-3</v>
      </c>
      <c r="Q766" t="s">
        <v>166</v>
      </c>
    </row>
    <row r="767" spans="14:17" x14ac:dyDescent="0.45">
      <c r="N767" t="s">
        <v>193</v>
      </c>
      <c r="O767" t="s">
        <v>254</v>
      </c>
      <c r="P767">
        <v>2.2657930913218941E-2</v>
      </c>
      <c r="Q767" t="s">
        <v>166</v>
      </c>
    </row>
    <row r="768" spans="14:17" x14ac:dyDescent="0.45">
      <c r="N768" t="s">
        <v>193</v>
      </c>
      <c r="O768" t="s">
        <v>255</v>
      </c>
      <c r="P768">
        <v>4.9073236652131154E-2</v>
      </c>
      <c r="Q768" t="s">
        <v>166</v>
      </c>
    </row>
    <row r="769" spans="14:17" x14ac:dyDescent="0.45">
      <c r="N769" t="s">
        <v>193</v>
      </c>
      <c r="O769" t="s">
        <v>256</v>
      </c>
      <c r="P769">
        <v>1.786514234866032E-2</v>
      </c>
      <c r="Q769" t="s">
        <v>166</v>
      </c>
    </row>
    <row r="770" spans="14:17" x14ac:dyDescent="0.45">
      <c r="N770" t="s">
        <v>193</v>
      </c>
      <c r="O770" t="s">
        <v>257</v>
      </c>
      <c r="P770">
        <v>4.2727992753122807E-3</v>
      </c>
      <c r="Q770" t="s">
        <v>166</v>
      </c>
    </row>
    <row r="771" spans="14:17" x14ac:dyDescent="0.45">
      <c r="N771" t="s">
        <v>193</v>
      </c>
      <c r="O771" t="s">
        <v>258</v>
      </c>
      <c r="P771">
        <v>4.2723475210162121E-3</v>
      </c>
      <c r="Q771" t="s">
        <v>166</v>
      </c>
    </row>
    <row r="772" spans="14:17" x14ac:dyDescent="0.45">
      <c r="N772" t="s">
        <v>193</v>
      </c>
      <c r="O772" t="s">
        <v>259</v>
      </c>
      <c r="P772">
        <v>4.2910272203839587E-3</v>
      </c>
      <c r="Q772" t="s">
        <v>166</v>
      </c>
    </row>
    <row r="773" spans="14:17" x14ac:dyDescent="0.45">
      <c r="N773" t="s">
        <v>193</v>
      </c>
      <c r="O773" t="s">
        <v>260</v>
      </c>
      <c r="P773">
        <v>5.2068278094895795E-2</v>
      </c>
      <c r="Q773" t="s">
        <v>166</v>
      </c>
    </row>
    <row r="774" spans="14:17" x14ac:dyDescent="0.45">
      <c r="N774" t="s">
        <v>193</v>
      </c>
      <c r="O774" t="s">
        <v>261</v>
      </c>
      <c r="P774">
        <v>0.12233893250707506</v>
      </c>
      <c r="Q774" t="s">
        <v>166</v>
      </c>
    </row>
    <row r="775" spans="14:17" x14ac:dyDescent="0.45">
      <c r="N775" t="s">
        <v>193</v>
      </c>
      <c r="O775" t="s">
        <v>262</v>
      </c>
      <c r="P775">
        <v>4.0815424929945401E-2</v>
      </c>
      <c r="Q775" t="s">
        <v>166</v>
      </c>
    </row>
    <row r="776" spans="14:17" x14ac:dyDescent="0.45">
      <c r="N776" t="s">
        <v>193</v>
      </c>
      <c r="O776" t="s">
        <v>263</v>
      </c>
      <c r="P776">
        <v>1.0340574343373831E-2</v>
      </c>
      <c r="Q776" t="s">
        <v>166</v>
      </c>
    </row>
    <row r="777" spans="14:17" x14ac:dyDescent="0.45">
      <c r="N777" t="s">
        <v>193</v>
      </c>
      <c r="O777" t="s">
        <v>264</v>
      </c>
      <c r="P777">
        <v>1.0441190492821283E-2</v>
      </c>
      <c r="Q777" t="s">
        <v>166</v>
      </c>
    </row>
    <row r="778" spans="14:17" x14ac:dyDescent="0.45">
      <c r="N778" t="s">
        <v>193</v>
      </c>
      <c r="O778" t="s">
        <v>265</v>
      </c>
      <c r="P778">
        <v>1.0601730432098928E-2</v>
      </c>
      <c r="Q778" t="s">
        <v>166</v>
      </c>
    </row>
    <row r="779" spans="14:17" x14ac:dyDescent="0.45">
      <c r="N779" t="s">
        <v>194</v>
      </c>
      <c r="O779" t="s">
        <v>165</v>
      </c>
      <c r="P779">
        <v>2.3901725163947316E-2</v>
      </c>
      <c r="Q779" t="s">
        <v>166</v>
      </c>
    </row>
    <row r="780" spans="14:17" x14ac:dyDescent="0.45">
      <c r="N780" t="s">
        <v>194</v>
      </c>
      <c r="O780" t="s">
        <v>167</v>
      </c>
      <c r="P780">
        <v>5.0996295605219281E-2</v>
      </c>
      <c r="Q780" t="s">
        <v>166</v>
      </c>
    </row>
    <row r="781" spans="14:17" x14ac:dyDescent="0.45">
      <c r="N781" t="s">
        <v>194</v>
      </c>
      <c r="O781" t="s">
        <v>168</v>
      </c>
      <c r="P781">
        <v>1.9380627441568682E-2</v>
      </c>
      <c r="Q781" t="s">
        <v>166</v>
      </c>
    </row>
    <row r="782" spans="14:17" x14ac:dyDescent="0.45">
      <c r="N782" t="s">
        <v>194</v>
      </c>
      <c r="O782" t="s">
        <v>230</v>
      </c>
      <c r="P782">
        <v>5.030695968895757E-3</v>
      </c>
      <c r="Q782" t="s">
        <v>166</v>
      </c>
    </row>
    <row r="783" spans="14:17" x14ac:dyDescent="0.45">
      <c r="N783" t="s">
        <v>194</v>
      </c>
      <c r="O783" t="s">
        <v>231</v>
      </c>
      <c r="P783">
        <v>5.0524498068457791E-3</v>
      </c>
      <c r="Q783" t="s">
        <v>166</v>
      </c>
    </row>
    <row r="784" spans="14:17" x14ac:dyDescent="0.45">
      <c r="N784" t="s">
        <v>194</v>
      </c>
      <c r="O784" t="s">
        <v>232</v>
      </c>
      <c r="P784">
        <v>5.0368521441427824E-3</v>
      </c>
      <c r="Q784" t="s">
        <v>166</v>
      </c>
    </row>
    <row r="785" spans="14:17" x14ac:dyDescent="0.45">
      <c r="N785" t="s">
        <v>194</v>
      </c>
      <c r="O785" t="s">
        <v>169</v>
      </c>
      <c r="P785">
        <v>1.5273783336362215E-2</v>
      </c>
      <c r="Q785" t="s">
        <v>166</v>
      </c>
    </row>
    <row r="786" spans="14:17" x14ac:dyDescent="0.45">
      <c r="N786" t="s">
        <v>194</v>
      </c>
      <c r="O786" t="s">
        <v>170</v>
      </c>
      <c r="P786">
        <v>3.377853745999973E-2</v>
      </c>
      <c r="Q786" t="s">
        <v>166</v>
      </c>
    </row>
    <row r="787" spans="14:17" x14ac:dyDescent="0.45">
      <c r="N787" t="s">
        <v>194</v>
      </c>
      <c r="O787" t="s">
        <v>171</v>
      </c>
      <c r="P787">
        <v>1.2061292184097966E-2</v>
      </c>
      <c r="Q787" t="s">
        <v>166</v>
      </c>
    </row>
    <row r="788" spans="14:17" x14ac:dyDescent="0.45">
      <c r="N788" t="s">
        <v>194</v>
      </c>
      <c r="O788" t="s">
        <v>233</v>
      </c>
      <c r="P788">
        <v>2.9999875449644216E-3</v>
      </c>
      <c r="Q788" t="s">
        <v>166</v>
      </c>
    </row>
    <row r="789" spans="14:17" x14ac:dyDescent="0.45">
      <c r="N789" t="s">
        <v>194</v>
      </c>
      <c r="O789" t="s">
        <v>234</v>
      </c>
      <c r="P789">
        <v>2.9215018436552337E-3</v>
      </c>
      <c r="Q789" t="s">
        <v>166</v>
      </c>
    </row>
    <row r="790" spans="14:17" x14ac:dyDescent="0.45">
      <c r="N790" t="s">
        <v>194</v>
      </c>
      <c r="O790" t="s">
        <v>235</v>
      </c>
      <c r="P790">
        <v>2.8470715774121728E-3</v>
      </c>
      <c r="Q790" t="s">
        <v>166</v>
      </c>
    </row>
    <row r="791" spans="14:17" x14ac:dyDescent="0.45">
      <c r="N791" t="s">
        <v>194</v>
      </c>
      <c r="O791" t="s">
        <v>172</v>
      </c>
      <c r="P791">
        <v>1.7492717857582916E-2</v>
      </c>
      <c r="Q791" t="s">
        <v>166</v>
      </c>
    </row>
    <row r="792" spans="14:17" x14ac:dyDescent="0.45">
      <c r="N792" t="s">
        <v>194</v>
      </c>
      <c r="O792" t="s">
        <v>173</v>
      </c>
      <c r="P792">
        <v>3.8475633352267891E-2</v>
      </c>
      <c r="Q792" t="s">
        <v>166</v>
      </c>
    </row>
    <row r="793" spans="14:17" x14ac:dyDescent="0.45">
      <c r="N793" t="s">
        <v>194</v>
      </c>
      <c r="O793" t="s">
        <v>174</v>
      </c>
      <c r="P793">
        <v>1.7008126718567353E-2</v>
      </c>
      <c r="Q793" t="s">
        <v>166</v>
      </c>
    </row>
    <row r="794" spans="14:17" x14ac:dyDescent="0.45">
      <c r="N794" t="s">
        <v>194</v>
      </c>
      <c r="O794" t="s">
        <v>236</v>
      </c>
      <c r="P794">
        <v>4.2887861079483006E-3</v>
      </c>
      <c r="Q794" t="s">
        <v>166</v>
      </c>
    </row>
    <row r="795" spans="14:17" x14ac:dyDescent="0.45">
      <c r="N795" t="s">
        <v>194</v>
      </c>
      <c r="O795" t="s">
        <v>237</v>
      </c>
      <c r="P795">
        <v>4.0467468882285206E-3</v>
      </c>
      <c r="Q795" t="s">
        <v>166</v>
      </c>
    </row>
    <row r="796" spans="14:17" x14ac:dyDescent="0.45">
      <c r="N796" t="s">
        <v>194</v>
      </c>
      <c r="O796" t="s">
        <v>238</v>
      </c>
      <c r="P796">
        <v>3.8404357607945546E-3</v>
      </c>
      <c r="Q796" t="s">
        <v>166</v>
      </c>
    </row>
    <row r="797" spans="14:17" x14ac:dyDescent="0.45">
      <c r="N797" t="s">
        <v>194</v>
      </c>
      <c r="O797" t="s">
        <v>175</v>
      </c>
      <c r="P797">
        <v>1.7811158895774563E-2</v>
      </c>
      <c r="Q797" t="s">
        <v>166</v>
      </c>
    </row>
    <row r="798" spans="14:17" x14ac:dyDescent="0.45">
      <c r="N798" t="s">
        <v>194</v>
      </c>
      <c r="O798" t="s">
        <v>176</v>
      </c>
      <c r="P798">
        <v>3.7465745007581715E-2</v>
      </c>
      <c r="Q798" t="s">
        <v>166</v>
      </c>
    </row>
    <row r="799" spans="14:17" x14ac:dyDescent="0.45">
      <c r="N799" t="s">
        <v>194</v>
      </c>
      <c r="O799" t="s">
        <v>177</v>
      </c>
      <c r="P799">
        <v>1.2148286866193465E-2</v>
      </c>
      <c r="Q799" t="s">
        <v>166</v>
      </c>
    </row>
    <row r="800" spans="14:17" x14ac:dyDescent="0.45">
      <c r="N800" t="s">
        <v>194</v>
      </c>
      <c r="O800" t="s">
        <v>239</v>
      </c>
      <c r="P800">
        <v>3.5199179263080507E-3</v>
      </c>
      <c r="Q800" t="s">
        <v>166</v>
      </c>
    </row>
    <row r="801" spans="14:17" x14ac:dyDescent="0.45">
      <c r="N801" t="s">
        <v>194</v>
      </c>
      <c r="O801" t="s">
        <v>240</v>
      </c>
      <c r="P801">
        <v>3.4022865358649666E-3</v>
      </c>
      <c r="Q801" t="s">
        <v>166</v>
      </c>
    </row>
    <row r="802" spans="14:17" x14ac:dyDescent="0.45">
      <c r="N802" t="s">
        <v>194</v>
      </c>
      <c r="O802" t="s">
        <v>241</v>
      </c>
      <c r="P802">
        <v>3.2663030943727209E-3</v>
      </c>
      <c r="Q802" t="s">
        <v>166</v>
      </c>
    </row>
    <row r="803" spans="14:17" x14ac:dyDescent="0.45">
      <c r="N803" t="s">
        <v>194</v>
      </c>
      <c r="O803" t="s">
        <v>242</v>
      </c>
      <c r="P803">
        <v>5.6563685389241648E-2</v>
      </c>
      <c r="Q803" t="s">
        <v>166</v>
      </c>
    </row>
    <row r="804" spans="14:17" x14ac:dyDescent="0.45">
      <c r="N804" t="s">
        <v>194</v>
      </c>
      <c r="O804" t="s">
        <v>243</v>
      </c>
      <c r="P804">
        <v>0.11647025909003937</v>
      </c>
      <c r="Q804" t="s">
        <v>166</v>
      </c>
    </row>
    <row r="805" spans="14:17" x14ac:dyDescent="0.45">
      <c r="N805" t="s">
        <v>194</v>
      </c>
      <c r="O805" t="s">
        <v>244</v>
      </c>
      <c r="P805">
        <v>4.0956800989338245E-2</v>
      </c>
      <c r="Q805" t="s">
        <v>166</v>
      </c>
    </row>
    <row r="806" spans="14:17" x14ac:dyDescent="0.45">
      <c r="N806" t="s">
        <v>194</v>
      </c>
      <c r="O806" t="s">
        <v>245</v>
      </c>
      <c r="P806">
        <v>1.1369169854956852E-2</v>
      </c>
      <c r="Q806" t="s">
        <v>166</v>
      </c>
    </row>
    <row r="807" spans="14:17" x14ac:dyDescent="0.45">
      <c r="N807" t="s">
        <v>194</v>
      </c>
      <c r="O807" t="s">
        <v>246</v>
      </c>
      <c r="P807">
        <v>1.206859523726273E-2</v>
      </c>
      <c r="Q807" t="s">
        <v>166</v>
      </c>
    </row>
    <row r="808" spans="14:17" x14ac:dyDescent="0.45">
      <c r="N808" t="s">
        <v>194</v>
      </c>
      <c r="O808" t="s">
        <v>247</v>
      </c>
      <c r="P808">
        <v>1.2226131311705562E-2</v>
      </c>
      <c r="Q808" t="s">
        <v>166</v>
      </c>
    </row>
    <row r="809" spans="14:17" x14ac:dyDescent="0.45">
      <c r="N809" t="s">
        <v>194</v>
      </c>
      <c r="O809" t="s">
        <v>248</v>
      </c>
      <c r="P809">
        <v>1.856457964453084E-2</v>
      </c>
      <c r="Q809" t="s">
        <v>166</v>
      </c>
    </row>
    <row r="810" spans="14:17" x14ac:dyDescent="0.45">
      <c r="N810" t="s">
        <v>194</v>
      </c>
      <c r="O810" t="s">
        <v>249</v>
      </c>
      <c r="P810">
        <v>4.1278691443244676E-2</v>
      </c>
      <c r="Q810" t="s">
        <v>166</v>
      </c>
    </row>
    <row r="811" spans="14:17" x14ac:dyDescent="0.45">
      <c r="N811" t="s">
        <v>194</v>
      </c>
      <c r="O811" t="s">
        <v>250</v>
      </c>
      <c r="P811">
        <v>1.3324947092966864E-2</v>
      </c>
      <c r="Q811" t="s">
        <v>166</v>
      </c>
    </row>
    <row r="812" spans="14:17" x14ac:dyDescent="0.45">
      <c r="N812" t="s">
        <v>194</v>
      </c>
      <c r="O812" t="s">
        <v>251</v>
      </c>
      <c r="P812">
        <v>3.8193240840860739E-3</v>
      </c>
      <c r="Q812" t="s">
        <v>166</v>
      </c>
    </row>
    <row r="813" spans="14:17" x14ac:dyDescent="0.45">
      <c r="N813" t="s">
        <v>194</v>
      </c>
      <c r="O813" t="s">
        <v>252</v>
      </c>
      <c r="P813">
        <v>3.750876584434292E-3</v>
      </c>
      <c r="Q813" t="s">
        <v>166</v>
      </c>
    </row>
    <row r="814" spans="14:17" x14ac:dyDescent="0.45">
      <c r="N814" t="s">
        <v>194</v>
      </c>
      <c r="O814" t="s">
        <v>253</v>
      </c>
      <c r="P814">
        <v>3.7127064777580203E-3</v>
      </c>
      <c r="Q814" t="s">
        <v>166</v>
      </c>
    </row>
    <row r="815" spans="14:17" x14ac:dyDescent="0.45">
      <c r="N815" t="s">
        <v>194</v>
      </c>
      <c r="O815" t="s">
        <v>254</v>
      </c>
      <c r="P815">
        <v>2.0370669757715985E-2</v>
      </c>
      <c r="Q815" t="s">
        <v>166</v>
      </c>
    </row>
    <row r="816" spans="14:17" x14ac:dyDescent="0.45">
      <c r="N816" t="s">
        <v>194</v>
      </c>
      <c r="O816" t="s">
        <v>255</v>
      </c>
      <c r="P816">
        <v>4.6738580747725904E-2</v>
      </c>
      <c r="Q816" t="s">
        <v>166</v>
      </c>
    </row>
    <row r="817" spans="14:17" x14ac:dyDescent="0.45">
      <c r="N817" t="s">
        <v>194</v>
      </c>
      <c r="O817" t="s">
        <v>256</v>
      </c>
      <c r="P817">
        <v>1.7416542292242983E-2</v>
      </c>
      <c r="Q817" t="s">
        <v>166</v>
      </c>
    </row>
    <row r="818" spans="14:17" x14ac:dyDescent="0.45">
      <c r="N818" t="s">
        <v>194</v>
      </c>
      <c r="O818" t="s">
        <v>257</v>
      </c>
      <c r="P818">
        <v>4.3890982306523654E-3</v>
      </c>
      <c r="Q818" t="s">
        <v>166</v>
      </c>
    </row>
    <row r="819" spans="14:17" x14ac:dyDescent="0.45">
      <c r="N819" t="s">
        <v>194</v>
      </c>
      <c r="O819" t="s">
        <v>258</v>
      </c>
      <c r="P819">
        <v>4.3563791643146266E-3</v>
      </c>
      <c r="Q819" t="s">
        <v>166</v>
      </c>
    </row>
    <row r="820" spans="14:17" x14ac:dyDescent="0.45">
      <c r="N820" t="s">
        <v>194</v>
      </c>
      <c r="O820" t="s">
        <v>259</v>
      </c>
      <c r="P820">
        <v>4.2573783532814501E-3</v>
      </c>
      <c r="Q820" t="s">
        <v>166</v>
      </c>
    </row>
    <row r="821" spans="14:17" x14ac:dyDescent="0.45">
      <c r="N821" t="s">
        <v>194</v>
      </c>
      <c r="O821" t="s">
        <v>260</v>
      </c>
      <c r="P821">
        <v>4.6532435157463352E-2</v>
      </c>
      <c r="Q821" t="s">
        <v>166</v>
      </c>
    </row>
    <row r="822" spans="14:17" x14ac:dyDescent="0.45">
      <c r="N822" t="s">
        <v>194</v>
      </c>
      <c r="O822" t="s">
        <v>261</v>
      </c>
      <c r="P822">
        <v>0.11066550328624286</v>
      </c>
      <c r="Q822" t="s">
        <v>166</v>
      </c>
    </row>
    <row r="823" spans="14:17" x14ac:dyDescent="0.45">
      <c r="N823" t="s">
        <v>194</v>
      </c>
      <c r="O823" t="s">
        <v>262</v>
      </c>
      <c r="P823">
        <v>3.9206756713874788E-2</v>
      </c>
      <c r="Q823" t="s">
        <v>166</v>
      </c>
    </row>
    <row r="824" spans="14:17" x14ac:dyDescent="0.45">
      <c r="N824" t="s">
        <v>194</v>
      </c>
      <c r="O824" t="s">
        <v>263</v>
      </c>
      <c r="P824">
        <v>1.0044403024308396E-2</v>
      </c>
      <c r="Q824" t="s">
        <v>166</v>
      </c>
    </row>
    <row r="825" spans="14:17" x14ac:dyDescent="0.45">
      <c r="N825" t="s">
        <v>194</v>
      </c>
      <c r="O825" t="s">
        <v>264</v>
      </c>
      <c r="P825">
        <v>9.9838448883361342E-3</v>
      </c>
      <c r="Q825" t="s">
        <v>166</v>
      </c>
    </row>
    <row r="826" spans="14:17" x14ac:dyDescent="0.45">
      <c r="N826" t="s">
        <v>194</v>
      </c>
      <c r="O826" t="s">
        <v>265</v>
      </c>
      <c r="P826">
        <v>9.8856760956832317E-3</v>
      </c>
      <c r="Q826" t="s">
        <v>166</v>
      </c>
    </row>
    <row r="827" spans="14:17" x14ac:dyDescent="0.45">
      <c r="N827" t="s">
        <v>195</v>
      </c>
      <c r="O827" t="s">
        <v>165</v>
      </c>
      <c r="P827">
        <v>2.1255304344234335E-2</v>
      </c>
      <c r="Q827" t="s">
        <v>166</v>
      </c>
    </row>
    <row r="828" spans="14:17" x14ac:dyDescent="0.45">
      <c r="N828" t="s">
        <v>195</v>
      </c>
      <c r="O828" t="s">
        <v>167</v>
      </c>
      <c r="P828">
        <v>4.6986737376919885E-2</v>
      </c>
      <c r="Q828" t="s">
        <v>166</v>
      </c>
    </row>
    <row r="829" spans="14:17" x14ac:dyDescent="0.45">
      <c r="N829" t="s">
        <v>195</v>
      </c>
      <c r="O829" t="s">
        <v>168</v>
      </c>
      <c r="P829">
        <v>1.7591471833200596E-2</v>
      </c>
      <c r="Q829" t="s">
        <v>166</v>
      </c>
    </row>
    <row r="830" spans="14:17" x14ac:dyDescent="0.45">
      <c r="N830" t="s">
        <v>195</v>
      </c>
      <c r="O830" t="s">
        <v>230</v>
      </c>
      <c r="P830">
        <v>4.4298812677455264E-3</v>
      </c>
      <c r="Q830" t="s">
        <v>166</v>
      </c>
    </row>
    <row r="831" spans="14:17" x14ac:dyDescent="0.45">
      <c r="N831" t="s">
        <v>195</v>
      </c>
      <c r="O831" t="s">
        <v>231</v>
      </c>
      <c r="P831">
        <v>4.4200055266858315E-3</v>
      </c>
      <c r="Q831" t="s">
        <v>166</v>
      </c>
    </row>
    <row r="832" spans="14:17" x14ac:dyDescent="0.45">
      <c r="N832" t="s">
        <v>195</v>
      </c>
      <c r="O832" t="s">
        <v>232</v>
      </c>
      <c r="P832">
        <v>4.4191582877780577E-3</v>
      </c>
      <c r="Q832" t="s">
        <v>166</v>
      </c>
    </row>
    <row r="833" spans="14:17" x14ac:dyDescent="0.45">
      <c r="N833" t="s">
        <v>195</v>
      </c>
      <c r="O833" t="s">
        <v>169</v>
      </c>
      <c r="P833">
        <v>1.6838598643907281E-2</v>
      </c>
      <c r="Q833" t="s">
        <v>166</v>
      </c>
    </row>
    <row r="834" spans="14:17" x14ac:dyDescent="0.45">
      <c r="N834" t="s">
        <v>195</v>
      </c>
      <c r="O834" t="s">
        <v>170</v>
      </c>
      <c r="P834">
        <v>3.2563776479857309E-2</v>
      </c>
      <c r="Q834" t="s">
        <v>166</v>
      </c>
    </row>
    <row r="835" spans="14:17" x14ac:dyDescent="0.45">
      <c r="N835" t="s">
        <v>195</v>
      </c>
      <c r="O835" t="s">
        <v>171</v>
      </c>
      <c r="P835">
        <v>1.3024206811743712E-2</v>
      </c>
      <c r="Q835" t="s">
        <v>166</v>
      </c>
    </row>
    <row r="836" spans="14:17" x14ac:dyDescent="0.45">
      <c r="N836" t="s">
        <v>195</v>
      </c>
      <c r="O836" t="s">
        <v>233</v>
      </c>
      <c r="P836">
        <v>3.3498869120212123E-3</v>
      </c>
      <c r="Q836" t="s">
        <v>166</v>
      </c>
    </row>
    <row r="837" spans="14:17" x14ac:dyDescent="0.45">
      <c r="N837" t="s">
        <v>195</v>
      </c>
      <c r="O837" t="s">
        <v>234</v>
      </c>
      <c r="P837">
        <v>3.3178271734660121E-3</v>
      </c>
      <c r="Q837" t="s">
        <v>166</v>
      </c>
    </row>
    <row r="838" spans="14:17" x14ac:dyDescent="0.45">
      <c r="N838" t="s">
        <v>195</v>
      </c>
      <c r="O838" t="s">
        <v>235</v>
      </c>
      <c r="P838">
        <v>3.2640493148653146E-3</v>
      </c>
      <c r="Q838" t="s">
        <v>166</v>
      </c>
    </row>
    <row r="839" spans="14:17" x14ac:dyDescent="0.45">
      <c r="N839" t="s">
        <v>195</v>
      </c>
      <c r="O839" t="s">
        <v>172</v>
      </c>
      <c r="P839">
        <v>1.9150333582915041E-2</v>
      </c>
      <c r="Q839" t="s">
        <v>166</v>
      </c>
    </row>
    <row r="840" spans="14:17" x14ac:dyDescent="0.45">
      <c r="N840" t="s">
        <v>195</v>
      </c>
      <c r="O840" t="s">
        <v>173</v>
      </c>
      <c r="P840">
        <v>3.8356526646638876E-2</v>
      </c>
      <c r="Q840" t="s">
        <v>166</v>
      </c>
    </row>
    <row r="841" spans="14:17" x14ac:dyDescent="0.45">
      <c r="N841" t="s">
        <v>195</v>
      </c>
      <c r="O841" t="s">
        <v>174</v>
      </c>
      <c r="P841">
        <v>1.7856794473787671E-2</v>
      </c>
      <c r="Q841" t="s">
        <v>166</v>
      </c>
    </row>
    <row r="842" spans="14:17" x14ac:dyDescent="0.45">
      <c r="N842" t="s">
        <v>195</v>
      </c>
      <c r="O842" t="s">
        <v>236</v>
      </c>
      <c r="P842">
        <v>4.5071996241873181E-3</v>
      </c>
      <c r="Q842" t="s">
        <v>166</v>
      </c>
    </row>
    <row r="843" spans="14:17" x14ac:dyDescent="0.45">
      <c r="N843" t="s">
        <v>195</v>
      </c>
      <c r="O843" t="s">
        <v>237</v>
      </c>
      <c r="P843">
        <v>4.2238869504036391E-3</v>
      </c>
      <c r="Q843" t="s">
        <v>166</v>
      </c>
    </row>
    <row r="844" spans="14:17" x14ac:dyDescent="0.45">
      <c r="N844" t="s">
        <v>195</v>
      </c>
      <c r="O844" t="s">
        <v>238</v>
      </c>
      <c r="P844">
        <v>4.0171228245829945E-3</v>
      </c>
      <c r="Q844" t="s">
        <v>166</v>
      </c>
    </row>
    <row r="845" spans="14:17" x14ac:dyDescent="0.45">
      <c r="N845" t="s">
        <v>195</v>
      </c>
      <c r="O845" t="s">
        <v>175</v>
      </c>
      <c r="P845">
        <v>1.8967121425788411E-2</v>
      </c>
      <c r="Q845" t="s">
        <v>166</v>
      </c>
    </row>
    <row r="846" spans="14:17" x14ac:dyDescent="0.45">
      <c r="N846" t="s">
        <v>195</v>
      </c>
      <c r="O846" t="s">
        <v>176</v>
      </c>
      <c r="P846">
        <v>3.5342050220015929E-2</v>
      </c>
      <c r="Q846" t="s">
        <v>166</v>
      </c>
    </row>
    <row r="847" spans="14:17" x14ac:dyDescent="0.45">
      <c r="N847" t="s">
        <v>195</v>
      </c>
      <c r="O847" t="s">
        <v>177</v>
      </c>
      <c r="P847">
        <v>1.3119271266986612E-2</v>
      </c>
      <c r="Q847" t="s">
        <v>166</v>
      </c>
    </row>
    <row r="848" spans="14:17" x14ac:dyDescent="0.45">
      <c r="N848" t="s">
        <v>195</v>
      </c>
      <c r="O848" t="s">
        <v>239</v>
      </c>
      <c r="P848">
        <v>3.7715907968305811E-3</v>
      </c>
      <c r="Q848" t="s">
        <v>166</v>
      </c>
    </row>
    <row r="849" spans="14:17" x14ac:dyDescent="0.45">
      <c r="N849" t="s">
        <v>195</v>
      </c>
      <c r="O849" t="s">
        <v>240</v>
      </c>
      <c r="P849">
        <v>3.7017330728058824E-3</v>
      </c>
      <c r="Q849" t="s">
        <v>166</v>
      </c>
    </row>
    <row r="850" spans="14:17" x14ac:dyDescent="0.45">
      <c r="N850" t="s">
        <v>195</v>
      </c>
      <c r="O850" t="s">
        <v>241</v>
      </c>
      <c r="P850">
        <v>3.6124658615269627E-3</v>
      </c>
      <c r="Q850" t="s">
        <v>166</v>
      </c>
    </row>
    <row r="851" spans="14:17" x14ac:dyDescent="0.45">
      <c r="N851" t="s">
        <v>195</v>
      </c>
      <c r="O851" t="s">
        <v>242</v>
      </c>
      <c r="P851">
        <v>5.9369430364173539E-2</v>
      </c>
      <c r="Q851" t="s">
        <v>166</v>
      </c>
    </row>
    <row r="852" spans="14:17" x14ac:dyDescent="0.45">
      <c r="N852" t="s">
        <v>195</v>
      </c>
      <c r="O852" t="s">
        <v>243</v>
      </c>
      <c r="P852">
        <v>0.11902632113955365</v>
      </c>
      <c r="Q852" t="s">
        <v>166</v>
      </c>
    </row>
    <row r="853" spans="14:17" x14ac:dyDescent="0.45">
      <c r="N853" t="s">
        <v>195</v>
      </c>
      <c r="O853" t="s">
        <v>244</v>
      </c>
      <c r="P853">
        <v>3.8216577074904189E-2</v>
      </c>
      <c r="Q853" t="s">
        <v>166</v>
      </c>
    </row>
    <row r="854" spans="14:17" x14ac:dyDescent="0.45">
      <c r="N854" t="s">
        <v>195</v>
      </c>
      <c r="O854" t="s">
        <v>245</v>
      </c>
      <c r="P854">
        <v>1.0612932498709361E-2</v>
      </c>
      <c r="Q854" t="s">
        <v>166</v>
      </c>
    </row>
    <row r="855" spans="14:17" x14ac:dyDescent="0.45">
      <c r="N855" t="s">
        <v>195</v>
      </c>
      <c r="O855" t="s">
        <v>246</v>
      </c>
      <c r="P855">
        <v>1.158934052409597E-2</v>
      </c>
      <c r="Q855" t="s">
        <v>166</v>
      </c>
    </row>
    <row r="856" spans="14:17" x14ac:dyDescent="0.45">
      <c r="N856" t="s">
        <v>195</v>
      </c>
      <c r="O856" t="s">
        <v>247</v>
      </c>
      <c r="P856">
        <v>1.2231855996499761E-2</v>
      </c>
      <c r="Q856" t="s">
        <v>166</v>
      </c>
    </row>
    <row r="857" spans="14:17" x14ac:dyDescent="0.45">
      <c r="N857" t="s">
        <v>195</v>
      </c>
      <c r="O857" t="s">
        <v>248</v>
      </c>
      <c r="P857">
        <v>1.9705001122037758E-2</v>
      </c>
      <c r="Q857" t="s">
        <v>166</v>
      </c>
    </row>
    <row r="858" spans="14:17" x14ac:dyDescent="0.45">
      <c r="N858" t="s">
        <v>195</v>
      </c>
      <c r="O858" t="s">
        <v>249</v>
      </c>
      <c r="P858">
        <v>4.2027483205579287E-2</v>
      </c>
      <c r="Q858" t="s">
        <v>166</v>
      </c>
    </row>
    <row r="859" spans="14:17" x14ac:dyDescent="0.45">
      <c r="N859" t="s">
        <v>195</v>
      </c>
      <c r="O859" t="s">
        <v>250</v>
      </c>
      <c r="P859">
        <v>1.3317281510670142E-2</v>
      </c>
      <c r="Q859" t="s">
        <v>166</v>
      </c>
    </row>
    <row r="860" spans="14:17" x14ac:dyDescent="0.45">
      <c r="N860" t="s">
        <v>195</v>
      </c>
      <c r="O860" t="s">
        <v>251</v>
      </c>
      <c r="P860">
        <v>3.937622691011969E-3</v>
      </c>
      <c r="Q860" t="s">
        <v>166</v>
      </c>
    </row>
    <row r="861" spans="14:17" x14ac:dyDescent="0.45">
      <c r="N861" t="s">
        <v>195</v>
      </c>
      <c r="O861" t="s">
        <v>252</v>
      </c>
      <c r="P861">
        <v>3.9517711281017538E-3</v>
      </c>
      <c r="Q861" t="s">
        <v>166</v>
      </c>
    </row>
    <row r="862" spans="14:17" x14ac:dyDescent="0.45">
      <c r="N862" t="s">
        <v>195</v>
      </c>
      <c r="O862" t="s">
        <v>253</v>
      </c>
      <c r="P862">
        <v>3.9010305864142134E-3</v>
      </c>
      <c r="Q862" t="s">
        <v>166</v>
      </c>
    </row>
    <row r="863" spans="14:17" x14ac:dyDescent="0.45">
      <c r="N863" t="s">
        <v>195</v>
      </c>
      <c r="O863" t="s">
        <v>254</v>
      </c>
      <c r="P863">
        <v>2.0093113661717597E-2</v>
      </c>
      <c r="Q863" t="s">
        <v>166</v>
      </c>
    </row>
    <row r="864" spans="14:17" x14ac:dyDescent="0.45">
      <c r="N864" t="s">
        <v>195</v>
      </c>
      <c r="O864" t="s">
        <v>255</v>
      </c>
      <c r="P864">
        <v>4.1249121929316485E-2</v>
      </c>
      <c r="Q864" t="s">
        <v>166</v>
      </c>
    </row>
    <row r="865" spans="14:17" x14ac:dyDescent="0.45">
      <c r="N865" t="s">
        <v>195</v>
      </c>
      <c r="O865" t="s">
        <v>256</v>
      </c>
      <c r="P865">
        <v>1.6278797411681444E-2</v>
      </c>
      <c r="Q865" t="s">
        <v>166</v>
      </c>
    </row>
    <row r="866" spans="14:17" x14ac:dyDescent="0.45">
      <c r="N866" t="s">
        <v>195</v>
      </c>
      <c r="O866" t="s">
        <v>257</v>
      </c>
      <c r="P866">
        <v>4.2579494388684186E-3</v>
      </c>
      <c r="Q866" t="s">
        <v>166</v>
      </c>
    </row>
    <row r="867" spans="14:17" x14ac:dyDescent="0.45">
      <c r="N867" t="s">
        <v>195</v>
      </c>
      <c r="O867" t="s">
        <v>258</v>
      </c>
      <c r="P867">
        <v>4.2603913076283608E-3</v>
      </c>
      <c r="Q867" t="s">
        <v>166</v>
      </c>
    </row>
    <row r="868" spans="14:17" x14ac:dyDescent="0.45">
      <c r="N868" t="s">
        <v>195</v>
      </c>
      <c r="O868" t="s">
        <v>259</v>
      </c>
      <c r="P868">
        <v>4.2162595720091536E-3</v>
      </c>
      <c r="Q868" t="s">
        <v>166</v>
      </c>
    </row>
    <row r="869" spans="14:17" x14ac:dyDescent="0.45">
      <c r="N869" t="s">
        <v>195</v>
      </c>
      <c r="O869" t="s">
        <v>260</v>
      </c>
      <c r="P869">
        <v>4.8265592711812751E-2</v>
      </c>
      <c r="Q869" t="s">
        <v>166</v>
      </c>
    </row>
    <row r="870" spans="14:17" x14ac:dyDescent="0.45">
      <c r="N870" t="s">
        <v>195</v>
      </c>
      <c r="O870" t="s">
        <v>261</v>
      </c>
      <c r="P870">
        <v>0.11512058922630596</v>
      </c>
      <c r="Q870" t="s">
        <v>166</v>
      </c>
    </row>
    <row r="871" spans="14:17" x14ac:dyDescent="0.45">
      <c r="N871" t="s">
        <v>195</v>
      </c>
      <c r="O871" t="s">
        <v>262</v>
      </c>
      <c r="P871">
        <v>3.9615078663507823E-2</v>
      </c>
      <c r="Q871" t="s">
        <v>166</v>
      </c>
    </row>
    <row r="872" spans="14:17" x14ac:dyDescent="0.45">
      <c r="N872" t="s">
        <v>195</v>
      </c>
      <c r="O872" t="s">
        <v>263</v>
      </c>
      <c r="P872">
        <v>1.0244721782896154E-2</v>
      </c>
      <c r="Q872" t="s">
        <v>166</v>
      </c>
    </row>
    <row r="873" spans="14:17" x14ac:dyDescent="0.45">
      <c r="N873" t="s">
        <v>195</v>
      </c>
      <c r="O873" t="s">
        <v>264</v>
      </c>
      <c r="P873">
        <v>1.0293304398077633E-2</v>
      </c>
      <c r="Q873" t="s">
        <v>166</v>
      </c>
    </row>
    <row r="874" spans="14:17" x14ac:dyDescent="0.45">
      <c r="N874" t="s">
        <v>195</v>
      </c>
      <c r="O874" t="s">
        <v>265</v>
      </c>
      <c r="P874">
        <v>1.0131431335534227E-2</v>
      </c>
      <c r="Q874" t="s">
        <v>166</v>
      </c>
    </row>
    <row r="875" spans="14:17" x14ac:dyDescent="0.45">
      <c r="N875" t="s">
        <v>196</v>
      </c>
      <c r="O875" t="s">
        <v>165</v>
      </c>
      <c r="P875">
        <v>2.255326612268288E-2</v>
      </c>
      <c r="Q875" t="s">
        <v>166</v>
      </c>
    </row>
    <row r="876" spans="14:17" x14ac:dyDescent="0.45">
      <c r="N876" t="s">
        <v>196</v>
      </c>
      <c r="O876" t="s">
        <v>167</v>
      </c>
      <c r="P876">
        <v>5.4074554943107409E-2</v>
      </c>
      <c r="Q876" t="s">
        <v>166</v>
      </c>
    </row>
    <row r="877" spans="14:17" x14ac:dyDescent="0.45">
      <c r="N877" t="s">
        <v>196</v>
      </c>
      <c r="O877" t="s">
        <v>168</v>
      </c>
      <c r="P877">
        <v>1.9670790587366895E-2</v>
      </c>
      <c r="Q877" t="s">
        <v>166</v>
      </c>
    </row>
    <row r="878" spans="14:17" x14ac:dyDescent="0.45">
      <c r="N878" t="s">
        <v>196</v>
      </c>
      <c r="O878" t="s">
        <v>230</v>
      </c>
      <c r="P878">
        <v>4.6922239467264253E-3</v>
      </c>
      <c r="Q878" t="s">
        <v>166</v>
      </c>
    </row>
    <row r="879" spans="14:17" x14ac:dyDescent="0.45">
      <c r="N879" t="s">
        <v>196</v>
      </c>
      <c r="O879" t="s">
        <v>231</v>
      </c>
      <c r="P879">
        <v>4.5854081547964777E-3</v>
      </c>
      <c r="Q879" t="s">
        <v>166</v>
      </c>
    </row>
    <row r="880" spans="14:17" x14ac:dyDescent="0.45">
      <c r="N880" t="s">
        <v>196</v>
      </c>
      <c r="O880" t="s">
        <v>232</v>
      </c>
      <c r="P880">
        <v>4.523233924607125E-3</v>
      </c>
      <c r="Q880" t="s">
        <v>166</v>
      </c>
    </row>
    <row r="881" spans="14:17" x14ac:dyDescent="0.45">
      <c r="N881" t="s">
        <v>196</v>
      </c>
      <c r="O881" t="s">
        <v>169</v>
      </c>
      <c r="P881">
        <v>1.443823249100906E-2</v>
      </c>
      <c r="Q881" t="s">
        <v>166</v>
      </c>
    </row>
    <row r="882" spans="14:17" x14ac:dyDescent="0.45">
      <c r="N882" t="s">
        <v>196</v>
      </c>
      <c r="O882" t="s">
        <v>170</v>
      </c>
      <c r="P882">
        <v>3.4123955850951203E-2</v>
      </c>
      <c r="Q882" t="s">
        <v>166</v>
      </c>
    </row>
    <row r="883" spans="14:17" x14ac:dyDescent="0.45">
      <c r="N883" t="s">
        <v>196</v>
      </c>
      <c r="O883" t="s">
        <v>171</v>
      </c>
      <c r="P883">
        <v>1.1555190735838635E-2</v>
      </c>
      <c r="Q883" t="s">
        <v>166</v>
      </c>
    </row>
    <row r="884" spans="14:17" x14ac:dyDescent="0.45">
      <c r="N884" t="s">
        <v>196</v>
      </c>
      <c r="O884" t="s">
        <v>233</v>
      </c>
      <c r="P884">
        <v>2.7241901462276515E-3</v>
      </c>
      <c r="Q884" t="s">
        <v>166</v>
      </c>
    </row>
    <row r="885" spans="14:17" x14ac:dyDescent="0.45">
      <c r="N885" t="s">
        <v>196</v>
      </c>
      <c r="O885" t="s">
        <v>234</v>
      </c>
      <c r="P885">
        <v>2.726741465824729E-3</v>
      </c>
      <c r="Q885" t="s">
        <v>166</v>
      </c>
    </row>
    <row r="886" spans="14:17" x14ac:dyDescent="0.45">
      <c r="N886" t="s">
        <v>196</v>
      </c>
      <c r="O886" t="s">
        <v>235</v>
      </c>
      <c r="P886">
        <v>2.7126708077675628E-3</v>
      </c>
      <c r="Q886" t="s">
        <v>166</v>
      </c>
    </row>
    <row r="887" spans="14:17" x14ac:dyDescent="0.45">
      <c r="N887" t="s">
        <v>196</v>
      </c>
      <c r="O887" t="s">
        <v>172</v>
      </c>
      <c r="P887">
        <v>2.0570245410917749E-2</v>
      </c>
      <c r="Q887" t="s">
        <v>166</v>
      </c>
    </row>
    <row r="888" spans="14:17" x14ac:dyDescent="0.45">
      <c r="N888" t="s">
        <v>196</v>
      </c>
      <c r="O888" t="s">
        <v>173</v>
      </c>
      <c r="P888">
        <v>4.7324292968304038E-2</v>
      </c>
      <c r="Q888" t="s">
        <v>166</v>
      </c>
    </row>
    <row r="889" spans="14:17" x14ac:dyDescent="0.45">
      <c r="N889" t="s">
        <v>196</v>
      </c>
      <c r="O889" t="s">
        <v>174</v>
      </c>
      <c r="P889">
        <v>1.5745354164379818E-2</v>
      </c>
      <c r="Q889" t="s">
        <v>166</v>
      </c>
    </row>
    <row r="890" spans="14:17" x14ac:dyDescent="0.45">
      <c r="N890" t="s">
        <v>196</v>
      </c>
      <c r="O890" t="s">
        <v>236</v>
      </c>
      <c r="P890">
        <v>3.896724436331888E-3</v>
      </c>
      <c r="Q890" t="s">
        <v>166</v>
      </c>
    </row>
    <row r="891" spans="14:17" x14ac:dyDescent="0.45">
      <c r="N891" t="s">
        <v>196</v>
      </c>
      <c r="O891" t="s">
        <v>237</v>
      </c>
      <c r="P891">
        <v>3.8758031354049339E-3</v>
      </c>
      <c r="Q891" t="s">
        <v>166</v>
      </c>
    </row>
    <row r="892" spans="14:17" x14ac:dyDescent="0.45">
      <c r="N892" t="s">
        <v>196</v>
      </c>
      <c r="O892" t="s">
        <v>238</v>
      </c>
      <c r="P892">
        <v>3.8888549104899484E-3</v>
      </c>
      <c r="Q892" t="s">
        <v>166</v>
      </c>
    </row>
    <row r="893" spans="14:17" x14ac:dyDescent="0.45">
      <c r="N893" t="s">
        <v>196</v>
      </c>
      <c r="O893" t="s">
        <v>175</v>
      </c>
      <c r="P893">
        <v>1.7849151725990334E-2</v>
      </c>
      <c r="Q893" t="s">
        <v>166</v>
      </c>
    </row>
    <row r="894" spans="14:17" x14ac:dyDescent="0.45">
      <c r="N894" t="s">
        <v>196</v>
      </c>
      <c r="O894" t="s">
        <v>176</v>
      </c>
      <c r="P894">
        <v>3.6147209183930842E-2</v>
      </c>
      <c r="Q894" t="s">
        <v>166</v>
      </c>
    </row>
    <row r="895" spans="14:17" x14ac:dyDescent="0.45">
      <c r="N895" t="s">
        <v>196</v>
      </c>
      <c r="O895" t="s">
        <v>177</v>
      </c>
      <c r="P895">
        <v>1.2559784315898213E-2</v>
      </c>
      <c r="Q895" t="s">
        <v>166</v>
      </c>
    </row>
    <row r="896" spans="14:17" x14ac:dyDescent="0.45">
      <c r="N896" t="s">
        <v>196</v>
      </c>
      <c r="O896" t="s">
        <v>239</v>
      </c>
      <c r="P896">
        <v>3.6016800151728091E-3</v>
      </c>
      <c r="Q896" t="s">
        <v>166</v>
      </c>
    </row>
    <row r="897" spans="14:17" x14ac:dyDescent="0.45">
      <c r="N897" t="s">
        <v>196</v>
      </c>
      <c r="O897" t="s">
        <v>240</v>
      </c>
      <c r="P897">
        <v>3.7048044814781819E-3</v>
      </c>
      <c r="Q897" t="s">
        <v>166</v>
      </c>
    </row>
    <row r="898" spans="14:17" x14ac:dyDescent="0.45">
      <c r="N898" t="s">
        <v>196</v>
      </c>
      <c r="O898" t="s">
        <v>241</v>
      </c>
      <c r="P898">
        <v>3.7188505336461478E-3</v>
      </c>
      <c r="Q898" t="s">
        <v>166</v>
      </c>
    </row>
    <row r="899" spans="14:17" x14ac:dyDescent="0.45">
      <c r="N899" t="s">
        <v>196</v>
      </c>
      <c r="O899" t="s">
        <v>242</v>
      </c>
      <c r="P899">
        <v>5.0059432835089804E-2</v>
      </c>
      <c r="Q899" t="s">
        <v>166</v>
      </c>
    </row>
    <row r="900" spans="14:17" x14ac:dyDescent="0.45">
      <c r="N900" t="s">
        <v>196</v>
      </c>
      <c r="O900" t="s">
        <v>243</v>
      </c>
      <c r="P900">
        <v>0.11555683202203443</v>
      </c>
      <c r="Q900" t="s">
        <v>166</v>
      </c>
    </row>
    <row r="901" spans="14:17" x14ac:dyDescent="0.45">
      <c r="N901" t="s">
        <v>196</v>
      </c>
      <c r="O901" t="s">
        <v>244</v>
      </c>
      <c r="P901">
        <v>3.7158069070098249E-2</v>
      </c>
      <c r="Q901" t="s">
        <v>166</v>
      </c>
    </row>
    <row r="902" spans="14:17" x14ac:dyDescent="0.45">
      <c r="N902" t="s">
        <v>196</v>
      </c>
      <c r="O902" t="s">
        <v>245</v>
      </c>
      <c r="P902">
        <v>9.8011540228870302E-3</v>
      </c>
      <c r="Q902" t="s">
        <v>166</v>
      </c>
    </row>
    <row r="903" spans="14:17" x14ac:dyDescent="0.45">
      <c r="N903" t="s">
        <v>196</v>
      </c>
      <c r="O903" t="s">
        <v>246</v>
      </c>
      <c r="P903">
        <v>1.0345097397615815E-2</v>
      </c>
      <c r="Q903" t="s">
        <v>166</v>
      </c>
    </row>
    <row r="904" spans="14:17" x14ac:dyDescent="0.45">
      <c r="N904" t="s">
        <v>196</v>
      </c>
      <c r="O904" t="s">
        <v>247</v>
      </c>
      <c r="P904">
        <v>1.0705866906273244E-2</v>
      </c>
      <c r="Q904" t="s">
        <v>166</v>
      </c>
    </row>
    <row r="905" spans="14:17" x14ac:dyDescent="0.45">
      <c r="N905" t="s">
        <v>196</v>
      </c>
      <c r="O905" t="s">
        <v>248</v>
      </c>
      <c r="P905">
        <v>1.7944487603084352E-2</v>
      </c>
      <c r="Q905" t="s">
        <v>166</v>
      </c>
    </row>
    <row r="906" spans="14:17" x14ac:dyDescent="0.45">
      <c r="N906" t="s">
        <v>196</v>
      </c>
      <c r="O906" t="s">
        <v>249</v>
      </c>
      <c r="P906">
        <v>4.0689575806393187E-2</v>
      </c>
      <c r="Q906" t="s">
        <v>166</v>
      </c>
    </row>
    <row r="907" spans="14:17" x14ac:dyDescent="0.45">
      <c r="N907" t="s">
        <v>196</v>
      </c>
      <c r="O907" t="s">
        <v>250</v>
      </c>
      <c r="P907">
        <v>1.3780703392201613E-2</v>
      </c>
      <c r="Q907" t="s">
        <v>166</v>
      </c>
    </row>
    <row r="908" spans="14:17" x14ac:dyDescent="0.45">
      <c r="N908" t="s">
        <v>196</v>
      </c>
      <c r="O908" t="s">
        <v>251</v>
      </c>
      <c r="P908">
        <v>3.5903069697501137E-3</v>
      </c>
      <c r="Q908" t="s">
        <v>166</v>
      </c>
    </row>
    <row r="909" spans="14:17" x14ac:dyDescent="0.45">
      <c r="N909" t="s">
        <v>196</v>
      </c>
      <c r="O909" t="s">
        <v>252</v>
      </c>
      <c r="P909">
        <v>3.5645809784344146E-3</v>
      </c>
      <c r="Q909" t="s">
        <v>166</v>
      </c>
    </row>
    <row r="910" spans="14:17" x14ac:dyDescent="0.45">
      <c r="N910" t="s">
        <v>196</v>
      </c>
      <c r="O910" t="s">
        <v>253</v>
      </c>
      <c r="P910">
        <v>3.5613109042010671E-3</v>
      </c>
      <c r="Q910" t="s">
        <v>166</v>
      </c>
    </row>
    <row r="911" spans="14:17" x14ac:dyDescent="0.45">
      <c r="N911" t="s">
        <v>196</v>
      </c>
      <c r="O911" t="s">
        <v>254</v>
      </c>
      <c r="P911">
        <v>1.8014121406002899E-2</v>
      </c>
      <c r="Q911" t="s">
        <v>166</v>
      </c>
    </row>
    <row r="912" spans="14:17" x14ac:dyDescent="0.45">
      <c r="N912" t="s">
        <v>196</v>
      </c>
      <c r="O912" t="s">
        <v>255</v>
      </c>
      <c r="P912">
        <v>4.3589212462463098E-2</v>
      </c>
      <c r="Q912" t="s">
        <v>166</v>
      </c>
    </row>
    <row r="913" spans="14:17" x14ac:dyDescent="0.45">
      <c r="N913" t="s">
        <v>196</v>
      </c>
      <c r="O913" t="s">
        <v>256</v>
      </c>
      <c r="P913">
        <v>1.5619658867110479E-2</v>
      </c>
      <c r="Q913" t="s">
        <v>166</v>
      </c>
    </row>
    <row r="914" spans="14:17" x14ac:dyDescent="0.45">
      <c r="N914" t="s">
        <v>196</v>
      </c>
      <c r="O914" t="s">
        <v>257</v>
      </c>
      <c r="P914">
        <v>3.9178024693856421E-3</v>
      </c>
      <c r="Q914" t="s">
        <v>166</v>
      </c>
    </row>
    <row r="915" spans="14:17" x14ac:dyDescent="0.45">
      <c r="N915" t="s">
        <v>196</v>
      </c>
      <c r="O915" t="s">
        <v>258</v>
      </c>
      <c r="P915">
        <v>3.9209255885286065E-3</v>
      </c>
      <c r="Q915" t="s">
        <v>166</v>
      </c>
    </row>
    <row r="916" spans="14:17" x14ac:dyDescent="0.45">
      <c r="N916" t="s">
        <v>196</v>
      </c>
      <c r="O916" t="s">
        <v>259</v>
      </c>
      <c r="P916">
        <v>3.8942155756694729E-3</v>
      </c>
      <c r="Q916" t="s">
        <v>166</v>
      </c>
    </row>
    <row r="917" spans="14:17" x14ac:dyDescent="0.45">
      <c r="N917" t="s">
        <v>196</v>
      </c>
      <c r="O917" t="s">
        <v>260</v>
      </c>
      <c r="P917">
        <v>4.9308129323292343E-2</v>
      </c>
      <c r="Q917" t="s">
        <v>166</v>
      </c>
    </row>
    <row r="918" spans="14:17" x14ac:dyDescent="0.45">
      <c r="N918" t="s">
        <v>196</v>
      </c>
      <c r="O918" t="s">
        <v>261</v>
      </c>
      <c r="P918">
        <v>0.12254628219211851</v>
      </c>
      <c r="Q918" t="s">
        <v>166</v>
      </c>
    </row>
    <row r="919" spans="14:17" x14ac:dyDescent="0.45">
      <c r="N919" t="s">
        <v>196</v>
      </c>
      <c r="O919" t="s">
        <v>262</v>
      </c>
      <c r="P919">
        <v>4.0733617279261218E-2</v>
      </c>
      <c r="Q919" t="s">
        <v>166</v>
      </c>
    </row>
    <row r="920" spans="14:17" x14ac:dyDescent="0.45">
      <c r="N920" t="s">
        <v>196</v>
      </c>
      <c r="O920" t="s">
        <v>263</v>
      </c>
      <c r="P920">
        <v>1.0194533890883498E-2</v>
      </c>
      <c r="Q920" t="s">
        <v>166</v>
      </c>
    </row>
    <row r="921" spans="14:17" x14ac:dyDescent="0.45">
      <c r="N921" t="s">
        <v>196</v>
      </c>
      <c r="O921" t="s">
        <v>264</v>
      </c>
      <c r="P921">
        <v>1.0160660386700635E-2</v>
      </c>
      <c r="Q921" t="s">
        <v>166</v>
      </c>
    </row>
    <row r="922" spans="14:17" x14ac:dyDescent="0.45">
      <c r="N922" t="s">
        <v>196</v>
      </c>
      <c r="O922" t="s">
        <v>265</v>
      </c>
      <c r="P922">
        <v>1.0080208191669165E-2</v>
      </c>
      <c r="Q922" t="s">
        <v>166</v>
      </c>
    </row>
    <row r="923" spans="14:17" x14ac:dyDescent="0.45">
      <c r="N923" t="s">
        <v>197</v>
      </c>
      <c r="O923" t="s">
        <v>165</v>
      </c>
      <c r="P923">
        <v>2.281544784627397E-2</v>
      </c>
      <c r="Q923" t="s">
        <v>166</v>
      </c>
    </row>
    <row r="924" spans="14:17" x14ac:dyDescent="0.45">
      <c r="N924" t="s">
        <v>197</v>
      </c>
      <c r="O924" t="s">
        <v>167</v>
      </c>
      <c r="P924">
        <v>5.105587937629253E-2</v>
      </c>
      <c r="Q924" t="s">
        <v>166</v>
      </c>
    </row>
    <row r="925" spans="14:17" x14ac:dyDescent="0.45">
      <c r="N925" t="s">
        <v>197</v>
      </c>
      <c r="O925" t="s">
        <v>168</v>
      </c>
      <c r="P925">
        <v>1.9293025882393178E-2</v>
      </c>
      <c r="Q925" t="s">
        <v>166</v>
      </c>
    </row>
    <row r="926" spans="14:17" x14ac:dyDescent="0.45">
      <c r="N926" t="s">
        <v>197</v>
      </c>
      <c r="O926" t="s">
        <v>230</v>
      </c>
      <c r="P926">
        <v>4.9634997185884636E-3</v>
      </c>
      <c r="Q926" t="s">
        <v>166</v>
      </c>
    </row>
    <row r="927" spans="14:17" x14ac:dyDescent="0.45">
      <c r="N927" t="s">
        <v>197</v>
      </c>
      <c r="O927" t="s">
        <v>231</v>
      </c>
      <c r="P927">
        <v>4.9045115262577625E-3</v>
      </c>
      <c r="Q927" t="s">
        <v>166</v>
      </c>
    </row>
    <row r="928" spans="14:17" x14ac:dyDescent="0.45">
      <c r="N928" t="s">
        <v>197</v>
      </c>
      <c r="O928" t="s">
        <v>232</v>
      </c>
      <c r="P928">
        <v>4.783623111909073E-3</v>
      </c>
      <c r="Q928" t="s">
        <v>166</v>
      </c>
    </row>
    <row r="929" spans="14:17" x14ac:dyDescent="0.45">
      <c r="N929" t="s">
        <v>197</v>
      </c>
      <c r="O929" t="s">
        <v>169</v>
      </c>
      <c r="P929">
        <v>1.377869619877344E-2</v>
      </c>
      <c r="Q929" t="s">
        <v>166</v>
      </c>
    </row>
    <row r="930" spans="14:17" x14ac:dyDescent="0.45">
      <c r="N930" t="s">
        <v>197</v>
      </c>
      <c r="O930" t="s">
        <v>170</v>
      </c>
      <c r="P930">
        <v>3.4261343247407074E-2</v>
      </c>
      <c r="Q930" t="s">
        <v>166</v>
      </c>
    </row>
    <row r="931" spans="14:17" x14ac:dyDescent="0.45">
      <c r="N931" t="s">
        <v>197</v>
      </c>
      <c r="O931" t="s">
        <v>171</v>
      </c>
      <c r="P931">
        <v>1.1358344702463545E-2</v>
      </c>
      <c r="Q931" t="s">
        <v>166</v>
      </c>
    </row>
    <row r="932" spans="14:17" x14ac:dyDescent="0.45">
      <c r="N932" t="s">
        <v>197</v>
      </c>
      <c r="O932" t="s">
        <v>233</v>
      </c>
      <c r="P932">
        <v>2.6559266543293354E-3</v>
      </c>
      <c r="Q932" t="s">
        <v>166</v>
      </c>
    </row>
    <row r="933" spans="14:17" x14ac:dyDescent="0.45">
      <c r="N933" t="s">
        <v>197</v>
      </c>
      <c r="O933" t="s">
        <v>234</v>
      </c>
      <c r="P933">
        <v>2.5877976518708505E-3</v>
      </c>
      <c r="Q933" t="s">
        <v>166</v>
      </c>
    </row>
    <row r="934" spans="14:17" x14ac:dyDescent="0.45">
      <c r="N934" t="s">
        <v>197</v>
      </c>
      <c r="O934" t="s">
        <v>235</v>
      </c>
      <c r="P934">
        <v>2.546464226834271E-3</v>
      </c>
      <c r="Q934" t="s">
        <v>166</v>
      </c>
    </row>
    <row r="935" spans="14:17" x14ac:dyDescent="0.45">
      <c r="N935" t="s">
        <v>197</v>
      </c>
      <c r="O935" t="s">
        <v>172</v>
      </c>
      <c r="P935">
        <v>1.8881252708692675E-2</v>
      </c>
      <c r="Q935" t="s">
        <v>166</v>
      </c>
    </row>
    <row r="936" spans="14:17" x14ac:dyDescent="0.45">
      <c r="N936" t="s">
        <v>197</v>
      </c>
      <c r="O936" t="s">
        <v>173</v>
      </c>
      <c r="P936">
        <v>4.2979182225128088E-2</v>
      </c>
      <c r="Q936" t="s">
        <v>166</v>
      </c>
    </row>
    <row r="937" spans="14:17" x14ac:dyDescent="0.45">
      <c r="N937" t="s">
        <v>197</v>
      </c>
      <c r="O937" t="s">
        <v>174</v>
      </c>
      <c r="P937">
        <v>1.7270539125501208E-2</v>
      </c>
      <c r="Q937" t="s">
        <v>166</v>
      </c>
    </row>
    <row r="938" spans="14:17" x14ac:dyDescent="0.45">
      <c r="N938" t="s">
        <v>197</v>
      </c>
      <c r="O938" t="s">
        <v>236</v>
      </c>
      <c r="P938">
        <v>4.2836922162760001E-3</v>
      </c>
      <c r="Q938" t="s">
        <v>166</v>
      </c>
    </row>
    <row r="939" spans="14:17" x14ac:dyDescent="0.45">
      <c r="N939" t="s">
        <v>197</v>
      </c>
      <c r="O939" t="s">
        <v>237</v>
      </c>
      <c r="P939">
        <v>4.0670631380690762E-3</v>
      </c>
      <c r="Q939" t="s">
        <v>166</v>
      </c>
    </row>
    <row r="940" spans="14:17" x14ac:dyDescent="0.45">
      <c r="N940" t="s">
        <v>197</v>
      </c>
      <c r="O940" t="s">
        <v>238</v>
      </c>
      <c r="P940">
        <v>3.87621689040901E-3</v>
      </c>
      <c r="Q940" t="s">
        <v>166</v>
      </c>
    </row>
    <row r="941" spans="14:17" x14ac:dyDescent="0.45">
      <c r="N941" t="s">
        <v>197</v>
      </c>
      <c r="O941" t="s">
        <v>175</v>
      </c>
      <c r="P941">
        <v>1.8340034285716938E-2</v>
      </c>
      <c r="Q941" t="s">
        <v>166</v>
      </c>
    </row>
    <row r="942" spans="14:17" x14ac:dyDescent="0.45">
      <c r="N942" t="s">
        <v>197</v>
      </c>
      <c r="O942" t="s">
        <v>176</v>
      </c>
      <c r="P942">
        <v>3.3875446281217005E-2</v>
      </c>
      <c r="Q942" t="s">
        <v>166</v>
      </c>
    </row>
    <row r="943" spans="14:17" x14ac:dyDescent="0.45">
      <c r="N943" t="s">
        <v>197</v>
      </c>
      <c r="O943" t="s">
        <v>177</v>
      </c>
      <c r="P943">
        <v>1.1807713826422055E-2</v>
      </c>
      <c r="Q943" t="s">
        <v>166</v>
      </c>
    </row>
    <row r="944" spans="14:17" x14ac:dyDescent="0.45">
      <c r="N944" t="s">
        <v>197</v>
      </c>
      <c r="O944" t="s">
        <v>239</v>
      </c>
      <c r="P944">
        <v>3.439640029758688E-3</v>
      </c>
      <c r="Q944" t="s">
        <v>166</v>
      </c>
    </row>
    <row r="945" spans="14:17" x14ac:dyDescent="0.45">
      <c r="N945" t="s">
        <v>197</v>
      </c>
      <c r="O945" t="s">
        <v>240</v>
      </c>
      <c r="P945">
        <v>3.5037179569611899E-3</v>
      </c>
      <c r="Q945" t="s">
        <v>166</v>
      </c>
    </row>
    <row r="946" spans="14:17" x14ac:dyDescent="0.45">
      <c r="N946" t="s">
        <v>197</v>
      </c>
      <c r="O946" t="s">
        <v>241</v>
      </c>
      <c r="P946">
        <v>3.492431126003654E-3</v>
      </c>
      <c r="Q946" t="s">
        <v>166</v>
      </c>
    </row>
    <row r="947" spans="14:17" x14ac:dyDescent="0.45">
      <c r="N947" t="s">
        <v>197</v>
      </c>
      <c r="O947" t="s">
        <v>242</v>
      </c>
      <c r="P947">
        <v>5.8130986303983376E-2</v>
      </c>
      <c r="Q947" t="s">
        <v>166</v>
      </c>
    </row>
    <row r="948" spans="14:17" x14ac:dyDescent="0.45">
      <c r="N948" t="s">
        <v>197</v>
      </c>
      <c r="O948" t="s">
        <v>243</v>
      </c>
      <c r="P948">
        <v>0.1207282817727536</v>
      </c>
      <c r="Q948" t="s">
        <v>166</v>
      </c>
    </row>
    <row r="949" spans="14:17" x14ac:dyDescent="0.45">
      <c r="N949" t="s">
        <v>197</v>
      </c>
      <c r="O949" t="s">
        <v>244</v>
      </c>
      <c r="P949">
        <v>3.938687264339525E-2</v>
      </c>
      <c r="Q949" t="s">
        <v>166</v>
      </c>
    </row>
    <row r="950" spans="14:17" x14ac:dyDescent="0.45">
      <c r="N950" t="s">
        <v>197</v>
      </c>
      <c r="O950" t="s">
        <v>245</v>
      </c>
      <c r="P950">
        <v>1.0961981165762675E-2</v>
      </c>
      <c r="Q950" t="s">
        <v>166</v>
      </c>
    </row>
    <row r="951" spans="14:17" x14ac:dyDescent="0.45">
      <c r="N951" t="s">
        <v>197</v>
      </c>
      <c r="O951" t="s">
        <v>246</v>
      </c>
      <c r="P951">
        <v>1.1812502428128674E-2</v>
      </c>
      <c r="Q951" t="s">
        <v>166</v>
      </c>
    </row>
    <row r="952" spans="14:17" x14ac:dyDescent="0.45">
      <c r="N952" t="s">
        <v>197</v>
      </c>
      <c r="O952" t="s">
        <v>247</v>
      </c>
      <c r="P952">
        <v>1.2233161458296567E-2</v>
      </c>
      <c r="Q952" t="s">
        <v>166</v>
      </c>
    </row>
    <row r="953" spans="14:17" x14ac:dyDescent="0.45">
      <c r="N953" t="s">
        <v>197</v>
      </c>
      <c r="O953" t="s">
        <v>248</v>
      </c>
      <c r="P953">
        <v>1.8628259539204092E-2</v>
      </c>
      <c r="Q953" t="s">
        <v>166</v>
      </c>
    </row>
    <row r="954" spans="14:17" x14ac:dyDescent="0.45">
      <c r="N954" t="s">
        <v>197</v>
      </c>
      <c r="O954" t="s">
        <v>249</v>
      </c>
      <c r="P954">
        <v>4.318529652402027E-2</v>
      </c>
      <c r="Q954" t="s">
        <v>166</v>
      </c>
    </row>
    <row r="955" spans="14:17" x14ac:dyDescent="0.45">
      <c r="N955" t="s">
        <v>197</v>
      </c>
      <c r="O955" t="s">
        <v>250</v>
      </c>
      <c r="P955">
        <v>1.3846028979681633E-2</v>
      </c>
      <c r="Q955" t="s">
        <v>166</v>
      </c>
    </row>
    <row r="956" spans="14:17" x14ac:dyDescent="0.45">
      <c r="N956" t="s">
        <v>197</v>
      </c>
      <c r="O956" t="s">
        <v>251</v>
      </c>
      <c r="P956">
        <v>3.8399681535465453E-3</v>
      </c>
      <c r="Q956" t="s">
        <v>166</v>
      </c>
    </row>
    <row r="957" spans="14:17" x14ac:dyDescent="0.45">
      <c r="N957" t="s">
        <v>197</v>
      </c>
      <c r="O957" t="s">
        <v>252</v>
      </c>
      <c r="P957">
        <v>3.8022865105247E-3</v>
      </c>
      <c r="Q957" t="s">
        <v>166</v>
      </c>
    </row>
    <row r="958" spans="14:17" x14ac:dyDescent="0.45">
      <c r="N958" t="s">
        <v>197</v>
      </c>
      <c r="O958" t="s">
        <v>253</v>
      </c>
      <c r="P958">
        <v>3.7814314104660227E-3</v>
      </c>
      <c r="Q958" t="s">
        <v>166</v>
      </c>
    </row>
    <row r="959" spans="14:17" x14ac:dyDescent="0.45">
      <c r="N959" t="s">
        <v>197</v>
      </c>
      <c r="O959" t="s">
        <v>254</v>
      </c>
      <c r="P959">
        <v>1.7465368397523502E-2</v>
      </c>
      <c r="Q959" t="s">
        <v>166</v>
      </c>
    </row>
    <row r="960" spans="14:17" x14ac:dyDescent="0.45">
      <c r="N960" t="s">
        <v>197</v>
      </c>
      <c r="O960" t="s">
        <v>255</v>
      </c>
      <c r="P960">
        <v>3.9855582735438488E-2</v>
      </c>
      <c r="Q960" t="s">
        <v>166</v>
      </c>
    </row>
    <row r="961" spans="14:17" x14ac:dyDescent="0.45">
      <c r="N961" t="s">
        <v>197</v>
      </c>
      <c r="O961" t="s">
        <v>256</v>
      </c>
      <c r="P961">
        <v>1.5399957244136111E-2</v>
      </c>
      <c r="Q961" t="s">
        <v>166</v>
      </c>
    </row>
    <row r="962" spans="14:17" x14ac:dyDescent="0.45">
      <c r="N962" t="s">
        <v>197</v>
      </c>
      <c r="O962" t="s">
        <v>257</v>
      </c>
      <c r="P962">
        <v>3.7852076724064821E-3</v>
      </c>
      <c r="Q962" t="s">
        <v>166</v>
      </c>
    </row>
    <row r="963" spans="14:17" x14ac:dyDescent="0.45">
      <c r="N963" t="s">
        <v>197</v>
      </c>
      <c r="O963" t="s">
        <v>258</v>
      </c>
      <c r="P963">
        <v>3.6836701514125682E-3</v>
      </c>
      <c r="Q963" t="s">
        <v>166</v>
      </c>
    </row>
    <row r="964" spans="14:17" x14ac:dyDescent="0.45">
      <c r="N964" t="s">
        <v>197</v>
      </c>
      <c r="O964" t="s">
        <v>259</v>
      </c>
      <c r="P964">
        <v>3.5972203798767324E-3</v>
      </c>
      <c r="Q964" t="s">
        <v>166</v>
      </c>
    </row>
    <row r="965" spans="14:17" x14ac:dyDescent="0.45">
      <c r="N965" t="s">
        <v>197</v>
      </c>
      <c r="O965" t="s">
        <v>260</v>
      </c>
      <c r="P965">
        <v>4.6474755255320098E-2</v>
      </c>
      <c r="Q965" t="s">
        <v>166</v>
      </c>
    </row>
    <row r="966" spans="14:17" x14ac:dyDescent="0.45">
      <c r="N966" t="s">
        <v>197</v>
      </c>
      <c r="O966" t="s">
        <v>261</v>
      </c>
      <c r="P966">
        <v>0.11848673640771976</v>
      </c>
      <c r="Q966" t="s">
        <v>166</v>
      </c>
    </row>
    <row r="967" spans="14:17" x14ac:dyDescent="0.45">
      <c r="N967" t="s">
        <v>197</v>
      </c>
      <c r="O967" t="s">
        <v>262</v>
      </c>
      <c r="P967">
        <v>4.1037497509268335E-2</v>
      </c>
      <c r="Q967" t="s">
        <v>166</v>
      </c>
    </row>
    <row r="968" spans="14:17" x14ac:dyDescent="0.45">
      <c r="N968" t="s">
        <v>197</v>
      </c>
      <c r="O968" t="s">
        <v>263</v>
      </c>
      <c r="P968">
        <v>9.8342427576700395E-3</v>
      </c>
      <c r="Q968" t="s">
        <v>166</v>
      </c>
    </row>
    <row r="969" spans="14:17" x14ac:dyDescent="0.45">
      <c r="N969" t="s">
        <v>197</v>
      </c>
      <c r="O969" t="s">
        <v>264</v>
      </c>
      <c r="P969">
        <v>9.6442855682276948E-3</v>
      </c>
      <c r="Q969" t="s">
        <v>166</v>
      </c>
    </row>
    <row r="970" spans="14:17" x14ac:dyDescent="0.45">
      <c r="N970" t="s">
        <v>197</v>
      </c>
      <c r="O970" t="s">
        <v>265</v>
      </c>
      <c r="P970">
        <v>9.5769290776891204E-3</v>
      </c>
      <c r="Q970" t="s">
        <v>166</v>
      </c>
    </row>
    <row r="971" spans="14:17" x14ac:dyDescent="0.45">
      <c r="N971" t="s">
        <v>198</v>
      </c>
      <c r="O971" t="s">
        <v>165</v>
      </c>
      <c r="P971">
        <v>2.0194197605879913E-2</v>
      </c>
      <c r="Q971" t="s">
        <v>166</v>
      </c>
    </row>
    <row r="972" spans="14:17" x14ac:dyDescent="0.45">
      <c r="N972" t="s">
        <v>198</v>
      </c>
      <c r="O972" t="s">
        <v>167</v>
      </c>
      <c r="P972">
        <v>4.6654390737444491E-2</v>
      </c>
      <c r="Q972" t="s">
        <v>166</v>
      </c>
    </row>
    <row r="973" spans="14:17" x14ac:dyDescent="0.45">
      <c r="N973" t="s">
        <v>198</v>
      </c>
      <c r="O973" t="s">
        <v>168</v>
      </c>
      <c r="P973">
        <v>1.5571435379678906E-2</v>
      </c>
      <c r="Q973" t="s">
        <v>166</v>
      </c>
    </row>
    <row r="974" spans="14:17" x14ac:dyDescent="0.45">
      <c r="N974" t="s">
        <v>198</v>
      </c>
      <c r="O974" t="s">
        <v>230</v>
      </c>
      <c r="P974">
        <v>3.8799033000108591E-3</v>
      </c>
      <c r="Q974" t="s">
        <v>166</v>
      </c>
    </row>
    <row r="975" spans="14:17" x14ac:dyDescent="0.45">
      <c r="N975" t="s">
        <v>198</v>
      </c>
      <c r="O975" t="s">
        <v>231</v>
      </c>
      <c r="P975">
        <v>3.8429447413790112E-3</v>
      </c>
      <c r="Q975" t="s">
        <v>166</v>
      </c>
    </row>
    <row r="976" spans="14:17" x14ac:dyDescent="0.45">
      <c r="N976" t="s">
        <v>198</v>
      </c>
      <c r="O976" t="s">
        <v>232</v>
      </c>
      <c r="P976">
        <v>4.0467874663390538E-3</v>
      </c>
      <c r="Q976" t="s">
        <v>166</v>
      </c>
    </row>
    <row r="977" spans="14:17" x14ac:dyDescent="0.45">
      <c r="N977" t="s">
        <v>198</v>
      </c>
      <c r="O977" t="s">
        <v>169</v>
      </c>
      <c r="P977">
        <v>1.620924411106623E-2</v>
      </c>
      <c r="Q977" t="s">
        <v>166</v>
      </c>
    </row>
    <row r="978" spans="14:17" x14ac:dyDescent="0.45">
      <c r="N978" t="s">
        <v>198</v>
      </c>
      <c r="O978" t="s">
        <v>170</v>
      </c>
      <c r="P978">
        <v>3.7546018005480429E-2</v>
      </c>
      <c r="Q978" t="s">
        <v>166</v>
      </c>
    </row>
    <row r="979" spans="14:17" x14ac:dyDescent="0.45">
      <c r="N979" t="s">
        <v>198</v>
      </c>
      <c r="O979" t="s">
        <v>171</v>
      </c>
      <c r="P979">
        <v>1.3467710831463871E-2</v>
      </c>
      <c r="Q979" t="s">
        <v>166</v>
      </c>
    </row>
    <row r="980" spans="14:17" x14ac:dyDescent="0.45">
      <c r="N980" t="s">
        <v>198</v>
      </c>
      <c r="O980" t="s">
        <v>233</v>
      </c>
      <c r="P980">
        <v>3.4343162527676447E-3</v>
      </c>
      <c r="Q980" t="s">
        <v>166</v>
      </c>
    </row>
    <row r="981" spans="14:17" x14ac:dyDescent="0.45">
      <c r="N981" t="s">
        <v>198</v>
      </c>
      <c r="O981" t="s">
        <v>234</v>
      </c>
      <c r="P981">
        <v>3.4868490882223446E-3</v>
      </c>
      <c r="Q981" t="s">
        <v>166</v>
      </c>
    </row>
    <row r="982" spans="14:17" x14ac:dyDescent="0.45">
      <c r="N982" t="s">
        <v>198</v>
      </c>
      <c r="O982" t="s">
        <v>235</v>
      </c>
      <c r="P982">
        <v>3.3916881775837753E-3</v>
      </c>
      <c r="Q982" t="s">
        <v>166</v>
      </c>
    </row>
    <row r="983" spans="14:17" x14ac:dyDescent="0.45">
      <c r="N983" t="s">
        <v>198</v>
      </c>
      <c r="O983" t="s">
        <v>172</v>
      </c>
      <c r="P983">
        <v>1.8005102364746114E-2</v>
      </c>
      <c r="Q983" t="s">
        <v>166</v>
      </c>
    </row>
    <row r="984" spans="14:17" x14ac:dyDescent="0.45">
      <c r="N984" t="s">
        <v>198</v>
      </c>
      <c r="O984" t="s">
        <v>173</v>
      </c>
      <c r="P984">
        <v>4.3803443055621769E-2</v>
      </c>
      <c r="Q984" t="s">
        <v>166</v>
      </c>
    </row>
    <row r="985" spans="14:17" x14ac:dyDescent="0.45">
      <c r="N985" t="s">
        <v>198</v>
      </c>
      <c r="O985" t="s">
        <v>174</v>
      </c>
      <c r="P985">
        <v>1.5785448107995169E-2</v>
      </c>
      <c r="Q985" t="s">
        <v>166</v>
      </c>
    </row>
    <row r="986" spans="14:17" x14ac:dyDescent="0.45">
      <c r="N986" t="s">
        <v>198</v>
      </c>
      <c r="O986" t="s">
        <v>236</v>
      </c>
      <c r="P986">
        <v>3.6439790721502739E-3</v>
      </c>
      <c r="Q986" t="s">
        <v>166</v>
      </c>
    </row>
    <row r="987" spans="14:17" x14ac:dyDescent="0.45">
      <c r="N987" t="s">
        <v>198</v>
      </c>
      <c r="O987" t="s">
        <v>237</v>
      </c>
      <c r="P987">
        <v>3.5242585290012609E-3</v>
      </c>
      <c r="Q987" t="s">
        <v>166</v>
      </c>
    </row>
    <row r="988" spans="14:17" x14ac:dyDescent="0.45">
      <c r="N988" t="s">
        <v>198</v>
      </c>
      <c r="O988" t="s">
        <v>238</v>
      </c>
      <c r="P988">
        <v>3.9112812835399614E-3</v>
      </c>
      <c r="Q988" t="s">
        <v>166</v>
      </c>
    </row>
    <row r="989" spans="14:17" x14ac:dyDescent="0.45">
      <c r="N989" t="s">
        <v>198</v>
      </c>
      <c r="O989" t="s">
        <v>175</v>
      </c>
      <c r="P989">
        <v>1.5143912720037598E-2</v>
      </c>
      <c r="Q989" t="s">
        <v>166</v>
      </c>
    </row>
    <row r="990" spans="14:17" x14ac:dyDescent="0.45">
      <c r="N990" t="s">
        <v>198</v>
      </c>
      <c r="O990" t="s">
        <v>176</v>
      </c>
      <c r="P990">
        <v>3.2112035626959141E-2</v>
      </c>
      <c r="Q990" t="s">
        <v>166</v>
      </c>
    </row>
    <row r="991" spans="14:17" x14ac:dyDescent="0.45">
      <c r="N991" t="s">
        <v>198</v>
      </c>
      <c r="O991" t="s">
        <v>177</v>
      </c>
      <c r="P991">
        <v>1.2528747240602248E-2</v>
      </c>
      <c r="Q991" t="s">
        <v>166</v>
      </c>
    </row>
    <row r="992" spans="14:17" x14ac:dyDescent="0.45">
      <c r="N992" t="s">
        <v>198</v>
      </c>
      <c r="O992" t="s">
        <v>239</v>
      </c>
      <c r="P992">
        <v>3.0866158606343607E-3</v>
      </c>
      <c r="Q992" t="s">
        <v>166</v>
      </c>
    </row>
    <row r="993" spans="14:17" x14ac:dyDescent="0.45">
      <c r="N993" t="s">
        <v>198</v>
      </c>
      <c r="O993" t="s">
        <v>240</v>
      </c>
      <c r="P993">
        <v>3.095824597400191E-3</v>
      </c>
      <c r="Q993" t="s">
        <v>166</v>
      </c>
    </row>
    <row r="994" spans="14:17" x14ac:dyDescent="0.45">
      <c r="N994" t="s">
        <v>198</v>
      </c>
      <c r="O994" t="s">
        <v>241</v>
      </c>
      <c r="P994">
        <v>3.2376013203032064E-3</v>
      </c>
      <c r="Q994" t="s">
        <v>166</v>
      </c>
    </row>
    <row r="995" spans="14:17" x14ac:dyDescent="0.45">
      <c r="N995" t="s">
        <v>198</v>
      </c>
      <c r="O995" t="s">
        <v>242</v>
      </c>
      <c r="P995">
        <v>4.8002813054827564E-2</v>
      </c>
      <c r="Q995" t="s">
        <v>166</v>
      </c>
    </row>
    <row r="996" spans="14:17" x14ac:dyDescent="0.45">
      <c r="N996" t="s">
        <v>198</v>
      </c>
      <c r="O996" t="s">
        <v>243</v>
      </c>
      <c r="P996">
        <v>0.13840927489003163</v>
      </c>
      <c r="Q996" t="s">
        <v>166</v>
      </c>
    </row>
    <row r="997" spans="14:17" x14ac:dyDescent="0.45">
      <c r="N997" t="s">
        <v>198</v>
      </c>
      <c r="O997" t="s">
        <v>244</v>
      </c>
      <c r="P997">
        <v>4.1944430872349912E-2</v>
      </c>
      <c r="Q997" t="s">
        <v>166</v>
      </c>
    </row>
    <row r="998" spans="14:17" x14ac:dyDescent="0.45">
      <c r="N998" t="s">
        <v>198</v>
      </c>
      <c r="O998" t="s">
        <v>245</v>
      </c>
      <c r="P998">
        <v>1.0040672755895551E-2</v>
      </c>
      <c r="Q998" t="s">
        <v>166</v>
      </c>
    </row>
    <row r="999" spans="14:17" x14ac:dyDescent="0.45">
      <c r="N999" t="s">
        <v>198</v>
      </c>
      <c r="O999" t="s">
        <v>246</v>
      </c>
      <c r="P999">
        <v>9.9341397023551756E-3</v>
      </c>
      <c r="Q999" t="s">
        <v>166</v>
      </c>
    </row>
    <row r="1000" spans="14:17" x14ac:dyDescent="0.45">
      <c r="N1000" t="s">
        <v>198</v>
      </c>
      <c r="O1000" t="s">
        <v>247</v>
      </c>
      <c r="P1000">
        <v>9.5913292214876381E-3</v>
      </c>
      <c r="Q1000" t="s">
        <v>166</v>
      </c>
    </row>
    <row r="1001" spans="14:17" x14ac:dyDescent="0.45">
      <c r="N1001" t="s">
        <v>198</v>
      </c>
      <c r="O1001" t="s">
        <v>248</v>
      </c>
      <c r="P1001">
        <v>1.8275008550588293E-2</v>
      </c>
      <c r="Q1001" t="s">
        <v>166</v>
      </c>
    </row>
    <row r="1002" spans="14:17" x14ac:dyDescent="0.45">
      <c r="N1002" t="s">
        <v>198</v>
      </c>
      <c r="O1002" t="s">
        <v>249</v>
      </c>
      <c r="P1002">
        <v>4.8343514127853232E-2</v>
      </c>
      <c r="Q1002" t="s">
        <v>166</v>
      </c>
    </row>
    <row r="1003" spans="14:17" x14ac:dyDescent="0.45">
      <c r="N1003" t="s">
        <v>198</v>
      </c>
      <c r="O1003" t="s">
        <v>250</v>
      </c>
      <c r="P1003">
        <v>1.7254145972893407E-2</v>
      </c>
      <c r="Q1003" t="s">
        <v>166</v>
      </c>
    </row>
    <row r="1004" spans="14:17" x14ac:dyDescent="0.45">
      <c r="N1004" t="s">
        <v>198</v>
      </c>
      <c r="O1004" t="s">
        <v>251</v>
      </c>
      <c r="P1004">
        <v>4.58168242491328E-3</v>
      </c>
      <c r="Q1004" t="s">
        <v>166</v>
      </c>
    </row>
    <row r="1005" spans="14:17" x14ac:dyDescent="0.45">
      <c r="N1005" t="s">
        <v>198</v>
      </c>
      <c r="O1005" t="s">
        <v>252</v>
      </c>
      <c r="P1005">
        <v>4.6286266602755671E-3</v>
      </c>
      <c r="Q1005" t="s">
        <v>166</v>
      </c>
    </row>
    <row r="1006" spans="14:17" x14ac:dyDescent="0.45">
      <c r="N1006" t="s">
        <v>198</v>
      </c>
      <c r="O1006" t="s">
        <v>253</v>
      </c>
      <c r="P1006">
        <v>4.514221731375204E-3</v>
      </c>
      <c r="Q1006" t="s">
        <v>166</v>
      </c>
    </row>
    <row r="1007" spans="14:17" x14ac:dyDescent="0.45">
      <c r="N1007" t="s">
        <v>198</v>
      </c>
      <c r="O1007" t="s">
        <v>254</v>
      </c>
      <c r="P1007">
        <v>1.8111074150318613E-2</v>
      </c>
      <c r="Q1007" t="s">
        <v>166</v>
      </c>
    </row>
    <row r="1008" spans="14:17" x14ac:dyDescent="0.45">
      <c r="N1008" t="s">
        <v>198</v>
      </c>
      <c r="O1008" t="s">
        <v>255</v>
      </c>
      <c r="P1008">
        <v>3.7636559173228362E-2</v>
      </c>
      <c r="Q1008" t="s">
        <v>166</v>
      </c>
    </row>
    <row r="1009" spans="14:17" x14ac:dyDescent="0.45">
      <c r="N1009" t="s">
        <v>198</v>
      </c>
      <c r="O1009" t="s">
        <v>256</v>
      </c>
      <c r="P1009">
        <v>1.381142770024465E-2</v>
      </c>
      <c r="Q1009" t="s">
        <v>166</v>
      </c>
    </row>
    <row r="1010" spans="14:17" x14ac:dyDescent="0.45">
      <c r="N1010" t="s">
        <v>198</v>
      </c>
      <c r="O1010" t="s">
        <v>257</v>
      </c>
      <c r="P1010">
        <v>3.1365895506450313E-3</v>
      </c>
      <c r="Q1010" t="s">
        <v>166</v>
      </c>
    </row>
    <row r="1011" spans="14:17" x14ac:dyDescent="0.45">
      <c r="N1011" t="s">
        <v>198</v>
      </c>
      <c r="O1011" t="s">
        <v>258</v>
      </c>
      <c r="P1011">
        <v>3.0479193505153442E-3</v>
      </c>
      <c r="Q1011" t="s">
        <v>166</v>
      </c>
    </row>
    <row r="1012" spans="14:17" x14ac:dyDescent="0.45">
      <c r="N1012" t="s">
        <v>198</v>
      </c>
      <c r="O1012" t="s">
        <v>259</v>
      </c>
      <c r="P1012">
        <v>3.2432319272348072E-3</v>
      </c>
      <c r="Q1012" t="s">
        <v>166</v>
      </c>
    </row>
    <row r="1013" spans="14:17" x14ac:dyDescent="0.45">
      <c r="N1013" t="s">
        <v>198</v>
      </c>
      <c r="O1013" t="s">
        <v>260</v>
      </c>
      <c r="P1013">
        <v>4.6346292785487096E-2</v>
      </c>
      <c r="Q1013" t="s">
        <v>166</v>
      </c>
    </row>
    <row r="1014" spans="14:17" x14ac:dyDescent="0.45">
      <c r="N1014" t="s">
        <v>198</v>
      </c>
      <c r="O1014" t="s">
        <v>261</v>
      </c>
      <c r="P1014">
        <v>0.12241501404358637</v>
      </c>
      <c r="Q1014" t="s">
        <v>166</v>
      </c>
    </row>
    <row r="1015" spans="14:17" x14ac:dyDescent="0.45">
      <c r="N1015" t="s">
        <v>198</v>
      </c>
      <c r="O1015" t="s">
        <v>262</v>
      </c>
      <c r="P1015">
        <v>3.9300849747204596E-2</v>
      </c>
      <c r="Q1015" t="s">
        <v>166</v>
      </c>
    </row>
    <row r="1016" spans="14:17" x14ac:dyDescent="0.45">
      <c r="N1016" t="s">
        <v>198</v>
      </c>
      <c r="O1016" t="s">
        <v>263</v>
      </c>
      <c r="P1016">
        <v>9.3496711598862452E-3</v>
      </c>
      <c r="Q1016" t="s">
        <v>166</v>
      </c>
    </row>
    <row r="1017" spans="14:17" x14ac:dyDescent="0.45">
      <c r="N1017" t="s">
        <v>198</v>
      </c>
      <c r="O1017" t="s">
        <v>264</v>
      </c>
      <c r="P1017">
        <v>9.1888494529257965E-3</v>
      </c>
      <c r="Q1017" t="s">
        <v>166</v>
      </c>
    </row>
    <row r="1018" spans="14:17" x14ac:dyDescent="0.45">
      <c r="N1018" t="s">
        <v>198</v>
      </c>
      <c r="O1018" t="s">
        <v>265</v>
      </c>
      <c r="P1018">
        <v>9.2889255175706044E-3</v>
      </c>
      <c r="Q1018" t="s">
        <v>166</v>
      </c>
    </row>
    <row r="1019" spans="14:17" x14ac:dyDescent="0.45">
      <c r="N1019" t="s">
        <v>199</v>
      </c>
      <c r="O1019" t="s">
        <v>165</v>
      </c>
      <c r="P1019">
        <v>2.0997162457066371E-2</v>
      </c>
      <c r="Q1019" t="s">
        <v>166</v>
      </c>
    </row>
    <row r="1020" spans="14:17" x14ac:dyDescent="0.45">
      <c r="N1020" t="s">
        <v>199</v>
      </c>
      <c r="O1020" t="s">
        <v>167</v>
      </c>
      <c r="P1020">
        <v>4.7795376066646821E-2</v>
      </c>
      <c r="Q1020" t="s">
        <v>166</v>
      </c>
    </row>
    <row r="1021" spans="14:17" x14ac:dyDescent="0.45">
      <c r="N1021" t="s">
        <v>199</v>
      </c>
      <c r="O1021" t="s">
        <v>168</v>
      </c>
      <c r="P1021">
        <v>1.5574267841874564E-2</v>
      </c>
      <c r="Q1021" t="s">
        <v>166</v>
      </c>
    </row>
    <row r="1022" spans="14:17" x14ac:dyDescent="0.45">
      <c r="N1022" t="s">
        <v>199</v>
      </c>
      <c r="O1022" t="s">
        <v>230</v>
      </c>
      <c r="P1022">
        <v>4.0299415547096692E-3</v>
      </c>
      <c r="Q1022" t="s">
        <v>166</v>
      </c>
    </row>
    <row r="1023" spans="14:17" x14ac:dyDescent="0.45">
      <c r="N1023" t="s">
        <v>199</v>
      </c>
      <c r="O1023" t="s">
        <v>231</v>
      </c>
      <c r="P1023">
        <v>4.0234648722868001E-3</v>
      </c>
      <c r="Q1023" t="s">
        <v>166</v>
      </c>
    </row>
    <row r="1024" spans="14:17" x14ac:dyDescent="0.45">
      <c r="N1024" t="s">
        <v>199</v>
      </c>
      <c r="O1024" t="s">
        <v>232</v>
      </c>
      <c r="P1024">
        <v>4.0808288172807898E-3</v>
      </c>
      <c r="Q1024" t="s">
        <v>166</v>
      </c>
    </row>
    <row r="1025" spans="14:17" x14ac:dyDescent="0.45">
      <c r="N1025" t="s">
        <v>199</v>
      </c>
      <c r="O1025" t="s">
        <v>169</v>
      </c>
      <c r="P1025">
        <v>1.6359130743299269E-2</v>
      </c>
      <c r="Q1025" t="s">
        <v>166</v>
      </c>
    </row>
    <row r="1026" spans="14:17" x14ac:dyDescent="0.45">
      <c r="N1026" t="s">
        <v>199</v>
      </c>
      <c r="O1026" t="s">
        <v>170</v>
      </c>
      <c r="P1026">
        <v>3.3462789008510435E-2</v>
      </c>
      <c r="Q1026" t="s">
        <v>166</v>
      </c>
    </row>
    <row r="1027" spans="14:17" x14ac:dyDescent="0.45">
      <c r="N1027" t="s">
        <v>199</v>
      </c>
      <c r="O1027" t="s">
        <v>171</v>
      </c>
      <c r="P1027">
        <v>1.1319331462488201E-2</v>
      </c>
      <c r="Q1027" t="s">
        <v>166</v>
      </c>
    </row>
    <row r="1028" spans="14:17" x14ac:dyDescent="0.45">
      <c r="N1028" t="s">
        <v>199</v>
      </c>
      <c r="O1028" t="s">
        <v>233</v>
      </c>
      <c r="P1028">
        <v>3.0111346282257851E-3</v>
      </c>
      <c r="Q1028" t="s">
        <v>166</v>
      </c>
    </row>
    <row r="1029" spans="14:17" x14ac:dyDescent="0.45">
      <c r="N1029" t="s">
        <v>199</v>
      </c>
      <c r="O1029" t="s">
        <v>234</v>
      </c>
      <c r="P1029">
        <v>3.1023206723519892E-3</v>
      </c>
      <c r="Q1029" t="s">
        <v>166</v>
      </c>
    </row>
    <row r="1030" spans="14:17" x14ac:dyDescent="0.45">
      <c r="N1030" t="s">
        <v>199</v>
      </c>
      <c r="O1030" t="s">
        <v>235</v>
      </c>
      <c r="P1030">
        <v>3.3572187129282233E-3</v>
      </c>
      <c r="Q1030" t="s">
        <v>166</v>
      </c>
    </row>
    <row r="1031" spans="14:17" x14ac:dyDescent="0.45">
      <c r="N1031" t="s">
        <v>199</v>
      </c>
      <c r="O1031" t="s">
        <v>172</v>
      </c>
      <c r="P1031">
        <v>2.0329559485057349E-2</v>
      </c>
      <c r="Q1031" t="s">
        <v>166</v>
      </c>
    </row>
    <row r="1032" spans="14:17" x14ac:dyDescent="0.45">
      <c r="N1032" t="s">
        <v>199</v>
      </c>
      <c r="O1032" t="s">
        <v>173</v>
      </c>
      <c r="P1032">
        <v>4.5219178939155731E-2</v>
      </c>
      <c r="Q1032" t="s">
        <v>166</v>
      </c>
    </row>
    <row r="1033" spans="14:17" x14ac:dyDescent="0.45">
      <c r="N1033" t="s">
        <v>199</v>
      </c>
      <c r="O1033" t="s">
        <v>174</v>
      </c>
      <c r="P1033">
        <v>1.7660046452319077E-2</v>
      </c>
      <c r="Q1033" t="s">
        <v>166</v>
      </c>
    </row>
    <row r="1034" spans="14:17" x14ac:dyDescent="0.45">
      <c r="N1034" t="s">
        <v>199</v>
      </c>
      <c r="O1034" t="s">
        <v>236</v>
      </c>
      <c r="P1034">
        <v>4.2845709278338815E-3</v>
      </c>
      <c r="Q1034" t="s">
        <v>166</v>
      </c>
    </row>
    <row r="1035" spans="14:17" x14ac:dyDescent="0.45">
      <c r="N1035" t="s">
        <v>199</v>
      </c>
      <c r="O1035" t="s">
        <v>237</v>
      </c>
      <c r="P1035">
        <v>4.2077763762027563E-3</v>
      </c>
      <c r="Q1035" t="s">
        <v>166</v>
      </c>
    </row>
    <row r="1036" spans="14:17" x14ac:dyDescent="0.45">
      <c r="N1036" t="s">
        <v>199</v>
      </c>
      <c r="O1036" t="s">
        <v>238</v>
      </c>
      <c r="P1036">
        <v>4.3821898149891186E-3</v>
      </c>
      <c r="Q1036" t="s">
        <v>166</v>
      </c>
    </row>
    <row r="1037" spans="14:17" x14ac:dyDescent="0.45">
      <c r="N1037" t="s">
        <v>199</v>
      </c>
      <c r="O1037" t="s">
        <v>175</v>
      </c>
      <c r="P1037">
        <v>1.6920610138046167E-2</v>
      </c>
      <c r="Q1037" t="s">
        <v>166</v>
      </c>
    </row>
    <row r="1038" spans="14:17" x14ac:dyDescent="0.45">
      <c r="N1038" t="s">
        <v>199</v>
      </c>
      <c r="O1038" t="s">
        <v>176</v>
      </c>
      <c r="P1038">
        <v>3.2455323284525203E-2</v>
      </c>
      <c r="Q1038" t="s">
        <v>166</v>
      </c>
    </row>
    <row r="1039" spans="14:17" x14ac:dyDescent="0.45">
      <c r="N1039" t="s">
        <v>199</v>
      </c>
      <c r="O1039" t="s">
        <v>177</v>
      </c>
      <c r="P1039">
        <v>1.4291575881662619E-2</v>
      </c>
      <c r="Q1039" t="s">
        <v>166</v>
      </c>
    </row>
    <row r="1040" spans="14:17" x14ac:dyDescent="0.45">
      <c r="N1040" t="s">
        <v>199</v>
      </c>
      <c r="O1040" t="s">
        <v>239</v>
      </c>
      <c r="P1040">
        <v>3.9571786201499336E-3</v>
      </c>
      <c r="Q1040" t="s">
        <v>166</v>
      </c>
    </row>
    <row r="1041" spans="14:17" x14ac:dyDescent="0.45">
      <c r="N1041" t="s">
        <v>199</v>
      </c>
      <c r="O1041" t="s">
        <v>240</v>
      </c>
      <c r="P1041">
        <v>3.8907665755408497E-3</v>
      </c>
      <c r="Q1041" t="s">
        <v>166</v>
      </c>
    </row>
    <row r="1042" spans="14:17" x14ac:dyDescent="0.45">
      <c r="N1042" t="s">
        <v>199</v>
      </c>
      <c r="O1042" t="s">
        <v>241</v>
      </c>
      <c r="P1042">
        <v>3.8672276947986747E-3</v>
      </c>
      <c r="Q1042" t="s">
        <v>166</v>
      </c>
    </row>
    <row r="1043" spans="14:17" x14ac:dyDescent="0.45">
      <c r="N1043" t="s">
        <v>199</v>
      </c>
      <c r="O1043" t="s">
        <v>242</v>
      </c>
      <c r="P1043">
        <v>5.1064441500296279E-2</v>
      </c>
      <c r="Q1043" t="s">
        <v>166</v>
      </c>
    </row>
    <row r="1044" spans="14:17" x14ac:dyDescent="0.45">
      <c r="N1044" t="s">
        <v>199</v>
      </c>
      <c r="O1044" t="s">
        <v>243</v>
      </c>
      <c r="P1044">
        <v>0.13461316259985445</v>
      </c>
      <c r="Q1044" t="s">
        <v>166</v>
      </c>
    </row>
    <row r="1045" spans="14:17" x14ac:dyDescent="0.45">
      <c r="N1045" t="s">
        <v>199</v>
      </c>
      <c r="O1045" t="s">
        <v>244</v>
      </c>
      <c r="P1045">
        <v>4.1308395195087562E-2</v>
      </c>
      <c r="Q1045" t="s">
        <v>166</v>
      </c>
    </row>
    <row r="1046" spans="14:17" x14ac:dyDescent="0.45">
      <c r="N1046" t="s">
        <v>199</v>
      </c>
      <c r="O1046" t="s">
        <v>245</v>
      </c>
      <c r="P1046">
        <v>1.070121694156366E-2</v>
      </c>
      <c r="Q1046" t="s">
        <v>166</v>
      </c>
    </row>
    <row r="1047" spans="14:17" x14ac:dyDescent="0.45">
      <c r="N1047" t="s">
        <v>199</v>
      </c>
      <c r="O1047" t="s">
        <v>246</v>
      </c>
      <c r="P1047">
        <v>1.1063500787015217E-2</v>
      </c>
      <c r="Q1047" t="s">
        <v>166</v>
      </c>
    </row>
    <row r="1048" spans="14:17" x14ac:dyDescent="0.45">
      <c r="N1048" t="s">
        <v>199</v>
      </c>
      <c r="O1048" t="s">
        <v>247</v>
      </c>
      <c r="P1048">
        <v>1.0921811493519628E-2</v>
      </c>
      <c r="Q1048" t="s">
        <v>166</v>
      </c>
    </row>
    <row r="1049" spans="14:17" x14ac:dyDescent="0.45">
      <c r="N1049" t="s">
        <v>199</v>
      </c>
      <c r="O1049" t="s">
        <v>248</v>
      </c>
      <c r="P1049">
        <v>1.8842099158662619E-2</v>
      </c>
      <c r="Q1049" t="s">
        <v>166</v>
      </c>
    </row>
    <row r="1050" spans="14:17" x14ac:dyDescent="0.45">
      <c r="N1050" t="s">
        <v>199</v>
      </c>
      <c r="O1050" t="s">
        <v>249</v>
      </c>
      <c r="P1050">
        <v>4.6728069739054405E-2</v>
      </c>
      <c r="Q1050" t="s">
        <v>166</v>
      </c>
    </row>
    <row r="1051" spans="14:17" x14ac:dyDescent="0.45">
      <c r="N1051" t="s">
        <v>199</v>
      </c>
      <c r="O1051" t="s">
        <v>250</v>
      </c>
      <c r="P1051">
        <v>1.6034589132184598E-2</v>
      </c>
      <c r="Q1051" t="s">
        <v>166</v>
      </c>
    </row>
    <row r="1052" spans="14:17" x14ac:dyDescent="0.45">
      <c r="N1052" t="s">
        <v>199</v>
      </c>
      <c r="O1052" t="s">
        <v>251</v>
      </c>
      <c r="P1052">
        <v>4.2179346455600199E-3</v>
      </c>
      <c r="Q1052" t="s">
        <v>166</v>
      </c>
    </row>
    <row r="1053" spans="14:17" x14ac:dyDescent="0.45">
      <c r="N1053" t="s">
        <v>199</v>
      </c>
      <c r="O1053" t="s">
        <v>252</v>
      </c>
      <c r="P1053">
        <v>4.1731003538181865E-3</v>
      </c>
      <c r="Q1053" t="s">
        <v>166</v>
      </c>
    </row>
    <row r="1054" spans="14:17" x14ac:dyDescent="0.45">
      <c r="N1054" t="s">
        <v>199</v>
      </c>
      <c r="O1054" t="s">
        <v>253</v>
      </c>
      <c r="P1054">
        <v>4.3611825065278742E-3</v>
      </c>
      <c r="Q1054" t="s">
        <v>166</v>
      </c>
    </row>
    <row r="1055" spans="14:17" x14ac:dyDescent="0.45">
      <c r="N1055" t="s">
        <v>199</v>
      </c>
      <c r="O1055" t="s">
        <v>254</v>
      </c>
      <c r="P1055">
        <v>1.7206630062696699E-2</v>
      </c>
      <c r="Q1055" t="s">
        <v>166</v>
      </c>
    </row>
    <row r="1056" spans="14:17" x14ac:dyDescent="0.45">
      <c r="N1056" t="s">
        <v>199</v>
      </c>
      <c r="O1056" t="s">
        <v>255</v>
      </c>
      <c r="P1056">
        <v>3.6841946516970751E-2</v>
      </c>
      <c r="Q1056" t="s">
        <v>166</v>
      </c>
    </row>
    <row r="1057" spans="14:17" x14ac:dyDescent="0.45">
      <c r="N1057" t="s">
        <v>199</v>
      </c>
      <c r="O1057" t="s">
        <v>256</v>
      </c>
      <c r="P1057">
        <v>1.2882897922424237E-2</v>
      </c>
      <c r="Q1057" t="s">
        <v>166</v>
      </c>
    </row>
    <row r="1058" spans="14:17" x14ac:dyDescent="0.45">
      <c r="N1058" t="s">
        <v>199</v>
      </c>
      <c r="O1058" t="s">
        <v>257</v>
      </c>
      <c r="P1058">
        <v>3.0394633005997648E-3</v>
      </c>
      <c r="Q1058" t="s">
        <v>166</v>
      </c>
    </row>
    <row r="1059" spans="14:17" x14ac:dyDescent="0.45">
      <c r="N1059" t="s">
        <v>199</v>
      </c>
      <c r="O1059" t="s">
        <v>258</v>
      </c>
      <c r="P1059">
        <v>2.9621356096165789E-3</v>
      </c>
      <c r="Q1059" t="s">
        <v>166</v>
      </c>
    </row>
    <row r="1060" spans="14:17" x14ac:dyDescent="0.45">
      <c r="N1060" t="s">
        <v>199</v>
      </c>
      <c r="O1060" t="s">
        <v>259</v>
      </c>
      <c r="P1060">
        <v>3.0442723914978383E-3</v>
      </c>
      <c r="Q1060" t="s">
        <v>166</v>
      </c>
    </row>
    <row r="1061" spans="14:17" x14ac:dyDescent="0.45">
      <c r="N1061" t="s">
        <v>199</v>
      </c>
      <c r="O1061" t="s">
        <v>260</v>
      </c>
      <c r="P1061">
        <v>4.6713277698242857E-2</v>
      </c>
      <c r="Q1061" t="s">
        <v>166</v>
      </c>
    </row>
    <row r="1062" spans="14:17" x14ac:dyDescent="0.45">
      <c r="N1062" t="s">
        <v>199</v>
      </c>
      <c r="O1062" t="s">
        <v>261</v>
      </c>
      <c r="P1062">
        <v>0.11831774349770578</v>
      </c>
      <c r="Q1062" t="s">
        <v>166</v>
      </c>
    </row>
    <row r="1063" spans="14:17" x14ac:dyDescent="0.45">
      <c r="N1063" t="s">
        <v>199</v>
      </c>
      <c r="O1063" t="s">
        <v>262</v>
      </c>
      <c r="P1063">
        <v>3.7995270419366976E-2</v>
      </c>
      <c r="Q1063" t="s">
        <v>166</v>
      </c>
    </row>
    <row r="1064" spans="14:17" x14ac:dyDescent="0.45">
      <c r="N1064" t="s">
        <v>199</v>
      </c>
      <c r="O1064" t="s">
        <v>263</v>
      </c>
      <c r="P1064">
        <v>9.5884993909635292E-3</v>
      </c>
      <c r="Q1064" t="s">
        <v>166</v>
      </c>
    </row>
    <row r="1065" spans="14:17" x14ac:dyDescent="0.45">
      <c r="N1065" t="s">
        <v>199</v>
      </c>
      <c r="O1065" t="s">
        <v>264</v>
      </c>
      <c r="P1065">
        <v>9.427032834299973E-3</v>
      </c>
      <c r="Q1065" t="s">
        <v>166</v>
      </c>
    </row>
    <row r="1066" spans="14:17" x14ac:dyDescent="0.45">
      <c r="N1066" t="s">
        <v>199</v>
      </c>
      <c r="O1066" t="s">
        <v>265</v>
      </c>
      <c r="P1066">
        <v>9.3723552745229033E-3</v>
      </c>
      <c r="Q1066" t="s">
        <v>166</v>
      </c>
    </row>
    <row r="1067" spans="14:17" x14ac:dyDescent="0.45">
      <c r="N1067" t="s">
        <v>200</v>
      </c>
      <c r="O1067" t="s">
        <v>165</v>
      </c>
      <c r="P1067">
        <v>1.9249307382811328E-2</v>
      </c>
      <c r="Q1067" t="s">
        <v>166</v>
      </c>
    </row>
    <row r="1068" spans="14:17" x14ac:dyDescent="0.45">
      <c r="N1068" t="s">
        <v>200</v>
      </c>
      <c r="O1068" t="s">
        <v>167</v>
      </c>
      <c r="P1068">
        <v>4.8810773391793724E-2</v>
      </c>
      <c r="Q1068" t="s">
        <v>166</v>
      </c>
    </row>
    <row r="1069" spans="14:17" x14ac:dyDescent="0.45">
      <c r="N1069" t="s">
        <v>200</v>
      </c>
      <c r="O1069" t="s">
        <v>168</v>
      </c>
      <c r="P1069">
        <v>1.6318102966566776E-2</v>
      </c>
      <c r="Q1069" t="s">
        <v>166</v>
      </c>
    </row>
    <row r="1070" spans="14:17" x14ac:dyDescent="0.45">
      <c r="N1070" t="s">
        <v>200</v>
      </c>
      <c r="O1070" t="s">
        <v>230</v>
      </c>
      <c r="P1070">
        <v>3.9356589804501671E-3</v>
      </c>
      <c r="Q1070" t="s">
        <v>166</v>
      </c>
    </row>
    <row r="1071" spans="14:17" x14ac:dyDescent="0.45">
      <c r="N1071" t="s">
        <v>200</v>
      </c>
      <c r="O1071" t="s">
        <v>231</v>
      </c>
      <c r="P1071">
        <v>3.8706924469551116E-3</v>
      </c>
      <c r="Q1071" t="s">
        <v>166</v>
      </c>
    </row>
    <row r="1072" spans="14:17" x14ac:dyDescent="0.45">
      <c r="N1072" t="s">
        <v>200</v>
      </c>
      <c r="O1072" t="s">
        <v>232</v>
      </c>
      <c r="P1072">
        <v>4.116640366204345E-3</v>
      </c>
      <c r="Q1072" t="s">
        <v>166</v>
      </c>
    </row>
    <row r="1073" spans="14:17" x14ac:dyDescent="0.45">
      <c r="N1073" t="s">
        <v>200</v>
      </c>
      <c r="O1073" t="s">
        <v>169</v>
      </c>
      <c r="P1073">
        <v>1.4587268904201645E-2</v>
      </c>
      <c r="Q1073" t="s">
        <v>166</v>
      </c>
    </row>
    <row r="1074" spans="14:17" x14ac:dyDescent="0.45">
      <c r="N1074" t="s">
        <v>200</v>
      </c>
      <c r="O1074" t="s">
        <v>170</v>
      </c>
      <c r="P1074">
        <v>3.4153144660698034E-2</v>
      </c>
      <c r="Q1074" t="s">
        <v>166</v>
      </c>
    </row>
    <row r="1075" spans="14:17" x14ac:dyDescent="0.45">
      <c r="N1075" t="s">
        <v>200</v>
      </c>
      <c r="O1075" t="s">
        <v>171</v>
      </c>
      <c r="P1075">
        <v>1.1167351224628917E-2</v>
      </c>
      <c r="Q1075" t="s">
        <v>166</v>
      </c>
    </row>
    <row r="1076" spans="14:17" x14ac:dyDescent="0.45">
      <c r="N1076" t="s">
        <v>200</v>
      </c>
      <c r="O1076" t="s">
        <v>233</v>
      </c>
      <c r="P1076">
        <v>2.6766293981257822E-3</v>
      </c>
      <c r="Q1076" t="s">
        <v>166</v>
      </c>
    </row>
    <row r="1077" spans="14:17" x14ac:dyDescent="0.45">
      <c r="N1077" t="s">
        <v>200</v>
      </c>
      <c r="O1077" t="s">
        <v>234</v>
      </c>
      <c r="P1077">
        <v>2.6691903985480245E-3</v>
      </c>
      <c r="Q1077" t="s">
        <v>166</v>
      </c>
    </row>
    <row r="1078" spans="14:17" x14ac:dyDescent="0.45">
      <c r="N1078" t="s">
        <v>200</v>
      </c>
      <c r="O1078" t="s">
        <v>235</v>
      </c>
      <c r="P1078">
        <v>3.0222451759432094E-3</v>
      </c>
      <c r="Q1078" t="s">
        <v>166</v>
      </c>
    </row>
    <row r="1079" spans="14:17" x14ac:dyDescent="0.45">
      <c r="N1079" t="s">
        <v>200</v>
      </c>
      <c r="O1079" t="s">
        <v>172</v>
      </c>
      <c r="P1079">
        <v>2.0129440955892385E-2</v>
      </c>
      <c r="Q1079" t="s">
        <v>166</v>
      </c>
    </row>
    <row r="1080" spans="14:17" x14ac:dyDescent="0.45">
      <c r="N1080" t="s">
        <v>200</v>
      </c>
      <c r="O1080" t="s">
        <v>173</v>
      </c>
      <c r="P1080">
        <v>4.1839903612940835E-2</v>
      </c>
      <c r="Q1080" t="s">
        <v>166</v>
      </c>
    </row>
    <row r="1081" spans="14:17" x14ac:dyDescent="0.45">
      <c r="N1081" t="s">
        <v>200</v>
      </c>
      <c r="O1081" t="s">
        <v>174</v>
      </c>
      <c r="P1081">
        <v>1.7961665644031687E-2</v>
      </c>
      <c r="Q1081" t="s">
        <v>166</v>
      </c>
    </row>
    <row r="1082" spans="14:17" x14ac:dyDescent="0.45">
      <c r="N1082" t="s">
        <v>200</v>
      </c>
      <c r="O1082" t="s">
        <v>236</v>
      </c>
      <c r="P1082">
        <v>4.172908223593212E-3</v>
      </c>
      <c r="Q1082" t="s">
        <v>166</v>
      </c>
    </row>
    <row r="1083" spans="14:17" x14ac:dyDescent="0.45">
      <c r="N1083" t="s">
        <v>200</v>
      </c>
      <c r="O1083" t="s">
        <v>237</v>
      </c>
      <c r="P1083">
        <v>4.0097641411349499E-3</v>
      </c>
      <c r="Q1083" t="s">
        <v>166</v>
      </c>
    </row>
    <row r="1084" spans="14:17" x14ac:dyDescent="0.45">
      <c r="N1084" t="s">
        <v>200</v>
      </c>
      <c r="O1084" t="s">
        <v>238</v>
      </c>
      <c r="P1084">
        <v>4.2997108441362713E-3</v>
      </c>
      <c r="Q1084" t="s">
        <v>166</v>
      </c>
    </row>
    <row r="1085" spans="14:17" x14ac:dyDescent="0.45">
      <c r="N1085" t="s">
        <v>200</v>
      </c>
      <c r="O1085" t="s">
        <v>175</v>
      </c>
      <c r="P1085">
        <v>1.7465964158746256E-2</v>
      </c>
      <c r="Q1085" t="s">
        <v>166</v>
      </c>
    </row>
    <row r="1086" spans="14:17" x14ac:dyDescent="0.45">
      <c r="N1086" t="s">
        <v>200</v>
      </c>
      <c r="O1086" t="s">
        <v>176</v>
      </c>
      <c r="P1086">
        <v>3.3116173920796112E-2</v>
      </c>
      <c r="Q1086" t="s">
        <v>166</v>
      </c>
    </row>
    <row r="1087" spans="14:17" x14ac:dyDescent="0.45">
      <c r="N1087" t="s">
        <v>200</v>
      </c>
      <c r="O1087" t="s">
        <v>177</v>
      </c>
      <c r="P1087">
        <v>1.4426496532626093E-2</v>
      </c>
      <c r="Q1087" t="s">
        <v>166</v>
      </c>
    </row>
    <row r="1088" spans="14:17" x14ac:dyDescent="0.45">
      <c r="N1088" t="s">
        <v>200</v>
      </c>
      <c r="O1088" t="s">
        <v>239</v>
      </c>
      <c r="P1088">
        <v>3.9928921543953624E-3</v>
      </c>
      <c r="Q1088" t="s">
        <v>166</v>
      </c>
    </row>
    <row r="1089" spans="14:17" x14ac:dyDescent="0.45">
      <c r="N1089" t="s">
        <v>200</v>
      </c>
      <c r="O1089" t="s">
        <v>240</v>
      </c>
      <c r="P1089">
        <v>3.7950829515048176E-3</v>
      </c>
      <c r="Q1089" t="s">
        <v>166</v>
      </c>
    </row>
    <row r="1090" spans="14:17" x14ac:dyDescent="0.45">
      <c r="N1090" t="s">
        <v>200</v>
      </c>
      <c r="O1090" t="s">
        <v>241</v>
      </c>
      <c r="P1090">
        <v>3.9130342440344456E-3</v>
      </c>
      <c r="Q1090" t="s">
        <v>166</v>
      </c>
    </row>
    <row r="1091" spans="14:17" x14ac:dyDescent="0.45">
      <c r="N1091" t="s">
        <v>200</v>
      </c>
      <c r="O1091" t="s">
        <v>242</v>
      </c>
      <c r="P1091">
        <v>5.8915126690682794E-2</v>
      </c>
      <c r="Q1091" t="s">
        <v>166</v>
      </c>
    </row>
    <row r="1092" spans="14:17" x14ac:dyDescent="0.45">
      <c r="N1092" t="s">
        <v>200</v>
      </c>
      <c r="O1092" t="s">
        <v>243</v>
      </c>
      <c r="P1092">
        <v>0.12481889224292103</v>
      </c>
      <c r="Q1092" t="s">
        <v>166</v>
      </c>
    </row>
    <row r="1093" spans="14:17" x14ac:dyDescent="0.45">
      <c r="N1093" t="s">
        <v>200</v>
      </c>
      <c r="O1093" t="s">
        <v>244</v>
      </c>
      <c r="P1093">
        <v>4.2904163117242183E-2</v>
      </c>
      <c r="Q1093" t="s">
        <v>166</v>
      </c>
    </row>
    <row r="1094" spans="14:17" x14ac:dyDescent="0.45">
      <c r="N1094" t="s">
        <v>200</v>
      </c>
      <c r="O1094" t="s">
        <v>245</v>
      </c>
      <c r="P1094">
        <v>1.210793712583356E-2</v>
      </c>
      <c r="Q1094" t="s">
        <v>166</v>
      </c>
    </row>
    <row r="1095" spans="14:17" x14ac:dyDescent="0.45">
      <c r="N1095" t="s">
        <v>200</v>
      </c>
      <c r="O1095" t="s">
        <v>246</v>
      </c>
      <c r="P1095">
        <v>1.2274063078668292E-2</v>
      </c>
      <c r="Q1095" t="s">
        <v>166</v>
      </c>
    </row>
    <row r="1096" spans="14:17" x14ac:dyDescent="0.45">
      <c r="N1096" t="s">
        <v>200</v>
      </c>
      <c r="O1096" t="s">
        <v>247</v>
      </c>
      <c r="P1096">
        <v>1.3020023990060562E-2</v>
      </c>
      <c r="Q1096" t="s">
        <v>166</v>
      </c>
    </row>
    <row r="1097" spans="14:17" x14ac:dyDescent="0.45">
      <c r="N1097" t="s">
        <v>200</v>
      </c>
      <c r="O1097" t="s">
        <v>248</v>
      </c>
      <c r="P1097">
        <v>1.9091067311379131E-2</v>
      </c>
      <c r="Q1097" t="s">
        <v>166</v>
      </c>
    </row>
    <row r="1098" spans="14:17" x14ac:dyDescent="0.45">
      <c r="N1098" t="s">
        <v>200</v>
      </c>
      <c r="O1098" t="s">
        <v>249</v>
      </c>
      <c r="P1098">
        <v>4.4921655588819373E-2</v>
      </c>
      <c r="Q1098" t="s">
        <v>166</v>
      </c>
    </row>
    <row r="1099" spans="14:17" x14ac:dyDescent="0.45">
      <c r="N1099" t="s">
        <v>200</v>
      </c>
      <c r="O1099" t="s">
        <v>250</v>
      </c>
      <c r="P1099">
        <v>1.4973925289924365E-2</v>
      </c>
      <c r="Q1099" t="s">
        <v>166</v>
      </c>
    </row>
    <row r="1100" spans="14:17" x14ac:dyDescent="0.45">
      <c r="N1100" t="s">
        <v>200</v>
      </c>
      <c r="O1100" t="s">
        <v>251</v>
      </c>
      <c r="P1100">
        <v>3.8368931926643563E-3</v>
      </c>
      <c r="Q1100" t="s">
        <v>166</v>
      </c>
    </row>
    <row r="1101" spans="14:17" x14ac:dyDescent="0.45">
      <c r="N1101" t="s">
        <v>200</v>
      </c>
      <c r="O1101" t="s">
        <v>252</v>
      </c>
      <c r="P1101">
        <v>3.8401922206447851E-3</v>
      </c>
      <c r="Q1101" t="s">
        <v>166</v>
      </c>
    </row>
    <row r="1102" spans="14:17" x14ac:dyDescent="0.45">
      <c r="N1102" t="s">
        <v>200</v>
      </c>
      <c r="O1102" t="s">
        <v>253</v>
      </c>
      <c r="P1102">
        <v>4.3551477702294438E-3</v>
      </c>
      <c r="Q1102" t="s">
        <v>166</v>
      </c>
    </row>
    <row r="1103" spans="14:17" x14ac:dyDescent="0.45">
      <c r="N1103" t="s">
        <v>200</v>
      </c>
      <c r="O1103" t="s">
        <v>254</v>
      </c>
      <c r="P1103">
        <v>1.6010023706119602E-2</v>
      </c>
      <c r="Q1103" t="s">
        <v>166</v>
      </c>
    </row>
    <row r="1104" spans="14:17" x14ac:dyDescent="0.45">
      <c r="N1104" t="s">
        <v>200</v>
      </c>
      <c r="O1104" t="s">
        <v>255</v>
      </c>
      <c r="P1104">
        <v>3.3924963921505749E-2</v>
      </c>
      <c r="Q1104" t="s">
        <v>166</v>
      </c>
    </row>
    <row r="1105" spans="14:17" x14ac:dyDescent="0.45">
      <c r="N1105" t="s">
        <v>200</v>
      </c>
      <c r="O1105" t="s">
        <v>256</v>
      </c>
      <c r="P1105">
        <v>1.4160148126139306E-2</v>
      </c>
      <c r="Q1105" t="s">
        <v>166</v>
      </c>
    </row>
    <row r="1106" spans="14:17" x14ac:dyDescent="0.45">
      <c r="N1106" t="s">
        <v>200</v>
      </c>
      <c r="O1106" t="s">
        <v>257</v>
      </c>
      <c r="P1106">
        <v>3.2602879873319867E-3</v>
      </c>
      <c r="Q1106" t="s">
        <v>166</v>
      </c>
    </row>
    <row r="1107" spans="14:17" x14ac:dyDescent="0.45">
      <c r="N1107" t="s">
        <v>200</v>
      </c>
      <c r="O1107" t="s">
        <v>258</v>
      </c>
      <c r="P1107">
        <v>3.1515657091636304E-3</v>
      </c>
      <c r="Q1107" t="s">
        <v>166</v>
      </c>
    </row>
    <row r="1108" spans="14:17" x14ac:dyDescent="0.45">
      <c r="N1108" t="s">
        <v>200</v>
      </c>
      <c r="O1108" t="s">
        <v>259</v>
      </c>
      <c r="P1108">
        <v>3.1418928751117837E-3</v>
      </c>
      <c r="Q1108" t="s">
        <v>166</v>
      </c>
    </row>
    <row r="1109" spans="14:17" x14ac:dyDescent="0.45">
      <c r="N1109" t="s">
        <v>200</v>
      </c>
      <c r="O1109" t="s">
        <v>260</v>
      </c>
      <c r="P1109">
        <v>4.7143632005490467E-2</v>
      </c>
      <c r="Q1109" t="s">
        <v>166</v>
      </c>
    </row>
    <row r="1110" spans="14:17" x14ac:dyDescent="0.45">
      <c r="N1110" t="s">
        <v>200</v>
      </c>
      <c r="O1110" t="s">
        <v>261</v>
      </c>
      <c r="P1110">
        <v>0.12107063436065763</v>
      </c>
      <c r="Q1110" t="s">
        <v>166</v>
      </c>
    </row>
    <row r="1111" spans="14:17" x14ac:dyDescent="0.45">
      <c r="N1111" t="s">
        <v>200</v>
      </c>
      <c r="O1111" t="s">
        <v>262</v>
      </c>
      <c r="P1111">
        <v>4.0019929713032615E-2</v>
      </c>
      <c r="Q1111" t="s">
        <v>166</v>
      </c>
    </row>
    <row r="1112" spans="14:17" x14ac:dyDescent="0.45">
      <c r="N1112" t="s">
        <v>200</v>
      </c>
      <c r="O1112" t="s">
        <v>263</v>
      </c>
      <c r="P1112">
        <v>9.7288412059566409E-3</v>
      </c>
      <c r="Q1112" t="s">
        <v>166</v>
      </c>
    </row>
    <row r="1113" spans="14:17" x14ac:dyDescent="0.45">
      <c r="N1113" t="s">
        <v>200</v>
      </c>
      <c r="O1113" t="s">
        <v>264</v>
      </c>
      <c r="P1113">
        <v>9.6064334271424318E-3</v>
      </c>
      <c r="Q1113" t="s">
        <v>166</v>
      </c>
    </row>
    <row r="1114" spans="14:17" x14ac:dyDescent="0.45">
      <c r="N1114" t="s">
        <v>200</v>
      </c>
      <c r="O1114" t="s">
        <v>265</v>
      </c>
      <c r="P1114">
        <v>1.0022516662516308E-2</v>
      </c>
      <c r="Q1114" t="s">
        <v>166</v>
      </c>
    </row>
    <row r="1115" spans="14:17" x14ac:dyDescent="0.45">
      <c r="N1115" t="s">
        <v>201</v>
      </c>
      <c r="O1115" t="s">
        <v>165</v>
      </c>
      <c r="P1115">
        <v>2.00512244586761E-2</v>
      </c>
      <c r="Q1115" t="s">
        <v>166</v>
      </c>
    </row>
    <row r="1116" spans="14:17" x14ac:dyDescent="0.45">
      <c r="N1116" t="s">
        <v>201</v>
      </c>
      <c r="O1116" t="s">
        <v>167</v>
      </c>
      <c r="P1116">
        <v>4.7681527677690558E-2</v>
      </c>
      <c r="Q1116" t="s">
        <v>166</v>
      </c>
    </row>
    <row r="1117" spans="14:17" x14ac:dyDescent="0.45">
      <c r="N1117" t="s">
        <v>201</v>
      </c>
      <c r="O1117" t="s">
        <v>168</v>
      </c>
      <c r="P1117">
        <v>1.6992701204423317E-2</v>
      </c>
      <c r="Q1117" t="s">
        <v>166</v>
      </c>
    </row>
    <row r="1118" spans="14:17" x14ac:dyDescent="0.45">
      <c r="N1118" t="s">
        <v>201</v>
      </c>
      <c r="O1118" t="s">
        <v>230</v>
      </c>
      <c r="P1118">
        <v>4.0184866810772969E-3</v>
      </c>
      <c r="Q1118" t="s">
        <v>166</v>
      </c>
    </row>
    <row r="1119" spans="14:17" x14ac:dyDescent="0.45">
      <c r="N1119" t="s">
        <v>201</v>
      </c>
      <c r="O1119" t="s">
        <v>231</v>
      </c>
      <c r="P1119">
        <v>3.9188200547435707E-3</v>
      </c>
      <c r="Q1119" t="s">
        <v>166</v>
      </c>
    </row>
    <row r="1120" spans="14:17" x14ac:dyDescent="0.45">
      <c r="N1120" t="s">
        <v>201</v>
      </c>
      <c r="O1120" t="s">
        <v>232</v>
      </c>
      <c r="P1120">
        <v>4.0134368178342539E-3</v>
      </c>
      <c r="Q1120" t="s">
        <v>166</v>
      </c>
    </row>
    <row r="1121" spans="14:17" x14ac:dyDescent="0.45">
      <c r="N1121" t="s">
        <v>201</v>
      </c>
      <c r="O1121" t="s">
        <v>169</v>
      </c>
      <c r="P1121">
        <v>1.5284105625362202E-2</v>
      </c>
      <c r="Q1121" t="s">
        <v>166</v>
      </c>
    </row>
    <row r="1122" spans="14:17" x14ac:dyDescent="0.45">
      <c r="N1122" t="s">
        <v>201</v>
      </c>
      <c r="O1122" t="s">
        <v>170</v>
      </c>
      <c r="P1122">
        <v>3.554049668564143E-2</v>
      </c>
      <c r="Q1122" t="s">
        <v>166</v>
      </c>
    </row>
    <row r="1123" spans="14:17" x14ac:dyDescent="0.45">
      <c r="N1123" t="s">
        <v>201</v>
      </c>
      <c r="O1123" t="s">
        <v>171</v>
      </c>
      <c r="P1123">
        <v>1.0914816552045353E-2</v>
      </c>
      <c r="Q1123" t="s">
        <v>166</v>
      </c>
    </row>
    <row r="1124" spans="14:17" x14ac:dyDescent="0.45">
      <c r="N1124" t="s">
        <v>201</v>
      </c>
      <c r="O1124" t="s">
        <v>233</v>
      </c>
      <c r="P1124">
        <v>2.8819143663747888E-3</v>
      </c>
      <c r="Q1124" t="s">
        <v>166</v>
      </c>
    </row>
    <row r="1125" spans="14:17" x14ac:dyDescent="0.45">
      <c r="N1125" t="s">
        <v>201</v>
      </c>
      <c r="O1125" t="s">
        <v>234</v>
      </c>
      <c r="P1125">
        <v>3.009859600196878E-3</v>
      </c>
      <c r="Q1125" t="s">
        <v>166</v>
      </c>
    </row>
    <row r="1126" spans="14:17" x14ac:dyDescent="0.45">
      <c r="N1126" t="s">
        <v>201</v>
      </c>
      <c r="O1126" t="s">
        <v>235</v>
      </c>
      <c r="P1126">
        <v>3.2174358271972411E-3</v>
      </c>
      <c r="Q1126" t="s">
        <v>166</v>
      </c>
    </row>
    <row r="1127" spans="14:17" x14ac:dyDescent="0.45">
      <c r="N1127" t="s">
        <v>201</v>
      </c>
      <c r="O1127" t="s">
        <v>172</v>
      </c>
      <c r="P1127">
        <v>2.111148435839923E-2</v>
      </c>
      <c r="Q1127" t="s">
        <v>166</v>
      </c>
    </row>
    <row r="1128" spans="14:17" x14ac:dyDescent="0.45">
      <c r="N1128" t="s">
        <v>201</v>
      </c>
      <c r="O1128" t="s">
        <v>173</v>
      </c>
      <c r="P1128">
        <v>4.6172198217542974E-2</v>
      </c>
      <c r="Q1128" t="s">
        <v>166</v>
      </c>
    </row>
    <row r="1129" spans="14:17" x14ac:dyDescent="0.45">
      <c r="N1129" t="s">
        <v>201</v>
      </c>
      <c r="O1129" t="s">
        <v>174</v>
      </c>
      <c r="P1129">
        <v>1.6676521144523671E-2</v>
      </c>
      <c r="Q1129" t="s">
        <v>166</v>
      </c>
    </row>
    <row r="1130" spans="14:17" x14ac:dyDescent="0.45">
      <c r="N1130" t="s">
        <v>201</v>
      </c>
      <c r="O1130" t="s">
        <v>236</v>
      </c>
      <c r="P1130">
        <v>4.147318119479145E-3</v>
      </c>
      <c r="Q1130" t="s">
        <v>166</v>
      </c>
    </row>
    <row r="1131" spans="14:17" x14ac:dyDescent="0.45">
      <c r="N1131" t="s">
        <v>201</v>
      </c>
      <c r="O1131" t="s">
        <v>237</v>
      </c>
      <c r="P1131">
        <v>4.1195906024123954E-3</v>
      </c>
      <c r="Q1131" t="s">
        <v>166</v>
      </c>
    </row>
    <row r="1132" spans="14:17" x14ac:dyDescent="0.45">
      <c r="N1132" t="s">
        <v>201</v>
      </c>
      <c r="O1132" t="s">
        <v>238</v>
      </c>
      <c r="P1132">
        <v>4.3264395142833317E-3</v>
      </c>
      <c r="Q1132" t="s">
        <v>166</v>
      </c>
    </row>
    <row r="1133" spans="14:17" x14ac:dyDescent="0.45">
      <c r="N1133" t="s">
        <v>201</v>
      </c>
      <c r="O1133" t="s">
        <v>175</v>
      </c>
      <c r="P1133">
        <v>1.8369910920372719E-2</v>
      </c>
      <c r="Q1133" t="s">
        <v>166</v>
      </c>
    </row>
    <row r="1134" spans="14:17" x14ac:dyDescent="0.45">
      <c r="N1134" t="s">
        <v>201</v>
      </c>
      <c r="O1134" t="s">
        <v>176</v>
      </c>
      <c r="P1134">
        <v>3.4570361058027299E-2</v>
      </c>
      <c r="Q1134" t="s">
        <v>166</v>
      </c>
    </row>
    <row r="1135" spans="14:17" x14ac:dyDescent="0.45">
      <c r="N1135" t="s">
        <v>201</v>
      </c>
      <c r="O1135" t="s">
        <v>177</v>
      </c>
      <c r="P1135">
        <v>1.3684144985960362E-2</v>
      </c>
      <c r="Q1135" t="s">
        <v>166</v>
      </c>
    </row>
    <row r="1136" spans="14:17" x14ac:dyDescent="0.45">
      <c r="N1136" t="s">
        <v>201</v>
      </c>
      <c r="O1136" t="s">
        <v>239</v>
      </c>
      <c r="P1136">
        <v>3.8422290011830762E-3</v>
      </c>
      <c r="Q1136" t="s">
        <v>166</v>
      </c>
    </row>
    <row r="1137" spans="14:17" x14ac:dyDescent="0.45">
      <c r="N1137" t="s">
        <v>201</v>
      </c>
      <c r="O1137" t="s">
        <v>240</v>
      </c>
      <c r="P1137">
        <v>3.8957003232438325E-3</v>
      </c>
      <c r="Q1137" t="s">
        <v>166</v>
      </c>
    </row>
    <row r="1138" spans="14:17" x14ac:dyDescent="0.45">
      <c r="N1138" t="s">
        <v>201</v>
      </c>
      <c r="O1138" t="s">
        <v>241</v>
      </c>
      <c r="P1138">
        <v>3.9911154541580713E-3</v>
      </c>
      <c r="Q1138" t="s">
        <v>166</v>
      </c>
    </row>
    <row r="1139" spans="14:17" x14ac:dyDescent="0.45">
      <c r="N1139" t="s">
        <v>201</v>
      </c>
      <c r="O1139" t="s">
        <v>242</v>
      </c>
      <c r="P1139">
        <v>5.2382014441957434E-2</v>
      </c>
      <c r="Q1139" t="s">
        <v>166</v>
      </c>
    </row>
    <row r="1140" spans="14:17" x14ac:dyDescent="0.45">
      <c r="N1140" t="s">
        <v>201</v>
      </c>
      <c r="O1140" t="s">
        <v>243</v>
      </c>
      <c r="P1140">
        <v>0.12505518054168091</v>
      </c>
      <c r="Q1140" t="s">
        <v>166</v>
      </c>
    </row>
    <row r="1141" spans="14:17" x14ac:dyDescent="0.45">
      <c r="N1141" t="s">
        <v>201</v>
      </c>
      <c r="O1141" t="s">
        <v>244</v>
      </c>
      <c r="P1141">
        <v>3.9177395095236475E-2</v>
      </c>
      <c r="Q1141" t="s">
        <v>166</v>
      </c>
    </row>
    <row r="1142" spans="14:17" x14ac:dyDescent="0.45">
      <c r="N1142" t="s">
        <v>201</v>
      </c>
      <c r="O1142" t="s">
        <v>245</v>
      </c>
      <c r="P1142">
        <v>1.0418935462969178E-2</v>
      </c>
      <c r="Q1142" t="s">
        <v>166</v>
      </c>
    </row>
    <row r="1143" spans="14:17" x14ac:dyDescent="0.45">
      <c r="N1143" t="s">
        <v>201</v>
      </c>
      <c r="O1143" t="s">
        <v>246</v>
      </c>
      <c r="P1143">
        <v>1.0982048632035789E-2</v>
      </c>
      <c r="Q1143" t="s">
        <v>166</v>
      </c>
    </row>
    <row r="1144" spans="14:17" x14ac:dyDescent="0.45">
      <c r="N1144" t="s">
        <v>201</v>
      </c>
      <c r="O1144" t="s">
        <v>247</v>
      </c>
      <c r="P1144">
        <v>1.1253345682880646E-2</v>
      </c>
      <c r="Q1144" t="s">
        <v>166</v>
      </c>
    </row>
    <row r="1145" spans="14:17" x14ac:dyDescent="0.45">
      <c r="N1145" t="s">
        <v>201</v>
      </c>
      <c r="O1145" t="s">
        <v>248</v>
      </c>
      <c r="P1145">
        <v>1.8664170788445966E-2</v>
      </c>
      <c r="Q1145" t="s">
        <v>166</v>
      </c>
    </row>
    <row r="1146" spans="14:17" x14ac:dyDescent="0.45">
      <c r="N1146" t="s">
        <v>201</v>
      </c>
      <c r="O1146" t="s">
        <v>249</v>
      </c>
      <c r="P1146">
        <v>4.2185329486284749E-2</v>
      </c>
      <c r="Q1146" t="s">
        <v>166</v>
      </c>
    </row>
    <row r="1147" spans="14:17" x14ac:dyDescent="0.45">
      <c r="N1147" t="s">
        <v>201</v>
      </c>
      <c r="O1147" t="s">
        <v>250</v>
      </c>
      <c r="P1147">
        <v>1.4350279294045689E-2</v>
      </c>
      <c r="Q1147" t="s">
        <v>166</v>
      </c>
    </row>
    <row r="1148" spans="14:17" x14ac:dyDescent="0.45">
      <c r="N1148" t="s">
        <v>201</v>
      </c>
      <c r="O1148" t="s">
        <v>251</v>
      </c>
      <c r="P1148">
        <v>3.6612328275590781E-3</v>
      </c>
      <c r="Q1148" t="s">
        <v>166</v>
      </c>
    </row>
    <row r="1149" spans="14:17" x14ac:dyDescent="0.45">
      <c r="N1149" t="s">
        <v>201</v>
      </c>
      <c r="O1149" t="s">
        <v>252</v>
      </c>
      <c r="P1149">
        <v>3.7038219738617225E-3</v>
      </c>
      <c r="Q1149" t="s">
        <v>166</v>
      </c>
    </row>
    <row r="1150" spans="14:17" x14ac:dyDescent="0.45">
      <c r="N1150" t="s">
        <v>201</v>
      </c>
      <c r="O1150" t="s">
        <v>253</v>
      </c>
      <c r="P1150">
        <v>4.171204509464203E-3</v>
      </c>
      <c r="Q1150" t="s">
        <v>166</v>
      </c>
    </row>
    <row r="1151" spans="14:17" x14ac:dyDescent="0.45">
      <c r="N1151" t="s">
        <v>201</v>
      </c>
      <c r="O1151" t="s">
        <v>254</v>
      </c>
      <c r="P1151">
        <v>1.5911402456431786E-2</v>
      </c>
      <c r="Q1151" t="s">
        <v>166</v>
      </c>
    </row>
    <row r="1152" spans="14:17" x14ac:dyDescent="0.45">
      <c r="N1152" t="s">
        <v>201</v>
      </c>
      <c r="O1152" t="s">
        <v>255</v>
      </c>
      <c r="P1152">
        <v>3.7149076908710783E-2</v>
      </c>
      <c r="Q1152" t="s">
        <v>166</v>
      </c>
    </row>
    <row r="1153" spans="14:17" x14ac:dyDescent="0.45">
      <c r="N1153" t="s">
        <v>201</v>
      </c>
      <c r="O1153" t="s">
        <v>256</v>
      </c>
      <c r="P1153">
        <v>1.4351879660272661E-2</v>
      </c>
      <c r="Q1153" t="s">
        <v>166</v>
      </c>
    </row>
    <row r="1154" spans="14:17" x14ac:dyDescent="0.45">
      <c r="N1154" t="s">
        <v>201</v>
      </c>
      <c r="O1154" t="s">
        <v>257</v>
      </c>
      <c r="P1154">
        <v>3.3665207221257503E-3</v>
      </c>
      <c r="Q1154" t="s">
        <v>166</v>
      </c>
    </row>
    <row r="1155" spans="14:17" x14ac:dyDescent="0.45">
      <c r="N1155" t="s">
        <v>201</v>
      </c>
      <c r="O1155" t="s">
        <v>258</v>
      </c>
      <c r="P1155">
        <v>3.28201081103795E-3</v>
      </c>
      <c r="Q1155" t="s">
        <v>166</v>
      </c>
    </row>
    <row r="1156" spans="14:17" x14ac:dyDescent="0.45">
      <c r="N1156" t="s">
        <v>201</v>
      </c>
      <c r="O1156" t="s">
        <v>259</v>
      </c>
      <c r="P1156">
        <v>3.1609498940901328E-3</v>
      </c>
      <c r="Q1156" t="s">
        <v>166</v>
      </c>
    </row>
    <row r="1157" spans="14:17" x14ac:dyDescent="0.45">
      <c r="N1157" t="s">
        <v>201</v>
      </c>
      <c r="O1157" t="s">
        <v>260</v>
      </c>
      <c r="P1157">
        <v>4.8836273889769154E-2</v>
      </c>
      <c r="Q1157" t="s">
        <v>166</v>
      </c>
    </row>
    <row r="1158" spans="14:17" x14ac:dyDescent="0.45">
      <c r="N1158" t="s">
        <v>201</v>
      </c>
      <c r="O1158" t="s">
        <v>261</v>
      </c>
      <c r="P1158">
        <v>0.12446335780547167</v>
      </c>
      <c r="Q1158" t="s">
        <v>166</v>
      </c>
    </row>
    <row r="1159" spans="14:17" x14ac:dyDescent="0.45">
      <c r="N1159" t="s">
        <v>201</v>
      </c>
      <c r="O1159" t="s">
        <v>262</v>
      </c>
      <c r="P1159">
        <v>4.0829878408020139E-2</v>
      </c>
      <c r="Q1159" t="s">
        <v>166</v>
      </c>
    </row>
    <row r="1160" spans="14:17" x14ac:dyDescent="0.45">
      <c r="N1160" t="s">
        <v>201</v>
      </c>
      <c r="O1160" t="s">
        <v>263</v>
      </c>
      <c r="P1160">
        <v>1.0082915848602663E-2</v>
      </c>
      <c r="Q1160" t="s">
        <v>166</v>
      </c>
    </row>
    <row r="1161" spans="14:17" x14ac:dyDescent="0.45">
      <c r="N1161" t="s">
        <v>201</v>
      </c>
      <c r="O1161" t="s">
        <v>264</v>
      </c>
      <c r="P1161">
        <v>1.0020995315162292E-2</v>
      </c>
      <c r="Q1161" t="s">
        <v>166</v>
      </c>
    </row>
    <row r="1162" spans="14:17" x14ac:dyDescent="0.45">
      <c r="N1162" t="s">
        <v>201</v>
      </c>
      <c r="O1162" t="s">
        <v>265</v>
      </c>
      <c r="P1162">
        <v>1.0107940293036431E-2</v>
      </c>
      <c r="Q1162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3DAA-AD56-463E-8A6D-A0F4F886E474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212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218</v>
      </c>
      <c r="AK10" t="s">
        <v>47</v>
      </c>
      <c r="AL10" t="s">
        <v>122</v>
      </c>
      <c r="AM10" t="s">
        <v>219</v>
      </c>
      <c r="AN10" t="s">
        <v>220</v>
      </c>
    </row>
    <row r="11" spans="1:40" x14ac:dyDescent="0.45">
      <c r="A11" t="str">
        <f>IFERROR(IF(Veda!D5=A10,"ok","x"),"")</f>
        <v>ok</v>
      </c>
      <c r="C11" t="s">
        <v>268</v>
      </c>
      <c r="D11" t="s">
        <v>155</v>
      </c>
      <c r="E11" t="s">
        <v>269</v>
      </c>
      <c r="F11" t="s">
        <v>268</v>
      </c>
      <c r="G11" t="s">
        <v>155</v>
      </c>
      <c r="I11" t="s">
        <v>164</v>
      </c>
      <c r="J11" t="s">
        <v>270</v>
      </c>
      <c r="K11">
        <v>0.99999999999999856</v>
      </c>
      <c r="L11" t="s">
        <v>166</v>
      </c>
      <c r="N11" t="s">
        <v>178</v>
      </c>
      <c r="O11" t="s">
        <v>270</v>
      </c>
      <c r="P11">
        <v>1.0000000000000024</v>
      </c>
      <c r="Q11" t="s">
        <v>166</v>
      </c>
      <c r="S11" t="s">
        <v>202</v>
      </c>
      <c r="T11" t="s">
        <v>270</v>
      </c>
      <c r="U11">
        <v>1.0000000000000002</v>
      </c>
      <c r="V11" t="s">
        <v>166</v>
      </c>
      <c r="X11">
        <v>1</v>
      </c>
      <c r="Y11">
        <v>1.0000000000000002</v>
      </c>
      <c r="Z11" t="s">
        <v>270</v>
      </c>
      <c r="AA11" t="s">
        <v>25</v>
      </c>
      <c r="AC11" t="s">
        <v>22</v>
      </c>
      <c r="AD11" t="s">
        <v>270</v>
      </c>
      <c r="AE11">
        <v>1</v>
      </c>
      <c r="AG11" t="s">
        <v>97</v>
      </c>
      <c r="AH11" t="s">
        <v>270</v>
      </c>
      <c r="AI11">
        <v>0.28607962198337722</v>
      </c>
      <c r="AK11">
        <v>2020</v>
      </c>
      <c r="AL11" t="s">
        <v>268</v>
      </c>
      <c r="AM11">
        <v>0.57375154623019686</v>
      </c>
      <c r="AN11" t="s">
        <v>221</v>
      </c>
    </row>
    <row r="12" spans="1:40" x14ac:dyDescent="0.45">
      <c r="N12" t="s">
        <v>179</v>
      </c>
      <c r="O12" t="s">
        <v>270</v>
      </c>
      <c r="P12">
        <v>0.99999999999999845</v>
      </c>
      <c r="Q12" t="s">
        <v>166</v>
      </c>
      <c r="S12" t="s">
        <v>203</v>
      </c>
      <c r="T12" t="s">
        <v>270</v>
      </c>
      <c r="U12">
        <v>1.0000000000000011</v>
      </c>
      <c r="V12" t="s">
        <v>166</v>
      </c>
      <c r="AC12" t="s">
        <v>19</v>
      </c>
      <c r="AD12" t="s">
        <v>270</v>
      </c>
      <c r="AE12">
        <v>1</v>
      </c>
      <c r="AK12">
        <v>2021</v>
      </c>
      <c r="AL12" t="s">
        <v>268</v>
      </c>
      <c r="AM12">
        <v>0.5661476950718326</v>
      </c>
      <c r="AN12" t="s">
        <v>221</v>
      </c>
    </row>
    <row r="13" spans="1:40" x14ac:dyDescent="0.45">
      <c r="N13" t="s">
        <v>180</v>
      </c>
      <c r="O13" t="s">
        <v>270</v>
      </c>
      <c r="P13">
        <v>1.0000000000000029</v>
      </c>
      <c r="Q13" t="s">
        <v>166</v>
      </c>
      <c r="S13" t="s">
        <v>204</v>
      </c>
      <c r="T13" t="s">
        <v>270</v>
      </c>
      <c r="U13">
        <v>1.0000000000000018</v>
      </c>
      <c r="V13" t="s">
        <v>166</v>
      </c>
      <c r="AK13">
        <v>2022</v>
      </c>
      <c r="AL13" t="s">
        <v>268</v>
      </c>
      <c r="AM13">
        <v>0.48935960502944326</v>
      </c>
      <c r="AN13" t="s">
        <v>221</v>
      </c>
    </row>
    <row r="14" spans="1:40" x14ac:dyDescent="0.45">
      <c r="N14" t="s">
        <v>181</v>
      </c>
      <c r="O14" t="s">
        <v>270</v>
      </c>
      <c r="P14">
        <v>1.0000000000000013</v>
      </c>
      <c r="Q14" t="s">
        <v>166</v>
      </c>
      <c r="S14" t="s">
        <v>205</v>
      </c>
      <c r="T14" t="s">
        <v>270</v>
      </c>
      <c r="U14">
        <v>1.0000000000000018</v>
      </c>
      <c r="V14" t="s">
        <v>166</v>
      </c>
      <c r="AK14">
        <v>2025</v>
      </c>
      <c r="AL14" t="s">
        <v>268</v>
      </c>
      <c r="AM14">
        <v>0.59707500000000013</v>
      </c>
      <c r="AN14" t="s">
        <v>221</v>
      </c>
    </row>
    <row r="15" spans="1:40" x14ac:dyDescent="0.45">
      <c r="N15" t="s">
        <v>182</v>
      </c>
      <c r="O15" t="s">
        <v>270</v>
      </c>
      <c r="P15">
        <v>0.99999999999999911</v>
      </c>
      <c r="Q15" t="s">
        <v>166</v>
      </c>
      <c r="S15" t="s">
        <v>206</v>
      </c>
      <c r="T15" t="s">
        <v>270</v>
      </c>
      <c r="U15">
        <v>0.99999999999999789</v>
      </c>
      <c r="V15" t="s">
        <v>166</v>
      </c>
      <c r="AK15">
        <v>2026</v>
      </c>
      <c r="AL15" t="s">
        <v>268</v>
      </c>
      <c r="AM15">
        <v>0.61155000000000015</v>
      </c>
      <c r="AN15" t="s">
        <v>221</v>
      </c>
    </row>
    <row r="16" spans="1:40" x14ac:dyDescent="0.45">
      <c r="N16" t="s">
        <v>183</v>
      </c>
      <c r="O16" t="s">
        <v>270</v>
      </c>
      <c r="P16">
        <v>1.0000000000000022</v>
      </c>
      <c r="Q16" t="s">
        <v>166</v>
      </c>
      <c r="S16" t="s">
        <v>207</v>
      </c>
      <c r="T16" t="s">
        <v>270</v>
      </c>
      <c r="U16">
        <v>1.0000000000000007</v>
      </c>
      <c r="V16" t="s">
        <v>166</v>
      </c>
      <c r="AK16">
        <v>2027</v>
      </c>
      <c r="AL16" t="s">
        <v>268</v>
      </c>
      <c r="AM16">
        <v>0.52959166666666668</v>
      </c>
      <c r="AN16" t="s">
        <v>221</v>
      </c>
    </row>
    <row r="17" spans="14:40" x14ac:dyDescent="0.45">
      <c r="N17" t="s">
        <v>184</v>
      </c>
      <c r="O17" t="s">
        <v>270</v>
      </c>
      <c r="P17">
        <v>0.99999999999999967</v>
      </c>
      <c r="Q17" t="s">
        <v>166</v>
      </c>
      <c r="S17" t="s">
        <v>208</v>
      </c>
      <c r="T17" t="s">
        <v>270</v>
      </c>
      <c r="U17">
        <v>0.99999999999999079</v>
      </c>
      <c r="V17" t="s">
        <v>166</v>
      </c>
      <c r="AK17">
        <v>2028</v>
      </c>
      <c r="AL17" t="s">
        <v>268</v>
      </c>
      <c r="AM17">
        <v>0.52045833333333336</v>
      </c>
      <c r="AN17" t="s">
        <v>221</v>
      </c>
    </row>
    <row r="18" spans="14:40" x14ac:dyDescent="0.45">
      <c r="N18" t="s">
        <v>185</v>
      </c>
      <c r="O18" t="s">
        <v>270</v>
      </c>
      <c r="P18">
        <v>0.99999999999999811</v>
      </c>
      <c r="Q18" t="s">
        <v>166</v>
      </c>
      <c r="S18" t="s">
        <v>209</v>
      </c>
      <c r="T18" t="s">
        <v>270</v>
      </c>
      <c r="U18">
        <v>1.0000000000000027</v>
      </c>
      <c r="V18" t="s">
        <v>166</v>
      </c>
      <c r="AK18">
        <v>2029</v>
      </c>
      <c r="AL18" t="s">
        <v>268</v>
      </c>
      <c r="AM18">
        <v>0.62034166666666657</v>
      </c>
      <c r="AN18" t="s">
        <v>221</v>
      </c>
    </row>
    <row r="19" spans="14:40" x14ac:dyDescent="0.45">
      <c r="N19" t="s">
        <v>186</v>
      </c>
      <c r="O19" t="s">
        <v>270</v>
      </c>
      <c r="P19">
        <v>1.0000000000000013</v>
      </c>
      <c r="Q19" t="s">
        <v>166</v>
      </c>
      <c r="S19" t="s">
        <v>210</v>
      </c>
      <c r="T19" t="s">
        <v>270</v>
      </c>
      <c r="U19">
        <v>0.99999999999999989</v>
      </c>
      <c r="V19" t="s">
        <v>166</v>
      </c>
      <c r="AK19">
        <v>2030</v>
      </c>
      <c r="AL19" t="s">
        <v>268</v>
      </c>
      <c r="AM19">
        <v>0.50667499999999999</v>
      </c>
      <c r="AN19" t="s">
        <v>221</v>
      </c>
    </row>
    <row r="20" spans="14:40" x14ac:dyDescent="0.45">
      <c r="N20" t="s">
        <v>187</v>
      </c>
      <c r="O20" t="s">
        <v>270</v>
      </c>
      <c r="P20">
        <v>0.99999999999999845</v>
      </c>
      <c r="Q20" t="s">
        <v>166</v>
      </c>
      <c r="S20" t="s">
        <v>211</v>
      </c>
      <c r="T20" t="s">
        <v>270</v>
      </c>
      <c r="U20">
        <v>1.0000000000000011</v>
      </c>
      <c r="V20" t="s">
        <v>166</v>
      </c>
      <c r="AK20">
        <v>2031</v>
      </c>
      <c r="AL20" t="s">
        <v>268</v>
      </c>
      <c r="AM20">
        <v>0.52957500000000002</v>
      </c>
      <c r="AN20" t="s">
        <v>221</v>
      </c>
    </row>
    <row r="21" spans="14:40" x14ac:dyDescent="0.45">
      <c r="N21" t="s">
        <v>188</v>
      </c>
      <c r="O21" t="s">
        <v>270</v>
      </c>
      <c r="P21">
        <v>1.0000000000000004</v>
      </c>
      <c r="Q21" t="s">
        <v>166</v>
      </c>
      <c r="AK21">
        <v>2032</v>
      </c>
      <c r="AL21" t="s">
        <v>268</v>
      </c>
      <c r="AM21">
        <v>0.52068333333333339</v>
      </c>
      <c r="AN21" t="s">
        <v>221</v>
      </c>
    </row>
    <row r="22" spans="14:40" x14ac:dyDescent="0.45">
      <c r="N22" t="s">
        <v>189</v>
      </c>
      <c r="O22" t="s">
        <v>270</v>
      </c>
      <c r="P22">
        <v>0.99999999999999856</v>
      </c>
      <c r="Q22" t="s">
        <v>166</v>
      </c>
      <c r="AK22">
        <v>2033</v>
      </c>
      <c r="AL22" t="s">
        <v>268</v>
      </c>
      <c r="AM22">
        <v>0.51680833333333343</v>
      </c>
      <c r="AN22" t="s">
        <v>221</v>
      </c>
    </row>
    <row r="23" spans="14:40" x14ac:dyDescent="0.45">
      <c r="N23" t="s">
        <v>190</v>
      </c>
      <c r="O23" t="s">
        <v>270</v>
      </c>
      <c r="P23">
        <v>0.99999999999999989</v>
      </c>
      <c r="Q23" t="s">
        <v>166</v>
      </c>
      <c r="AK23">
        <v>2034</v>
      </c>
      <c r="AL23" t="s">
        <v>268</v>
      </c>
      <c r="AM23">
        <v>0.58275833333333338</v>
      </c>
      <c r="AN23" t="s">
        <v>221</v>
      </c>
    </row>
    <row r="24" spans="14:40" x14ac:dyDescent="0.45">
      <c r="N24" t="s">
        <v>191</v>
      </c>
      <c r="O24" t="s">
        <v>270</v>
      </c>
      <c r="P24">
        <v>1.0000000000000018</v>
      </c>
      <c r="Q24" t="s">
        <v>166</v>
      </c>
      <c r="AK24">
        <v>2035</v>
      </c>
      <c r="AL24" t="s">
        <v>268</v>
      </c>
      <c r="AM24">
        <v>0.60272499999999996</v>
      </c>
      <c r="AN24" t="s">
        <v>221</v>
      </c>
    </row>
    <row r="25" spans="14:40" x14ac:dyDescent="0.45">
      <c r="N25" t="s">
        <v>192</v>
      </c>
      <c r="O25" t="s">
        <v>270</v>
      </c>
      <c r="P25">
        <v>0.99999999999999634</v>
      </c>
      <c r="Q25" t="s">
        <v>166</v>
      </c>
      <c r="AK25">
        <v>2036</v>
      </c>
      <c r="AL25" t="s">
        <v>268</v>
      </c>
      <c r="AM25">
        <v>0.6041333333333333</v>
      </c>
      <c r="AN25" t="s">
        <v>221</v>
      </c>
    </row>
    <row r="26" spans="14:40" x14ac:dyDescent="0.45">
      <c r="N26" t="s">
        <v>193</v>
      </c>
      <c r="O26" t="s">
        <v>270</v>
      </c>
      <c r="P26">
        <v>1.0000000000000002</v>
      </c>
      <c r="Q26" t="s">
        <v>166</v>
      </c>
      <c r="AK26">
        <v>2037</v>
      </c>
      <c r="AL26" t="s">
        <v>268</v>
      </c>
      <c r="AM26">
        <v>0.5982249999999999</v>
      </c>
      <c r="AN26" t="s">
        <v>221</v>
      </c>
    </row>
    <row r="27" spans="14:40" x14ac:dyDescent="0.45">
      <c r="N27" t="s">
        <v>194</v>
      </c>
      <c r="O27" t="s">
        <v>270</v>
      </c>
      <c r="P27">
        <v>1.0000000000000036</v>
      </c>
      <c r="Q27" t="s">
        <v>166</v>
      </c>
      <c r="AK27">
        <v>2038</v>
      </c>
      <c r="AL27" t="s">
        <v>268</v>
      </c>
      <c r="AM27">
        <v>0.57907500000000001</v>
      </c>
      <c r="AN27" t="s">
        <v>221</v>
      </c>
    </row>
    <row r="28" spans="14:40" x14ac:dyDescent="0.45">
      <c r="N28" t="s">
        <v>195</v>
      </c>
      <c r="O28" t="s">
        <v>270</v>
      </c>
      <c r="P28">
        <v>1.0000000000000027</v>
      </c>
      <c r="Q28" t="s">
        <v>166</v>
      </c>
      <c r="AK28">
        <v>2039</v>
      </c>
      <c r="AL28" t="s">
        <v>268</v>
      </c>
      <c r="AM28">
        <v>0.5968416666666666</v>
      </c>
      <c r="AN28" t="s">
        <v>221</v>
      </c>
    </row>
    <row r="29" spans="14:40" x14ac:dyDescent="0.45">
      <c r="N29" t="s">
        <v>196</v>
      </c>
      <c r="O29" t="s">
        <v>270</v>
      </c>
      <c r="P29">
        <v>0.99999999999999989</v>
      </c>
      <c r="Q29" t="s">
        <v>166</v>
      </c>
      <c r="AK29">
        <v>2040</v>
      </c>
      <c r="AL29" t="s">
        <v>268</v>
      </c>
      <c r="AM29">
        <v>0.6048</v>
      </c>
      <c r="AN29" t="s">
        <v>221</v>
      </c>
    </row>
    <row r="30" spans="14:40" x14ac:dyDescent="0.45">
      <c r="N30" t="s">
        <v>197</v>
      </c>
      <c r="O30" t="s">
        <v>270</v>
      </c>
      <c r="P30">
        <v>1.0000000000000013</v>
      </c>
      <c r="Q30" t="s">
        <v>166</v>
      </c>
      <c r="AK30">
        <v>2041</v>
      </c>
      <c r="AL30" t="s">
        <v>268</v>
      </c>
      <c r="AM30">
        <v>0.58680833333333338</v>
      </c>
      <c r="AN30" t="s">
        <v>221</v>
      </c>
    </row>
    <row r="31" spans="14:40" x14ac:dyDescent="0.45">
      <c r="N31" t="s">
        <v>198</v>
      </c>
      <c r="O31" t="s">
        <v>270</v>
      </c>
      <c r="P31">
        <v>1.0000000000000018</v>
      </c>
      <c r="Q31" t="s">
        <v>166</v>
      </c>
      <c r="AK31">
        <v>2042</v>
      </c>
      <c r="AL31" t="s">
        <v>268</v>
      </c>
      <c r="AM31">
        <v>0.60124166666666667</v>
      </c>
      <c r="AN31" t="s">
        <v>221</v>
      </c>
    </row>
    <row r="32" spans="14:40" x14ac:dyDescent="0.45">
      <c r="N32" t="s">
        <v>199</v>
      </c>
      <c r="O32" t="s">
        <v>270</v>
      </c>
      <c r="P32">
        <v>1.0000000000000027</v>
      </c>
      <c r="Q32" t="s">
        <v>166</v>
      </c>
      <c r="AK32">
        <v>2043</v>
      </c>
      <c r="AL32" t="s">
        <v>268</v>
      </c>
      <c r="AM32">
        <v>0.60100833333333326</v>
      </c>
      <c r="AN32" t="s">
        <v>221</v>
      </c>
    </row>
    <row r="33" spans="14:40" x14ac:dyDescent="0.45">
      <c r="N33" t="s">
        <v>200</v>
      </c>
      <c r="O33" t="s">
        <v>270</v>
      </c>
      <c r="P33">
        <v>0.99999999999999745</v>
      </c>
      <c r="Q33" t="s">
        <v>166</v>
      </c>
      <c r="AK33">
        <v>2044</v>
      </c>
      <c r="AL33" t="s">
        <v>268</v>
      </c>
      <c r="AM33">
        <v>0.59746666666666659</v>
      </c>
      <c r="AN33" t="s">
        <v>221</v>
      </c>
    </row>
    <row r="34" spans="14:40" x14ac:dyDescent="0.45">
      <c r="N34" t="s">
        <v>201</v>
      </c>
      <c r="O34" t="s">
        <v>270</v>
      </c>
      <c r="P34">
        <v>1.0000000000000024</v>
      </c>
      <c r="Q34" t="s">
        <v>166</v>
      </c>
      <c r="AK34">
        <v>2045</v>
      </c>
      <c r="AL34" t="s">
        <v>268</v>
      </c>
      <c r="AM34">
        <v>0.58189999999999997</v>
      </c>
      <c r="AN34" t="s">
        <v>221</v>
      </c>
    </row>
    <row r="35" spans="14:40" x14ac:dyDescent="0.45">
      <c r="AK35">
        <v>2046</v>
      </c>
      <c r="AL35" t="s">
        <v>268</v>
      </c>
      <c r="AM35">
        <v>0.60316666666666674</v>
      </c>
      <c r="AN35" t="s">
        <v>221</v>
      </c>
    </row>
    <row r="36" spans="14:40" x14ac:dyDescent="0.45">
      <c r="AK36">
        <v>2047</v>
      </c>
      <c r="AL36" t="s">
        <v>268</v>
      </c>
      <c r="AM36">
        <v>0.60730833333333323</v>
      </c>
      <c r="AN36" t="s">
        <v>221</v>
      </c>
    </row>
    <row r="37" spans="14:40" x14ac:dyDescent="0.45">
      <c r="AK37">
        <v>2048</v>
      </c>
      <c r="AL37" t="s">
        <v>268</v>
      </c>
      <c r="AM37">
        <v>0.50534166666666669</v>
      </c>
      <c r="AN37" t="s">
        <v>221</v>
      </c>
    </row>
    <row r="38" spans="14:40" x14ac:dyDescent="0.45">
      <c r="AK38">
        <v>2049</v>
      </c>
      <c r="AL38" t="s">
        <v>268</v>
      </c>
      <c r="AM38">
        <v>0.51532499999999992</v>
      </c>
      <c r="AN38" t="s">
        <v>221</v>
      </c>
    </row>
    <row r="39" spans="14:40" x14ac:dyDescent="0.45">
      <c r="AK39">
        <v>2050</v>
      </c>
      <c r="AL39" t="s">
        <v>268</v>
      </c>
      <c r="AM39">
        <v>0.51139166666666669</v>
      </c>
      <c r="AN39" t="s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F881-0F87-4362-8D23-24E528699334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212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218</v>
      </c>
      <c r="AK10" t="s">
        <v>47</v>
      </c>
      <c r="AL10" t="s">
        <v>122</v>
      </c>
      <c r="AM10" t="s">
        <v>219</v>
      </c>
      <c r="AN10" t="s">
        <v>220</v>
      </c>
    </row>
    <row r="11" spans="1:40" x14ac:dyDescent="0.45">
      <c r="A11" t="str">
        <f>IFERROR(IF(Veda!D5=A10,"ok","x"),"")</f>
        <v>x</v>
      </c>
      <c r="C11" t="s">
        <v>271</v>
      </c>
      <c r="D11" t="s">
        <v>155</v>
      </c>
      <c r="E11" t="s">
        <v>214</v>
      </c>
      <c r="F11" t="s">
        <v>272</v>
      </c>
      <c r="G11" t="s">
        <v>155</v>
      </c>
      <c r="I11" t="s">
        <v>164</v>
      </c>
      <c r="J11" t="s">
        <v>277</v>
      </c>
      <c r="K11">
        <v>0.14145010613647249</v>
      </c>
      <c r="L11" t="s">
        <v>166</v>
      </c>
      <c r="N11" t="s">
        <v>178</v>
      </c>
      <c r="O11" t="s">
        <v>277</v>
      </c>
      <c r="P11">
        <v>0.12311198480002852</v>
      </c>
      <c r="Q11" t="s">
        <v>166</v>
      </c>
      <c r="S11" t="s">
        <v>202</v>
      </c>
      <c r="T11" t="s">
        <v>277</v>
      </c>
      <c r="U11">
        <v>0.11790551679034462</v>
      </c>
      <c r="V11" t="s">
        <v>166</v>
      </c>
      <c r="X11">
        <v>0.11426940639269406</v>
      </c>
      <c r="Y11">
        <v>0.16087081189037786</v>
      </c>
      <c r="Z11" t="s">
        <v>277</v>
      </c>
      <c r="AA11" t="s">
        <v>25</v>
      </c>
      <c r="AC11" t="s">
        <v>22</v>
      </c>
      <c r="AD11" t="s">
        <v>277</v>
      </c>
      <c r="AE11">
        <v>0.11436391868901968</v>
      </c>
      <c r="AG11" t="s">
        <v>97</v>
      </c>
      <c r="AH11" t="s">
        <v>277</v>
      </c>
      <c r="AI11">
        <v>6.2915829426211323E-2</v>
      </c>
      <c r="AK11">
        <v>2020</v>
      </c>
      <c r="AL11" t="s">
        <v>271</v>
      </c>
      <c r="AM11">
        <v>0.55077280220195701</v>
      </c>
      <c r="AN11" t="s">
        <v>221</v>
      </c>
    </row>
    <row r="12" spans="1:40" x14ac:dyDescent="0.45">
      <c r="C12" t="s">
        <v>273</v>
      </c>
      <c r="E12" t="s">
        <v>216</v>
      </c>
      <c r="G12" t="s">
        <v>155</v>
      </c>
      <c r="I12" t="s">
        <v>164</v>
      </c>
      <c r="J12" t="s">
        <v>278</v>
      </c>
      <c r="K12">
        <v>0</v>
      </c>
      <c r="L12" t="s">
        <v>166</v>
      </c>
      <c r="N12" t="s">
        <v>178</v>
      </c>
      <c r="O12" t="s">
        <v>278</v>
      </c>
      <c r="P12">
        <v>0.12675408290039583</v>
      </c>
      <c r="Q12" t="s">
        <v>166</v>
      </c>
      <c r="S12" t="s">
        <v>202</v>
      </c>
      <c r="T12" t="s">
        <v>278</v>
      </c>
      <c r="U12">
        <v>0.1312244253828454</v>
      </c>
      <c r="V12" t="s">
        <v>166</v>
      </c>
      <c r="X12">
        <v>0.11426940639269406</v>
      </c>
      <c r="Y12">
        <v>5.2547713165767528E-2</v>
      </c>
      <c r="Z12" t="s">
        <v>278</v>
      </c>
      <c r="AA12" t="s">
        <v>25</v>
      </c>
      <c r="AC12" t="s">
        <v>22</v>
      </c>
      <c r="AD12" t="s">
        <v>278</v>
      </c>
      <c r="AE12">
        <v>9.4619791795815908E-2</v>
      </c>
      <c r="AG12" t="s">
        <v>97</v>
      </c>
      <c r="AH12" t="s">
        <v>278</v>
      </c>
      <c r="AI12">
        <v>0.18142623170529482</v>
      </c>
      <c r="AK12">
        <v>2020</v>
      </c>
      <c r="AL12" t="s">
        <v>273</v>
      </c>
      <c r="AM12">
        <v>0.64864910847965163</v>
      </c>
      <c r="AN12" t="s">
        <v>221</v>
      </c>
    </row>
    <row r="13" spans="1:40" x14ac:dyDescent="0.45">
      <c r="C13" t="s">
        <v>274</v>
      </c>
      <c r="E13" t="s">
        <v>275</v>
      </c>
      <c r="G13" t="s">
        <v>155</v>
      </c>
      <c r="I13" t="s">
        <v>164</v>
      </c>
      <c r="J13" t="s">
        <v>279</v>
      </c>
      <c r="K13">
        <v>8.0578234077755689E-3</v>
      </c>
      <c r="L13" t="s">
        <v>166</v>
      </c>
      <c r="N13" t="s">
        <v>178</v>
      </c>
      <c r="O13" t="s">
        <v>279</v>
      </c>
      <c r="P13">
        <v>2.4091735056940605E-2</v>
      </c>
      <c r="Q13" t="s">
        <v>166</v>
      </c>
      <c r="S13" t="s">
        <v>202</v>
      </c>
      <c r="T13" t="s">
        <v>279</v>
      </c>
      <c r="U13">
        <v>2.2302720936083428E-2</v>
      </c>
      <c r="V13" t="s">
        <v>166</v>
      </c>
      <c r="X13">
        <v>2.0776255707762557E-2</v>
      </c>
      <c r="Y13">
        <v>3.5896543437005365E-2</v>
      </c>
      <c r="Z13" t="s">
        <v>279</v>
      </c>
      <c r="AA13" t="s">
        <v>25</v>
      </c>
      <c r="AC13" t="s">
        <v>22</v>
      </c>
      <c r="AD13" t="s">
        <v>279</v>
      </c>
      <c r="AE13">
        <v>2.1135232540385157E-2</v>
      </c>
      <c r="AG13" t="s">
        <v>97</v>
      </c>
      <c r="AH13" t="s">
        <v>279</v>
      </c>
      <c r="AI13">
        <v>5.1275068390834511E-2</v>
      </c>
      <c r="AK13">
        <v>2020</v>
      </c>
      <c r="AL13" t="s">
        <v>274</v>
      </c>
      <c r="AM13">
        <v>0.48612056319283758</v>
      </c>
      <c r="AN13" t="s">
        <v>221</v>
      </c>
    </row>
    <row r="14" spans="1:40" x14ac:dyDescent="0.45">
      <c r="C14" t="s">
        <v>276</v>
      </c>
      <c r="I14" t="s">
        <v>164</v>
      </c>
      <c r="J14" t="s">
        <v>280</v>
      </c>
      <c r="K14">
        <v>0.31947091426751928</v>
      </c>
      <c r="L14" t="s">
        <v>166</v>
      </c>
      <c r="N14" t="s">
        <v>178</v>
      </c>
      <c r="O14" t="s">
        <v>280</v>
      </c>
      <c r="P14">
        <v>9.6952392489116204E-2</v>
      </c>
      <c r="Q14" t="s">
        <v>166</v>
      </c>
      <c r="S14" t="s">
        <v>202</v>
      </c>
      <c r="T14" t="s">
        <v>280</v>
      </c>
      <c r="U14">
        <v>0.10578929805901587</v>
      </c>
      <c r="V14" t="s">
        <v>166</v>
      </c>
      <c r="X14">
        <v>0.11552511415525114</v>
      </c>
      <c r="Y14">
        <v>0.16263862301005233</v>
      </c>
      <c r="Z14" t="s">
        <v>280</v>
      </c>
      <c r="AA14" t="s">
        <v>25</v>
      </c>
      <c r="AC14" t="s">
        <v>22</v>
      </c>
      <c r="AD14" t="s">
        <v>280</v>
      </c>
      <c r="AE14">
        <v>0.1327453451369949</v>
      </c>
      <c r="AG14" t="s">
        <v>97</v>
      </c>
      <c r="AH14" t="s">
        <v>280</v>
      </c>
      <c r="AI14">
        <v>0.19273937088840265</v>
      </c>
      <c r="AK14">
        <v>2020</v>
      </c>
      <c r="AL14" t="s">
        <v>276</v>
      </c>
      <c r="AM14">
        <v>0.60946371104634156</v>
      </c>
      <c r="AN14" t="s">
        <v>221</v>
      </c>
    </row>
    <row r="15" spans="1:40" x14ac:dyDescent="0.45">
      <c r="I15" t="s">
        <v>164</v>
      </c>
      <c r="J15" t="s">
        <v>281</v>
      </c>
      <c r="K15">
        <v>1.3100428370120702E-2</v>
      </c>
      <c r="L15" t="s">
        <v>166</v>
      </c>
      <c r="N15" t="s">
        <v>178</v>
      </c>
      <c r="O15" t="s">
        <v>281</v>
      </c>
      <c r="P15">
        <v>0.11038505677439932</v>
      </c>
      <c r="Q15" t="s">
        <v>166</v>
      </c>
      <c r="S15" t="s">
        <v>202</v>
      </c>
      <c r="T15" t="s">
        <v>281</v>
      </c>
      <c r="U15">
        <v>0.12617526965251191</v>
      </c>
      <c r="V15" t="s">
        <v>166</v>
      </c>
      <c r="X15">
        <v>0.11552511415525114</v>
      </c>
      <c r="Y15">
        <v>5.3125160563193538E-2</v>
      </c>
      <c r="Z15" t="s">
        <v>281</v>
      </c>
      <c r="AA15" t="s">
        <v>25</v>
      </c>
      <c r="AC15" t="s">
        <v>22</v>
      </c>
      <c r="AD15" t="s">
        <v>281</v>
      </c>
      <c r="AE15">
        <v>0.11526575850557977</v>
      </c>
      <c r="AG15" t="s">
        <v>97</v>
      </c>
      <c r="AH15" t="s">
        <v>281</v>
      </c>
      <c r="AI15">
        <v>0.2722565092316287</v>
      </c>
      <c r="AK15">
        <v>2021</v>
      </c>
      <c r="AL15" t="s">
        <v>271</v>
      </c>
      <c r="AM15">
        <v>0.56335719050688027</v>
      </c>
      <c r="AN15" t="s">
        <v>221</v>
      </c>
    </row>
    <row r="16" spans="1:40" x14ac:dyDescent="0.45">
      <c r="I16" t="s">
        <v>164</v>
      </c>
      <c r="J16" t="s">
        <v>282</v>
      </c>
      <c r="K16">
        <v>3.8261545817576785E-2</v>
      </c>
      <c r="L16" t="s">
        <v>166</v>
      </c>
      <c r="N16" t="s">
        <v>178</v>
      </c>
      <c r="O16" t="s">
        <v>282</v>
      </c>
      <c r="P16">
        <v>1.8768203738385406E-2</v>
      </c>
      <c r="Q16" t="s">
        <v>166</v>
      </c>
      <c r="S16" t="s">
        <v>202</v>
      </c>
      <c r="T16" t="s">
        <v>282</v>
      </c>
      <c r="U16">
        <v>2.1437069161518107E-2</v>
      </c>
      <c r="V16" t="s">
        <v>166</v>
      </c>
      <c r="X16">
        <v>2.1004566210045664E-2</v>
      </c>
      <c r="Y16">
        <v>3.6291010947302131E-2</v>
      </c>
      <c r="Z16" t="s">
        <v>282</v>
      </c>
      <c r="AA16" t="s">
        <v>25</v>
      </c>
      <c r="AC16" t="s">
        <v>22</v>
      </c>
      <c r="AD16" t="s">
        <v>282</v>
      </c>
      <c r="AE16">
        <v>2.456972253848342E-2</v>
      </c>
      <c r="AG16" t="s">
        <v>97</v>
      </c>
      <c r="AH16" t="s">
        <v>282</v>
      </c>
      <c r="AI16">
        <v>0.17107301007213316</v>
      </c>
      <c r="AK16">
        <v>2021</v>
      </c>
      <c r="AL16" t="s">
        <v>273</v>
      </c>
      <c r="AM16">
        <v>0.63279927938521607</v>
      </c>
      <c r="AN16" t="s">
        <v>221</v>
      </c>
    </row>
    <row r="17" spans="9:40" x14ac:dyDescent="0.45">
      <c r="I17" t="s">
        <v>164</v>
      </c>
      <c r="J17" t="s">
        <v>283</v>
      </c>
      <c r="K17">
        <v>0.35015171515283172</v>
      </c>
      <c r="L17" t="s">
        <v>166</v>
      </c>
      <c r="N17" t="s">
        <v>178</v>
      </c>
      <c r="O17" t="s">
        <v>283</v>
      </c>
      <c r="P17">
        <v>8.965109670571407E-2</v>
      </c>
      <c r="Q17" t="s">
        <v>166</v>
      </c>
      <c r="S17" t="s">
        <v>202</v>
      </c>
      <c r="T17" t="s">
        <v>283</v>
      </c>
      <c r="U17">
        <v>8.5735866095871915E-2</v>
      </c>
      <c r="V17" t="s">
        <v>166</v>
      </c>
      <c r="X17">
        <v>0.11552511415525114</v>
      </c>
      <c r="Y17">
        <v>0.16263862301005233</v>
      </c>
      <c r="Z17" t="s">
        <v>283</v>
      </c>
      <c r="AA17" t="s">
        <v>25</v>
      </c>
      <c r="AC17" t="s">
        <v>22</v>
      </c>
      <c r="AD17" t="s">
        <v>283</v>
      </c>
      <c r="AE17">
        <v>0.11164889453648121</v>
      </c>
      <c r="AG17" t="s">
        <v>97</v>
      </c>
      <c r="AH17" t="s">
        <v>283</v>
      </c>
      <c r="AI17">
        <v>0.14287914273797697</v>
      </c>
      <c r="AK17">
        <v>2021</v>
      </c>
      <c r="AL17" t="s">
        <v>274</v>
      </c>
      <c r="AM17">
        <v>0.47558879730447856</v>
      </c>
      <c r="AN17" t="s">
        <v>221</v>
      </c>
    </row>
    <row r="18" spans="9:40" x14ac:dyDescent="0.45">
      <c r="I18" t="s">
        <v>164</v>
      </c>
      <c r="J18" t="s">
        <v>284</v>
      </c>
      <c r="K18">
        <v>3.6541415272330673E-2</v>
      </c>
      <c r="L18" t="s">
        <v>166</v>
      </c>
      <c r="N18" t="s">
        <v>178</v>
      </c>
      <c r="O18" t="s">
        <v>284</v>
      </c>
      <c r="P18">
        <v>9.1560111155541343E-2</v>
      </c>
      <c r="Q18" t="s">
        <v>166</v>
      </c>
      <c r="S18" t="s">
        <v>202</v>
      </c>
      <c r="T18" t="s">
        <v>284</v>
      </c>
      <c r="U18">
        <v>9.1050018113037187E-2</v>
      </c>
      <c r="V18" t="s">
        <v>166</v>
      </c>
      <c r="X18">
        <v>0.11552511415525114</v>
      </c>
      <c r="Y18">
        <v>5.3125160563193538E-2</v>
      </c>
      <c r="Z18" t="s">
        <v>284</v>
      </c>
      <c r="AA18" t="s">
        <v>25</v>
      </c>
      <c r="AC18" t="s">
        <v>22</v>
      </c>
      <c r="AD18" t="s">
        <v>284</v>
      </c>
      <c r="AE18">
        <v>8.1828168311196922E-2</v>
      </c>
      <c r="AG18" t="s">
        <v>97</v>
      </c>
      <c r="AH18" t="s">
        <v>284</v>
      </c>
      <c r="AI18">
        <v>0.22915846028047793</v>
      </c>
      <c r="AK18">
        <v>2021</v>
      </c>
      <c r="AL18" t="s">
        <v>276</v>
      </c>
      <c r="AM18">
        <v>0.59284551309075584</v>
      </c>
      <c r="AN18" t="s">
        <v>221</v>
      </c>
    </row>
    <row r="19" spans="9:40" x14ac:dyDescent="0.45">
      <c r="I19" t="s">
        <v>164</v>
      </c>
      <c r="J19" t="s">
        <v>285</v>
      </c>
      <c r="K19">
        <v>5.0699698869716599E-2</v>
      </c>
      <c r="L19" t="s">
        <v>166</v>
      </c>
      <c r="N19" t="s">
        <v>178</v>
      </c>
      <c r="O19" t="s">
        <v>285</v>
      </c>
      <c r="P19">
        <v>1.5661419092827408E-2</v>
      </c>
      <c r="Q19" t="s">
        <v>166</v>
      </c>
      <c r="S19" t="s">
        <v>202</v>
      </c>
      <c r="T19" t="s">
        <v>285</v>
      </c>
      <c r="U19">
        <v>1.6233389296075512E-2</v>
      </c>
      <c r="V19" t="s">
        <v>166</v>
      </c>
      <c r="X19">
        <v>2.1004566210045664E-2</v>
      </c>
      <c r="Y19">
        <v>3.6291010947302131E-2</v>
      </c>
      <c r="Z19" t="s">
        <v>285</v>
      </c>
      <c r="AA19" t="s">
        <v>25</v>
      </c>
      <c r="AC19" t="s">
        <v>22</v>
      </c>
      <c r="AD19" t="s">
        <v>285</v>
      </c>
      <c r="AE19">
        <v>2.0248831224231441E-2</v>
      </c>
      <c r="AG19" t="s">
        <v>97</v>
      </c>
      <c r="AH19" t="s">
        <v>285</v>
      </c>
      <c r="AI19">
        <v>0.1245881051341089</v>
      </c>
      <c r="AK19">
        <v>2022</v>
      </c>
      <c r="AL19" t="s">
        <v>271</v>
      </c>
      <c r="AM19">
        <v>0.39201331177519233</v>
      </c>
      <c r="AN19" t="s">
        <v>221</v>
      </c>
    </row>
    <row r="20" spans="9:40" x14ac:dyDescent="0.45">
      <c r="I20" t="s">
        <v>164</v>
      </c>
      <c r="J20" t="s">
        <v>286</v>
      </c>
      <c r="K20">
        <v>4.1595218930539128E-2</v>
      </c>
      <c r="L20" t="s">
        <v>166</v>
      </c>
      <c r="N20" t="s">
        <v>178</v>
      </c>
      <c r="O20" t="s">
        <v>286</v>
      </c>
      <c r="P20">
        <v>0.13746613570044805</v>
      </c>
      <c r="Q20" t="s">
        <v>166</v>
      </c>
      <c r="S20" t="s">
        <v>202</v>
      </c>
      <c r="T20" t="s">
        <v>286</v>
      </c>
      <c r="U20">
        <v>0.12595447874109561</v>
      </c>
      <c r="V20" t="s">
        <v>166</v>
      </c>
      <c r="X20">
        <v>0.11301369863013698</v>
      </c>
      <c r="Y20">
        <v>0.15910300077070333</v>
      </c>
      <c r="Z20" t="s">
        <v>286</v>
      </c>
      <c r="AA20" t="s">
        <v>25</v>
      </c>
      <c r="AC20" t="s">
        <v>22</v>
      </c>
      <c r="AD20" t="s">
        <v>286</v>
      </c>
      <c r="AE20">
        <v>0.13695394699702743</v>
      </c>
      <c r="AG20" t="s">
        <v>97</v>
      </c>
      <c r="AH20" t="s">
        <v>286</v>
      </c>
      <c r="AI20">
        <v>0.13879582711034799</v>
      </c>
      <c r="AK20">
        <v>2022</v>
      </c>
      <c r="AL20" t="s">
        <v>273</v>
      </c>
      <c r="AM20">
        <v>0.58964530827764783</v>
      </c>
      <c r="AN20" t="s">
        <v>221</v>
      </c>
    </row>
    <row r="21" spans="9:40" x14ac:dyDescent="0.45">
      <c r="I21" t="s">
        <v>164</v>
      </c>
      <c r="J21" t="s">
        <v>287</v>
      </c>
      <c r="K21">
        <v>0</v>
      </c>
      <c r="L21" t="s">
        <v>166</v>
      </c>
      <c r="N21" t="s">
        <v>178</v>
      </c>
      <c r="O21" t="s">
        <v>287</v>
      </c>
      <c r="P21">
        <v>0.13977218105384312</v>
      </c>
      <c r="Q21" t="s">
        <v>166</v>
      </c>
      <c r="S21" t="s">
        <v>202</v>
      </c>
      <c r="T21" t="s">
        <v>287</v>
      </c>
      <c r="U21">
        <v>0.13214749065440934</v>
      </c>
      <c r="V21" t="s">
        <v>166</v>
      </c>
      <c r="X21">
        <v>0.11301369863013698</v>
      </c>
      <c r="Y21">
        <v>5.197026576834151E-2</v>
      </c>
      <c r="Z21" t="s">
        <v>287</v>
      </c>
      <c r="AA21" t="s">
        <v>25</v>
      </c>
      <c r="AC21" t="s">
        <v>22</v>
      </c>
      <c r="AD21" t="s">
        <v>287</v>
      </c>
      <c r="AE21">
        <v>0.12109326503302449</v>
      </c>
      <c r="AG21" t="s">
        <v>97</v>
      </c>
      <c r="AH21" t="s">
        <v>287</v>
      </c>
      <c r="AI21">
        <v>0.1837268620981336</v>
      </c>
      <c r="AK21">
        <v>2022</v>
      </c>
      <c r="AL21" t="s">
        <v>274</v>
      </c>
      <c r="AM21">
        <v>0.49085286568750491</v>
      </c>
      <c r="AN21" t="s">
        <v>221</v>
      </c>
    </row>
    <row r="22" spans="9:40" x14ac:dyDescent="0.45">
      <c r="I22" t="s">
        <v>164</v>
      </c>
      <c r="J22" t="s">
        <v>288</v>
      </c>
      <c r="K22">
        <v>6.7113377511563127E-4</v>
      </c>
      <c r="L22" t="s">
        <v>166</v>
      </c>
      <c r="N22" t="s">
        <v>178</v>
      </c>
      <c r="O22" t="s">
        <v>288</v>
      </c>
      <c r="P22">
        <v>2.5825600532362655E-2</v>
      </c>
      <c r="Q22" t="s">
        <v>166</v>
      </c>
      <c r="S22" t="s">
        <v>202</v>
      </c>
      <c r="T22" t="s">
        <v>288</v>
      </c>
      <c r="U22">
        <v>2.4044457117191227E-2</v>
      </c>
      <c r="V22" t="s">
        <v>166</v>
      </c>
      <c r="X22">
        <v>2.0547945205479451E-2</v>
      </c>
      <c r="Y22">
        <v>3.5502075926708607E-2</v>
      </c>
      <c r="Z22" t="s">
        <v>288</v>
      </c>
      <c r="AA22" t="s">
        <v>25</v>
      </c>
      <c r="AC22" t="s">
        <v>22</v>
      </c>
      <c r="AD22" t="s">
        <v>288</v>
      </c>
      <c r="AE22">
        <v>2.5527124691759755E-2</v>
      </c>
      <c r="AG22" t="s">
        <v>97</v>
      </c>
      <c r="AH22" t="s">
        <v>288</v>
      </c>
      <c r="AI22">
        <v>0.12056055212481365</v>
      </c>
      <c r="AK22">
        <v>2022</v>
      </c>
      <c r="AL22" t="s">
        <v>276</v>
      </c>
      <c r="AM22">
        <v>0.48492693437742784</v>
      </c>
      <c r="AN22" t="s">
        <v>221</v>
      </c>
    </row>
    <row r="23" spans="9:40" x14ac:dyDescent="0.45">
      <c r="N23" t="s">
        <v>179</v>
      </c>
      <c r="O23" t="s">
        <v>277</v>
      </c>
      <c r="P23">
        <v>0.1251741201228283</v>
      </c>
      <c r="Q23" t="s">
        <v>166</v>
      </c>
      <c r="S23" t="s">
        <v>203</v>
      </c>
      <c r="T23" t="s">
        <v>277</v>
      </c>
      <c r="U23">
        <v>0.12470076792490661</v>
      </c>
      <c r="V23" t="s">
        <v>166</v>
      </c>
      <c r="AC23" t="s">
        <v>19</v>
      </c>
      <c r="AD23" t="s">
        <v>277</v>
      </c>
      <c r="AE23">
        <v>0.11470257654042321</v>
      </c>
      <c r="AK23">
        <v>2025</v>
      </c>
      <c r="AL23" t="s">
        <v>271</v>
      </c>
      <c r="AM23">
        <v>0.59379999999999999</v>
      </c>
      <c r="AN23" t="s">
        <v>221</v>
      </c>
    </row>
    <row r="24" spans="9:40" x14ac:dyDescent="0.45">
      <c r="N24" t="s">
        <v>179</v>
      </c>
      <c r="O24" t="s">
        <v>278</v>
      </c>
      <c r="P24">
        <v>0.1306143480640016</v>
      </c>
      <c r="Q24" t="s">
        <v>166</v>
      </c>
      <c r="S24" t="s">
        <v>203</v>
      </c>
      <c r="T24" t="s">
        <v>278</v>
      </c>
      <c r="U24">
        <v>0.13075452090893008</v>
      </c>
      <c r="V24" t="s">
        <v>166</v>
      </c>
      <c r="AC24" t="s">
        <v>19</v>
      </c>
      <c r="AD24" t="s">
        <v>278</v>
      </c>
      <c r="AE24">
        <v>0.1136403792693486</v>
      </c>
      <c r="AK24">
        <v>2025</v>
      </c>
      <c r="AL24" t="s">
        <v>273</v>
      </c>
      <c r="AM24">
        <v>0.63293333333333335</v>
      </c>
      <c r="AN24" t="s">
        <v>221</v>
      </c>
    </row>
    <row r="25" spans="9:40" x14ac:dyDescent="0.45">
      <c r="N25" t="s">
        <v>179</v>
      </c>
      <c r="O25" t="s">
        <v>279</v>
      </c>
      <c r="P25">
        <v>2.4030883070321567E-2</v>
      </c>
      <c r="Q25" t="s">
        <v>166</v>
      </c>
      <c r="S25" t="s">
        <v>203</v>
      </c>
      <c r="T25" t="s">
        <v>279</v>
      </c>
      <c r="U25">
        <v>2.3914302154226404E-2</v>
      </c>
      <c r="V25" t="s">
        <v>166</v>
      </c>
      <c r="AC25" t="s">
        <v>19</v>
      </c>
      <c r="AD25" t="s">
        <v>279</v>
      </c>
      <c r="AE25">
        <v>2.0873401731653678E-2</v>
      </c>
      <c r="AK25">
        <v>2025</v>
      </c>
      <c r="AL25" t="s">
        <v>274</v>
      </c>
      <c r="AM25">
        <v>0.53543333333333332</v>
      </c>
      <c r="AN25" t="s">
        <v>221</v>
      </c>
    </row>
    <row r="26" spans="9:40" x14ac:dyDescent="0.45">
      <c r="N26" t="s">
        <v>179</v>
      </c>
      <c r="O26" t="s">
        <v>280</v>
      </c>
      <c r="P26">
        <v>0.1038520910322196</v>
      </c>
      <c r="Q26" t="s">
        <v>166</v>
      </c>
      <c r="S26" t="s">
        <v>203</v>
      </c>
      <c r="T26" t="s">
        <v>280</v>
      </c>
      <c r="U26">
        <v>9.360381369051389E-2</v>
      </c>
      <c r="V26" t="s">
        <v>166</v>
      </c>
      <c r="AC26" t="s">
        <v>19</v>
      </c>
      <c r="AD26" t="s">
        <v>280</v>
      </c>
      <c r="AE26">
        <v>0.1159937872256836</v>
      </c>
      <c r="AK26">
        <v>2025</v>
      </c>
      <c r="AL26" t="s">
        <v>276</v>
      </c>
      <c r="AM26">
        <v>0.62613333333333332</v>
      </c>
      <c r="AN26" t="s">
        <v>221</v>
      </c>
    </row>
    <row r="27" spans="9:40" x14ac:dyDescent="0.45">
      <c r="N27" t="s">
        <v>179</v>
      </c>
      <c r="O27" t="s">
        <v>281</v>
      </c>
      <c r="P27">
        <v>0.11666411164638073</v>
      </c>
      <c r="Q27" t="s">
        <v>166</v>
      </c>
      <c r="S27" t="s">
        <v>203</v>
      </c>
      <c r="T27" t="s">
        <v>281</v>
      </c>
      <c r="U27">
        <v>0.11928537869930481</v>
      </c>
      <c r="V27" t="s">
        <v>166</v>
      </c>
      <c r="AC27" t="s">
        <v>19</v>
      </c>
      <c r="AD27" t="s">
        <v>281</v>
      </c>
      <c r="AE27">
        <v>0.11505341800501208</v>
      </c>
      <c r="AK27">
        <v>2026</v>
      </c>
      <c r="AL27" t="s">
        <v>271</v>
      </c>
      <c r="AM27">
        <v>0.58356666666666668</v>
      </c>
      <c r="AN27" t="s">
        <v>221</v>
      </c>
    </row>
    <row r="28" spans="9:40" x14ac:dyDescent="0.45">
      <c r="N28" t="s">
        <v>179</v>
      </c>
      <c r="O28" t="s">
        <v>282</v>
      </c>
      <c r="P28">
        <v>2.0133599346631673E-2</v>
      </c>
      <c r="Q28" t="s">
        <v>166</v>
      </c>
      <c r="S28" t="s">
        <v>203</v>
      </c>
      <c r="T28" t="s">
        <v>282</v>
      </c>
      <c r="U28">
        <v>1.920628106617122E-2</v>
      </c>
      <c r="V28" t="s">
        <v>166</v>
      </c>
      <c r="AC28" t="s">
        <v>19</v>
      </c>
      <c r="AD28" t="s">
        <v>282</v>
      </c>
      <c r="AE28">
        <v>2.1113138929217491E-2</v>
      </c>
      <c r="AK28">
        <v>2026</v>
      </c>
      <c r="AL28" t="s">
        <v>273</v>
      </c>
      <c r="AM28">
        <v>0.68663333333333332</v>
      </c>
      <c r="AN28" t="s">
        <v>221</v>
      </c>
    </row>
    <row r="29" spans="9:40" x14ac:dyDescent="0.45">
      <c r="N29" t="s">
        <v>179</v>
      </c>
      <c r="O29" t="s">
        <v>283</v>
      </c>
      <c r="P29">
        <v>7.4639311219066626E-2</v>
      </c>
      <c r="Q29" t="s">
        <v>166</v>
      </c>
      <c r="S29" t="s">
        <v>203</v>
      </c>
      <c r="T29" t="s">
        <v>283</v>
      </c>
      <c r="U29">
        <v>7.5311294161364298E-2</v>
      </c>
      <c r="V29" t="s">
        <v>166</v>
      </c>
      <c r="AC29" t="s">
        <v>19</v>
      </c>
      <c r="AD29" t="s">
        <v>283</v>
      </c>
      <c r="AE29">
        <v>0.11617133912466797</v>
      </c>
      <c r="AK29">
        <v>2026</v>
      </c>
      <c r="AL29" t="s">
        <v>274</v>
      </c>
      <c r="AM29">
        <v>0.55080000000000007</v>
      </c>
      <c r="AN29" t="s">
        <v>221</v>
      </c>
    </row>
    <row r="30" spans="9:40" x14ac:dyDescent="0.45">
      <c r="N30" t="s">
        <v>179</v>
      </c>
      <c r="O30" t="s">
        <v>284</v>
      </c>
      <c r="P30">
        <v>7.7836362072156981E-2</v>
      </c>
      <c r="Q30" t="s">
        <v>166</v>
      </c>
      <c r="S30" t="s">
        <v>203</v>
      </c>
      <c r="T30" t="s">
        <v>284</v>
      </c>
      <c r="U30">
        <v>7.7681029639442054E-2</v>
      </c>
      <c r="V30" t="s">
        <v>166</v>
      </c>
      <c r="AC30" t="s">
        <v>19</v>
      </c>
      <c r="AD30" t="s">
        <v>284</v>
      </c>
      <c r="AE30">
        <v>0.1145670395681825</v>
      </c>
      <c r="AK30">
        <v>2026</v>
      </c>
      <c r="AL30" t="s">
        <v>276</v>
      </c>
      <c r="AM30">
        <v>0.62519999999999998</v>
      </c>
      <c r="AN30" t="s">
        <v>221</v>
      </c>
    </row>
    <row r="31" spans="9:40" x14ac:dyDescent="0.45">
      <c r="N31" t="s">
        <v>179</v>
      </c>
      <c r="O31" t="s">
        <v>285</v>
      </c>
      <c r="P31">
        <v>1.3046720414137541E-2</v>
      </c>
      <c r="Q31" t="s">
        <v>166</v>
      </c>
      <c r="S31" t="s">
        <v>203</v>
      </c>
      <c r="T31" t="s">
        <v>285</v>
      </c>
      <c r="U31">
        <v>1.2802848540831503E-2</v>
      </c>
      <c r="V31" t="s">
        <v>166</v>
      </c>
      <c r="AC31" t="s">
        <v>19</v>
      </c>
      <c r="AD31" t="s">
        <v>285</v>
      </c>
      <c r="AE31">
        <v>2.1119319687219255E-2</v>
      </c>
      <c r="AK31">
        <v>2027</v>
      </c>
      <c r="AL31" t="s">
        <v>271</v>
      </c>
      <c r="AM31">
        <v>0.49183333333333334</v>
      </c>
      <c r="AN31" t="s">
        <v>221</v>
      </c>
    </row>
    <row r="32" spans="9:40" x14ac:dyDescent="0.45">
      <c r="N32" t="s">
        <v>179</v>
      </c>
      <c r="O32" t="s">
        <v>286</v>
      </c>
      <c r="P32">
        <v>0.14115581654544887</v>
      </c>
      <c r="Q32" t="s">
        <v>166</v>
      </c>
      <c r="S32" t="s">
        <v>203</v>
      </c>
      <c r="T32" t="s">
        <v>286</v>
      </c>
      <c r="U32">
        <v>0.14766536845954384</v>
      </c>
      <c r="V32" t="s">
        <v>166</v>
      </c>
      <c r="AC32" t="s">
        <v>19</v>
      </c>
      <c r="AD32" t="s">
        <v>286</v>
      </c>
      <c r="AE32">
        <v>0.11347653879303136</v>
      </c>
      <c r="AK32">
        <v>2027</v>
      </c>
      <c r="AL32" t="s">
        <v>273</v>
      </c>
      <c r="AM32">
        <v>0.6149</v>
      </c>
      <c r="AN32" t="s">
        <v>221</v>
      </c>
    </row>
    <row r="33" spans="14:40" x14ac:dyDescent="0.45">
      <c r="N33" t="s">
        <v>179</v>
      </c>
      <c r="O33" t="s">
        <v>287</v>
      </c>
      <c r="P33">
        <v>0.14522732752311968</v>
      </c>
      <c r="Q33" t="s">
        <v>166</v>
      </c>
      <c r="S33" t="s">
        <v>203</v>
      </c>
      <c r="T33" t="s">
        <v>287</v>
      </c>
      <c r="U33">
        <v>0.14753349826673326</v>
      </c>
      <c r="V33" t="s">
        <v>166</v>
      </c>
      <c r="AC33" t="s">
        <v>19</v>
      </c>
      <c r="AD33" t="s">
        <v>287</v>
      </c>
      <c r="AE33">
        <v>0.11262326362970443</v>
      </c>
      <c r="AK33">
        <v>2027</v>
      </c>
      <c r="AL33" t="s">
        <v>274</v>
      </c>
      <c r="AM33">
        <v>0.45513333333333333</v>
      </c>
      <c r="AN33" t="s">
        <v>221</v>
      </c>
    </row>
    <row r="34" spans="14:40" x14ac:dyDescent="0.45">
      <c r="N34" t="s">
        <v>179</v>
      </c>
      <c r="O34" t="s">
        <v>288</v>
      </c>
      <c r="P34">
        <v>2.7625308943685232E-2</v>
      </c>
      <c r="Q34" t="s">
        <v>166</v>
      </c>
      <c r="S34" t="s">
        <v>203</v>
      </c>
      <c r="T34" t="s">
        <v>288</v>
      </c>
      <c r="U34">
        <v>2.7540896488033276E-2</v>
      </c>
      <c r="V34" t="s">
        <v>166</v>
      </c>
      <c r="AC34" t="s">
        <v>19</v>
      </c>
      <c r="AD34" t="s">
        <v>288</v>
      </c>
      <c r="AE34">
        <v>2.0665797495855762E-2</v>
      </c>
      <c r="AK34">
        <v>2027</v>
      </c>
      <c r="AL34" t="s">
        <v>276</v>
      </c>
      <c r="AM34">
        <v>0.55650000000000011</v>
      </c>
      <c r="AN34" t="s">
        <v>221</v>
      </c>
    </row>
    <row r="35" spans="14:40" x14ac:dyDescent="0.45">
      <c r="N35" t="s">
        <v>180</v>
      </c>
      <c r="O35" t="s">
        <v>277</v>
      </c>
      <c r="P35">
        <v>0.12471873935438459</v>
      </c>
      <c r="Q35" t="s">
        <v>166</v>
      </c>
      <c r="S35" t="s">
        <v>204</v>
      </c>
      <c r="T35" t="s">
        <v>277</v>
      </c>
      <c r="U35">
        <v>0.12404827461871153</v>
      </c>
      <c r="V35" t="s">
        <v>166</v>
      </c>
      <c r="AK35">
        <v>2028</v>
      </c>
      <c r="AL35" t="s">
        <v>271</v>
      </c>
      <c r="AM35">
        <v>0.49033333333333334</v>
      </c>
      <c r="AN35" t="s">
        <v>221</v>
      </c>
    </row>
    <row r="36" spans="14:40" x14ac:dyDescent="0.45">
      <c r="N36" t="s">
        <v>180</v>
      </c>
      <c r="O36" t="s">
        <v>278</v>
      </c>
      <c r="P36">
        <v>0.13149337185067234</v>
      </c>
      <c r="Q36" t="s">
        <v>166</v>
      </c>
      <c r="S36" t="s">
        <v>204</v>
      </c>
      <c r="T36" t="s">
        <v>278</v>
      </c>
      <c r="U36">
        <v>0.12408904318818506</v>
      </c>
      <c r="V36" t="s">
        <v>166</v>
      </c>
      <c r="AK36">
        <v>2028</v>
      </c>
      <c r="AL36" t="s">
        <v>273</v>
      </c>
      <c r="AM36">
        <v>0.5965666666666668</v>
      </c>
      <c r="AN36" t="s">
        <v>221</v>
      </c>
    </row>
    <row r="37" spans="14:40" x14ac:dyDescent="0.45">
      <c r="N37" t="s">
        <v>180</v>
      </c>
      <c r="O37" t="s">
        <v>279</v>
      </c>
      <c r="P37">
        <v>2.472236486880473E-2</v>
      </c>
      <c r="Q37" t="s">
        <v>166</v>
      </c>
      <c r="S37" t="s">
        <v>204</v>
      </c>
      <c r="T37" t="s">
        <v>279</v>
      </c>
      <c r="U37">
        <v>2.4103300028278842E-2</v>
      </c>
      <c r="V37" t="s">
        <v>166</v>
      </c>
      <c r="AK37">
        <v>2028</v>
      </c>
      <c r="AL37" t="s">
        <v>274</v>
      </c>
      <c r="AM37">
        <v>0.4625333333333333</v>
      </c>
      <c r="AN37" t="s">
        <v>221</v>
      </c>
    </row>
    <row r="38" spans="14:40" x14ac:dyDescent="0.45">
      <c r="N38" t="s">
        <v>180</v>
      </c>
      <c r="O38" t="s">
        <v>280</v>
      </c>
      <c r="P38">
        <v>9.9548132824840208E-2</v>
      </c>
      <c r="Q38" t="s">
        <v>166</v>
      </c>
      <c r="S38" t="s">
        <v>204</v>
      </c>
      <c r="T38" t="s">
        <v>280</v>
      </c>
      <c r="U38">
        <v>9.8592676516726874E-2</v>
      </c>
      <c r="V38" t="s">
        <v>166</v>
      </c>
      <c r="AK38">
        <v>2028</v>
      </c>
      <c r="AL38" t="s">
        <v>276</v>
      </c>
      <c r="AM38">
        <v>0.53239999999999998</v>
      </c>
      <c r="AN38" t="s">
        <v>221</v>
      </c>
    </row>
    <row r="39" spans="14:40" x14ac:dyDescent="0.45">
      <c r="N39" t="s">
        <v>180</v>
      </c>
      <c r="O39" t="s">
        <v>281</v>
      </c>
      <c r="P39">
        <v>0.11611665265827871</v>
      </c>
      <c r="Q39" t="s">
        <v>166</v>
      </c>
      <c r="S39" t="s">
        <v>204</v>
      </c>
      <c r="T39" t="s">
        <v>281</v>
      </c>
      <c r="U39">
        <v>0.10250543383722344</v>
      </c>
      <c r="V39" t="s">
        <v>166</v>
      </c>
      <c r="AK39">
        <v>2029</v>
      </c>
      <c r="AL39" t="s">
        <v>271</v>
      </c>
      <c r="AM39">
        <v>0.59696666666666665</v>
      </c>
      <c r="AN39" t="s">
        <v>221</v>
      </c>
    </row>
    <row r="40" spans="14:40" x14ac:dyDescent="0.45">
      <c r="N40" t="s">
        <v>180</v>
      </c>
      <c r="O40" t="s">
        <v>282</v>
      </c>
      <c r="P40">
        <v>1.9319349228412813E-2</v>
      </c>
      <c r="Q40" t="s">
        <v>166</v>
      </c>
      <c r="S40" t="s">
        <v>204</v>
      </c>
      <c r="T40" t="s">
        <v>282</v>
      </c>
      <c r="U40">
        <v>1.9661634681820299E-2</v>
      </c>
      <c r="V40" t="s">
        <v>166</v>
      </c>
      <c r="AK40">
        <v>2029</v>
      </c>
      <c r="AL40" t="s">
        <v>273</v>
      </c>
      <c r="AM40">
        <v>0.68826666666666669</v>
      </c>
      <c r="AN40" t="s">
        <v>221</v>
      </c>
    </row>
    <row r="41" spans="14:40" x14ac:dyDescent="0.45">
      <c r="N41" t="s">
        <v>180</v>
      </c>
      <c r="O41" t="s">
        <v>283</v>
      </c>
      <c r="P41">
        <v>7.253316787132541E-2</v>
      </c>
      <c r="Q41" t="s">
        <v>166</v>
      </c>
      <c r="S41" t="s">
        <v>204</v>
      </c>
      <c r="T41" t="s">
        <v>283</v>
      </c>
      <c r="U41">
        <v>9.3274734362311526E-2</v>
      </c>
      <c r="V41" t="s">
        <v>166</v>
      </c>
      <c r="AK41">
        <v>2029</v>
      </c>
      <c r="AL41" t="s">
        <v>274</v>
      </c>
      <c r="AM41">
        <v>0.5429666666666666</v>
      </c>
      <c r="AN41" t="s">
        <v>221</v>
      </c>
    </row>
    <row r="42" spans="14:40" x14ac:dyDescent="0.45">
      <c r="N42" t="s">
        <v>180</v>
      </c>
      <c r="O42" t="s">
        <v>284</v>
      </c>
      <c r="P42">
        <v>7.4189660778157238E-2</v>
      </c>
      <c r="Q42" t="s">
        <v>166</v>
      </c>
      <c r="S42" t="s">
        <v>204</v>
      </c>
      <c r="T42" t="s">
        <v>284</v>
      </c>
      <c r="U42">
        <v>9.6819346064327932E-2</v>
      </c>
      <c r="V42" t="s">
        <v>166</v>
      </c>
      <c r="AK42">
        <v>2029</v>
      </c>
      <c r="AL42" t="s">
        <v>276</v>
      </c>
      <c r="AM42">
        <v>0.65316666666666667</v>
      </c>
      <c r="AN42" t="s">
        <v>221</v>
      </c>
    </row>
    <row r="43" spans="14:40" x14ac:dyDescent="0.45">
      <c r="N43" t="s">
        <v>180</v>
      </c>
      <c r="O43" t="s">
        <v>285</v>
      </c>
      <c r="P43">
        <v>1.251735499185868E-2</v>
      </c>
      <c r="Q43" t="s">
        <v>166</v>
      </c>
      <c r="S43" t="s">
        <v>204</v>
      </c>
      <c r="T43" t="s">
        <v>285</v>
      </c>
      <c r="U43">
        <v>1.8045340509813559E-2</v>
      </c>
      <c r="V43" t="s">
        <v>166</v>
      </c>
      <c r="AK43">
        <v>2030</v>
      </c>
      <c r="AL43" t="s">
        <v>271</v>
      </c>
      <c r="AM43">
        <v>0.47843333333333343</v>
      </c>
      <c r="AN43" t="s">
        <v>221</v>
      </c>
    </row>
    <row r="44" spans="14:40" x14ac:dyDescent="0.45">
      <c r="N44" t="s">
        <v>180</v>
      </c>
      <c r="O44" t="s">
        <v>286</v>
      </c>
      <c r="P44">
        <v>0.14534953637523182</v>
      </c>
      <c r="Q44" t="s">
        <v>166</v>
      </c>
      <c r="S44" t="s">
        <v>204</v>
      </c>
      <c r="T44" t="s">
        <v>286</v>
      </c>
      <c r="U44">
        <v>0.13657360670166513</v>
      </c>
      <c r="V44" t="s">
        <v>166</v>
      </c>
      <c r="AK44">
        <v>2030</v>
      </c>
      <c r="AL44" t="s">
        <v>273</v>
      </c>
      <c r="AM44">
        <v>0.58516666666666672</v>
      </c>
      <c r="AN44" t="s">
        <v>221</v>
      </c>
    </row>
    <row r="45" spans="14:40" x14ac:dyDescent="0.45">
      <c r="N45" t="s">
        <v>180</v>
      </c>
      <c r="O45" t="s">
        <v>287</v>
      </c>
      <c r="P45">
        <v>0.15121527533559839</v>
      </c>
      <c r="Q45" t="s">
        <v>166</v>
      </c>
      <c r="S45" t="s">
        <v>204</v>
      </c>
      <c r="T45" t="s">
        <v>287</v>
      </c>
      <c r="U45">
        <v>0.13710398051856607</v>
      </c>
      <c r="V45" t="s">
        <v>166</v>
      </c>
      <c r="AK45">
        <v>2030</v>
      </c>
      <c r="AL45" t="s">
        <v>274</v>
      </c>
      <c r="AM45">
        <v>0.42586666666666667</v>
      </c>
      <c r="AN45" t="s">
        <v>221</v>
      </c>
    </row>
    <row r="46" spans="14:40" x14ac:dyDescent="0.45">
      <c r="N46" t="s">
        <v>180</v>
      </c>
      <c r="O46" t="s">
        <v>288</v>
      </c>
      <c r="P46">
        <v>2.8276393862437823E-2</v>
      </c>
      <c r="Q46" t="s">
        <v>166</v>
      </c>
      <c r="S46" t="s">
        <v>204</v>
      </c>
      <c r="T46" t="s">
        <v>288</v>
      </c>
      <c r="U46">
        <v>2.5182628972371422E-2</v>
      </c>
      <c r="V46" t="s">
        <v>166</v>
      </c>
      <c r="AK46">
        <v>2030</v>
      </c>
      <c r="AL46" t="s">
        <v>276</v>
      </c>
      <c r="AM46">
        <v>0.53723333333333334</v>
      </c>
      <c r="AN46" t="s">
        <v>221</v>
      </c>
    </row>
    <row r="47" spans="14:40" x14ac:dyDescent="0.45">
      <c r="N47" t="s">
        <v>181</v>
      </c>
      <c r="O47" t="s">
        <v>277</v>
      </c>
      <c r="P47">
        <v>0.12302889647132956</v>
      </c>
      <c r="Q47" t="s">
        <v>166</v>
      </c>
      <c r="S47" t="s">
        <v>205</v>
      </c>
      <c r="T47" t="s">
        <v>277</v>
      </c>
      <c r="U47">
        <v>0.12076017305150913</v>
      </c>
      <c r="V47" t="s">
        <v>166</v>
      </c>
      <c r="AK47">
        <v>2031</v>
      </c>
      <c r="AL47" t="s">
        <v>271</v>
      </c>
      <c r="AM47">
        <v>0.50129999999999997</v>
      </c>
      <c r="AN47" t="s">
        <v>221</v>
      </c>
    </row>
    <row r="48" spans="14:40" x14ac:dyDescent="0.45">
      <c r="N48" t="s">
        <v>181</v>
      </c>
      <c r="O48" t="s">
        <v>278</v>
      </c>
      <c r="P48">
        <v>0.13122074142594273</v>
      </c>
      <c r="Q48" t="s">
        <v>166</v>
      </c>
      <c r="S48" t="s">
        <v>205</v>
      </c>
      <c r="T48" t="s">
        <v>278</v>
      </c>
      <c r="U48">
        <v>0.12420652521605005</v>
      </c>
      <c r="V48" t="s">
        <v>166</v>
      </c>
      <c r="AK48">
        <v>2031</v>
      </c>
      <c r="AL48" t="s">
        <v>273</v>
      </c>
      <c r="AM48">
        <v>0.58773333333333333</v>
      </c>
      <c r="AN48" t="s">
        <v>221</v>
      </c>
    </row>
    <row r="49" spans="14:40" x14ac:dyDescent="0.45">
      <c r="N49" t="s">
        <v>181</v>
      </c>
      <c r="O49" t="s">
        <v>279</v>
      </c>
      <c r="P49">
        <v>2.4313836449569928E-2</v>
      </c>
      <c r="Q49" t="s">
        <v>166</v>
      </c>
      <c r="S49" t="s">
        <v>205</v>
      </c>
      <c r="T49" t="s">
        <v>279</v>
      </c>
      <c r="U49">
        <v>2.313907074520094E-2</v>
      </c>
      <c r="V49" t="s">
        <v>166</v>
      </c>
      <c r="AK49">
        <v>2031</v>
      </c>
      <c r="AL49" t="s">
        <v>274</v>
      </c>
      <c r="AM49">
        <v>0.49149999999999999</v>
      </c>
      <c r="AN49" t="s">
        <v>221</v>
      </c>
    </row>
    <row r="50" spans="14:40" x14ac:dyDescent="0.45">
      <c r="N50" t="s">
        <v>181</v>
      </c>
      <c r="O50" t="s">
        <v>280</v>
      </c>
      <c r="P50">
        <v>0.11231493961902511</v>
      </c>
      <c r="Q50" t="s">
        <v>166</v>
      </c>
      <c r="S50" t="s">
        <v>205</v>
      </c>
      <c r="T50" t="s">
        <v>280</v>
      </c>
      <c r="U50">
        <v>0.10424217969650303</v>
      </c>
      <c r="V50" t="s">
        <v>166</v>
      </c>
      <c r="AK50">
        <v>2031</v>
      </c>
      <c r="AL50" t="s">
        <v>276</v>
      </c>
      <c r="AM50">
        <v>0.53776666666666662</v>
      </c>
      <c r="AN50" t="s">
        <v>221</v>
      </c>
    </row>
    <row r="51" spans="14:40" x14ac:dyDescent="0.45">
      <c r="N51" t="s">
        <v>181</v>
      </c>
      <c r="O51" t="s">
        <v>281</v>
      </c>
      <c r="P51">
        <v>0.11577070812350417</v>
      </c>
      <c r="Q51" t="s">
        <v>166</v>
      </c>
      <c r="S51" t="s">
        <v>205</v>
      </c>
      <c r="T51" t="s">
        <v>281</v>
      </c>
      <c r="U51">
        <v>0.11400489994864434</v>
      </c>
      <c r="V51" t="s">
        <v>166</v>
      </c>
      <c r="AK51">
        <v>2032</v>
      </c>
      <c r="AL51" t="s">
        <v>271</v>
      </c>
      <c r="AM51">
        <v>0.51016666666666666</v>
      </c>
      <c r="AN51" t="s">
        <v>221</v>
      </c>
    </row>
    <row r="52" spans="14:40" x14ac:dyDescent="0.45">
      <c r="N52" t="s">
        <v>181</v>
      </c>
      <c r="O52" t="s">
        <v>282</v>
      </c>
      <c r="P52">
        <v>2.1650106048182662E-2</v>
      </c>
      <c r="Q52" t="s">
        <v>166</v>
      </c>
      <c r="S52" t="s">
        <v>205</v>
      </c>
      <c r="T52" t="s">
        <v>282</v>
      </c>
      <c r="U52">
        <v>2.0971840521374061E-2</v>
      </c>
      <c r="V52" t="s">
        <v>166</v>
      </c>
      <c r="AK52">
        <v>2032</v>
      </c>
      <c r="AL52" t="s">
        <v>273</v>
      </c>
      <c r="AM52">
        <v>0.58176666666666665</v>
      </c>
      <c r="AN52" t="s">
        <v>221</v>
      </c>
    </row>
    <row r="53" spans="14:40" x14ac:dyDescent="0.45">
      <c r="N53" t="s">
        <v>181</v>
      </c>
      <c r="O53" t="s">
        <v>283</v>
      </c>
      <c r="P53">
        <v>8.2445001108269356E-2</v>
      </c>
      <c r="Q53" t="s">
        <v>166</v>
      </c>
      <c r="S53" t="s">
        <v>205</v>
      </c>
      <c r="T53" t="s">
        <v>283</v>
      </c>
      <c r="U53">
        <v>9.1579339647848965E-2</v>
      </c>
      <c r="V53" t="s">
        <v>166</v>
      </c>
      <c r="AK53">
        <v>2032</v>
      </c>
      <c r="AL53" t="s">
        <v>274</v>
      </c>
      <c r="AM53">
        <v>0.44370000000000004</v>
      </c>
      <c r="AN53" t="s">
        <v>221</v>
      </c>
    </row>
    <row r="54" spans="14:40" x14ac:dyDescent="0.45">
      <c r="N54" t="s">
        <v>181</v>
      </c>
      <c r="O54" t="s">
        <v>284</v>
      </c>
      <c r="P54">
        <v>8.6692172705641585E-2</v>
      </c>
      <c r="Q54" t="s">
        <v>166</v>
      </c>
      <c r="S54" t="s">
        <v>205</v>
      </c>
      <c r="T54" t="s">
        <v>284</v>
      </c>
      <c r="U54">
        <v>9.0906205125230455E-2</v>
      </c>
      <c r="V54" t="s">
        <v>166</v>
      </c>
      <c r="AK54">
        <v>2032</v>
      </c>
      <c r="AL54" t="s">
        <v>276</v>
      </c>
      <c r="AM54">
        <v>0.54710000000000003</v>
      </c>
      <c r="AN54" t="s">
        <v>221</v>
      </c>
    </row>
    <row r="55" spans="14:40" x14ac:dyDescent="0.45">
      <c r="N55" t="s">
        <v>181</v>
      </c>
      <c r="O55" t="s">
        <v>285</v>
      </c>
      <c r="P55">
        <v>1.7342719212668667E-2</v>
      </c>
      <c r="Q55" t="s">
        <v>166</v>
      </c>
      <c r="S55" t="s">
        <v>205</v>
      </c>
      <c r="T55" t="s">
        <v>285</v>
      </c>
      <c r="U55">
        <v>1.7264413410862833E-2</v>
      </c>
      <c r="V55" t="s">
        <v>166</v>
      </c>
      <c r="AK55">
        <v>2033</v>
      </c>
      <c r="AL55" t="s">
        <v>271</v>
      </c>
      <c r="AM55">
        <v>0.52090000000000003</v>
      </c>
      <c r="AN55" t="s">
        <v>221</v>
      </c>
    </row>
    <row r="56" spans="14:40" x14ac:dyDescent="0.45">
      <c r="N56" t="s">
        <v>181</v>
      </c>
      <c r="O56" t="s">
        <v>286</v>
      </c>
      <c r="P56">
        <v>0.13368745601014631</v>
      </c>
      <c r="Q56" t="s">
        <v>166</v>
      </c>
      <c r="S56" t="s">
        <v>205</v>
      </c>
      <c r="T56" t="s">
        <v>286</v>
      </c>
      <c r="U56">
        <v>0.13402546684619165</v>
      </c>
      <c r="V56" t="s">
        <v>166</v>
      </c>
      <c r="AK56">
        <v>2033</v>
      </c>
      <c r="AL56" t="s">
        <v>273</v>
      </c>
      <c r="AM56">
        <v>0.54899999999999993</v>
      </c>
      <c r="AN56" t="s">
        <v>221</v>
      </c>
    </row>
    <row r="57" spans="14:40" x14ac:dyDescent="0.45">
      <c r="N57" t="s">
        <v>181</v>
      </c>
      <c r="O57" t="s">
        <v>287</v>
      </c>
      <c r="P57">
        <v>0.12726680170433394</v>
      </c>
      <c r="Q57" t="s">
        <v>166</v>
      </c>
      <c r="S57" t="s">
        <v>205</v>
      </c>
      <c r="T57" t="s">
        <v>287</v>
      </c>
      <c r="U57">
        <v>0.13378408651681767</v>
      </c>
      <c r="V57" t="s">
        <v>166</v>
      </c>
      <c r="AK57">
        <v>2033</v>
      </c>
      <c r="AL57" t="s">
        <v>274</v>
      </c>
      <c r="AM57">
        <v>0.46693333333333326</v>
      </c>
      <c r="AN57" t="s">
        <v>221</v>
      </c>
    </row>
    <row r="58" spans="14:40" x14ac:dyDescent="0.45">
      <c r="N58" t="s">
        <v>181</v>
      </c>
      <c r="O58" t="s">
        <v>288</v>
      </c>
      <c r="P58">
        <v>2.4266621121387295E-2</v>
      </c>
      <c r="Q58" t="s">
        <v>166</v>
      </c>
      <c r="S58" t="s">
        <v>205</v>
      </c>
      <c r="T58" t="s">
        <v>288</v>
      </c>
      <c r="U58">
        <v>2.5115799273768672E-2</v>
      </c>
      <c r="V58" t="s">
        <v>166</v>
      </c>
      <c r="AK58">
        <v>2033</v>
      </c>
      <c r="AL58" t="s">
        <v>276</v>
      </c>
      <c r="AM58">
        <v>0.53039999999999998</v>
      </c>
      <c r="AN58" t="s">
        <v>221</v>
      </c>
    </row>
    <row r="59" spans="14:40" x14ac:dyDescent="0.45">
      <c r="N59" t="s">
        <v>182</v>
      </c>
      <c r="O59" t="s">
        <v>277</v>
      </c>
      <c r="P59">
        <v>0.12594469592288654</v>
      </c>
      <c r="Q59" t="s">
        <v>166</v>
      </c>
      <c r="S59" t="s">
        <v>206</v>
      </c>
      <c r="T59" t="s">
        <v>277</v>
      </c>
      <c r="U59">
        <v>0.12350149263891913</v>
      </c>
      <c r="V59" t="s">
        <v>166</v>
      </c>
      <c r="AK59">
        <v>2034</v>
      </c>
      <c r="AL59" t="s">
        <v>271</v>
      </c>
      <c r="AM59">
        <v>0.58210000000000006</v>
      </c>
      <c r="AN59" t="s">
        <v>221</v>
      </c>
    </row>
    <row r="60" spans="14:40" x14ac:dyDescent="0.45">
      <c r="N60" t="s">
        <v>182</v>
      </c>
      <c r="O60" t="s">
        <v>278</v>
      </c>
      <c r="P60">
        <v>0.13370864750001285</v>
      </c>
      <c r="Q60" t="s">
        <v>166</v>
      </c>
      <c r="S60" t="s">
        <v>206</v>
      </c>
      <c r="T60" t="s">
        <v>278</v>
      </c>
      <c r="U60">
        <v>0.13733792572418962</v>
      </c>
      <c r="V60" t="s">
        <v>166</v>
      </c>
      <c r="AK60">
        <v>2034</v>
      </c>
      <c r="AL60" t="s">
        <v>273</v>
      </c>
      <c r="AM60">
        <v>0.62336666666666662</v>
      </c>
      <c r="AN60" t="s">
        <v>221</v>
      </c>
    </row>
    <row r="61" spans="14:40" x14ac:dyDescent="0.45">
      <c r="N61" t="s">
        <v>182</v>
      </c>
      <c r="O61" t="s">
        <v>279</v>
      </c>
      <c r="P61">
        <v>2.4380527991686798E-2</v>
      </c>
      <c r="Q61" t="s">
        <v>166</v>
      </c>
      <c r="S61" t="s">
        <v>206</v>
      </c>
      <c r="T61" t="s">
        <v>279</v>
      </c>
      <c r="U61">
        <v>2.5441561043811053E-2</v>
      </c>
      <c r="V61" t="s">
        <v>166</v>
      </c>
      <c r="AK61">
        <v>2034</v>
      </c>
      <c r="AL61" t="s">
        <v>274</v>
      </c>
      <c r="AM61">
        <v>0.51606666666666667</v>
      </c>
      <c r="AN61" t="s">
        <v>221</v>
      </c>
    </row>
    <row r="62" spans="14:40" x14ac:dyDescent="0.45">
      <c r="N62" t="s">
        <v>182</v>
      </c>
      <c r="O62" t="s">
        <v>280</v>
      </c>
      <c r="P62">
        <v>0.10785582432669449</v>
      </c>
      <c r="Q62" t="s">
        <v>166</v>
      </c>
      <c r="S62" t="s">
        <v>206</v>
      </c>
      <c r="T62" t="s">
        <v>280</v>
      </c>
      <c r="U62">
        <v>0.11683085871239962</v>
      </c>
      <c r="V62" t="s">
        <v>166</v>
      </c>
      <c r="AK62">
        <v>2034</v>
      </c>
      <c r="AL62" t="s">
        <v>276</v>
      </c>
      <c r="AM62">
        <v>0.60950000000000004</v>
      </c>
      <c r="AN62" t="s">
        <v>221</v>
      </c>
    </row>
    <row r="63" spans="14:40" x14ac:dyDescent="0.45">
      <c r="N63" t="s">
        <v>182</v>
      </c>
      <c r="O63" t="s">
        <v>281</v>
      </c>
      <c r="P63">
        <v>0.12013703887053291</v>
      </c>
      <c r="Q63" t="s">
        <v>166</v>
      </c>
      <c r="S63" t="s">
        <v>206</v>
      </c>
      <c r="T63" t="s">
        <v>281</v>
      </c>
      <c r="U63">
        <v>0.11762309330147729</v>
      </c>
      <c r="V63" t="s">
        <v>166</v>
      </c>
      <c r="AK63">
        <v>2035</v>
      </c>
      <c r="AL63" t="s">
        <v>271</v>
      </c>
      <c r="AM63">
        <v>0.61693333333333333</v>
      </c>
      <c r="AN63" t="s">
        <v>221</v>
      </c>
    </row>
    <row r="64" spans="14:40" x14ac:dyDescent="0.45">
      <c r="N64" t="s">
        <v>182</v>
      </c>
      <c r="O64" t="s">
        <v>282</v>
      </c>
      <c r="P64">
        <v>2.0910220595786597E-2</v>
      </c>
      <c r="Q64" t="s">
        <v>166</v>
      </c>
      <c r="S64" t="s">
        <v>206</v>
      </c>
      <c r="T64" t="s">
        <v>282</v>
      </c>
      <c r="U64">
        <v>2.3697610949815859E-2</v>
      </c>
      <c r="V64" t="s">
        <v>166</v>
      </c>
      <c r="AK64">
        <v>2035</v>
      </c>
      <c r="AL64" t="s">
        <v>273</v>
      </c>
      <c r="AM64">
        <v>0.6737333333333333</v>
      </c>
      <c r="AN64" t="s">
        <v>221</v>
      </c>
    </row>
    <row r="65" spans="14:40" x14ac:dyDescent="0.45">
      <c r="N65" t="s">
        <v>182</v>
      </c>
      <c r="O65" t="s">
        <v>283</v>
      </c>
      <c r="P65">
        <v>7.1191118386253041E-2</v>
      </c>
      <c r="Q65" t="s">
        <v>166</v>
      </c>
      <c r="S65" t="s">
        <v>206</v>
      </c>
      <c r="T65" t="s">
        <v>283</v>
      </c>
      <c r="U65">
        <v>6.9350543695434835E-2</v>
      </c>
      <c r="V65" t="s">
        <v>166</v>
      </c>
      <c r="AK65">
        <v>2035</v>
      </c>
      <c r="AL65" t="s">
        <v>274</v>
      </c>
      <c r="AM65">
        <v>0.49696666666666661</v>
      </c>
      <c r="AN65" t="s">
        <v>221</v>
      </c>
    </row>
    <row r="66" spans="14:40" x14ac:dyDescent="0.45">
      <c r="N66" t="s">
        <v>182</v>
      </c>
      <c r="O66" t="s">
        <v>284</v>
      </c>
      <c r="P66">
        <v>7.8495395881577348E-2</v>
      </c>
      <c r="Q66" t="s">
        <v>166</v>
      </c>
      <c r="S66" t="s">
        <v>206</v>
      </c>
      <c r="T66" t="s">
        <v>284</v>
      </c>
      <c r="U66">
        <v>7.62146600500299E-2</v>
      </c>
      <c r="V66" t="s">
        <v>166</v>
      </c>
      <c r="AK66">
        <v>2035</v>
      </c>
      <c r="AL66" t="s">
        <v>276</v>
      </c>
      <c r="AM66">
        <v>0.62326666666666675</v>
      </c>
      <c r="AN66" t="s">
        <v>221</v>
      </c>
    </row>
    <row r="67" spans="14:40" x14ac:dyDescent="0.45">
      <c r="N67" t="s">
        <v>182</v>
      </c>
      <c r="O67" t="s">
        <v>285</v>
      </c>
      <c r="P67">
        <v>1.4554592200184206E-2</v>
      </c>
      <c r="Q67" t="s">
        <v>166</v>
      </c>
      <c r="S67" t="s">
        <v>206</v>
      </c>
      <c r="T67" t="s">
        <v>285</v>
      </c>
      <c r="U67">
        <v>1.5710314624403622E-2</v>
      </c>
      <c r="V67" t="s">
        <v>166</v>
      </c>
      <c r="AK67">
        <v>2036</v>
      </c>
      <c r="AL67" t="s">
        <v>271</v>
      </c>
      <c r="AM67">
        <v>0.58109999999999995</v>
      </c>
      <c r="AN67" t="s">
        <v>221</v>
      </c>
    </row>
    <row r="68" spans="14:40" x14ac:dyDescent="0.45">
      <c r="N68" t="s">
        <v>182</v>
      </c>
      <c r="O68" t="s">
        <v>286</v>
      </c>
      <c r="P68">
        <v>0.13748586728058207</v>
      </c>
      <c r="Q68" t="s">
        <v>166</v>
      </c>
      <c r="S68" t="s">
        <v>206</v>
      </c>
      <c r="T68" t="s">
        <v>286</v>
      </c>
      <c r="U68">
        <v>0.13688039272409042</v>
      </c>
      <c r="V68" t="s">
        <v>166</v>
      </c>
      <c r="AK68">
        <v>2036</v>
      </c>
      <c r="AL68" t="s">
        <v>273</v>
      </c>
      <c r="AM68">
        <v>0.69523333333333337</v>
      </c>
      <c r="AN68" t="s">
        <v>221</v>
      </c>
    </row>
    <row r="69" spans="14:40" x14ac:dyDescent="0.45">
      <c r="N69" t="s">
        <v>182</v>
      </c>
      <c r="O69" t="s">
        <v>287</v>
      </c>
      <c r="P69">
        <v>0.13864989400058331</v>
      </c>
      <c r="Q69" t="s">
        <v>166</v>
      </c>
      <c r="S69" t="s">
        <v>206</v>
      </c>
      <c r="T69" t="s">
        <v>287</v>
      </c>
      <c r="U69">
        <v>0.13227188460786476</v>
      </c>
      <c r="V69" t="s">
        <v>166</v>
      </c>
      <c r="AK69">
        <v>2036</v>
      </c>
      <c r="AL69" t="s">
        <v>274</v>
      </c>
      <c r="AM69">
        <v>0.51819999999999999</v>
      </c>
      <c r="AN69" t="s">
        <v>221</v>
      </c>
    </row>
    <row r="70" spans="14:40" x14ac:dyDescent="0.45">
      <c r="N70" t="s">
        <v>182</v>
      </c>
      <c r="O70" t="s">
        <v>288</v>
      </c>
      <c r="P70">
        <v>2.6686177043218906E-2</v>
      </c>
      <c r="Q70" t="s">
        <v>166</v>
      </c>
      <c r="S70" t="s">
        <v>206</v>
      </c>
      <c r="T70" t="s">
        <v>288</v>
      </c>
      <c r="U70">
        <v>2.5139661927561788E-2</v>
      </c>
      <c r="V70" t="s">
        <v>166</v>
      </c>
      <c r="AK70">
        <v>2036</v>
      </c>
      <c r="AL70" t="s">
        <v>276</v>
      </c>
      <c r="AM70">
        <v>0.622</v>
      </c>
      <c r="AN70" t="s">
        <v>221</v>
      </c>
    </row>
    <row r="71" spans="14:40" x14ac:dyDescent="0.45">
      <c r="N71" t="s">
        <v>183</v>
      </c>
      <c r="O71" t="s">
        <v>277</v>
      </c>
      <c r="P71">
        <v>0.12482043851750609</v>
      </c>
      <c r="Q71" t="s">
        <v>166</v>
      </c>
      <c r="S71" t="s">
        <v>207</v>
      </c>
      <c r="T71" t="s">
        <v>277</v>
      </c>
      <c r="U71">
        <v>0.12520274218269714</v>
      </c>
      <c r="V71" t="s">
        <v>166</v>
      </c>
      <c r="AK71">
        <v>2037</v>
      </c>
      <c r="AL71" t="s">
        <v>271</v>
      </c>
      <c r="AM71">
        <v>0.56950000000000001</v>
      </c>
      <c r="AN71" t="s">
        <v>221</v>
      </c>
    </row>
    <row r="72" spans="14:40" x14ac:dyDescent="0.45">
      <c r="N72" t="s">
        <v>183</v>
      </c>
      <c r="O72" t="s">
        <v>278</v>
      </c>
      <c r="P72">
        <v>0.13374600597189326</v>
      </c>
      <c r="Q72" t="s">
        <v>166</v>
      </c>
      <c r="S72" t="s">
        <v>207</v>
      </c>
      <c r="T72" t="s">
        <v>278</v>
      </c>
      <c r="U72">
        <v>0.14077082666459986</v>
      </c>
      <c r="V72" t="s">
        <v>166</v>
      </c>
      <c r="AK72">
        <v>2037</v>
      </c>
      <c r="AL72" t="s">
        <v>273</v>
      </c>
      <c r="AM72">
        <v>0.68256666666666665</v>
      </c>
      <c r="AN72" t="s">
        <v>221</v>
      </c>
    </row>
    <row r="73" spans="14:40" x14ac:dyDescent="0.45">
      <c r="N73" t="s">
        <v>183</v>
      </c>
      <c r="O73" t="s">
        <v>279</v>
      </c>
      <c r="P73">
        <v>2.4835737036562236E-2</v>
      </c>
      <c r="Q73" t="s">
        <v>166</v>
      </c>
      <c r="S73" t="s">
        <v>207</v>
      </c>
      <c r="T73" t="s">
        <v>279</v>
      </c>
      <c r="U73">
        <v>2.3942064658089679E-2</v>
      </c>
      <c r="V73" t="s">
        <v>166</v>
      </c>
      <c r="AK73">
        <v>2037</v>
      </c>
      <c r="AL73" t="s">
        <v>274</v>
      </c>
      <c r="AM73">
        <v>0.53280000000000005</v>
      </c>
      <c r="AN73" t="s">
        <v>221</v>
      </c>
    </row>
    <row r="74" spans="14:40" x14ac:dyDescent="0.45">
      <c r="N74" t="s">
        <v>183</v>
      </c>
      <c r="O74" t="s">
        <v>280</v>
      </c>
      <c r="P74">
        <v>0.10692836286431702</v>
      </c>
      <c r="Q74" t="s">
        <v>166</v>
      </c>
      <c r="S74" t="s">
        <v>207</v>
      </c>
      <c r="T74" t="s">
        <v>280</v>
      </c>
      <c r="U74">
        <v>0.11159881137968962</v>
      </c>
      <c r="V74" t="s">
        <v>166</v>
      </c>
      <c r="AK74">
        <v>2037</v>
      </c>
      <c r="AL74" t="s">
        <v>276</v>
      </c>
      <c r="AM74">
        <v>0.60803333333333331</v>
      </c>
      <c r="AN74" t="s">
        <v>221</v>
      </c>
    </row>
    <row r="75" spans="14:40" x14ac:dyDescent="0.45">
      <c r="N75" t="s">
        <v>183</v>
      </c>
      <c r="O75" t="s">
        <v>281</v>
      </c>
      <c r="P75">
        <v>0.12519113205514557</v>
      </c>
      <c r="Q75" t="s">
        <v>166</v>
      </c>
      <c r="S75" t="s">
        <v>207</v>
      </c>
      <c r="T75" t="s">
        <v>281</v>
      </c>
      <c r="U75">
        <v>0.125593612451771</v>
      </c>
      <c r="V75" t="s">
        <v>166</v>
      </c>
      <c r="AK75">
        <v>2038</v>
      </c>
      <c r="AL75" t="s">
        <v>271</v>
      </c>
      <c r="AM75">
        <v>0.53106666666666669</v>
      </c>
      <c r="AN75" t="s">
        <v>221</v>
      </c>
    </row>
    <row r="76" spans="14:40" x14ac:dyDescent="0.45">
      <c r="N76" t="s">
        <v>183</v>
      </c>
      <c r="O76" t="s">
        <v>282</v>
      </c>
      <c r="P76">
        <v>2.3046795850105301E-2</v>
      </c>
      <c r="Q76" t="s">
        <v>166</v>
      </c>
      <c r="S76" t="s">
        <v>207</v>
      </c>
      <c r="T76" t="s">
        <v>282</v>
      </c>
      <c r="U76">
        <v>2.2781280452005098E-2</v>
      </c>
      <c r="V76" t="s">
        <v>166</v>
      </c>
      <c r="AK76">
        <v>2038</v>
      </c>
      <c r="AL76" t="s">
        <v>273</v>
      </c>
      <c r="AM76">
        <v>0.64483333333333326</v>
      </c>
      <c r="AN76" t="s">
        <v>221</v>
      </c>
    </row>
    <row r="77" spans="14:40" x14ac:dyDescent="0.45">
      <c r="N77" t="s">
        <v>183</v>
      </c>
      <c r="O77" t="s">
        <v>283</v>
      </c>
      <c r="P77">
        <v>6.5428208382087377E-2</v>
      </c>
      <c r="Q77" t="s">
        <v>166</v>
      </c>
      <c r="S77" t="s">
        <v>207</v>
      </c>
      <c r="T77" t="s">
        <v>283</v>
      </c>
      <c r="U77">
        <v>6.5548285317893584E-2</v>
      </c>
      <c r="V77" t="s">
        <v>166</v>
      </c>
      <c r="AK77">
        <v>2038</v>
      </c>
      <c r="AL77" t="s">
        <v>274</v>
      </c>
      <c r="AM77">
        <v>0.50626666666666675</v>
      </c>
      <c r="AN77" t="s">
        <v>221</v>
      </c>
    </row>
    <row r="78" spans="14:40" x14ac:dyDescent="0.45">
      <c r="N78" t="s">
        <v>183</v>
      </c>
      <c r="O78" t="s">
        <v>284</v>
      </c>
      <c r="P78">
        <v>7.6493020941544088E-2</v>
      </c>
      <c r="Q78" t="s">
        <v>166</v>
      </c>
      <c r="S78" t="s">
        <v>207</v>
      </c>
      <c r="T78" t="s">
        <v>284</v>
      </c>
      <c r="U78">
        <v>7.993484995271638E-2</v>
      </c>
      <c r="V78" t="s">
        <v>166</v>
      </c>
      <c r="AK78">
        <v>2038</v>
      </c>
      <c r="AL78" t="s">
        <v>276</v>
      </c>
      <c r="AM78">
        <v>0.63413333333333333</v>
      </c>
      <c r="AN78" t="s">
        <v>221</v>
      </c>
    </row>
    <row r="79" spans="14:40" x14ac:dyDescent="0.45">
      <c r="N79" t="s">
        <v>183</v>
      </c>
      <c r="O79" t="s">
        <v>285</v>
      </c>
      <c r="P79">
        <v>1.303969090926756E-2</v>
      </c>
      <c r="Q79" t="s">
        <v>166</v>
      </c>
      <c r="S79" t="s">
        <v>207</v>
      </c>
      <c r="T79" t="s">
        <v>285</v>
      </c>
      <c r="U79">
        <v>1.3382189355911255E-2</v>
      </c>
      <c r="V79" t="s">
        <v>166</v>
      </c>
      <c r="AK79">
        <v>2039</v>
      </c>
      <c r="AL79" t="s">
        <v>271</v>
      </c>
      <c r="AM79">
        <v>0.59019999999999995</v>
      </c>
      <c r="AN79" t="s">
        <v>221</v>
      </c>
    </row>
    <row r="80" spans="14:40" x14ac:dyDescent="0.45">
      <c r="N80" t="s">
        <v>183</v>
      </c>
      <c r="O80" t="s">
        <v>286</v>
      </c>
      <c r="P80">
        <v>0.13602465869584027</v>
      </c>
      <c r="Q80" t="s">
        <v>166</v>
      </c>
      <c r="S80" t="s">
        <v>207</v>
      </c>
      <c r="T80" t="s">
        <v>286</v>
      </c>
      <c r="U80">
        <v>0.13394796456964272</v>
      </c>
      <c r="V80" t="s">
        <v>166</v>
      </c>
      <c r="AK80">
        <v>2039</v>
      </c>
      <c r="AL80" t="s">
        <v>273</v>
      </c>
      <c r="AM80">
        <v>0.66089999999999993</v>
      </c>
      <c r="AN80" t="s">
        <v>221</v>
      </c>
    </row>
    <row r="81" spans="14:40" x14ac:dyDescent="0.45">
      <c r="N81" t="s">
        <v>183</v>
      </c>
      <c r="O81" t="s">
        <v>287</v>
      </c>
      <c r="P81">
        <v>0.14318770751162593</v>
      </c>
      <c r="Q81" t="s">
        <v>166</v>
      </c>
      <c r="S81" t="s">
        <v>207</v>
      </c>
      <c r="T81" t="s">
        <v>287</v>
      </c>
      <c r="U81">
        <v>0.13234542975161059</v>
      </c>
      <c r="V81" t="s">
        <v>166</v>
      </c>
      <c r="AK81">
        <v>2039</v>
      </c>
      <c r="AL81" t="s">
        <v>274</v>
      </c>
      <c r="AM81">
        <v>0.51066666666666671</v>
      </c>
      <c r="AN81" t="s">
        <v>221</v>
      </c>
    </row>
    <row r="82" spans="14:40" x14ac:dyDescent="0.45">
      <c r="N82" t="s">
        <v>183</v>
      </c>
      <c r="O82" t="s">
        <v>288</v>
      </c>
      <c r="P82">
        <v>2.7258241264107481E-2</v>
      </c>
      <c r="Q82" t="s">
        <v>166</v>
      </c>
      <c r="S82" t="s">
        <v>207</v>
      </c>
      <c r="T82" t="s">
        <v>288</v>
      </c>
      <c r="U82">
        <v>2.495194326337374E-2</v>
      </c>
      <c r="V82" t="s">
        <v>166</v>
      </c>
      <c r="AK82">
        <v>2039</v>
      </c>
      <c r="AL82" t="s">
        <v>276</v>
      </c>
      <c r="AM82">
        <v>0.62560000000000004</v>
      </c>
      <c r="AN82" t="s">
        <v>221</v>
      </c>
    </row>
    <row r="83" spans="14:40" x14ac:dyDescent="0.45">
      <c r="N83" t="s">
        <v>184</v>
      </c>
      <c r="O83" t="s">
        <v>277</v>
      </c>
      <c r="P83">
        <v>0.13020486379804033</v>
      </c>
      <c r="Q83" t="s">
        <v>166</v>
      </c>
      <c r="S83" t="s">
        <v>208</v>
      </c>
      <c r="T83" t="s">
        <v>277</v>
      </c>
      <c r="U83">
        <v>0.12217679092955482</v>
      </c>
      <c r="V83" t="s">
        <v>166</v>
      </c>
      <c r="AK83">
        <v>2040</v>
      </c>
      <c r="AL83" t="s">
        <v>271</v>
      </c>
      <c r="AM83">
        <v>0.6125666666666667</v>
      </c>
      <c r="AN83" t="s">
        <v>221</v>
      </c>
    </row>
    <row r="84" spans="14:40" x14ac:dyDescent="0.45">
      <c r="N84" t="s">
        <v>184</v>
      </c>
      <c r="O84" t="s">
        <v>278</v>
      </c>
      <c r="P84">
        <v>0.13970023556979436</v>
      </c>
      <c r="Q84" t="s">
        <v>166</v>
      </c>
      <c r="S84" t="s">
        <v>208</v>
      </c>
      <c r="T84" t="s">
        <v>278</v>
      </c>
      <c r="U84">
        <v>0.12847275823945972</v>
      </c>
      <c r="V84" t="s">
        <v>166</v>
      </c>
      <c r="AK84">
        <v>2040</v>
      </c>
      <c r="AL84" t="s">
        <v>273</v>
      </c>
      <c r="AM84">
        <v>0.67836666666666667</v>
      </c>
      <c r="AN84" t="s">
        <v>221</v>
      </c>
    </row>
    <row r="85" spans="14:40" x14ac:dyDescent="0.45">
      <c r="N85" t="s">
        <v>184</v>
      </c>
      <c r="O85" t="s">
        <v>279</v>
      </c>
      <c r="P85">
        <v>2.4888483263635144E-2</v>
      </c>
      <c r="Q85" t="s">
        <v>166</v>
      </c>
      <c r="S85" t="s">
        <v>208</v>
      </c>
      <c r="T85" t="s">
        <v>279</v>
      </c>
      <c r="U85">
        <v>2.4252485424187054E-2</v>
      </c>
      <c r="V85" t="s">
        <v>166</v>
      </c>
      <c r="AK85">
        <v>2040</v>
      </c>
      <c r="AL85" t="s">
        <v>274</v>
      </c>
      <c r="AM85">
        <v>0.53649999999999998</v>
      </c>
      <c r="AN85" t="s">
        <v>221</v>
      </c>
    </row>
    <row r="86" spans="14:40" x14ac:dyDescent="0.45">
      <c r="N86" t="s">
        <v>184</v>
      </c>
      <c r="O86" t="s">
        <v>280</v>
      </c>
      <c r="P86">
        <v>0.10305859146886588</v>
      </c>
      <c r="Q86" t="s">
        <v>166</v>
      </c>
      <c r="S86" t="s">
        <v>208</v>
      </c>
      <c r="T86" t="s">
        <v>280</v>
      </c>
      <c r="U86">
        <v>9.9056277471444257E-2</v>
      </c>
      <c r="V86" t="s">
        <v>166</v>
      </c>
      <c r="AK86">
        <v>2040</v>
      </c>
      <c r="AL86" t="s">
        <v>276</v>
      </c>
      <c r="AM86">
        <v>0.59176666666666666</v>
      </c>
      <c r="AN86" t="s">
        <v>221</v>
      </c>
    </row>
    <row r="87" spans="14:40" x14ac:dyDescent="0.45">
      <c r="N87" t="s">
        <v>184</v>
      </c>
      <c r="O87" t="s">
        <v>281</v>
      </c>
      <c r="P87">
        <v>0.13311616799961637</v>
      </c>
      <c r="Q87" t="s">
        <v>166</v>
      </c>
      <c r="S87" t="s">
        <v>208</v>
      </c>
      <c r="T87" t="s">
        <v>281</v>
      </c>
      <c r="U87">
        <v>0.11023820626851555</v>
      </c>
      <c r="V87" t="s">
        <v>166</v>
      </c>
      <c r="AK87">
        <v>2041</v>
      </c>
      <c r="AL87" t="s">
        <v>271</v>
      </c>
      <c r="AM87">
        <v>0.58283333333333331</v>
      </c>
      <c r="AN87" t="s">
        <v>221</v>
      </c>
    </row>
    <row r="88" spans="14:40" x14ac:dyDescent="0.45">
      <c r="N88" t="s">
        <v>184</v>
      </c>
      <c r="O88" t="s">
        <v>282</v>
      </c>
      <c r="P88">
        <v>2.2006973490554835E-2</v>
      </c>
      <c r="Q88" t="s">
        <v>166</v>
      </c>
      <c r="S88" t="s">
        <v>208</v>
      </c>
      <c r="T88" t="s">
        <v>282</v>
      </c>
      <c r="U88">
        <v>1.8806668664467778E-2</v>
      </c>
      <c r="V88" t="s">
        <v>166</v>
      </c>
      <c r="AK88">
        <v>2041</v>
      </c>
      <c r="AL88" t="s">
        <v>273</v>
      </c>
      <c r="AM88">
        <v>0.64716666666666656</v>
      </c>
      <c r="AN88" t="s">
        <v>221</v>
      </c>
    </row>
    <row r="89" spans="14:40" x14ac:dyDescent="0.45">
      <c r="N89" t="s">
        <v>184</v>
      </c>
      <c r="O89" t="s">
        <v>283</v>
      </c>
      <c r="P89">
        <v>6.0592747310963743E-2</v>
      </c>
      <c r="Q89" t="s">
        <v>166</v>
      </c>
      <c r="S89" t="s">
        <v>208</v>
      </c>
      <c r="T89" t="s">
        <v>283</v>
      </c>
      <c r="U89">
        <v>8.8072574339814289E-2</v>
      </c>
      <c r="V89" t="s">
        <v>166</v>
      </c>
      <c r="AK89">
        <v>2041</v>
      </c>
      <c r="AL89" t="s">
        <v>274</v>
      </c>
      <c r="AM89">
        <v>0.52083333333333337</v>
      </c>
      <c r="AN89" t="s">
        <v>221</v>
      </c>
    </row>
    <row r="90" spans="14:40" x14ac:dyDescent="0.45">
      <c r="N90" t="s">
        <v>184</v>
      </c>
      <c r="O90" t="s">
        <v>284</v>
      </c>
      <c r="P90">
        <v>7.412555545100101E-2</v>
      </c>
      <c r="Q90" t="s">
        <v>166</v>
      </c>
      <c r="S90" t="s">
        <v>208</v>
      </c>
      <c r="T90" t="s">
        <v>284</v>
      </c>
      <c r="U90">
        <v>9.5259772787346791E-2</v>
      </c>
      <c r="V90" t="s">
        <v>166</v>
      </c>
      <c r="AK90">
        <v>2041</v>
      </c>
      <c r="AL90" t="s">
        <v>276</v>
      </c>
      <c r="AM90">
        <v>0.59639999999999993</v>
      </c>
      <c r="AN90" t="s">
        <v>221</v>
      </c>
    </row>
    <row r="91" spans="14:40" x14ac:dyDescent="0.45">
      <c r="N91" t="s">
        <v>184</v>
      </c>
      <c r="O91" t="s">
        <v>285</v>
      </c>
      <c r="P91">
        <v>1.154251442694749E-2</v>
      </c>
      <c r="Q91" t="s">
        <v>166</v>
      </c>
      <c r="S91" t="s">
        <v>208</v>
      </c>
      <c r="T91" t="s">
        <v>285</v>
      </c>
      <c r="U91">
        <v>1.687188604561483E-2</v>
      </c>
      <c r="V91" t="s">
        <v>166</v>
      </c>
      <c r="AK91">
        <v>2042</v>
      </c>
      <c r="AL91" t="s">
        <v>271</v>
      </c>
      <c r="AM91">
        <v>0.58386666666666664</v>
      </c>
      <c r="AN91" t="s">
        <v>221</v>
      </c>
    </row>
    <row r="92" spans="14:40" x14ac:dyDescent="0.45">
      <c r="N92" t="s">
        <v>184</v>
      </c>
      <c r="O92" t="s">
        <v>286</v>
      </c>
      <c r="P92">
        <v>0.13391728870357283</v>
      </c>
      <c r="Q92" t="s">
        <v>166</v>
      </c>
      <c r="S92" t="s">
        <v>208</v>
      </c>
      <c r="T92" t="s">
        <v>286</v>
      </c>
      <c r="U92">
        <v>0.13650317276423077</v>
      </c>
      <c r="V92" t="s">
        <v>166</v>
      </c>
      <c r="AK92">
        <v>2042</v>
      </c>
      <c r="AL92" t="s">
        <v>273</v>
      </c>
      <c r="AM92">
        <v>0.68559999999999999</v>
      </c>
      <c r="AN92" t="s">
        <v>221</v>
      </c>
    </row>
    <row r="93" spans="14:40" x14ac:dyDescent="0.45">
      <c r="N93" t="s">
        <v>184</v>
      </c>
      <c r="O93" t="s">
        <v>287</v>
      </c>
      <c r="P93">
        <v>0.14185583078981803</v>
      </c>
      <c r="Q93" t="s">
        <v>166</v>
      </c>
      <c r="S93" t="s">
        <v>208</v>
      </c>
      <c r="T93" t="s">
        <v>287</v>
      </c>
      <c r="U93">
        <v>0.1350932678320188</v>
      </c>
      <c r="V93" t="s">
        <v>166</v>
      </c>
      <c r="AK93">
        <v>2042</v>
      </c>
      <c r="AL93" t="s">
        <v>274</v>
      </c>
      <c r="AM93">
        <v>0.50609999999999999</v>
      </c>
      <c r="AN93" t="s">
        <v>221</v>
      </c>
    </row>
    <row r="94" spans="14:40" x14ac:dyDescent="0.45">
      <c r="N94" t="s">
        <v>184</v>
      </c>
      <c r="O94" t="s">
        <v>288</v>
      </c>
      <c r="P94">
        <v>2.499074772718959E-2</v>
      </c>
      <c r="Q94" t="s">
        <v>166</v>
      </c>
      <c r="S94" t="s">
        <v>208</v>
      </c>
      <c r="T94" t="s">
        <v>288</v>
      </c>
      <c r="U94">
        <v>2.5196139233336169E-2</v>
      </c>
      <c r="V94" t="s">
        <v>166</v>
      </c>
      <c r="AK94">
        <v>2042</v>
      </c>
      <c r="AL94" t="s">
        <v>276</v>
      </c>
      <c r="AM94">
        <v>0.62939999999999996</v>
      </c>
      <c r="AN94" t="s">
        <v>221</v>
      </c>
    </row>
    <row r="95" spans="14:40" x14ac:dyDescent="0.45">
      <c r="N95" t="s">
        <v>185</v>
      </c>
      <c r="O95" t="s">
        <v>277</v>
      </c>
      <c r="P95">
        <v>0.12627560726362516</v>
      </c>
      <c r="Q95" t="s">
        <v>166</v>
      </c>
      <c r="S95" t="s">
        <v>209</v>
      </c>
      <c r="T95" t="s">
        <v>277</v>
      </c>
      <c r="U95">
        <v>0.11953503063117984</v>
      </c>
      <c r="V95" t="s">
        <v>166</v>
      </c>
      <c r="AK95">
        <v>2043</v>
      </c>
      <c r="AL95" t="s">
        <v>271</v>
      </c>
      <c r="AM95">
        <v>0.5964666666666667</v>
      </c>
      <c r="AN95" t="s">
        <v>221</v>
      </c>
    </row>
    <row r="96" spans="14:40" x14ac:dyDescent="0.45">
      <c r="N96" t="s">
        <v>185</v>
      </c>
      <c r="O96" t="s">
        <v>278</v>
      </c>
      <c r="P96">
        <v>0.13634066205806197</v>
      </c>
      <c r="Q96" t="s">
        <v>166</v>
      </c>
      <c r="S96" t="s">
        <v>209</v>
      </c>
      <c r="T96" t="s">
        <v>278</v>
      </c>
      <c r="U96">
        <v>0.12806156208163702</v>
      </c>
      <c r="V96" t="s">
        <v>166</v>
      </c>
      <c r="AK96">
        <v>2043</v>
      </c>
      <c r="AL96" t="s">
        <v>273</v>
      </c>
      <c r="AM96">
        <v>0.68</v>
      </c>
      <c r="AN96" t="s">
        <v>221</v>
      </c>
    </row>
    <row r="97" spans="14:40" x14ac:dyDescent="0.45">
      <c r="N97" t="s">
        <v>185</v>
      </c>
      <c r="O97" t="s">
        <v>279</v>
      </c>
      <c r="P97">
        <v>2.434007920549975E-2</v>
      </c>
      <c r="Q97" t="s">
        <v>166</v>
      </c>
      <c r="S97" t="s">
        <v>209</v>
      </c>
      <c r="T97" t="s">
        <v>279</v>
      </c>
      <c r="U97">
        <v>2.3269125947551667E-2</v>
      </c>
      <c r="V97" t="s">
        <v>166</v>
      </c>
      <c r="AK97">
        <v>2043</v>
      </c>
      <c r="AL97" t="s">
        <v>274</v>
      </c>
      <c r="AM97">
        <v>0.51029999999999998</v>
      </c>
      <c r="AN97" t="s">
        <v>221</v>
      </c>
    </row>
    <row r="98" spans="14:40" x14ac:dyDescent="0.45">
      <c r="N98" t="s">
        <v>185</v>
      </c>
      <c r="O98" t="s">
        <v>280</v>
      </c>
      <c r="P98">
        <v>0.10591269783345743</v>
      </c>
      <c r="Q98" t="s">
        <v>166</v>
      </c>
      <c r="S98" t="s">
        <v>209</v>
      </c>
      <c r="T98" t="s">
        <v>280</v>
      </c>
      <c r="U98">
        <v>0.11148318120267538</v>
      </c>
      <c r="V98" t="s">
        <v>166</v>
      </c>
      <c r="AK98">
        <v>2043</v>
      </c>
      <c r="AL98" t="s">
        <v>276</v>
      </c>
      <c r="AM98">
        <v>0.61726666666666663</v>
      </c>
      <c r="AN98" t="s">
        <v>221</v>
      </c>
    </row>
    <row r="99" spans="14:40" x14ac:dyDescent="0.45">
      <c r="N99" t="s">
        <v>185</v>
      </c>
      <c r="O99" t="s">
        <v>281</v>
      </c>
      <c r="P99">
        <v>0.13103323733144528</v>
      </c>
      <c r="Q99" t="s">
        <v>166</v>
      </c>
      <c r="S99" t="s">
        <v>209</v>
      </c>
      <c r="T99" t="s">
        <v>281</v>
      </c>
      <c r="U99">
        <v>0.1182443247491663</v>
      </c>
      <c r="V99" t="s">
        <v>166</v>
      </c>
      <c r="AK99">
        <v>2044</v>
      </c>
      <c r="AL99" t="s">
        <v>271</v>
      </c>
      <c r="AM99">
        <v>0.61166666666666669</v>
      </c>
      <c r="AN99" t="s">
        <v>221</v>
      </c>
    </row>
    <row r="100" spans="14:40" x14ac:dyDescent="0.45">
      <c r="N100" t="s">
        <v>185</v>
      </c>
      <c r="O100" t="s">
        <v>282</v>
      </c>
      <c r="P100">
        <v>2.2156664428702129E-2</v>
      </c>
      <c r="Q100" t="s">
        <v>166</v>
      </c>
      <c r="S100" t="s">
        <v>209</v>
      </c>
      <c r="T100" t="s">
        <v>282</v>
      </c>
      <c r="U100">
        <v>2.1030024106857417E-2</v>
      </c>
      <c r="V100" t="s">
        <v>166</v>
      </c>
      <c r="AK100">
        <v>2044</v>
      </c>
      <c r="AL100" t="s">
        <v>273</v>
      </c>
      <c r="AM100">
        <v>0.6589666666666667</v>
      </c>
      <c r="AN100" t="s">
        <v>221</v>
      </c>
    </row>
    <row r="101" spans="14:40" x14ac:dyDescent="0.45">
      <c r="N101" t="s">
        <v>185</v>
      </c>
      <c r="O101" t="s">
        <v>283</v>
      </c>
      <c r="P101">
        <v>6.1118480061680538E-2</v>
      </c>
      <c r="Q101" t="s">
        <v>166</v>
      </c>
      <c r="S101" t="s">
        <v>209</v>
      </c>
      <c r="T101" t="s">
        <v>283</v>
      </c>
      <c r="U101">
        <v>8.2460496405452513E-2</v>
      </c>
      <c r="V101" t="s">
        <v>166</v>
      </c>
      <c r="AK101">
        <v>2044</v>
      </c>
      <c r="AL101" t="s">
        <v>274</v>
      </c>
      <c r="AM101">
        <v>0.53969999999999996</v>
      </c>
      <c r="AN101" t="s">
        <v>221</v>
      </c>
    </row>
    <row r="102" spans="14:40" x14ac:dyDescent="0.45">
      <c r="N102" t="s">
        <v>185</v>
      </c>
      <c r="O102" t="s">
        <v>284</v>
      </c>
      <c r="P102">
        <v>7.3912481090833412E-2</v>
      </c>
      <c r="Q102" t="s">
        <v>166</v>
      </c>
      <c r="S102" t="s">
        <v>209</v>
      </c>
      <c r="T102" t="s">
        <v>284</v>
      </c>
      <c r="U102">
        <v>8.6489328712437696E-2</v>
      </c>
      <c r="V102" t="s">
        <v>166</v>
      </c>
      <c r="AK102">
        <v>2044</v>
      </c>
      <c r="AL102" t="s">
        <v>276</v>
      </c>
      <c r="AM102">
        <v>0.57953333333333334</v>
      </c>
      <c r="AN102" t="s">
        <v>221</v>
      </c>
    </row>
    <row r="103" spans="14:40" x14ac:dyDescent="0.45">
      <c r="N103" t="s">
        <v>185</v>
      </c>
      <c r="O103" t="s">
        <v>285</v>
      </c>
      <c r="P103">
        <v>1.1749080148962148E-2</v>
      </c>
      <c r="Q103" t="s">
        <v>166</v>
      </c>
      <c r="S103" t="s">
        <v>209</v>
      </c>
      <c r="T103" t="s">
        <v>285</v>
      </c>
      <c r="U103">
        <v>1.7238473243876524E-2</v>
      </c>
      <c r="V103" t="s">
        <v>166</v>
      </c>
      <c r="AK103">
        <v>2045</v>
      </c>
      <c r="AL103" t="s">
        <v>271</v>
      </c>
      <c r="AM103">
        <v>0.58966666666666667</v>
      </c>
      <c r="AN103" t="s">
        <v>221</v>
      </c>
    </row>
    <row r="104" spans="14:40" x14ac:dyDescent="0.45">
      <c r="N104" t="s">
        <v>185</v>
      </c>
      <c r="O104" t="s">
        <v>286</v>
      </c>
      <c r="P104">
        <v>0.13474892091148255</v>
      </c>
      <c r="Q104" t="s">
        <v>166</v>
      </c>
      <c r="S104" t="s">
        <v>209</v>
      </c>
      <c r="T104" t="s">
        <v>286</v>
      </c>
      <c r="U104">
        <v>0.13619200706086881</v>
      </c>
      <c r="V104" t="s">
        <v>166</v>
      </c>
      <c r="AK104">
        <v>2045</v>
      </c>
      <c r="AL104" t="s">
        <v>273</v>
      </c>
      <c r="AM104">
        <v>0.62036666666666662</v>
      </c>
      <c r="AN104" t="s">
        <v>221</v>
      </c>
    </row>
    <row r="105" spans="14:40" x14ac:dyDescent="0.45">
      <c r="N105" t="s">
        <v>185</v>
      </c>
      <c r="O105" t="s">
        <v>287</v>
      </c>
      <c r="P105">
        <v>0.14586083979495781</v>
      </c>
      <c r="Q105" t="s">
        <v>166</v>
      </c>
      <c r="S105" t="s">
        <v>209</v>
      </c>
      <c r="T105" t="s">
        <v>287</v>
      </c>
      <c r="U105">
        <v>0.13104399908312869</v>
      </c>
      <c r="V105" t="s">
        <v>166</v>
      </c>
      <c r="AK105">
        <v>2045</v>
      </c>
      <c r="AL105" t="s">
        <v>274</v>
      </c>
      <c r="AM105">
        <v>0.50913333333333333</v>
      </c>
      <c r="AN105" t="s">
        <v>221</v>
      </c>
    </row>
    <row r="106" spans="14:40" x14ac:dyDescent="0.45">
      <c r="N106" t="s">
        <v>185</v>
      </c>
      <c r="O106" t="s">
        <v>288</v>
      </c>
      <c r="P106">
        <v>2.6551249871289966E-2</v>
      </c>
      <c r="Q106" t="s">
        <v>166</v>
      </c>
      <c r="S106" t="s">
        <v>209</v>
      </c>
      <c r="T106" t="s">
        <v>288</v>
      </c>
      <c r="U106">
        <v>2.4952446775170771E-2</v>
      </c>
      <c r="V106" t="s">
        <v>166</v>
      </c>
      <c r="AK106">
        <v>2045</v>
      </c>
      <c r="AL106" t="s">
        <v>276</v>
      </c>
      <c r="AM106">
        <v>0.60843333333333327</v>
      </c>
      <c r="AN106" t="s">
        <v>221</v>
      </c>
    </row>
    <row r="107" spans="14:40" x14ac:dyDescent="0.45">
      <c r="N107" t="s">
        <v>186</v>
      </c>
      <c r="O107" t="s">
        <v>277</v>
      </c>
      <c r="P107">
        <v>0.12724315027292701</v>
      </c>
      <c r="Q107" t="s">
        <v>166</v>
      </c>
      <c r="S107" t="s">
        <v>210</v>
      </c>
      <c r="T107" t="s">
        <v>277</v>
      </c>
      <c r="U107">
        <v>0.12345205108146962</v>
      </c>
      <c r="V107" t="s">
        <v>166</v>
      </c>
      <c r="AK107">
        <v>2046</v>
      </c>
      <c r="AL107" t="s">
        <v>271</v>
      </c>
      <c r="AM107">
        <v>0.56113333333333337</v>
      </c>
      <c r="AN107" t="s">
        <v>221</v>
      </c>
    </row>
    <row r="108" spans="14:40" x14ac:dyDescent="0.45">
      <c r="N108" t="s">
        <v>186</v>
      </c>
      <c r="O108" t="s">
        <v>278</v>
      </c>
      <c r="P108">
        <v>0.13906403586002375</v>
      </c>
      <c r="Q108" t="s">
        <v>166</v>
      </c>
      <c r="S108" t="s">
        <v>210</v>
      </c>
      <c r="T108" t="s">
        <v>278</v>
      </c>
      <c r="U108">
        <v>0.12868067659414403</v>
      </c>
      <c r="V108" t="s">
        <v>166</v>
      </c>
      <c r="AK108">
        <v>2046</v>
      </c>
      <c r="AL108" t="s">
        <v>273</v>
      </c>
      <c r="AM108">
        <v>0.69340000000000002</v>
      </c>
      <c r="AN108" t="s">
        <v>221</v>
      </c>
    </row>
    <row r="109" spans="14:40" x14ac:dyDescent="0.45">
      <c r="N109" t="s">
        <v>186</v>
      </c>
      <c r="O109" t="s">
        <v>279</v>
      </c>
      <c r="P109">
        <v>2.3850349047338737E-2</v>
      </c>
      <c r="Q109" t="s">
        <v>166</v>
      </c>
      <c r="S109" t="s">
        <v>210</v>
      </c>
      <c r="T109" t="s">
        <v>279</v>
      </c>
      <c r="U109">
        <v>2.3521973351672089E-2</v>
      </c>
      <c r="V109" t="s">
        <v>166</v>
      </c>
      <c r="AK109">
        <v>2046</v>
      </c>
      <c r="AL109" t="s">
        <v>274</v>
      </c>
      <c r="AM109">
        <v>0.51790000000000003</v>
      </c>
      <c r="AN109" t="s">
        <v>221</v>
      </c>
    </row>
    <row r="110" spans="14:40" x14ac:dyDescent="0.45">
      <c r="N110" t="s">
        <v>186</v>
      </c>
      <c r="O110" t="s">
        <v>280</v>
      </c>
      <c r="P110">
        <v>0.10854371727600742</v>
      </c>
      <c r="Q110" t="s">
        <v>166</v>
      </c>
      <c r="S110" t="s">
        <v>210</v>
      </c>
      <c r="T110" t="s">
        <v>280</v>
      </c>
      <c r="U110">
        <v>0.11893834691141844</v>
      </c>
      <c r="V110" t="s">
        <v>166</v>
      </c>
      <c r="AK110">
        <v>2046</v>
      </c>
      <c r="AL110" t="s">
        <v>276</v>
      </c>
      <c r="AM110">
        <v>0.64023333333333332</v>
      </c>
      <c r="AN110" t="s">
        <v>221</v>
      </c>
    </row>
    <row r="111" spans="14:40" x14ac:dyDescent="0.45">
      <c r="N111" t="s">
        <v>186</v>
      </c>
      <c r="O111" t="s">
        <v>281</v>
      </c>
      <c r="P111">
        <v>0.13179833994820361</v>
      </c>
      <c r="Q111" t="s">
        <v>166</v>
      </c>
      <c r="S111" t="s">
        <v>210</v>
      </c>
      <c r="T111" t="s">
        <v>281</v>
      </c>
      <c r="U111">
        <v>0.11587304582134156</v>
      </c>
      <c r="V111" t="s">
        <v>166</v>
      </c>
      <c r="AK111">
        <v>2047</v>
      </c>
      <c r="AL111" t="s">
        <v>271</v>
      </c>
      <c r="AM111">
        <v>0.5698333333333333</v>
      </c>
      <c r="AN111" t="s">
        <v>221</v>
      </c>
    </row>
    <row r="112" spans="14:40" x14ac:dyDescent="0.45">
      <c r="N112" t="s">
        <v>186</v>
      </c>
      <c r="O112" t="s">
        <v>282</v>
      </c>
      <c r="P112">
        <v>2.2638360527216204E-2</v>
      </c>
      <c r="Q112" t="s">
        <v>166</v>
      </c>
      <c r="S112" t="s">
        <v>210</v>
      </c>
      <c r="T112" t="s">
        <v>282</v>
      </c>
      <c r="U112">
        <v>2.2825646347920923E-2</v>
      </c>
      <c r="V112" t="s">
        <v>166</v>
      </c>
      <c r="AK112">
        <v>2047</v>
      </c>
      <c r="AL112" t="s">
        <v>273</v>
      </c>
      <c r="AM112">
        <v>0.70033333333333336</v>
      </c>
      <c r="AN112" t="s">
        <v>221</v>
      </c>
    </row>
    <row r="113" spans="14:40" x14ac:dyDescent="0.45">
      <c r="N113" t="s">
        <v>186</v>
      </c>
      <c r="O113" t="s">
        <v>283</v>
      </c>
      <c r="P113">
        <v>6.0490865316605323E-2</v>
      </c>
      <c r="Q113" t="s">
        <v>166</v>
      </c>
      <c r="S113" t="s">
        <v>210</v>
      </c>
      <c r="T113" t="s">
        <v>283</v>
      </c>
      <c r="U113">
        <v>7.9009812684305458E-2</v>
      </c>
      <c r="V113" t="s">
        <v>166</v>
      </c>
      <c r="AK113">
        <v>2047</v>
      </c>
      <c r="AL113" t="s">
        <v>274</v>
      </c>
      <c r="AM113">
        <v>0.55449999999999999</v>
      </c>
      <c r="AN113" t="s">
        <v>221</v>
      </c>
    </row>
    <row r="114" spans="14:40" x14ac:dyDescent="0.45">
      <c r="N114" t="s">
        <v>186</v>
      </c>
      <c r="O114" t="s">
        <v>284</v>
      </c>
      <c r="P114">
        <v>7.4062243544201239E-2</v>
      </c>
      <c r="Q114" t="s">
        <v>166</v>
      </c>
      <c r="S114" t="s">
        <v>210</v>
      </c>
      <c r="T114" t="s">
        <v>284</v>
      </c>
      <c r="U114">
        <v>8.1251574494374881E-2</v>
      </c>
      <c r="V114" t="s">
        <v>166</v>
      </c>
      <c r="AK114">
        <v>2047</v>
      </c>
      <c r="AL114" t="s">
        <v>276</v>
      </c>
      <c r="AM114">
        <v>0.60456666666666659</v>
      </c>
      <c r="AN114" t="s">
        <v>221</v>
      </c>
    </row>
    <row r="115" spans="14:40" x14ac:dyDescent="0.45">
      <c r="N115" t="s">
        <v>186</v>
      </c>
      <c r="O115" t="s">
        <v>285</v>
      </c>
      <c r="P115">
        <v>1.2081216568505667E-2</v>
      </c>
      <c r="Q115" t="s">
        <v>166</v>
      </c>
      <c r="S115" t="s">
        <v>210</v>
      </c>
      <c r="T115" t="s">
        <v>285</v>
      </c>
      <c r="U115">
        <v>1.6405188059362228E-2</v>
      </c>
      <c r="V115" t="s">
        <v>166</v>
      </c>
      <c r="AK115">
        <v>2048</v>
      </c>
      <c r="AL115" t="s">
        <v>271</v>
      </c>
      <c r="AM115">
        <v>0.50446666666666662</v>
      </c>
      <c r="AN115" t="s">
        <v>221</v>
      </c>
    </row>
    <row r="116" spans="14:40" x14ac:dyDescent="0.45">
      <c r="N116" t="s">
        <v>186</v>
      </c>
      <c r="O116" t="s">
        <v>286</v>
      </c>
      <c r="P116">
        <v>0.13457794010266208</v>
      </c>
      <c r="Q116" t="s">
        <v>166</v>
      </c>
      <c r="S116" t="s">
        <v>210</v>
      </c>
      <c r="T116" t="s">
        <v>286</v>
      </c>
      <c r="U116">
        <v>0.13672910843651068</v>
      </c>
      <c r="V116" t="s">
        <v>166</v>
      </c>
      <c r="AK116">
        <v>2048</v>
      </c>
      <c r="AL116" t="s">
        <v>273</v>
      </c>
      <c r="AM116">
        <v>0.56996666666666662</v>
      </c>
      <c r="AN116" t="s">
        <v>221</v>
      </c>
    </row>
    <row r="117" spans="14:40" x14ac:dyDescent="0.45">
      <c r="N117" t="s">
        <v>186</v>
      </c>
      <c r="O117" t="s">
        <v>287</v>
      </c>
      <c r="P117">
        <v>0.14003918349246919</v>
      </c>
      <c r="Q117" t="s">
        <v>166</v>
      </c>
      <c r="S117" t="s">
        <v>210</v>
      </c>
      <c r="T117" t="s">
        <v>287</v>
      </c>
      <c r="U117">
        <v>0.12868498680327201</v>
      </c>
      <c r="V117" t="s">
        <v>166</v>
      </c>
      <c r="AK117">
        <v>2048</v>
      </c>
      <c r="AL117" t="s">
        <v>274</v>
      </c>
      <c r="AM117">
        <v>0.42886666666666667</v>
      </c>
      <c r="AN117" t="s">
        <v>221</v>
      </c>
    </row>
    <row r="118" spans="14:40" x14ac:dyDescent="0.45">
      <c r="N118" t="s">
        <v>186</v>
      </c>
      <c r="O118" t="s">
        <v>288</v>
      </c>
      <c r="P118">
        <v>2.5610598043841037E-2</v>
      </c>
      <c r="Q118" t="s">
        <v>166</v>
      </c>
      <c r="S118" t="s">
        <v>210</v>
      </c>
      <c r="T118" t="s">
        <v>288</v>
      </c>
      <c r="U118">
        <v>2.4627589414207944E-2</v>
      </c>
      <c r="V118" t="s">
        <v>166</v>
      </c>
      <c r="AK118">
        <v>2048</v>
      </c>
      <c r="AL118" t="s">
        <v>276</v>
      </c>
      <c r="AM118">
        <v>0.51806666666666656</v>
      </c>
      <c r="AN118" t="s">
        <v>221</v>
      </c>
    </row>
    <row r="119" spans="14:40" x14ac:dyDescent="0.45">
      <c r="N119" t="s">
        <v>187</v>
      </c>
      <c r="O119" t="s">
        <v>277</v>
      </c>
      <c r="P119">
        <v>0.12836517640643966</v>
      </c>
      <c r="Q119" t="s">
        <v>166</v>
      </c>
      <c r="S119" t="s">
        <v>211</v>
      </c>
      <c r="T119" t="s">
        <v>277</v>
      </c>
      <c r="U119">
        <v>0.13183041190177586</v>
      </c>
      <c r="V119" t="s">
        <v>166</v>
      </c>
      <c r="AK119">
        <v>2049</v>
      </c>
      <c r="AL119" t="s">
        <v>271</v>
      </c>
      <c r="AM119">
        <v>0.52543333333333331</v>
      </c>
      <c r="AN119" t="s">
        <v>221</v>
      </c>
    </row>
    <row r="120" spans="14:40" x14ac:dyDescent="0.45">
      <c r="N120" t="s">
        <v>187</v>
      </c>
      <c r="O120" t="s">
        <v>278</v>
      </c>
      <c r="P120">
        <v>0.13599006165118083</v>
      </c>
      <c r="Q120" t="s">
        <v>166</v>
      </c>
      <c r="S120" t="s">
        <v>211</v>
      </c>
      <c r="T120" t="s">
        <v>278</v>
      </c>
      <c r="U120">
        <v>0.1353326396422416</v>
      </c>
      <c r="V120" t="s">
        <v>166</v>
      </c>
      <c r="AK120">
        <v>2049</v>
      </c>
      <c r="AL120" t="s">
        <v>273</v>
      </c>
      <c r="AM120">
        <v>0.55856666666666666</v>
      </c>
      <c r="AN120" t="s">
        <v>221</v>
      </c>
    </row>
    <row r="121" spans="14:40" x14ac:dyDescent="0.45">
      <c r="N121" t="s">
        <v>187</v>
      </c>
      <c r="O121" t="s">
        <v>279</v>
      </c>
      <c r="P121">
        <v>2.3298862839273068E-2</v>
      </c>
      <c r="Q121" t="s">
        <v>166</v>
      </c>
      <c r="S121" t="s">
        <v>211</v>
      </c>
      <c r="T121" t="s">
        <v>279</v>
      </c>
      <c r="U121">
        <v>2.4772895855798199E-2</v>
      </c>
      <c r="V121" t="s">
        <v>166</v>
      </c>
      <c r="AK121">
        <v>2049</v>
      </c>
      <c r="AL121" t="s">
        <v>274</v>
      </c>
      <c r="AM121">
        <v>0.46733333333333338</v>
      </c>
      <c r="AN121" t="s">
        <v>221</v>
      </c>
    </row>
    <row r="122" spans="14:40" x14ac:dyDescent="0.45">
      <c r="N122" t="s">
        <v>187</v>
      </c>
      <c r="O122" t="s">
        <v>280</v>
      </c>
      <c r="P122">
        <v>9.5924256377779196E-2</v>
      </c>
      <c r="Q122" t="s">
        <v>166</v>
      </c>
      <c r="S122" t="s">
        <v>211</v>
      </c>
      <c r="T122" t="s">
        <v>280</v>
      </c>
      <c r="U122">
        <v>0.10391037332974108</v>
      </c>
      <c r="V122" t="s">
        <v>166</v>
      </c>
      <c r="AK122">
        <v>2049</v>
      </c>
      <c r="AL122" t="s">
        <v>276</v>
      </c>
      <c r="AM122">
        <v>0.50996666666666668</v>
      </c>
      <c r="AN122" t="s">
        <v>221</v>
      </c>
    </row>
    <row r="123" spans="14:40" x14ac:dyDescent="0.45">
      <c r="N123" t="s">
        <v>187</v>
      </c>
      <c r="O123" t="s">
        <v>281</v>
      </c>
      <c r="P123">
        <v>0.12786246111712157</v>
      </c>
      <c r="Q123" t="s">
        <v>166</v>
      </c>
      <c r="S123" t="s">
        <v>211</v>
      </c>
      <c r="T123" t="s">
        <v>281</v>
      </c>
      <c r="U123">
        <v>0.1121914362219425</v>
      </c>
      <c r="V123" t="s">
        <v>166</v>
      </c>
      <c r="AK123">
        <v>2050</v>
      </c>
      <c r="AL123" t="s">
        <v>271</v>
      </c>
      <c r="AM123">
        <v>0.48723333333333335</v>
      </c>
      <c r="AN123" t="s">
        <v>221</v>
      </c>
    </row>
    <row r="124" spans="14:40" x14ac:dyDescent="0.45">
      <c r="N124" t="s">
        <v>187</v>
      </c>
      <c r="O124" t="s">
        <v>282</v>
      </c>
      <c r="P124">
        <v>1.9607161697827939E-2</v>
      </c>
      <c r="Q124" t="s">
        <v>166</v>
      </c>
      <c r="S124" t="s">
        <v>211</v>
      </c>
      <c r="T124" t="s">
        <v>282</v>
      </c>
      <c r="U124">
        <v>1.934515287091507E-2</v>
      </c>
      <c r="V124" t="s">
        <v>166</v>
      </c>
      <c r="AK124">
        <v>2050</v>
      </c>
      <c r="AL124" t="s">
        <v>273</v>
      </c>
      <c r="AM124">
        <v>0.56526666666666658</v>
      </c>
      <c r="AN124" t="s">
        <v>221</v>
      </c>
    </row>
    <row r="125" spans="14:40" x14ac:dyDescent="0.45">
      <c r="N125" t="s">
        <v>187</v>
      </c>
      <c r="O125" t="s">
        <v>283</v>
      </c>
      <c r="P125">
        <v>6.6897157053665904E-2</v>
      </c>
      <c r="Q125" t="s">
        <v>166</v>
      </c>
      <c r="S125" t="s">
        <v>211</v>
      </c>
      <c r="T125" t="s">
        <v>283</v>
      </c>
      <c r="U125">
        <v>7.2046182203989589E-2</v>
      </c>
      <c r="V125" t="s">
        <v>166</v>
      </c>
      <c r="AK125">
        <v>2050</v>
      </c>
      <c r="AL125" t="s">
        <v>274</v>
      </c>
      <c r="AM125">
        <v>0.46966666666666668</v>
      </c>
      <c r="AN125" t="s">
        <v>221</v>
      </c>
    </row>
    <row r="126" spans="14:40" x14ac:dyDescent="0.45">
      <c r="N126" t="s">
        <v>187</v>
      </c>
      <c r="O126" t="s">
        <v>284</v>
      </c>
      <c r="P126">
        <v>7.2504490455564147E-2</v>
      </c>
      <c r="Q126" t="s">
        <v>166</v>
      </c>
      <c r="S126" t="s">
        <v>211</v>
      </c>
      <c r="T126" t="s">
        <v>284</v>
      </c>
      <c r="U126">
        <v>7.3563566315997725E-2</v>
      </c>
      <c r="V126" t="s">
        <v>166</v>
      </c>
      <c r="AK126">
        <v>2050</v>
      </c>
      <c r="AL126" t="s">
        <v>276</v>
      </c>
      <c r="AM126">
        <v>0.52339999999999998</v>
      </c>
      <c r="AN126" t="s">
        <v>221</v>
      </c>
    </row>
    <row r="127" spans="14:40" x14ac:dyDescent="0.45">
      <c r="N127" t="s">
        <v>187</v>
      </c>
      <c r="O127" t="s">
        <v>285</v>
      </c>
      <c r="P127">
        <v>1.2766134570776478E-2</v>
      </c>
      <c r="Q127" t="s">
        <v>166</v>
      </c>
      <c r="S127" t="s">
        <v>211</v>
      </c>
      <c r="T127" t="s">
        <v>285</v>
      </c>
      <c r="U127">
        <v>1.5266966084659385E-2</v>
      </c>
      <c r="V127" t="s">
        <v>166</v>
      </c>
    </row>
    <row r="128" spans="14:40" x14ac:dyDescent="0.45">
      <c r="N128" t="s">
        <v>187</v>
      </c>
      <c r="O128" t="s">
        <v>286</v>
      </c>
      <c r="P128">
        <v>0.14066996022872721</v>
      </c>
      <c r="Q128" t="s">
        <v>166</v>
      </c>
      <c r="S128" t="s">
        <v>211</v>
      </c>
      <c r="T128" t="s">
        <v>286</v>
      </c>
      <c r="U128">
        <v>0.14152682856268273</v>
      </c>
      <c r="V128" t="s">
        <v>166</v>
      </c>
    </row>
    <row r="129" spans="14:22" x14ac:dyDescent="0.45">
      <c r="N129" t="s">
        <v>187</v>
      </c>
      <c r="O129" t="s">
        <v>287</v>
      </c>
      <c r="P129">
        <v>0.14863107746303131</v>
      </c>
      <c r="Q129" t="s">
        <v>166</v>
      </c>
      <c r="S129" t="s">
        <v>211</v>
      </c>
      <c r="T129" t="s">
        <v>287</v>
      </c>
      <c r="U129">
        <v>0.14334327523848364</v>
      </c>
      <c r="V129" t="s">
        <v>166</v>
      </c>
    </row>
    <row r="130" spans="14:22" x14ac:dyDescent="0.45">
      <c r="N130" t="s">
        <v>187</v>
      </c>
      <c r="O130" t="s">
        <v>288</v>
      </c>
      <c r="P130">
        <v>2.7483200138611177E-2</v>
      </c>
      <c r="Q130" t="s">
        <v>166</v>
      </c>
      <c r="S130" t="s">
        <v>211</v>
      </c>
      <c r="T130" t="s">
        <v>288</v>
      </c>
      <c r="U130">
        <v>2.6870271771773729E-2</v>
      </c>
      <c r="V130" t="s">
        <v>166</v>
      </c>
    </row>
    <row r="131" spans="14:22" x14ac:dyDescent="0.45">
      <c r="N131" t="s">
        <v>188</v>
      </c>
      <c r="O131" t="s">
        <v>277</v>
      </c>
      <c r="P131">
        <v>0.13145556482612064</v>
      </c>
      <c r="Q131" t="s">
        <v>166</v>
      </c>
    </row>
    <row r="132" spans="14:22" x14ac:dyDescent="0.45">
      <c r="N132" t="s">
        <v>188</v>
      </c>
      <c r="O132" t="s">
        <v>278</v>
      </c>
      <c r="P132">
        <v>0.14103473531584063</v>
      </c>
      <c r="Q132" t="s">
        <v>166</v>
      </c>
    </row>
    <row r="133" spans="14:22" x14ac:dyDescent="0.45">
      <c r="N133" t="s">
        <v>188</v>
      </c>
      <c r="O133" t="s">
        <v>279</v>
      </c>
      <c r="P133">
        <v>2.4843275538051209E-2</v>
      </c>
      <c r="Q133" t="s">
        <v>166</v>
      </c>
    </row>
    <row r="134" spans="14:22" x14ac:dyDescent="0.45">
      <c r="N134" t="s">
        <v>188</v>
      </c>
      <c r="O134" t="s">
        <v>280</v>
      </c>
      <c r="P134">
        <v>9.3612861520151622E-2</v>
      </c>
      <c r="Q134" t="s">
        <v>166</v>
      </c>
    </row>
    <row r="135" spans="14:22" x14ac:dyDescent="0.45">
      <c r="N135" t="s">
        <v>188</v>
      </c>
      <c r="O135" t="s">
        <v>281</v>
      </c>
      <c r="P135">
        <v>0.12984797618752411</v>
      </c>
      <c r="Q135" t="s">
        <v>166</v>
      </c>
    </row>
    <row r="136" spans="14:22" x14ac:dyDescent="0.45">
      <c r="N136" t="s">
        <v>188</v>
      </c>
      <c r="O136" t="s">
        <v>282</v>
      </c>
      <c r="P136">
        <v>1.8898654509878522E-2</v>
      </c>
      <c r="Q136" t="s">
        <v>166</v>
      </c>
    </row>
    <row r="137" spans="14:22" x14ac:dyDescent="0.45">
      <c r="N137" t="s">
        <v>188</v>
      </c>
      <c r="O137" t="s">
        <v>283</v>
      </c>
      <c r="P137">
        <v>6.6087384509691705E-2</v>
      </c>
      <c r="Q137" t="s">
        <v>166</v>
      </c>
    </row>
    <row r="138" spans="14:22" x14ac:dyDescent="0.45">
      <c r="N138" t="s">
        <v>188</v>
      </c>
      <c r="O138" t="s">
        <v>284</v>
      </c>
      <c r="P138">
        <v>7.4546381930367431E-2</v>
      </c>
      <c r="Q138" t="s">
        <v>166</v>
      </c>
    </row>
    <row r="139" spans="14:22" x14ac:dyDescent="0.45">
      <c r="N139" t="s">
        <v>188</v>
      </c>
      <c r="O139" t="s">
        <v>285</v>
      </c>
      <c r="P139">
        <v>1.244892923647116E-2</v>
      </c>
      <c r="Q139" t="s">
        <v>166</v>
      </c>
    </row>
    <row r="140" spans="14:22" x14ac:dyDescent="0.45">
      <c r="N140" t="s">
        <v>188</v>
      </c>
      <c r="O140" t="s">
        <v>286</v>
      </c>
      <c r="P140">
        <v>0.13856978179418261</v>
      </c>
      <c r="Q140" t="s">
        <v>166</v>
      </c>
    </row>
    <row r="141" spans="14:22" x14ac:dyDescent="0.45">
      <c r="N141" t="s">
        <v>188</v>
      </c>
      <c r="O141" t="s">
        <v>287</v>
      </c>
      <c r="P141">
        <v>0.14212173078725382</v>
      </c>
      <c r="Q141" t="s">
        <v>166</v>
      </c>
    </row>
    <row r="142" spans="14:22" x14ac:dyDescent="0.45">
      <c r="N142" t="s">
        <v>188</v>
      </c>
      <c r="O142" t="s">
        <v>288</v>
      </c>
      <c r="P142">
        <v>2.6532723844466938E-2</v>
      </c>
      <c r="Q142" t="s">
        <v>166</v>
      </c>
    </row>
    <row r="143" spans="14:22" x14ac:dyDescent="0.45">
      <c r="N143" t="s">
        <v>189</v>
      </c>
      <c r="O143" t="s">
        <v>277</v>
      </c>
      <c r="P143">
        <v>0.13162994369816153</v>
      </c>
      <c r="Q143" t="s">
        <v>166</v>
      </c>
    </row>
    <row r="144" spans="14:22" x14ac:dyDescent="0.45">
      <c r="N144" t="s">
        <v>189</v>
      </c>
      <c r="O144" t="s">
        <v>278</v>
      </c>
      <c r="P144">
        <v>0.14214511936197194</v>
      </c>
      <c r="Q144" t="s">
        <v>166</v>
      </c>
    </row>
    <row r="145" spans="14:17" x14ac:dyDescent="0.45">
      <c r="N145" t="s">
        <v>189</v>
      </c>
      <c r="O145" t="s">
        <v>279</v>
      </c>
      <c r="P145">
        <v>2.5023832025343321E-2</v>
      </c>
      <c r="Q145" t="s">
        <v>166</v>
      </c>
    </row>
    <row r="146" spans="14:17" x14ac:dyDescent="0.45">
      <c r="N146" t="s">
        <v>189</v>
      </c>
      <c r="O146" t="s">
        <v>280</v>
      </c>
      <c r="P146">
        <v>9.7634637697911031E-2</v>
      </c>
      <c r="Q146" t="s">
        <v>166</v>
      </c>
    </row>
    <row r="147" spans="14:17" x14ac:dyDescent="0.45">
      <c r="N147" t="s">
        <v>189</v>
      </c>
      <c r="O147" t="s">
        <v>281</v>
      </c>
      <c r="P147">
        <v>0.13033403737041158</v>
      </c>
      <c r="Q147" t="s">
        <v>166</v>
      </c>
    </row>
    <row r="148" spans="14:17" x14ac:dyDescent="0.45">
      <c r="N148" t="s">
        <v>189</v>
      </c>
      <c r="O148" t="s">
        <v>282</v>
      </c>
      <c r="P148">
        <v>2.0037643468137755E-2</v>
      </c>
      <c r="Q148" t="s">
        <v>166</v>
      </c>
    </row>
    <row r="149" spans="14:17" x14ac:dyDescent="0.45">
      <c r="N149" t="s">
        <v>189</v>
      </c>
      <c r="O149" t="s">
        <v>283</v>
      </c>
      <c r="P149">
        <v>6.2317106050810957E-2</v>
      </c>
      <c r="Q149" t="s">
        <v>166</v>
      </c>
    </row>
    <row r="150" spans="14:17" x14ac:dyDescent="0.45">
      <c r="N150" t="s">
        <v>189</v>
      </c>
      <c r="O150" t="s">
        <v>284</v>
      </c>
      <c r="P150">
        <v>7.51780047974384E-2</v>
      </c>
      <c r="Q150" t="s">
        <v>166</v>
      </c>
    </row>
    <row r="151" spans="14:17" x14ac:dyDescent="0.45">
      <c r="N151" t="s">
        <v>189</v>
      </c>
      <c r="O151" t="s">
        <v>285</v>
      </c>
      <c r="P151">
        <v>1.1862985556004308E-2</v>
      </c>
      <c r="Q151" t="s">
        <v>166</v>
      </c>
    </row>
    <row r="152" spans="14:17" x14ac:dyDescent="0.45">
      <c r="N152" t="s">
        <v>189</v>
      </c>
      <c r="O152" t="s">
        <v>286</v>
      </c>
      <c r="P152">
        <v>0.13767566949817722</v>
      </c>
      <c r="Q152" t="s">
        <v>166</v>
      </c>
    </row>
    <row r="153" spans="14:17" x14ac:dyDescent="0.45">
      <c r="N153" t="s">
        <v>189</v>
      </c>
      <c r="O153" t="s">
        <v>287</v>
      </c>
      <c r="P153">
        <v>0.1402463265433482</v>
      </c>
      <c r="Q153" t="s">
        <v>166</v>
      </c>
    </row>
    <row r="154" spans="14:17" x14ac:dyDescent="0.45">
      <c r="N154" t="s">
        <v>189</v>
      </c>
      <c r="O154" t="s">
        <v>288</v>
      </c>
      <c r="P154">
        <v>2.5914693932282327E-2</v>
      </c>
      <c r="Q154" t="s">
        <v>166</v>
      </c>
    </row>
    <row r="155" spans="14:17" x14ac:dyDescent="0.45">
      <c r="N155" t="s">
        <v>190</v>
      </c>
      <c r="O155" t="s">
        <v>277</v>
      </c>
      <c r="P155">
        <v>0.12349539774491508</v>
      </c>
      <c r="Q155" t="s">
        <v>166</v>
      </c>
    </row>
    <row r="156" spans="14:17" x14ac:dyDescent="0.45">
      <c r="N156" t="s">
        <v>190</v>
      </c>
      <c r="O156" t="s">
        <v>278</v>
      </c>
      <c r="P156">
        <v>0.14043617322717819</v>
      </c>
      <c r="Q156" t="s">
        <v>166</v>
      </c>
    </row>
    <row r="157" spans="14:17" x14ac:dyDescent="0.45">
      <c r="N157" t="s">
        <v>190</v>
      </c>
      <c r="O157" t="s">
        <v>279</v>
      </c>
      <c r="P157">
        <v>2.3191147772899816E-2</v>
      </c>
      <c r="Q157" t="s">
        <v>166</v>
      </c>
    </row>
    <row r="158" spans="14:17" x14ac:dyDescent="0.45">
      <c r="N158" t="s">
        <v>190</v>
      </c>
      <c r="O158" t="s">
        <v>280</v>
      </c>
      <c r="P158">
        <v>9.2733324093607142E-2</v>
      </c>
      <c r="Q158" t="s">
        <v>166</v>
      </c>
    </row>
    <row r="159" spans="14:17" x14ac:dyDescent="0.45">
      <c r="N159" t="s">
        <v>190</v>
      </c>
      <c r="O159" t="s">
        <v>281</v>
      </c>
      <c r="P159">
        <v>0.13269641784235942</v>
      </c>
      <c r="Q159" t="s">
        <v>166</v>
      </c>
    </row>
    <row r="160" spans="14:17" x14ac:dyDescent="0.45">
      <c r="N160" t="s">
        <v>190</v>
      </c>
      <c r="O160" t="s">
        <v>282</v>
      </c>
      <c r="P160">
        <v>1.9700450933123274E-2</v>
      </c>
      <c r="Q160" t="s">
        <v>166</v>
      </c>
    </row>
    <row r="161" spans="14:17" x14ac:dyDescent="0.45">
      <c r="N161" t="s">
        <v>190</v>
      </c>
      <c r="O161" t="s">
        <v>283</v>
      </c>
      <c r="P161">
        <v>6.8558822065655722E-2</v>
      </c>
      <c r="Q161" t="s">
        <v>166</v>
      </c>
    </row>
    <row r="162" spans="14:17" x14ac:dyDescent="0.45">
      <c r="N162" t="s">
        <v>190</v>
      </c>
      <c r="O162" t="s">
        <v>284</v>
      </c>
      <c r="P162">
        <v>7.3708260656069904E-2</v>
      </c>
      <c r="Q162" t="s">
        <v>166</v>
      </c>
    </row>
    <row r="163" spans="14:17" x14ac:dyDescent="0.45">
      <c r="N163" t="s">
        <v>190</v>
      </c>
      <c r="O163" t="s">
        <v>285</v>
      </c>
      <c r="P163">
        <v>1.2188484867338346E-2</v>
      </c>
      <c r="Q163" t="s">
        <v>166</v>
      </c>
    </row>
    <row r="164" spans="14:17" x14ac:dyDescent="0.45">
      <c r="N164" t="s">
        <v>190</v>
      </c>
      <c r="O164" t="s">
        <v>286</v>
      </c>
      <c r="P164">
        <v>0.13877935966325983</v>
      </c>
      <c r="Q164" t="s">
        <v>166</v>
      </c>
    </row>
    <row r="165" spans="14:17" x14ac:dyDescent="0.45">
      <c r="N165" t="s">
        <v>190</v>
      </c>
      <c r="O165" t="s">
        <v>287</v>
      </c>
      <c r="P165">
        <v>0.147864904336104</v>
      </c>
      <c r="Q165" t="s">
        <v>166</v>
      </c>
    </row>
    <row r="166" spans="14:17" x14ac:dyDescent="0.45">
      <c r="N166" t="s">
        <v>190</v>
      </c>
      <c r="O166" t="s">
        <v>288</v>
      </c>
      <c r="P166">
        <v>2.6647256797489149E-2</v>
      </c>
      <c r="Q166" t="s">
        <v>166</v>
      </c>
    </row>
    <row r="167" spans="14:17" x14ac:dyDescent="0.45">
      <c r="N167" t="s">
        <v>191</v>
      </c>
      <c r="O167" t="s">
        <v>277</v>
      </c>
      <c r="P167">
        <v>0.1226981847267891</v>
      </c>
      <c r="Q167" t="s">
        <v>166</v>
      </c>
    </row>
    <row r="168" spans="14:17" x14ac:dyDescent="0.45">
      <c r="N168" t="s">
        <v>191</v>
      </c>
      <c r="O168" t="s">
        <v>278</v>
      </c>
      <c r="P168">
        <v>0.13338129305854585</v>
      </c>
      <c r="Q168" t="s">
        <v>166</v>
      </c>
    </row>
    <row r="169" spans="14:17" x14ac:dyDescent="0.45">
      <c r="N169" t="s">
        <v>191</v>
      </c>
      <c r="O169" t="s">
        <v>279</v>
      </c>
      <c r="P169">
        <v>2.3563585496170707E-2</v>
      </c>
      <c r="Q169" t="s">
        <v>166</v>
      </c>
    </row>
    <row r="170" spans="14:17" x14ac:dyDescent="0.45">
      <c r="N170" t="s">
        <v>191</v>
      </c>
      <c r="O170" t="s">
        <v>280</v>
      </c>
      <c r="P170">
        <v>9.6974172325762831E-2</v>
      </c>
      <c r="Q170" t="s">
        <v>166</v>
      </c>
    </row>
    <row r="171" spans="14:17" x14ac:dyDescent="0.45">
      <c r="N171" t="s">
        <v>191</v>
      </c>
      <c r="O171" t="s">
        <v>281</v>
      </c>
      <c r="P171">
        <v>0.12448089943279815</v>
      </c>
      <c r="Q171" t="s">
        <v>166</v>
      </c>
    </row>
    <row r="172" spans="14:17" x14ac:dyDescent="0.45">
      <c r="N172" t="s">
        <v>191</v>
      </c>
      <c r="O172" t="s">
        <v>282</v>
      </c>
      <c r="P172">
        <v>1.9382670801888036E-2</v>
      </c>
      <c r="Q172" t="s">
        <v>166</v>
      </c>
    </row>
    <row r="173" spans="14:17" x14ac:dyDescent="0.45">
      <c r="N173" t="s">
        <v>191</v>
      </c>
      <c r="O173" t="s">
        <v>283</v>
      </c>
      <c r="P173">
        <v>7.321096756235633E-2</v>
      </c>
      <c r="Q173" t="s">
        <v>166</v>
      </c>
    </row>
    <row r="174" spans="14:17" x14ac:dyDescent="0.45">
      <c r="N174" t="s">
        <v>191</v>
      </c>
      <c r="O174" t="s">
        <v>284</v>
      </c>
      <c r="P174">
        <v>7.6835481215341714E-2</v>
      </c>
      <c r="Q174" t="s">
        <v>166</v>
      </c>
    </row>
    <row r="175" spans="14:17" x14ac:dyDescent="0.45">
      <c r="N175" t="s">
        <v>191</v>
      </c>
      <c r="O175" t="s">
        <v>285</v>
      </c>
      <c r="P175">
        <v>1.264676746729196E-2</v>
      </c>
      <c r="Q175" t="s">
        <v>166</v>
      </c>
    </row>
    <row r="176" spans="14:17" x14ac:dyDescent="0.45">
      <c r="N176" t="s">
        <v>191</v>
      </c>
      <c r="O176" t="s">
        <v>286</v>
      </c>
      <c r="P176">
        <v>0.14446305291130207</v>
      </c>
      <c r="Q176" t="s">
        <v>166</v>
      </c>
    </row>
    <row r="177" spans="14:17" x14ac:dyDescent="0.45">
      <c r="N177" t="s">
        <v>191</v>
      </c>
      <c r="O177" t="s">
        <v>287</v>
      </c>
      <c r="P177">
        <v>0.14526953503128157</v>
      </c>
      <c r="Q177" t="s">
        <v>166</v>
      </c>
    </row>
    <row r="178" spans="14:17" x14ac:dyDescent="0.45">
      <c r="N178" t="s">
        <v>191</v>
      </c>
      <c r="O178" t="s">
        <v>288</v>
      </c>
      <c r="P178">
        <v>2.7093389970473378E-2</v>
      </c>
      <c r="Q178" t="s">
        <v>166</v>
      </c>
    </row>
    <row r="179" spans="14:17" x14ac:dyDescent="0.45">
      <c r="N179" t="s">
        <v>192</v>
      </c>
      <c r="O179" t="s">
        <v>277</v>
      </c>
      <c r="P179">
        <v>0.11903863297449382</v>
      </c>
      <c r="Q179" t="s">
        <v>166</v>
      </c>
    </row>
    <row r="180" spans="14:17" x14ac:dyDescent="0.45">
      <c r="N180" t="s">
        <v>192</v>
      </c>
      <c r="O180" t="s">
        <v>278</v>
      </c>
      <c r="P180">
        <v>0.13297896196757925</v>
      </c>
      <c r="Q180" t="s">
        <v>166</v>
      </c>
    </row>
    <row r="181" spans="14:17" x14ac:dyDescent="0.45">
      <c r="N181" t="s">
        <v>192</v>
      </c>
      <c r="O181" t="s">
        <v>279</v>
      </c>
      <c r="P181">
        <v>2.3961294756816069E-2</v>
      </c>
      <c r="Q181" t="s">
        <v>166</v>
      </c>
    </row>
    <row r="182" spans="14:17" x14ac:dyDescent="0.45">
      <c r="N182" t="s">
        <v>192</v>
      </c>
      <c r="O182" t="s">
        <v>280</v>
      </c>
      <c r="P182">
        <v>9.0774640132620668E-2</v>
      </c>
      <c r="Q182" t="s">
        <v>166</v>
      </c>
    </row>
    <row r="183" spans="14:17" x14ac:dyDescent="0.45">
      <c r="N183" t="s">
        <v>192</v>
      </c>
      <c r="O183" t="s">
        <v>281</v>
      </c>
      <c r="P183">
        <v>0.12428362059653272</v>
      </c>
      <c r="Q183" t="s">
        <v>166</v>
      </c>
    </row>
    <row r="184" spans="14:17" x14ac:dyDescent="0.45">
      <c r="N184" t="s">
        <v>192</v>
      </c>
      <c r="O184" t="s">
        <v>282</v>
      </c>
      <c r="P184">
        <v>2.0477834795379384E-2</v>
      </c>
      <c r="Q184" t="s">
        <v>166</v>
      </c>
    </row>
    <row r="185" spans="14:17" x14ac:dyDescent="0.45">
      <c r="N185" t="s">
        <v>192</v>
      </c>
      <c r="O185" t="s">
        <v>283</v>
      </c>
      <c r="P185">
        <v>8.7386943132298125E-2</v>
      </c>
      <c r="Q185" t="s">
        <v>166</v>
      </c>
    </row>
    <row r="186" spans="14:17" x14ac:dyDescent="0.45">
      <c r="N186" t="s">
        <v>192</v>
      </c>
      <c r="O186" t="s">
        <v>284</v>
      </c>
      <c r="P186">
        <v>8.6312955465013941E-2</v>
      </c>
      <c r="Q186" t="s">
        <v>166</v>
      </c>
    </row>
    <row r="187" spans="14:17" x14ac:dyDescent="0.45">
      <c r="N187" t="s">
        <v>192</v>
      </c>
      <c r="O187" t="s">
        <v>285</v>
      </c>
      <c r="P187">
        <v>1.4007804473694114E-2</v>
      </c>
      <c r="Q187" t="s">
        <v>166</v>
      </c>
    </row>
    <row r="188" spans="14:17" x14ac:dyDescent="0.45">
      <c r="N188" t="s">
        <v>192</v>
      </c>
      <c r="O188" t="s">
        <v>286</v>
      </c>
      <c r="P188">
        <v>0.1345837813826867</v>
      </c>
      <c r="Q188" t="s">
        <v>166</v>
      </c>
    </row>
    <row r="189" spans="14:17" x14ac:dyDescent="0.45">
      <c r="N189" t="s">
        <v>192</v>
      </c>
      <c r="O189" t="s">
        <v>287</v>
      </c>
      <c r="P189">
        <v>0.1402358817780463</v>
      </c>
      <c r="Q189" t="s">
        <v>166</v>
      </c>
    </row>
    <row r="190" spans="14:17" x14ac:dyDescent="0.45">
      <c r="N190" t="s">
        <v>192</v>
      </c>
      <c r="O190" t="s">
        <v>288</v>
      </c>
      <c r="P190">
        <v>2.5957648544835281E-2</v>
      </c>
      <c r="Q190" t="s">
        <v>166</v>
      </c>
    </row>
    <row r="191" spans="14:17" x14ac:dyDescent="0.45">
      <c r="N191" t="s">
        <v>193</v>
      </c>
      <c r="O191" t="s">
        <v>277</v>
      </c>
      <c r="P191">
        <v>0.13110807792242316</v>
      </c>
      <c r="Q191" t="s">
        <v>166</v>
      </c>
    </row>
    <row r="192" spans="14:17" x14ac:dyDescent="0.45">
      <c r="N192" t="s">
        <v>193</v>
      </c>
      <c r="O192" t="s">
        <v>278</v>
      </c>
      <c r="P192">
        <v>0.14158950250052774</v>
      </c>
      <c r="Q192" t="s">
        <v>166</v>
      </c>
    </row>
    <row r="193" spans="14:17" x14ac:dyDescent="0.45">
      <c r="N193" t="s">
        <v>193</v>
      </c>
      <c r="O193" t="s">
        <v>279</v>
      </c>
      <c r="P193">
        <v>2.4491419090978753E-2</v>
      </c>
      <c r="Q193" t="s">
        <v>166</v>
      </c>
    </row>
    <row r="194" spans="14:17" x14ac:dyDescent="0.45">
      <c r="N194" t="s">
        <v>193</v>
      </c>
      <c r="O194" t="s">
        <v>280</v>
      </c>
      <c r="P194">
        <v>9.1039670652736937E-2</v>
      </c>
      <c r="Q194" t="s">
        <v>166</v>
      </c>
    </row>
    <row r="195" spans="14:17" x14ac:dyDescent="0.45">
      <c r="N195" t="s">
        <v>193</v>
      </c>
      <c r="O195" t="s">
        <v>281</v>
      </c>
      <c r="P195">
        <v>0.12801081823198462</v>
      </c>
      <c r="Q195" t="s">
        <v>166</v>
      </c>
    </row>
    <row r="196" spans="14:17" x14ac:dyDescent="0.45">
      <c r="N196" t="s">
        <v>193</v>
      </c>
      <c r="O196" t="s">
        <v>282</v>
      </c>
      <c r="P196">
        <v>1.96856094099425E-2</v>
      </c>
      <c r="Q196" t="s">
        <v>166</v>
      </c>
    </row>
    <row r="197" spans="14:17" x14ac:dyDescent="0.45">
      <c r="N197" t="s">
        <v>193</v>
      </c>
      <c r="O197" t="s">
        <v>283</v>
      </c>
      <c r="P197">
        <v>6.8851865818098185E-2</v>
      </c>
      <c r="Q197" t="s">
        <v>166</v>
      </c>
    </row>
    <row r="198" spans="14:17" x14ac:dyDescent="0.45">
      <c r="N198" t="s">
        <v>193</v>
      </c>
      <c r="O198" t="s">
        <v>284</v>
      </c>
      <c r="P198">
        <v>7.2085269481729122E-2</v>
      </c>
      <c r="Q198" t="s">
        <v>166</v>
      </c>
    </row>
    <row r="199" spans="14:17" x14ac:dyDescent="0.45">
      <c r="N199" t="s">
        <v>193</v>
      </c>
      <c r="O199" t="s">
        <v>285</v>
      </c>
      <c r="P199">
        <v>1.3015460364418738E-2</v>
      </c>
      <c r="Q199" t="s">
        <v>166</v>
      </c>
    </row>
    <row r="200" spans="14:17" x14ac:dyDescent="0.45">
      <c r="N200" t="s">
        <v>193</v>
      </c>
      <c r="O200" t="s">
        <v>286</v>
      </c>
      <c r="P200">
        <v>0.13915352682030044</v>
      </c>
      <c r="Q200" t="s">
        <v>166</v>
      </c>
    </row>
    <row r="201" spans="14:17" x14ac:dyDescent="0.45">
      <c r="N201" t="s">
        <v>193</v>
      </c>
      <c r="O201" t="s">
        <v>287</v>
      </c>
      <c r="P201">
        <v>0.14486467594385832</v>
      </c>
      <c r="Q201" t="s">
        <v>166</v>
      </c>
    </row>
    <row r="202" spans="14:17" x14ac:dyDescent="0.45">
      <c r="N202" t="s">
        <v>193</v>
      </c>
      <c r="O202" t="s">
        <v>288</v>
      </c>
      <c r="P202">
        <v>2.6104103763001749E-2</v>
      </c>
      <c r="Q202" t="s">
        <v>166</v>
      </c>
    </row>
    <row r="203" spans="14:17" x14ac:dyDescent="0.45">
      <c r="N203" t="s">
        <v>194</v>
      </c>
      <c r="O203" t="s">
        <v>277</v>
      </c>
      <c r="P203">
        <v>0.1261467949323227</v>
      </c>
      <c r="Q203" t="s">
        <v>166</v>
      </c>
    </row>
    <row r="204" spans="14:17" x14ac:dyDescent="0.45">
      <c r="N204" t="s">
        <v>194</v>
      </c>
      <c r="O204" t="s">
        <v>278</v>
      </c>
      <c r="P204">
        <v>0.13615080251587178</v>
      </c>
      <c r="Q204" t="s">
        <v>166</v>
      </c>
    </row>
    <row r="205" spans="14:17" x14ac:dyDescent="0.45">
      <c r="N205" t="s">
        <v>194</v>
      </c>
      <c r="O205" t="s">
        <v>279</v>
      </c>
      <c r="P205">
        <v>2.4115148984762327E-2</v>
      </c>
      <c r="Q205" t="s">
        <v>166</v>
      </c>
    </row>
    <row r="206" spans="14:17" x14ac:dyDescent="0.45">
      <c r="N206" t="s">
        <v>194</v>
      </c>
      <c r="O206" t="s">
        <v>280</v>
      </c>
      <c r="P206">
        <v>9.3522469937538599E-2</v>
      </c>
      <c r="Q206" t="s">
        <v>166</v>
      </c>
    </row>
    <row r="207" spans="14:17" x14ac:dyDescent="0.45">
      <c r="N207" t="s">
        <v>194</v>
      </c>
      <c r="O207" t="s">
        <v>281</v>
      </c>
      <c r="P207">
        <v>0.1216184753005871</v>
      </c>
      <c r="Q207" t="s">
        <v>166</v>
      </c>
    </row>
    <row r="208" spans="14:17" x14ac:dyDescent="0.45">
      <c r="N208" t="s">
        <v>194</v>
      </c>
      <c r="O208" t="s">
        <v>282</v>
      </c>
      <c r="P208">
        <v>1.9015079257606995E-2</v>
      </c>
      <c r="Q208" t="s">
        <v>166</v>
      </c>
    </row>
    <row r="209" spans="14:17" x14ac:dyDescent="0.45">
      <c r="N209" t="s">
        <v>194</v>
      </c>
      <c r="O209" t="s">
        <v>283</v>
      </c>
      <c r="P209">
        <v>8.2694376943550335E-2</v>
      </c>
      <c r="Q209" t="s">
        <v>166</v>
      </c>
    </row>
    <row r="210" spans="14:17" x14ac:dyDescent="0.45">
      <c r="N210" t="s">
        <v>194</v>
      </c>
      <c r="O210" t="s">
        <v>284</v>
      </c>
      <c r="P210">
        <v>8.0099517564960226E-2</v>
      </c>
      <c r="Q210" t="s">
        <v>166</v>
      </c>
    </row>
    <row r="211" spans="14:17" x14ac:dyDescent="0.45">
      <c r="N211" t="s">
        <v>194</v>
      </c>
      <c r="O211" t="s">
        <v>285</v>
      </c>
      <c r="P211">
        <v>1.5470867879786162E-2</v>
      </c>
      <c r="Q211" t="s">
        <v>166</v>
      </c>
    </row>
    <row r="212" spans="14:17" x14ac:dyDescent="0.45">
      <c r="N212" t="s">
        <v>194</v>
      </c>
      <c r="O212" t="s">
        <v>286</v>
      </c>
      <c r="P212">
        <v>0.13377027276321293</v>
      </c>
      <c r="Q212" t="s">
        <v>166</v>
      </c>
    </row>
    <row r="213" spans="14:17" x14ac:dyDescent="0.45">
      <c r="N213" t="s">
        <v>194</v>
      </c>
      <c r="O213" t="s">
        <v>287</v>
      </c>
      <c r="P213">
        <v>0.1418464397005314</v>
      </c>
      <c r="Q213" t="s">
        <v>166</v>
      </c>
    </row>
    <row r="214" spans="14:17" x14ac:dyDescent="0.45">
      <c r="N214" t="s">
        <v>194</v>
      </c>
      <c r="O214" t="s">
        <v>288</v>
      </c>
      <c r="P214">
        <v>2.5549754219273038E-2</v>
      </c>
      <c r="Q214" t="s">
        <v>166</v>
      </c>
    </row>
    <row r="215" spans="14:17" x14ac:dyDescent="0.45">
      <c r="N215" t="s">
        <v>195</v>
      </c>
      <c r="O215" t="s">
        <v>277</v>
      </c>
      <c r="P215">
        <v>0.12129805022435808</v>
      </c>
      <c r="Q215" t="s">
        <v>166</v>
      </c>
    </row>
    <row r="216" spans="14:17" x14ac:dyDescent="0.45">
      <c r="N216" t="s">
        <v>195</v>
      </c>
      <c r="O216" t="s">
        <v>278</v>
      </c>
      <c r="P216">
        <v>0.1359321762094389</v>
      </c>
      <c r="Q216" t="s">
        <v>166</v>
      </c>
    </row>
    <row r="217" spans="14:17" x14ac:dyDescent="0.45">
      <c r="N217" t="s">
        <v>195</v>
      </c>
      <c r="O217" t="s">
        <v>279</v>
      </c>
      <c r="P217">
        <v>2.3202994717031033E-2</v>
      </c>
      <c r="Q217" t="s">
        <v>166</v>
      </c>
    </row>
    <row r="218" spans="14:17" x14ac:dyDescent="0.45">
      <c r="N218" t="s">
        <v>195</v>
      </c>
      <c r="O218" t="s">
        <v>280</v>
      </c>
      <c r="P218">
        <v>9.3861536453526725E-2</v>
      </c>
      <c r="Q218" t="s">
        <v>166</v>
      </c>
    </row>
    <row r="219" spans="14:17" x14ac:dyDescent="0.45">
      <c r="N219" t="s">
        <v>195</v>
      </c>
      <c r="O219" t="s">
        <v>281</v>
      </c>
      <c r="P219">
        <v>0.12744862437992055</v>
      </c>
      <c r="Q219" t="s">
        <v>166</v>
      </c>
    </row>
    <row r="220" spans="14:17" x14ac:dyDescent="0.45">
      <c r="N220" t="s">
        <v>195</v>
      </c>
      <c r="O220" t="s">
        <v>282</v>
      </c>
      <c r="P220">
        <v>1.9740169690304833E-2</v>
      </c>
      <c r="Q220" t="s">
        <v>166</v>
      </c>
    </row>
    <row r="221" spans="14:17" x14ac:dyDescent="0.45">
      <c r="N221" t="s">
        <v>195</v>
      </c>
      <c r="O221" t="s">
        <v>283</v>
      </c>
      <c r="P221">
        <v>8.1374163932513538E-2</v>
      </c>
      <c r="Q221" t="s">
        <v>166</v>
      </c>
    </row>
    <row r="222" spans="14:17" x14ac:dyDescent="0.45">
      <c r="N222" t="s">
        <v>195</v>
      </c>
      <c r="O222" t="s">
        <v>284</v>
      </c>
      <c r="P222">
        <v>8.1087112395058919E-2</v>
      </c>
      <c r="Q222" t="s">
        <v>166</v>
      </c>
    </row>
    <row r="223" spans="14:17" x14ac:dyDescent="0.45">
      <c r="N223" t="s">
        <v>195</v>
      </c>
      <c r="O223" t="s">
        <v>285</v>
      </c>
      <c r="P223">
        <v>1.416094749308182E-2</v>
      </c>
      <c r="Q223" t="s">
        <v>166</v>
      </c>
    </row>
    <row r="224" spans="14:17" x14ac:dyDescent="0.45">
      <c r="N224" t="s">
        <v>195</v>
      </c>
      <c r="O224" t="s">
        <v>286</v>
      </c>
      <c r="P224">
        <v>0.13297792318080959</v>
      </c>
      <c r="Q224" t="s">
        <v>166</v>
      </c>
    </row>
    <row r="225" spans="14:17" x14ac:dyDescent="0.45">
      <c r="N225" t="s">
        <v>195</v>
      </c>
      <c r="O225" t="s">
        <v>287</v>
      </c>
      <c r="P225">
        <v>0.14362497503811025</v>
      </c>
      <c r="Q225" t="s">
        <v>166</v>
      </c>
    </row>
    <row r="226" spans="14:17" x14ac:dyDescent="0.45">
      <c r="N226" t="s">
        <v>195</v>
      </c>
      <c r="O226" t="s">
        <v>288</v>
      </c>
      <c r="P226">
        <v>2.5291326285848334E-2</v>
      </c>
      <c r="Q226" t="s">
        <v>166</v>
      </c>
    </row>
    <row r="227" spans="14:17" x14ac:dyDescent="0.45">
      <c r="N227" t="s">
        <v>196</v>
      </c>
      <c r="O227" t="s">
        <v>277</v>
      </c>
      <c r="P227">
        <v>0.13700862110871584</v>
      </c>
      <c r="Q227" t="s">
        <v>166</v>
      </c>
    </row>
    <row r="228" spans="14:17" x14ac:dyDescent="0.45">
      <c r="N228" t="s">
        <v>196</v>
      </c>
      <c r="O228" t="s">
        <v>278</v>
      </c>
      <c r="P228">
        <v>0.13632419905169124</v>
      </c>
      <c r="Q228" t="s">
        <v>166</v>
      </c>
    </row>
    <row r="229" spans="14:17" x14ac:dyDescent="0.45">
      <c r="N229" t="s">
        <v>196</v>
      </c>
      <c r="O229" t="s">
        <v>279</v>
      </c>
      <c r="P229">
        <v>2.5484318967564212E-2</v>
      </c>
      <c r="Q229" t="s">
        <v>166</v>
      </c>
    </row>
    <row r="230" spans="14:17" x14ac:dyDescent="0.45">
      <c r="N230" t="s">
        <v>196</v>
      </c>
      <c r="O230" t="s">
        <v>280</v>
      </c>
      <c r="P230">
        <v>9.9508491326895043E-2</v>
      </c>
      <c r="Q230" t="s">
        <v>166</v>
      </c>
    </row>
    <row r="231" spans="14:17" x14ac:dyDescent="0.45">
      <c r="N231" t="s">
        <v>196</v>
      </c>
      <c r="O231" t="s">
        <v>281</v>
      </c>
      <c r="P231">
        <v>0.11489221739908781</v>
      </c>
      <c r="Q231" t="s">
        <v>166</v>
      </c>
    </row>
    <row r="232" spans="14:17" x14ac:dyDescent="0.45">
      <c r="N232" t="s">
        <v>196</v>
      </c>
      <c r="O232" t="s">
        <v>282</v>
      </c>
      <c r="P232">
        <v>1.8244155683287074E-2</v>
      </c>
      <c r="Q232" t="s">
        <v>166</v>
      </c>
    </row>
    <row r="233" spans="14:17" x14ac:dyDescent="0.45">
      <c r="N233" t="s">
        <v>196</v>
      </c>
      <c r="O233" t="s">
        <v>283</v>
      </c>
      <c r="P233">
        <v>8.2972918199116383E-2</v>
      </c>
      <c r="Q233" t="s">
        <v>166</v>
      </c>
    </row>
    <row r="234" spans="14:17" x14ac:dyDescent="0.45">
      <c r="N234" t="s">
        <v>196</v>
      </c>
      <c r="O234" t="s">
        <v>284</v>
      </c>
      <c r="P234">
        <v>7.6669790102046179E-2</v>
      </c>
      <c r="Q234" t="s">
        <v>166</v>
      </c>
    </row>
    <row r="235" spans="14:17" x14ac:dyDescent="0.45">
      <c r="N235" t="s">
        <v>196</v>
      </c>
      <c r="O235" t="s">
        <v>285</v>
      </c>
      <c r="P235">
        <v>1.4221634825510992E-2</v>
      </c>
      <c r="Q235" t="s">
        <v>166</v>
      </c>
    </row>
    <row r="236" spans="14:17" x14ac:dyDescent="0.45">
      <c r="N236" t="s">
        <v>196</v>
      </c>
      <c r="O236" t="s">
        <v>286</v>
      </c>
      <c r="P236">
        <v>0.1341510424797096</v>
      </c>
      <c r="Q236" t="s">
        <v>166</v>
      </c>
    </row>
    <row r="237" spans="14:17" x14ac:dyDescent="0.45">
      <c r="N237" t="s">
        <v>196</v>
      </c>
      <c r="O237" t="s">
        <v>287</v>
      </c>
      <c r="P237">
        <v>0.1351624966278252</v>
      </c>
      <c r="Q237" t="s">
        <v>166</v>
      </c>
    </row>
    <row r="238" spans="14:17" x14ac:dyDescent="0.45">
      <c r="N238" t="s">
        <v>196</v>
      </c>
      <c r="O238" t="s">
        <v>288</v>
      </c>
      <c r="P238">
        <v>2.5360114228550286E-2</v>
      </c>
      <c r="Q238" t="s">
        <v>166</v>
      </c>
    </row>
    <row r="239" spans="14:17" x14ac:dyDescent="0.45">
      <c r="N239" t="s">
        <v>197</v>
      </c>
      <c r="O239" t="s">
        <v>277</v>
      </c>
      <c r="P239">
        <v>0.12662402217329424</v>
      </c>
      <c r="Q239" t="s">
        <v>166</v>
      </c>
    </row>
    <row r="240" spans="14:17" x14ac:dyDescent="0.45">
      <c r="N240" t="s">
        <v>197</v>
      </c>
      <c r="O240" t="s">
        <v>278</v>
      </c>
      <c r="P240">
        <v>0.13010491788752354</v>
      </c>
      <c r="Q240" t="s">
        <v>166</v>
      </c>
    </row>
    <row r="241" spans="14:17" x14ac:dyDescent="0.45">
      <c r="N241" t="s">
        <v>197</v>
      </c>
      <c r="O241" t="s">
        <v>279</v>
      </c>
      <c r="P241">
        <v>2.4577245800072652E-2</v>
      </c>
      <c r="Q241" t="s">
        <v>166</v>
      </c>
    </row>
    <row r="242" spans="14:17" x14ac:dyDescent="0.45">
      <c r="N242" t="s">
        <v>197</v>
      </c>
      <c r="O242" t="s">
        <v>280</v>
      </c>
      <c r="P242">
        <v>9.2859427153879723E-2</v>
      </c>
      <c r="Q242" t="s">
        <v>166</v>
      </c>
    </row>
    <row r="243" spans="14:17" x14ac:dyDescent="0.45">
      <c r="N243" t="s">
        <v>197</v>
      </c>
      <c r="O243" t="s">
        <v>281</v>
      </c>
      <c r="P243">
        <v>0.1208300840519774</v>
      </c>
      <c r="Q243" t="s">
        <v>166</v>
      </c>
    </row>
    <row r="244" spans="14:17" x14ac:dyDescent="0.45">
      <c r="N244" t="s">
        <v>197</v>
      </c>
      <c r="O244" t="s">
        <v>282</v>
      </c>
      <c r="P244">
        <v>1.8227925849033464E-2</v>
      </c>
      <c r="Q244" t="s">
        <v>166</v>
      </c>
    </row>
    <row r="245" spans="14:17" x14ac:dyDescent="0.45">
      <c r="N245" t="s">
        <v>197</v>
      </c>
      <c r="O245" t="s">
        <v>283</v>
      </c>
      <c r="P245">
        <v>8.7726075949611987E-2</v>
      </c>
      <c r="Q245" t="s">
        <v>166</v>
      </c>
    </row>
    <row r="246" spans="14:17" x14ac:dyDescent="0.45">
      <c r="N246" t="s">
        <v>197</v>
      </c>
      <c r="O246" t="s">
        <v>284</v>
      </c>
      <c r="P246">
        <v>8.372728545008977E-2</v>
      </c>
      <c r="Q246" t="s">
        <v>166</v>
      </c>
    </row>
    <row r="247" spans="14:17" x14ac:dyDescent="0.45">
      <c r="N247" t="s">
        <v>197</v>
      </c>
      <c r="O247" t="s">
        <v>285</v>
      </c>
      <c r="P247">
        <v>1.5699917127883389E-2</v>
      </c>
      <c r="Q247" t="s">
        <v>166</v>
      </c>
    </row>
    <row r="248" spans="14:17" x14ac:dyDescent="0.45">
      <c r="N248" t="s">
        <v>197</v>
      </c>
      <c r="O248" t="s">
        <v>286</v>
      </c>
      <c r="P248">
        <v>0.13679400194365859</v>
      </c>
      <c r="Q248" t="s">
        <v>166</v>
      </c>
    </row>
    <row r="249" spans="14:17" x14ac:dyDescent="0.45">
      <c r="N249" t="s">
        <v>197</v>
      </c>
      <c r="O249" t="s">
        <v>287</v>
      </c>
      <c r="P249">
        <v>0.13740042206126921</v>
      </c>
      <c r="Q249" t="s">
        <v>166</v>
      </c>
    </row>
    <row r="250" spans="14:17" x14ac:dyDescent="0.45">
      <c r="N250" t="s">
        <v>197</v>
      </c>
      <c r="O250" t="s">
        <v>288</v>
      </c>
      <c r="P250">
        <v>2.5428674551707456E-2</v>
      </c>
      <c r="Q250" t="s">
        <v>166</v>
      </c>
    </row>
    <row r="251" spans="14:17" x14ac:dyDescent="0.45">
      <c r="N251" t="s">
        <v>198</v>
      </c>
      <c r="O251" t="s">
        <v>277</v>
      </c>
      <c r="P251">
        <v>0.13771341411936502</v>
      </c>
      <c r="Q251" t="s">
        <v>166</v>
      </c>
    </row>
    <row r="252" spans="14:17" x14ac:dyDescent="0.45">
      <c r="N252" t="s">
        <v>198</v>
      </c>
      <c r="O252" t="s">
        <v>278</v>
      </c>
      <c r="P252">
        <v>0.13027601319738177</v>
      </c>
      <c r="Q252" t="s">
        <v>166</v>
      </c>
    </row>
    <row r="253" spans="14:17" x14ac:dyDescent="0.45">
      <c r="N253" t="s">
        <v>198</v>
      </c>
      <c r="O253" t="s">
        <v>279</v>
      </c>
      <c r="P253">
        <v>2.5293230257957086E-2</v>
      </c>
      <c r="Q253" t="s">
        <v>166</v>
      </c>
    </row>
    <row r="254" spans="14:17" x14ac:dyDescent="0.45">
      <c r="N254" t="s">
        <v>198</v>
      </c>
      <c r="O254" t="s">
        <v>280</v>
      </c>
      <c r="P254">
        <v>0.10682582413359916</v>
      </c>
      <c r="Q254" t="s">
        <v>166</v>
      </c>
    </row>
    <row r="255" spans="14:17" x14ac:dyDescent="0.45">
      <c r="N255" t="s">
        <v>198</v>
      </c>
      <c r="O255" t="s">
        <v>281</v>
      </c>
      <c r="P255">
        <v>0.10657868212264603</v>
      </c>
      <c r="Q255" t="s">
        <v>166</v>
      </c>
    </row>
    <row r="256" spans="14:17" x14ac:dyDescent="0.45">
      <c r="N256" t="s">
        <v>198</v>
      </c>
      <c r="O256" t="s">
        <v>282</v>
      </c>
      <c r="P256">
        <v>2.0350754454341667E-2</v>
      </c>
      <c r="Q256" t="s">
        <v>166</v>
      </c>
    </row>
    <row r="257" spans="14:17" x14ac:dyDescent="0.45">
      <c r="N257" t="s">
        <v>198</v>
      </c>
      <c r="O257" t="s">
        <v>283</v>
      </c>
      <c r="P257">
        <v>9.2195878973326831E-2</v>
      </c>
      <c r="Q257" t="s">
        <v>166</v>
      </c>
    </row>
    <row r="258" spans="14:17" x14ac:dyDescent="0.45">
      <c r="N258" t="s">
        <v>198</v>
      </c>
      <c r="O258" t="s">
        <v>284</v>
      </c>
      <c r="P258">
        <v>7.410581510715418E-2</v>
      </c>
      <c r="Q258" t="s">
        <v>166</v>
      </c>
    </row>
    <row r="259" spans="14:17" x14ac:dyDescent="0.45">
      <c r="N259" t="s">
        <v>198</v>
      </c>
      <c r="O259" t="s">
        <v>285</v>
      </c>
      <c r="P259">
        <v>1.5743955484870904E-2</v>
      </c>
      <c r="Q259" t="s">
        <v>166</v>
      </c>
    </row>
    <row r="260" spans="14:17" x14ac:dyDescent="0.45">
      <c r="N260" t="s">
        <v>198</v>
      </c>
      <c r="O260" t="s">
        <v>286</v>
      </c>
      <c r="P260">
        <v>0.13176099950584338</v>
      </c>
      <c r="Q260" t="s">
        <v>166</v>
      </c>
    </row>
    <row r="261" spans="14:17" x14ac:dyDescent="0.45">
      <c r="N261" t="s">
        <v>198</v>
      </c>
      <c r="O261" t="s">
        <v>287</v>
      </c>
      <c r="P261">
        <v>0.1346757024033195</v>
      </c>
      <c r="Q261" t="s">
        <v>166</v>
      </c>
    </row>
    <row r="262" spans="14:17" x14ac:dyDescent="0.45">
      <c r="N262" t="s">
        <v>198</v>
      </c>
      <c r="O262" t="s">
        <v>288</v>
      </c>
      <c r="P262">
        <v>2.4479730240196257E-2</v>
      </c>
      <c r="Q262" t="s">
        <v>166</v>
      </c>
    </row>
    <row r="263" spans="14:17" x14ac:dyDescent="0.45">
      <c r="N263" t="s">
        <v>199</v>
      </c>
      <c r="O263" t="s">
        <v>277</v>
      </c>
      <c r="P263">
        <v>0.13355704853790984</v>
      </c>
      <c r="Q263" t="s">
        <v>166</v>
      </c>
    </row>
    <row r="264" spans="14:17" x14ac:dyDescent="0.45">
      <c r="N264" t="s">
        <v>199</v>
      </c>
      <c r="O264" t="s">
        <v>278</v>
      </c>
      <c r="P264">
        <v>0.13105729182653203</v>
      </c>
      <c r="Q264" t="s">
        <v>166</v>
      </c>
    </row>
    <row r="265" spans="14:17" x14ac:dyDescent="0.45">
      <c r="N265" t="s">
        <v>199</v>
      </c>
      <c r="O265" t="s">
        <v>279</v>
      </c>
      <c r="P265">
        <v>2.4233098484638935E-2</v>
      </c>
      <c r="Q265" t="s">
        <v>166</v>
      </c>
    </row>
    <row r="266" spans="14:17" x14ac:dyDescent="0.45">
      <c r="N266" t="s">
        <v>199</v>
      </c>
      <c r="O266" t="s">
        <v>280</v>
      </c>
      <c r="P266">
        <v>9.9791902485088346E-2</v>
      </c>
      <c r="Q266" t="s">
        <v>166</v>
      </c>
    </row>
    <row r="267" spans="14:17" x14ac:dyDescent="0.45">
      <c r="N267" t="s">
        <v>199</v>
      </c>
      <c r="O267" t="s">
        <v>281</v>
      </c>
      <c r="P267">
        <v>0.11536010805984319</v>
      </c>
      <c r="Q267" t="s">
        <v>166</v>
      </c>
    </row>
    <row r="268" spans="14:17" x14ac:dyDescent="0.45">
      <c r="N268" t="s">
        <v>199</v>
      </c>
      <c r="O268" t="s">
        <v>282</v>
      </c>
      <c r="P268">
        <v>2.0351203332079255E-2</v>
      </c>
      <c r="Q268" t="s">
        <v>166</v>
      </c>
    </row>
    <row r="269" spans="14:17" x14ac:dyDescent="0.45">
      <c r="N269" t="s">
        <v>199</v>
      </c>
      <c r="O269" t="s">
        <v>283</v>
      </c>
      <c r="P269">
        <v>9.645588297519854E-2</v>
      </c>
      <c r="Q269" t="s">
        <v>166</v>
      </c>
    </row>
    <row r="270" spans="14:17" x14ac:dyDescent="0.45">
      <c r="N270" t="s">
        <v>199</v>
      </c>
      <c r="O270" t="s">
        <v>284</v>
      </c>
      <c r="P270">
        <v>8.302072821200869E-2</v>
      </c>
      <c r="Q270" t="s">
        <v>166</v>
      </c>
    </row>
    <row r="271" spans="14:17" x14ac:dyDescent="0.45">
      <c r="N271" t="s">
        <v>199</v>
      </c>
      <c r="O271" t="s">
        <v>285</v>
      </c>
      <c r="P271">
        <v>1.6158707643400154E-2</v>
      </c>
      <c r="Q271" t="s">
        <v>166</v>
      </c>
    </row>
    <row r="272" spans="14:17" x14ac:dyDescent="0.45">
      <c r="N272" t="s">
        <v>199</v>
      </c>
      <c r="O272" t="s">
        <v>286</v>
      </c>
      <c r="P272">
        <v>0.12611490976498269</v>
      </c>
      <c r="Q272" t="s">
        <v>166</v>
      </c>
    </row>
    <row r="273" spans="14:17" x14ac:dyDescent="0.45">
      <c r="N273" t="s">
        <v>199</v>
      </c>
      <c r="O273" t="s">
        <v>287</v>
      </c>
      <c r="P273">
        <v>0.13183208241706673</v>
      </c>
      <c r="Q273" t="s">
        <v>166</v>
      </c>
    </row>
    <row r="274" spans="14:17" x14ac:dyDescent="0.45">
      <c r="N274" t="s">
        <v>199</v>
      </c>
      <c r="O274" t="s">
        <v>288</v>
      </c>
      <c r="P274">
        <v>2.2067036261254287E-2</v>
      </c>
      <c r="Q274" t="s">
        <v>166</v>
      </c>
    </row>
    <row r="275" spans="14:17" x14ac:dyDescent="0.45">
      <c r="N275" t="s">
        <v>200</v>
      </c>
      <c r="O275" t="s">
        <v>277</v>
      </c>
      <c r="P275">
        <v>0.12389479663369417</v>
      </c>
      <c r="Q275" t="s">
        <v>166</v>
      </c>
    </row>
    <row r="276" spans="14:17" x14ac:dyDescent="0.45">
      <c r="N276" t="s">
        <v>200</v>
      </c>
      <c r="O276" t="s">
        <v>278</v>
      </c>
      <c r="P276">
        <v>0.12688290905043628</v>
      </c>
      <c r="Q276" t="s">
        <v>166</v>
      </c>
    </row>
    <row r="277" spans="14:17" x14ac:dyDescent="0.45">
      <c r="N277" t="s">
        <v>200</v>
      </c>
      <c r="O277" t="s">
        <v>279</v>
      </c>
      <c r="P277">
        <v>2.4791975074290422E-2</v>
      </c>
      <c r="Q277" t="s">
        <v>166</v>
      </c>
    </row>
    <row r="278" spans="14:17" x14ac:dyDescent="0.45">
      <c r="N278" t="s">
        <v>200</v>
      </c>
      <c r="O278" t="s">
        <v>280</v>
      </c>
      <c r="P278">
        <v>9.1519561822967707E-2</v>
      </c>
      <c r="Q278" t="s">
        <v>166</v>
      </c>
    </row>
    <row r="279" spans="14:17" x14ac:dyDescent="0.45">
      <c r="N279" t="s">
        <v>200</v>
      </c>
      <c r="O279" t="s">
        <v>281</v>
      </c>
      <c r="P279">
        <v>0.12482069546485007</v>
      </c>
      <c r="Q279" t="s">
        <v>166</v>
      </c>
    </row>
    <row r="280" spans="14:17" x14ac:dyDescent="0.45">
      <c r="N280" t="s">
        <v>200</v>
      </c>
      <c r="O280" t="s">
        <v>282</v>
      </c>
      <c r="P280">
        <v>2.0292501337996462E-2</v>
      </c>
      <c r="Q280" t="s">
        <v>166</v>
      </c>
    </row>
    <row r="281" spans="14:17" x14ac:dyDescent="0.45">
      <c r="N281" t="s">
        <v>200</v>
      </c>
      <c r="O281" t="s">
        <v>283</v>
      </c>
      <c r="P281">
        <v>9.1109100307586649E-2</v>
      </c>
      <c r="Q281" t="s">
        <v>166</v>
      </c>
    </row>
    <row r="282" spans="14:17" x14ac:dyDescent="0.45">
      <c r="N282" t="s">
        <v>200</v>
      </c>
      <c r="O282" t="s">
        <v>284</v>
      </c>
      <c r="P282">
        <v>8.9630314564541763E-2</v>
      </c>
      <c r="Q282" t="s">
        <v>166</v>
      </c>
    </row>
    <row r="283" spans="14:17" x14ac:dyDescent="0.45">
      <c r="N283" t="s">
        <v>200</v>
      </c>
      <c r="O283" t="s">
        <v>285</v>
      </c>
      <c r="P283">
        <v>1.5791070131298202E-2</v>
      </c>
      <c r="Q283" t="s">
        <v>166</v>
      </c>
    </row>
    <row r="284" spans="14:17" x14ac:dyDescent="0.45">
      <c r="N284" t="s">
        <v>200</v>
      </c>
      <c r="O284" t="s">
        <v>286</v>
      </c>
      <c r="P284">
        <v>0.13570851572500756</v>
      </c>
      <c r="Q284" t="s">
        <v>166</v>
      </c>
    </row>
    <row r="285" spans="14:17" x14ac:dyDescent="0.45">
      <c r="N285" t="s">
        <v>200</v>
      </c>
      <c r="O285" t="s">
        <v>287</v>
      </c>
      <c r="P285">
        <v>0.1312490877641487</v>
      </c>
      <c r="Q285" t="s">
        <v>166</v>
      </c>
    </row>
    <row r="286" spans="14:17" x14ac:dyDescent="0.45">
      <c r="N286" t="s">
        <v>200</v>
      </c>
      <c r="O286" t="s">
        <v>288</v>
      </c>
      <c r="P286">
        <v>2.4309472123179528E-2</v>
      </c>
      <c r="Q286" t="s">
        <v>166</v>
      </c>
    </row>
    <row r="287" spans="14:17" x14ac:dyDescent="0.45">
      <c r="N287" t="s">
        <v>201</v>
      </c>
      <c r="O287" t="s">
        <v>277</v>
      </c>
      <c r="P287">
        <v>0.13118973821354146</v>
      </c>
      <c r="Q287" t="s">
        <v>166</v>
      </c>
    </row>
    <row r="288" spans="14:17" x14ac:dyDescent="0.45">
      <c r="N288" t="s">
        <v>201</v>
      </c>
      <c r="O288" t="s">
        <v>278</v>
      </c>
      <c r="P288">
        <v>0.13186982305106407</v>
      </c>
      <c r="Q288" t="s">
        <v>166</v>
      </c>
    </row>
    <row r="289" spans="14:17" x14ac:dyDescent="0.45">
      <c r="N289" t="s">
        <v>201</v>
      </c>
      <c r="O289" t="s">
        <v>279</v>
      </c>
      <c r="P289">
        <v>2.4920405465469173E-2</v>
      </c>
      <c r="Q289" t="s">
        <v>166</v>
      </c>
    </row>
    <row r="290" spans="14:17" x14ac:dyDescent="0.45">
      <c r="N290" t="s">
        <v>201</v>
      </c>
      <c r="O290" t="s">
        <v>280</v>
      </c>
      <c r="P290">
        <v>9.9489632128920896E-2</v>
      </c>
      <c r="Q290" t="s">
        <v>166</v>
      </c>
    </row>
    <row r="291" spans="14:17" x14ac:dyDescent="0.45">
      <c r="N291" t="s">
        <v>201</v>
      </c>
      <c r="O291" t="s">
        <v>281</v>
      </c>
      <c r="P291">
        <v>0.12068743183784207</v>
      </c>
      <c r="Q291" t="s">
        <v>166</v>
      </c>
    </row>
    <row r="292" spans="14:17" x14ac:dyDescent="0.45">
      <c r="N292" t="s">
        <v>201</v>
      </c>
      <c r="O292" t="s">
        <v>282</v>
      </c>
      <c r="P292">
        <v>1.9424982562067851E-2</v>
      </c>
      <c r="Q292" t="s">
        <v>166</v>
      </c>
    </row>
    <row r="293" spans="14:17" x14ac:dyDescent="0.45">
      <c r="N293" t="s">
        <v>201</v>
      </c>
      <c r="O293" t="s">
        <v>283</v>
      </c>
      <c r="P293">
        <v>8.949871045652591E-2</v>
      </c>
      <c r="Q293" t="s">
        <v>166</v>
      </c>
    </row>
    <row r="294" spans="14:17" x14ac:dyDescent="0.45">
      <c r="N294" t="s">
        <v>201</v>
      </c>
      <c r="O294" t="s">
        <v>284</v>
      </c>
      <c r="P294">
        <v>8.0024093159382151E-2</v>
      </c>
      <c r="Q294" t="s">
        <v>166</v>
      </c>
    </row>
    <row r="295" spans="14:17" x14ac:dyDescent="0.45">
      <c r="N295" t="s">
        <v>201</v>
      </c>
      <c r="O295" t="s">
        <v>285</v>
      </c>
      <c r="P295">
        <v>1.5051083411607642E-2</v>
      </c>
      <c r="Q295" t="s">
        <v>166</v>
      </c>
    </row>
    <row r="296" spans="14:17" x14ac:dyDescent="0.45">
      <c r="N296" t="s">
        <v>201</v>
      </c>
      <c r="O296" t="s">
        <v>286</v>
      </c>
      <c r="P296">
        <v>0.13228858798669155</v>
      </c>
      <c r="Q296" t="s">
        <v>166</v>
      </c>
    </row>
    <row r="297" spans="14:17" x14ac:dyDescent="0.45">
      <c r="N297" t="s">
        <v>201</v>
      </c>
      <c r="O297" t="s">
        <v>287</v>
      </c>
      <c r="P297">
        <v>0.13162021502185625</v>
      </c>
      <c r="Q297" t="s">
        <v>166</v>
      </c>
    </row>
    <row r="298" spans="14:17" x14ac:dyDescent="0.45">
      <c r="N298" t="s">
        <v>201</v>
      </c>
      <c r="O298" t="s">
        <v>288</v>
      </c>
      <c r="P298">
        <v>2.3935296705033277E-2</v>
      </c>
      <c r="Q29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2025-09-26T12:30:13Z</dcterms:modified>
</cp:coreProperties>
</file>