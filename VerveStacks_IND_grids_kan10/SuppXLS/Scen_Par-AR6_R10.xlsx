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92D71D69-04EF-4761-9DE1-85F99E83C73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DEF" sheetId="5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Veda!$C$8:$G$40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8" i="1" l="1"/>
  <c r="B10" i="1"/>
  <c r="B11" i="1"/>
  <c r="B12" i="1"/>
  <c r="B17" i="1"/>
  <c r="B18" i="1"/>
  <c r="B19" i="1"/>
  <c r="B20" i="1"/>
  <c r="B25" i="1"/>
  <c r="B26" i="1"/>
  <c r="B27" i="1"/>
  <c r="B28" i="1"/>
  <c r="B29" i="1"/>
  <c r="B30" i="1"/>
  <c r="B31" i="1"/>
  <c r="B33" i="1"/>
  <c r="B34" i="1"/>
  <c r="B35" i="1"/>
  <c r="B36" i="1"/>
  <c r="B9" i="1"/>
  <c r="E40" i="1"/>
  <c r="B40" i="1" s="1"/>
  <c r="E39" i="1"/>
  <c r="B39" i="1" s="1"/>
  <c r="E38" i="1"/>
  <c r="B38" i="1" s="1"/>
  <c r="E37" i="1"/>
  <c r="B37" i="1" s="1"/>
  <c r="E32" i="1"/>
  <c r="B32" i="1" s="1"/>
  <c r="E31" i="1"/>
  <c r="E30" i="1"/>
  <c r="E29" i="1"/>
  <c r="E24" i="1" l="1"/>
  <c r="B24" i="1" s="1"/>
  <c r="E23" i="1"/>
  <c r="B23" i="1" s="1"/>
  <c r="E22" i="1"/>
  <c r="B22" i="1" s="1"/>
  <c r="E21" i="1"/>
  <c r="B21" i="1" s="1"/>
  <c r="U12" i="1"/>
  <c r="E16" i="1"/>
  <c r="B16" i="1" s="1"/>
  <c r="E15" i="1"/>
  <c r="B15" i="1" s="1"/>
  <c r="E14" i="1"/>
  <c r="B14" i="1" s="1"/>
  <c r="E13" i="1"/>
  <c r="B13" i="1" s="1"/>
  <c r="V23" i="1" l="1"/>
  <c r="AK16" i="1"/>
  <c r="AK15" i="1"/>
  <c r="AK14" i="1"/>
  <c r="AK13" i="1"/>
  <c r="AK12" i="1"/>
  <c r="AK11" i="1"/>
  <c r="C10" i="1"/>
  <c r="AL15" i="1"/>
  <c r="AL16" i="1"/>
  <c r="AL21" i="1" s="1"/>
  <c r="AL26" i="1" s="1"/>
  <c r="AL31" i="1" s="1"/>
  <c r="AL36" i="1" s="1"/>
  <c r="AL41" i="1" s="1"/>
  <c r="AL46" i="1" s="1"/>
  <c r="AL51" i="1" s="1"/>
  <c r="AL56" i="1" s="1"/>
  <c r="AL61" i="1" s="1"/>
  <c r="AL66" i="1" s="1"/>
  <c r="AL71" i="1" s="1"/>
  <c r="AL76" i="1" s="1"/>
  <c r="AL17" i="1"/>
  <c r="AL22" i="1" s="1"/>
  <c r="AL27" i="1" s="1"/>
  <c r="AL32" i="1" s="1"/>
  <c r="AL37" i="1" s="1"/>
  <c r="AL42" i="1" s="1"/>
  <c r="AL47" i="1" s="1"/>
  <c r="AL52" i="1" s="1"/>
  <c r="AL57" i="1" s="1"/>
  <c r="AL62" i="1" s="1"/>
  <c r="AL67" i="1" s="1"/>
  <c r="AL72" i="1" s="1"/>
  <c r="AL77" i="1" s="1"/>
  <c r="AL18" i="1"/>
  <c r="AL23" i="1" s="1"/>
  <c r="AL14" i="1"/>
  <c r="AL19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AL28" i="1"/>
  <c r="AL24" i="1"/>
  <c r="AL20" i="1"/>
  <c r="D2" i="1"/>
  <c r="J48" i="1"/>
  <c r="J47" i="1"/>
  <c r="J46" i="1"/>
  <c r="J45" i="1"/>
  <c r="G5" i="1" l="1"/>
  <c r="A2" i="5" s="1"/>
  <c r="F5" i="1"/>
  <c r="A1" i="5" s="1"/>
  <c r="C14" i="5" s="1"/>
  <c r="E5" i="1"/>
  <c r="D5" i="1"/>
  <c r="AL33" i="1"/>
  <c r="AL25" i="1"/>
  <c r="AL29" i="1"/>
  <c r="U48" i="1"/>
  <c r="T48" i="1"/>
  <c r="U47" i="1"/>
  <c r="T47" i="1"/>
  <c r="U46" i="1"/>
  <c r="T46" i="1"/>
  <c r="U45" i="1"/>
  <c r="T45" i="1"/>
  <c r="K40" i="1"/>
  <c r="K39" i="1"/>
  <c r="K38" i="1"/>
  <c r="K37" i="1"/>
  <c r="S29" i="1"/>
  <c r="V29" i="1" s="1"/>
  <c r="S28" i="1"/>
  <c r="V28" i="1" s="1"/>
  <c r="AB27" i="1"/>
  <c r="AA27" i="1"/>
  <c r="Z27" i="1"/>
  <c r="Y27" i="1"/>
  <c r="X27" i="1"/>
  <c r="W27" i="1"/>
  <c r="V27" i="1"/>
  <c r="Q17" i="1"/>
  <c r="Q40" i="1" s="1"/>
  <c r="P17" i="1"/>
  <c r="P39" i="1" s="1"/>
  <c r="O17" i="1"/>
  <c r="O38" i="1" s="1"/>
  <c r="N17" i="1"/>
  <c r="N38" i="1" s="1"/>
  <c r="M17" i="1"/>
  <c r="M38" i="1" s="1"/>
  <c r="L17" i="1"/>
  <c r="L44" i="1" s="1"/>
  <c r="C3" i="5" l="1"/>
  <c r="C8" i="5"/>
  <c r="D22" i="5"/>
  <c r="C20" i="5"/>
  <c r="AL38" i="1"/>
  <c r="AL34" i="1"/>
  <c r="AL30" i="1"/>
  <c r="M40" i="1"/>
  <c r="L37" i="1"/>
  <c r="L45" i="1" s="1"/>
  <c r="L40" i="1"/>
  <c r="K47" i="1"/>
  <c r="N40" i="1"/>
  <c r="O40" i="1"/>
  <c r="P40" i="1"/>
  <c r="O44" i="1"/>
  <c r="P44" i="1"/>
  <c r="M37" i="1"/>
  <c r="M45" i="1" s="1"/>
  <c r="N37" i="1"/>
  <c r="N45" i="1" s="1"/>
  <c r="K46" i="1"/>
  <c r="M46" i="1"/>
  <c r="O37" i="1"/>
  <c r="O45" i="1" s="1"/>
  <c r="P37" i="1"/>
  <c r="P45" i="1" s="1"/>
  <c r="N46" i="1"/>
  <c r="O46" i="1"/>
  <c r="P38" i="1"/>
  <c r="P46" i="1" s="1"/>
  <c r="K48" i="1"/>
  <c r="P47" i="1"/>
  <c r="K45" i="1"/>
  <c r="M39" i="1"/>
  <c r="M47" i="1" s="1"/>
  <c r="N39" i="1"/>
  <c r="N47" i="1" s="1"/>
  <c r="L39" i="1"/>
  <c r="L47" i="1" s="1"/>
  <c r="O39" i="1"/>
  <c r="O47" i="1" s="1"/>
  <c r="Q39" i="1"/>
  <c r="Q47" i="1" s="1"/>
  <c r="Q37" i="1"/>
  <c r="Q45" i="1" s="1"/>
  <c r="M44" i="1"/>
  <c r="N44" i="1"/>
  <c r="Q38" i="1"/>
  <c r="Q46" i="1" s="1"/>
  <c r="Q44" i="1"/>
  <c r="L38" i="1"/>
  <c r="L46" i="1" s="1"/>
  <c r="U11" i="1"/>
  <c r="V14" i="1" s="1"/>
  <c r="AL43" i="1" l="1"/>
  <c r="AL39" i="1"/>
  <c r="AL35" i="1"/>
  <c r="AL48" i="1" l="1"/>
  <c r="AL40" i="1"/>
  <c r="AL44" i="1"/>
  <c r="AL53" i="1" l="1"/>
  <c r="AL58" i="1" s="1"/>
  <c r="AL63" i="1" s="1"/>
  <c r="AL68" i="1" s="1"/>
  <c r="AL73" i="1" s="1"/>
  <c r="AL78" i="1" s="1"/>
  <c r="AL49" i="1"/>
  <c r="AL45" i="1"/>
  <c r="AL50" i="1" l="1"/>
  <c r="AL54" i="1"/>
  <c r="J24" i="1" l="1"/>
  <c r="Q24" i="1" s="1"/>
  <c r="AB24" i="1" s="1"/>
  <c r="K15" i="1"/>
  <c r="K14" i="1"/>
  <c r="J14" i="1"/>
  <c r="AL59" i="1"/>
  <c r="AL55" i="1"/>
  <c r="Q15" i="1" l="1"/>
  <c r="N15" i="1"/>
  <c r="Y23" i="1" s="1"/>
  <c r="M15" i="1"/>
  <c r="X23" i="1" s="1"/>
  <c r="Q14" i="1"/>
  <c r="AB14" i="1" s="1"/>
  <c r="O14" i="1"/>
  <c r="Z14" i="1" s="1"/>
  <c r="P15" i="1"/>
  <c r="AA23" i="1" s="1"/>
  <c r="O15" i="1"/>
  <c r="Z23" i="1" s="1"/>
  <c r="L15" i="1"/>
  <c r="W23" i="1" s="1"/>
  <c r="P14" i="1"/>
  <c r="AA14" i="1" s="1"/>
  <c r="N14" i="1"/>
  <c r="Y14" i="1" s="1"/>
  <c r="M14" i="1"/>
  <c r="X14" i="1" s="1"/>
  <c r="L14" i="1"/>
  <c r="W14" i="1" s="1"/>
  <c r="P24" i="1"/>
  <c r="AA24" i="1" s="1"/>
  <c r="M24" i="1"/>
  <c r="X24" i="1" s="1"/>
  <c r="O24" i="1"/>
  <c r="Z24" i="1" s="1"/>
  <c r="N24" i="1"/>
  <c r="Y24" i="1" s="1"/>
  <c r="AB23" i="1"/>
  <c r="Q18" i="1"/>
  <c r="O18" i="1"/>
  <c r="N18" i="1"/>
  <c r="N21" i="1"/>
  <c r="M21" i="1"/>
  <c r="K18" i="1"/>
  <c r="V18" i="1" s="1"/>
  <c r="M20" i="1"/>
  <c r="L20" i="1"/>
  <c r="K20" i="1"/>
  <c r="V20" i="1" s="1"/>
  <c r="P19" i="1"/>
  <c r="M19" i="1"/>
  <c r="K19" i="1"/>
  <c r="V19" i="1" s="1"/>
  <c r="Q21" i="1"/>
  <c r="P18" i="1"/>
  <c r="P21" i="1"/>
  <c r="O21" i="1"/>
  <c r="M18" i="1"/>
  <c r="L18" i="1"/>
  <c r="L21" i="1"/>
  <c r="K21" i="1"/>
  <c r="V21" i="1" s="1"/>
  <c r="W21" i="1" s="1"/>
  <c r="X21" i="1" s="1"/>
  <c r="Y21" i="1" s="1"/>
  <c r="Z21" i="1" s="1"/>
  <c r="AA21" i="1" s="1"/>
  <c r="AB21" i="1" s="1"/>
  <c r="Q20" i="1"/>
  <c r="P20" i="1"/>
  <c r="O20" i="1"/>
  <c r="N20" i="1"/>
  <c r="Q19" i="1"/>
  <c r="O19" i="1"/>
  <c r="N19" i="1"/>
  <c r="L19" i="1"/>
  <c r="AL60" i="1"/>
  <c r="AL64" i="1"/>
  <c r="AA18" i="1" l="1"/>
  <c r="X19" i="1"/>
  <c r="W20" i="1"/>
  <c r="W19" i="1"/>
  <c r="Z19" i="1"/>
  <c r="AA19" i="1"/>
  <c r="X20" i="1"/>
  <c r="AB18" i="1"/>
  <c r="AA20" i="1"/>
  <c r="Y20" i="1"/>
  <c r="Z20" i="1"/>
  <c r="AB19" i="1"/>
  <c r="W18" i="1"/>
  <c r="V22" i="1"/>
  <c r="AB20" i="1"/>
  <c r="Y19" i="1"/>
  <c r="Y22" i="1" s="1"/>
  <c r="Y18" i="1"/>
  <c r="Z18" i="1"/>
  <c r="X18" i="1"/>
  <c r="Z22" i="1"/>
  <c r="AL69" i="1"/>
  <c r="AL65" i="1"/>
  <c r="X22" i="1" l="1"/>
  <c r="AA22" i="1"/>
  <c r="AB22" i="1"/>
  <c r="W22" i="1"/>
  <c r="AL70" i="1"/>
  <c r="AL74" i="1"/>
  <c r="AL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O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<sst xmlns="http://schemas.openxmlformats.org/spreadsheetml/2006/main" count="1802" uniqueCount="146">
  <si>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</si>
  <si>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</si>
  <si>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</si>
  <si>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</si>
  <si>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</si>
  <si>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</si>
  <si>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</si>
  <si>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</si>
  <si>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</si>
  <si>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</si>
  <si>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</si>
  <si>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</si>
  <si>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</si>
  <si>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</si>
  <si>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</si>
  <si>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</si>
  <si>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</si>
  <si>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</si>
  <si>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</si>
  <si>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</si>
  <si>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</si>
  <si>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</si>
  <si>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</si>
  <si>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</si>
  <si>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</si>
  <si>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</si>
  <si>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</si>
  <si>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</si>
  <si>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</si>
  <si>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</si>
  <si>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</si>
  <si>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</si>
  <si>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</si>
  <si>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</si>
  <si>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</si>
  <si>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</si>
  <si>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</si>
  <si>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</si>
  <si>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</si>
  <si>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</si>
  <si>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</si>
  <si>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</si>
  <si>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</si>
  <si>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</si>
  <si>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</si>
  <si>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</si>
  <si>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</si>
  <si>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</si>
  <si>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</si>
  <si>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</si>
  <si>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</si>
  <si>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</si>
  <si>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</si>
  <si>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</si>
  <si>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</si>
  <si>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</si>
  <si>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</si>
  <si>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</si>
  <si>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</si>
  <si>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</si>
  <si>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</si>
  <si>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</si>
  <si>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</si>
  <si>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</si>
  <si>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</si>
  <si>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</si>
  <si>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</si>
  <si>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</si>
  <si>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</si>
  <si>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</si>
  <si>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</si>
  <si>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</si>
  <si>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</si>
  <si>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</si>
  <si>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</si>
  <si>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</si>
  <si>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</si>
  <si>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</si>
  <si>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</si>
  <si>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</si>
  <si>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</si>
  <si>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</si>
  <si>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</si>
  <si>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</si>
  <si>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</si>
  <si>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</si>
  <si>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</si>
  <si>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</si>
  <si>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</si>
  <si>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</si>
  <si>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</si>
  <si>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</si>
  <si>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</si>
  <si>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</si>
  <si>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</si>
  <si>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</si>
  <si>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</si>
  <si>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</si>
  <si>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</si>
  <si>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</si>
  <si>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</si>
  <si>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</si>
  <si>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</si>
  <si>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</si>
  <si>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</si>
  <si>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</si>
  <si>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</si>
  <si>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</si>
  <si>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</si>
  <si>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</si>
  <si>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</si>
  <si>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</si>
  <si>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</si>
  <si>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</si>
  <si>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</si>
  <si>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</si>
  <si>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</si>
  <si>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</si>
  <si>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</si>
  <si>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</si>
  <si>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</si>
  <si>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chp_heat_twh</t>
  </si>
  <si>
    <t>IND</t>
  </si>
  <si>
    <t>R10INDIA+</t>
  </si>
  <si>
    <t>Expensive LNG imports, cheap domestic coal</t>
  </si>
  <si>
    <t>DEF</t>
  </si>
  <si>
    <t>Y</t>
  </si>
  <si>
    <t>N</t>
  </si>
  <si>
    <t>value</t>
  </si>
  <si>
    <t>com_pkflx</t>
  </si>
  <si>
    <t>ELC</t>
  </si>
  <si>
    <t>timeslice</t>
  </si>
  <si>
    <t>UC_N</t>
  </si>
  <si>
    <t>UC_RHSRTS</t>
  </si>
  <si>
    <t>DAYNITE</t>
  </si>
  <si>
    <t>UCE_Min-DispatchablePrd</t>
  </si>
  <si>
    <t>UC_RHSRT</t>
  </si>
  <si>
    <t>UCE_Min-DispatchableCAP</t>
  </si>
  <si>
    <t>cset_cn</t>
  </si>
  <si>
    <t>ELC?H</t>
  </si>
  <si>
    <t>Share</t>
  </si>
  <si>
    <t>pset_c0</t>
  </si>
  <si>
    <t>TxCost</t>
  </si>
  <si>
    <t>invcost</t>
  </si>
  <si>
    <t>pset_Set</t>
  </si>
  <si>
    <t>aggregators,grid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</si>
</sst>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5" fillId="0" borderId="3" xfId="4" applyAlignment="1">
      <alignment horizontal="center"/>
    </xf>
    <xf numFmtId="0" fontId="0" fillId="7" borderId="0" xfId="0" applyFill="1" applyAlignment="1">
      <alignment horizontal="center"/>
    </xf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Veda!$V$17:$AB$17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Veda!$V$14:$AB$14</c:f>
              <c:numCache>
                <c:formatCode>0</c:formatCode>
                <c:ptCount val="7"/>
                <c:pt idx="0">
                  <c:v>1811.6499999999999</c:v>
                </c:pt>
                <c:pt idx="1">
                  <c:v>2445.7275</c:v>
                </c:pt>
                <c:pt idx="2">
                  <c:v>3097.9214999999999</c:v>
                </c:pt>
                <c:pt idx="3">
                  <c:v>4021.8629999999998</c:v>
                </c:pt>
                <c:pt idx="4">
                  <c:v>4728.4064999999991</c:v>
                </c:pt>
                <c:pt idx="5">
                  <c:v>5905.9789999999994</c:v>
                </c:pt>
                <c:pt idx="6">
                  <c:v>6449.4739999999993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Veda!$K$17:$Q$17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Veda!$K$24:$Q$24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283367</xdr:colOff>
      <xdr:row>0</xdr:row>
      <xdr:rowOff>38100</xdr:rowOff>
    </xdr:from>
    <xdr:to>
      <xdr:col>28</xdr:col>
      <xdr:colOff>138112</xdr:colOff>
      <xdr:row>11</xdr:row>
      <xdr:rowOff>176211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481012</xdr:colOff>
      <xdr:row>24</xdr:row>
      <xdr:rowOff>171450</xdr:rowOff>
    </xdr:from>
    <xdr:to>
      <xdr:col>17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5"/>
  <sheetViews>
    <sheetView tabSelected="1" topLeftCell="A12" workbookViewId="0">
      <selection activeCell="Q48" sqref="Q48"/>
    </sheetView>
  </sheetViews>
  <sheetFormatPr defaultRowHeight="14.25" x14ac:dyDescent="0.45"/>
  <cols>
    <col min="1" max="1" width="10.9296875" customWidth="1"/>
    <col min="2" max="2" width="15.53125" bestFit="1" customWidth="1"/>
    <col min="3" max="3" width="7.265625" bestFit="1" customWidth="1"/>
    <col min="4" max="4" width="12.06640625" bestFit="1" customWidth="1"/>
    <col min="5" max="5" width="7.73046875" bestFit="1" customWidth="1"/>
    <col min="6" max="7" width="7.73046875" customWidth="1"/>
    <col min="8" max="8" width="10.59765625" customWidth="1"/>
    <col min="9" max="9" width="35.3984375" customWidth="1"/>
    <col min="10" max="10" width="9.6640625" bestFit="1" customWidth="1"/>
    <col min="11" max="12" width="5.265625" bestFit="1" customWidth="1"/>
    <col min="13" max="13" width="7.265625" bestFit="1" customWidth="1"/>
    <col min="14" max="16" width="5.265625" bestFit="1" customWidth="1"/>
    <col min="17" max="17" width="6.265625" bestFit="1" customWidth="1"/>
    <col min="21" max="21" width="14.6640625" bestFit="1" customWidth="1"/>
    <col min="35" max="35" width="2.73046875" bestFit="1" customWidth="1"/>
    <col min="36" max="36" width="9.265625" bestFit="1" customWidth="1"/>
    <col min="37" max="37" width="6.265625" bestFit="1" customWidth="1"/>
    <col min="38" max="38" width="2.73046875" bestFit="1" customWidth="1"/>
    <col min="39" max="39" width="2.9296875" bestFit="1" customWidth="1"/>
    <col min="40" max="40" width="12.59765625" bestFit="1" customWidth="1"/>
  </cols>
  <sheetData>
    <row r="1" spans="1:41" x14ac:dyDescent="0.45">
      <c r="I1" s="21"/>
      <c r="J1">
        <v>1</v>
      </c>
      <c r="K1">
        <v>4</v>
      </c>
      <c r="L1">
        <v>5</v>
      </c>
      <c r="M1">
        <v>8</v>
      </c>
      <c r="N1">
        <v>9</v>
      </c>
      <c r="O1">
        <v>12</v>
      </c>
      <c r="P1">
        <v>13</v>
      </c>
      <c r="Q1">
        <v>16</v>
      </c>
    </row>
    <row r="2" spans="1:41" x14ac:dyDescent="0.45">
      <c r="D2" s="1" t="str">
        <f>"~Inputcell: "&amp;_xlfn.TEXTJOIN(",",TRUE,I1:EG1)</f>
        <v>~Inputcell: 1,4,5,8,9,12,13,16</v>
      </c>
      <c r="M2" s="2" t="s">
        <v>26</v>
      </c>
      <c r="N2" s="2"/>
      <c r="O2" s="2"/>
      <c r="P2" s="2" t="s">
        <v>17</v>
      </c>
    </row>
    <row r="3" spans="1:41" x14ac:dyDescent="0.45">
      <c r="D3" s="9">
        <v>5</v>
      </c>
      <c r="M3" s="10">
        <v>300</v>
      </c>
      <c r="N3" s="10" t="s">
        <v>2</v>
      </c>
      <c r="P3" s="10" t="s">
        <v>114</v>
      </c>
      <c r="Q3" s="10" t="s">
        <v>5</v>
      </c>
    </row>
    <row r="4" spans="1:41" x14ac:dyDescent="0.45">
      <c r="M4" s="10">
        <v>200</v>
      </c>
      <c r="N4" s="10" t="s">
        <v>5</v>
      </c>
      <c r="P4" s="10" t="s">
        <v>82</v>
      </c>
      <c r="Q4" s="10" t="s">
        <v>9</v>
      </c>
    </row>
    <row r="5" spans="1:41" x14ac:dyDescent="0.45">
      <c r="D5" s="30" t="str">
        <f>VLOOKUP($D$3,$C$9:$F$999,COLUMN()-2,FALSE)</f>
        <v>high</v>
      </c>
      <c r="E5" s="30">
        <f>VLOOKUP($D$3,$C$9:$F$999,COLUMN()-2,FALSE)</f>
        <v>0</v>
      </c>
      <c r="F5" s="30" t="str">
        <f>VLOOKUP($D$3,$C$9:$F$999,COLUMN()-2,FALSE)</f>
        <v>Y</v>
      </c>
      <c r="G5" s="30">
        <f>VLOOKUP($D$3,$C$9:$H$999,COLUMN()-2,FALSE)</f>
        <v>1</v>
      </c>
      <c r="M5" s="10">
        <v>100</v>
      </c>
      <c r="N5" s="10" t="s">
        <v>7</v>
      </c>
    </row>
    <row r="6" spans="1:41" x14ac:dyDescent="0.45">
      <c r="F6" s="31"/>
      <c r="G6" s="31"/>
      <c r="M6" s="10">
        <v>0</v>
      </c>
      <c r="N6" s="10" t="s">
        <v>9</v>
      </c>
    </row>
    <row r="7" spans="1:41" x14ac:dyDescent="0.45">
      <c r="B7" s="14" t="s">
        <v>94</v>
      </c>
      <c r="F7" s="31"/>
      <c r="G7" s="31"/>
    </row>
    <row r="8" spans="1:41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F8" s="32" t="s">
        <v>125</v>
      </c>
      <c r="G8" s="32" t="s">
        <v>142</v>
      </c>
      <c r="AO8" s="2" t="s">
        <v>102</v>
      </c>
    </row>
    <row r="9" spans="1:41" x14ac:dyDescent="0.45">
      <c r="A9">
        <v>5</v>
      </c>
      <c r="B9" t="str">
        <f>_xlfn.TEXTJOIN(CHAR(183),TRUE,D9,TEXT(E9,"$000"),F9,TEXT(G9,"000%"))</f>
        <v>base·$000·Y·100%</v>
      </c>
      <c r="C9">
        <v>1</v>
      </c>
      <c r="D9" t="s">
        <v>114</v>
      </c>
      <c r="E9" s="15">
        <v>0</v>
      </c>
      <c r="F9" s="33" t="s">
        <v>126</v>
      </c>
      <c r="G9" s="33">
        <v>1</v>
      </c>
      <c r="U9" t="s">
        <v>4</v>
      </c>
      <c r="AI9">
        <v>1</v>
      </c>
      <c r="AJ9" t="s">
        <v>85</v>
      </c>
      <c r="AK9" t="s">
        <v>112</v>
      </c>
      <c r="AL9" s="10">
        <v>1</v>
      </c>
      <c r="AM9" t="s">
        <v>0</v>
      </c>
      <c r="AN9" t="s">
        <v>87</v>
      </c>
      <c r="AO9" s="13">
        <v>5</v>
      </c>
    </row>
    <row r="10" spans="1:41" x14ac:dyDescent="0.45">
      <c r="A10">
        <v>5</v>
      </c>
      <c r="B10" t="str">
        <f t="shared" ref="B10:B40" si="0">_xlfn.TEXTJOIN(CHAR(183),TRUE,D10,TEXT(E10,"$000"),F10,TEXT(G10,"000%"))</f>
        <v>base·$100·Y·100%</v>
      </c>
      <c r="C10">
        <f>C9+1</f>
        <v>2</v>
      </c>
      <c r="D10" t="s">
        <v>114</v>
      </c>
      <c r="E10" s="15">
        <v>100</v>
      </c>
      <c r="F10" s="33" t="s">
        <v>126</v>
      </c>
      <c r="G10" s="33">
        <v>1</v>
      </c>
      <c r="U10" s="1">
        <v>2022</v>
      </c>
      <c r="AI10">
        <v>2</v>
      </c>
      <c r="AJ10" t="s">
        <v>100</v>
      </c>
      <c r="AK10" t="s">
        <v>111</v>
      </c>
      <c r="AL10" s="10">
        <v>1</v>
      </c>
      <c r="AM10" t="s">
        <v>2</v>
      </c>
      <c r="AN10" t="s">
        <v>89</v>
      </c>
      <c r="AO10" s="13">
        <v>4</v>
      </c>
    </row>
    <row r="11" spans="1:41" ht="14.65" thickBot="1" x14ac:dyDescent="0.5">
      <c r="A11">
        <v>5</v>
      </c>
      <c r="B11" t="str">
        <f t="shared" si="0"/>
        <v>base·$200·Y·100%</v>
      </c>
      <c r="C11">
        <f>C10+1</f>
        <v>3</v>
      </c>
      <c r="D11" t="s">
        <v>114</v>
      </c>
      <c r="E11" s="15">
        <v>200</v>
      </c>
      <c r="F11" s="33" t="s">
        <v>126</v>
      </c>
      <c r="G11" s="33">
        <v>1</v>
      </c>
      <c r="U11" s="22">
        <f>SUMIFS(iea_data!I3:I9999,iea_data!$B$3:$B$9999,Veda!$U$10)+V28-V29</f>
        <v>1811.6499999999999</v>
      </c>
      <c r="V11" s="2" t="s">
        <v>56</v>
      </c>
      <c r="AI11">
        <v>3</v>
      </c>
      <c r="AJ11" t="s">
        <v>98</v>
      </c>
      <c r="AK11" t="str">
        <f>AJ11</f>
        <v>ts_012</v>
      </c>
      <c r="AL11" s="10">
        <v>1</v>
      </c>
      <c r="AM11" t="s">
        <v>5</v>
      </c>
      <c r="AN11" t="s">
        <v>90</v>
      </c>
      <c r="AO11" s="13">
        <v>3</v>
      </c>
    </row>
    <row r="12" spans="1:41" ht="14.65" customHeight="1" thickTop="1" thickBot="1" x14ac:dyDescent="0.5">
      <c r="A12">
        <v>5</v>
      </c>
      <c r="B12" t="str">
        <f t="shared" si="0"/>
        <v>base·$300·Y·100%</v>
      </c>
      <c r="C12">
        <f>C11+1</f>
        <v>4</v>
      </c>
      <c r="D12" t="s">
        <v>114</v>
      </c>
      <c r="E12" s="15">
        <v>300</v>
      </c>
      <c r="F12" s="33" t="s">
        <v>126</v>
      </c>
      <c r="G12" s="33">
        <v>1</v>
      </c>
      <c r="U12" s="22">
        <f>SUMIFS(iea_data!J3:J9999,iea_data!$B$3:$B$9999,Veda!$U$10)</f>
        <v>0</v>
      </c>
      <c r="AI12">
        <v>4</v>
      </c>
      <c r="AJ12" t="s">
        <v>104</v>
      </c>
      <c r="AK12" t="str">
        <f t="shared" ref="AK12:AK16" si="1">AJ12</f>
        <v>ts_030</v>
      </c>
      <c r="AL12" s="10">
        <v>1</v>
      </c>
      <c r="AM12" t="s">
        <v>7</v>
      </c>
      <c r="AN12" t="s">
        <v>91</v>
      </c>
      <c r="AO12" s="13">
        <v>3</v>
      </c>
    </row>
    <row r="13" spans="1:41" ht="14.65" customHeight="1" thickTop="1" x14ac:dyDescent="0.45">
      <c r="A13">
        <v>5</v>
      </c>
      <c r="B13" t="str">
        <f t="shared" si="0"/>
        <v>high·$000·Y·100%</v>
      </c>
      <c r="C13">
        <f>C12+1</f>
        <v>5</v>
      </c>
      <c r="D13" t="s">
        <v>82</v>
      </c>
      <c r="E13" s="15">
        <f>E9</f>
        <v>0</v>
      </c>
      <c r="F13" s="33" t="s">
        <v>126</v>
      </c>
      <c r="G13" s="33">
        <v>1</v>
      </c>
      <c r="AI13">
        <v>5</v>
      </c>
      <c r="AJ13" t="s">
        <v>99</v>
      </c>
      <c r="AK13" t="str">
        <f t="shared" si="1"/>
        <v>ts_048</v>
      </c>
      <c r="AL13" s="10">
        <v>1</v>
      </c>
      <c r="AM13" t="s">
        <v>9</v>
      </c>
      <c r="AN13" t="s">
        <v>92</v>
      </c>
      <c r="AO13" s="13">
        <v>1.5</v>
      </c>
    </row>
    <row r="14" spans="1:41" ht="14.65" thickBot="1" x14ac:dyDescent="0.5">
      <c r="A14">
        <v>5</v>
      </c>
      <c r="B14" t="str">
        <f t="shared" si="0"/>
        <v>high·$100·Y·100%</v>
      </c>
      <c r="C14">
        <f t="shared" ref="C14:C40" si="2">C13+1</f>
        <v>6</v>
      </c>
      <c r="D14" t="s">
        <v>82</v>
      </c>
      <c r="E14" s="15">
        <f t="shared" ref="E14:E16" si="3">E10</f>
        <v>100</v>
      </c>
      <c r="F14" s="33" t="s">
        <v>126</v>
      </c>
      <c r="G14" s="33">
        <v>1</v>
      </c>
      <c r="I14" t="s">
        <v>11</v>
      </c>
      <c r="J14" s="3" t="str">
        <f>VLOOKUP($D$5,$P$3:$Q$5,2,FALSE)</f>
        <v>C7</v>
      </c>
      <c r="K14" s="11">
        <f>SUMIFS(ar6_r10!$F$2:$F$999,ar6_r10!$A$2:$A$999,Veda!$E$5,ar6_r10!$C$2:$C$999,Veda!K$17,ar6_r10!$M$2:$M$999,Veda!$I14)</f>
        <v>0</v>
      </c>
      <c r="L14" s="11">
        <f>SUMIFS(ar6_r10!$J$2:$J$999,ar6_r10!$A$2:$A$999,$J$14,ar6_r10!$C$2:$C$999,Veda!L$17,ar6_r10!$M$2:$M$999,Veda!$I14)</f>
        <v>1.35</v>
      </c>
      <c r="M14" s="11">
        <f>SUMIFS(ar6_r10!$J$2:$J$999,ar6_r10!$A$2:$A$999,$J$14,ar6_r10!$C$2:$C$999,Veda!M$17,ar6_r10!$M$2:$M$999,Veda!$I14)</f>
        <v>1.71</v>
      </c>
      <c r="N14" s="11">
        <f>SUMIFS(ar6_r10!$J$2:$J$999,ar6_r10!$A$2:$A$999,$J$14,ar6_r10!$C$2:$C$999,Veda!N$17,ar6_r10!$M$2:$M$999,Veda!$I14)</f>
        <v>2.2200000000000002</v>
      </c>
      <c r="O14" s="11">
        <f>SUMIFS(ar6_r10!$J$2:$J$999,ar6_r10!$A$2:$A$999,$J$14,ar6_r10!$C$2:$C$999,Veda!O$17,ar6_r10!$M$2:$M$999,Veda!$I14)</f>
        <v>2.61</v>
      </c>
      <c r="P14" s="11">
        <f>SUMIFS(ar6_r10!$J$2:$J$999,ar6_r10!$A$2:$A$999,$J$14,ar6_r10!$C$2:$C$999,Veda!P$17,ar6_r10!$M$2:$M$999,Veda!$I14)</f>
        <v>3.26</v>
      </c>
      <c r="Q14" s="11">
        <f>SUMIFS(ar6_r10!$J$2:$J$999,ar6_r10!$A$2:$A$999,$J$14,ar6_r10!$C$2:$C$999,Veda!Q$17,ar6_r10!$M$2:$M$999,Veda!$I14)</f>
        <v>3.56</v>
      </c>
      <c r="V14" s="8">
        <f>U11</f>
        <v>1811.6499999999999</v>
      </c>
      <c r="W14" s="8">
        <f t="shared" ref="W14:AB14" si="4">$U$11*L14</f>
        <v>2445.7275</v>
      </c>
      <c r="X14" s="8">
        <f t="shared" si="4"/>
        <v>3097.9214999999999</v>
      </c>
      <c r="Y14" s="8">
        <f t="shared" si="4"/>
        <v>4021.8629999999998</v>
      </c>
      <c r="Z14" s="8">
        <f t="shared" si="4"/>
        <v>4728.4064999999991</v>
      </c>
      <c r="AA14" s="8">
        <f t="shared" si="4"/>
        <v>5905.9789999999994</v>
      </c>
      <c r="AB14" s="8">
        <f t="shared" si="4"/>
        <v>6449.4739999999993</v>
      </c>
      <c r="AI14">
        <v>6</v>
      </c>
      <c r="AJ14" t="s">
        <v>108</v>
      </c>
      <c r="AK14" t="str">
        <f t="shared" si="1"/>
        <v>ts_072</v>
      </c>
      <c r="AL14" s="10">
        <f>AL9+1</f>
        <v>2</v>
      </c>
    </row>
    <row r="15" spans="1:41" ht="14.65" thickTop="1" x14ac:dyDescent="0.45">
      <c r="A15">
        <v>5</v>
      </c>
      <c r="B15" t="str">
        <f t="shared" si="0"/>
        <v>high·$200·Y·100%</v>
      </c>
      <c r="C15">
        <f t="shared" si="2"/>
        <v>7</v>
      </c>
      <c r="D15" t="s">
        <v>82</v>
      </c>
      <c r="E15" s="15">
        <f t="shared" si="3"/>
        <v>200</v>
      </c>
      <c r="F15" s="33" t="s">
        <v>126</v>
      </c>
      <c r="G15" s="33">
        <v>1</v>
      </c>
      <c r="I15" t="s">
        <v>113</v>
      </c>
      <c r="K15" s="11">
        <f>SUMIFS(ar6_r10!$F$2:$F$999,ar6_r10!$A$2:$A$999,Veda!$E$5,ar6_r10!$C$2:$C$999,Veda!K$17,ar6_r10!$M$2:$M$999,Veda!$I15)</f>
        <v>0</v>
      </c>
      <c r="L15" s="11">
        <f>SUMIFS(ar6_r10!$J$2:$J$999,ar6_r10!$A$2:$A$999,$J$14,ar6_r10!$C$2:$C$999,Veda!L$17,ar6_r10!$M$2:$M$999,Veda!$I15)</f>
        <v>1.23</v>
      </c>
      <c r="M15" s="11">
        <f>SUMIFS(ar6_r10!$J$2:$J$999,ar6_r10!$A$2:$A$999,$J$14,ar6_r10!$C$2:$C$999,Veda!M$17,ar6_r10!$M$2:$M$999,Veda!$I15)</f>
        <v>1.3</v>
      </c>
      <c r="N15" s="11">
        <f>SUMIFS(ar6_r10!$J$2:$J$999,ar6_r10!$A$2:$A$999,$J$14,ar6_r10!$C$2:$C$999,Veda!N$17,ar6_r10!$M$2:$M$999,Veda!$I15)</f>
        <v>2.71</v>
      </c>
      <c r="O15" s="11">
        <f>SUMIFS(ar6_r10!$J$2:$J$999,ar6_r10!$A$2:$A$999,$J$14,ar6_r10!$C$2:$C$999,Veda!O$17,ar6_r10!$M$2:$M$999,Veda!$I15)</f>
        <v>2.94</v>
      </c>
      <c r="P15" s="11">
        <f>SUMIFS(ar6_r10!$J$2:$J$999,ar6_r10!$A$2:$A$999,$J$14,ar6_r10!$C$2:$C$999,Veda!P$17,ar6_r10!$M$2:$M$999,Veda!$I15)</f>
        <v>5.92</v>
      </c>
      <c r="Q15" s="11">
        <f>SUMIFS(ar6_r10!$J$2:$J$999,ar6_r10!$A$2:$A$999,$J$14,ar6_r10!$C$2:$C$999,Veda!Q$17,ar6_r10!$M$2:$M$999,Veda!$I15)</f>
        <v>5.41</v>
      </c>
      <c r="AI15">
        <v>7</v>
      </c>
      <c r="AJ15" t="s">
        <v>109</v>
      </c>
      <c r="AK15" t="str">
        <f t="shared" si="1"/>
        <v>ts_144</v>
      </c>
      <c r="AL15" s="10">
        <f t="shared" ref="AL15:AL78" si="5">AL10+1</f>
        <v>2</v>
      </c>
    </row>
    <row r="16" spans="1:41" ht="17.649999999999999" customHeight="1" thickBot="1" x14ac:dyDescent="0.6">
      <c r="A16">
        <v>5</v>
      </c>
      <c r="B16" t="str">
        <f t="shared" si="0"/>
        <v>high·$300·Y·100%</v>
      </c>
      <c r="C16">
        <f t="shared" si="2"/>
        <v>8</v>
      </c>
      <c r="D16" t="s">
        <v>82</v>
      </c>
      <c r="E16" s="15">
        <f t="shared" si="3"/>
        <v>300</v>
      </c>
      <c r="F16" s="33" t="s">
        <v>126</v>
      </c>
      <c r="G16" s="33">
        <v>1</v>
      </c>
      <c r="U16" s="5" t="s">
        <v>12</v>
      </c>
      <c r="AI16">
        <v>8</v>
      </c>
      <c r="AJ16" t="s">
        <v>110</v>
      </c>
      <c r="AK16" t="str">
        <f t="shared" si="1"/>
        <v>ts_288</v>
      </c>
      <c r="AL16" s="10">
        <f t="shared" si="5"/>
        <v>2</v>
      </c>
    </row>
    <row r="17" spans="1:38" ht="15" customHeight="1" thickTop="1" thickBot="1" x14ac:dyDescent="0.5">
      <c r="A17">
        <v>5</v>
      </c>
      <c r="B17" t="str">
        <f t="shared" si="0"/>
        <v>base·$000·N·100%</v>
      </c>
      <c r="C17">
        <f t="shared" si="2"/>
        <v>9</v>
      </c>
      <c r="D17" t="s">
        <v>114</v>
      </c>
      <c r="E17" s="15">
        <v>0</v>
      </c>
      <c r="F17" s="33" t="s">
        <v>127</v>
      </c>
      <c r="G17" s="33">
        <v>1</v>
      </c>
      <c r="K17" s="7">
        <v>2020</v>
      </c>
      <c r="L17" s="7">
        <f t="shared" ref="L17:Q17" si="6">W17</f>
        <v>2025</v>
      </c>
      <c r="M17" s="7">
        <f t="shared" si="6"/>
        <v>2030</v>
      </c>
      <c r="N17" s="7">
        <f t="shared" si="6"/>
        <v>2035</v>
      </c>
      <c r="O17" s="7">
        <f t="shared" si="6"/>
        <v>2040</v>
      </c>
      <c r="P17" s="7">
        <f t="shared" si="6"/>
        <v>2045</v>
      </c>
      <c r="Q17" s="7">
        <f t="shared" si="6"/>
        <v>2050</v>
      </c>
      <c r="U17" s="4" t="s">
        <v>13</v>
      </c>
      <c r="V17" s="4">
        <v>2022</v>
      </c>
      <c r="W17" s="4">
        <v>2025</v>
      </c>
      <c r="X17" s="4">
        <v>2030</v>
      </c>
      <c r="Y17" s="4">
        <v>2035</v>
      </c>
      <c r="Z17" s="4">
        <v>2040</v>
      </c>
      <c r="AA17" s="4">
        <v>2045</v>
      </c>
      <c r="AB17" s="4">
        <v>2050</v>
      </c>
      <c r="AC17" s="4" t="s">
        <v>14</v>
      </c>
      <c r="AI17">
        <v>9</v>
      </c>
      <c r="AJ17" t="s">
        <v>103</v>
      </c>
      <c r="AK17" t="s">
        <v>105</v>
      </c>
      <c r="AL17" s="10">
        <f t="shared" si="5"/>
        <v>2</v>
      </c>
    </row>
    <row r="18" spans="1:38" x14ac:dyDescent="0.45">
      <c r="A18">
        <v>5</v>
      </c>
      <c r="B18" t="str">
        <f t="shared" si="0"/>
        <v>base·$100·N·100%</v>
      </c>
      <c r="C18">
        <f t="shared" si="2"/>
        <v>10</v>
      </c>
      <c r="D18" t="s">
        <v>114</v>
      </c>
      <c r="E18" s="15">
        <v>100</v>
      </c>
      <c r="F18" s="33" t="s">
        <v>127</v>
      </c>
      <c r="G18" s="33">
        <v>1</v>
      </c>
      <c r="I18" t="s">
        <v>15</v>
      </c>
      <c r="K18" s="11">
        <f>SUMIFS(ar6_r10!$F$2:$F$999,ar6_r10!$A$2:$A$999,$J$14,ar6_r10!$C$2:$C$999,Veda!K$17,ar6_r10!$M$2:$M$999,Veda!$I18)</f>
        <v>0.01</v>
      </c>
      <c r="L18" s="11">
        <f>SUMIFS(ar6_r10!$F$2:$F$999,ar6_r10!$A$2:$A$999,$J$14,ar6_r10!$C$2:$C$999,Veda!L$17,ar6_r10!$M$2:$M$999,Veda!$I18)</f>
        <v>0</v>
      </c>
      <c r="M18" s="11">
        <f>SUMIFS(ar6_r10!$F$2:$F$999,ar6_r10!$A$2:$A$999,$J$14,ar6_r10!$C$2:$C$999,Veda!M$17,ar6_r10!$M$2:$M$999,Veda!$I18)</f>
        <v>0.01</v>
      </c>
      <c r="N18" s="11">
        <f>SUMIFS(ar6_r10!$F$2:$F$999,ar6_r10!$A$2:$A$999,$J$14,ar6_r10!$C$2:$C$999,Veda!N$17,ar6_r10!$M$2:$M$999,Veda!$I18)</f>
        <v>0.01</v>
      </c>
      <c r="O18" s="11">
        <f>SUMIFS(ar6_r10!$F$2:$F$999,ar6_r10!$A$2:$A$999,$J$14,ar6_r10!$C$2:$C$999,Veda!O$17,ar6_r10!$M$2:$M$999,Veda!$I18)</f>
        <v>0.02</v>
      </c>
      <c r="P18" s="11">
        <f>SUMIFS(ar6_r10!$F$2:$F$999,ar6_r10!$A$2:$A$999,$J$14,ar6_r10!$C$2:$C$999,Veda!P$17,ar6_r10!$M$2:$M$999,Veda!$I18)</f>
        <v>0.02</v>
      </c>
      <c r="Q18" s="11">
        <f>SUMIFS(ar6_r10!$F$2:$F$999,ar6_r10!$A$2:$A$999,$J$14,ar6_r10!$C$2:$C$999,Veda!Q$17,ar6_r10!$M$2:$M$999,Veda!$I18)</f>
        <v>0.03</v>
      </c>
      <c r="U18" s="10" t="s">
        <v>16</v>
      </c>
      <c r="V18" s="6">
        <f t="shared" ref="V18:AB20" si="7">K18*V$14</f>
        <v>18.116499999999998</v>
      </c>
      <c r="W18" s="6">
        <f t="shared" si="7"/>
        <v>0</v>
      </c>
      <c r="X18" s="6">
        <f t="shared" si="7"/>
        <v>30.979215</v>
      </c>
      <c r="Y18" s="6">
        <f t="shared" si="7"/>
        <v>40.218629999999997</v>
      </c>
      <c r="Z18" s="6">
        <f t="shared" si="7"/>
        <v>94.568129999999982</v>
      </c>
      <c r="AA18" s="6">
        <f t="shared" si="7"/>
        <v>118.11957999999998</v>
      </c>
      <c r="AB18" s="6">
        <f t="shared" si="7"/>
        <v>193.48421999999997</v>
      </c>
      <c r="AC18" t="s">
        <v>17</v>
      </c>
      <c r="AE18" s="2"/>
      <c r="AI18">
        <v>10</v>
      </c>
      <c r="AJ18" t="s">
        <v>106</v>
      </c>
      <c r="AK18" t="s">
        <v>107</v>
      </c>
      <c r="AL18" s="10">
        <f t="shared" si="5"/>
        <v>2</v>
      </c>
    </row>
    <row r="19" spans="1:38" x14ac:dyDescent="0.45">
      <c r="A19">
        <v>5</v>
      </c>
      <c r="B19" t="str">
        <f t="shared" si="0"/>
        <v>base·$200·N·100%</v>
      </c>
      <c r="C19">
        <f t="shared" si="2"/>
        <v>11</v>
      </c>
      <c r="D19" t="s">
        <v>114</v>
      </c>
      <c r="E19" s="15">
        <v>200</v>
      </c>
      <c r="F19" s="33" t="s">
        <v>127</v>
      </c>
      <c r="G19" s="33">
        <v>1</v>
      </c>
      <c r="I19" t="s">
        <v>18</v>
      </c>
      <c r="K19" s="11">
        <f>SUMIFS(ar6_r10!$F$2:$F$999,ar6_r10!$A$2:$A$999,$J$14,ar6_r10!$C$2:$C$999,Veda!K$17,ar6_r10!$M$2:$M$999,Veda!$I19)</f>
        <v>0.53</v>
      </c>
      <c r="L19" s="11">
        <f>SUMIFS(ar6_r10!$F$2:$F$999,ar6_r10!$A$2:$A$999,$J$14,ar6_r10!$C$2:$C$999,Veda!L$17,ar6_r10!$M$2:$M$999,Veda!$I19)</f>
        <v>0.5</v>
      </c>
      <c r="M19" s="11">
        <f>SUMIFS(ar6_r10!$F$2:$F$999,ar6_r10!$A$2:$A$999,$J$14,ar6_r10!$C$2:$C$999,Veda!M$17,ar6_r10!$M$2:$M$999,Veda!$I19)</f>
        <v>0.52</v>
      </c>
      <c r="N19" s="11">
        <f>SUMIFS(ar6_r10!$F$2:$F$999,ar6_r10!$A$2:$A$999,$J$14,ar6_r10!$C$2:$C$999,Veda!N$17,ar6_r10!$M$2:$M$999,Veda!$I19)</f>
        <v>0.5</v>
      </c>
      <c r="O19" s="11">
        <f>SUMIFS(ar6_r10!$F$2:$F$999,ar6_r10!$A$2:$A$999,$J$14,ar6_r10!$C$2:$C$999,Veda!O$17,ar6_r10!$M$2:$M$999,Veda!$I19)</f>
        <v>0.47</v>
      </c>
      <c r="P19" s="11">
        <f>SUMIFS(ar6_r10!$F$2:$F$999,ar6_r10!$A$2:$A$999,$J$14,ar6_r10!$C$2:$C$999,Veda!P$17,ar6_r10!$M$2:$M$999,Veda!$I19)</f>
        <v>0.47</v>
      </c>
      <c r="Q19" s="11">
        <f>SUMIFS(ar6_r10!$F$2:$F$999,ar6_r10!$A$2:$A$999,$J$14,ar6_r10!$C$2:$C$999,Veda!Q$17,ar6_r10!$M$2:$M$999,Veda!$I19)</f>
        <v>0.45</v>
      </c>
      <c r="U19" s="10" t="s">
        <v>19</v>
      </c>
      <c r="V19" s="6">
        <f t="shared" si="7"/>
        <v>960.17449999999997</v>
      </c>
      <c r="W19" s="6">
        <f t="shared" si="7"/>
        <v>1222.86375</v>
      </c>
      <c r="X19" s="6">
        <f t="shared" si="7"/>
        <v>1610.9191800000001</v>
      </c>
      <c r="Y19" s="6">
        <f t="shared" si="7"/>
        <v>2010.9314999999999</v>
      </c>
      <c r="Z19" s="6">
        <f t="shared" si="7"/>
        <v>2222.3510549999996</v>
      </c>
      <c r="AA19" s="6">
        <f t="shared" si="7"/>
        <v>2775.8101299999994</v>
      </c>
      <c r="AB19" s="6">
        <f t="shared" si="7"/>
        <v>2902.2632999999996</v>
      </c>
      <c r="AC19" t="s">
        <v>17</v>
      </c>
      <c r="AI19">
        <v>11</v>
      </c>
      <c r="AJ19" t="s">
        <v>83</v>
      </c>
      <c r="AK19" t="s">
        <v>88</v>
      </c>
      <c r="AL19" s="10">
        <f t="shared" si="5"/>
        <v>3</v>
      </c>
    </row>
    <row r="20" spans="1:38" x14ac:dyDescent="0.45">
      <c r="A20">
        <v>5</v>
      </c>
      <c r="B20" t="str">
        <f t="shared" si="0"/>
        <v>base·$300·N·100%</v>
      </c>
      <c r="C20">
        <f t="shared" si="2"/>
        <v>12</v>
      </c>
      <c r="D20" t="s">
        <v>114</v>
      </c>
      <c r="E20" s="15">
        <v>300</v>
      </c>
      <c r="F20" s="33" t="s">
        <v>127</v>
      </c>
      <c r="G20" s="33">
        <v>1</v>
      </c>
      <c r="I20" t="s">
        <v>21</v>
      </c>
      <c r="K20" s="11">
        <f>SUMIFS(ar6_r10!$F$2:$F$999,ar6_r10!$A$2:$A$999,$J$14,ar6_r10!$C$2:$C$999,Veda!K$17,ar6_r10!$M$2:$M$999,Veda!$I20)</f>
        <v>0.45</v>
      </c>
      <c r="L20" s="11">
        <f>SUMIFS(ar6_r10!$F$2:$F$999,ar6_r10!$A$2:$A$999,$J$14,ar6_r10!$C$2:$C$999,Veda!L$17,ar6_r10!$M$2:$M$999,Veda!$I20)</f>
        <v>0.45</v>
      </c>
      <c r="M20" s="11">
        <f>SUMIFS(ar6_r10!$F$2:$F$999,ar6_r10!$A$2:$A$999,$J$14,ar6_r10!$C$2:$C$999,Veda!M$17,ar6_r10!$M$2:$M$999,Veda!$I20)</f>
        <v>0.44</v>
      </c>
      <c r="N20" s="11">
        <f>SUMIFS(ar6_r10!$F$2:$F$999,ar6_r10!$A$2:$A$999,$J$14,ar6_r10!$C$2:$C$999,Veda!N$17,ar6_r10!$M$2:$M$999,Veda!$I20)</f>
        <v>0.44</v>
      </c>
      <c r="O20" s="11">
        <f>SUMIFS(ar6_r10!$F$2:$F$999,ar6_r10!$A$2:$A$999,$J$14,ar6_r10!$C$2:$C$999,Veda!O$17,ar6_r10!$M$2:$M$999,Veda!$I20)</f>
        <v>0.45</v>
      </c>
      <c r="P20" s="11">
        <f>SUMIFS(ar6_r10!$F$2:$F$999,ar6_r10!$A$2:$A$999,$J$14,ar6_r10!$C$2:$C$999,Veda!P$17,ar6_r10!$M$2:$M$999,Veda!$I20)</f>
        <v>0.46</v>
      </c>
      <c r="Q20" s="11">
        <f>SUMIFS(ar6_r10!$F$2:$F$999,ar6_r10!$A$2:$A$999,$J$14,ar6_r10!$C$2:$C$999,Veda!Q$17,ar6_r10!$M$2:$M$999,Veda!$I20)</f>
        <v>0.47</v>
      </c>
      <c r="U20" s="10" t="s">
        <v>22</v>
      </c>
      <c r="V20" s="6">
        <f t="shared" si="7"/>
        <v>815.24249999999995</v>
      </c>
      <c r="W20" s="6">
        <f t="shared" si="7"/>
        <v>1100.5773750000001</v>
      </c>
      <c r="X20" s="6">
        <f t="shared" si="7"/>
        <v>1363.08546</v>
      </c>
      <c r="Y20" s="6">
        <f t="shared" si="7"/>
        <v>1769.6197199999999</v>
      </c>
      <c r="Z20" s="6">
        <f t="shared" si="7"/>
        <v>2127.7829249999995</v>
      </c>
      <c r="AA20" s="6">
        <f t="shared" si="7"/>
        <v>2716.7503399999996</v>
      </c>
      <c r="AB20" s="6">
        <f t="shared" si="7"/>
        <v>3031.2527799999993</v>
      </c>
      <c r="AC20" t="s">
        <v>17</v>
      </c>
      <c r="AI20">
        <v>12</v>
      </c>
      <c r="AJ20" t="s">
        <v>84</v>
      </c>
      <c r="AK20" t="s">
        <v>93</v>
      </c>
      <c r="AL20" s="10">
        <f t="shared" si="5"/>
        <v>3</v>
      </c>
    </row>
    <row r="21" spans="1:38" x14ac:dyDescent="0.45">
      <c r="A21">
        <v>5</v>
      </c>
      <c r="B21" t="str">
        <f t="shared" si="0"/>
        <v>high·$000·N·100%</v>
      </c>
      <c r="C21">
        <f t="shared" si="2"/>
        <v>13</v>
      </c>
      <c r="D21" t="s">
        <v>82</v>
      </c>
      <c r="E21" s="15">
        <f>E17</f>
        <v>0</v>
      </c>
      <c r="F21" s="33" t="s">
        <v>127</v>
      </c>
      <c r="G21" s="33">
        <v>1</v>
      </c>
      <c r="I21" t="s">
        <v>23</v>
      </c>
      <c r="K21" s="11">
        <f>SUMIFS(ar6_r10!$F$2:$F$999,ar6_r10!$A$2:$A$999,$J$14,ar6_r10!$C$2:$C$999,Veda!K$17,ar6_r10!$M$2:$M$999,Veda!$I21)</f>
        <v>0.02</v>
      </c>
      <c r="L21" s="11">
        <f>SUMIFS(ar6_r10!$F$2:$F$999,ar6_r10!$A$2:$A$999,$J$14,ar6_r10!$C$2:$C$999,Veda!L$17,ar6_r10!$M$2:$M$999,Veda!$I21)</f>
        <v>0.03</v>
      </c>
      <c r="M21" s="11">
        <f>SUMIFS(ar6_r10!$F$2:$F$999,ar6_r10!$A$2:$A$999,$J$14,ar6_r10!$C$2:$C$999,Veda!M$17,ar6_r10!$M$2:$M$999,Veda!$I21)</f>
        <v>0.03</v>
      </c>
      <c r="N21" s="11">
        <f>SUMIFS(ar6_r10!$F$2:$F$999,ar6_r10!$A$2:$A$999,$J$14,ar6_r10!$C$2:$C$999,Veda!N$17,ar6_r10!$M$2:$M$999,Veda!$I21)</f>
        <v>0.04</v>
      </c>
      <c r="O21" s="11">
        <f>SUMIFS(ar6_r10!$F$2:$F$999,ar6_r10!$A$2:$A$999,$J$14,ar6_r10!$C$2:$C$999,Veda!O$17,ar6_r10!$M$2:$M$999,Veda!$I21)</f>
        <v>0.04</v>
      </c>
      <c r="P21" s="11">
        <f>SUMIFS(ar6_r10!$F$2:$F$999,ar6_r10!$A$2:$A$999,$J$14,ar6_r10!$C$2:$C$999,Veda!P$17,ar6_r10!$M$2:$M$999,Veda!$I21)</f>
        <v>0.05</v>
      </c>
      <c r="Q21" s="11">
        <f>SUMIFS(ar6_r10!$F$2:$F$999,ar6_r10!$A$2:$A$999,$J$14,ar6_r10!$C$2:$C$999,Veda!Q$17,ar6_r10!$M$2:$M$999,Veda!$I21)</f>
        <v>0.05</v>
      </c>
      <c r="U21" s="10" t="s">
        <v>24</v>
      </c>
      <c r="V21" s="6">
        <f>K21*V$14</f>
        <v>36.232999999999997</v>
      </c>
      <c r="W21" s="6">
        <f t="shared" ref="W21:AB21" si="8">V21</f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s="6">
        <f t="shared" si="8"/>
        <v>36.232999999999997</v>
      </c>
      <c r="AB21" s="6">
        <f t="shared" si="8"/>
        <v>36.232999999999997</v>
      </c>
      <c r="AC21" t="s">
        <v>17</v>
      </c>
      <c r="AE21" s="2" t="s">
        <v>20</v>
      </c>
      <c r="AL21" s="10">
        <f t="shared" si="5"/>
        <v>3</v>
      </c>
    </row>
    <row r="22" spans="1:38" x14ac:dyDescent="0.45">
      <c r="A22">
        <v>5</v>
      </c>
      <c r="B22" t="str">
        <f t="shared" si="0"/>
        <v>high·$100·N·100%</v>
      </c>
      <c r="C22">
        <f t="shared" si="2"/>
        <v>14</v>
      </c>
      <c r="D22" t="s">
        <v>82</v>
      </c>
      <c r="E22" s="15">
        <f t="shared" ref="E22:E24" si="9">E18</f>
        <v>100</v>
      </c>
      <c r="F22" s="33" t="s">
        <v>127</v>
      </c>
      <c r="G22" s="33">
        <v>1</v>
      </c>
      <c r="U22" s="10" t="s">
        <v>25</v>
      </c>
      <c r="V22" s="6">
        <f t="shared" ref="V22:AB22" si="10">V14-SUM(V19:V21)</f>
        <v>0</v>
      </c>
      <c r="W22" s="6">
        <f t="shared" si="10"/>
        <v>86.053374999999505</v>
      </c>
      <c r="X22" s="6">
        <f t="shared" si="10"/>
        <v>87.68385999999964</v>
      </c>
      <c r="Y22" s="6">
        <f t="shared" si="10"/>
        <v>205.07877999999982</v>
      </c>
      <c r="Z22" s="6">
        <f t="shared" si="10"/>
        <v>342.03952000000027</v>
      </c>
      <c r="AA22" s="6">
        <f t="shared" si="10"/>
        <v>377.18553000000065</v>
      </c>
      <c r="AB22" s="6">
        <f t="shared" si="10"/>
        <v>479.72491999999966</v>
      </c>
      <c r="AC22" t="s">
        <v>17</v>
      </c>
      <c r="AL22" s="10">
        <f t="shared" si="5"/>
        <v>3</v>
      </c>
    </row>
    <row r="23" spans="1:38" x14ac:dyDescent="0.45">
      <c r="A23">
        <v>5</v>
      </c>
      <c r="B23" t="str">
        <f t="shared" si="0"/>
        <v>high·$200·N·100%</v>
      </c>
      <c r="C23">
        <f t="shared" si="2"/>
        <v>15</v>
      </c>
      <c r="D23" t="s">
        <v>82</v>
      </c>
      <c r="E23" s="15">
        <f t="shared" si="9"/>
        <v>200</v>
      </c>
      <c r="F23" s="33" t="s">
        <v>127</v>
      </c>
      <c r="G23" s="33">
        <v>1</v>
      </c>
      <c r="U23" s="23" t="s">
        <v>120</v>
      </c>
      <c r="V23" s="24">
        <f>U12</f>
        <v>0</v>
      </c>
      <c r="W23" s="25">
        <f>$U$12*L15</f>
        <v>0</v>
      </c>
      <c r="X23" s="25">
        <f>$U$12*M15</f>
        <v>0</v>
      </c>
      <c r="Y23" s="25">
        <f t="shared" ref="Y23:AB23" si="11">$U$12*N15</f>
        <v>0</v>
      </c>
      <c r="Z23" s="25">
        <f t="shared" si="11"/>
        <v>0</v>
      </c>
      <c r="AA23" s="25">
        <f t="shared" si="11"/>
        <v>0</v>
      </c>
      <c r="AB23" s="25">
        <f t="shared" si="11"/>
        <v>0</v>
      </c>
      <c r="AC23" s="23" t="s">
        <v>17</v>
      </c>
      <c r="AL23" s="10">
        <f t="shared" si="5"/>
        <v>3</v>
      </c>
    </row>
    <row r="24" spans="1:38" ht="14.65" customHeight="1" thickBot="1" x14ac:dyDescent="0.5">
      <c r="A24">
        <v>5</v>
      </c>
      <c r="B24" t="str">
        <f t="shared" si="0"/>
        <v>high·$300·N·100%</v>
      </c>
      <c r="C24">
        <f t="shared" si="2"/>
        <v>16</v>
      </c>
      <c r="D24" t="s">
        <v>82</v>
      </c>
      <c r="E24" s="15">
        <f t="shared" si="9"/>
        <v>300</v>
      </c>
      <c r="F24" s="33" t="s">
        <v>127</v>
      </c>
      <c r="G24" s="33">
        <v>1</v>
      </c>
      <c r="I24" s="10" t="s">
        <v>26</v>
      </c>
      <c r="J24" s="3" t="str">
        <f>VLOOKUP(E5,$M$3:$N$6,2,FALSE)</f>
        <v>C7</v>
      </c>
      <c r="K24" s="8">
        <v>0</v>
      </c>
      <c r="L24" s="8">
        <v>0</v>
      </c>
      <c r="M24" s="8">
        <f>SUMIFS(ar6_r10!$F$2:$F$999,ar6_r10!$A$2:$A$999,$J$24,ar6_r10!$C$2:$C$999,Veda!M$17,ar6_r10!$M$2:$M$999,Veda!$I24)</f>
        <v>0</v>
      </c>
      <c r="N24" s="8">
        <f>SUMIFS(ar6_r10!$F$2:$F$999,ar6_r10!$A$2:$A$999,$J$24,ar6_r10!$C$2:$C$999,Veda!N$17,ar6_r10!$M$2:$M$999,Veda!$I24)</f>
        <v>0</v>
      </c>
      <c r="O24" s="8">
        <f>SUMIFS(ar6_r10!$F$2:$F$999,ar6_r10!$A$2:$A$999,$J$24,ar6_r10!$C$2:$C$999,Veda!O$17,ar6_r10!$M$2:$M$999,Veda!$I24)</f>
        <v>0</v>
      </c>
      <c r="P24" s="8">
        <f>SUMIFS(ar6_r10!$F$2:$F$999,ar6_r10!$A$2:$A$999,$J$24,ar6_r10!$C$2:$C$999,Veda!P$17,ar6_r10!$M$2:$M$999,Veda!$I24)</f>
        <v>0</v>
      </c>
      <c r="Q24" s="8">
        <f>SUMIFS(ar6_r10!$F$2:$F$999,ar6_r10!$A$2:$A$999,$J$24,ar6_r10!$C$2:$C$999,Veda!Q$17,ar6_r10!$M$2:$M$999,Veda!$I24)</f>
        <v>0</v>
      </c>
      <c r="U24" s="26" t="s">
        <v>27</v>
      </c>
      <c r="V24" s="27"/>
      <c r="W24" s="27"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8">
        <f>P24/1000</f>
        <v>0</v>
      </c>
      <c r="AB24" s="28">
        <f>Q24/1000</f>
        <v>0</v>
      </c>
      <c r="AC24" s="29" t="s">
        <v>28</v>
      </c>
      <c r="AL24" s="10">
        <f t="shared" si="5"/>
        <v>4</v>
      </c>
    </row>
    <row r="25" spans="1:38" ht="14.65" customHeight="1" thickTop="1" x14ac:dyDescent="0.45">
      <c r="A25">
        <v>5</v>
      </c>
      <c r="B25" t="str">
        <f t="shared" si="0"/>
        <v>base·$000·Y·001%</v>
      </c>
      <c r="C25">
        <f t="shared" si="2"/>
        <v>17</v>
      </c>
      <c r="D25" t="s">
        <v>114</v>
      </c>
      <c r="E25" s="15">
        <v>0</v>
      </c>
      <c r="F25" s="33" t="s">
        <v>126</v>
      </c>
      <c r="G25" s="33">
        <v>0.01</v>
      </c>
      <c r="AL25" s="10">
        <f t="shared" si="5"/>
        <v>4</v>
      </c>
    </row>
    <row r="26" spans="1:38" ht="17.649999999999999" customHeight="1" thickBot="1" x14ac:dyDescent="0.6">
      <c r="A26">
        <v>5</v>
      </c>
      <c r="B26" t="str">
        <f t="shared" si="0"/>
        <v>base·$100·Y·001%</v>
      </c>
      <c r="C26">
        <f t="shared" si="2"/>
        <v>18</v>
      </c>
      <c r="D26" t="s">
        <v>114</v>
      </c>
      <c r="E26" s="15">
        <v>100</v>
      </c>
      <c r="F26" s="33" t="s">
        <v>126</v>
      </c>
      <c r="G26" s="33">
        <v>0.01</v>
      </c>
      <c r="U26" s="5" t="s">
        <v>12</v>
      </c>
      <c r="AL26" s="10">
        <f t="shared" si="5"/>
        <v>4</v>
      </c>
    </row>
    <row r="27" spans="1:38" ht="15" customHeight="1" thickTop="1" thickBot="1" x14ac:dyDescent="0.5">
      <c r="A27">
        <v>5</v>
      </c>
      <c r="B27" t="str">
        <f t="shared" si="0"/>
        <v>base·$200·Y·001%</v>
      </c>
      <c r="C27">
        <f t="shared" si="2"/>
        <v>19</v>
      </c>
      <c r="D27" t="s">
        <v>114</v>
      </c>
      <c r="E27" s="15">
        <v>200</v>
      </c>
      <c r="F27" s="33" t="s">
        <v>126</v>
      </c>
      <c r="G27" s="33">
        <v>0.01</v>
      </c>
      <c r="U27" s="4" t="s">
        <v>29</v>
      </c>
      <c r="V27" s="4">
        <f t="shared" ref="V27:AB27" si="12">V17</f>
        <v>2022</v>
      </c>
      <c r="W27" s="4">
        <f t="shared" si="12"/>
        <v>2025</v>
      </c>
      <c r="X27" s="4">
        <f t="shared" si="12"/>
        <v>2030</v>
      </c>
      <c r="Y27" s="4">
        <f t="shared" si="12"/>
        <v>2035</v>
      </c>
      <c r="Z27" s="4">
        <f t="shared" si="12"/>
        <v>2040</v>
      </c>
      <c r="AA27" s="4">
        <f t="shared" si="12"/>
        <v>2045</v>
      </c>
      <c r="AB27" s="4">
        <f t="shared" si="12"/>
        <v>2050</v>
      </c>
      <c r="AC27" s="4" t="s">
        <v>14</v>
      </c>
      <c r="AD27" s="4" t="s">
        <v>30</v>
      </c>
      <c r="AL27" s="10">
        <f t="shared" si="5"/>
        <v>4</v>
      </c>
    </row>
    <row r="28" spans="1:38" ht="14.65" customHeight="1" thickBot="1" x14ac:dyDescent="0.5">
      <c r="A28">
        <v>5</v>
      </c>
      <c r="B28" t="str">
        <f t="shared" si="0"/>
        <v>base·$300·Y·001%</v>
      </c>
      <c r="C28">
        <f t="shared" si="2"/>
        <v>20</v>
      </c>
      <c r="D28" t="s">
        <v>114</v>
      </c>
      <c r="E28" s="15">
        <v>300</v>
      </c>
      <c r="F28" s="33" t="s">
        <v>126</v>
      </c>
      <c r="G28" s="33">
        <v>0.01</v>
      </c>
      <c r="S28" s="3">
        <f>SUMIFS(iea_data!G3:G9999,iea_data!$B$3:$B$9999,Veda!$U$10)</f>
        <v>7.84</v>
      </c>
      <c r="U28" t="s">
        <v>31</v>
      </c>
      <c r="V28" s="3">
        <f>S28</f>
        <v>7.84</v>
      </c>
      <c r="X28" s="6"/>
      <c r="Y28" s="6"/>
      <c r="Z28" s="6"/>
      <c r="AA28" s="6"/>
      <c r="AB28" s="6"/>
      <c r="AC28" t="s">
        <v>32</v>
      </c>
      <c r="AD28" t="s">
        <v>33</v>
      </c>
      <c r="AL28" s="10">
        <f t="shared" si="5"/>
        <v>4</v>
      </c>
    </row>
    <row r="29" spans="1:38" ht="15" customHeight="1" thickTop="1" thickBot="1" x14ac:dyDescent="0.5">
      <c r="A29">
        <v>5</v>
      </c>
      <c r="B29" t="str">
        <f t="shared" si="0"/>
        <v>high·$000·Y·001%</v>
      </c>
      <c r="C29">
        <f t="shared" si="2"/>
        <v>21</v>
      </c>
      <c r="D29" t="s">
        <v>82</v>
      </c>
      <c r="E29" s="15">
        <f>E25</f>
        <v>0</v>
      </c>
      <c r="F29" s="33" t="s">
        <v>126</v>
      </c>
      <c r="G29" s="33">
        <v>0.01</v>
      </c>
      <c r="S29" s="3">
        <f>SUMIFS(iea_data!H3:H9999,iea_data!$B$3:$B$9999,Veda!$U$10)</f>
        <v>-10.25</v>
      </c>
      <c r="U29" t="s">
        <v>34</v>
      </c>
      <c r="V29" s="3">
        <f>-1*S29</f>
        <v>10.25</v>
      </c>
      <c r="X29" s="6"/>
      <c r="Y29" s="6"/>
      <c r="Z29" s="6"/>
      <c r="AA29" s="6"/>
      <c r="AB29" s="6"/>
      <c r="AC29" t="s">
        <v>32</v>
      </c>
      <c r="AD29" t="s">
        <v>33</v>
      </c>
      <c r="AL29" s="10">
        <f t="shared" si="5"/>
        <v>5</v>
      </c>
    </row>
    <row r="30" spans="1:38" ht="14.65" customHeight="1" thickTop="1" x14ac:dyDescent="0.45">
      <c r="A30">
        <v>5</v>
      </c>
      <c r="B30" t="str">
        <f t="shared" si="0"/>
        <v>high·$100·Y·001%</v>
      </c>
      <c r="C30">
        <f t="shared" si="2"/>
        <v>22</v>
      </c>
      <c r="D30" t="s">
        <v>82</v>
      </c>
      <c r="E30" s="15">
        <f t="shared" ref="E30:E32" si="13">E26</f>
        <v>100</v>
      </c>
      <c r="F30" s="33" t="s">
        <v>126</v>
      </c>
      <c r="G30" s="33">
        <v>0.01</v>
      </c>
      <c r="AL30" s="10">
        <f t="shared" si="5"/>
        <v>5</v>
      </c>
    </row>
    <row r="31" spans="1:38" x14ac:dyDescent="0.45">
      <c r="A31">
        <v>5</v>
      </c>
      <c r="B31" t="str">
        <f t="shared" si="0"/>
        <v>high·$200·Y·001%</v>
      </c>
      <c r="C31">
        <f t="shared" si="2"/>
        <v>23</v>
      </c>
      <c r="D31" t="s">
        <v>82</v>
      </c>
      <c r="E31" s="15">
        <f t="shared" si="13"/>
        <v>200</v>
      </c>
      <c r="F31" s="33" t="s">
        <v>126</v>
      </c>
      <c r="G31" s="33">
        <v>0.01</v>
      </c>
      <c r="AL31" s="10">
        <f t="shared" si="5"/>
        <v>5</v>
      </c>
    </row>
    <row r="32" spans="1:38" x14ac:dyDescent="0.45">
      <c r="A32">
        <v>5</v>
      </c>
      <c r="B32" t="str">
        <f t="shared" si="0"/>
        <v>high·$300·Y·001%</v>
      </c>
      <c r="C32">
        <f t="shared" si="2"/>
        <v>24</v>
      </c>
      <c r="D32" t="s">
        <v>82</v>
      </c>
      <c r="E32" s="15">
        <f t="shared" si="13"/>
        <v>300</v>
      </c>
      <c r="F32" s="33" t="s">
        <v>126</v>
      </c>
      <c r="G32" s="33">
        <v>0.01</v>
      </c>
      <c r="AL32" s="10">
        <f t="shared" si="5"/>
        <v>5</v>
      </c>
    </row>
    <row r="33" spans="1:38" x14ac:dyDescent="0.45">
      <c r="A33">
        <v>5</v>
      </c>
      <c r="B33" t="str">
        <f t="shared" si="0"/>
        <v>base·$000·N·001%</v>
      </c>
      <c r="C33">
        <f t="shared" si="2"/>
        <v>25</v>
      </c>
      <c r="D33" t="s">
        <v>114</v>
      </c>
      <c r="E33" s="15">
        <v>0</v>
      </c>
      <c r="F33" s="33" t="s">
        <v>127</v>
      </c>
      <c r="G33" s="33">
        <v>0.01</v>
      </c>
      <c r="AL33" s="10">
        <f t="shared" si="5"/>
        <v>5</v>
      </c>
    </row>
    <row r="34" spans="1:38" x14ac:dyDescent="0.45">
      <c r="A34">
        <v>5</v>
      </c>
      <c r="B34" t="str">
        <f t="shared" si="0"/>
        <v>base·$100·N·001%</v>
      </c>
      <c r="C34">
        <f t="shared" si="2"/>
        <v>26</v>
      </c>
      <c r="D34" t="s">
        <v>114</v>
      </c>
      <c r="E34" s="15">
        <v>100</v>
      </c>
      <c r="F34" s="33" t="s">
        <v>127</v>
      </c>
      <c r="G34" s="33">
        <v>0.01</v>
      </c>
      <c r="AL34" s="10">
        <f t="shared" si="5"/>
        <v>6</v>
      </c>
    </row>
    <row r="35" spans="1:38" x14ac:dyDescent="0.45">
      <c r="A35">
        <v>5</v>
      </c>
      <c r="B35" t="str">
        <f t="shared" si="0"/>
        <v>base·$200·N·001%</v>
      </c>
      <c r="C35">
        <f t="shared" si="2"/>
        <v>27</v>
      </c>
      <c r="D35" t="s">
        <v>114</v>
      </c>
      <c r="E35" s="15">
        <v>200</v>
      </c>
      <c r="F35" s="33" t="s">
        <v>127</v>
      </c>
      <c r="G35" s="33">
        <v>0.01</v>
      </c>
      <c r="AL35" s="10">
        <f t="shared" si="5"/>
        <v>6</v>
      </c>
    </row>
    <row r="36" spans="1:38" x14ac:dyDescent="0.45">
      <c r="A36">
        <v>5</v>
      </c>
      <c r="B36" t="str">
        <f t="shared" si="0"/>
        <v>base·$300·N·001%</v>
      </c>
      <c r="C36">
        <f t="shared" si="2"/>
        <v>28</v>
      </c>
      <c r="D36" t="s">
        <v>114</v>
      </c>
      <c r="E36" s="15">
        <v>300</v>
      </c>
      <c r="F36" s="33" t="s">
        <v>127</v>
      </c>
      <c r="G36" s="33">
        <v>0.01</v>
      </c>
      <c r="I36" s="2" t="s">
        <v>9</v>
      </c>
      <c r="AL36" s="10">
        <f t="shared" si="5"/>
        <v>6</v>
      </c>
    </row>
    <row r="37" spans="1:38" x14ac:dyDescent="0.45">
      <c r="A37">
        <v>5</v>
      </c>
      <c r="B37" t="str">
        <f t="shared" si="0"/>
        <v>high·$000·N·001%</v>
      </c>
      <c r="C37">
        <f t="shared" si="2"/>
        <v>29</v>
      </c>
      <c r="D37" t="s">
        <v>82</v>
      </c>
      <c r="E37" s="15">
        <f>E33</f>
        <v>0</v>
      </c>
      <c r="F37" s="33" t="s">
        <v>127</v>
      </c>
      <c r="G37" s="33">
        <v>0.01</v>
      </c>
      <c r="I37" t="s">
        <v>73</v>
      </c>
      <c r="K37" s="11">
        <f>SUMIFS(ar6_r10!$F$2:$F$999,ar6_r10!$A$2:$A$999,Veda!$I$36,ar6_r10!$C$2:$C$999,Veda!K$17,ar6_r10!$M$2:$M$999,Veda!$I37)</f>
        <v>1</v>
      </c>
      <c r="L37" s="11">
        <f>SUMIFS(ar6_r10!$F$2:$F$999,ar6_r10!$A$2:$A$999,Veda!$I$36,ar6_r10!$C$2:$C$999,Veda!L$17,ar6_r10!$M$2:$M$999,Veda!$I37)</f>
        <v>1.1100000000000001</v>
      </c>
      <c r="M37" s="11">
        <f>SUMIFS(ar6_r10!$F$2:$F$999,ar6_r10!$A$2:$A$999,Veda!$I$36,ar6_r10!$C$2:$C$999,Veda!M$17,ar6_r10!$M$2:$M$999,Veda!$I37)</f>
        <v>1.21</v>
      </c>
      <c r="N37" s="11">
        <f>SUMIFS(ar6_r10!$F$2:$F$999,ar6_r10!$A$2:$A$999,Veda!$I$36,ar6_r10!$C$2:$C$999,Veda!N$17,ar6_r10!$M$2:$M$999,Veda!$I37)</f>
        <v>1.1599999999999999</v>
      </c>
      <c r="O37" s="11">
        <f>SUMIFS(ar6_r10!$F$2:$F$999,ar6_r10!$A$2:$A$999,Veda!$I$36,ar6_r10!$C$2:$C$999,Veda!O$17,ar6_r10!$M$2:$M$999,Veda!$I37)</f>
        <v>1.36</v>
      </c>
      <c r="P37" s="11">
        <f>SUMIFS(ar6_r10!$F$2:$F$999,ar6_r10!$A$2:$A$999,Veda!$I$36,ar6_r10!$C$2:$C$999,Veda!P$17,ar6_r10!$M$2:$M$999,Veda!$I37)</f>
        <v>1.4</v>
      </c>
      <c r="Q37" s="11">
        <f>SUMIFS(ar6_r10!$F$2:$F$999,ar6_r10!$A$2:$A$999,Veda!$I$36,ar6_r10!$C$2:$C$999,Veda!Q$17,ar6_r10!$M$2:$M$999,Veda!$I37)</f>
        <v>1.44</v>
      </c>
      <c r="AL37" s="10">
        <f t="shared" si="5"/>
        <v>6</v>
      </c>
    </row>
    <row r="38" spans="1:38" x14ac:dyDescent="0.45">
      <c r="A38">
        <v>5</v>
      </c>
      <c r="B38" t="str">
        <f t="shared" si="0"/>
        <v>high·$100·N·001%</v>
      </c>
      <c r="C38">
        <f t="shared" si="2"/>
        <v>30</v>
      </c>
      <c r="D38" t="s">
        <v>82</v>
      </c>
      <c r="E38" s="15">
        <f t="shared" ref="E38:E40" si="14">E34</f>
        <v>100</v>
      </c>
      <c r="F38" s="33" t="s">
        <v>127</v>
      </c>
      <c r="G38" s="33">
        <v>0.01</v>
      </c>
      <c r="I38" t="s">
        <v>74</v>
      </c>
      <c r="K38" s="11">
        <f>SUMIFS(ar6_r10!$F$2:$F$999,ar6_r10!$A$2:$A$999,Veda!$I$36,ar6_r10!$C$2:$C$999,Veda!K$17,ar6_r10!$M$2:$M$999,Veda!$I38)</f>
        <v>1</v>
      </c>
      <c r="L38" s="11">
        <f>SUMIFS(ar6_r10!$F$2:$F$999,ar6_r10!$A$2:$A$999,Veda!$I$36,ar6_r10!$C$2:$C$999,Veda!L$17,ar6_r10!$M$2:$M$999,Veda!$I38)</f>
        <v>1.07</v>
      </c>
      <c r="M38" s="11">
        <f>SUMIFS(ar6_r10!$F$2:$F$999,ar6_r10!$A$2:$A$999,Veda!$I$36,ar6_r10!$C$2:$C$999,Veda!M$17,ar6_r10!$M$2:$M$999,Veda!$I38)</f>
        <v>1.17</v>
      </c>
      <c r="N38" s="11">
        <f>SUMIFS(ar6_r10!$F$2:$F$999,ar6_r10!$A$2:$A$999,Veda!$I$36,ar6_r10!$C$2:$C$999,Veda!N$17,ar6_r10!$M$2:$M$999,Veda!$I38)</f>
        <v>1.21</v>
      </c>
      <c r="O38" s="11">
        <f>SUMIFS(ar6_r10!$F$2:$F$999,ar6_r10!$A$2:$A$999,Veda!$I$36,ar6_r10!$C$2:$C$999,Veda!O$17,ar6_r10!$M$2:$M$999,Veda!$I38)</f>
        <v>1.37</v>
      </c>
      <c r="P38" s="11">
        <f>SUMIFS(ar6_r10!$F$2:$F$999,ar6_r10!$A$2:$A$999,Veda!$I$36,ar6_r10!$C$2:$C$999,Veda!P$17,ar6_r10!$M$2:$M$999,Veda!$I38)</f>
        <v>1.33</v>
      </c>
      <c r="Q38" s="11">
        <f>SUMIFS(ar6_r10!$F$2:$F$999,ar6_r10!$A$2:$A$999,Veda!$I$36,ar6_r10!$C$2:$C$999,Veda!Q$17,ar6_r10!$M$2:$M$999,Veda!$I38)</f>
        <v>1.52</v>
      </c>
      <c r="AL38" s="10">
        <f t="shared" si="5"/>
        <v>6</v>
      </c>
    </row>
    <row r="39" spans="1:38" x14ac:dyDescent="0.45">
      <c r="A39">
        <v>5</v>
      </c>
      <c r="B39" t="str">
        <f t="shared" si="0"/>
        <v>high·$200·N·001%</v>
      </c>
      <c r="C39">
        <f t="shared" si="2"/>
        <v>31</v>
      </c>
      <c r="D39" t="s">
        <v>82</v>
      </c>
      <c r="E39" s="15">
        <f t="shared" si="14"/>
        <v>200</v>
      </c>
      <c r="F39" s="33" t="s">
        <v>127</v>
      </c>
      <c r="G39" s="33">
        <v>0.01</v>
      </c>
      <c r="I39" t="s">
        <v>75</v>
      </c>
      <c r="K39" s="11">
        <f>SUMIFS(ar6_r10!$F$2:$F$999,ar6_r10!$A$2:$A$999,Veda!$I$36,ar6_r10!$C$2:$C$999,Veda!K$17,ar6_r10!$M$2:$M$999,Veda!$I39)</f>
        <v>1</v>
      </c>
      <c r="L39" s="11">
        <f>SUMIFS(ar6_r10!$F$2:$F$999,ar6_r10!$A$2:$A$999,Veda!$I$36,ar6_r10!$C$2:$C$999,Veda!L$17,ar6_r10!$M$2:$M$999,Veda!$I39)</f>
        <v>1.43</v>
      </c>
      <c r="M39" s="11">
        <f>SUMIFS(ar6_r10!$F$2:$F$999,ar6_r10!$A$2:$A$999,Veda!$I$36,ar6_r10!$C$2:$C$999,Veda!M$17,ar6_r10!$M$2:$M$999,Veda!$I39)</f>
        <v>1.58</v>
      </c>
      <c r="N39" s="11">
        <f>SUMIFS(ar6_r10!$F$2:$F$999,ar6_r10!$A$2:$A$999,Veda!$I$36,ar6_r10!$C$2:$C$999,Veda!N$17,ar6_r10!$M$2:$M$999,Veda!$I39)</f>
        <v>1.53</v>
      </c>
      <c r="O39" s="11">
        <f>SUMIFS(ar6_r10!$F$2:$F$999,ar6_r10!$A$2:$A$999,Veda!$I$36,ar6_r10!$C$2:$C$999,Veda!O$17,ar6_r10!$M$2:$M$999,Veda!$I39)</f>
        <v>1.74</v>
      </c>
      <c r="P39" s="11">
        <f>SUMIFS(ar6_r10!$F$2:$F$999,ar6_r10!$A$2:$A$999,Veda!$I$36,ar6_r10!$C$2:$C$999,Veda!P$17,ar6_r10!$M$2:$M$999,Veda!$I39)</f>
        <v>1.94</v>
      </c>
      <c r="Q39" s="11">
        <f>SUMIFS(ar6_r10!$F$2:$F$999,ar6_r10!$A$2:$A$999,Veda!$I$36,ar6_r10!$C$2:$C$999,Veda!Q$17,ar6_r10!$M$2:$M$999,Veda!$I39)</f>
        <v>2.2000000000000002</v>
      </c>
      <c r="AL39" s="10">
        <f t="shared" si="5"/>
        <v>7</v>
      </c>
    </row>
    <row r="40" spans="1:38" x14ac:dyDescent="0.45">
      <c r="A40">
        <v>5</v>
      </c>
      <c r="B40" t="str">
        <f t="shared" si="0"/>
        <v>high·$300·N·001%</v>
      </c>
      <c r="C40">
        <f t="shared" si="2"/>
        <v>32</v>
      </c>
      <c r="D40" t="s">
        <v>82</v>
      </c>
      <c r="E40" s="15">
        <f t="shared" si="14"/>
        <v>300</v>
      </c>
      <c r="F40" s="33" t="s">
        <v>127</v>
      </c>
      <c r="G40" s="33">
        <v>0.01</v>
      </c>
      <c r="I40" t="s">
        <v>76</v>
      </c>
      <c r="K40" s="11">
        <f>SUMIFS(ar6_r10!$F$2:$F$999,ar6_r10!$A$2:$A$999,Veda!$I$36,ar6_r10!$C$2:$C$999,Veda!K$17,ar6_r10!$M$2:$M$999,Veda!$I40)</f>
        <v>1</v>
      </c>
      <c r="L40" s="11">
        <f>SUMIFS(ar6_r10!$F$2:$F$999,ar6_r10!$A$2:$A$999,Veda!$I$36,ar6_r10!$C$2:$C$999,Veda!L$17,ar6_r10!$M$2:$M$999,Veda!$I40)</f>
        <v>1.05</v>
      </c>
      <c r="M40" s="11">
        <f>SUMIFS(ar6_r10!$F$2:$F$999,ar6_r10!$A$2:$A$999,Veda!$I$36,ar6_r10!$C$2:$C$999,Veda!M$17,ar6_r10!$M$2:$M$999,Veda!$I40)</f>
        <v>1.06</v>
      </c>
      <c r="N40" s="11">
        <f>SUMIFS(ar6_r10!$F$2:$F$999,ar6_r10!$A$2:$A$999,Veda!$I$36,ar6_r10!$C$2:$C$999,Veda!N$17,ar6_r10!$M$2:$M$999,Veda!$I40)</f>
        <v>1.04</v>
      </c>
      <c r="O40" s="11">
        <f>SUMIFS(ar6_r10!$F$2:$F$999,ar6_r10!$A$2:$A$999,Veda!$I$36,ar6_r10!$C$2:$C$999,Veda!O$17,ar6_r10!$M$2:$M$999,Veda!$I40)</f>
        <v>1</v>
      </c>
      <c r="P40" s="11">
        <f>SUMIFS(ar6_r10!$F$2:$F$999,ar6_r10!$A$2:$A$999,Veda!$I$36,ar6_r10!$C$2:$C$999,Veda!P$17,ar6_r10!$M$2:$M$999,Veda!$I40)</f>
        <v>0.95</v>
      </c>
      <c r="Q40" s="11">
        <f>SUMIFS(ar6_r10!$F$2:$F$999,ar6_r10!$A$2:$A$999,Veda!$I$36,ar6_r10!$C$2:$C$999,Veda!Q$17,ar6_r10!$M$2:$M$999,Veda!$I40)</f>
        <v>0.93</v>
      </c>
      <c r="AL40" s="10">
        <f t="shared" si="5"/>
        <v>7</v>
      </c>
    </row>
    <row r="41" spans="1:38" x14ac:dyDescent="0.45">
      <c r="AL41" s="10">
        <f t="shared" si="5"/>
        <v>7</v>
      </c>
    </row>
    <row r="42" spans="1:38" x14ac:dyDescent="0.45">
      <c r="AL42" s="10">
        <f t="shared" si="5"/>
        <v>7</v>
      </c>
    </row>
    <row r="43" spans="1:38" x14ac:dyDescent="0.45">
      <c r="I43" t="s">
        <v>101</v>
      </c>
      <c r="AL43" s="10">
        <f t="shared" si="5"/>
        <v>7</v>
      </c>
    </row>
    <row r="44" spans="1:38" x14ac:dyDescent="0.45">
      <c r="I44" t="s">
        <v>13</v>
      </c>
      <c r="J44" t="s">
        <v>86</v>
      </c>
      <c r="K44">
        <v>2022</v>
      </c>
      <c r="L44">
        <f>L17</f>
        <v>2025</v>
      </c>
      <c r="M44">
        <f t="shared" ref="M44:Q44" si="15">M17</f>
        <v>2030</v>
      </c>
      <c r="N44">
        <f t="shared" si="15"/>
        <v>2035</v>
      </c>
      <c r="O44">
        <f t="shared" si="15"/>
        <v>2040</v>
      </c>
      <c r="P44">
        <f t="shared" si="15"/>
        <v>2045</v>
      </c>
      <c r="Q44">
        <f t="shared" si="15"/>
        <v>2050</v>
      </c>
      <c r="T44" t="s">
        <v>81</v>
      </c>
      <c r="U44" t="s">
        <v>82</v>
      </c>
      <c r="AL44" s="10">
        <f t="shared" si="5"/>
        <v>8</v>
      </c>
    </row>
    <row r="45" spans="1:38" x14ac:dyDescent="0.45">
      <c r="I45" t="s">
        <v>77</v>
      </c>
      <c r="J45" t="str">
        <f>I45</f>
        <v>Gas</v>
      </c>
      <c r="K45">
        <f t="shared" ref="K45:Q48" si="16">AVERAGE($T45:$U45)*K37</f>
        <v>36</v>
      </c>
      <c r="L45">
        <f t="shared" si="16"/>
        <v>39.96</v>
      </c>
      <c r="M45">
        <f t="shared" si="16"/>
        <v>43.56</v>
      </c>
      <c r="N45">
        <f t="shared" si="16"/>
        <v>41.76</v>
      </c>
      <c r="O45">
        <f t="shared" si="16"/>
        <v>48.96</v>
      </c>
      <c r="P45">
        <f t="shared" si="16"/>
        <v>50.4</v>
      </c>
      <c r="Q45">
        <f t="shared" si="16"/>
        <v>51.839999999999996</v>
      </c>
      <c r="T45">
        <f>HLOOKUP($I45&amp;"_"&amp;T$44,fuel_prices!$B$10:$I$11,2,FALSE)</f>
        <v>30.9</v>
      </c>
      <c r="U45">
        <f>HLOOKUP($I45&amp;"_"&amp;U$44,fuel_prices!$B$10:$I$11,2,FALSE)</f>
        <v>41.1</v>
      </c>
      <c r="AL45" s="10">
        <f t="shared" si="5"/>
        <v>8</v>
      </c>
    </row>
    <row r="46" spans="1:38" x14ac:dyDescent="0.45">
      <c r="I46" t="s">
        <v>78</v>
      </c>
      <c r="J46" t="str">
        <f t="shared" ref="J46:J48" si="17">I46</f>
        <v>Coal</v>
      </c>
      <c r="K46">
        <f t="shared" si="16"/>
        <v>9.8000000000000007</v>
      </c>
      <c r="L46">
        <f t="shared" si="16"/>
        <v>10.486000000000001</v>
      </c>
      <c r="M46">
        <f t="shared" si="16"/>
        <v>11.465999999999999</v>
      </c>
      <c r="N46">
        <f t="shared" si="16"/>
        <v>11.858000000000001</v>
      </c>
      <c r="O46">
        <f t="shared" si="16"/>
        <v>13.426000000000002</v>
      </c>
      <c r="P46">
        <f t="shared" si="16"/>
        <v>13.034000000000002</v>
      </c>
      <c r="Q46">
        <f t="shared" si="16"/>
        <v>14.896000000000001</v>
      </c>
      <c r="T46">
        <f>HLOOKUP($I46&amp;"_"&amp;T$44,fuel_prices!$B$10:$I$11,2,FALSE)</f>
        <v>8.6</v>
      </c>
      <c r="U46">
        <f>HLOOKUP($I46&amp;"_"&amp;U$44,fuel_prices!$B$10:$I$11,2,FALSE)</f>
        <v>11</v>
      </c>
      <c r="AL46" s="10">
        <f t="shared" si="5"/>
        <v>8</v>
      </c>
    </row>
    <row r="47" spans="1:38" x14ac:dyDescent="0.45">
      <c r="I47" t="s">
        <v>79</v>
      </c>
      <c r="J47" t="str">
        <f t="shared" si="17"/>
        <v>Oil</v>
      </c>
      <c r="K47">
        <f t="shared" si="16"/>
        <v>50</v>
      </c>
      <c r="L47">
        <f t="shared" si="16"/>
        <v>71.5</v>
      </c>
      <c r="M47">
        <f t="shared" si="16"/>
        <v>79</v>
      </c>
      <c r="N47">
        <f t="shared" si="16"/>
        <v>76.5</v>
      </c>
      <c r="O47">
        <f t="shared" si="16"/>
        <v>87</v>
      </c>
      <c r="P47">
        <f t="shared" si="16"/>
        <v>97</v>
      </c>
      <c r="Q47">
        <f t="shared" si="16"/>
        <v>110.00000000000001</v>
      </c>
      <c r="T47">
        <f>HLOOKUP($I47&amp;"_"&amp;T$44,fuel_prices!$B$10:$I$11,2,FALSE)</f>
        <v>45</v>
      </c>
      <c r="U47">
        <f>HLOOKUP($I47&amp;"_"&amp;U$44,fuel_prices!$B$10:$I$11,2,FALSE)</f>
        <v>55</v>
      </c>
      <c r="AL47" s="10">
        <f t="shared" si="5"/>
        <v>8</v>
      </c>
    </row>
    <row r="48" spans="1:38" x14ac:dyDescent="0.45">
      <c r="I48" t="s">
        <v>80</v>
      </c>
      <c r="J48" t="str">
        <f t="shared" si="17"/>
        <v>Bioenergy</v>
      </c>
      <c r="K48">
        <f t="shared" si="16"/>
        <v>18.5</v>
      </c>
      <c r="Q48">
        <f>K48*2.5</f>
        <v>46.25</v>
      </c>
      <c r="T48">
        <f>HLOOKUP($I48&amp;"_"&amp;T$44,fuel_prices!$B$10:$I$11,2,FALSE)</f>
        <v>15</v>
      </c>
      <c r="U48">
        <f>HLOOKUP($I48&amp;"_"&amp;U$44,fuel_prices!$B$10:$I$11,2,FALSE)</f>
        <v>22</v>
      </c>
      <c r="AL48" s="10">
        <f t="shared" si="5"/>
        <v>8</v>
      </c>
    </row>
    <row r="49" spans="38:38" x14ac:dyDescent="0.45">
      <c r="AL49" s="10">
        <f t="shared" si="5"/>
        <v>9</v>
      </c>
    </row>
    <row r="50" spans="38:38" x14ac:dyDescent="0.45">
      <c r="AL50" s="10">
        <f t="shared" si="5"/>
        <v>9</v>
      </c>
    </row>
    <row r="51" spans="38:38" x14ac:dyDescent="0.45">
      <c r="AL51" s="10">
        <f t="shared" si="5"/>
        <v>9</v>
      </c>
    </row>
    <row r="52" spans="38:38" x14ac:dyDescent="0.45">
      <c r="AL52" s="10">
        <f t="shared" si="5"/>
        <v>9</v>
      </c>
    </row>
    <row r="53" spans="38:38" x14ac:dyDescent="0.45">
      <c r="AL53" s="10">
        <f t="shared" si="5"/>
        <v>9</v>
      </c>
    </row>
    <row r="54" spans="38:38" x14ac:dyDescent="0.45">
      <c r="AL54" s="10">
        <f t="shared" si="5"/>
        <v>10</v>
      </c>
    </row>
    <row r="55" spans="38:38" x14ac:dyDescent="0.45">
      <c r="AL55" s="10">
        <f t="shared" si="5"/>
        <v>10</v>
      </c>
    </row>
    <row r="56" spans="38:38" x14ac:dyDescent="0.45">
      <c r="AL56" s="10">
        <f t="shared" si="5"/>
        <v>10</v>
      </c>
    </row>
    <row r="57" spans="38:38" x14ac:dyDescent="0.45">
      <c r="AL57" s="10">
        <f t="shared" si="5"/>
        <v>10</v>
      </c>
    </row>
    <row r="58" spans="38:38" x14ac:dyDescent="0.45">
      <c r="AL58" s="10">
        <f t="shared" si="5"/>
        <v>10</v>
      </c>
    </row>
    <row r="59" spans="38:38" x14ac:dyDescent="0.45">
      <c r="AL59" s="10">
        <f t="shared" si="5"/>
        <v>11</v>
      </c>
    </row>
    <row r="60" spans="38:38" x14ac:dyDescent="0.45">
      <c r="AL60" s="10">
        <f t="shared" si="5"/>
        <v>11</v>
      </c>
    </row>
    <row r="61" spans="38:38" x14ac:dyDescent="0.45">
      <c r="AL61" s="10">
        <f t="shared" si="5"/>
        <v>11</v>
      </c>
    </row>
    <row r="62" spans="38:38" x14ac:dyDescent="0.45">
      <c r="AL62" s="10">
        <f t="shared" si="5"/>
        <v>11</v>
      </c>
    </row>
    <row r="63" spans="38:38" x14ac:dyDescent="0.45">
      <c r="AL63" s="10">
        <f t="shared" si="5"/>
        <v>11</v>
      </c>
    </row>
    <row r="64" spans="38:38" x14ac:dyDescent="0.45">
      <c r="AL64" s="10">
        <f t="shared" si="5"/>
        <v>12</v>
      </c>
    </row>
    <row r="65" spans="38:38" x14ac:dyDescent="0.45">
      <c r="AL65" s="10">
        <f t="shared" si="5"/>
        <v>12</v>
      </c>
    </row>
    <row r="66" spans="38:38" x14ac:dyDescent="0.45">
      <c r="AL66" s="10">
        <f t="shared" si="5"/>
        <v>12</v>
      </c>
    </row>
    <row r="67" spans="38:38" x14ac:dyDescent="0.45">
      <c r="AL67" s="10">
        <f t="shared" si="5"/>
        <v>12</v>
      </c>
    </row>
    <row r="68" spans="38:38" x14ac:dyDescent="0.45">
      <c r="AL68" s="10">
        <f t="shared" si="5"/>
        <v>12</v>
      </c>
    </row>
    <row r="69" spans="38:38" x14ac:dyDescent="0.45">
      <c r="AL69" s="10">
        <f t="shared" si="5"/>
        <v>13</v>
      </c>
    </row>
    <row r="70" spans="38:38" x14ac:dyDescent="0.45">
      <c r="AL70" s="10">
        <f t="shared" si="5"/>
        <v>13</v>
      </c>
    </row>
    <row r="71" spans="38:38" x14ac:dyDescent="0.45">
      <c r="AL71" s="10">
        <f t="shared" si="5"/>
        <v>13</v>
      </c>
    </row>
    <row r="72" spans="38:38" x14ac:dyDescent="0.45">
      <c r="AL72" s="10">
        <f t="shared" si="5"/>
        <v>13</v>
      </c>
    </row>
    <row r="73" spans="38:38" x14ac:dyDescent="0.45">
      <c r="AL73" s="10">
        <f t="shared" si="5"/>
        <v>13</v>
      </c>
    </row>
    <row r="74" spans="38:38" x14ac:dyDescent="0.45">
      <c r="AL74" s="10">
        <f t="shared" si="5"/>
        <v>14</v>
      </c>
    </row>
    <row r="75" spans="38:38" x14ac:dyDescent="0.45">
      <c r="AL75" s="10">
        <f t="shared" si="5"/>
        <v>14</v>
      </c>
    </row>
    <row r="76" spans="38:38" x14ac:dyDescent="0.45">
      <c r="AL76" s="10">
        <f t="shared" si="5"/>
        <v>14</v>
      </c>
    </row>
    <row r="77" spans="38:38" x14ac:dyDescent="0.45">
      <c r="AL77" s="10">
        <f t="shared" si="5"/>
        <v>14</v>
      </c>
    </row>
    <row r="78" spans="38:38" x14ac:dyDescent="0.45">
      <c r="AL78" s="10">
        <f t="shared" si="5"/>
        <v>14</v>
      </c>
    </row>
    <row r="82" spans="1:8" ht="14.65" thickBot="1" x14ac:dyDescent="0.5">
      <c r="A82" s="12" t="s">
        <v>117</v>
      </c>
    </row>
    <row r="83" spans="1:8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/>
      <c r="G83" s="16"/>
      <c r="H83" s="16" t="s">
        <v>14</v>
      </c>
    </row>
    <row r="84" spans="1:8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8"/>
      <c r="G84" s="18"/>
      <c r="H84" s="17" t="s">
        <v>119</v>
      </c>
    </row>
    <row r="85" spans="1:8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20"/>
      <c r="G85" s="20"/>
      <c r="H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5270F-E5C6-4B02-8A48-7D871D6014E5}">
  <dimension ref="A1:G22"/>
  <sheetViews>
    <sheetView workbookViewId="0">
      <selection activeCell="C21" sqref="C21"/>
    </sheetView>
  </sheetViews>
  <sheetFormatPr defaultRowHeight="14.25" x14ac:dyDescent="0.45"/>
  <cols>
    <col min="3" max="3" width="20.6640625" bestFit="1" customWidth="1"/>
  </cols>
  <sheetData>
    <row r="1" spans="1:7" x14ac:dyDescent="0.45">
      <c r="A1" t="str">
        <f>Veda!$F$5</f>
        <v>Y</v>
      </c>
    </row>
    <row r="2" spans="1:7" x14ac:dyDescent="0.45">
      <c r="A2">
        <f>Veda!$G$5</f>
        <v>1</v>
      </c>
    </row>
    <row r="3" spans="1:7" x14ac:dyDescent="0.45">
      <c r="C3" t="str">
        <f>IF($A$1="Y","DEF active","~TFM_UPD")</f>
        <v>DEF active</v>
      </c>
    </row>
    <row r="4" spans="1:7" x14ac:dyDescent="0.45">
      <c r="C4" t="s">
        <v>14</v>
      </c>
      <c r="D4" t="s">
        <v>13</v>
      </c>
      <c r="E4" t="s">
        <v>29</v>
      </c>
      <c r="F4" t="s">
        <v>128</v>
      </c>
    </row>
    <row r="5" spans="1:7" x14ac:dyDescent="0.45">
      <c r="C5" t="s">
        <v>129</v>
      </c>
      <c r="D5" t="s">
        <v>130</v>
      </c>
      <c r="F5">
        <v>0</v>
      </c>
    </row>
    <row r="8" spans="1:7" x14ac:dyDescent="0.45">
      <c r="C8" t="str">
        <f>IF($A$1="Y","DEF active","~TFM_INS: limtype=LO")</f>
        <v>DEF active</v>
      </c>
    </row>
    <row r="9" spans="1:7" x14ac:dyDescent="0.45">
      <c r="C9" t="s">
        <v>14</v>
      </c>
      <c r="D9" t="s">
        <v>131</v>
      </c>
      <c r="E9" t="s">
        <v>36</v>
      </c>
      <c r="F9" t="s">
        <v>128</v>
      </c>
      <c r="G9" t="s">
        <v>132</v>
      </c>
    </row>
    <row r="10" spans="1:7" x14ac:dyDescent="0.45">
      <c r="C10" t="s">
        <v>133</v>
      </c>
      <c r="D10" t="s">
        <v>134</v>
      </c>
      <c r="E10">
        <v>0</v>
      </c>
      <c r="F10">
        <v>-13</v>
      </c>
      <c r="G10" t="s">
        <v>135</v>
      </c>
    </row>
    <row r="11" spans="1:7" x14ac:dyDescent="0.45">
      <c r="C11" t="s">
        <v>136</v>
      </c>
      <c r="E11">
        <v>0</v>
      </c>
      <c r="F11">
        <v>-13</v>
      </c>
      <c r="G11" t="s">
        <v>137</v>
      </c>
    </row>
    <row r="14" spans="1:7" x14ac:dyDescent="0.45">
      <c r="C14" t="str">
        <f>IF($A$1="Y","DEF active","~TFM_UPD")</f>
        <v>DEF active</v>
      </c>
    </row>
    <row r="15" spans="1:7" x14ac:dyDescent="0.45">
      <c r="C15" t="s">
        <v>14</v>
      </c>
      <c r="D15" t="s">
        <v>141</v>
      </c>
      <c r="E15" t="s">
        <v>138</v>
      </c>
      <c r="F15" t="s">
        <v>128</v>
      </c>
    </row>
    <row r="16" spans="1:7" x14ac:dyDescent="0.45">
      <c r="C16" t="s">
        <v>140</v>
      </c>
      <c r="D16" t="s">
        <v>139</v>
      </c>
      <c r="E16" t="s">
        <v>139</v>
      </c>
      <c r="F16">
        <v>0</v>
      </c>
    </row>
    <row r="20" spans="3:5" x14ac:dyDescent="0.45">
      <c r="C20" t="str">
        <f>IF($A$2=1,"Tx cost 100%","~TFM_UPD")</f>
        <v>Tx cost 100%</v>
      </c>
    </row>
    <row r="21" spans="3:5" x14ac:dyDescent="0.45">
      <c r="C21" t="s">
        <v>14</v>
      </c>
      <c r="D21" t="s">
        <v>128</v>
      </c>
      <c r="E21" t="s">
        <v>144</v>
      </c>
    </row>
    <row r="22" spans="3:5" x14ac:dyDescent="0.45">
      <c r="C22" t="s">
        <v>143</v>
      </c>
      <c r="D22" t="str">
        <f>"*"&amp;A2</f>
        <v>*1</v>
      </c>
      <c r="E22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121</v>
      </c>
      <c r="K10" t="s">
        <v>116</v>
      </c>
    </row>
    <row r="11" spans="1:11" x14ac:dyDescent="0.45">
      <c r="A11" t="s">
        <v>122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pane ySplit="10" topLeftCell="A42" activePane="bottomLeft" state="frozen"/>
      <selection pane="bottomLeft" activeCell="J42" sqref="J42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123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123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123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123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123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123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123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123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123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123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123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123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123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123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123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123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123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123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123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123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123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123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123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123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123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123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123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123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123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123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123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123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123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123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123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123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123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123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123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123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123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123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123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123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123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123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123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123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123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123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123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123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123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123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123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123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123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123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123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123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123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123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123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123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123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123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123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123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123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123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123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123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123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123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123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123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123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123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123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123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123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123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123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123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123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123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123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123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123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123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123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123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123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123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123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123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123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123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123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123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123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123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123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123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123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123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123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123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123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123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123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123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123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123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123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123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123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123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123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123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123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123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123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123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123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123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123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123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123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123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123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123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123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123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123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123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123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123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123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123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123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123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123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123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123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123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123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123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123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123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123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123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123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123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123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123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123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123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123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123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123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123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123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123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123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123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123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123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123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123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123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123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123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123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123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123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123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123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123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123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123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123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123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123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123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123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123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123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123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123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123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123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123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123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123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123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123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123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123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123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123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123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123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123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123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123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123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123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123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123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123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123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123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123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123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123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123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123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123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123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123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123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123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123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123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123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123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123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123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123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123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123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123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123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123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123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123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123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123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123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123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123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123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123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123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123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123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123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123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123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123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123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123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123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123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123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123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123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123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123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123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123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123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123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123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123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123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123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123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123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123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123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123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123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123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123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123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123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123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123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123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123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123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123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123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123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123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123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123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123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123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123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123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123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123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123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123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123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123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123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123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123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123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123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123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123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123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123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123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123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123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DEF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2026-06-13T11:29:47Z</dcterms:modified>
</cp:coreProperties>
</file>