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EFDA3B42-376B-4FE8-9FC8-16D7A15856B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DEF" sheetId="5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Veda!$C$8:$G$40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1" i="1" l="1"/>
  <c r="B42" i="1"/>
  <c r="B43" i="1"/>
  <c r="B44" i="1"/>
  <c r="B45" i="1"/>
  <c r="B46" i="1"/>
  <c r="B47" i="1"/>
  <c r="B48" i="1"/>
  <c r="C41" i="1"/>
  <c r="C42" i="1"/>
  <c r="C43" i="1" s="1"/>
  <c r="C44" i="1" s="1"/>
  <c r="C45" i="1" s="1"/>
  <c r="C46" i="1" s="1"/>
  <c r="C47" i="1" s="1"/>
  <c r="C48" i="1" s="1"/>
  <c r="F46" i="1"/>
  <c r="F47" i="1"/>
  <c r="F48" i="1"/>
  <c r="F45" i="1"/>
  <c r="Q45" i="1"/>
  <c r="P45" i="1"/>
  <c r="O45" i="1"/>
  <c r="N45" i="1"/>
  <c r="M45" i="1"/>
  <c r="L45" i="1"/>
  <c r="K45" i="1"/>
  <c r="Q40" i="1"/>
  <c r="P40" i="1"/>
  <c r="O40" i="1"/>
  <c r="N40" i="1"/>
  <c r="M40" i="1"/>
  <c r="L40" i="1"/>
  <c r="K40" i="1"/>
  <c r="Q39" i="1"/>
  <c r="P39" i="1"/>
  <c r="O39" i="1"/>
  <c r="N39" i="1"/>
  <c r="M39" i="1"/>
  <c r="L39" i="1"/>
  <c r="K39" i="1"/>
  <c r="Q38" i="1"/>
  <c r="P38" i="1"/>
  <c r="O38" i="1"/>
  <c r="N38" i="1"/>
  <c r="M38" i="1"/>
  <c r="L38" i="1"/>
  <c r="K38" i="1"/>
  <c r="Q37" i="1"/>
  <c r="P37" i="1"/>
  <c r="O37" i="1"/>
  <c r="N37" i="1"/>
  <c r="M37" i="1"/>
  <c r="L37" i="1"/>
  <c r="K37" i="1"/>
  <c r="B10" i="1"/>
  <c r="B11" i="1"/>
  <c r="B12" i="1"/>
  <c r="B17" i="1"/>
  <c r="B18" i="1"/>
  <c r="B19" i="1"/>
  <c r="B20" i="1"/>
  <c r="B25" i="1"/>
  <c r="B26" i="1"/>
  <c r="B27" i="1"/>
  <c r="B28" i="1"/>
  <c r="B29" i="1"/>
  <c r="B30" i="1"/>
  <c r="B31" i="1"/>
  <c r="B33" i="1"/>
  <c r="B34" i="1"/>
  <c r="B35" i="1"/>
  <c r="B36" i="1"/>
  <c r="B9" i="1"/>
  <c r="E40" i="1"/>
  <c r="B40" i="1" s="1"/>
  <c r="E39" i="1"/>
  <c r="B39" i="1" s="1"/>
  <c r="E38" i="1"/>
  <c r="B38" i="1" s="1"/>
  <c r="E37" i="1"/>
  <c r="B37" i="1" s="1"/>
  <c r="E32" i="1"/>
  <c r="B32" i="1" s="1"/>
  <c r="E31" i="1"/>
  <c r="E30" i="1"/>
  <c r="E29" i="1"/>
  <c r="E24" i="1" l="1"/>
  <c r="B24" i="1" s="1"/>
  <c r="E23" i="1"/>
  <c r="B23" i="1" s="1"/>
  <c r="E22" i="1"/>
  <c r="B22" i="1" s="1"/>
  <c r="E21" i="1"/>
  <c r="B21" i="1" s="1"/>
  <c r="U12" i="1"/>
  <c r="E16" i="1"/>
  <c r="B16" i="1" s="1"/>
  <c r="E15" i="1"/>
  <c r="B15" i="1" s="1"/>
  <c r="E14" i="1"/>
  <c r="B14" i="1" s="1"/>
  <c r="E13" i="1"/>
  <c r="B13" i="1" s="1"/>
  <c r="V23" i="1" l="1"/>
  <c r="AK16" i="1"/>
  <c r="AK15" i="1"/>
  <c r="AK14" i="1"/>
  <c r="AK13" i="1"/>
  <c r="AK12" i="1"/>
  <c r="AK11" i="1"/>
  <c r="C10" i="1"/>
  <c r="AL15" i="1"/>
  <c r="AL16" i="1"/>
  <c r="AL21" i="1" s="1"/>
  <c r="AL26" i="1" s="1"/>
  <c r="AL31" i="1" s="1"/>
  <c r="AL36" i="1" s="1"/>
  <c r="AL41" i="1" s="1"/>
  <c r="AL46" i="1" s="1"/>
  <c r="AL51" i="1" s="1"/>
  <c r="AL56" i="1" s="1"/>
  <c r="AL61" i="1" s="1"/>
  <c r="AL66" i="1" s="1"/>
  <c r="AL71" i="1" s="1"/>
  <c r="AL76" i="1" s="1"/>
  <c r="AL17" i="1"/>
  <c r="AL22" i="1" s="1"/>
  <c r="AL27" i="1" s="1"/>
  <c r="AL32" i="1" s="1"/>
  <c r="AL37" i="1" s="1"/>
  <c r="AL42" i="1" s="1"/>
  <c r="AL47" i="1" s="1"/>
  <c r="AL52" i="1" s="1"/>
  <c r="AL57" i="1" s="1"/>
  <c r="AL62" i="1" s="1"/>
  <c r="AL67" i="1" s="1"/>
  <c r="AL72" i="1" s="1"/>
  <c r="AL77" i="1" s="1"/>
  <c r="AL18" i="1"/>
  <c r="AL23" i="1" s="1"/>
  <c r="AL14" i="1"/>
  <c r="AL19" i="1" s="1"/>
  <c r="C11" i="1" l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AL28" i="1"/>
  <c r="AL24" i="1"/>
  <c r="AL20" i="1"/>
  <c r="D2" i="1"/>
  <c r="J48" i="1"/>
  <c r="J47" i="1"/>
  <c r="J46" i="1"/>
  <c r="J45" i="1"/>
  <c r="G5" i="1" l="1"/>
  <c r="A2" i="5" s="1"/>
  <c r="F5" i="1"/>
  <c r="A1" i="5" s="1"/>
  <c r="C14" i="5" s="1"/>
  <c r="E5" i="1"/>
  <c r="J24" i="1" s="1"/>
  <c r="D5" i="1"/>
  <c r="AL33" i="1"/>
  <c r="AL25" i="1"/>
  <c r="AL29" i="1"/>
  <c r="U48" i="1"/>
  <c r="T48" i="1"/>
  <c r="U47" i="1"/>
  <c r="T47" i="1"/>
  <c r="U46" i="1"/>
  <c r="T46" i="1"/>
  <c r="U45" i="1"/>
  <c r="T45" i="1"/>
  <c r="S29" i="1"/>
  <c r="V29" i="1" s="1"/>
  <c r="S28" i="1"/>
  <c r="V28" i="1" s="1"/>
  <c r="AB27" i="1"/>
  <c r="AA27" i="1"/>
  <c r="Z27" i="1"/>
  <c r="Y27" i="1"/>
  <c r="X27" i="1"/>
  <c r="W27" i="1"/>
  <c r="V27" i="1"/>
  <c r="Q17" i="1"/>
  <c r="P17" i="1"/>
  <c r="O17" i="1"/>
  <c r="N17" i="1"/>
  <c r="M17" i="1"/>
  <c r="L17" i="1"/>
  <c r="L44" i="1" s="1"/>
  <c r="C3" i="5" l="1"/>
  <c r="C8" i="5"/>
  <c r="D22" i="5"/>
  <c r="C20" i="5"/>
  <c r="AL38" i="1"/>
  <c r="AL34" i="1"/>
  <c r="AL30" i="1"/>
  <c r="K47" i="1"/>
  <c r="O44" i="1"/>
  <c r="P44" i="1"/>
  <c r="K46" i="1"/>
  <c r="M46" i="1"/>
  <c r="N46" i="1"/>
  <c r="O46" i="1"/>
  <c r="P46" i="1"/>
  <c r="K48" i="1"/>
  <c r="Q48" i="1" s="1"/>
  <c r="P47" i="1"/>
  <c r="M47" i="1"/>
  <c r="N47" i="1"/>
  <c r="L47" i="1"/>
  <c r="O47" i="1"/>
  <c r="Q47" i="1"/>
  <c r="M44" i="1"/>
  <c r="N44" i="1"/>
  <c r="Q46" i="1"/>
  <c r="Q44" i="1"/>
  <c r="L46" i="1"/>
  <c r="U11" i="1"/>
  <c r="V14" i="1" s="1"/>
  <c r="AL43" i="1" l="1"/>
  <c r="AL39" i="1"/>
  <c r="AL35" i="1"/>
  <c r="AL48" i="1" l="1"/>
  <c r="AL40" i="1"/>
  <c r="AL44" i="1"/>
  <c r="AL53" i="1" l="1"/>
  <c r="AL58" i="1" s="1"/>
  <c r="AL63" i="1" s="1"/>
  <c r="AL68" i="1" s="1"/>
  <c r="AL73" i="1" s="1"/>
  <c r="AL78" i="1" s="1"/>
  <c r="AL49" i="1"/>
  <c r="AL45" i="1"/>
  <c r="AL50" i="1" l="1"/>
  <c r="AL54" i="1"/>
  <c r="Q24" i="1" l="1"/>
  <c r="AB24" i="1" s="1"/>
  <c r="K15" i="1"/>
  <c r="K14" i="1"/>
  <c r="J14" i="1"/>
  <c r="AL59" i="1"/>
  <c r="AL55" i="1"/>
  <c r="Q15" i="1" l="1"/>
  <c r="AB23" i="1" s="1"/>
  <c r="N15" i="1"/>
  <c r="Y23" i="1" s="1"/>
  <c r="M15" i="1"/>
  <c r="X23" i="1" s="1"/>
  <c r="Q14" i="1"/>
  <c r="AB14" i="1" s="1"/>
  <c r="O14" i="1"/>
  <c r="Z14" i="1" s="1"/>
  <c r="P15" i="1"/>
  <c r="AA23" i="1" s="1"/>
  <c r="O15" i="1"/>
  <c r="Z23" i="1" s="1"/>
  <c r="L15" i="1"/>
  <c r="W23" i="1" s="1"/>
  <c r="P14" i="1"/>
  <c r="AA14" i="1" s="1"/>
  <c r="N14" i="1"/>
  <c r="Y14" i="1" s="1"/>
  <c r="M14" i="1"/>
  <c r="X14" i="1" s="1"/>
  <c r="L14" i="1"/>
  <c r="W14" i="1" s="1"/>
  <c r="P24" i="1"/>
  <c r="AA24" i="1" s="1"/>
  <c r="M24" i="1"/>
  <c r="X24" i="1" s="1"/>
  <c r="O24" i="1"/>
  <c r="Z24" i="1" s="1"/>
  <c r="N24" i="1"/>
  <c r="Y24" i="1" s="1"/>
  <c r="Q18" i="1"/>
  <c r="O18" i="1"/>
  <c r="N18" i="1"/>
  <c r="N21" i="1"/>
  <c r="M21" i="1"/>
  <c r="K18" i="1"/>
  <c r="V18" i="1" s="1"/>
  <c r="M20" i="1"/>
  <c r="L20" i="1"/>
  <c r="K20" i="1"/>
  <c r="V20" i="1" s="1"/>
  <c r="P19" i="1"/>
  <c r="M19" i="1"/>
  <c r="K19" i="1"/>
  <c r="V19" i="1" s="1"/>
  <c r="Q21" i="1"/>
  <c r="P18" i="1"/>
  <c r="P21" i="1"/>
  <c r="O21" i="1"/>
  <c r="M18" i="1"/>
  <c r="L18" i="1"/>
  <c r="L21" i="1"/>
  <c r="K21" i="1"/>
  <c r="V21" i="1" s="1"/>
  <c r="W21" i="1" s="1"/>
  <c r="X21" i="1" s="1"/>
  <c r="Y21" i="1" s="1"/>
  <c r="Z21" i="1" s="1"/>
  <c r="AA21" i="1" s="1"/>
  <c r="AB21" i="1" s="1"/>
  <c r="Q20" i="1"/>
  <c r="P20" i="1"/>
  <c r="O20" i="1"/>
  <c r="N20" i="1"/>
  <c r="Q19" i="1"/>
  <c r="O19" i="1"/>
  <c r="N19" i="1"/>
  <c r="L19" i="1"/>
  <c r="AL60" i="1"/>
  <c r="AL64" i="1"/>
  <c r="AA18" i="1" l="1"/>
  <c r="X19" i="1"/>
  <c r="W20" i="1"/>
  <c r="W19" i="1"/>
  <c r="Z19" i="1"/>
  <c r="AA19" i="1"/>
  <c r="X20" i="1"/>
  <c r="AB18" i="1"/>
  <c r="AA20" i="1"/>
  <c r="Y20" i="1"/>
  <c r="Z20" i="1"/>
  <c r="AB19" i="1"/>
  <c r="W18" i="1"/>
  <c r="V22" i="1"/>
  <c r="AB20" i="1"/>
  <c r="Y19" i="1"/>
  <c r="Y22" i="1" s="1"/>
  <c r="Y18" i="1"/>
  <c r="Z18" i="1"/>
  <c r="X18" i="1"/>
  <c r="Z22" i="1"/>
  <c r="AL69" i="1"/>
  <c r="AL65" i="1"/>
  <c r="X22" i="1" l="1"/>
  <c r="AA22" i="1"/>
  <c r="AB22" i="1"/>
  <c r="W22" i="1"/>
  <c r="AL70" i="1"/>
  <c r="AL74" i="1"/>
  <c r="AL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O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<sst xmlns="http://schemas.openxmlformats.org/spreadsheetml/2006/main" count="1816" uniqueCount="147">
  <si>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</si>
  <si>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</si>
  <si>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</si>
  <si>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</si>
  <si>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</si>
  <si>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</si>
  <si>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</si>
  <si>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</si>
  <si>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</si>
  <si>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</si>
  <si>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</si>
  <si>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</si>
  <si>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</si>
  <si>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</si>
  <si>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</si>
  <si>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</si>
  <si>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</si>
  <si>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</si>
  <si>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</si>
  <si>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</si>
  <si>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</si>
  <si>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</si>
  <si>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</si>
  <si>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</si>
  <si>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</si>
  <si>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</si>
  <si>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</si>
  <si>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</si>
  <si>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</si>
  <si>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</si>
  <si>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</si>
  <si>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</si>
  <si>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</si>
  <si>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</si>
  <si>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</si>
  <si>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</si>
  <si>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</si>
  <si>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</si>
  <si>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</si>
  <si>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</si>
  <si>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</si>
  <si>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</si>
  <si>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</si>
  <si>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</si>
  <si>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</si>
  <si>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</si>
  <si>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</si>
  <si>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</si>
  <si>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</si>
  <si>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</si>
  <si>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</si>
  <si>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</si>
  <si>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</si>
  <si>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</si>
  <si>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</si>
  <si>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</si>
  <si>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</si>
  <si>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</si>
  <si>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</si>
  <si>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</si>
  <si>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</si>
  <si>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</si>
  <si>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</si>
  <si>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</si>
  <si>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</si>
  <si>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</si>
  <si>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</si>
  <si>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</si>
  <si>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</si>
  <si>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</si>
  <si>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</si>
  <si>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</si>
  <si>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</si>
  <si>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</si>
  <si>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</si>
  <si>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</si>
  <si>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</si>
  <si>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</si>
  <si>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</si>
  <si>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</si>
  <si>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</si>
  <si>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</si>
  <si>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</si>
  <si>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</si>
  <si>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</si>
  <si>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</si>
  <si>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</si>
  <si>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</si>
  <si>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</si>
  <si>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</si>
  <si>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</si>
  <si>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</si>
  <si>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</si>
  <si>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</si>
  <si>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</si>
  <si>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</si>
  <si>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</si>
  <si>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</si>
  <si>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</si>
  <si>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</si>
  <si>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</si>
  <si>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</si>
  <si>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</si>
  <si>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</si>
  <si>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</si>
  <si>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</si>
  <si>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</si>
  <si>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</si>
  <si>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</si>
  <si>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</si>
  <si>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</si>
  <si>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</si>
  <si>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</si>
  <si>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</si>
  <si>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</si>
  <si>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</si>
  <si>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</si>
  <si>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</si>
  <si>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</si>
  <si>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</si>
  <si>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</si>
  <si>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chp_heat_twh</t>
  </si>
  <si>
    <t>IND</t>
  </si>
  <si>
    <t>R10INDIA+</t>
  </si>
  <si>
    <t>Expensive LNG imports, cheap domestic coal</t>
  </si>
  <si>
    <t>DEF</t>
  </si>
  <si>
    <t>Y</t>
  </si>
  <si>
    <t>N</t>
  </si>
  <si>
    <t>value</t>
  </si>
  <si>
    <t>com_pkflx</t>
  </si>
  <si>
    <t>ELC</t>
  </si>
  <si>
    <t>timeslice</t>
  </si>
  <si>
    <t>UC_N</t>
  </si>
  <si>
    <t>UC_RHSRTS</t>
  </si>
  <si>
    <t>DAYNITE</t>
  </si>
  <si>
    <t>UCE_Min-DispatchablePrd</t>
  </si>
  <si>
    <t>UC_RHSRT</t>
  </si>
  <si>
    <t>UCE_Min-DispatchableCAP</t>
  </si>
  <si>
    <t>cset_cn</t>
  </si>
  <si>
    <t>ELC?H</t>
  </si>
  <si>
    <t>Share</t>
  </si>
  <si>
    <t>pset_c0</t>
  </si>
  <si>
    <t>TxCost</t>
  </si>
  <si>
    <t>invcost</t>
  </si>
  <si>
    <t>pset_Set</t>
  </si>
  <si>
    <t>aggregators,grid</t>
  </si>
  <si>
    <t>33-40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</si>
</sst>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  <xf numFmtId="0" fontId="1" fillId="2" borderId="0" xfId="1" applyAlignment="1">
      <alignment horizontal="center"/>
    </xf>
    <xf numFmtId="0" fontId="0" fillId="0" borderId="0" xfId="0" applyAlignment="1">
      <alignment horizontal="center"/>
    </xf>
    <xf numFmtId="0" fontId="5" fillId="0" borderId="3" xfId="4" applyAlignment="1">
      <alignment horizontal="center"/>
    </xf>
    <xf numFmtId="0" fontId="0" fillId="7" borderId="0" xfId="0" applyFill="1" applyAlignment="1">
      <alignment horizontal="center"/>
    </xf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Veda!$V$17:$AB$17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Veda!$V$14:$AB$14</c:f>
              <c:numCache>
                <c:formatCode>0</c:formatCode>
                <c:ptCount val="7"/>
                <c:pt idx="0">
                  <c:v>1811.6499999999999</c:v>
                </c:pt>
                <c:pt idx="1">
                  <c:v>2228.3294999999998</c:v>
                </c:pt>
                <c:pt idx="2">
                  <c:v>2789.9409999999998</c:v>
                </c:pt>
                <c:pt idx="3">
                  <c:v>3279.0864999999999</c:v>
                </c:pt>
                <c:pt idx="4">
                  <c:v>3840.6979999999999</c:v>
                </c:pt>
                <c:pt idx="5">
                  <c:v>4655.9404999999997</c:v>
                </c:pt>
                <c:pt idx="6">
                  <c:v>5163.2024999999994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Veda!$K$17:$Q$17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Veda!$K$24:$Q$24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176.95</c:v>
                </c:pt>
                <c:pt idx="3">
                  <c:v>242.69</c:v>
                </c:pt>
                <c:pt idx="4">
                  <c:v>325.37</c:v>
                </c:pt>
                <c:pt idx="5">
                  <c:v>430.26</c:v>
                </c:pt>
                <c:pt idx="6">
                  <c:v>592.32000000000005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283367</xdr:colOff>
      <xdr:row>0</xdr:row>
      <xdr:rowOff>38100</xdr:rowOff>
    </xdr:from>
    <xdr:to>
      <xdr:col>28</xdr:col>
      <xdr:colOff>138112</xdr:colOff>
      <xdr:row>11</xdr:row>
      <xdr:rowOff>176211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481012</xdr:colOff>
      <xdr:row>24</xdr:row>
      <xdr:rowOff>171450</xdr:rowOff>
    </xdr:from>
    <xdr:to>
      <xdr:col>17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85"/>
  <sheetViews>
    <sheetView tabSelected="1" workbookViewId="0">
      <selection activeCell="E5" sqref="E5"/>
    </sheetView>
  </sheetViews>
  <sheetFormatPr defaultRowHeight="14.25" x14ac:dyDescent="0.45"/>
  <cols>
    <col min="1" max="1" width="10.9296875" customWidth="1"/>
    <col min="2" max="2" width="15.53125" bestFit="1" customWidth="1"/>
    <col min="3" max="3" width="7.265625" bestFit="1" customWidth="1"/>
    <col min="4" max="4" width="12.06640625" bestFit="1" customWidth="1"/>
    <col min="5" max="5" width="7.73046875" bestFit="1" customWidth="1"/>
    <col min="6" max="7" width="7.73046875" customWidth="1"/>
    <col min="8" max="8" width="10.59765625" customWidth="1"/>
    <col min="9" max="9" width="35.3984375" customWidth="1"/>
    <col min="10" max="10" width="9.6640625" bestFit="1" customWidth="1"/>
    <col min="11" max="12" width="5.265625" bestFit="1" customWidth="1"/>
    <col min="13" max="13" width="7.265625" bestFit="1" customWidth="1"/>
    <col min="14" max="16" width="5.265625" bestFit="1" customWidth="1"/>
    <col min="17" max="17" width="6.265625" bestFit="1" customWidth="1"/>
    <col min="21" max="21" width="14.6640625" bestFit="1" customWidth="1"/>
    <col min="35" max="35" width="2.73046875" bestFit="1" customWidth="1"/>
    <col min="36" max="36" width="9.265625" bestFit="1" customWidth="1"/>
    <col min="37" max="37" width="6.265625" bestFit="1" customWidth="1"/>
    <col min="38" max="38" width="2.73046875" bestFit="1" customWidth="1"/>
    <col min="39" max="39" width="2.9296875" bestFit="1" customWidth="1"/>
    <col min="40" max="40" width="12.59765625" bestFit="1" customWidth="1"/>
  </cols>
  <sheetData>
    <row r="1" spans="1:41" x14ac:dyDescent="0.45">
      <c r="I1" s="21" t="s">
        <v>146</v>
      </c>
    </row>
    <row r="2" spans="1:41" x14ac:dyDescent="0.45">
      <c r="D2" s="1" t="str">
        <f>"~Inputcell: "&amp;_xlfn.TEXTJOIN(",",TRUE,I1:EG1)</f>
        <v>~Inputcell: 33-40</v>
      </c>
      <c r="M2" s="2" t="s">
        <v>26</v>
      </c>
      <c r="N2" s="2"/>
      <c r="O2" s="2"/>
      <c r="P2" s="2" t="s">
        <v>17</v>
      </c>
    </row>
    <row r="3" spans="1:41" x14ac:dyDescent="0.45">
      <c r="D3" s="9">
        <v>33</v>
      </c>
      <c r="M3" s="10">
        <v>0</v>
      </c>
      <c r="N3" s="10" t="s">
        <v>9</v>
      </c>
      <c r="P3" s="10" t="s">
        <v>114</v>
      </c>
      <c r="Q3" s="10" t="s">
        <v>5</v>
      </c>
    </row>
    <row r="4" spans="1:41" x14ac:dyDescent="0.45">
      <c r="M4" s="10">
        <v>100</v>
      </c>
      <c r="N4" s="10" t="s">
        <v>7</v>
      </c>
      <c r="P4" s="10" t="s">
        <v>82</v>
      </c>
      <c r="Q4" s="10" t="s">
        <v>9</v>
      </c>
    </row>
    <row r="5" spans="1:41" x14ac:dyDescent="0.45">
      <c r="D5" s="30" t="str">
        <f>VLOOKUP($D$3,$C$9:$F$999,COLUMN()-2,FALSE)</f>
        <v>base</v>
      </c>
      <c r="E5" s="30">
        <f>VLOOKUP($D$3,$C$9:$F$999,COLUMN()-2,FALSE)</f>
        <v>600</v>
      </c>
      <c r="F5" s="30" t="str">
        <f>VLOOKUP($D$3,$C$9:$F$999,COLUMN()-2,FALSE)</f>
        <v>Y</v>
      </c>
      <c r="G5" s="30">
        <f>VLOOKUP($D$3,$C$9:$H$999,COLUMN()-2,FALSE)</f>
        <v>1</v>
      </c>
      <c r="M5" s="10">
        <v>200</v>
      </c>
      <c r="N5" s="10" t="s">
        <v>5</v>
      </c>
    </row>
    <row r="6" spans="1:41" x14ac:dyDescent="0.45">
      <c r="F6" s="31"/>
      <c r="G6" s="31"/>
      <c r="M6" s="10">
        <v>300</v>
      </c>
      <c r="N6" s="10" t="s">
        <v>2</v>
      </c>
    </row>
    <row r="7" spans="1:41" x14ac:dyDescent="0.45">
      <c r="B7" s="14" t="s">
        <v>94</v>
      </c>
      <c r="F7" s="31"/>
      <c r="G7" s="31"/>
      <c r="M7" s="10">
        <v>600</v>
      </c>
      <c r="N7" s="10" t="s">
        <v>0</v>
      </c>
    </row>
    <row r="8" spans="1:41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115</v>
      </c>
      <c r="F8" s="32" t="s">
        <v>125</v>
      </c>
      <c r="G8" s="32" t="s">
        <v>142</v>
      </c>
      <c r="AO8" s="2" t="s">
        <v>102</v>
      </c>
    </row>
    <row r="9" spans="1:41" x14ac:dyDescent="0.45">
      <c r="A9">
        <v>5</v>
      </c>
      <c r="B9" t="str">
        <f>_xlfn.TEXTJOIN(CHAR(183),TRUE,D9,TEXT(E9,"$000"),F9,TEXT(G9,"000%"))</f>
        <v>base·$000·Y·100%</v>
      </c>
      <c r="C9">
        <v>1</v>
      </c>
      <c r="D9" t="s">
        <v>114</v>
      </c>
      <c r="E9" s="15">
        <v>0</v>
      </c>
      <c r="F9" s="33" t="s">
        <v>126</v>
      </c>
      <c r="G9" s="33">
        <v>1</v>
      </c>
      <c r="U9" t="s">
        <v>4</v>
      </c>
      <c r="AI9">
        <v>1</v>
      </c>
      <c r="AJ9" t="s">
        <v>85</v>
      </c>
      <c r="AK9" t="s">
        <v>112</v>
      </c>
      <c r="AL9" s="10">
        <v>1</v>
      </c>
      <c r="AM9" t="s">
        <v>0</v>
      </c>
      <c r="AN9" t="s">
        <v>87</v>
      </c>
      <c r="AO9" s="13">
        <v>5</v>
      </c>
    </row>
    <row r="10" spans="1:41" x14ac:dyDescent="0.45">
      <c r="A10">
        <v>5</v>
      </c>
      <c r="B10" t="str">
        <f t="shared" ref="B10:B40" si="0">_xlfn.TEXTJOIN(CHAR(183),TRUE,D10,TEXT(E10,"$000"),F10,TEXT(G10,"000%"))</f>
        <v>base·$100·Y·100%</v>
      </c>
      <c r="C10">
        <f>C9+1</f>
        <v>2</v>
      </c>
      <c r="D10" t="s">
        <v>114</v>
      </c>
      <c r="E10" s="15">
        <v>100</v>
      </c>
      <c r="F10" s="33" t="s">
        <v>126</v>
      </c>
      <c r="G10" s="33">
        <v>1</v>
      </c>
      <c r="U10" s="1">
        <v>2022</v>
      </c>
      <c r="AI10">
        <v>2</v>
      </c>
      <c r="AJ10" t="s">
        <v>100</v>
      </c>
      <c r="AK10" t="s">
        <v>111</v>
      </c>
      <c r="AL10" s="10">
        <v>1</v>
      </c>
      <c r="AM10" t="s">
        <v>2</v>
      </c>
      <c r="AN10" t="s">
        <v>89</v>
      </c>
      <c r="AO10" s="13">
        <v>4</v>
      </c>
    </row>
    <row r="11" spans="1:41" ht="14.65" thickBot="1" x14ac:dyDescent="0.5">
      <c r="A11">
        <v>5</v>
      </c>
      <c r="B11" t="str">
        <f t="shared" si="0"/>
        <v>base·$200·Y·100%</v>
      </c>
      <c r="C11">
        <f>C10+1</f>
        <v>3</v>
      </c>
      <c r="D11" t="s">
        <v>114</v>
      </c>
      <c r="E11" s="15">
        <v>200</v>
      </c>
      <c r="F11" s="33" t="s">
        <v>126</v>
      </c>
      <c r="G11" s="33">
        <v>1</v>
      </c>
      <c r="U11" s="22">
        <f>SUMIFS(iea_data!I3:I9999,iea_data!$B$3:$B$9999,Veda!$U$10)+V28-V29</f>
        <v>1811.6499999999999</v>
      </c>
      <c r="V11" s="2" t="s">
        <v>56</v>
      </c>
      <c r="AI11">
        <v>3</v>
      </c>
      <c r="AJ11" t="s">
        <v>98</v>
      </c>
      <c r="AK11" t="str">
        <f>AJ11</f>
        <v>ts_012</v>
      </c>
      <c r="AL11" s="10">
        <v>1</v>
      </c>
      <c r="AM11" t="s">
        <v>5</v>
      </c>
      <c r="AN11" t="s">
        <v>90</v>
      </c>
      <c r="AO11" s="13">
        <v>3</v>
      </c>
    </row>
    <row r="12" spans="1:41" ht="14.65" customHeight="1" thickTop="1" thickBot="1" x14ac:dyDescent="0.5">
      <c r="A12">
        <v>5</v>
      </c>
      <c r="B12" t="str">
        <f t="shared" si="0"/>
        <v>base·$300·Y·100%</v>
      </c>
      <c r="C12">
        <f>C11+1</f>
        <v>4</v>
      </c>
      <c r="D12" t="s">
        <v>114</v>
      </c>
      <c r="E12" s="15">
        <v>300</v>
      </c>
      <c r="F12" s="33" t="s">
        <v>126</v>
      </c>
      <c r="G12" s="33">
        <v>1</v>
      </c>
      <c r="U12" s="22">
        <f>SUMIFS(iea_data!J3:J9999,iea_data!$B$3:$B$9999,Veda!$U$10)</f>
        <v>0</v>
      </c>
      <c r="AI12">
        <v>4</v>
      </c>
      <c r="AJ12" t="s">
        <v>104</v>
      </c>
      <c r="AK12" t="str">
        <f t="shared" ref="AK12:AK16" si="1">AJ12</f>
        <v>ts_030</v>
      </c>
      <c r="AL12" s="10">
        <v>1</v>
      </c>
      <c r="AM12" t="s">
        <v>7</v>
      </c>
      <c r="AN12" t="s">
        <v>91</v>
      </c>
      <c r="AO12" s="13">
        <v>3</v>
      </c>
    </row>
    <row r="13" spans="1:41" ht="14.65" customHeight="1" thickTop="1" x14ac:dyDescent="0.45">
      <c r="A13">
        <v>5</v>
      </c>
      <c r="B13" t="str">
        <f t="shared" si="0"/>
        <v>high·$000·Y·100%</v>
      </c>
      <c r="C13">
        <f>C12+1</f>
        <v>5</v>
      </c>
      <c r="D13" t="s">
        <v>82</v>
      </c>
      <c r="E13" s="15">
        <f>E9</f>
        <v>0</v>
      </c>
      <c r="F13" s="33" t="s">
        <v>126</v>
      </c>
      <c r="G13" s="33">
        <v>1</v>
      </c>
      <c r="AI13">
        <v>5</v>
      </c>
      <c r="AJ13" t="s">
        <v>99</v>
      </c>
      <c r="AK13" t="str">
        <f t="shared" si="1"/>
        <v>ts_048</v>
      </c>
      <c r="AL13" s="10">
        <v>1</v>
      </c>
      <c r="AM13" t="s">
        <v>9</v>
      </c>
      <c r="AN13" t="s">
        <v>92</v>
      </c>
      <c r="AO13" s="13">
        <v>1.5</v>
      </c>
    </row>
    <row r="14" spans="1:41" ht="14.65" thickBot="1" x14ac:dyDescent="0.5">
      <c r="A14">
        <v>5</v>
      </c>
      <c r="B14" t="str">
        <f t="shared" si="0"/>
        <v>high·$100·Y·100%</v>
      </c>
      <c r="C14">
        <f t="shared" ref="C14:C48" si="2">C13+1</f>
        <v>6</v>
      </c>
      <c r="D14" t="s">
        <v>82</v>
      </c>
      <c r="E14" s="15">
        <f t="shared" ref="E14:E16" si="3">E10</f>
        <v>100</v>
      </c>
      <c r="F14" s="33" t="s">
        <v>126</v>
      </c>
      <c r="G14" s="33">
        <v>1</v>
      </c>
      <c r="I14" t="s">
        <v>11</v>
      </c>
      <c r="J14" s="3" t="str">
        <f>VLOOKUP($D$5,$P$3:$Q$5,2,FALSE)</f>
        <v>C3</v>
      </c>
      <c r="K14" s="11">
        <f>SUMIFS(ar6_r10!$F$2:$F$999,ar6_r10!$A$2:$A$999,Veda!$E$5,ar6_r10!$C$2:$C$999,Veda!K$17,ar6_r10!$M$2:$M$999,Veda!$I14)</f>
        <v>0</v>
      </c>
      <c r="L14" s="11">
        <f>SUMIFS(ar6_r10!$J$2:$J$999,ar6_r10!$A$2:$A$999,$J$14,ar6_r10!$C$2:$C$999,Veda!L$17,ar6_r10!$M$2:$M$999,Veda!$I14)</f>
        <v>1.23</v>
      </c>
      <c r="M14" s="11">
        <f>SUMIFS(ar6_r10!$J$2:$J$999,ar6_r10!$A$2:$A$999,$J$14,ar6_r10!$C$2:$C$999,Veda!M$17,ar6_r10!$M$2:$M$999,Veda!$I14)</f>
        <v>1.54</v>
      </c>
      <c r="N14" s="11">
        <f>SUMIFS(ar6_r10!$J$2:$J$999,ar6_r10!$A$2:$A$999,$J$14,ar6_r10!$C$2:$C$999,Veda!N$17,ar6_r10!$M$2:$M$999,Veda!$I14)</f>
        <v>1.81</v>
      </c>
      <c r="O14" s="11">
        <f>SUMIFS(ar6_r10!$J$2:$J$999,ar6_r10!$A$2:$A$999,$J$14,ar6_r10!$C$2:$C$999,Veda!O$17,ar6_r10!$M$2:$M$999,Veda!$I14)</f>
        <v>2.12</v>
      </c>
      <c r="P14" s="11">
        <f>SUMIFS(ar6_r10!$J$2:$J$999,ar6_r10!$A$2:$A$999,$J$14,ar6_r10!$C$2:$C$999,Veda!P$17,ar6_r10!$M$2:$M$999,Veda!$I14)</f>
        <v>2.57</v>
      </c>
      <c r="Q14" s="11">
        <f>SUMIFS(ar6_r10!$J$2:$J$999,ar6_r10!$A$2:$A$999,$J$14,ar6_r10!$C$2:$C$999,Veda!Q$17,ar6_r10!$M$2:$M$999,Veda!$I14)</f>
        <v>2.85</v>
      </c>
      <c r="V14" s="8">
        <f>U11</f>
        <v>1811.6499999999999</v>
      </c>
      <c r="W14" s="8">
        <f t="shared" ref="W14:AB14" si="4">$U$11*L14</f>
        <v>2228.3294999999998</v>
      </c>
      <c r="X14" s="8">
        <f t="shared" si="4"/>
        <v>2789.9409999999998</v>
      </c>
      <c r="Y14" s="8">
        <f t="shared" si="4"/>
        <v>3279.0864999999999</v>
      </c>
      <c r="Z14" s="8">
        <f t="shared" si="4"/>
        <v>3840.6979999999999</v>
      </c>
      <c r="AA14" s="8">
        <f t="shared" si="4"/>
        <v>4655.9404999999997</v>
      </c>
      <c r="AB14" s="8">
        <f t="shared" si="4"/>
        <v>5163.2024999999994</v>
      </c>
      <c r="AI14">
        <v>6</v>
      </c>
      <c r="AJ14" t="s">
        <v>108</v>
      </c>
      <c r="AK14" t="str">
        <f t="shared" si="1"/>
        <v>ts_072</v>
      </c>
      <c r="AL14" s="10">
        <f>AL9+1</f>
        <v>2</v>
      </c>
    </row>
    <row r="15" spans="1:41" ht="14.65" thickTop="1" x14ac:dyDescent="0.45">
      <c r="A15">
        <v>5</v>
      </c>
      <c r="B15" t="str">
        <f t="shared" si="0"/>
        <v>high·$200·Y·100%</v>
      </c>
      <c r="C15">
        <f t="shared" si="2"/>
        <v>7</v>
      </c>
      <c r="D15" t="s">
        <v>82</v>
      </c>
      <c r="E15" s="15">
        <f t="shared" si="3"/>
        <v>200</v>
      </c>
      <c r="F15" s="33" t="s">
        <v>126</v>
      </c>
      <c r="G15" s="33">
        <v>1</v>
      </c>
      <c r="I15" t="s">
        <v>113</v>
      </c>
      <c r="K15" s="11">
        <f>SUMIFS(ar6_r10!$F$2:$F$999,ar6_r10!$A$2:$A$999,Veda!$E$5,ar6_r10!$C$2:$C$999,Veda!K$17,ar6_r10!$M$2:$M$999,Veda!$I15)</f>
        <v>0</v>
      </c>
      <c r="L15" s="11">
        <f>SUMIFS(ar6_r10!$J$2:$J$999,ar6_r10!$A$2:$A$999,$J$14,ar6_r10!$C$2:$C$999,Veda!L$17,ar6_r10!$M$2:$M$999,Veda!$I15)</f>
        <v>2.2400000000000002</v>
      </c>
      <c r="M15" s="11">
        <f>SUMIFS(ar6_r10!$J$2:$J$999,ar6_r10!$A$2:$A$999,$J$14,ar6_r10!$C$2:$C$999,Veda!M$17,ar6_r10!$M$2:$M$999,Veda!$I15)</f>
        <v>3.28</v>
      </c>
      <c r="N15" s="11">
        <f>SUMIFS(ar6_r10!$J$2:$J$999,ar6_r10!$A$2:$A$999,$J$14,ar6_r10!$C$2:$C$999,Veda!N$17,ar6_r10!$M$2:$M$999,Veda!$I15)</f>
        <v>7.17</v>
      </c>
      <c r="O15" s="11">
        <f>SUMIFS(ar6_r10!$J$2:$J$999,ar6_r10!$A$2:$A$999,$J$14,ar6_r10!$C$2:$C$999,Veda!O$17,ar6_r10!$M$2:$M$999,Veda!$I15)</f>
        <v>7.35</v>
      </c>
      <c r="P15" s="11">
        <f>SUMIFS(ar6_r10!$J$2:$J$999,ar6_r10!$A$2:$A$999,$J$14,ar6_r10!$C$2:$C$999,Veda!P$17,ar6_r10!$M$2:$M$999,Veda!$I15)</f>
        <v>13.56</v>
      </c>
      <c r="Q15" s="11">
        <f>SUMIFS(ar6_r10!$J$2:$J$999,ar6_r10!$A$2:$A$999,$J$14,ar6_r10!$C$2:$C$999,Veda!Q$17,ar6_r10!$M$2:$M$999,Veda!$I15)</f>
        <v>13.44</v>
      </c>
      <c r="AI15">
        <v>7</v>
      </c>
      <c r="AJ15" t="s">
        <v>109</v>
      </c>
      <c r="AK15" t="str">
        <f t="shared" si="1"/>
        <v>ts_144</v>
      </c>
      <c r="AL15" s="10">
        <f t="shared" ref="AL15:AL78" si="5">AL10+1</f>
        <v>2</v>
      </c>
    </row>
    <row r="16" spans="1:41" ht="17.649999999999999" customHeight="1" thickBot="1" x14ac:dyDescent="0.6">
      <c r="A16">
        <v>5</v>
      </c>
      <c r="B16" t="str">
        <f t="shared" si="0"/>
        <v>high·$300·Y·100%</v>
      </c>
      <c r="C16">
        <f t="shared" si="2"/>
        <v>8</v>
      </c>
      <c r="D16" t="s">
        <v>82</v>
      </c>
      <c r="E16" s="15">
        <f t="shared" si="3"/>
        <v>300</v>
      </c>
      <c r="F16" s="33" t="s">
        <v>126</v>
      </c>
      <c r="G16" s="33">
        <v>1</v>
      </c>
      <c r="U16" s="5" t="s">
        <v>12</v>
      </c>
      <c r="AI16">
        <v>8</v>
      </c>
      <c r="AJ16" t="s">
        <v>110</v>
      </c>
      <c r="AK16" t="str">
        <f t="shared" si="1"/>
        <v>ts_288</v>
      </c>
      <c r="AL16" s="10">
        <f t="shared" si="5"/>
        <v>2</v>
      </c>
    </row>
    <row r="17" spans="1:38" ht="15" customHeight="1" thickTop="1" thickBot="1" x14ac:dyDescent="0.5">
      <c r="A17">
        <v>5</v>
      </c>
      <c r="B17" t="str">
        <f t="shared" si="0"/>
        <v>base·$000·N·100%</v>
      </c>
      <c r="C17">
        <f t="shared" si="2"/>
        <v>9</v>
      </c>
      <c r="D17" t="s">
        <v>114</v>
      </c>
      <c r="E17" s="15">
        <v>0</v>
      </c>
      <c r="F17" s="33" t="s">
        <v>127</v>
      </c>
      <c r="G17" s="33">
        <v>1</v>
      </c>
      <c r="K17" s="7">
        <v>2020</v>
      </c>
      <c r="L17" s="7">
        <f t="shared" ref="L17:Q17" si="6">W17</f>
        <v>2025</v>
      </c>
      <c r="M17" s="7">
        <f t="shared" si="6"/>
        <v>2030</v>
      </c>
      <c r="N17" s="7">
        <f t="shared" si="6"/>
        <v>2035</v>
      </c>
      <c r="O17" s="7">
        <f t="shared" si="6"/>
        <v>2040</v>
      </c>
      <c r="P17" s="7">
        <f t="shared" si="6"/>
        <v>2045</v>
      </c>
      <c r="Q17" s="7">
        <f t="shared" si="6"/>
        <v>2050</v>
      </c>
      <c r="U17" s="4" t="s">
        <v>13</v>
      </c>
      <c r="V17" s="4">
        <v>2022</v>
      </c>
      <c r="W17" s="4">
        <v>2025</v>
      </c>
      <c r="X17" s="4">
        <v>2030</v>
      </c>
      <c r="Y17" s="4">
        <v>2035</v>
      </c>
      <c r="Z17" s="4">
        <v>2040</v>
      </c>
      <c r="AA17" s="4">
        <v>2045</v>
      </c>
      <c r="AB17" s="4">
        <v>2050</v>
      </c>
      <c r="AC17" s="4" t="s">
        <v>14</v>
      </c>
      <c r="AI17">
        <v>9</v>
      </c>
      <c r="AJ17" t="s">
        <v>103</v>
      </c>
      <c r="AK17" t="s">
        <v>105</v>
      </c>
      <c r="AL17" s="10">
        <f t="shared" si="5"/>
        <v>2</v>
      </c>
    </row>
    <row r="18" spans="1:38" x14ac:dyDescent="0.45">
      <c r="A18">
        <v>5</v>
      </c>
      <c r="B18" t="str">
        <f t="shared" si="0"/>
        <v>base·$100·N·100%</v>
      </c>
      <c r="C18">
        <f t="shared" si="2"/>
        <v>10</v>
      </c>
      <c r="D18" t="s">
        <v>114</v>
      </c>
      <c r="E18" s="15">
        <v>100</v>
      </c>
      <c r="F18" s="33" t="s">
        <v>127</v>
      </c>
      <c r="G18" s="33">
        <v>1</v>
      </c>
      <c r="I18" t="s">
        <v>15</v>
      </c>
      <c r="K18" s="11">
        <f>SUMIFS(ar6_r10!$F$2:$F$999,ar6_r10!$A$2:$A$999,$J$14,ar6_r10!$C$2:$C$999,Veda!K$17,ar6_r10!$M$2:$M$999,Veda!$I18)</f>
        <v>0</v>
      </c>
      <c r="L18" s="11">
        <f>SUMIFS(ar6_r10!$F$2:$F$999,ar6_r10!$A$2:$A$999,$J$14,ar6_r10!$C$2:$C$999,Veda!L$17,ar6_r10!$M$2:$M$999,Veda!$I18)</f>
        <v>0</v>
      </c>
      <c r="M18" s="11">
        <f>SUMIFS(ar6_r10!$F$2:$F$999,ar6_r10!$A$2:$A$999,$J$14,ar6_r10!$C$2:$C$999,Veda!M$17,ar6_r10!$M$2:$M$999,Veda!$I18)</f>
        <v>0</v>
      </c>
      <c r="N18" s="11">
        <f>SUMIFS(ar6_r10!$F$2:$F$999,ar6_r10!$A$2:$A$999,$J$14,ar6_r10!$C$2:$C$999,Veda!N$17,ar6_r10!$M$2:$M$999,Veda!$I18)</f>
        <v>0.01</v>
      </c>
      <c r="O18" s="11">
        <f>SUMIFS(ar6_r10!$F$2:$F$999,ar6_r10!$A$2:$A$999,$J$14,ar6_r10!$C$2:$C$999,Veda!O$17,ar6_r10!$M$2:$M$999,Veda!$I18)</f>
        <v>0.02</v>
      </c>
      <c r="P18" s="11">
        <f>SUMIFS(ar6_r10!$F$2:$F$999,ar6_r10!$A$2:$A$999,$J$14,ar6_r10!$C$2:$C$999,Veda!P$17,ar6_r10!$M$2:$M$999,Veda!$I18)</f>
        <v>0.02</v>
      </c>
      <c r="Q18" s="11">
        <f>SUMIFS(ar6_r10!$F$2:$F$999,ar6_r10!$A$2:$A$999,$J$14,ar6_r10!$C$2:$C$999,Veda!Q$17,ar6_r10!$M$2:$M$999,Veda!$I18)</f>
        <v>0.03</v>
      </c>
      <c r="U18" s="10" t="s">
        <v>16</v>
      </c>
      <c r="V18" s="6">
        <f t="shared" ref="V18:AB20" si="7">K18*V$14</f>
        <v>0</v>
      </c>
      <c r="W18" s="6">
        <f t="shared" si="7"/>
        <v>0</v>
      </c>
      <c r="X18" s="6">
        <f t="shared" si="7"/>
        <v>0</v>
      </c>
      <c r="Y18" s="6">
        <f t="shared" si="7"/>
        <v>32.790864999999997</v>
      </c>
      <c r="Z18" s="6">
        <f t="shared" si="7"/>
        <v>76.813959999999994</v>
      </c>
      <c r="AA18" s="6">
        <f t="shared" si="7"/>
        <v>93.118809999999996</v>
      </c>
      <c r="AB18" s="6">
        <f t="shared" si="7"/>
        <v>154.89607499999997</v>
      </c>
      <c r="AC18" t="s">
        <v>17</v>
      </c>
      <c r="AE18" s="2"/>
      <c r="AI18">
        <v>10</v>
      </c>
      <c r="AJ18" t="s">
        <v>106</v>
      </c>
      <c r="AK18" t="s">
        <v>107</v>
      </c>
      <c r="AL18" s="10">
        <f t="shared" si="5"/>
        <v>2</v>
      </c>
    </row>
    <row r="19" spans="1:38" x14ac:dyDescent="0.45">
      <c r="A19">
        <v>5</v>
      </c>
      <c r="B19" t="str">
        <f t="shared" si="0"/>
        <v>base·$200·N·100%</v>
      </c>
      <c r="C19">
        <f t="shared" si="2"/>
        <v>11</v>
      </c>
      <c r="D19" t="s">
        <v>114</v>
      </c>
      <c r="E19" s="15">
        <v>200</v>
      </c>
      <c r="F19" s="33" t="s">
        <v>127</v>
      </c>
      <c r="G19" s="33">
        <v>1</v>
      </c>
      <c r="I19" t="s">
        <v>18</v>
      </c>
      <c r="K19" s="11">
        <f>SUMIFS(ar6_r10!$F$2:$F$999,ar6_r10!$A$2:$A$999,$J$14,ar6_r10!$C$2:$C$999,Veda!K$17,ar6_r10!$M$2:$M$999,Veda!$I19)</f>
        <v>0.49</v>
      </c>
      <c r="L19" s="11">
        <f>SUMIFS(ar6_r10!$F$2:$F$999,ar6_r10!$A$2:$A$999,$J$14,ar6_r10!$C$2:$C$999,Veda!L$17,ar6_r10!$M$2:$M$999,Veda!$I19)</f>
        <v>0.49</v>
      </c>
      <c r="M19" s="11">
        <f>SUMIFS(ar6_r10!$F$2:$F$999,ar6_r10!$A$2:$A$999,$J$14,ar6_r10!$C$2:$C$999,Veda!M$17,ar6_r10!$M$2:$M$999,Veda!$I19)</f>
        <v>0.46</v>
      </c>
      <c r="N19" s="11">
        <f>SUMIFS(ar6_r10!$F$2:$F$999,ar6_r10!$A$2:$A$999,$J$14,ar6_r10!$C$2:$C$999,Veda!N$17,ar6_r10!$M$2:$M$999,Veda!$I19)</f>
        <v>0.48</v>
      </c>
      <c r="O19" s="11">
        <f>SUMIFS(ar6_r10!$F$2:$F$999,ar6_r10!$A$2:$A$999,$J$14,ar6_r10!$C$2:$C$999,Veda!O$17,ar6_r10!$M$2:$M$999,Veda!$I19)</f>
        <v>0.46</v>
      </c>
      <c r="P19" s="11">
        <f>SUMIFS(ar6_r10!$F$2:$F$999,ar6_r10!$A$2:$A$999,$J$14,ar6_r10!$C$2:$C$999,Veda!P$17,ar6_r10!$M$2:$M$999,Veda!$I19)</f>
        <v>0.48</v>
      </c>
      <c r="Q19" s="11">
        <f>SUMIFS(ar6_r10!$F$2:$F$999,ar6_r10!$A$2:$A$999,$J$14,ar6_r10!$C$2:$C$999,Veda!Q$17,ar6_r10!$M$2:$M$999,Veda!$I19)</f>
        <v>0.47</v>
      </c>
      <c r="U19" s="10" t="s">
        <v>19</v>
      </c>
      <c r="V19" s="6">
        <f t="shared" si="7"/>
        <v>887.70849999999996</v>
      </c>
      <c r="W19" s="6">
        <f t="shared" si="7"/>
        <v>1091.881455</v>
      </c>
      <c r="X19" s="6">
        <f t="shared" si="7"/>
        <v>1283.3728599999999</v>
      </c>
      <c r="Y19" s="6">
        <f t="shared" si="7"/>
        <v>1573.9615199999998</v>
      </c>
      <c r="Z19" s="6">
        <f t="shared" si="7"/>
        <v>1766.72108</v>
      </c>
      <c r="AA19" s="6">
        <f t="shared" si="7"/>
        <v>2234.8514399999999</v>
      </c>
      <c r="AB19" s="6">
        <f t="shared" si="7"/>
        <v>2426.7051749999996</v>
      </c>
      <c r="AC19" t="s">
        <v>17</v>
      </c>
      <c r="AI19">
        <v>11</v>
      </c>
      <c r="AJ19" t="s">
        <v>83</v>
      </c>
      <c r="AK19" t="s">
        <v>88</v>
      </c>
      <c r="AL19" s="10">
        <f t="shared" si="5"/>
        <v>3</v>
      </c>
    </row>
    <row r="20" spans="1:38" x14ac:dyDescent="0.45">
      <c r="A20">
        <v>5</v>
      </c>
      <c r="B20" t="str">
        <f t="shared" si="0"/>
        <v>base·$300·N·100%</v>
      </c>
      <c r="C20">
        <f t="shared" si="2"/>
        <v>12</v>
      </c>
      <c r="D20" t="s">
        <v>114</v>
      </c>
      <c r="E20" s="15">
        <v>300</v>
      </c>
      <c r="F20" s="33" t="s">
        <v>127</v>
      </c>
      <c r="G20" s="33">
        <v>1</v>
      </c>
      <c r="I20" t="s">
        <v>21</v>
      </c>
      <c r="K20" s="11">
        <f>SUMIFS(ar6_r10!$F$2:$F$999,ar6_r10!$A$2:$A$999,$J$14,ar6_r10!$C$2:$C$999,Veda!K$17,ar6_r10!$M$2:$M$999,Veda!$I20)</f>
        <v>0.46</v>
      </c>
      <c r="L20" s="11">
        <f>SUMIFS(ar6_r10!$F$2:$F$999,ar6_r10!$A$2:$A$999,$J$14,ar6_r10!$C$2:$C$999,Veda!L$17,ar6_r10!$M$2:$M$999,Veda!$I20)</f>
        <v>0.47</v>
      </c>
      <c r="M20" s="11">
        <f>SUMIFS(ar6_r10!$F$2:$F$999,ar6_r10!$A$2:$A$999,$J$14,ar6_r10!$C$2:$C$999,Veda!M$17,ar6_r10!$M$2:$M$999,Veda!$I20)</f>
        <v>0.45</v>
      </c>
      <c r="N20" s="11">
        <f>SUMIFS(ar6_r10!$F$2:$F$999,ar6_r10!$A$2:$A$999,$J$14,ar6_r10!$C$2:$C$999,Veda!N$17,ar6_r10!$M$2:$M$999,Veda!$I20)</f>
        <v>0.45</v>
      </c>
      <c r="O20" s="11">
        <f>SUMIFS(ar6_r10!$F$2:$F$999,ar6_r10!$A$2:$A$999,$J$14,ar6_r10!$C$2:$C$999,Veda!O$17,ar6_r10!$M$2:$M$999,Veda!$I20)</f>
        <v>0.47</v>
      </c>
      <c r="P20" s="11">
        <f>SUMIFS(ar6_r10!$F$2:$F$999,ar6_r10!$A$2:$A$999,$J$14,ar6_r10!$C$2:$C$999,Veda!P$17,ar6_r10!$M$2:$M$999,Veda!$I20)</f>
        <v>0.44</v>
      </c>
      <c r="Q20" s="11">
        <f>SUMIFS(ar6_r10!$F$2:$F$999,ar6_r10!$A$2:$A$999,$J$14,ar6_r10!$C$2:$C$999,Veda!Q$17,ar6_r10!$M$2:$M$999,Veda!$I20)</f>
        <v>0.44</v>
      </c>
      <c r="U20" s="10" t="s">
        <v>22</v>
      </c>
      <c r="V20" s="6">
        <f t="shared" si="7"/>
        <v>833.35899999999992</v>
      </c>
      <c r="W20" s="6">
        <f t="shared" si="7"/>
        <v>1047.3148649999998</v>
      </c>
      <c r="X20" s="6">
        <f t="shared" si="7"/>
        <v>1255.47345</v>
      </c>
      <c r="Y20" s="6">
        <f t="shared" si="7"/>
        <v>1475.588925</v>
      </c>
      <c r="Z20" s="6">
        <f t="shared" si="7"/>
        <v>1805.1280599999998</v>
      </c>
      <c r="AA20" s="6">
        <f t="shared" si="7"/>
        <v>2048.61382</v>
      </c>
      <c r="AB20" s="6">
        <f t="shared" si="7"/>
        <v>2271.8090999999999</v>
      </c>
      <c r="AC20" t="s">
        <v>17</v>
      </c>
      <c r="AI20">
        <v>12</v>
      </c>
      <c r="AJ20" t="s">
        <v>84</v>
      </c>
      <c r="AK20" t="s">
        <v>93</v>
      </c>
      <c r="AL20" s="10">
        <f t="shared" si="5"/>
        <v>3</v>
      </c>
    </row>
    <row r="21" spans="1:38" x14ac:dyDescent="0.45">
      <c r="A21">
        <v>5</v>
      </c>
      <c r="B21" t="str">
        <f t="shared" si="0"/>
        <v>high·$000·N·100%</v>
      </c>
      <c r="C21">
        <f t="shared" si="2"/>
        <v>13</v>
      </c>
      <c r="D21" t="s">
        <v>82</v>
      </c>
      <c r="E21" s="15">
        <f>E17</f>
        <v>0</v>
      </c>
      <c r="F21" s="33" t="s">
        <v>127</v>
      </c>
      <c r="G21" s="33">
        <v>1</v>
      </c>
      <c r="I21" t="s">
        <v>23</v>
      </c>
      <c r="K21" s="11">
        <f>SUMIFS(ar6_r10!$F$2:$F$999,ar6_r10!$A$2:$A$999,$J$14,ar6_r10!$C$2:$C$999,Veda!K$17,ar6_r10!$M$2:$M$999,Veda!$I21)</f>
        <v>0.02</v>
      </c>
      <c r="L21" s="11">
        <f>SUMIFS(ar6_r10!$F$2:$F$999,ar6_r10!$A$2:$A$999,$J$14,ar6_r10!$C$2:$C$999,Veda!L$17,ar6_r10!$M$2:$M$999,Veda!$I21)</f>
        <v>0.02</v>
      </c>
      <c r="M21" s="11">
        <f>SUMIFS(ar6_r10!$F$2:$F$999,ar6_r10!$A$2:$A$999,$J$14,ar6_r10!$C$2:$C$999,Veda!M$17,ar6_r10!$M$2:$M$999,Veda!$I21)</f>
        <v>0.03</v>
      </c>
      <c r="N21" s="11">
        <f>SUMIFS(ar6_r10!$F$2:$F$999,ar6_r10!$A$2:$A$999,$J$14,ar6_r10!$C$2:$C$999,Veda!N$17,ar6_r10!$M$2:$M$999,Veda!$I21)</f>
        <v>0.04</v>
      </c>
      <c r="O21" s="11">
        <f>SUMIFS(ar6_r10!$F$2:$F$999,ar6_r10!$A$2:$A$999,$J$14,ar6_r10!$C$2:$C$999,Veda!O$17,ar6_r10!$M$2:$M$999,Veda!$I21)</f>
        <v>0.05</v>
      </c>
      <c r="P21" s="11">
        <f>SUMIFS(ar6_r10!$F$2:$F$999,ar6_r10!$A$2:$A$999,$J$14,ar6_r10!$C$2:$C$999,Veda!P$17,ar6_r10!$M$2:$M$999,Veda!$I21)</f>
        <v>0.06</v>
      </c>
      <c r="Q21" s="11">
        <f>SUMIFS(ar6_r10!$F$2:$F$999,ar6_r10!$A$2:$A$999,$J$14,ar6_r10!$C$2:$C$999,Veda!Q$17,ar6_r10!$M$2:$M$999,Veda!$I21)</f>
        <v>0.06</v>
      </c>
      <c r="U21" s="10" t="s">
        <v>24</v>
      </c>
      <c r="V21" s="6">
        <f>K21*V$14</f>
        <v>36.232999999999997</v>
      </c>
      <c r="W21" s="6">
        <f t="shared" ref="W21:AB21" si="8">V21</f>
        <v>36.232999999999997</v>
      </c>
      <c r="X21" s="6">
        <f t="shared" si="8"/>
        <v>36.232999999999997</v>
      </c>
      <c r="Y21" s="6">
        <f t="shared" si="8"/>
        <v>36.232999999999997</v>
      </c>
      <c r="Z21" s="6">
        <f t="shared" si="8"/>
        <v>36.232999999999997</v>
      </c>
      <c r="AA21" s="6">
        <f t="shared" si="8"/>
        <v>36.232999999999997</v>
      </c>
      <c r="AB21" s="6">
        <f t="shared" si="8"/>
        <v>36.232999999999997</v>
      </c>
      <c r="AC21" t="s">
        <v>17</v>
      </c>
      <c r="AE21" s="2" t="s">
        <v>20</v>
      </c>
      <c r="AL21" s="10">
        <f t="shared" si="5"/>
        <v>3</v>
      </c>
    </row>
    <row r="22" spans="1:38" x14ac:dyDescent="0.45">
      <c r="A22">
        <v>5</v>
      </c>
      <c r="B22" t="str">
        <f t="shared" si="0"/>
        <v>high·$100·N·100%</v>
      </c>
      <c r="C22">
        <f t="shared" si="2"/>
        <v>14</v>
      </c>
      <c r="D22" t="s">
        <v>82</v>
      </c>
      <c r="E22" s="15">
        <f t="shared" ref="E22:E24" si="9">E18</f>
        <v>100</v>
      </c>
      <c r="F22" s="33" t="s">
        <v>127</v>
      </c>
      <c r="G22" s="33">
        <v>1</v>
      </c>
      <c r="U22" s="10" t="s">
        <v>25</v>
      </c>
      <c r="V22" s="6">
        <f t="shared" ref="V22:AB22" si="10">V14-SUM(V19:V21)</f>
        <v>54.349500000000035</v>
      </c>
      <c r="W22" s="6">
        <f t="shared" si="10"/>
        <v>52.900179999999636</v>
      </c>
      <c r="X22" s="6">
        <f t="shared" si="10"/>
        <v>214.86168999999973</v>
      </c>
      <c r="Y22" s="6">
        <f t="shared" si="10"/>
        <v>193.30305499999986</v>
      </c>
      <c r="Z22" s="6">
        <f t="shared" si="10"/>
        <v>232.61585999999988</v>
      </c>
      <c r="AA22" s="6">
        <f t="shared" si="10"/>
        <v>336.24223999999958</v>
      </c>
      <c r="AB22" s="6">
        <f t="shared" si="10"/>
        <v>428.4552249999997</v>
      </c>
      <c r="AC22" t="s">
        <v>17</v>
      </c>
      <c r="AL22" s="10">
        <f t="shared" si="5"/>
        <v>3</v>
      </c>
    </row>
    <row r="23" spans="1:38" x14ac:dyDescent="0.45">
      <c r="A23">
        <v>5</v>
      </c>
      <c r="B23" t="str">
        <f t="shared" si="0"/>
        <v>high·$200·N·100%</v>
      </c>
      <c r="C23">
        <f t="shared" si="2"/>
        <v>15</v>
      </c>
      <c r="D23" t="s">
        <v>82</v>
      </c>
      <c r="E23" s="15">
        <f t="shared" si="9"/>
        <v>200</v>
      </c>
      <c r="F23" s="33" t="s">
        <v>127</v>
      </c>
      <c r="G23" s="33">
        <v>1</v>
      </c>
      <c r="U23" s="23" t="s">
        <v>120</v>
      </c>
      <c r="V23" s="24">
        <f>U12</f>
        <v>0</v>
      </c>
      <c r="W23" s="25">
        <f>$U$12*L15</f>
        <v>0</v>
      </c>
      <c r="X23" s="25">
        <f>$U$12*M15</f>
        <v>0</v>
      </c>
      <c r="Y23" s="25">
        <f t="shared" ref="Y23:AB23" si="11">$U$12*N15</f>
        <v>0</v>
      </c>
      <c r="Z23" s="25">
        <f t="shared" si="11"/>
        <v>0</v>
      </c>
      <c r="AA23" s="25">
        <f t="shared" si="11"/>
        <v>0</v>
      </c>
      <c r="AB23" s="25">
        <f t="shared" si="11"/>
        <v>0</v>
      </c>
      <c r="AC23" s="23" t="s">
        <v>17</v>
      </c>
      <c r="AL23" s="10">
        <f t="shared" si="5"/>
        <v>3</v>
      </c>
    </row>
    <row r="24" spans="1:38" ht="14.65" customHeight="1" thickBot="1" x14ac:dyDescent="0.5">
      <c r="A24">
        <v>5</v>
      </c>
      <c r="B24" t="str">
        <f t="shared" si="0"/>
        <v>high·$300·N·100%</v>
      </c>
      <c r="C24">
        <f t="shared" si="2"/>
        <v>16</v>
      </c>
      <c r="D24" t="s">
        <v>82</v>
      </c>
      <c r="E24" s="15">
        <f t="shared" si="9"/>
        <v>300</v>
      </c>
      <c r="F24" s="33" t="s">
        <v>127</v>
      </c>
      <c r="G24" s="33">
        <v>1</v>
      </c>
      <c r="I24" s="10" t="s">
        <v>26</v>
      </c>
      <c r="J24" s="3" t="str">
        <f>VLOOKUP(E5,$M$3:$N$7,2,FALSE)</f>
        <v>C1</v>
      </c>
      <c r="K24" s="8">
        <v>0</v>
      </c>
      <c r="L24" s="8">
        <v>0</v>
      </c>
      <c r="M24" s="8">
        <f>SUMIFS(ar6_r10!$F$2:$F$999,ar6_r10!$A$2:$A$999,$J$24,ar6_r10!$C$2:$C$999,Veda!M$17,ar6_r10!$M$2:$M$999,Veda!$I24)</f>
        <v>176.95</v>
      </c>
      <c r="N24" s="8">
        <f>SUMIFS(ar6_r10!$F$2:$F$999,ar6_r10!$A$2:$A$999,$J$24,ar6_r10!$C$2:$C$999,Veda!N$17,ar6_r10!$M$2:$M$999,Veda!$I24)</f>
        <v>242.69</v>
      </c>
      <c r="O24" s="8">
        <f>SUMIFS(ar6_r10!$F$2:$F$999,ar6_r10!$A$2:$A$999,$J$24,ar6_r10!$C$2:$C$999,Veda!O$17,ar6_r10!$M$2:$M$999,Veda!$I24)</f>
        <v>325.37</v>
      </c>
      <c r="P24" s="8">
        <f>SUMIFS(ar6_r10!$F$2:$F$999,ar6_r10!$A$2:$A$999,$J$24,ar6_r10!$C$2:$C$999,Veda!P$17,ar6_r10!$M$2:$M$999,Veda!$I24)</f>
        <v>430.26</v>
      </c>
      <c r="Q24" s="8">
        <f>SUMIFS(ar6_r10!$F$2:$F$999,ar6_r10!$A$2:$A$999,$J$24,ar6_r10!$C$2:$C$999,Veda!Q$17,ar6_r10!$M$2:$M$999,Veda!$I24)</f>
        <v>592.32000000000005</v>
      </c>
      <c r="U24" s="26" t="s">
        <v>27</v>
      </c>
      <c r="V24" s="27"/>
      <c r="W24" s="27">
        <v>0</v>
      </c>
      <c r="X24" s="28">
        <f>M24/1000</f>
        <v>0.17695</v>
      </c>
      <c r="Y24" s="28">
        <f>N24/1000</f>
        <v>0.24268999999999999</v>
      </c>
      <c r="Z24" s="28">
        <f>O24/1000</f>
        <v>0.32536999999999999</v>
      </c>
      <c r="AA24" s="28">
        <f>P24/1000</f>
        <v>0.43025999999999998</v>
      </c>
      <c r="AB24" s="28">
        <f>Q24/1000</f>
        <v>0.59232000000000007</v>
      </c>
      <c r="AC24" s="29" t="s">
        <v>28</v>
      </c>
      <c r="AL24" s="10">
        <f t="shared" si="5"/>
        <v>4</v>
      </c>
    </row>
    <row r="25" spans="1:38" ht="14.65" customHeight="1" thickTop="1" x14ac:dyDescent="0.45">
      <c r="A25">
        <v>5</v>
      </c>
      <c r="B25" t="str">
        <f t="shared" si="0"/>
        <v>base·$000·Y·001%</v>
      </c>
      <c r="C25">
        <f t="shared" si="2"/>
        <v>17</v>
      </c>
      <c r="D25" t="s">
        <v>114</v>
      </c>
      <c r="E25" s="15">
        <v>0</v>
      </c>
      <c r="F25" s="33" t="s">
        <v>126</v>
      </c>
      <c r="G25" s="33">
        <v>0.01</v>
      </c>
      <c r="AL25" s="10">
        <f t="shared" si="5"/>
        <v>4</v>
      </c>
    </row>
    <row r="26" spans="1:38" ht="17.649999999999999" customHeight="1" thickBot="1" x14ac:dyDescent="0.6">
      <c r="A26">
        <v>5</v>
      </c>
      <c r="B26" t="str">
        <f t="shared" si="0"/>
        <v>base·$100·Y·001%</v>
      </c>
      <c r="C26">
        <f t="shared" si="2"/>
        <v>18</v>
      </c>
      <c r="D26" t="s">
        <v>114</v>
      </c>
      <c r="E26" s="15">
        <v>100</v>
      </c>
      <c r="F26" s="33" t="s">
        <v>126</v>
      </c>
      <c r="G26" s="33">
        <v>0.01</v>
      </c>
      <c r="U26" s="5" t="s">
        <v>12</v>
      </c>
      <c r="AL26" s="10">
        <f t="shared" si="5"/>
        <v>4</v>
      </c>
    </row>
    <row r="27" spans="1:38" ht="15" customHeight="1" thickTop="1" thickBot="1" x14ac:dyDescent="0.5">
      <c r="A27">
        <v>5</v>
      </c>
      <c r="B27" t="str">
        <f t="shared" si="0"/>
        <v>base·$200·Y·001%</v>
      </c>
      <c r="C27">
        <f t="shared" si="2"/>
        <v>19</v>
      </c>
      <c r="D27" t="s">
        <v>114</v>
      </c>
      <c r="E27" s="15">
        <v>200</v>
      </c>
      <c r="F27" s="33" t="s">
        <v>126</v>
      </c>
      <c r="G27" s="33">
        <v>0.01</v>
      </c>
      <c r="U27" s="4" t="s">
        <v>29</v>
      </c>
      <c r="V27" s="4">
        <f t="shared" ref="V27:AB27" si="12">V17</f>
        <v>2022</v>
      </c>
      <c r="W27" s="4">
        <f t="shared" si="12"/>
        <v>2025</v>
      </c>
      <c r="X27" s="4">
        <f t="shared" si="12"/>
        <v>2030</v>
      </c>
      <c r="Y27" s="4">
        <f t="shared" si="12"/>
        <v>2035</v>
      </c>
      <c r="Z27" s="4">
        <f t="shared" si="12"/>
        <v>2040</v>
      </c>
      <c r="AA27" s="4">
        <f t="shared" si="12"/>
        <v>2045</v>
      </c>
      <c r="AB27" s="4">
        <f t="shared" si="12"/>
        <v>2050</v>
      </c>
      <c r="AC27" s="4" t="s">
        <v>14</v>
      </c>
      <c r="AD27" s="4" t="s">
        <v>30</v>
      </c>
      <c r="AL27" s="10">
        <f t="shared" si="5"/>
        <v>4</v>
      </c>
    </row>
    <row r="28" spans="1:38" ht="14.65" customHeight="1" thickBot="1" x14ac:dyDescent="0.5">
      <c r="A28">
        <v>5</v>
      </c>
      <c r="B28" t="str">
        <f t="shared" si="0"/>
        <v>base·$300·Y·001%</v>
      </c>
      <c r="C28">
        <f t="shared" si="2"/>
        <v>20</v>
      </c>
      <c r="D28" t="s">
        <v>114</v>
      </c>
      <c r="E28" s="15">
        <v>300</v>
      </c>
      <c r="F28" s="33" t="s">
        <v>126</v>
      </c>
      <c r="G28" s="33">
        <v>0.01</v>
      </c>
      <c r="S28" s="3">
        <f>SUMIFS(iea_data!G3:G9999,iea_data!$B$3:$B$9999,Veda!$U$10)</f>
        <v>7.84</v>
      </c>
      <c r="U28" t="s">
        <v>31</v>
      </c>
      <c r="V28" s="3">
        <f>S28</f>
        <v>7.84</v>
      </c>
      <c r="X28" s="6"/>
      <c r="Y28" s="6"/>
      <c r="Z28" s="6"/>
      <c r="AA28" s="6"/>
      <c r="AB28" s="6"/>
      <c r="AC28" t="s">
        <v>32</v>
      </c>
      <c r="AD28" t="s">
        <v>33</v>
      </c>
      <c r="AL28" s="10">
        <f t="shared" si="5"/>
        <v>4</v>
      </c>
    </row>
    <row r="29" spans="1:38" ht="15" customHeight="1" thickTop="1" thickBot="1" x14ac:dyDescent="0.5">
      <c r="A29">
        <v>5</v>
      </c>
      <c r="B29" t="str">
        <f t="shared" si="0"/>
        <v>high·$000·Y·001%</v>
      </c>
      <c r="C29">
        <f t="shared" si="2"/>
        <v>21</v>
      </c>
      <c r="D29" t="s">
        <v>82</v>
      </c>
      <c r="E29" s="15">
        <f>E25</f>
        <v>0</v>
      </c>
      <c r="F29" s="33" t="s">
        <v>126</v>
      </c>
      <c r="G29" s="33">
        <v>0.01</v>
      </c>
      <c r="S29" s="3">
        <f>SUMIFS(iea_data!H3:H9999,iea_data!$B$3:$B$9999,Veda!$U$10)</f>
        <v>-10.25</v>
      </c>
      <c r="U29" t="s">
        <v>34</v>
      </c>
      <c r="V29" s="3">
        <f>-1*S29</f>
        <v>10.25</v>
      </c>
      <c r="X29" s="6"/>
      <c r="Y29" s="6"/>
      <c r="Z29" s="6"/>
      <c r="AA29" s="6"/>
      <c r="AB29" s="6"/>
      <c r="AC29" t="s">
        <v>32</v>
      </c>
      <c r="AD29" t="s">
        <v>33</v>
      </c>
      <c r="AL29" s="10">
        <f t="shared" si="5"/>
        <v>5</v>
      </c>
    </row>
    <row r="30" spans="1:38" ht="14.65" customHeight="1" thickTop="1" x14ac:dyDescent="0.45">
      <c r="A30">
        <v>5</v>
      </c>
      <c r="B30" t="str">
        <f t="shared" si="0"/>
        <v>high·$100·Y·001%</v>
      </c>
      <c r="C30">
        <f t="shared" si="2"/>
        <v>22</v>
      </c>
      <c r="D30" t="s">
        <v>82</v>
      </c>
      <c r="E30" s="15">
        <f t="shared" ref="E30:E32" si="13">E26</f>
        <v>100</v>
      </c>
      <c r="F30" s="33" t="s">
        <v>126</v>
      </c>
      <c r="G30" s="33">
        <v>0.01</v>
      </c>
      <c r="AL30" s="10">
        <f t="shared" si="5"/>
        <v>5</v>
      </c>
    </row>
    <row r="31" spans="1:38" x14ac:dyDescent="0.45">
      <c r="A31">
        <v>5</v>
      </c>
      <c r="B31" t="str">
        <f t="shared" si="0"/>
        <v>high·$200·Y·001%</v>
      </c>
      <c r="C31">
        <f t="shared" si="2"/>
        <v>23</v>
      </c>
      <c r="D31" t="s">
        <v>82</v>
      </c>
      <c r="E31" s="15">
        <f t="shared" si="13"/>
        <v>200</v>
      </c>
      <c r="F31" s="33" t="s">
        <v>126</v>
      </c>
      <c r="G31" s="33">
        <v>0.01</v>
      </c>
      <c r="AL31" s="10">
        <f t="shared" si="5"/>
        <v>5</v>
      </c>
    </row>
    <row r="32" spans="1:38" x14ac:dyDescent="0.45">
      <c r="A32">
        <v>5</v>
      </c>
      <c r="B32" t="str">
        <f t="shared" si="0"/>
        <v>high·$300·Y·001%</v>
      </c>
      <c r="C32">
        <f t="shared" si="2"/>
        <v>24</v>
      </c>
      <c r="D32" t="s">
        <v>82</v>
      </c>
      <c r="E32" s="15">
        <f t="shared" si="13"/>
        <v>300</v>
      </c>
      <c r="F32" s="33" t="s">
        <v>126</v>
      </c>
      <c r="G32" s="33">
        <v>0.01</v>
      </c>
      <c r="AL32" s="10">
        <f t="shared" si="5"/>
        <v>5</v>
      </c>
    </row>
    <row r="33" spans="1:38" x14ac:dyDescent="0.45">
      <c r="A33">
        <v>5</v>
      </c>
      <c r="B33" t="str">
        <f t="shared" si="0"/>
        <v>base·$000·N·001%</v>
      </c>
      <c r="C33">
        <f t="shared" si="2"/>
        <v>25</v>
      </c>
      <c r="D33" t="s">
        <v>114</v>
      </c>
      <c r="E33" s="15">
        <v>0</v>
      </c>
      <c r="F33" s="33" t="s">
        <v>127</v>
      </c>
      <c r="G33" s="33">
        <v>0.01</v>
      </c>
      <c r="AL33" s="10">
        <f t="shared" si="5"/>
        <v>5</v>
      </c>
    </row>
    <row r="34" spans="1:38" x14ac:dyDescent="0.45">
      <c r="A34">
        <v>5</v>
      </c>
      <c r="B34" t="str">
        <f t="shared" si="0"/>
        <v>base·$100·N·001%</v>
      </c>
      <c r="C34">
        <f t="shared" si="2"/>
        <v>26</v>
      </c>
      <c r="D34" t="s">
        <v>114</v>
      </c>
      <c r="E34" s="15">
        <v>100</v>
      </c>
      <c r="F34" s="33" t="s">
        <v>127</v>
      </c>
      <c r="G34" s="33">
        <v>0.01</v>
      </c>
      <c r="AL34" s="10">
        <f t="shared" si="5"/>
        <v>6</v>
      </c>
    </row>
    <row r="35" spans="1:38" x14ac:dyDescent="0.45">
      <c r="A35">
        <v>5</v>
      </c>
      <c r="B35" t="str">
        <f t="shared" si="0"/>
        <v>base·$200·N·001%</v>
      </c>
      <c r="C35">
        <f t="shared" si="2"/>
        <v>27</v>
      </c>
      <c r="D35" t="s">
        <v>114</v>
      </c>
      <c r="E35" s="15">
        <v>200</v>
      </c>
      <c r="F35" s="33" t="s">
        <v>127</v>
      </c>
      <c r="G35" s="33">
        <v>0.01</v>
      </c>
      <c r="AL35" s="10">
        <f t="shared" si="5"/>
        <v>6</v>
      </c>
    </row>
    <row r="36" spans="1:38" x14ac:dyDescent="0.45">
      <c r="A36">
        <v>5</v>
      </c>
      <c r="B36" t="str">
        <f t="shared" si="0"/>
        <v>base·$300·N·001%</v>
      </c>
      <c r="C36">
        <f t="shared" si="2"/>
        <v>28</v>
      </c>
      <c r="D36" t="s">
        <v>114</v>
      </c>
      <c r="E36" s="15">
        <v>300</v>
      </c>
      <c r="F36" s="33" t="s">
        <v>127</v>
      </c>
      <c r="G36" s="33">
        <v>0.01</v>
      </c>
      <c r="I36" s="2" t="s">
        <v>9</v>
      </c>
      <c r="AL36" s="10">
        <f t="shared" si="5"/>
        <v>6</v>
      </c>
    </row>
    <row r="37" spans="1:38" x14ac:dyDescent="0.45">
      <c r="A37">
        <v>5</v>
      </c>
      <c r="B37" t="str">
        <f t="shared" si="0"/>
        <v>high·$000·N·001%</v>
      </c>
      <c r="C37">
        <f t="shared" si="2"/>
        <v>29</v>
      </c>
      <c r="D37" t="s">
        <v>82</v>
      </c>
      <c r="E37" s="15">
        <f>E33</f>
        <v>0</v>
      </c>
      <c r="F37" s="33" t="s">
        <v>127</v>
      </c>
      <c r="G37" s="33">
        <v>0.01</v>
      </c>
      <c r="I37" t="s">
        <v>73</v>
      </c>
      <c r="K37" s="11">
        <f>SUMIFS(ar6_r10!$J$2:$J$999,ar6_r10!$A$2:$A$999,Veda!$I$36,ar6_r10!$C$2:$C$999,Veda!K$17,ar6_r10!$M$2:$M$999,Veda!$I37)</f>
        <v>1</v>
      </c>
      <c r="L37" s="11">
        <f>SUMIFS(ar6_r10!$J$2:$J$999,ar6_r10!$A$2:$A$999,Veda!$I$36,ar6_r10!$C$2:$C$999,Veda!L$17,ar6_r10!$M$2:$M$999,Veda!$I37)</f>
        <v>1.04</v>
      </c>
      <c r="M37" s="11">
        <f>SUMIFS(ar6_r10!$J$2:$J$999,ar6_r10!$A$2:$A$999,Veda!$I$36,ar6_r10!$C$2:$C$999,Veda!M$17,ar6_r10!$M$2:$M$999,Veda!$I37)</f>
        <v>1.1000000000000001</v>
      </c>
      <c r="N37" s="11">
        <f>SUMIFS(ar6_r10!$J$2:$J$999,ar6_r10!$A$2:$A$999,Veda!$I$36,ar6_r10!$C$2:$C$999,Veda!N$17,ar6_r10!$M$2:$M$999,Veda!$I37)</f>
        <v>1.08</v>
      </c>
      <c r="O37" s="11">
        <f>SUMIFS(ar6_r10!$J$2:$J$999,ar6_r10!$A$2:$A$999,Veda!$I$36,ar6_r10!$C$2:$C$999,Veda!O$17,ar6_r10!$M$2:$M$999,Veda!$I37)</f>
        <v>1.24</v>
      </c>
      <c r="P37" s="11">
        <f>SUMIFS(ar6_r10!$J$2:$J$999,ar6_r10!$A$2:$A$999,Veda!$I$36,ar6_r10!$C$2:$C$999,Veda!P$17,ar6_r10!$M$2:$M$999,Veda!$I37)</f>
        <v>1.3</v>
      </c>
      <c r="Q37" s="11">
        <f>SUMIFS(ar6_r10!$J$2:$J$999,ar6_r10!$A$2:$A$999,Veda!$I$36,ar6_r10!$C$2:$C$999,Veda!Q$17,ar6_r10!$M$2:$M$999,Veda!$I37)</f>
        <v>1.33</v>
      </c>
      <c r="AL37" s="10">
        <f t="shared" si="5"/>
        <v>6</v>
      </c>
    </row>
    <row r="38" spans="1:38" x14ac:dyDescent="0.45">
      <c r="A38">
        <v>5</v>
      </c>
      <c r="B38" t="str">
        <f t="shared" si="0"/>
        <v>high·$100·N·001%</v>
      </c>
      <c r="C38">
        <f t="shared" si="2"/>
        <v>30</v>
      </c>
      <c r="D38" t="s">
        <v>82</v>
      </c>
      <c r="E38" s="15">
        <f t="shared" ref="E38:E40" si="14">E34</f>
        <v>100</v>
      </c>
      <c r="F38" s="33" t="s">
        <v>127</v>
      </c>
      <c r="G38" s="33">
        <v>0.01</v>
      </c>
      <c r="I38" t="s">
        <v>74</v>
      </c>
      <c r="K38" s="11">
        <f>SUMIFS(ar6_r10!$J$2:$J$999,ar6_r10!$A$2:$A$999,Veda!$I$36,ar6_r10!$C$2:$C$999,Veda!K$17,ar6_r10!$M$2:$M$999,Veda!$I38)</f>
        <v>1</v>
      </c>
      <c r="L38" s="11">
        <f>SUMIFS(ar6_r10!$J$2:$J$999,ar6_r10!$A$2:$A$999,Veda!$I$36,ar6_r10!$C$2:$C$999,Veda!L$17,ar6_r10!$M$2:$M$999,Veda!$I38)</f>
        <v>1.06</v>
      </c>
      <c r="M38" s="11">
        <f>SUMIFS(ar6_r10!$J$2:$J$999,ar6_r10!$A$2:$A$999,Veda!$I$36,ar6_r10!$C$2:$C$999,Veda!M$17,ar6_r10!$M$2:$M$999,Veda!$I38)</f>
        <v>1.1299999999999999</v>
      </c>
      <c r="N38" s="11">
        <f>SUMIFS(ar6_r10!$J$2:$J$999,ar6_r10!$A$2:$A$999,Veda!$I$36,ar6_r10!$C$2:$C$999,Veda!N$17,ar6_r10!$M$2:$M$999,Veda!$I38)</f>
        <v>1.17</v>
      </c>
      <c r="O38" s="11">
        <f>SUMIFS(ar6_r10!$J$2:$J$999,ar6_r10!$A$2:$A$999,Veda!$I$36,ar6_r10!$C$2:$C$999,Veda!O$17,ar6_r10!$M$2:$M$999,Veda!$I38)</f>
        <v>1.22</v>
      </c>
      <c r="P38" s="11">
        <f>SUMIFS(ar6_r10!$J$2:$J$999,ar6_r10!$A$2:$A$999,Veda!$I$36,ar6_r10!$C$2:$C$999,Veda!P$17,ar6_r10!$M$2:$M$999,Veda!$I38)</f>
        <v>1.26</v>
      </c>
      <c r="Q38" s="11">
        <f>SUMIFS(ar6_r10!$J$2:$J$999,ar6_r10!$A$2:$A$999,Veda!$I$36,ar6_r10!$C$2:$C$999,Veda!Q$17,ar6_r10!$M$2:$M$999,Veda!$I38)</f>
        <v>1.3</v>
      </c>
      <c r="AL38" s="10">
        <f t="shared" si="5"/>
        <v>6</v>
      </c>
    </row>
    <row r="39" spans="1:38" x14ac:dyDescent="0.45">
      <c r="A39">
        <v>5</v>
      </c>
      <c r="B39" t="str">
        <f t="shared" si="0"/>
        <v>high·$200·N·001%</v>
      </c>
      <c r="C39">
        <f t="shared" si="2"/>
        <v>31</v>
      </c>
      <c r="D39" t="s">
        <v>82</v>
      </c>
      <c r="E39" s="15">
        <f t="shared" si="14"/>
        <v>200</v>
      </c>
      <c r="F39" s="33" t="s">
        <v>127</v>
      </c>
      <c r="G39" s="33">
        <v>0.01</v>
      </c>
      <c r="I39" t="s">
        <v>75</v>
      </c>
      <c r="K39" s="11">
        <f>SUMIFS(ar6_r10!$J$2:$J$999,ar6_r10!$A$2:$A$999,Veda!$I$36,ar6_r10!$C$2:$C$999,Veda!K$17,ar6_r10!$M$2:$M$999,Veda!$I39)</f>
        <v>1</v>
      </c>
      <c r="L39" s="11">
        <f>SUMIFS(ar6_r10!$J$2:$J$999,ar6_r10!$A$2:$A$999,Veda!$I$36,ar6_r10!$C$2:$C$999,Veda!L$17,ar6_r10!$M$2:$M$999,Veda!$I39)</f>
        <v>1.08</v>
      </c>
      <c r="M39" s="11">
        <f>SUMIFS(ar6_r10!$J$2:$J$999,ar6_r10!$A$2:$A$999,Veda!$I$36,ar6_r10!$C$2:$C$999,Veda!M$17,ar6_r10!$M$2:$M$999,Veda!$I39)</f>
        <v>1.1399999999999999</v>
      </c>
      <c r="N39" s="11">
        <f>SUMIFS(ar6_r10!$J$2:$J$999,ar6_r10!$A$2:$A$999,Veda!$I$36,ar6_r10!$C$2:$C$999,Veda!N$17,ar6_r10!$M$2:$M$999,Veda!$I39)</f>
        <v>1.2</v>
      </c>
      <c r="O39" s="11">
        <f>SUMIFS(ar6_r10!$J$2:$J$999,ar6_r10!$A$2:$A$999,Veda!$I$36,ar6_r10!$C$2:$C$999,Veda!O$17,ar6_r10!$M$2:$M$999,Veda!$I39)</f>
        <v>1.27</v>
      </c>
      <c r="P39" s="11">
        <f>SUMIFS(ar6_r10!$J$2:$J$999,ar6_r10!$A$2:$A$999,Veda!$I$36,ar6_r10!$C$2:$C$999,Veda!P$17,ar6_r10!$M$2:$M$999,Veda!$I39)</f>
        <v>1.3</v>
      </c>
      <c r="Q39" s="11">
        <f>SUMIFS(ar6_r10!$J$2:$J$999,ar6_r10!$A$2:$A$999,Veda!$I$36,ar6_r10!$C$2:$C$999,Veda!Q$17,ar6_r10!$M$2:$M$999,Veda!$I39)</f>
        <v>1.32</v>
      </c>
      <c r="AL39" s="10">
        <f t="shared" si="5"/>
        <v>7</v>
      </c>
    </row>
    <row r="40" spans="1:38" x14ac:dyDescent="0.45">
      <c r="A40">
        <v>5</v>
      </c>
      <c r="B40" t="str">
        <f t="shared" si="0"/>
        <v>high·$300·N·001%</v>
      </c>
      <c r="C40">
        <f t="shared" si="2"/>
        <v>32</v>
      </c>
      <c r="D40" t="s">
        <v>82</v>
      </c>
      <c r="E40" s="15">
        <f t="shared" si="14"/>
        <v>300</v>
      </c>
      <c r="F40" s="33" t="s">
        <v>127</v>
      </c>
      <c r="G40" s="33">
        <v>0.01</v>
      </c>
      <c r="I40" t="s">
        <v>76</v>
      </c>
      <c r="K40" s="11">
        <f>SUMIFS(ar6_r10!$J$2:$J$999,ar6_r10!$A$2:$A$999,Veda!$I$36,ar6_r10!$C$2:$C$999,Veda!K$17,ar6_r10!$M$2:$M$999,Veda!$I40)</f>
        <v>1</v>
      </c>
      <c r="L40" s="11">
        <f>SUMIFS(ar6_r10!$J$2:$J$999,ar6_r10!$A$2:$A$999,Veda!$I$36,ar6_r10!$C$2:$C$999,Veda!L$17,ar6_r10!$M$2:$M$999,Veda!$I40)</f>
        <v>1.05</v>
      </c>
      <c r="M40" s="11">
        <f>SUMIFS(ar6_r10!$J$2:$J$999,ar6_r10!$A$2:$A$999,Veda!$I$36,ar6_r10!$C$2:$C$999,Veda!M$17,ar6_r10!$M$2:$M$999,Veda!$I40)</f>
        <v>1.03</v>
      </c>
      <c r="N40" s="11">
        <f>SUMIFS(ar6_r10!$J$2:$J$999,ar6_r10!$A$2:$A$999,Veda!$I$36,ar6_r10!$C$2:$C$999,Veda!N$17,ar6_r10!$M$2:$M$999,Veda!$I40)</f>
        <v>0.98</v>
      </c>
      <c r="O40" s="11">
        <f>SUMIFS(ar6_r10!$J$2:$J$999,ar6_r10!$A$2:$A$999,Veda!$I$36,ar6_r10!$C$2:$C$999,Veda!O$17,ar6_r10!$M$2:$M$999,Veda!$I40)</f>
        <v>0.99</v>
      </c>
      <c r="P40" s="11">
        <f>SUMIFS(ar6_r10!$J$2:$J$999,ar6_r10!$A$2:$A$999,Veda!$I$36,ar6_r10!$C$2:$C$999,Veda!P$17,ar6_r10!$M$2:$M$999,Veda!$I40)</f>
        <v>0.93</v>
      </c>
      <c r="Q40" s="11">
        <f>SUMIFS(ar6_r10!$J$2:$J$999,ar6_r10!$A$2:$A$999,Veda!$I$36,ar6_r10!$C$2:$C$999,Veda!Q$17,ar6_r10!$M$2:$M$999,Veda!$I40)</f>
        <v>0.91</v>
      </c>
      <c r="AL40" s="10">
        <f t="shared" si="5"/>
        <v>7</v>
      </c>
    </row>
    <row r="41" spans="1:38" x14ac:dyDescent="0.45">
      <c r="A41">
        <v>6</v>
      </c>
      <c r="B41" t="str">
        <f t="shared" ref="B41:B48" si="15">_xlfn.TEXTJOIN(CHAR(183),TRUE,D41,TEXT(E41,"$000"),F41,TEXT(G41,"000%"))</f>
        <v>base·$600·Y·100%</v>
      </c>
      <c r="C41">
        <f t="shared" si="2"/>
        <v>33</v>
      </c>
      <c r="D41" t="s">
        <v>114</v>
      </c>
      <c r="E41">
        <v>600</v>
      </c>
      <c r="F41" s="33" t="s">
        <v>126</v>
      </c>
      <c r="G41" s="33">
        <v>1</v>
      </c>
      <c r="AL41" s="10">
        <f t="shared" si="5"/>
        <v>7</v>
      </c>
    </row>
    <row r="42" spans="1:38" x14ac:dyDescent="0.45">
      <c r="A42">
        <v>7</v>
      </c>
      <c r="B42" t="str">
        <f t="shared" si="15"/>
        <v>high·$600·Y·100%</v>
      </c>
      <c r="C42">
        <f t="shared" si="2"/>
        <v>34</v>
      </c>
      <c r="D42" t="s">
        <v>82</v>
      </c>
      <c r="E42">
        <v>600</v>
      </c>
      <c r="F42" s="33" t="s">
        <v>126</v>
      </c>
      <c r="G42" s="33">
        <v>1</v>
      </c>
      <c r="AL42" s="10">
        <f t="shared" si="5"/>
        <v>7</v>
      </c>
    </row>
    <row r="43" spans="1:38" x14ac:dyDescent="0.45">
      <c r="A43">
        <v>8</v>
      </c>
      <c r="B43" t="str">
        <f t="shared" si="15"/>
        <v>base·$600·N·100%</v>
      </c>
      <c r="C43">
        <f t="shared" si="2"/>
        <v>35</v>
      </c>
      <c r="D43" t="s">
        <v>114</v>
      </c>
      <c r="E43">
        <v>600</v>
      </c>
      <c r="F43" s="33" t="s">
        <v>127</v>
      </c>
      <c r="G43" s="33">
        <v>1</v>
      </c>
      <c r="I43" t="s">
        <v>101</v>
      </c>
      <c r="AL43" s="10">
        <f t="shared" si="5"/>
        <v>7</v>
      </c>
    </row>
    <row r="44" spans="1:38" x14ac:dyDescent="0.45">
      <c r="A44">
        <v>9</v>
      </c>
      <c r="B44" t="str">
        <f t="shared" si="15"/>
        <v>high·$600·N·100%</v>
      </c>
      <c r="C44">
        <f t="shared" si="2"/>
        <v>36</v>
      </c>
      <c r="D44" t="s">
        <v>82</v>
      </c>
      <c r="E44">
        <v>600</v>
      </c>
      <c r="F44" s="33" t="s">
        <v>127</v>
      </c>
      <c r="G44" s="33">
        <v>1</v>
      </c>
      <c r="I44" t="s">
        <v>13</v>
      </c>
      <c r="J44" t="s">
        <v>86</v>
      </c>
      <c r="K44">
        <v>2022</v>
      </c>
      <c r="L44">
        <f>L17</f>
        <v>2025</v>
      </c>
      <c r="M44">
        <f t="shared" ref="M44:Q44" si="16">M17</f>
        <v>2030</v>
      </c>
      <c r="N44">
        <f t="shared" si="16"/>
        <v>2035</v>
      </c>
      <c r="O44">
        <f t="shared" si="16"/>
        <v>2040</v>
      </c>
      <c r="P44">
        <f t="shared" si="16"/>
        <v>2045</v>
      </c>
      <c r="Q44">
        <f t="shared" si="16"/>
        <v>2050</v>
      </c>
      <c r="T44" t="s">
        <v>81</v>
      </c>
      <c r="U44" t="s">
        <v>82</v>
      </c>
      <c r="AL44" s="10">
        <f t="shared" si="5"/>
        <v>8</v>
      </c>
    </row>
    <row r="45" spans="1:38" x14ac:dyDescent="0.45">
      <c r="A45">
        <v>10</v>
      </c>
      <c r="B45" t="str">
        <f t="shared" si="15"/>
        <v>base·$600·Y·001%</v>
      </c>
      <c r="C45">
        <f t="shared" si="2"/>
        <v>37</v>
      </c>
      <c r="D45" t="s">
        <v>114</v>
      </c>
      <c r="E45">
        <v>600</v>
      </c>
      <c r="F45" s="33" t="str">
        <f>F41</f>
        <v>Y</v>
      </c>
      <c r="G45" s="33">
        <v>0.01</v>
      </c>
      <c r="I45" t="s">
        <v>77</v>
      </c>
      <c r="J45" t="str">
        <f>I45</f>
        <v>Gas</v>
      </c>
      <c r="K45">
        <f>AVERAGE($T45)*K37</f>
        <v>30.9</v>
      </c>
      <c r="L45">
        <f t="shared" ref="L45:Q45" si="17">AVERAGE($T45)*L37</f>
        <v>32.136000000000003</v>
      </c>
      <c r="M45">
        <f t="shared" si="17"/>
        <v>33.99</v>
      </c>
      <c r="N45">
        <f t="shared" si="17"/>
        <v>33.372</v>
      </c>
      <c r="O45">
        <f t="shared" si="17"/>
        <v>38.315999999999995</v>
      </c>
      <c r="P45">
        <f t="shared" si="17"/>
        <v>40.17</v>
      </c>
      <c r="Q45">
        <f t="shared" si="17"/>
        <v>41.097000000000001</v>
      </c>
      <c r="T45">
        <f>HLOOKUP($I45&amp;"_"&amp;T$44,fuel_prices!$B$10:$I$11,2,FALSE)</f>
        <v>30.9</v>
      </c>
      <c r="U45">
        <f>HLOOKUP($I45&amp;"_"&amp;U$44,fuel_prices!$B$10:$I$11,2,FALSE)</f>
        <v>41.1</v>
      </c>
      <c r="AL45" s="10">
        <f t="shared" si="5"/>
        <v>8</v>
      </c>
    </row>
    <row r="46" spans="1:38" x14ac:dyDescent="0.45">
      <c r="A46">
        <v>11</v>
      </c>
      <c r="B46" t="str">
        <f t="shared" si="15"/>
        <v>high·$600·Y·001%</v>
      </c>
      <c r="C46">
        <f t="shared" si="2"/>
        <v>38</v>
      </c>
      <c r="D46" t="s">
        <v>82</v>
      </c>
      <c r="E46">
        <v>600</v>
      </c>
      <c r="F46" s="33" t="str">
        <f t="shared" ref="F46:F48" si="18">F42</f>
        <v>Y</v>
      </c>
      <c r="G46" s="33">
        <v>0.01</v>
      </c>
      <c r="I46" t="s">
        <v>78</v>
      </c>
      <c r="J46" t="str">
        <f t="shared" ref="J46:J48" si="19">I46</f>
        <v>Coal</v>
      </c>
      <c r="K46">
        <f t="shared" ref="K46:Q48" si="20">AVERAGE($T46:$U46)*K38</f>
        <v>9.8000000000000007</v>
      </c>
      <c r="L46">
        <f t="shared" si="20"/>
        <v>10.388000000000002</v>
      </c>
      <c r="M46">
        <f t="shared" si="20"/>
        <v>11.074</v>
      </c>
      <c r="N46">
        <f t="shared" si="20"/>
        <v>11.465999999999999</v>
      </c>
      <c r="O46">
        <f t="shared" si="20"/>
        <v>11.956000000000001</v>
      </c>
      <c r="P46">
        <f t="shared" si="20"/>
        <v>12.348000000000001</v>
      </c>
      <c r="Q46">
        <f t="shared" si="20"/>
        <v>12.740000000000002</v>
      </c>
      <c r="T46">
        <f>HLOOKUP($I46&amp;"_"&amp;T$44,fuel_prices!$B$10:$I$11,2,FALSE)</f>
        <v>8.6</v>
      </c>
      <c r="U46">
        <f>HLOOKUP($I46&amp;"_"&amp;U$44,fuel_prices!$B$10:$I$11,2,FALSE)</f>
        <v>11</v>
      </c>
      <c r="AL46" s="10">
        <f t="shared" si="5"/>
        <v>8</v>
      </c>
    </row>
    <row r="47" spans="1:38" x14ac:dyDescent="0.45">
      <c r="A47">
        <v>12</v>
      </c>
      <c r="B47" t="str">
        <f t="shared" si="15"/>
        <v>base·$600·N·001%</v>
      </c>
      <c r="C47">
        <f t="shared" si="2"/>
        <v>39</v>
      </c>
      <c r="D47" t="s">
        <v>114</v>
      </c>
      <c r="E47">
        <v>600</v>
      </c>
      <c r="F47" s="33" t="str">
        <f t="shared" si="18"/>
        <v>N</v>
      </c>
      <c r="G47" s="33">
        <v>0.01</v>
      </c>
      <c r="I47" t="s">
        <v>79</v>
      </c>
      <c r="J47" t="str">
        <f t="shared" si="19"/>
        <v>Oil</v>
      </c>
      <c r="K47">
        <f t="shared" si="20"/>
        <v>50</v>
      </c>
      <c r="L47">
        <f t="shared" si="20"/>
        <v>54</v>
      </c>
      <c r="M47">
        <f t="shared" si="20"/>
        <v>56.999999999999993</v>
      </c>
      <c r="N47">
        <f t="shared" si="20"/>
        <v>60</v>
      </c>
      <c r="O47">
        <f t="shared" si="20"/>
        <v>63.5</v>
      </c>
      <c r="P47">
        <f t="shared" si="20"/>
        <v>65</v>
      </c>
      <c r="Q47">
        <f t="shared" si="20"/>
        <v>66</v>
      </c>
      <c r="T47">
        <f>HLOOKUP($I47&amp;"_"&amp;T$44,fuel_prices!$B$10:$I$11,2,FALSE)</f>
        <v>45</v>
      </c>
      <c r="U47">
        <f>HLOOKUP($I47&amp;"_"&amp;U$44,fuel_prices!$B$10:$I$11,2,FALSE)</f>
        <v>55</v>
      </c>
      <c r="AL47" s="10">
        <f t="shared" si="5"/>
        <v>8</v>
      </c>
    </row>
    <row r="48" spans="1:38" x14ac:dyDescent="0.45">
      <c r="A48">
        <v>13</v>
      </c>
      <c r="B48" t="str">
        <f t="shared" si="15"/>
        <v>high·$600·N·001%</v>
      </c>
      <c r="C48">
        <f t="shared" si="2"/>
        <v>40</v>
      </c>
      <c r="D48" t="s">
        <v>82</v>
      </c>
      <c r="E48">
        <v>600</v>
      </c>
      <c r="F48" s="33" t="str">
        <f t="shared" si="18"/>
        <v>N</v>
      </c>
      <c r="G48" s="33">
        <v>0.01</v>
      </c>
      <c r="I48" t="s">
        <v>80</v>
      </c>
      <c r="J48" t="str">
        <f t="shared" si="19"/>
        <v>Bioenergy</v>
      </c>
      <c r="K48">
        <f t="shared" si="20"/>
        <v>18.5</v>
      </c>
      <c r="Q48">
        <f>K48*2.5</f>
        <v>46.25</v>
      </c>
      <c r="T48">
        <f>HLOOKUP($I48&amp;"_"&amp;T$44,fuel_prices!$B$10:$I$11,2,FALSE)</f>
        <v>15</v>
      </c>
      <c r="U48">
        <f>HLOOKUP($I48&amp;"_"&amp;U$44,fuel_prices!$B$10:$I$11,2,FALSE)</f>
        <v>22</v>
      </c>
      <c r="AL48" s="10">
        <f t="shared" si="5"/>
        <v>8</v>
      </c>
    </row>
    <row r="49" spans="38:38" x14ac:dyDescent="0.45">
      <c r="AL49" s="10">
        <f t="shared" si="5"/>
        <v>9</v>
      </c>
    </row>
    <row r="50" spans="38:38" x14ac:dyDescent="0.45">
      <c r="AL50" s="10">
        <f t="shared" si="5"/>
        <v>9</v>
      </c>
    </row>
    <row r="51" spans="38:38" x14ac:dyDescent="0.45">
      <c r="AL51" s="10">
        <f t="shared" si="5"/>
        <v>9</v>
      </c>
    </row>
    <row r="52" spans="38:38" x14ac:dyDescent="0.45">
      <c r="AL52" s="10">
        <f t="shared" si="5"/>
        <v>9</v>
      </c>
    </row>
    <row r="53" spans="38:38" x14ac:dyDescent="0.45">
      <c r="AL53" s="10">
        <f t="shared" si="5"/>
        <v>9</v>
      </c>
    </row>
    <row r="54" spans="38:38" x14ac:dyDescent="0.45">
      <c r="AL54" s="10">
        <f t="shared" si="5"/>
        <v>10</v>
      </c>
    </row>
    <row r="55" spans="38:38" x14ac:dyDescent="0.45">
      <c r="AL55" s="10">
        <f t="shared" si="5"/>
        <v>10</v>
      </c>
    </row>
    <row r="56" spans="38:38" x14ac:dyDescent="0.45">
      <c r="AL56" s="10">
        <f t="shared" si="5"/>
        <v>10</v>
      </c>
    </row>
    <row r="57" spans="38:38" x14ac:dyDescent="0.45">
      <c r="AL57" s="10">
        <f t="shared" si="5"/>
        <v>10</v>
      </c>
    </row>
    <row r="58" spans="38:38" x14ac:dyDescent="0.45">
      <c r="AL58" s="10">
        <f t="shared" si="5"/>
        <v>10</v>
      </c>
    </row>
    <row r="59" spans="38:38" x14ac:dyDescent="0.45">
      <c r="AL59" s="10">
        <f t="shared" si="5"/>
        <v>11</v>
      </c>
    </row>
    <row r="60" spans="38:38" x14ac:dyDescent="0.45">
      <c r="AL60" s="10">
        <f t="shared" si="5"/>
        <v>11</v>
      </c>
    </row>
    <row r="61" spans="38:38" x14ac:dyDescent="0.45">
      <c r="AL61" s="10">
        <f t="shared" si="5"/>
        <v>11</v>
      </c>
    </row>
    <row r="62" spans="38:38" x14ac:dyDescent="0.45">
      <c r="AL62" s="10">
        <f t="shared" si="5"/>
        <v>11</v>
      </c>
    </row>
    <row r="63" spans="38:38" x14ac:dyDescent="0.45">
      <c r="AL63" s="10">
        <f t="shared" si="5"/>
        <v>11</v>
      </c>
    </row>
    <row r="64" spans="38:38" x14ac:dyDescent="0.45">
      <c r="AL64" s="10">
        <f t="shared" si="5"/>
        <v>12</v>
      </c>
    </row>
    <row r="65" spans="38:38" x14ac:dyDescent="0.45">
      <c r="AL65" s="10">
        <f t="shared" si="5"/>
        <v>12</v>
      </c>
    </row>
    <row r="66" spans="38:38" x14ac:dyDescent="0.45">
      <c r="AL66" s="10">
        <f t="shared" si="5"/>
        <v>12</v>
      </c>
    </row>
    <row r="67" spans="38:38" x14ac:dyDescent="0.45">
      <c r="AL67" s="10">
        <f t="shared" si="5"/>
        <v>12</v>
      </c>
    </row>
    <row r="68" spans="38:38" x14ac:dyDescent="0.45">
      <c r="AL68" s="10">
        <f t="shared" si="5"/>
        <v>12</v>
      </c>
    </row>
    <row r="69" spans="38:38" x14ac:dyDescent="0.45">
      <c r="AL69" s="10">
        <f t="shared" si="5"/>
        <v>13</v>
      </c>
    </row>
    <row r="70" spans="38:38" x14ac:dyDescent="0.45">
      <c r="AL70" s="10">
        <f t="shared" si="5"/>
        <v>13</v>
      </c>
    </row>
    <row r="71" spans="38:38" x14ac:dyDescent="0.45">
      <c r="AL71" s="10">
        <f t="shared" si="5"/>
        <v>13</v>
      </c>
    </row>
    <row r="72" spans="38:38" x14ac:dyDescent="0.45">
      <c r="AL72" s="10">
        <f t="shared" si="5"/>
        <v>13</v>
      </c>
    </row>
    <row r="73" spans="38:38" x14ac:dyDescent="0.45">
      <c r="AL73" s="10">
        <f t="shared" si="5"/>
        <v>13</v>
      </c>
    </row>
    <row r="74" spans="38:38" x14ac:dyDescent="0.45">
      <c r="AL74" s="10">
        <f t="shared" si="5"/>
        <v>14</v>
      </c>
    </row>
    <row r="75" spans="38:38" x14ac:dyDescent="0.45">
      <c r="AL75" s="10">
        <f t="shared" si="5"/>
        <v>14</v>
      </c>
    </row>
    <row r="76" spans="38:38" x14ac:dyDescent="0.45">
      <c r="AL76" s="10">
        <f t="shared" si="5"/>
        <v>14</v>
      </c>
    </row>
    <row r="77" spans="38:38" x14ac:dyDescent="0.45">
      <c r="AL77" s="10">
        <f t="shared" si="5"/>
        <v>14</v>
      </c>
    </row>
    <row r="78" spans="38:38" x14ac:dyDescent="0.45">
      <c r="AL78" s="10">
        <f t="shared" si="5"/>
        <v>14</v>
      </c>
    </row>
    <row r="82" spans="1:8" ht="14.65" thickBot="1" x14ac:dyDescent="0.5">
      <c r="A82" s="12" t="s">
        <v>117</v>
      </c>
    </row>
    <row r="83" spans="1:8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/>
      <c r="G83" s="16"/>
      <c r="H83" s="16" t="s">
        <v>14</v>
      </c>
    </row>
    <row r="84" spans="1:8" x14ac:dyDescent="0.45">
      <c r="A84" s="17" t="s">
        <v>34</v>
      </c>
      <c r="B84" s="17" t="s">
        <v>118</v>
      </c>
      <c r="C84" s="18">
        <v>1.4550000000000001</v>
      </c>
      <c r="D84" s="18">
        <v>1.881</v>
      </c>
      <c r="E84" s="18">
        <v>1.881</v>
      </c>
      <c r="F84" s="18"/>
      <c r="G84" s="18"/>
      <c r="H84" s="17" t="s">
        <v>119</v>
      </c>
    </row>
    <row r="85" spans="1:8" x14ac:dyDescent="0.45">
      <c r="A85" s="19" t="s">
        <v>31</v>
      </c>
      <c r="B85" s="19" t="s">
        <v>118</v>
      </c>
      <c r="C85" s="20">
        <v>1.8</v>
      </c>
      <c r="D85" s="20">
        <v>3.3</v>
      </c>
      <c r="E85" s="20">
        <v>3.3</v>
      </c>
      <c r="F85" s="20"/>
      <c r="G85" s="20"/>
      <c r="H85" s="19" t="s">
        <v>119</v>
      </c>
    </row>
  </sheetData>
  <sortState xmlns:xlrd2="http://schemas.microsoft.com/office/spreadsheetml/2017/richdata2" ref="M3:N7">
    <sortCondition ref="M3:M7"/>
  </sortState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5270F-E5C6-4B02-8A48-7D871D6014E5}">
  <dimension ref="A1:G22"/>
  <sheetViews>
    <sheetView workbookViewId="0">
      <selection activeCell="C21" sqref="C21"/>
    </sheetView>
  </sheetViews>
  <sheetFormatPr defaultRowHeight="14.25" x14ac:dyDescent="0.45"/>
  <cols>
    <col min="3" max="3" width="20.6640625" bestFit="1" customWidth="1"/>
  </cols>
  <sheetData>
    <row r="1" spans="1:7" x14ac:dyDescent="0.45">
      <c r="A1" t="str">
        <f>Veda!$F$5</f>
        <v>Y</v>
      </c>
    </row>
    <row r="2" spans="1:7" x14ac:dyDescent="0.45">
      <c r="A2">
        <f>Veda!$G$5</f>
        <v>1</v>
      </c>
    </row>
    <row r="3" spans="1:7" x14ac:dyDescent="0.45">
      <c r="C3" t="str">
        <f>IF($A$1="Y","DEF active","~TFM_UPD")</f>
        <v>DEF active</v>
      </c>
    </row>
    <row r="4" spans="1:7" x14ac:dyDescent="0.45">
      <c r="C4" t="s">
        <v>14</v>
      </c>
      <c r="D4" t="s">
        <v>13</v>
      </c>
      <c r="E4" t="s">
        <v>29</v>
      </c>
      <c r="F4" t="s">
        <v>128</v>
      </c>
    </row>
    <row r="5" spans="1:7" x14ac:dyDescent="0.45">
      <c r="C5" t="s">
        <v>129</v>
      </c>
      <c r="D5" t="s">
        <v>130</v>
      </c>
      <c r="F5">
        <v>0</v>
      </c>
    </row>
    <row r="8" spans="1:7" x14ac:dyDescent="0.45">
      <c r="C8" t="str">
        <f>IF($A$1="Y","DEF active","~TFM_INS: limtype=LO")</f>
        <v>DEF active</v>
      </c>
    </row>
    <row r="9" spans="1:7" x14ac:dyDescent="0.45">
      <c r="C9" t="s">
        <v>14</v>
      </c>
      <c r="D9" t="s">
        <v>131</v>
      </c>
      <c r="E9" t="s">
        <v>36</v>
      </c>
      <c r="F9" t="s">
        <v>128</v>
      </c>
      <c r="G9" t="s">
        <v>132</v>
      </c>
    </row>
    <row r="10" spans="1:7" x14ac:dyDescent="0.45">
      <c r="C10" t="s">
        <v>133</v>
      </c>
      <c r="D10" t="s">
        <v>134</v>
      </c>
      <c r="E10">
        <v>0</v>
      </c>
      <c r="F10">
        <v>-13</v>
      </c>
      <c r="G10" t="s">
        <v>135</v>
      </c>
    </row>
    <row r="11" spans="1:7" x14ac:dyDescent="0.45">
      <c r="C11" t="s">
        <v>136</v>
      </c>
      <c r="E11">
        <v>0</v>
      </c>
      <c r="F11">
        <v>-13</v>
      </c>
      <c r="G11" t="s">
        <v>137</v>
      </c>
    </row>
    <row r="14" spans="1:7" x14ac:dyDescent="0.45">
      <c r="C14" t="str">
        <f>IF($A$1="Y","DEF active","~TFM_UPD")</f>
        <v>DEF active</v>
      </c>
    </row>
    <row r="15" spans="1:7" x14ac:dyDescent="0.45">
      <c r="C15" t="s">
        <v>14</v>
      </c>
      <c r="D15" t="s">
        <v>141</v>
      </c>
      <c r="E15" t="s">
        <v>138</v>
      </c>
      <c r="F15" t="s">
        <v>128</v>
      </c>
    </row>
    <row r="16" spans="1:7" x14ac:dyDescent="0.45">
      <c r="C16" t="s">
        <v>140</v>
      </c>
      <c r="D16" t="s">
        <v>139</v>
      </c>
      <c r="E16" t="s">
        <v>139</v>
      </c>
      <c r="F16">
        <v>0</v>
      </c>
    </row>
    <row r="20" spans="3:5" x14ac:dyDescent="0.45">
      <c r="C20" t="str">
        <f>IF($A$2=1,"Tx cost 100%","~TFM_UPD")</f>
        <v>Tx cost 100%</v>
      </c>
    </row>
    <row r="21" spans="3:5" x14ac:dyDescent="0.45">
      <c r="C21" t="s">
        <v>14</v>
      </c>
      <c r="D21" t="s">
        <v>128</v>
      </c>
      <c r="E21" t="s">
        <v>144</v>
      </c>
    </row>
    <row r="22" spans="3:5" x14ac:dyDescent="0.45">
      <c r="C22" t="s">
        <v>143</v>
      </c>
      <c r="D22" t="str">
        <f>"*"&amp;A2</f>
        <v>*1</v>
      </c>
      <c r="E22" t="s">
        <v>145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122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124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121</v>
      </c>
      <c r="K10" t="s">
        <v>116</v>
      </c>
    </row>
    <row r="11" spans="1:11" x14ac:dyDescent="0.45">
      <c r="A11" t="s">
        <v>122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  <c r="J11">
        <v>0</v>
      </c>
      <c r="K11">
        <v>0</v>
      </c>
    </row>
    <row r="12" spans="1:11" x14ac:dyDescent="0.45">
      <c r="A12" t="s">
        <v>122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  <c r="J12">
        <v>0</v>
      </c>
      <c r="K12">
        <v>0</v>
      </c>
    </row>
    <row r="13" spans="1:11" x14ac:dyDescent="0.45">
      <c r="A13" t="s">
        <v>122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  <c r="J13">
        <v>0</v>
      </c>
      <c r="K13">
        <v>0</v>
      </c>
    </row>
    <row r="14" spans="1:11" x14ac:dyDescent="0.45">
      <c r="A14" t="s">
        <v>122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  <c r="J14">
        <v>0</v>
      </c>
      <c r="K14">
        <v>0</v>
      </c>
    </row>
    <row r="15" spans="1:11" x14ac:dyDescent="0.45">
      <c r="A15" t="s">
        <v>122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  <c r="J15">
        <v>0</v>
      </c>
      <c r="K15">
        <v>0</v>
      </c>
    </row>
    <row r="16" spans="1:11" x14ac:dyDescent="0.45">
      <c r="A16" t="s">
        <v>122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  <c r="J16">
        <v>0</v>
      </c>
      <c r="K16">
        <v>0</v>
      </c>
    </row>
    <row r="17" spans="1:11" x14ac:dyDescent="0.45">
      <c r="A17" t="s">
        <v>122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  <c r="J17">
        <v>0</v>
      </c>
      <c r="K17">
        <v>0</v>
      </c>
    </row>
    <row r="18" spans="1:11" x14ac:dyDescent="0.45">
      <c r="A18" t="s">
        <v>122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  <c r="J18">
        <v>0</v>
      </c>
      <c r="K18">
        <v>0</v>
      </c>
    </row>
    <row r="19" spans="1:11" x14ac:dyDescent="0.45">
      <c r="A19" t="s">
        <v>122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  <c r="J19">
        <v>0</v>
      </c>
      <c r="K19">
        <v>0</v>
      </c>
    </row>
    <row r="20" spans="1:11" x14ac:dyDescent="0.45">
      <c r="A20" t="s">
        <v>122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  <c r="J20">
        <v>0</v>
      </c>
      <c r="K20">
        <v>0</v>
      </c>
    </row>
    <row r="21" spans="1:11" x14ac:dyDescent="0.45">
      <c r="A21" t="s">
        <v>122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  <c r="J21">
        <v>0</v>
      </c>
      <c r="K21">
        <v>0</v>
      </c>
    </row>
    <row r="22" spans="1:11" x14ac:dyDescent="0.45">
      <c r="A22" t="s">
        <v>122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  <c r="J22">
        <v>0</v>
      </c>
      <c r="K22">
        <v>0</v>
      </c>
    </row>
    <row r="23" spans="1:11" x14ac:dyDescent="0.45">
      <c r="A23" t="s">
        <v>122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  <c r="J23">
        <v>0</v>
      </c>
      <c r="K23">
        <v>0</v>
      </c>
    </row>
    <row r="24" spans="1:11" x14ac:dyDescent="0.45">
      <c r="A24" t="s">
        <v>122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  <c r="J24">
        <v>0</v>
      </c>
      <c r="K24">
        <v>0</v>
      </c>
    </row>
    <row r="25" spans="1:11" x14ac:dyDescent="0.45">
      <c r="A25" t="s">
        <v>122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  <c r="J25">
        <v>0</v>
      </c>
      <c r="K25">
        <v>0</v>
      </c>
    </row>
    <row r="26" spans="1:11" x14ac:dyDescent="0.45">
      <c r="A26" t="s">
        <v>122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  <c r="J26">
        <v>0</v>
      </c>
      <c r="K26">
        <v>0</v>
      </c>
    </row>
    <row r="27" spans="1:11" x14ac:dyDescent="0.45">
      <c r="A27" t="s">
        <v>122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  <c r="J27">
        <v>0</v>
      </c>
      <c r="K27">
        <v>0</v>
      </c>
    </row>
    <row r="28" spans="1:11" x14ac:dyDescent="0.45">
      <c r="A28" t="s">
        <v>122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  <c r="J28">
        <v>0</v>
      </c>
      <c r="K28">
        <v>0</v>
      </c>
    </row>
    <row r="29" spans="1:11" x14ac:dyDescent="0.45">
      <c r="A29" t="s">
        <v>122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  <c r="J29">
        <v>0</v>
      </c>
      <c r="K29">
        <v>0</v>
      </c>
    </row>
    <row r="30" spans="1:11" x14ac:dyDescent="0.45">
      <c r="A30" t="s">
        <v>122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  <c r="J30">
        <v>0</v>
      </c>
      <c r="K30">
        <v>0</v>
      </c>
    </row>
    <row r="31" spans="1:11" x14ac:dyDescent="0.45">
      <c r="A31" t="s">
        <v>122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  <c r="J31">
        <v>0</v>
      </c>
      <c r="K31">
        <v>0</v>
      </c>
    </row>
    <row r="32" spans="1:11" x14ac:dyDescent="0.45">
      <c r="A32" t="s">
        <v>122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  <c r="J32">
        <v>0</v>
      </c>
      <c r="K32">
        <v>0</v>
      </c>
    </row>
    <row r="33" spans="1:11" x14ac:dyDescent="0.45">
      <c r="A33" t="s">
        <v>122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pane ySplit="10" topLeftCell="A42" activePane="bottomLeft" state="frozen"/>
      <selection pane="bottomLeft" activeCell="J42" sqref="J42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123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26</v>
      </c>
    </row>
    <row r="12" spans="1:13" x14ac:dyDescent="0.45">
      <c r="A12" t="s">
        <v>0</v>
      </c>
      <c r="B12" t="s">
        <v>123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26</v>
      </c>
    </row>
    <row r="13" spans="1:13" x14ac:dyDescent="0.45">
      <c r="A13" t="s">
        <v>0</v>
      </c>
      <c r="B13" t="s">
        <v>123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26</v>
      </c>
    </row>
    <row r="14" spans="1:13" x14ac:dyDescent="0.45">
      <c r="A14" t="s">
        <v>0</v>
      </c>
      <c r="B14" t="s">
        <v>123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26</v>
      </c>
    </row>
    <row r="15" spans="1:13" x14ac:dyDescent="0.45">
      <c r="A15" t="s">
        <v>0</v>
      </c>
      <c r="B15" t="s">
        <v>123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26</v>
      </c>
    </row>
    <row r="16" spans="1:13" x14ac:dyDescent="0.45">
      <c r="A16" t="s">
        <v>0</v>
      </c>
      <c r="B16" t="s">
        <v>123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26</v>
      </c>
    </row>
    <row r="17" spans="1:13" x14ac:dyDescent="0.45">
      <c r="A17" t="s">
        <v>0</v>
      </c>
      <c r="B17" t="s">
        <v>123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26</v>
      </c>
    </row>
    <row r="18" spans="1:13" x14ac:dyDescent="0.45">
      <c r="A18" t="s">
        <v>2</v>
      </c>
      <c r="B18" t="s">
        <v>123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26</v>
      </c>
    </row>
    <row r="19" spans="1:13" x14ac:dyDescent="0.45">
      <c r="A19" t="s">
        <v>2</v>
      </c>
      <c r="B19" t="s">
        <v>123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26</v>
      </c>
    </row>
    <row r="20" spans="1:13" x14ac:dyDescent="0.45">
      <c r="A20" t="s">
        <v>2</v>
      </c>
      <c r="B20" t="s">
        <v>123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26</v>
      </c>
    </row>
    <row r="21" spans="1:13" x14ac:dyDescent="0.45">
      <c r="A21" t="s">
        <v>2</v>
      </c>
      <c r="B21" t="s">
        <v>123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26</v>
      </c>
    </row>
    <row r="22" spans="1:13" x14ac:dyDescent="0.45">
      <c r="A22" t="s">
        <v>2</v>
      </c>
      <c r="B22" t="s">
        <v>123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26</v>
      </c>
    </row>
    <row r="23" spans="1:13" x14ac:dyDescent="0.45">
      <c r="A23" t="s">
        <v>2</v>
      </c>
      <c r="B23" t="s">
        <v>123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26</v>
      </c>
    </row>
    <row r="24" spans="1:13" x14ac:dyDescent="0.45">
      <c r="A24" t="s">
        <v>2</v>
      </c>
      <c r="B24" t="s">
        <v>123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26</v>
      </c>
    </row>
    <row r="25" spans="1:13" x14ac:dyDescent="0.45">
      <c r="A25" t="s">
        <v>5</v>
      </c>
      <c r="B25" t="s">
        <v>123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26</v>
      </c>
    </row>
    <row r="26" spans="1:13" x14ac:dyDescent="0.45">
      <c r="A26" t="s">
        <v>5</v>
      </c>
      <c r="B26" t="s">
        <v>123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26</v>
      </c>
    </row>
    <row r="27" spans="1:13" x14ac:dyDescent="0.45">
      <c r="A27" t="s">
        <v>5</v>
      </c>
      <c r="B27" t="s">
        <v>123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26</v>
      </c>
    </row>
    <row r="28" spans="1:13" x14ac:dyDescent="0.45">
      <c r="A28" t="s">
        <v>5</v>
      </c>
      <c r="B28" t="s">
        <v>123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26</v>
      </c>
    </row>
    <row r="29" spans="1:13" x14ac:dyDescent="0.45">
      <c r="A29" t="s">
        <v>5</v>
      </c>
      <c r="B29" t="s">
        <v>123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26</v>
      </c>
    </row>
    <row r="30" spans="1:13" x14ac:dyDescent="0.45">
      <c r="A30" t="s">
        <v>5</v>
      </c>
      <c r="B30" t="s">
        <v>123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26</v>
      </c>
    </row>
    <row r="31" spans="1:13" x14ac:dyDescent="0.45">
      <c r="A31" t="s">
        <v>5</v>
      </c>
      <c r="B31" t="s">
        <v>123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26</v>
      </c>
    </row>
    <row r="32" spans="1:13" x14ac:dyDescent="0.45">
      <c r="A32" t="s">
        <v>7</v>
      </c>
      <c r="B32" t="s">
        <v>123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26</v>
      </c>
    </row>
    <row r="33" spans="1:13" x14ac:dyDescent="0.45">
      <c r="A33" t="s">
        <v>7</v>
      </c>
      <c r="B33" t="s">
        <v>123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26</v>
      </c>
    </row>
    <row r="34" spans="1:13" x14ac:dyDescent="0.45">
      <c r="A34" t="s">
        <v>7</v>
      </c>
      <c r="B34" t="s">
        <v>123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26</v>
      </c>
    </row>
    <row r="35" spans="1:13" x14ac:dyDescent="0.45">
      <c r="A35" t="s">
        <v>7</v>
      </c>
      <c r="B35" t="s">
        <v>123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45">
      <c r="A36" t="s">
        <v>7</v>
      </c>
      <c r="B36" t="s">
        <v>123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26</v>
      </c>
    </row>
    <row r="37" spans="1:13" x14ac:dyDescent="0.45">
      <c r="A37" t="s">
        <v>7</v>
      </c>
      <c r="B37" t="s">
        <v>123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26</v>
      </c>
    </row>
    <row r="38" spans="1:13" x14ac:dyDescent="0.45">
      <c r="A38" t="s">
        <v>7</v>
      </c>
      <c r="B38" t="s">
        <v>123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26</v>
      </c>
    </row>
    <row r="39" spans="1:13" x14ac:dyDescent="0.45">
      <c r="A39" t="s">
        <v>9</v>
      </c>
      <c r="B39" t="s">
        <v>123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26</v>
      </c>
    </row>
    <row r="40" spans="1:13" x14ac:dyDescent="0.45">
      <c r="A40" t="s">
        <v>9</v>
      </c>
      <c r="B40" t="s">
        <v>123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26</v>
      </c>
    </row>
    <row r="41" spans="1:13" x14ac:dyDescent="0.45">
      <c r="A41" t="s">
        <v>9</v>
      </c>
      <c r="B41" t="s">
        <v>123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26</v>
      </c>
    </row>
    <row r="42" spans="1:13" x14ac:dyDescent="0.45">
      <c r="A42" t="s">
        <v>9</v>
      </c>
      <c r="B42" t="s">
        <v>123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26</v>
      </c>
    </row>
    <row r="43" spans="1:13" x14ac:dyDescent="0.45">
      <c r="A43" t="s">
        <v>9</v>
      </c>
      <c r="B43" t="s">
        <v>123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26</v>
      </c>
    </row>
    <row r="44" spans="1:13" x14ac:dyDescent="0.45">
      <c r="A44" t="s">
        <v>9</v>
      </c>
      <c r="B44" t="s">
        <v>123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26</v>
      </c>
    </row>
    <row r="45" spans="1:13" x14ac:dyDescent="0.45">
      <c r="A45" t="s">
        <v>9</v>
      </c>
      <c r="B45" t="s">
        <v>123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26</v>
      </c>
    </row>
    <row r="46" spans="1:13" x14ac:dyDescent="0.45">
      <c r="A46" t="s">
        <v>0</v>
      </c>
      <c r="B46" t="s">
        <v>123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123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123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123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123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123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123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123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123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123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123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123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123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123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123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123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123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123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123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123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123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123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123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123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123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123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123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123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123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123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123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123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123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123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123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123</v>
      </c>
      <c r="C81">
        <v>2020</v>
      </c>
      <c r="D81">
        <v>49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113</v>
      </c>
    </row>
    <row r="82" spans="1:13" x14ac:dyDescent="0.45">
      <c r="A82" t="s">
        <v>0</v>
      </c>
      <c r="B82" t="s">
        <v>123</v>
      </c>
      <c r="C82">
        <v>2025</v>
      </c>
      <c r="D82">
        <v>49</v>
      </c>
      <c r="E82">
        <v>2.61</v>
      </c>
      <c r="F82">
        <v>2.33</v>
      </c>
      <c r="G82">
        <v>1.77</v>
      </c>
      <c r="H82">
        <v>1.01</v>
      </c>
      <c r="I82">
        <v>11.55</v>
      </c>
      <c r="J82">
        <v>1.19</v>
      </c>
      <c r="K82">
        <v>2.96</v>
      </c>
      <c r="L82" t="s">
        <v>1</v>
      </c>
      <c r="M82" t="s">
        <v>113</v>
      </c>
    </row>
    <row r="83" spans="1:13" x14ac:dyDescent="0.45">
      <c r="A83" t="s">
        <v>0</v>
      </c>
      <c r="B83" t="s">
        <v>123</v>
      </c>
      <c r="C83">
        <v>2030</v>
      </c>
      <c r="D83">
        <v>49</v>
      </c>
      <c r="E83">
        <v>5.04</v>
      </c>
      <c r="F83">
        <v>4.46</v>
      </c>
      <c r="G83">
        <v>4.9000000000000004</v>
      </c>
      <c r="H83">
        <v>1.07</v>
      </c>
      <c r="I83">
        <v>31.72</v>
      </c>
      <c r="J83">
        <v>1.53</v>
      </c>
      <c r="K83">
        <v>5.57</v>
      </c>
      <c r="L83" t="s">
        <v>1</v>
      </c>
      <c r="M83" t="s">
        <v>113</v>
      </c>
    </row>
    <row r="84" spans="1:13" x14ac:dyDescent="0.45">
      <c r="A84" t="s">
        <v>0</v>
      </c>
      <c r="B84" t="s">
        <v>123</v>
      </c>
      <c r="C84">
        <v>2035</v>
      </c>
      <c r="D84">
        <v>49</v>
      </c>
      <c r="E84">
        <v>7.64</v>
      </c>
      <c r="F84">
        <v>7.51</v>
      </c>
      <c r="G84">
        <v>6.22</v>
      </c>
      <c r="H84">
        <v>0.66</v>
      </c>
      <c r="I84">
        <v>33.270000000000003</v>
      </c>
      <c r="J84">
        <v>1.99</v>
      </c>
      <c r="K84">
        <v>9.4600000000000009</v>
      </c>
      <c r="L84" t="s">
        <v>1</v>
      </c>
      <c r="M84" t="s">
        <v>113</v>
      </c>
    </row>
    <row r="85" spans="1:13" x14ac:dyDescent="0.45">
      <c r="A85" t="s">
        <v>0</v>
      </c>
      <c r="B85" t="s">
        <v>123</v>
      </c>
      <c r="C85">
        <v>2040</v>
      </c>
      <c r="D85">
        <v>49</v>
      </c>
      <c r="E85">
        <v>11.73</v>
      </c>
      <c r="F85">
        <v>11.31</v>
      </c>
      <c r="G85">
        <v>8.5299999999999994</v>
      </c>
      <c r="H85">
        <v>0.59</v>
      </c>
      <c r="I85">
        <v>39.630000000000003</v>
      </c>
      <c r="J85">
        <v>2.98</v>
      </c>
      <c r="K85">
        <v>18.21</v>
      </c>
      <c r="L85" t="s">
        <v>1</v>
      </c>
      <c r="M85" t="s">
        <v>113</v>
      </c>
    </row>
    <row r="86" spans="1:13" x14ac:dyDescent="0.45">
      <c r="A86" t="s">
        <v>0</v>
      </c>
      <c r="B86" t="s">
        <v>123</v>
      </c>
      <c r="C86">
        <v>2045</v>
      </c>
      <c r="D86">
        <v>49</v>
      </c>
      <c r="E86">
        <v>18.95</v>
      </c>
      <c r="F86">
        <v>17.32</v>
      </c>
      <c r="G86">
        <v>13.5</v>
      </c>
      <c r="H86">
        <v>2.21</v>
      </c>
      <c r="I86">
        <v>58.03</v>
      </c>
      <c r="J86">
        <v>6.89</v>
      </c>
      <c r="K86">
        <v>28.6</v>
      </c>
      <c r="L86" t="s">
        <v>1</v>
      </c>
      <c r="M86" t="s">
        <v>113</v>
      </c>
    </row>
    <row r="87" spans="1:13" x14ac:dyDescent="0.45">
      <c r="A87" t="s">
        <v>0</v>
      </c>
      <c r="B87" t="s">
        <v>123</v>
      </c>
      <c r="C87">
        <v>2050</v>
      </c>
      <c r="D87">
        <v>49</v>
      </c>
      <c r="E87">
        <v>28.2</v>
      </c>
      <c r="F87">
        <v>24.35</v>
      </c>
      <c r="G87">
        <v>19.670000000000002</v>
      </c>
      <c r="H87">
        <v>5.03</v>
      </c>
      <c r="I87">
        <v>76.23</v>
      </c>
      <c r="J87">
        <v>10.93</v>
      </c>
      <c r="K87">
        <v>35.97</v>
      </c>
      <c r="L87" t="s">
        <v>1</v>
      </c>
      <c r="M87" t="s">
        <v>113</v>
      </c>
    </row>
    <row r="88" spans="1:13" x14ac:dyDescent="0.45">
      <c r="A88" t="s">
        <v>2</v>
      </c>
      <c r="B88" t="s">
        <v>123</v>
      </c>
      <c r="C88">
        <v>2020</v>
      </c>
      <c r="D88">
        <v>76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113</v>
      </c>
    </row>
    <row r="89" spans="1:13" x14ac:dyDescent="0.45">
      <c r="A89" t="s">
        <v>2</v>
      </c>
      <c r="B89" t="s">
        <v>123</v>
      </c>
      <c r="C89">
        <v>2025</v>
      </c>
      <c r="D89">
        <v>65</v>
      </c>
      <c r="E89">
        <v>2.39</v>
      </c>
      <c r="F89">
        <v>2.33</v>
      </c>
      <c r="G89">
        <v>1.05</v>
      </c>
      <c r="H89">
        <v>0.99</v>
      </c>
      <c r="I89">
        <v>6.4</v>
      </c>
      <c r="J89">
        <v>2</v>
      </c>
      <c r="K89">
        <v>2.48</v>
      </c>
      <c r="L89" t="s">
        <v>3</v>
      </c>
      <c r="M89" t="s">
        <v>113</v>
      </c>
    </row>
    <row r="90" spans="1:13" x14ac:dyDescent="0.45">
      <c r="A90" t="s">
        <v>2</v>
      </c>
      <c r="B90" t="s">
        <v>123</v>
      </c>
      <c r="C90">
        <v>2030</v>
      </c>
      <c r="D90">
        <v>76</v>
      </c>
      <c r="E90">
        <v>4.22</v>
      </c>
      <c r="F90">
        <v>4.4000000000000004</v>
      </c>
      <c r="G90">
        <v>2.4500000000000002</v>
      </c>
      <c r="H90">
        <v>0.97</v>
      </c>
      <c r="I90">
        <v>14.05</v>
      </c>
      <c r="J90">
        <v>3.28</v>
      </c>
      <c r="K90">
        <v>5.21</v>
      </c>
      <c r="L90" t="s">
        <v>3</v>
      </c>
      <c r="M90" t="s">
        <v>113</v>
      </c>
    </row>
    <row r="91" spans="1:13" x14ac:dyDescent="0.45">
      <c r="A91" t="s">
        <v>2</v>
      </c>
      <c r="B91" t="s">
        <v>123</v>
      </c>
      <c r="C91">
        <v>2035</v>
      </c>
      <c r="D91">
        <v>65</v>
      </c>
      <c r="E91">
        <v>6.75</v>
      </c>
      <c r="F91">
        <v>7.17</v>
      </c>
      <c r="G91">
        <v>4.32</v>
      </c>
      <c r="H91">
        <v>0.56999999999999995</v>
      </c>
      <c r="I91">
        <v>24.63</v>
      </c>
      <c r="J91">
        <v>5.04</v>
      </c>
      <c r="K91">
        <v>7.61</v>
      </c>
      <c r="L91" t="s">
        <v>3</v>
      </c>
      <c r="M91" t="s">
        <v>113</v>
      </c>
    </row>
    <row r="92" spans="1:13" x14ac:dyDescent="0.45">
      <c r="A92" t="s">
        <v>2</v>
      </c>
      <c r="B92" t="s">
        <v>123</v>
      </c>
      <c r="C92">
        <v>2040</v>
      </c>
      <c r="D92">
        <v>76</v>
      </c>
      <c r="E92">
        <v>10.25</v>
      </c>
      <c r="F92">
        <v>10.89</v>
      </c>
      <c r="G92">
        <v>6</v>
      </c>
      <c r="H92">
        <v>0.47</v>
      </c>
      <c r="I92">
        <v>38.89</v>
      </c>
      <c r="J92">
        <v>7.41</v>
      </c>
      <c r="K92">
        <v>12.59</v>
      </c>
      <c r="L92" t="s">
        <v>3</v>
      </c>
      <c r="M92" t="s">
        <v>113</v>
      </c>
    </row>
    <row r="93" spans="1:13" x14ac:dyDescent="0.45">
      <c r="A93" t="s">
        <v>2</v>
      </c>
      <c r="B93" t="s">
        <v>123</v>
      </c>
      <c r="C93">
        <v>2045</v>
      </c>
      <c r="D93">
        <v>65</v>
      </c>
      <c r="E93">
        <v>16.899999999999999</v>
      </c>
      <c r="F93">
        <v>17.8</v>
      </c>
      <c r="G93">
        <v>9.49</v>
      </c>
      <c r="H93">
        <v>0.52</v>
      </c>
      <c r="I93">
        <v>54.72</v>
      </c>
      <c r="J93">
        <v>13.73</v>
      </c>
      <c r="K93">
        <v>20.329999999999998</v>
      </c>
      <c r="L93" t="s">
        <v>3</v>
      </c>
      <c r="M93" t="s">
        <v>113</v>
      </c>
    </row>
    <row r="94" spans="1:13" x14ac:dyDescent="0.45">
      <c r="A94" t="s">
        <v>2</v>
      </c>
      <c r="B94" t="s">
        <v>123</v>
      </c>
      <c r="C94">
        <v>2050</v>
      </c>
      <c r="D94">
        <v>76</v>
      </c>
      <c r="E94">
        <v>23.83</v>
      </c>
      <c r="F94">
        <v>25.06</v>
      </c>
      <c r="G94">
        <v>13.78</v>
      </c>
      <c r="H94">
        <v>0.84</v>
      </c>
      <c r="I94">
        <v>76.05</v>
      </c>
      <c r="J94">
        <v>13.3</v>
      </c>
      <c r="K94">
        <v>30.55</v>
      </c>
      <c r="L94" t="s">
        <v>3</v>
      </c>
      <c r="M94" t="s">
        <v>113</v>
      </c>
    </row>
    <row r="95" spans="1:13" x14ac:dyDescent="0.45">
      <c r="A95" t="s">
        <v>5</v>
      </c>
      <c r="B95" t="s">
        <v>123</v>
      </c>
      <c r="C95">
        <v>2020</v>
      </c>
      <c r="D95">
        <v>147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113</v>
      </c>
    </row>
    <row r="96" spans="1:13" x14ac:dyDescent="0.45">
      <c r="A96" t="s">
        <v>5</v>
      </c>
      <c r="B96" t="s">
        <v>123</v>
      </c>
      <c r="C96">
        <v>2025</v>
      </c>
      <c r="D96">
        <v>124</v>
      </c>
      <c r="E96">
        <v>2.4300000000000002</v>
      </c>
      <c r="F96">
        <v>2.33</v>
      </c>
      <c r="G96">
        <v>0.57999999999999996</v>
      </c>
      <c r="H96">
        <v>1.06</v>
      </c>
      <c r="I96">
        <v>3.08</v>
      </c>
      <c r="J96">
        <v>2.2400000000000002</v>
      </c>
      <c r="K96">
        <v>2.85</v>
      </c>
      <c r="L96" t="s">
        <v>6</v>
      </c>
      <c r="M96" t="s">
        <v>113</v>
      </c>
    </row>
    <row r="97" spans="1:13" x14ac:dyDescent="0.45">
      <c r="A97" t="s">
        <v>5</v>
      </c>
      <c r="B97" t="s">
        <v>123</v>
      </c>
      <c r="C97">
        <v>2030</v>
      </c>
      <c r="D97">
        <v>147</v>
      </c>
      <c r="E97">
        <v>4.04</v>
      </c>
      <c r="F97">
        <v>4.4000000000000004</v>
      </c>
      <c r="G97">
        <v>1.89</v>
      </c>
      <c r="H97">
        <v>0.61</v>
      </c>
      <c r="I97">
        <v>6.33</v>
      </c>
      <c r="J97">
        <v>3.28</v>
      </c>
      <c r="K97">
        <v>5.69</v>
      </c>
      <c r="L97" t="s">
        <v>6</v>
      </c>
      <c r="M97" t="s">
        <v>113</v>
      </c>
    </row>
    <row r="98" spans="1:13" x14ac:dyDescent="0.45">
      <c r="A98" t="s">
        <v>5</v>
      </c>
      <c r="B98" t="s">
        <v>123</v>
      </c>
      <c r="C98">
        <v>2035</v>
      </c>
      <c r="D98">
        <v>124</v>
      </c>
      <c r="E98">
        <v>7.36</v>
      </c>
      <c r="F98">
        <v>7.61</v>
      </c>
      <c r="G98">
        <v>2.73</v>
      </c>
      <c r="H98">
        <v>0.44</v>
      </c>
      <c r="I98">
        <v>12.05</v>
      </c>
      <c r="J98">
        <v>7.17</v>
      </c>
      <c r="K98">
        <v>8.23</v>
      </c>
      <c r="L98" t="s">
        <v>6</v>
      </c>
      <c r="M98" t="s">
        <v>113</v>
      </c>
    </row>
    <row r="99" spans="1:13" x14ac:dyDescent="0.45">
      <c r="A99" t="s">
        <v>5</v>
      </c>
      <c r="B99" t="s">
        <v>123</v>
      </c>
      <c r="C99">
        <v>2040</v>
      </c>
      <c r="D99">
        <v>147</v>
      </c>
      <c r="E99">
        <v>10.039999999999999</v>
      </c>
      <c r="F99">
        <v>11.44</v>
      </c>
      <c r="G99">
        <v>5.87</v>
      </c>
      <c r="H99">
        <v>0.24</v>
      </c>
      <c r="I99">
        <v>20.91</v>
      </c>
      <c r="J99">
        <v>7.35</v>
      </c>
      <c r="K99">
        <v>12.59</v>
      </c>
      <c r="L99" t="s">
        <v>6</v>
      </c>
      <c r="M99" t="s">
        <v>113</v>
      </c>
    </row>
    <row r="100" spans="1:13" x14ac:dyDescent="0.45">
      <c r="A100" t="s">
        <v>5</v>
      </c>
      <c r="B100" t="s">
        <v>123</v>
      </c>
      <c r="C100">
        <v>2045</v>
      </c>
      <c r="D100">
        <v>124</v>
      </c>
      <c r="E100">
        <v>17.850000000000001</v>
      </c>
      <c r="F100">
        <v>19.03</v>
      </c>
      <c r="G100">
        <v>8.6</v>
      </c>
      <c r="H100">
        <v>0.18</v>
      </c>
      <c r="I100">
        <v>36.97</v>
      </c>
      <c r="J100">
        <v>13.56</v>
      </c>
      <c r="K100">
        <v>20.329999999999998</v>
      </c>
      <c r="L100" t="s">
        <v>6</v>
      </c>
      <c r="M100" t="s">
        <v>113</v>
      </c>
    </row>
    <row r="101" spans="1:13" x14ac:dyDescent="0.45">
      <c r="A101" t="s">
        <v>5</v>
      </c>
      <c r="B101" t="s">
        <v>123</v>
      </c>
      <c r="C101">
        <v>2050</v>
      </c>
      <c r="D101">
        <v>147</v>
      </c>
      <c r="E101">
        <v>23.21</v>
      </c>
      <c r="F101">
        <v>25.28</v>
      </c>
      <c r="G101">
        <v>15.52</v>
      </c>
      <c r="H101">
        <v>0.2</v>
      </c>
      <c r="I101">
        <v>66.69</v>
      </c>
      <c r="J101">
        <v>13.44</v>
      </c>
      <c r="K101">
        <v>32.340000000000003</v>
      </c>
      <c r="L101" t="s">
        <v>6</v>
      </c>
      <c r="M101" t="s">
        <v>113</v>
      </c>
    </row>
    <row r="102" spans="1:13" x14ac:dyDescent="0.45">
      <c r="A102" t="s">
        <v>7</v>
      </c>
      <c r="B102" t="s">
        <v>123</v>
      </c>
      <c r="C102">
        <v>2020</v>
      </c>
      <c r="D102">
        <v>42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113</v>
      </c>
    </row>
    <row r="103" spans="1:13" x14ac:dyDescent="0.45">
      <c r="A103" t="s">
        <v>7</v>
      </c>
      <c r="B103" t="s">
        <v>123</v>
      </c>
      <c r="C103">
        <v>2025</v>
      </c>
      <c r="D103">
        <v>36</v>
      </c>
      <c r="E103">
        <v>2.42</v>
      </c>
      <c r="F103">
        <v>2.33</v>
      </c>
      <c r="G103">
        <v>0.3</v>
      </c>
      <c r="H103">
        <v>2.2400000000000002</v>
      </c>
      <c r="I103">
        <v>3.09</v>
      </c>
      <c r="J103">
        <v>2.2400000000000002</v>
      </c>
      <c r="K103">
        <v>2.33</v>
      </c>
      <c r="L103" t="s">
        <v>8</v>
      </c>
      <c r="M103" t="s">
        <v>113</v>
      </c>
    </row>
    <row r="104" spans="1:13" x14ac:dyDescent="0.45">
      <c r="A104" t="s">
        <v>7</v>
      </c>
      <c r="B104" t="s">
        <v>123</v>
      </c>
      <c r="C104">
        <v>2030</v>
      </c>
      <c r="D104">
        <v>42</v>
      </c>
      <c r="E104">
        <v>3.98</v>
      </c>
      <c r="F104">
        <v>4.4000000000000004</v>
      </c>
      <c r="G104">
        <v>1.44</v>
      </c>
      <c r="H104">
        <v>0.61</v>
      </c>
      <c r="I104">
        <v>5.76</v>
      </c>
      <c r="J104">
        <v>4.17</v>
      </c>
      <c r="K104">
        <v>4.4000000000000004</v>
      </c>
      <c r="L104" t="s">
        <v>8</v>
      </c>
      <c r="M104" t="s">
        <v>113</v>
      </c>
    </row>
    <row r="105" spans="1:13" x14ac:dyDescent="0.45">
      <c r="A105" t="s">
        <v>7</v>
      </c>
      <c r="B105" t="s">
        <v>123</v>
      </c>
      <c r="C105">
        <v>2035</v>
      </c>
      <c r="D105">
        <v>36</v>
      </c>
      <c r="E105">
        <v>7.5</v>
      </c>
      <c r="F105">
        <v>7.61</v>
      </c>
      <c r="G105">
        <v>0.47</v>
      </c>
      <c r="H105">
        <v>6</v>
      </c>
      <c r="I105">
        <v>8.57</v>
      </c>
      <c r="J105">
        <v>7.17</v>
      </c>
      <c r="K105">
        <v>7.61</v>
      </c>
      <c r="L105" t="s">
        <v>8</v>
      </c>
      <c r="M105" t="s">
        <v>113</v>
      </c>
    </row>
    <row r="106" spans="1:13" x14ac:dyDescent="0.45">
      <c r="A106" t="s">
        <v>7</v>
      </c>
      <c r="B106" t="s">
        <v>123</v>
      </c>
      <c r="C106">
        <v>2040</v>
      </c>
      <c r="D106">
        <v>42</v>
      </c>
      <c r="E106">
        <v>10.26</v>
      </c>
      <c r="F106">
        <v>11.82</v>
      </c>
      <c r="G106">
        <v>4.0199999999999996</v>
      </c>
      <c r="H106">
        <v>0.61</v>
      </c>
      <c r="I106">
        <v>12.59</v>
      </c>
      <c r="J106">
        <v>10.49</v>
      </c>
      <c r="K106">
        <v>12.59</v>
      </c>
      <c r="L106" t="s">
        <v>8</v>
      </c>
      <c r="M106" t="s">
        <v>113</v>
      </c>
    </row>
    <row r="107" spans="1:13" x14ac:dyDescent="0.45">
      <c r="A107" t="s">
        <v>7</v>
      </c>
      <c r="B107" t="s">
        <v>123</v>
      </c>
      <c r="C107">
        <v>2045</v>
      </c>
      <c r="D107">
        <v>36</v>
      </c>
      <c r="E107">
        <v>18.29</v>
      </c>
      <c r="F107">
        <v>19.03</v>
      </c>
      <c r="G107">
        <v>2.85</v>
      </c>
      <c r="H107">
        <v>12.09</v>
      </c>
      <c r="I107">
        <v>20.329999999999998</v>
      </c>
      <c r="J107">
        <v>19.03</v>
      </c>
      <c r="K107">
        <v>20.329999999999998</v>
      </c>
      <c r="L107" t="s">
        <v>8</v>
      </c>
      <c r="M107" t="s">
        <v>113</v>
      </c>
    </row>
    <row r="108" spans="1:13" x14ac:dyDescent="0.45">
      <c r="A108" t="s">
        <v>7</v>
      </c>
      <c r="B108" t="s">
        <v>123</v>
      </c>
      <c r="C108">
        <v>2050</v>
      </c>
      <c r="D108">
        <v>42</v>
      </c>
      <c r="E108">
        <v>24.31</v>
      </c>
      <c r="F108">
        <v>30.24</v>
      </c>
      <c r="G108">
        <v>11.27</v>
      </c>
      <c r="H108">
        <v>0.61</v>
      </c>
      <c r="I108">
        <v>32.340000000000003</v>
      </c>
      <c r="J108">
        <v>16.23</v>
      </c>
      <c r="K108">
        <v>32.340000000000003</v>
      </c>
      <c r="L108" t="s">
        <v>8</v>
      </c>
      <c r="M108" t="s">
        <v>113</v>
      </c>
    </row>
    <row r="109" spans="1:13" x14ac:dyDescent="0.45">
      <c r="A109" t="s">
        <v>9</v>
      </c>
      <c r="B109" t="s">
        <v>123</v>
      </c>
      <c r="C109">
        <v>2020</v>
      </c>
      <c r="D109">
        <v>44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113</v>
      </c>
    </row>
    <row r="110" spans="1:13" x14ac:dyDescent="0.45">
      <c r="A110" t="s">
        <v>9</v>
      </c>
      <c r="B110" t="s">
        <v>123</v>
      </c>
      <c r="C110">
        <v>2025</v>
      </c>
      <c r="D110">
        <v>39</v>
      </c>
      <c r="E110">
        <v>2.19</v>
      </c>
      <c r="F110">
        <v>2.33</v>
      </c>
      <c r="G110">
        <v>0.75</v>
      </c>
      <c r="H110">
        <v>0.99</v>
      </c>
      <c r="I110">
        <v>3.08</v>
      </c>
      <c r="J110">
        <v>1.23</v>
      </c>
      <c r="K110">
        <v>2.88</v>
      </c>
      <c r="L110" t="s">
        <v>10</v>
      </c>
      <c r="M110" t="s">
        <v>113</v>
      </c>
    </row>
    <row r="111" spans="1:13" x14ac:dyDescent="0.45">
      <c r="A111" t="s">
        <v>9</v>
      </c>
      <c r="B111" t="s">
        <v>123</v>
      </c>
      <c r="C111">
        <v>2030</v>
      </c>
      <c r="D111">
        <v>44</v>
      </c>
      <c r="E111">
        <v>3.67</v>
      </c>
      <c r="F111">
        <v>4.3899999999999997</v>
      </c>
      <c r="G111">
        <v>2.06</v>
      </c>
      <c r="H111">
        <v>0.61</v>
      </c>
      <c r="I111">
        <v>5.79</v>
      </c>
      <c r="J111">
        <v>1.3</v>
      </c>
      <c r="K111">
        <v>5.59</v>
      </c>
      <c r="L111" t="s">
        <v>10</v>
      </c>
      <c r="M111" t="s">
        <v>113</v>
      </c>
    </row>
    <row r="112" spans="1:13" x14ac:dyDescent="0.45">
      <c r="A112" t="s">
        <v>9</v>
      </c>
      <c r="B112" t="s">
        <v>123</v>
      </c>
      <c r="C112">
        <v>2035</v>
      </c>
      <c r="D112">
        <v>39</v>
      </c>
      <c r="E112">
        <v>6.43</v>
      </c>
      <c r="F112">
        <v>7.61</v>
      </c>
      <c r="G112">
        <v>3.34</v>
      </c>
      <c r="H112">
        <v>0.51</v>
      </c>
      <c r="I112">
        <v>9.7200000000000006</v>
      </c>
      <c r="J112">
        <v>2.71</v>
      </c>
      <c r="K112">
        <v>9.5</v>
      </c>
      <c r="L112" t="s">
        <v>10</v>
      </c>
      <c r="M112" t="s">
        <v>113</v>
      </c>
    </row>
    <row r="113" spans="1:13" x14ac:dyDescent="0.45">
      <c r="A113" t="s">
        <v>9</v>
      </c>
      <c r="B113" t="s">
        <v>123</v>
      </c>
      <c r="C113">
        <v>2040</v>
      </c>
      <c r="D113">
        <v>44</v>
      </c>
      <c r="E113">
        <v>8.32</v>
      </c>
      <c r="F113">
        <v>9.7200000000000006</v>
      </c>
      <c r="G113">
        <v>5.63</v>
      </c>
      <c r="H113">
        <v>0.25</v>
      </c>
      <c r="I113">
        <v>15.19</v>
      </c>
      <c r="J113">
        <v>2.94</v>
      </c>
      <c r="K113">
        <v>13.74</v>
      </c>
      <c r="L113" t="s">
        <v>10</v>
      </c>
      <c r="M113" t="s">
        <v>113</v>
      </c>
    </row>
    <row r="114" spans="1:13" x14ac:dyDescent="0.45">
      <c r="A114" t="s">
        <v>9</v>
      </c>
      <c r="B114" t="s">
        <v>123</v>
      </c>
      <c r="C114">
        <v>2045</v>
      </c>
      <c r="D114">
        <v>39</v>
      </c>
      <c r="E114">
        <v>13.16</v>
      </c>
      <c r="F114">
        <v>13.9</v>
      </c>
      <c r="G114">
        <v>7.6</v>
      </c>
      <c r="H114">
        <v>0.25</v>
      </c>
      <c r="I114">
        <v>22.07</v>
      </c>
      <c r="J114">
        <v>5.92</v>
      </c>
      <c r="K114">
        <v>19.96</v>
      </c>
      <c r="L114" t="s">
        <v>10</v>
      </c>
      <c r="M114" t="s">
        <v>113</v>
      </c>
    </row>
    <row r="115" spans="1:13" x14ac:dyDescent="0.45">
      <c r="A115" t="s">
        <v>9</v>
      </c>
      <c r="B115" t="s">
        <v>123</v>
      </c>
      <c r="C115">
        <v>2050</v>
      </c>
      <c r="D115">
        <v>44</v>
      </c>
      <c r="E115">
        <v>16.25</v>
      </c>
      <c r="F115">
        <v>16.190000000000001</v>
      </c>
      <c r="G115">
        <v>11.87</v>
      </c>
      <c r="H115">
        <v>0.19</v>
      </c>
      <c r="I115">
        <v>32.340000000000003</v>
      </c>
      <c r="J115">
        <v>5.41</v>
      </c>
      <c r="K115">
        <v>28.41</v>
      </c>
      <c r="L115" t="s">
        <v>10</v>
      </c>
      <c r="M115" t="s">
        <v>113</v>
      </c>
    </row>
    <row r="116" spans="1:13" x14ac:dyDescent="0.45">
      <c r="A116" t="s">
        <v>0</v>
      </c>
      <c r="B116" t="s">
        <v>123</v>
      </c>
      <c r="C116">
        <v>2020</v>
      </c>
      <c r="D116">
        <v>59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123</v>
      </c>
      <c r="C117">
        <v>2025</v>
      </c>
      <c r="D117">
        <v>59</v>
      </c>
      <c r="E117">
        <v>0</v>
      </c>
      <c r="F117">
        <v>0</v>
      </c>
      <c r="G117">
        <v>0</v>
      </c>
      <c r="H117">
        <v>0</v>
      </c>
      <c r="I117">
        <v>0.01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123</v>
      </c>
      <c r="C118">
        <v>2030</v>
      </c>
      <c r="D118">
        <v>59</v>
      </c>
      <c r="E118">
        <v>0</v>
      </c>
      <c r="F118">
        <v>0</v>
      </c>
      <c r="G118">
        <v>0</v>
      </c>
      <c r="H118">
        <v>0</v>
      </c>
      <c r="I118">
        <v>0.02</v>
      </c>
      <c r="J118">
        <v>0</v>
      </c>
      <c r="K118">
        <v>0.01</v>
      </c>
      <c r="L118" t="s">
        <v>1</v>
      </c>
      <c r="M118" t="s">
        <v>15</v>
      </c>
    </row>
    <row r="119" spans="1:13" x14ac:dyDescent="0.45">
      <c r="A119" t="s">
        <v>0</v>
      </c>
      <c r="B119" t="s">
        <v>123</v>
      </c>
      <c r="C119">
        <v>2035</v>
      </c>
      <c r="D119">
        <v>59</v>
      </c>
      <c r="E119">
        <v>0.01</v>
      </c>
      <c r="F119">
        <v>0.01</v>
      </c>
      <c r="G119">
        <v>0.01</v>
      </c>
      <c r="H119">
        <v>0</v>
      </c>
      <c r="I119">
        <v>0.06</v>
      </c>
      <c r="J119">
        <v>0.01</v>
      </c>
      <c r="K119">
        <v>0.02</v>
      </c>
      <c r="L119" t="s">
        <v>1</v>
      </c>
      <c r="M119" t="s">
        <v>15</v>
      </c>
    </row>
    <row r="120" spans="1:13" x14ac:dyDescent="0.45">
      <c r="A120" t="s">
        <v>0</v>
      </c>
      <c r="B120" t="s">
        <v>123</v>
      </c>
      <c r="C120">
        <v>2040</v>
      </c>
      <c r="D120">
        <v>59</v>
      </c>
      <c r="E120">
        <v>0.02</v>
      </c>
      <c r="F120">
        <v>0.02</v>
      </c>
      <c r="G120">
        <v>0.02</v>
      </c>
      <c r="H120">
        <v>0</v>
      </c>
      <c r="I120">
        <v>7.0000000000000007E-2</v>
      </c>
      <c r="J120">
        <v>0.01</v>
      </c>
      <c r="K120">
        <v>0.04</v>
      </c>
      <c r="L120" t="s">
        <v>1</v>
      </c>
      <c r="M120" t="s">
        <v>15</v>
      </c>
    </row>
    <row r="121" spans="1:13" x14ac:dyDescent="0.45">
      <c r="A121" t="s">
        <v>0</v>
      </c>
      <c r="B121" t="s">
        <v>123</v>
      </c>
      <c r="C121">
        <v>2045</v>
      </c>
      <c r="D121">
        <v>59</v>
      </c>
      <c r="E121">
        <v>0.03</v>
      </c>
      <c r="F121">
        <v>0.03</v>
      </c>
      <c r="G121">
        <v>0.02</v>
      </c>
      <c r="H121">
        <v>0</v>
      </c>
      <c r="I121">
        <v>7.0000000000000007E-2</v>
      </c>
      <c r="J121">
        <v>0.02</v>
      </c>
      <c r="K121">
        <v>0.05</v>
      </c>
      <c r="L121" t="s">
        <v>1</v>
      </c>
      <c r="M121" t="s">
        <v>15</v>
      </c>
    </row>
    <row r="122" spans="1:13" x14ac:dyDescent="0.45">
      <c r="A122" t="s">
        <v>0</v>
      </c>
      <c r="B122" t="s">
        <v>123</v>
      </c>
      <c r="C122">
        <v>2050</v>
      </c>
      <c r="D122">
        <v>59</v>
      </c>
      <c r="E122">
        <v>0.04</v>
      </c>
      <c r="F122">
        <v>0.03</v>
      </c>
      <c r="G122">
        <v>0.03</v>
      </c>
      <c r="H122">
        <v>0</v>
      </c>
      <c r="I122">
        <v>0.15</v>
      </c>
      <c r="J122">
        <v>0.02</v>
      </c>
      <c r="K122">
        <v>0.05</v>
      </c>
      <c r="L122" t="s">
        <v>1</v>
      </c>
      <c r="M122" t="s">
        <v>15</v>
      </c>
    </row>
    <row r="123" spans="1:13" x14ac:dyDescent="0.45">
      <c r="A123" t="s">
        <v>2</v>
      </c>
      <c r="B123" t="s">
        <v>123</v>
      </c>
      <c r="C123">
        <v>2020</v>
      </c>
      <c r="D123">
        <v>100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15</v>
      </c>
    </row>
    <row r="124" spans="1:13" x14ac:dyDescent="0.45">
      <c r="A124" t="s">
        <v>2</v>
      </c>
      <c r="B124" t="s">
        <v>123</v>
      </c>
      <c r="C124">
        <v>2025</v>
      </c>
      <c r="D124">
        <v>89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123</v>
      </c>
      <c r="C125">
        <v>2030</v>
      </c>
      <c r="D125">
        <v>100</v>
      </c>
      <c r="E125">
        <v>0</v>
      </c>
      <c r="F125">
        <v>0</v>
      </c>
      <c r="G125">
        <v>0</v>
      </c>
      <c r="H125">
        <v>0</v>
      </c>
      <c r="I125">
        <v>0.02</v>
      </c>
      <c r="J125">
        <v>0</v>
      </c>
      <c r="K125">
        <v>0.01</v>
      </c>
      <c r="L125" t="s">
        <v>3</v>
      </c>
      <c r="M125" t="s">
        <v>15</v>
      </c>
    </row>
    <row r="126" spans="1:13" x14ac:dyDescent="0.45">
      <c r="A126" t="s">
        <v>2</v>
      </c>
      <c r="B126" t="s">
        <v>123</v>
      </c>
      <c r="C126">
        <v>2035</v>
      </c>
      <c r="D126">
        <v>89</v>
      </c>
      <c r="E126">
        <v>0.01</v>
      </c>
      <c r="F126">
        <v>0.01</v>
      </c>
      <c r="G126">
        <v>0.01</v>
      </c>
      <c r="H126">
        <v>0</v>
      </c>
      <c r="I126">
        <v>0.06</v>
      </c>
      <c r="J126">
        <v>0</v>
      </c>
      <c r="K126">
        <v>0.02</v>
      </c>
      <c r="L126" t="s">
        <v>3</v>
      </c>
      <c r="M126" t="s">
        <v>15</v>
      </c>
    </row>
    <row r="127" spans="1:13" x14ac:dyDescent="0.45">
      <c r="A127" t="s">
        <v>2</v>
      </c>
      <c r="B127" t="s">
        <v>123</v>
      </c>
      <c r="C127">
        <v>2040</v>
      </c>
      <c r="D127">
        <v>100</v>
      </c>
      <c r="E127">
        <v>0.03</v>
      </c>
      <c r="F127">
        <v>0.02</v>
      </c>
      <c r="G127">
        <v>0.03</v>
      </c>
      <c r="H127">
        <v>0</v>
      </c>
      <c r="I127">
        <v>0.15</v>
      </c>
      <c r="J127">
        <v>0.01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123</v>
      </c>
      <c r="C128">
        <v>2045</v>
      </c>
      <c r="D128">
        <v>89</v>
      </c>
      <c r="E128">
        <v>0.04</v>
      </c>
      <c r="F128">
        <v>0.02</v>
      </c>
      <c r="G128">
        <v>0.05</v>
      </c>
      <c r="H128">
        <v>0</v>
      </c>
      <c r="I128">
        <v>0.26</v>
      </c>
      <c r="J128">
        <v>0.01</v>
      </c>
      <c r="K128">
        <v>7.0000000000000007E-2</v>
      </c>
      <c r="L128" t="s">
        <v>3</v>
      </c>
      <c r="M128" t="s">
        <v>15</v>
      </c>
    </row>
    <row r="129" spans="1:13" x14ac:dyDescent="0.45">
      <c r="A129" t="s">
        <v>2</v>
      </c>
      <c r="B129" t="s">
        <v>123</v>
      </c>
      <c r="C129">
        <v>2050</v>
      </c>
      <c r="D129">
        <v>100</v>
      </c>
      <c r="E129">
        <v>7.0000000000000007E-2</v>
      </c>
      <c r="F129">
        <v>0.04</v>
      </c>
      <c r="G129">
        <v>7.0000000000000007E-2</v>
      </c>
      <c r="H129">
        <v>0</v>
      </c>
      <c r="I129">
        <v>0.33</v>
      </c>
      <c r="J129">
        <v>0.02</v>
      </c>
      <c r="K129">
        <v>0.1</v>
      </c>
      <c r="L129" t="s">
        <v>3</v>
      </c>
      <c r="M129" t="s">
        <v>15</v>
      </c>
    </row>
    <row r="130" spans="1:13" x14ac:dyDescent="0.45">
      <c r="A130" t="s">
        <v>5</v>
      </c>
      <c r="B130" t="s">
        <v>123</v>
      </c>
      <c r="C130">
        <v>2020</v>
      </c>
      <c r="D130">
        <v>221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123</v>
      </c>
      <c r="C131">
        <v>2025</v>
      </c>
      <c r="D131">
        <v>208</v>
      </c>
      <c r="E131">
        <v>0</v>
      </c>
      <c r="F131">
        <v>0</v>
      </c>
      <c r="G131">
        <v>0</v>
      </c>
      <c r="H131">
        <v>0</v>
      </c>
      <c r="I131">
        <v>0.01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123</v>
      </c>
      <c r="C132">
        <v>2030</v>
      </c>
      <c r="D132">
        <v>221</v>
      </c>
      <c r="E132">
        <v>0</v>
      </c>
      <c r="F132">
        <v>0</v>
      </c>
      <c r="G132">
        <v>0</v>
      </c>
      <c r="H132">
        <v>0</v>
      </c>
      <c r="I132">
        <v>0.02</v>
      </c>
      <c r="J132">
        <v>0</v>
      </c>
      <c r="K132">
        <v>0.01</v>
      </c>
      <c r="L132" t="s">
        <v>6</v>
      </c>
      <c r="M132" t="s">
        <v>15</v>
      </c>
    </row>
    <row r="133" spans="1:13" x14ac:dyDescent="0.45">
      <c r="A133" t="s">
        <v>5</v>
      </c>
      <c r="B133" t="s">
        <v>123</v>
      </c>
      <c r="C133">
        <v>2035</v>
      </c>
      <c r="D133">
        <v>208</v>
      </c>
      <c r="E133">
        <v>0.01</v>
      </c>
      <c r="F133">
        <v>0.01</v>
      </c>
      <c r="G133">
        <v>0.01</v>
      </c>
      <c r="H133">
        <v>0</v>
      </c>
      <c r="I133">
        <v>0.06</v>
      </c>
      <c r="J133">
        <v>0</v>
      </c>
      <c r="K133">
        <v>0.02</v>
      </c>
      <c r="L133" t="s">
        <v>6</v>
      </c>
      <c r="M133" t="s">
        <v>15</v>
      </c>
    </row>
    <row r="134" spans="1:13" x14ac:dyDescent="0.45">
      <c r="A134" t="s">
        <v>5</v>
      </c>
      <c r="B134" t="s">
        <v>123</v>
      </c>
      <c r="C134">
        <v>2040</v>
      </c>
      <c r="D134">
        <v>221</v>
      </c>
      <c r="E134">
        <v>0.02</v>
      </c>
      <c r="F134">
        <v>0.02</v>
      </c>
      <c r="G134">
        <v>0.02</v>
      </c>
      <c r="H134">
        <v>0</v>
      </c>
      <c r="I134">
        <v>0.11</v>
      </c>
      <c r="J134">
        <v>0.01</v>
      </c>
      <c r="K134">
        <v>0.04</v>
      </c>
      <c r="L134" t="s">
        <v>6</v>
      </c>
      <c r="M134" t="s">
        <v>15</v>
      </c>
    </row>
    <row r="135" spans="1:13" x14ac:dyDescent="0.45">
      <c r="A135" t="s">
        <v>5</v>
      </c>
      <c r="B135" t="s">
        <v>123</v>
      </c>
      <c r="C135">
        <v>2045</v>
      </c>
      <c r="D135">
        <v>208</v>
      </c>
      <c r="E135">
        <v>0.03</v>
      </c>
      <c r="F135">
        <v>0.02</v>
      </c>
      <c r="G135">
        <v>0.03</v>
      </c>
      <c r="H135">
        <v>0</v>
      </c>
      <c r="I135">
        <v>0.34</v>
      </c>
      <c r="J135">
        <v>0.01</v>
      </c>
      <c r="K135">
        <v>0.04</v>
      </c>
      <c r="L135" t="s">
        <v>6</v>
      </c>
      <c r="M135" t="s">
        <v>15</v>
      </c>
    </row>
    <row r="136" spans="1:13" x14ac:dyDescent="0.45">
      <c r="A136" t="s">
        <v>5</v>
      </c>
      <c r="B136" t="s">
        <v>123</v>
      </c>
      <c r="C136">
        <v>2050</v>
      </c>
      <c r="D136">
        <v>221</v>
      </c>
      <c r="E136">
        <v>0.05</v>
      </c>
      <c r="F136">
        <v>0.03</v>
      </c>
      <c r="G136">
        <v>0.05</v>
      </c>
      <c r="H136">
        <v>0</v>
      </c>
      <c r="I136">
        <v>0.38</v>
      </c>
      <c r="J136">
        <v>0.01</v>
      </c>
      <c r="K136">
        <v>0.08</v>
      </c>
      <c r="L136" t="s">
        <v>6</v>
      </c>
      <c r="M136" t="s">
        <v>15</v>
      </c>
    </row>
    <row r="137" spans="1:13" x14ac:dyDescent="0.45">
      <c r="A137" t="s">
        <v>7</v>
      </c>
      <c r="B137" t="s">
        <v>123</v>
      </c>
      <c r="C137">
        <v>2020</v>
      </c>
      <c r="D137">
        <v>94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123</v>
      </c>
      <c r="C138">
        <v>2025</v>
      </c>
      <c r="D138">
        <v>94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123</v>
      </c>
      <c r="C139">
        <v>2030</v>
      </c>
      <c r="D139">
        <v>94</v>
      </c>
      <c r="E139">
        <v>0</v>
      </c>
      <c r="F139">
        <v>0</v>
      </c>
      <c r="G139">
        <v>0</v>
      </c>
      <c r="H139">
        <v>0</v>
      </c>
      <c r="I139">
        <v>0.01</v>
      </c>
      <c r="J139">
        <v>0</v>
      </c>
      <c r="K139">
        <v>0</v>
      </c>
      <c r="L139" t="s">
        <v>8</v>
      </c>
      <c r="M139" t="s">
        <v>15</v>
      </c>
    </row>
    <row r="140" spans="1:13" x14ac:dyDescent="0.45">
      <c r="A140" t="s">
        <v>7</v>
      </c>
      <c r="B140" t="s">
        <v>123</v>
      </c>
      <c r="C140">
        <v>2035</v>
      </c>
      <c r="D140">
        <v>94</v>
      </c>
      <c r="E140">
        <v>0</v>
      </c>
      <c r="F140">
        <v>0</v>
      </c>
      <c r="G140">
        <v>0.01</v>
      </c>
      <c r="H140">
        <v>0</v>
      </c>
      <c r="I140">
        <v>0.02</v>
      </c>
      <c r="J140">
        <v>0</v>
      </c>
      <c r="K140">
        <v>0.01</v>
      </c>
      <c r="L140" t="s">
        <v>8</v>
      </c>
      <c r="M140" t="s">
        <v>15</v>
      </c>
    </row>
    <row r="141" spans="1:13" x14ac:dyDescent="0.45">
      <c r="A141" t="s">
        <v>7</v>
      </c>
      <c r="B141" t="s">
        <v>123</v>
      </c>
      <c r="C141">
        <v>2040</v>
      </c>
      <c r="D141">
        <v>94</v>
      </c>
      <c r="E141">
        <v>0.01</v>
      </c>
      <c r="F141">
        <v>0</v>
      </c>
      <c r="G141">
        <v>0.01</v>
      </c>
      <c r="H141">
        <v>0</v>
      </c>
      <c r="I141">
        <v>0.05</v>
      </c>
      <c r="J141">
        <v>0</v>
      </c>
      <c r="K141">
        <v>0.02</v>
      </c>
      <c r="L141" t="s">
        <v>8</v>
      </c>
      <c r="M141" t="s">
        <v>15</v>
      </c>
    </row>
    <row r="142" spans="1:13" x14ac:dyDescent="0.45">
      <c r="A142" t="s">
        <v>7</v>
      </c>
      <c r="B142" t="s">
        <v>123</v>
      </c>
      <c r="C142">
        <v>2045</v>
      </c>
      <c r="D142">
        <v>94</v>
      </c>
      <c r="E142">
        <v>0.01</v>
      </c>
      <c r="F142">
        <v>0.01</v>
      </c>
      <c r="G142">
        <v>0.02</v>
      </c>
      <c r="H142">
        <v>0</v>
      </c>
      <c r="I142">
        <v>0.08</v>
      </c>
      <c r="J142">
        <v>0</v>
      </c>
      <c r="K142">
        <v>0.03</v>
      </c>
      <c r="L142" t="s">
        <v>8</v>
      </c>
      <c r="M142" t="s">
        <v>15</v>
      </c>
    </row>
    <row r="143" spans="1:13" x14ac:dyDescent="0.45">
      <c r="A143" t="s">
        <v>7</v>
      </c>
      <c r="B143" t="s">
        <v>123</v>
      </c>
      <c r="C143">
        <v>2050</v>
      </c>
      <c r="D143">
        <v>94</v>
      </c>
      <c r="E143">
        <v>0.02</v>
      </c>
      <c r="F143">
        <v>0.01</v>
      </c>
      <c r="G143">
        <v>0.03</v>
      </c>
      <c r="H143">
        <v>0</v>
      </c>
      <c r="I143">
        <v>0.11</v>
      </c>
      <c r="J143">
        <v>0</v>
      </c>
      <c r="K143">
        <v>0.05</v>
      </c>
      <c r="L143" t="s">
        <v>8</v>
      </c>
      <c r="M143" t="s">
        <v>15</v>
      </c>
    </row>
    <row r="144" spans="1:13" x14ac:dyDescent="0.45">
      <c r="A144" t="s">
        <v>9</v>
      </c>
      <c r="B144" t="s">
        <v>123</v>
      </c>
      <c r="C144">
        <v>2020</v>
      </c>
      <c r="D144">
        <v>59</v>
      </c>
      <c r="E144">
        <v>0</v>
      </c>
      <c r="F144">
        <v>0.01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123</v>
      </c>
      <c r="C145">
        <v>2025</v>
      </c>
      <c r="D145">
        <v>54</v>
      </c>
      <c r="E145">
        <v>0</v>
      </c>
      <c r="F145">
        <v>0</v>
      </c>
      <c r="G145">
        <v>0</v>
      </c>
      <c r="H145">
        <v>0</v>
      </c>
      <c r="I145">
        <v>0.01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123</v>
      </c>
      <c r="C146">
        <v>2030</v>
      </c>
      <c r="D146">
        <v>59</v>
      </c>
      <c r="E146">
        <v>0.01</v>
      </c>
      <c r="F146">
        <v>0.01</v>
      </c>
      <c r="G146">
        <v>0.01</v>
      </c>
      <c r="H146">
        <v>0</v>
      </c>
      <c r="I146">
        <v>0.02</v>
      </c>
      <c r="J146">
        <v>0</v>
      </c>
      <c r="K146">
        <v>0.01</v>
      </c>
      <c r="L146" t="s">
        <v>10</v>
      </c>
      <c r="M146" t="s">
        <v>15</v>
      </c>
    </row>
    <row r="147" spans="1:13" x14ac:dyDescent="0.45">
      <c r="A147" t="s">
        <v>9</v>
      </c>
      <c r="B147" t="s">
        <v>123</v>
      </c>
      <c r="C147">
        <v>2035</v>
      </c>
      <c r="D147">
        <v>54</v>
      </c>
      <c r="E147">
        <v>0.01</v>
      </c>
      <c r="F147">
        <v>0.01</v>
      </c>
      <c r="G147">
        <v>0.01</v>
      </c>
      <c r="H147">
        <v>0</v>
      </c>
      <c r="I147">
        <v>0.02</v>
      </c>
      <c r="J147">
        <v>0</v>
      </c>
      <c r="K147">
        <v>0.01</v>
      </c>
      <c r="L147" t="s">
        <v>10</v>
      </c>
      <c r="M147" t="s">
        <v>15</v>
      </c>
    </row>
    <row r="148" spans="1:13" x14ac:dyDescent="0.45">
      <c r="A148" t="s">
        <v>9</v>
      </c>
      <c r="B148" t="s">
        <v>123</v>
      </c>
      <c r="C148">
        <v>2040</v>
      </c>
      <c r="D148">
        <v>59</v>
      </c>
      <c r="E148">
        <v>0.01</v>
      </c>
      <c r="F148">
        <v>0.02</v>
      </c>
      <c r="G148">
        <v>0.01</v>
      </c>
      <c r="H148">
        <v>0</v>
      </c>
      <c r="I148">
        <v>0.04</v>
      </c>
      <c r="J148">
        <v>0</v>
      </c>
      <c r="K148">
        <v>0.02</v>
      </c>
      <c r="L148" t="s">
        <v>10</v>
      </c>
      <c r="M148" t="s">
        <v>15</v>
      </c>
    </row>
    <row r="149" spans="1:13" x14ac:dyDescent="0.45">
      <c r="A149" t="s">
        <v>9</v>
      </c>
      <c r="B149" t="s">
        <v>123</v>
      </c>
      <c r="C149">
        <v>2045</v>
      </c>
      <c r="D149">
        <v>54</v>
      </c>
      <c r="E149">
        <v>0.02</v>
      </c>
      <c r="F149">
        <v>0.02</v>
      </c>
      <c r="G149">
        <v>0.01</v>
      </c>
      <c r="H149">
        <v>0</v>
      </c>
      <c r="I149">
        <v>0.04</v>
      </c>
      <c r="J149">
        <v>0</v>
      </c>
      <c r="K149">
        <v>0.03</v>
      </c>
      <c r="L149" t="s">
        <v>10</v>
      </c>
      <c r="M149" t="s">
        <v>15</v>
      </c>
    </row>
    <row r="150" spans="1:13" x14ac:dyDescent="0.45">
      <c r="A150" t="s">
        <v>9</v>
      </c>
      <c r="B150" t="s">
        <v>123</v>
      </c>
      <c r="C150">
        <v>2050</v>
      </c>
      <c r="D150">
        <v>59</v>
      </c>
      <c r="E150">
        <v>0.02</v>
      </c>
      <c r="F150">
        <v>0.03</v>
      </c>
      <c r="G150">
        <v>0.02</v>
      </c>
      <c r="H150">
        <v>0</v>
      </c>
      <c r="I150">
        <v>0.05</v>
      </c>
      <c r="J150">
        <v>0</v>
      </c>
      <c r="K150">
        <v>0.03</v>
      </c>
      <c r="L150" t="s">
        <v>10</v>
      </c>
      <c r="M150" t="s">
        <v>15</v>
      </c>
    </row>
    <row r="151" spans="1:13" x14ac:dyDescent="0.45">
      <c r="A151" t="s">
        <v>0</v>
      </c>
      <c r="B151" t="s">
        <v>123</v>
      </c>
      <c r="C151">
        <v>2020</v>
      </c>
      <c r="D151">
        <v>64</v>
      </c>
      <c r="E151">
        <v>0.52</v>
      </c>
      <c r="F151">
        <v>0.53</v>
      </c>
      <c r="G151">
        <v>7.0000000000000007E-2</v>
      </c>
      <c r="H151">
        <v>0.41</v>
      </c>
      <c r="I151">
        <v>0.64</v>
      </c>
      <c r="J151">
        <v>0.49</v>
      </c>
      <c r="K151">
        <v>0.56999999999999995</v>
      </c>
      <c r="L151" t="s">
        <v>1</v>
      </c>
      <c r="M151" t="s">
        <v>18</v>
      </c>
    </row>
    <row r="152" spans="1:13" x14ac:dyDescent="0.45">
      <c r="A152" t="s">
        <v>0</v>
      </c>
      <c r="B152" t="s">
        <v>123</v>
      </c>
      <c r="C152">
        <v>2025</v>
      </c>
      <c r="D152">
        <v>64</v>
      </c>
      <c r="E152">
        <v>0.48</v>
      </c>
      <c r="F152">
        <v>0.5</v>
      </c>
      <c r="G152">
        <v>0.11</v>
      </c>
      <c r="H152">
        <v>0.16</v>
      </c>
      <c r="I152">
        <v>0.63</v>
      </c>
      <c r="J152">
        <v>0.47</v>
      </c>
      <c r="K152">
        <v>0.54</v>
      </c>
      <c r="L152" t="s">
        <v>1</v>
      </c>
      <c r="M152" t="s">
        <v>18</v>
      </c>
    </row>
    <row r="153" spans="1:13" x14ac:dyDescent="0.45">
      <c r="A153" t="s">
        <v>0</v>
      </c>
      <c r="B153" t="s">
        <v>123</v>
      </c>
      <c r="C153">
        <v>2030</v>
      </c>
      <c r="D153">
        <v>64</v>
      </c>
      <c r="E153">
        <v>0.48</v>
      </c>
      <c r="F153">
        <v>0.51</v>
      </c>
      <c r="G153">
        <v>0.12</v>
      </c>
      <c r="H153">
        <v>0.15</v>
      </c>
      <c r="I153">
        <v>0.68</v>
      </c>
      <c r="J153">
        <v>0.48</v>
      </c>
      <c r="K153">
        <v>0.52</v>
      </c>
      <c r="L153" t="s">
        <v>1</v>
      </c>
      <c r="M153" t="s">
        <v>18</v>
      </c>
    </row>
    <row r="154" spans="1:13" x14ac:dyDescent="0.45">
      <c r="A154" t="s">
        <v>0</v>
      </c>
      <c r="B154" t="s">
        <v>123</v>
      </c>
      <c r="C154">
        <v>2035</v>
      </c>
      <c r="D154">
        <v>64</v>
      </c>
      <c r="E154">
        <v>0.49</v>
      </c>
      <c r="F154">
        <v>0.5</v>
      </c>
      <c r="G154">
        <v>0.12</v>
      </c>
      <c r="H154">
        <v>0.15</v>
      </c>
      <c r="I154">
        <v>0.7</v>
      </c>
      <c r="J154">
        <v>0.46</v>
      </c>
      <c r="K154">
        <v>0.52</v>
      </c>
      <c r="L154" t="s">
        <v>1</v>
      </c>
      <c r="M154" t="s">
        <v>18</v>
      </c>
    </row>
    <row r="155" spans="1:13" x14ac:dyDescent="0.45">
      <c r="A155" t="s">
        <v>0</v>
      </c>
      <c r="B155" t="s">
        <v>123</v>
      </c>
      <c r="C155">
        <v>2040</v>
      </c>
      <c r="D155">
        <v>64</v>
      </c>
      <c r="E155">
        <v>0.49</v>
      </c>
      <c r="F155">
        <v>0.52</v>
      </c>
      <c r="G155">
        <v>0.12</v>
      </c>
      <c r="H155">
        <v>0.15</v>
      </c>
      <c r="I155">
        <v>0.7</v>
      </c>
      <c r="J155">
        <v>0.45</v>
      </c>
      <c r="K155">
        <v>0.53</v>
      </c>
      <c r="L155" t="s">
        <v>1</v>
      </c>
      <c r="M155" t="s">
        <v>18</v>
      </c>
    </row>
    <row r="156" spans="1:13" x14ac:dyDescent="0.45">
      <c r="A156" t="s">
        <v>0</v>
      </c>
      <c r="B156" t="s">
        <v>123</v>
      </c>
      <c r="C156">
        <v>2045</v>
      </c>
      <c r="D156">
        <v>64</v>
      </c>
      <c r="E156">
        <v>0.49</v>
      </c>
      <c r="F156">
        <v>0.54</v>
      </c>
      <c r="G156">
        <v>0.13</v>
      </c>
      <c r="H156">
        <v>0.15</v>
      </c>
      <c r="I156">
        <v>0.7</v>
      </c>
      <c r="J156">
        <v>0.46</v>
      </c>
      <c r="K156">
        <v>0.55000000000000004</v>
      </c>
      <c r="L156" t="s">
        <v>1</v>
      </c>
      <c r="M156" t="s">
        <v>18</v>
      </c>
    </row>
    <row r="157" spans="1:13" x14ac:dyDescent="0.45">
      <c r="A157" t="s">
        <v>0</v>
      </c>
      <c r="B157" t="s">
        <v>123</v>
      </c>
      <c r="C157">
        <v>2050</v>
      </c>
      <c r="D157">
        <v>64</v>
      </c>
      <c r="E157">
        <v>0.5</v>
      </c>
      <c r="F157">
        <v>0.55000000000000004</v>
      </c>
      <c r="G157">
        <v>0.13</v>
      </c>
      <c r="H157">
        <v>0.14000000000000001</v>
      </c>
      <c r="I157">
        <v>0.71</v>
      </c>
      <c r="J157">
        <v>0.47</v>
      </c>
      <c r="K157">
        <v>0.56999999999999995</v>
      </c>
      <c r="L157" t="s">
        <v>1</v>
      </c>
      <c r="M157" t="s">
        <v>18</v>
      </c>
    </row>
    <row r="158" spans="1:13" x14ac:dyDescent="0.45">
      <c r="A158" t="s">
        <v>2</v>
      </c>
      <c r="B158" t="s">
        <v>123</v>
      </c>
      <c r="C158">
        <v>2020</v>
      </c>
      <c r="D158">
        <v>100</v>
      </c>
      <c r="E158">
        <v>0.49</v>
      </c>
      <c r="F158">
        <v>0.5</v>
      </c>
      <c r="G158">
        <v>0.08</v>
      </c>
      <c r="H158">
        <v>0.38</v>
      </c>
      <c r="I158">
        <v>0.64</v>
      </c>
      <c r="J158">
        <v>0.41</v>
      </c>
      <c r="K158">
        <v>0.54</v>
      </c>
      <c r="L158" t="s">
        <v>3</v>
      </c>
      <c r="M158" t="s">
        <v>18</v>
      </c>
    </row>
    <row r="159" spans="1:13" x14ac:dyDescent="0.45">
      <c r="A159" t="s">
        <v>2</v>
      </c>
      <c r="B159" t="s">
        <v>123</v>
      </c>
      <c r="C159">
        <v>2025</v>
      </c>
      <c r="D159">
        <v>89</v>
      </c>
      <c r="E159">
        <v>0.48</v>
      </c>
      <c r="F159">
        <v>0.49</v>
      </c>
      <c r="G159">
        <v>0.08</v>
      </c>
      <c r="H159">
        <v>0.36</v>
      </c>
      <c r="I159">
        <v>0.62</v>
      </c>
      <c r="J159">
        <v>0.4</v>
      </c>
      <c r="K159">
        <v>0.54</v>
      </c>
      <c r="L159" t="s">
        <v>3</v>
      </c>
      <c r="M159" t="s">
        <v>18</v>
      </c>
    </row>
    <row r="160" spans="1:13" x14ac:dyDescent="0.45">
      <c r="A160" t="s">
        <v>2</v>
      </c>
      <c r="B160" t="s">
        <v>123</v>
      </c>
      <c r="C160">
        <v>2030</v>
      </c>
      <c r="D160">
        <v>100</v>
      </c>
      <c r="E160">
        <v>0.47</v>
      </c>
      <c r="F160">
        <v>0.47</v>
      </c>
      <c r="G160">
        <v>0.08</v>
      </c>
      <c r="H160">
        <v>0.36</v>
      </c>
      <c r="I160">
        <v>0.68</v>
      </c>
      <c r="J160">
        <v>0.39</v>
      </c>
      <c r="K160">
        <v>0.52</v>
      </c>
      <c r="L160" t="s">
        <v>3</v>
      </c>
      <c r="M160" t="s">
        <v>18</v>
      </c>
    </row>
    <row r="161" spans="1:13" x14ac:dyDescent="0.45">
      <c r="A161" t="s">
        <v>2</v>
      </c>
      <c r="B161" t="s">
        <v>123</v>
      </c>
      <c r="C161">
        <v>2035</v>
      </c>
      <c r="D161">
        <v>89</v>
      </c>
      <c r="E161">
        <v>0.48</v>
      </c>
      <c r="F161">
        <v>0.48</v>
      </c>
      <c r="G161">
        <v>7.0000000000000007E-2</v>
      </c>
      <c r="H161">
        <v>0.15</v>
      </c>
      <c r="I161">
        <v>0.69</v>
      </c>
      <c r="J161">
        <v>0.44</v>
      </c>
      <c r="K161">
        <v>0.51</v>
      </c>
      <c r="L161" t="s">
        <v>3</v>
      </c>
      <c r="M161" t="s">
        <v>18</v>
      </c>
    </row>
    <row r="162" spans="1:13" x14ac:dyDescent="0.45">
      <c r="A162" t="s">
        <v>2</v>
      </c>
      <c r="B162" t="s">
        <v>123</v>
      </c>
      <c r="C162">
        <v>2040</v>
      </c>
      <c r="D162">
        <v>100</v>
      </c>
      <c r="E162">
        <v>0.47</v>
      </c>
      <c r="F162">
        <v>0.48</v>
      </c>
      <c r="G162">
        <v>0.08</v>
      </c>
      <c r="H162">
        <v>0.15</v>
      </c>
      <c r="I162">
        <v>0.68</v>
      </c>
      <c r="J162">
        <v>0.42</v>
      </c>
      <c r="K162">
        <v>0.51</v>
      </c>
      <c r="L162" t="s">
        <v>3</v>
      </c>
      <c r="M162" t="s">
        <v>18</v>
      </c>
    </row>
    <row r="163" spans="1:13" x14ac:dyDescent="0.45">
      <c r="A163" t="s">
        <v>2</v>
      </c>
      <c r="B163" t="s">
        <v>123</v>
      </c>
      <c r="C163">
        <v>2045</v>
      </c>
      <c r="D163">
        <v>89</v>
      </c>
      <c r="E163">
        <v>0.48</v>
      </c>
      <c r="F163">
        <v>0.48</v>
      </c>
      <c r="G163">
        <v>0.08</v>
      </c>
      <c r="H163">
        <v>0.15</v>
      </c>
      <c r="I163">
        <v>0.68</v>
      </c>
      <c r="J163">
        <v>0.43</v>
      </c>
      <c r="K163">
        <v>0.54</v>
      </c>
      <c r="L163" t="s">
        <v>3</v>
      </c>
      <c r="M163" t="s">
        <v>18</v>
      </c>
    </row>
    <row r="164" spans="1:13" x14ac:dyDescent="0.45">
      <c r="A164" t="s">
        <v>2</v>
      </c>
      <c r="B164" t="s">
        <v>123</v>
      </c>
      <c r="C164">
        <v>2050</v>
      </c>
      <c r="D164">
        <v>100</v>
      </c>
      <c r="E164">
        <v>0.48</v>
      </c>
      <c r="F164">
        <v>0.49</v>
      </c>
      <c r="G164">
        <v>0.08</v>
      </c>
      <c r="H164">
        <v>0.15</v>
      </c>
      <c r="I164">
        <v>0.69</v>
      </c>
      <c r="J164">
        <v>0.44</v>
      </c>
      <c r="K164">
        <v>0.54</v>
      </c>
      <c r="L164" t="s">
        <v>3</v>
      </c>
      <c r="M164" t="s">
        <v>18</v>
      </c>
    </row>
    <row r="165" spans="1:13" x14ac:dyDescent="0.45">
      <c r="A165" t="s">
        <v>5</v>
      </c>
      <c r="B165" t="s">
        <v>123</v>
      </c>
      <c r="C165">
        <v>2020</v>
      </c>
      <c r="D165">
        <v>233</v>
      </c>
      <c r="E165">
        <v>0.48</v>
      </c>
      <c r="F165">
        <v>0.49</v>
      </c>
      <c r="G165">
        <v>7.0000000000000007E-2</v>
      </c>
      <c r="H165">
        <v>0.38</v>
      </c>
      <c r="I165">
        <v>0.67</v>
      </c>
      <c r="J165">
        <v>0.41</v>
      </c>
      <c r="K165">
        <v>0.53</v>
      </c>
      <c r="L165" t="s">
        <v>6</v>
      </c>
      <c r="M165" t="s">
        <v>18</v>
      </c>
    </row>
    <row r="166" spans="1:13" x14ac:dyDescent="0.45">
      <c r="A166" t="s">
        <v>5</v>
      </c>
      <c r="B166" t="s">
        <v>123</v>
      </c>
      <c r="C166">
        <v>2025</v>
      </c>
      <c r="D166">
        <v>210</v>
      </c>
      <c r="E166">
        <v>0.45</v>
      </c>
      <c r="F166">
        <v>0.49</v>
      </c>
      <c r="G166">
        <v>0.1</v>
      </c>
      <c r="H166">
        <v>0.16</v>
      </c>
      <c r="I166">
        <v>0.67</v>
      </c>
      <c r="J166">
        <v>0.39</v>
      </c>
      <c r="K166">
        <v>0.5</v>
      </c>
      <c r="L166" t="s">
        <v>6</v>
      </c>
      <c r="M166" t="s">
        <v>18</v>
      </c>
    </row>
    <row r="167" spans="1:13" x14ac:dyDescent="0.45">
      <c r="A167" t="s">
        <v>5</v>
      </c>
      <c r="B167" t="s">
        <v>123</v>
      </c>
      <c r="C167">
        <v>2030</v>
      </c>
      <c r="D167">
        <v>233</v>
      </c>
      <c r="E167">
        <v>0.45</v>
      </c>
      <c r="F167">
        <v>0.46</v>
      </c>
      <c r="G167">
        <v>0.11</v>
      </c>
      <c r="H167">
        <v>0.15</v>
      </c>
      <c r="I167">
        <v>0.68</v>
      </c>
      <c r="J167">
        <v>0.39</v>
      </c>
      <c r="K167">
        <v>0.52</v>
      </c>
      <c r="L167" t="s">
        <v>6</v>
      </c>
      <c r="M167" t="s">
        <v>18</v>
      </c>
    </row>
    <row r="168" spans="1:13" x14ac:dyDescent="0.45">
      <c r="A168" t="s">
        <v>5</v>
      </c>
      <c r="B168" t="s">
        <v>123</v>
      </c>
      <c r="C168">
        <v>2035</v>
      </c>
      <c r="D168">
        <v>210</v>
      </c>
      <c r="E168">
        <v>0.44</v>
      </c>
      <c r="F168">
        <v>0.48</v>
      </c>
      <c r="G168">
        <v>0.14000000000000001</v>
      </c>
      <c r="H168">
        <v>0.15</v>
      </c>
      <c r="I168">
        <v>0.74</v>
      </c>
      <c r="J168">
        <v>0.39</v>
      </c>
      <c r="K168">
        <v>0.52</v>
      </c>
      <c r="L168" t="s">
        <v>6</v>
      </c>
      <c r="M168" t="s">
        <v>18</v>
      </c>
    </row>
    <row r="169" spans="1:13" x14ac:dyDescent="0.45">
      <c r="A169" t="s">
        <v>5</v>
      </c>
      <c r="B169" t="s">
        <v>123</v>
      </c>
      <c r="C169">
        <v>2040</v>
      </c>
      <c r="D169">
        <v>233</v>
      </c>
      <c r="E169">
        <v>0.44</v>
      </c>
      <c r="F169">
        <v>0.46</v>
      </c>
      <c r="G169">
        <v>0.14000000000000001</v>
      </c>
      <c r="H169">
        <v>0.15</v>
      </c>
      <c r="I169">
        <v>0.73</v>
      </c>
      <c r="J169">
        <v>0.4</v>
      </c>
      <c r="K169">
        <v>0.53</v>
      </c>
      <c r="L169" t="s">
        <v>6</v>
      </c>
      <c r="M169" t="s">
        <v>18</v>
      </c>
    </row>
    <row r="170" spans="1:13" x14ac:dyDescent="0.45">
      <c r="A170" t="s">
        <v>5</v>
      </c>
      <c r="B170" t="s">
        <v>123</v>
      </c>
      <c r="C170">
        <v>2045</v>
      </c>
      <c r="D170">
        <v>210</v>
      </c>
      <c r="E170">
        <v>0.45</v>
      </c>
      <c r="F170">
        <v>0.48</v>
      </c>
      <c r="G170">
        <v>0.15</v>
      </c>
      <c r="H170">
        <v>0.14000000000000001</v>
      </c>
      <c r="I170">
        <v>0.71</v>
      </c>
      <c r="J170">
        <v>0.4</v>
      </c>
      <c r="K170">
        <v>0.54</v>
      </c>
      <c r="L170" t="s">
        <v>6</v>
      </c>
      <c r="M170" t="s">
        <v>18</v>
      </c>
    </row>
    <row r="171" spans="1:13" x14ac:dyDescent="0.45">
      <c r="A171" t="s">
        <v>5</v>
      </c>
      <c r="B171" t="s">
        <v>123</v>
      </c>
      <c r="C171">
        <v>2050</v>
      </c>
      <c r="D171">
        <v>233</v>
      </c>
      <c r="E171">
        <v>0.46</v>
      </c>
      <c r="F171">
        <v>0.47</v>
      </c>
      <c r="G171">
        <v>0.15</v>
      </c>
      <c r="H171">
        <v>0.14000000000000001</v>
      </c>
      <c r="I171">
        <v>0.73</v>
      </c>
      <c r="J171">
        <v>0.4</v>
      </c>
      <c r="K171">
        <v>0.55000000000000004</v>
      </c>
      <c r="L171" t="s">
        <v>6</v>
      </c>
      <c r="M171" t="s">
        <v>18</v>
      </c>
    </row>
    <row r="172" spans="1:13" x14ac:dyDescent="0.45">
      <c r="A172" t="s">
        <v>7</v>
      </c>
      <c r="B172" t="s">
        <v>123</v>
      </c>
      <c r="C172">
        <v>2020</v>
      </c>
      <c r="D172">
        <v>102</v>
      </c>
      <c r="E172">
        <v>0.47</v>
      </c>
      <c r="F172">
        <v>0.47</v>
      </c>
      <c r="G172">
        <v>7.0000000000000007E-2</v>
      </c>
      <c r="H172">
        <v>0.41</v>
      </c>
      <c r="I172">
        <v>0.6</v>
      </c>
      <c r="J172">
        <v>0.41</v>
      </c>
      <c r="K172">
        <v>0.53</v>
      </c>
      <c r="L172" t="s">
        <v>8</v>
      </c>
      <c r="M172" t="s">
        <v>18</v>
      </c>
    </row>
    <row r="173" spans="1:13" x14ac:dyDescent="0.45">
      <c r="A173" t="s">
        <v>7</v>
      </c>
      <c r="B173" t="s">
        <v>123</v>
      </c>
      <c r="C173">
        <v>2025</v>
      </c>
      <c r="D173">
        <v>96</v>
      </c>
      <c r="E173">
        <v>0.44</v>
      </c>
      <c r="F173">
        <v>0.46</v>
      </c>
      <c r="G173">
        <v>0.1</v>
      </c>
      <c r="H173">
        <v>0.16</v>
      </c>
      <c r="I173">
        <v>0.6</v>
      </c>
      <c r="J173">
        <v>0.39</v>
      </c>
      <c r="K173">
        <v>0.5</v>
      </c>
      <c r="L173" t="s">
        <v>8</v>
      </c>
      <c r="M173" t="s">
        <v>18</v>
      </c>
    </row>
    <row r="174" spans="1:13" x14ac:dyDescent="0.45">
      <c r="A174" t="s">
        <v>7</v>
      </c>
      <c r="B174" t="s">
        <v>123</v>
      </c>
      <c r="C174">
        <v>2030</v>
      </c>
      <c r="D174">
        <v>102</v>
      </c>
      <c r="E174">
        <v>0.42</v>
      </c>
      <c r="F174">
        <v>0.41</v>
      </c>
      <c r="G174">
        <v>0.09</v>
      </c>
      <c r="H174">
        <v>0.15</v>
      </c>
      <c r="I174">
        <v>0.63</v>
      </c>
      <c r="J174">
        <v>0.39</v>
      </c>
      <c r="K174">
        <v>0.47</v>
      </c>
      <c r="L174" t="s">
        <v>8</v>
      </c>
      <c r="M174" t="s">
        <v>18</v>
      </c>
    </row>
    <row r="175" spans="1:13" x14ac:dyDescent="0.45">
      <c r="A175" t="s">
        <v>7</v>
      </c>
      <c r="B175" t="s">
        <v>123</v>
      </c>
      <c r="C175">
        <v>2035</v>
      </c>
      <c r="D175">
        <v>96</v>
      </c>
      <c r="E175">
        <v>0.41</v>
      </c>
      <c r="F175">
        <v>0.44</v>
      </c>
      <c r="G175">
        <v>0.13</v>
      </c>
      <c r="H175">
        <v>0.15</v>
      </c>
      <c r="I175">
        <v>0.63</v>
      </c>
      <c r="J175">
        <v>0.38</v>
      </c>
      <c r="K175">
        <v>0.47</v>
      </c>
      <c r="L175" t="s">
        <v>8</v>
      </c>
      <c r="M175" t="s">
        <v>18</v>
      </c>
    </row>
    <row r="176" spans="1:13" x14ac:dyDescent="0.45">
      <c r="A176" t="s">
        <v>7</v>
      </c>
      <c r="B176" t="s">
        <v>123</v>
      </c>
      <c r="C176">
        <v>2040</v>
      </c>
      <c r="D176">
        <v>102</v>
      </c>
      <c r="E176">
        <v>0.41</v>
      </c>
      <c r="F176">
        <v>0.42</v>
      </c>
      <c r="G176">
        <v>0.13</v>
      </c>
      <c r="H176">
        <v>0.15</v>
      </c>
      <c r="I176">
        <v>0.69</v>
      </c>
      <c r="J176">
        <v>0.39</v>
      </c>
      <c r="K176">
        <v>0.45</v>
      </c>
      <c r="L176" t="s">
        <v>8</v>
      </c>
      <c r="M176" t="s">
        <v>18</v>
      </c>
    </row>
    <row r="177" spans="1:13" x14ac:dyDescent="0.45">
      <c r="A177" t="s">
        <v>7</v>
      </c>
      <c r="B177" t="s">
        <v>123</v>
      </c>
      <c r="C177">
        <v>2045</v>
      </c>
      <c r="D177">
        <v>96</v>
      </c>
      <c r="E177">
        <v>0.41</v>
      </c>
      <c r="F177">
        <v>0.42</v>
      </c>
      <c r="G177">
        <v>0.13</v>
      </c>
      <c r="H177">
        <v>0.15</v>
      </c>
      <c r="I177">
        <v>0.68</v>
      </c>
      <c r="J177">
        <v>0.38</v>
      </c>
      <c r="K177">
        <v>0.45</v>
      </c>
      <c r="L177" t="s">
        <v>8</v>
      </c>
      <c r="M177" t="s">
        <v>18</v>
      </c>
    </row>
    <row r="178" spans="1:13" x14ac:dyDescent="0.45">
      <c r="A178" t="s">
        <v>7</v>
      </c>
      <c r="B178" t="s">
        <v>123</v>
      </c>
      <c r="C178">
        <v>2050</v>
      </c>
      <c r="D178">
        <v>102</v>
      </c>
      <c r="E178">
        <v>0.41</v>
      </c>
      <c r="F178">
        <v>0.43</v>
      </c>
      <c r="G178">
        <v>0.13</v>
      </c>
      <c r="H178">
        <v>0.15</v>
      </c>
      <c r="I178">
        <v>0.68</v>
      </c>
      <c r="J178">
        <v>0.38</v>
      </c>
      <c r="K178">
        <v>0.47</v>
      </c>
      <c r="L178" t="s">
        <v>8</v>
      </c>
      <c r="M178" t="s">
        <v>18</v>
      </c>
    </row>
    <row r="179" spans="1:13" x14ac:dyDescent="0.45">
      <c r="A179" t="s">
        <v>9</v>
      </c>
      <c r="B179" t="s">
        <v>123</v>
      </c>
      <c r="C179">
        <v>2020</v>
      </c>
      <c r="D179">
        <v>61</v>
      </c>
      <c r="E179">
        <v>0.52</v>
      </c>
      <c r="F179">
        <v>0.53</v>
      </c>
      <c r="G179">
        <v>7.0000000000000007E-2</v>
      </c>
      <c r="H179">
        <v>0.4</v>
      </c>
      <c r="I179">
        <v>0.65</v>
      </c>
      <c r="J179">
        <v>0.47</v>
      </c>
      <c r="K179">
        <v>0.57999999999999996</v>
      </c>
      <c r="L179" t="s">
        <v>10</v>
      </c>
      <c r="M179" t="s">
        <v>18</v>
      </c>
    </row>
    <row r="180" spans="1:13" x14ac:dyDescent="0.45">
      <c r="A180" t="s">
        <v>9</v>
      </c>
      <c r="B180" t="s">
        <v>123</v>
      </c>
      <c r="C180">
        <v>2025</v>
      </c>
      <c r="D180">
        <v>56</v>
      </c>
      <c r="E180">
        <v>0.51</v>
      </c>
      <c r="F180">
        <v>0.5</v>
      </c>
      <c r="G180">
        <v>7.0000000000000007E-2</v>
      </c>
      <c r="H180">
        <v>0.37</v>
      </c>
      <c r="I180">
        <v>0.71</v>
      </c>
      <c r="J180">
        <v>0.47</v>
      </c>
      <c r="K180">
        <v>0.55000000000000004</v>
      </c>
      <c r="L180" t="s">
        <v>10</v>
      </c>
      <c r="M180" t="s">
        <v>18</v>
      </c>
    </row>
    <row r="181" spans="1:13" x14ac:dyDescent="0.45">
      <c r="A181" t="s">
        <v>9</v>
      </c>
      <c r="B181" t="s">
        <v>123</v>
      </c>
      <c r="C181">
        <v>2030</v>
      </c>
      <c r="D181">
        <v>61</v>
      </c>
      <c r="E181">
        <v>0.49</v>
      </c>
      <c r="F181">
        <v>0.52</v>
      </c>
      <c r="G181">
        <v>0.06</v>
      </c>
      <c r="H181">
        <v>0.36</v>
      </c>
      <c r="I181">
        <v>0.64</v>
      </c>
      <c r="J181">
        <v>0.45</v>
      </c>
      <c r="K181">
        <v>0.53</v>
      </c>
      <c r="L181" t="s">
        <v>10</v>
      </c>
      <c r="M181" t="s">
        <v>18</v>
      </c>
    </row>
    <row r="182" spans="1:13" x14ac:dyDescent="0.45">
      <c r="A182" t="s">
        <v>9</v>
      </c>
      <c r="B182" t="s">
        <v>123</v>
      </c>
      <c r="C182">
        <v>2035</v>
      </c>
      <c r="D182">
        <v>56</v>
      </c>
      <c r="E182">
        <v>0.49</v>
      </c>
      <c r="F182">
        <v>0.5</v>
      </c>
      <c r="G182">
        <v>0.06</v>
      </c>
      <c r="H182">
        <v>0.37</v>
      </c>
      <c r="I182">
        <v>0.63</v>
      </c>
      <c r="J182">
        <v>0.45</v>
      </c>
      <c r="K182">
        <v>0.52</v>
      </c>
      <c r="L182" t="s">
        <v>10</v>
      </c>
      <c r="M182" t="s">
        <v>18</v>
      </c>
    </row>
    <row r="183" spans="1:13" x14ac:dyDescent="0.45">
      <c r="A183" t="s">
        <v>9</v>
      </c>
      <c r="B183" t="s">
        <v>123</v>
      </c>
      <c r="C183">
        <v>2040</v>
      </c>
      <c r="D183">
        <v>61</v>
      </c>
      <c r="E183">
        <v>0.47</v>
      </c>
      <c r="F183">
        <v>0.47</v>
      </c>
      <c r="G183">
        <v>0.06</v>
      </c>
      <c r="H183">
        <v>0.37</v>
      </c>
      <c r="I183">
        <v>0.64</v>
      </c>
      <c r="J183">
        <v>0.43</v>
      </c>
      <c r="K183">
        <v>0.51</v>
      </c>
      <c r="L183" t="s">
        <v>10</v>
      </c>
      <c r="M183" t="s">
        <v>18</v>
      </c>
    </row>
    <row r="184" spans="1:13" x14ac:dyDescent="0.45">
      <c r="A184" t="s">
        <v>9</v>
      </c>
      <c r="B184" t="s">
        <v>123</v>
      </c>
      <c r="C184">
        <v>2045</v>
      </c>
      <c r="D184">
        <v>56</v>
      </c>
      <c r="E184">
        <v>0.47</v>
      </c>
      <c r="F184">
        <v>0.47</v>
      </c>
      <c r="G184">
        <v>0.06</v>
      </c>
      <c r="H184">
        <v>0.35</v>
      </c>
      <c r="I184">
        <v>0.64</v>
      </c>
      <c r="J184">
        <v>0.43</v>
      </c>
      <c r="K184">
        <v>0.51</v>
      </c>
      <c r="L184" t="s">
        <v>10</v>
      </c>
      <c r="M184" t="s">
        <v>18</v>
      </c>
    </row>
    <row r="185" spans="1:13" x14ac:dyDescent="0.45">
      <c r="A185" t="s">
        <v>9</v>
      </c>
      <c r="B185" t="s">
        <v>123</v>
      </c>
      <c r="C185">
        <v>2050</v>
      </c>
      <c r="D185">
        <v>61</v>
      </c>
      <c r="E185">
        <v>0.46</v>
      </c>
      <c r="F185">
        <v>0.45</v>
      </c>
      <c r="G185">
        <v>0.06</v>
      </c>
      <c r="H185">
        <v>0.34</v>
      </c>
      <c r="I185">
        <v>0.64</v>
      </c>
      <c r="J185">
        <v>0.41</v>
      </c>
      <c r="K185">
        <v>0.51</v>
      </c>
      <c r="L185" t="s">
        <v>10</v>
      </c>
      <c r="M185" t="s">
        <v>18</v>
      </c>
    </row>
    <row r="186" spans="1:13" x14ac:dyDescent="0.45">
      <c r="A186" t="s">
        <v>0</v>
      </c>
      <c r="B186" t="s">
        <v>123</v>
      </c>
      <c r="C186">
        <v>2020</v>
      </c>
      <c r="D186">
        <v>64</v>
      </c>
      <c r="E186">
        <v>0.44</v>
      </c>
      <c r="F186">
        <v>0.46</v>
      </c>
      <c r="G186">
        <v>0.08</v>
      </c>
      <c r="H186">
        <v>0.33</v>
      </c>
      <c r="I186">
        <v>0.57999999999999996</v>
      </c>
      <c r="J186">
        <v>0.38</v>
      </c>
      <c r="K186">
        <v>0.46</v>
      </c>
      <c r="L186" t="s">
        <v>1</v>
      </c>
      <c r="M186" t="s">
        <v>21</v>
      </c>
    </row>
    <row r="187" spans="1:13" x14ac:dyDescent="0.45">
      <c r="A187" t="s">
        <v>0</v>
      </c>
      <c r="B187" t="s">
        <v>123</v>
      </c>
      <c r="C187">
        <v>2025</v>
      </c>
      <c r="D187">
        <v>64</v>
      </c>
      <c r="E187">
        <v>0.46</v>
      </c>
      <c r="F187">
        <v>0.47</v>
      </c>
      <c r="G187">
        <v>7.0000000000000007E-2</v>
      </c>
      <c r="H187">
        <v>0.28000000000000003</v>
      </c>
      <c r="I187">
        <v>0.62</v>
      </c>
      <c r="J187">
        <v>0.43</v>
      </c>
      <c r="K187">
        <v>0.49</v>
      </c>
      <c r="L187" t="s">
        <v>1</v>
      </c>
      <c r="M187" t="s">
        <v>21</v>
      </c>
    </row>
    <row r="188" spans="1:13" x14ac:dyDescent="0.45">
      <c r="A188" t="s">
        <v>0</v>
      </c>
      <c r="B188" t="s">
        <v>123</v>
      </c>
      <c r="C188">
        <v>2030</v>
      </c>
      <c r="D188">
        <v>64</v>
      </c>
      <c r="E188">
        <v>0.44</v>
      </c>
      <c r="F188">
        <v>0.44</v>
      </c>
      <c r="G188">
        <v>7.0000000000000007E-2</v>
      </c>
      <c r="H188">
        <v>0.25</v>
      </c>
      <c r="I188">
        <v>0.57999999999999996</v>
      </c>
      <c r="J188">
        <v>0.42</v>
      </c>
      <c r="K188">
        <v>0.47</v>
      </c>
      <c r="L188" t="s">
        <v>1</v>
      </c>
      <c r="M188" t="s">
        <v>21</v>
      </c>
    </row>
    <row r="189" spans="1:13" x14ac:dyDescent="0.45">
      <c r="A189" t="s">
        <v>0</v>
      </c>
      <c r="B189" t="s">
        <v>123</v>
      </c>
      <c r="C189">
        <v>2035</v>
      </c>
      <c r="D189">
        <v>64</v>
      </c>
      <c r="E189">
        <v>0.43</v>
      </c>
      <c r="F189">
        <v>0.44</v>
      </c>
      <c r="G189">
        <v>7.0000000000000007E-2</v>
      </c>
      <c r="H189">
        <v>0.22</v>
      </c>
      <c r="I189">
        <v>0.55000000000000004</v>
      </c>
      <c r="J189">
        <v>0.42</v>
      </c>
      <c r="K189">
        <v>0.46</v>
      </c>
      <c r="L189" t="s">
        <v>1</v>
      </c>
      <c r="M189" t="s">
        <v>21</v>
      </c>
    </row>
    <row r="190" spans="1:13" x14ac:dyDescent="0.45">
      <c r="A190" t="s">
        <v>0</v>
      </c>
      <c r="B190" t="s">
        <v>123</v>
      </c>
      <c r="C190">
        <v>2040</v>
      </c>
      <c r="D190">
        <v>64</v>
      </c>
      <c r="E190">
        <v>0.41</v>
      </c>
      <c r="F190">
        <v>0.42</v>
      </c>
      <c r="G190">
        <v>7.0000000000000007E-2</v>
      </c>
      <c r="H190">
        <v>0.21</v>
      </c>
      <c r="I190">
        <v>0.52</v>
      </c>
      <c r="J190">
        <v>0.39</v>
      </c>
      <c r="K190">
        <v>0.46</v>
      </c>
      <c r="L190" t="s">
        <v>1</v>
      </c>
      <c r="M190" t="s">
        <v>21</v>
      </c>
    </row>
    <row r="191" spans="1:13" x14ac:dyDescent="0.45">
      <c r="A191" t="s">
        <v>0</v>
      </c>
      <c r="B191" t="s">
        <v>123</v>
      </c>
      <c r="C191">
        <v>2045</v>
      </c>
      <c r="D191">
        <v>64</v>
      </c>
      <c r="E191">
        <v>0.39</v>
      </c>
      <c r="F191">
        <v>0.39</v>
      </c>
      <c r="G191">
        <v>7.0000000000000007E-2</v>
      </c>
      <c r="H191">
        <v>0.21</v>
      </c>
      <c r="I191">
        <v>0.53</v>
      </c>
      <c r="J191">
        <v>0.36</v>
      </c>
      <c r="K191">
        <v>0.43</v>
      </c>
      <c r="L191" t="s">
        <v>1</v>
      </c>
      <c r="M191" t="s">
        <v>21</v>
      </c>
    </row>
    <row r="192" spans="1:13" x14ac:dyDescent="0.45">
      <c r="A192" t="s">
        <v>0</v>
      </c>
      <c r="B192" t="s">
        <v>123</v>
      </c>
      <c r="C192">
        <v>2050</v>
      </c>
      <c r="D192">
        <v>64</v>
      </c>
      <c r="E192">
        <v>0.38</v>
      </c>
      <c r="F192">
        <v>0.38</v>
      </c>
      <c r="G192">
        <v>7.0000000000000007E-2</v>
      </c>
      <c r="H192">
        <v>0.19</v>
      </c>
      <c r="I192">
        <v>0.54</v>
      </c>
      <c r="J192">
        <v>0.34</v>
      </c>
      <c r="K192">
        <v>0.42</v>
      </c>
      <c r="L192" t="s">
        <v>1</v>
      </c>
      <c r="M192" t="s">
        <v>21</v>
      </c>
    </row>
    <row r="193" spans="1:13" x14ac:dyDescent="0.45">
      <c r="A193" t="s">
        <v>2</v>
      </c>
      <c r="B193" t="s">
        <v>123</v>
      </c>
      <c r="C193">
        <v>2020</v>
      </c>
      <c r="D193">
        <v>97</v>
      </c>
      <c r="E193">
        <v>0.46</v>
      </c>
      <c r="F193">
        <v>0.46</v>
      </c>
      <c r="G193">
        <v>0.1</v>
      </c>
      <c r="H193">
        <v>0.33</v>
      </c>
      <c r="I193">
        <v>0.61</v>
      </c>
      <c r="J193">
        <v>0.38</v>
      </c>
      <c r="K193">
        <v>0.57999999999999996</v>
      </c>
      <c r="L193" t="s">
        <v>3</v>
      </c>
      <c r="M193" t="s">
        <v>21</v>
      </c>
    </row>
    <row r="194" spans="1:13" x14ac:dyDescent="0.45">
      <c r="A194" t="s">
        <v>2</v>
      </c>
      <c r="B194" t="s">
        <v>123</v>
      </c>
      <c r="C194">
        <v>2025</v>
      </c>
      <c r="D194">
        <v>86</v>
      </c>
      <c r="E194">
        <v>0.46</v>
      </c>
      <c r="F194">
        <v>0.47</v>
      </c>
      <c r="G194">
        <v>0.1</v>
      </c>
      <c r="H194">
        <v>0.31</v>
      </c>
      <c r="I194">
        <v>0.62</v>
      </c>
      <c r="J194">
        <v>0.39</v>
      </c>
      <c r="K194">
        <v>0.56999999999999995</v>
      </c>
      <c r="L194" t="s">
        <v>3</v>
      </c>
      <c r="M194" t="s">
        <v>21</v>
      </c>
    </row>
    <row r="195" spans="1:13" x14ac:dyDescent="0.45">
      <c r="A195" t="s">
        <v>2</v>
      </c>
      <c r="B195" t="s">
        <v>123</v>
      </c>
      <c r="C195">
        <v>2030</v>
      </c>
      <c r="D195">
        <v>97</v>
      </c>
      <c r="E195">
        <v>0.47</v>
      </c>
      <c r="F195">
        <v>0.45</v>
      </c>
      <c r="G195">
        <v>0.09</v>
      </c>
      <c r="H195">
        <v>0.25</v>
      </c>
      <c r="I195">
        <v>0.62</v>
      </c>
      <c r="J195">
        <v>0.41</v>
      </c>
      <c r="K195">
        <v>0.56000000000000005</v>
      </c>
      <c r="L195" t="s">
        <v>3</v>
      </c>
      <c r="M195" t="s">
        <v>21</v>
      </c>
    </row>
    <row r="196" spans="1:13" x14ac:dyDescent="0.45">
      <c r="A196" t="s">
        <v>2</v>
      </c>
      <c r="B196" t="s">
        <v>123</v>
      </c>
      <c r="C196">
        <v>2035</v>
      </c>
      <c r="D196">
        <v>86</v>
      </c>
      <c r="E196">
        <v>0.44</v>
      </c>
      <c r="F196">
        <v>0.44</v>
      </c>
      <c r="G196">
        <v>0.08</v>
      </c>
      <c r="H196">
        <v>0.23</v>
      </c>
      <c r="I196">
        <v>0.6</v>
      </c>
      <c r="J196">
        <v>0.41</v>
      </c>
      <c r="K196">
        <v>0.5</v>
      </c>
      <c r="L196" t="s">
        <v>3</v>
      </c>
      <c r="M196" t="s">
        <v>21</v>
      </c>
    </row>
    <row r="197" spans="1:13" x14ac:dyDescent="0.45">
      <c r="A197" t="s">
        <v>2</v>
      </c>
      <c r="B197" t="s">
        <v>123</v>
      </c>
      <c r="C197">
        <v>2040</v>
      </c>
      <c r="D197">
        <v>97</v>
      </c>
      <c r="E197">
        <v>0.43</v>
      </c>
      <c r="F197">
        <v>0.45</v>
      </c>
      <c r="G197">
        <v>7.0000000000000007E-2</v>
      </c>
      <c r="H197">
        <v>0.24</v>
      </c>
      <c r="I197">
        <v>0.55000000000000004</v>
      </c>
      <c r="J197">
        <v>0.41</v>
      </c>
      <c r="K197">
        <v>0.49</v>
      </c>
      <c r="L197" t="s">
        <v>3</v>
      </c>
      <c r="M197" t="s">
        <v>21</v>
      </c>
    </row>
    <row r="198" spans="1:13" x14ac:dyDescent="0.45">
      <c r="A198" t="s">
        <v>2</v>
      </c>
      <c r="B198" t="s">
        <v>123</v>
      </c>
      <c r="C198">
        <v>2045</v>
      </c>
      <c r="D198">
        <v>86</v>
      </c>
      <c r="E198">
        <v>0.41</v>
      </c>
      <c r="F198">
        <v>0.43</v>
      </c>
      <c r="G198">
        <v>7.0000000000000007E-2</v>
      </c>
      <c r="H198">
        <v>0.24</v>
      </c>
      <c r="I198">
        <v>0.52</v>
      </c>
      <c r="J198">
        <v>0.39</v>
      </c>
      <c r="K198">
        <v>0.45</v>
      </c>
      <c r="L198" t="s">
        <v>3</v>
      </c>
      <c r="M198" t="s">
        <v>21</v>
      </c>
    </row>
    <row r="199" spans="1:13" x14ac:dyDescent="0.45">
      <c r="A199" t="s">
        <v>2</v>
      </c>
      <c r="B199" t="s">
        <v>123</v>
      </c>
      <c r="C199">
        <v>2050</v>
      </c>
      <c r="D199">
        <v>97</v>
      </c>
      <c r="E199">
        <v>0.4</v>
      </c>
      <c r="F199">
        <v>0.41</v>
      </c>
      <c r="G199">
        <v>0.06</v>
      </c>
      <c r="H199">
        <v>0.21</v>
      </c>
      <c r="I199">
        <v>0.5</v>
      </c>
      <c r="J199">
        <v>0.37</v>
      </c>
      <c r="K199">
        <v>0.44</v>
      </c>
      <c r="L199" t="s">
        <v>3</v>
      </c>
      <c r="M199" t="s">
        <v>21</v>
      </c>
    </row>
    <row r="200" spans="1:13" x14ac:dyDescent="0.45">
      <c r="A200" t="s">
        <v>5</v>
      </c>
      <c r="B200" t="s">
        <v>123</v>
      </c>
      <c r="C200">
        <v>2020</v>
      </c>
      <c r="D200">
        <v>233</v>
      </c>
      <c r="E200">
        <v>0.45</v>
      </c>
      <c r="F200">
        <v>0.46</v>
      </c>
      <c r="G200">
        <v>0.09</v>
      </c>
      <c r="H200">
        <v>0.31</v>
      </c>
      <c r="I200">
        <v>0.61</v>
      </c>
      <c r="J200">
        <v>0.36</v>
      </c>
      <c r="K200">
        <v>0.52</v>
      </c>
      <c r="L200" t="s">
        <v>6</v>
      </c>
      <c r="M200" t="s">
        <v>21</v>
      </c>
    </row>
    <row r="201" spans="1:13" x14ac:dyDescent="0.45">
      <c r="A201" t="s">
        <v>5</v>
      </c>
      <c r="B201" t="s">
        <v>123</v>
      </c>
      <c r="C201">
        <v>2025</v>
      </c>
      <c r="D201">
        <v>210</v>
      </c>
      <c r="E201">
        <v>0.46</v>
      </c>
      <c r="F201">
        <v>0.47</v>
      </c>
      <c r="G201">
        <v>0.09</v>
      </c>
      <c r="H201">
        <v>0.25</v>
      </c>
      <c r="I201">
        <v>0.62</v>
      </c>
      <c r="J201">
        <v>0.39</v>
      </c>
      <c r="K201">
        <v>0.51</v>
      </c>
      <c r="L201" t="s">
        <v>6</v>
      </c>
      <c r="M201" t="s">
        <v>21</v>
      </c>
    </row>
    <row r="202" spans="1:13" x14ac:dyDescent="0.45">
      <c r="A202" t="s">
        <v>5</v>
      </c>
      <c r="B202" t="s">
        <v>123</v>
      </c>
      <c r="C202">
        <v>2030</v>
      </c>
      <c r="D202">
        <v>233</v>
      </c>
      <c r="E202">
        <v>0.47</v>
      </c>
      <c r="F202">
        <v>0.45</v>
      </c>
      <c r="G202">
        <v>0.09</v>
      </c>
      <c r="H202">
        <v>0.25</v>
      </c>
      <c r="I202">
        <v>0.62</v>
      </c>
      <c r="J202">
        <v>0.44</v>
      </c>
      <c r="K202">
        <v>0.55000000000000004</v>
      </c>
      <c r="L202" t="s">
        <v>6</v>
      </c>
      <c r="M202" t="s">
        <v>21</v>
      </c>
    </row>
    <row r="203" spans="1:13" x14ac:dyDescent="0.45">
      <c r="A203" t="s">
        <v>5</v>
      </c>
      <c r="B203" t="s">
        <v>123</v>
      </c>
      <c r="C203">
        <v>2035</v>
      </c>
      <c r="D203">
        <v>210</v>
      </c>
      <c r="E203">
        <v>0.45</v>
      </c>
      <c r="F203">
        <v>0.45</v>
      </c>
      <c r="G203">
        <v>0.08</v>
      </c>
      <c r="H203">
        <v>0.19</v>
      </c>
      <c r="I203">
        <v>0.6</v>
      </c>
      <c r="J203">
        <v>0.43</v>
      </c>
      <c r="K203">
        <v>0.51</v>
      </c>
      <c r="L203" t="s">
        <v>6</v>
      </c>
      <c r="M203" t="s">
        <v>21</v>
      </c>
    </row>
    <row r="204" spans="1:13" x14ac:dyDescent="0.45">
      <c r="A204" t="s">
        <v>5</v>
      </c>
      <c r="B204" t="s">
        <v>123</v>
      </c>
      <c r="C204">
        <v>2040</v>
      </c>
      <c r="D204">
        <v>233</v>
      </c>
      <c r="E204">
        <v>0.45</v>
      </c>
      <c r="F204">
        <v>0.47</v>
      </c>
      <c r="G204">
        <v>0.08</v>
      </c>
      <c r="H204">
        <v>0.21</v>
      </c>
      <c r="I204">
        <v>0.57999999999999996</v>
      </c>
      <c r="J204">
        <v>0.42</v>
      </c>
      <c r="K204">
        <v>0.51</v>
      </c>
      <c r="L204" t="s">
        <v>6</v>
      </c>
      <c r="M204" t="s">
        <v>21</v>
      </c>
    </row>
    <row r="205" spans="1:13" x14ac:dyDescent="0.45">
      <c r="A205" t="s">
        <v>5</v>
      </c>
      <c r="B205" t="s">
        <v>123</v>
      </c>
      <c r="C205">
        <v>2045</v>
      </c>
      <c r="D205">
        <v>210</v>
      </c>
      <c r="E205">
        <v>0.42</v>
      </c>
      <c r="F205">
        <v>0.44</v>
      </c>
      <c r="G205">
        <v>0.08</v>
      </c>
      <c r="H205">
        <v>0.22</v>
      </c>
      <c r="I205">
        <v>0.56999999999999995</v>
      </c>
      <c r="J205">
        <v>0.4</v>
      </c>
      <c r="K205">
        <v>0.47</v>
      </c>
      <c r="L205" t="s">
        <v>6</v>
      </c>
      <c r="M205" t="s">
        <v>21</v>
      </c>
    </row>
    <row r="206" spans="1:13" x14ac:dyDescent="0.45">
      <c r="A206" t="s">
        <v>5</v>
      </c>
      <c r="B206" t="s">
        <v>123</v>
      </c>
      <c r="C206">
        <v>2050</v>
      </c>
      <c r="D206">
        <v>233</v>
      </c>
      <c r="E206">
        <v>0.42</v>
      </c>
      <c r="F206">
        <v>0.44</v>
      </c>
      <c r="G206">
        <v>0.09</v>
      </c>
      <c r="H206">
        <v>0.2</v>
      </c>
      <c r="I206">
        <v>0.56000000000000005</v>
      </c>
      <c r="J206">
        <v>0.38</v>
      </c>
      <c r="K206">
        <v>0.47</v>
      </c>
      <c r="L206" t="s">
        <v>6</v>
      </c>
      <c r="M206" t="s">
        <v>21</v>
      </c>
    </row>
    <row r="207" spans="1:13" x14ac:dyDescent="0.45">
      <c r="A207" t="s">
        <v>7</v>
      </c>
      <c r="B207" t="s">
        <v>123</v>
      </c>
      <c r="C207">
        <v>2020</v>
      </c>
      <c r="D207">
        <v>102</v>
      </c>
      <c r="E207">
        <v>0.44</v>
      </c>
      <c r="F207">
        <v>0.4</v>
      </c>
      <c r="G207">
        <v>0.1</v>
      </c>
      <c r="H207">
        <v>0.34</v>
      </c>
      <c r="I207">
        <v>0.57999999999999996</v>
      </c>
      <c r="J207">
        <v>0.34</v>
      </c>
      <c r="K207">
        <v>0.56999999999999995</v>
      </c>
      <c r="L207" t="s">
        <v>8</v>
      </c>
      <c r="M207" t="s">
        <v>21</v>
      </c>
    </row>
    <row r="208" spans="1:13" x14ac:dyDescent="0.45">
      <c r="A208" t="s">
        <v>7</v>
      </c>
      <c r="B208" t="s">
        <v>123</v>
      </c>
      <c r="C208">
        <v>2025</v>
      </c>
      <c r="D208">
        <v>96</v>
      </c>
      <c r="E208">
        <v>0.47</v>
      </c>
      <c r="F208">
        <v>0.46</v>
      </c>
      <c r="G208">
        <v>0.1</v>
      </c>
      <c r="H208">
        <v>0.33</v>
      </c>
      <c r="I208">
        <v>0.62</v>
      </c>
      <c r="J208">
        <v>0.39</v>
      </c>
      <c r="K208">
        <v>0.6</v>
      </c>
      <c r="L208" t="s">
        <v>8</v>
      </c>
      <c r="M208" t="s">
        <v>21</v>
      </c>
    </row>
    <row r="209" spans="1:13" x14ac:dyDescent="0.45">
      <c r="A209" t="s">
        <v>7</v>
      </c>
      <c r="B209" t="s">
        <v>123</v>
      </c>
      <c r="C209">
        <v>2030</v>
      </c>
      <c r="D209">
        <v>102</v>
      </c>
      <c r="E209">
        <v>0.48</v>
      </c>
      <c r="F209">
        <v>0.46</v>
      </c>
      <c r="G209">
        <v>0.1</v>
      </c>
      <c r="H209">
        <v>0.31</v>
      </c>
      <c r="I209">
        <v>0.62</v>
      </c>
      <c r="J209">
        <v>0.42</v>
      </c>
      <c r="K209">
        <v>0.59</v>
      </c>
      <c r="L209" t="s">
        <v>8</v>
      </c>
      <c r="M209" t="s">
        <v>21</v>
      </c>
    </row>
    <row r="210" spans="1:13" x14ac:dyDescent="0.45">
      <c r="A210" t="s">
        <v>7</v>
      </c>
      <c r="B210" t="s">
        <v>123</v>
      </c>
      <c r="C210">
        <v>2035</v>
      </c>
      <c r="D210">
        <v>96</v>
      </c>
      <c r="E210">
        <v>0.47</v>
      </c>
      <c r="F210">
        <v>0.46</v>
      </c>
      <c r="G210">
        <v>0.09</v>
      </c>
      <c r="H210">
        <v>0.3</v>
      </c>
      <c r="I210">
        <v>0.6</v>
      </c>
      <c r="J210">
        <v>0.42</v>
      </c>
      <c r="K210">
        <v>0.56000000000000005</v>
      </c>
      <c r="L210" t="s">
        <v>8</v>
      </c>
      <c r="M210" t="s">
        <v>21</v>
      </c>
    </row>
    <row r="211" spans="1:13" x14ac:dyDescent="0.45">
      <c r="A211" t="s">
        <v>7</v>
      </c>
      <c r="B211" t="s">
        <v>123</v>
      </c>
      <c r="C211">
        <v>2040</v>
      </c>
      <c r="D211">
        <v>102</v>
      </c>
      <c r="E211">
        <v>0.47</v>
      </c>
      <c r="F211">
        <v>0.48</v>
      </c>
      <c r="G211">
        <v>0.08</v>
      </c>
      <c r="H211">
        <v>0.25</v>
      </c>
      <c r="I211">
        <v>0.56999999999999995</v>
      </c>
      <c r="J211">
        <v>0.44</v>
      </c>
      <c r="K211">
        <v>0.54</v>
      </c>
      <c r="L211" t="s">
        <v>8</v>
      </c>
      <c r="M211" t="s">
        <v>21</v>
      </c>
    </row>
    <row r="212" spans="1:13" x14ac:dyDescent="0.45">
      <c r="A212" t="s">
        <v>7</v>
      </c>
      <c r="B212" t="s">
        <v>123</v>
      </c>
      <c r="C212">
        <v>2045</v>
      </c>
      <c r="D212">
        <v>96</v>
      </c>
      <c r="E212">
        <v>0.46</v>
      </c>
      <c r="F212">
        <v>0.48</v>
      </c>
      <c r="G212">
        <v>0.08</v>
      </c>
      <c r="H212">
        <v>0.24</v>
      </c>
      <c r="I212">
        <v>0.55000000000000004</v>
      </c>
      <c r="J212">
        <v>0.45</v>
      </c>
      <c r="K212">
        <v>0.51</v>
      </c>
      <c r="L212" t="s">
        <v>8</v>
      </c>
      <c r="M212" t="s">
        <v>21</v>
      </c>
    </row>
    <row r="213" spans="1:13" x14ac:dyDescent="0.45">
      <c r="A213" t="s">
        <v>7</v>
      </c>
      <c r="B213" t="s">
        <v>123</v>
      </c>
      <c r="C213">
        <v>2050</v>
      </c>
      <c r="D213">
        <v>102</v>
      </c>
      <c r="E213">
        <v>0.45</v>
      </c>
      <c r="F213">
        <v>0.47</v>
      </c>
      <c r="G213">
        <v>0.08</v>
      </c>
      <c r="H213">
        <v>0.24</v>
      </c>
      <c r="I213">
        <v>0.55000000000000004</v>
      </c>
      <c r="J213">
        <v>0.44</v>
      </c>
      <c r="K213">
        <v>0.51</v>
      </c>
      <c r="L213" t="s">
        <v>8</v>
      </c>
      <c r="M213" t="s">
        <v>21</v>
      </c>
    </row>
    <row r="214" spans="1:13" x14ac:dyDescent="0.45">
      <c r="A214" t="s">
        <v>9</v>
      </c>
      <c r="B214" t="s">
        <v>123</v>
      </c>
      <c r="C214">
        <v>2020</v>
      </c>
      <c r="D214">
        <v>57</v>
      </c>
      <c r="E214">
        <v>0.43</v>
      </c>
      <c r="F214">
        <v>0.45</v>
      </c>
      <c r="G214">
        <v>7.0000000000000007E-2</v>
      </c>
      <c r="H214">
        <v>0.33</v>
      </c>
      <c r="I214">
        <v>0.57999999999999996</v>
      </c>
      <c r="J214">
        <v>0.38</v>
      </c>
      <c r="K214">
        <v>0.46</v>
      </c>
      <c r="L214" t="s">
        <v>10</v>
      </c>
      <c r="M214" t="s">
        <v>21</v>
      </c>
    </row>
    <row r="215" spans="1:13" x14ac:dyDescent="0.45">
      <c r="A215" t="s">
        <v>9</v>
      </c>
      <c r="B215" t="s">
        <v>123</v>
      </c>
      <c r="C215">
        <v>2025</v>
      </c>
      <c r="D215">
        <v>52</v>
      </c>
      <c r="E215">
        <v>0.44</v>
      </c>
      <c r="F215">
        <v>0.45</v>
      </c>
      <c r="G215">
        <v>0.08</v>
      </c>
      <c r="H215">
        <v>0.22</v>
      </c>
      <c r="I215">
        <v>0.62</v>
      </c>
      <c r="J215">
        <v>0.4</v>
      </c>
      <c r="K215">
        <v>0.47</v>
      </c>
      <c r="L215" t="s">
        <v>10</v>
      </c>
      <c r="M215" t="s">
        <v>21</v>
      </c>
    </row>
    <row r="216" spans="1:13" x14ac:dyDescent="0.45">
      <c r="A216" t="s">
        <v>9</v>
      </c>
      <c r="B216" t="s">
        <v>123</v>
      </c>
      <c r="C216">
        <v>2030</v>
      </c>
      <c r="D216">
        <v>57</v>
      </c>
      <c r="E216">
        <v>0.45</v>
      </c>
      <c r="F216">
        <v>0.44</v>
      </c>
      <c r="G216">
        <v>0.08</v>
      </c>
      <c r="H216">
        <v>0.33</v>
      </c>
      <c r="I216">
        <v>0.62</v>
      </c>
      <c r="J216">
        <v>0.42</v>
      </c>
      <c r="K216">
        <v>0.49</v>
      </c>
      <c r="L216" t="s">
        <v>10</v>
      </c>
      <c r="M216" t="s">
        <v>21</v>
      </c>
    </row>
    <row r="217" spans="1:13" x14ac:dyDescent="0.45">
      <c r="A217" t="s">
        <v>9</v>
      </c>
      <c r="B217" t="s">
        <v>123</v>
      </c>
      <c r="C217">
        <v>2035</v>
      </c>
      <c r="D217">
        <v>52</v>
      </c>
      <c r="E217">
        <v>0.45</v>
      </c>
      <c r="F217">
        <v>0.44</v>
      </c>
      <c r="G217">
        <v>0.08</v>
      </c>
      <c r="H217">
        <v>0.3</v>
      </c>
      <c r="I217">
        <v>0.61</v>
      </c>
      <c r="J217">
        <v>0.42</v>
      </c>
      <c r="K217">
        <v>0.48</v>
      </c>
      <c r="L217" t="s">
        <v>10</v>
      </c>
      <c r="M217" t="s">
        <v>21</v>
      </c>
    </row>
    <row r="218" spans="1:13" x14ac:dyDescent="0.45">
      <c r="A218" t="s">
        <v>9</v>
      </c>
      <c r="B218" t="s">
        <v>123</v>
      </c>
      <c r="C218">
        <v>2040</v>
      </c>
      <c r="D218">
        <v>57</v>
      </c>
      <c r="E218">
        <v>0.46</v>
      </c>
      <c r="F218">
        <v>0.45</v>
      </c>
      <c r="G218">
        <v>0.08</v>
      </c>
      <c r="H218">
        <v>0.28000000000000003</v>
      </c>
      <c r="I218">
        <v>0.61</v>
      </c>
      <c r="J218">
        <v>0.44</v>
      </c>
      <c r="K218">
        <v>0.52</v>
      </c>
      <c r="L218" t="s">
        <v>10</v>
      </c>
      <c r="M218" t="s">
        <v>21</v>
      </c>
    </row>
    <row r="219" spans="1:13" x14ac:dyDescent="0.45">
      <c r="A219" t="s">
        <v>9</v>
      </c>
      <c r="B219" t="s">
        <v>123</v>
      </c>
      <c r="C219">
        <v>2045</v>
      </c>
      <c r="D219">
        <v>52</v>
      </c>
      <c r="E219">
        <v>0.45</v>
      </c>
      <c r="F219">
        <v>0.46</v>
      </c>
      <c r="G219">
        <v>0.08</v>
      </c>
      <c r="H219">
        <v>0.28999999999999998</v>
      </c>
      <c r="I219">
        <v>0.62</v>
      </c>
      <c r="J219">
        <v>0.43</v>
      </c>
      <c r="K219">
        <v>0.49</v>
      </c>
      <c r="L219" t="s">
        <v>10</v>
      </c>
      <c r="M219" t="s">
        <v>21</v>
      </c>
    </row>
    <row r="220" spans="1:13" x14ac:dyDescent="0.45">
      <c r="A220" t="s">
        <v>9</v>
      </c>
      <c r="B220" t="s">
        <v>123</v>
      </c>
      <c r="C220">
        <v>2050</v>
      </c>
      <c r="D220">
        <v>57</v>
      </c>
      <c r="E220">
        <v>0.46</v>
      </c>
      <c r="F220">
        <v>0.47</v>
      </c>
      <c r="G220">
        <v>0.08</v>
      </c>
      <c r="H220">
        <v>0.28999999999999998</v>
      </c>
      <c r="I220">
        <v>0.63</v>
      </c>
      <c r="J220">
        <v>0.43</v>
      </c>
      <c r="K220">
        <v>0.53</v>
      </c>
      <c r="L220" t="s">
        <v>10</v>
      </c>
      <c r="M220" t="s">
        <v>21</v>
      </c>
    </row>
    <row r="221" spans="1:13" x14ac:dyDescent="0.45">
      <c r="A221" t="s">
        <v>0</v>
      </c>
      <c r="B221" t="s">
        <v>123</v>
      </c>
      <c r="C221">
        <v>2020</v>
      </c>
      <c r="D221">
        <v>57</v>
      </c>
      <c r="E221">
        <v>0.02</v>
      </c>
      <c r="F221">
        <v>0.02</v>
      </c>
      <c r="G221">
        <v>0</v>
      </c>
      <c r="H221">
        <v>0.01</v>
      </c>
      <c r="I221">
        <v>0.04</v>
      </c>
      <c r="J221">
        <v>0.02</v>
      </c>
      <c r="K221">
        <v>0.02</v>
      </c>
      <c r="L221" t="s">
        <v>1</v>
      </c>
      <c r="M221" t="s">
        <v>23</v>
      </c>
    </row>
    <row r="222" spans="1:13" x14ac:dyDescent="0.45">
      <c r="A222" t="s">
        <v>0</v>
      </c>
      <c r="B222" t="s">
        <v>123</v>
      </c>
      <c r="C222">
        <v>2025</v>
      </c>
      <c r="D222">
        <v>57</v>
      </c>
      <c r="E222">
        <v>0.03</v>
      </c>
      <c r="F222">
        <v>0.03</v>
      </c>
      <c r="G222">
        <v>0.01</v>
      </c>
      <c r="H222">
        <v>0.01</v>
      </c>
      <c r="I222">
        <v>0.06</v>
      </c>
      <c r="J222">
        <v>0.03</v>
      </c>
      <c r="K222">
        <v>0.03</v>
      </c>
      <c r="L222" t="s">
        <v>1</v>
      </c>
      <c r="M222" t="s">
        <v>23</v>
      </c>
    </row>
    <row r="223" spans="1:13" x14ac:dyDescent="0.45">
      <c r="A223" t="s">
        <v>0</v>
      </c>
      <c r="B223" t="s">
        <v>123</v>
      </c>
      <c r="C223">
        <v>2030</v>
      </c>
      <c r="D223">
        <v>57</v>
      </c>
      <c r="E223">
        <v>0.04</v>
      </c>
      <c r="F223">
        <v>0.04</v>
      </c>
      <c r="G223">
        <v>0.01</v>
      </c>
      <c r="H223">
        <v>0.01</v>
      </c>
      <c r="I223">
        <v>0.08</v>
      </c>
      <c r="J223">
        <v>0.04</v>
      </c>
      <c r="K223">
        <v>0.05</v>
      </c>
      <c r="L223" t="s">
        <v>1</v>
      </c>
      <c r="M223" t="s">
        <v>23</v>
      </c>
    </row>
    <row r="224" spans="1:13" x14ac:dyDescent="0.45">
      <c r="A224" t="s">
        <v>0</v>
      </c>
      <c r="B224" t="s">
        <v>123</v>
      </c>
      <c r="C224">
        <v>2035</v>
      </c>
      <c r="D224">
        <v>57</v>
      </c>
      <c r="E224">
        <v>0.06</v>
      </c>
      <c r="F224">
        <v>0.06</v>
      </c>
      <c r="G224">
        <v>0.01</v>
      </c>
      <c r="H224">
        <v>0.03</v>
      </c>
      <c r="I224">
        <v>0.09</v>
      </c>
      <c r="J224">
        <v>0.05</v>
      </c>
      <c r="K224">
        <v>0.06</v>
      </c>
      <c r="L224" t="s">
        <v>1</v>
      </c>
      <c r="M224" t="s">
        <v>23</v>
      </c>
    </row>
    <row r="225" spans="1:13" x14ac:dyDescent="0.45">
      <c r="A225" t="s">
        <v>0</v>
      </c>
      <c r="B225" t="s">
        <v>123</v>
      </c>
      <c r="C225">
        <v>2040</v>
      </c>
      <c r="D225">
        <v>57</v>
      </c>
      <c r="E225">
        <v>7.0000000000000007E-2</v>
      </c>
      <c r="F225">
        <v>0.06</v>
      </c>
      <c r="G225">
        <v>0.02</v>
      </c>
      <c r="H225">
        <v>0.04</v>
      </c>
      <c r="I225">
        <v>0.13</v>
      </c>
      <c r="J225">
        <v>0.06</v>
      </c>
      <c r="K225">
        <v>0.08</v>
      </c>
      <c r="L225" t="s">
        <v>1</v>
      </c>
      <c r="M225" t="s">
        <v>23</v>
      </c>
    </row>
    <row r="226" spans="1:13" x14ac:dyDescent="0.45">
      <c r="A226" t="s">
        <v>0</v>
      </c>
      <c r="B226" t="s">
        <v>123</v>
      </c>
      <c r="C226">
        <v>2045</v>
      </c>
      <c r="D226">
        <v>57</v>
      </c>
      <c r="E226">
        <v>0.08</v>
      </c>
      <c r="F226">
        <v>7.0000000000000007E-2</v>
      </c>
      <c r="G226">
        <v>0.03</v>
      </c>
      <c r="H226">
        <v>0.04</v>
      </c>
      <c r="I226">
        <v>0.15</v>
      </c>
      <c r="J226">
        <v>7.0000000000000007E-2</v>
      </c>
      <c r="K226">
        <v>0.11</v>
      </c>
      <c r="L226" t="s">
        <v>1</v>
      </c>
      <c r="M226" t="s">
        <v>23</v>
      </c>
    </row>
    <row r="227" spans="1:13" x14ac:dyDescent="0.45">
      <c r="A227" t="s">
        <v>0</v>
      </c>
      <c r="B227" t="s">
        <v>123</v>
      </c>
      <c r="C227">
        <v>2050</v>
      </c>
      <c r="D227">
        <v>57</v>
      </c>
      <c r="E227">
        <v>0.09</v>
      </c>
      <c r="F227">
        <v>0.08</v>
      </c>
      <c r="G227">
        <v>0.03</v>
      </c>
      <c r="H227">
        <v>0.04</v>
      </c>
      <c r="I227">
        <v>0.17</v>
      </c>
      <c r="J227">
        <v>7.0000000000000007E-2</v>
      </c>
      <c r="K227">
        <v>0.1</v>
      </c>
      <c r="L227" t="s">
        <v>1</v>
      </c>
      <c r="M227" t="s">
        <v>23</v>
      </c>
    </row>
    <row r="228" spans="1:13" x14ac:dyDescent="0.45">
      <c r="A228" t="s">
        <v>2</v>
      </c>
      <c r="B228" t="s">
        <v>123</v>
      </c>
      <c r="C228">
        <v>2020</v>
      </c>
      <c r="D228">
        <v>89</v>
      </c>
      <c r="E228">
        <v>0.02</v>
      </c>
      <c r="F228">
        <v>0.02</v>
      </c>
      <c r="G228">
        <v>0.01</v>
      </c>
      <c r="H228">
        <v>0.01</v>
      </c>
      <c r="I228">
        <v>0.04</v>
      </c>
      <c r="J228">
        <v>0.02</v>
      </c>
      <c r="K228">
        <v>0.02</v>
      </c>
      <c r="L228" t="s">
        <v>3</v>
      </c>
      <c r="M228" t="s">
        <v>23</v>
      </c>
    </row>
    <row r="229" spans="1:13" x14ac:dyDescent="0.45">
      <c r="A229" t="s">
        <v>2</v>
      </c>
      <c r="B229" t="s">
        <v>123</v>
      </c>
      <c r="C229">
        <v>2025</v>
      </c>
      <c r="D229">
        <v>89</v>
      </c>
      <c r="E229">
        <v>0.03</v>
      </c>
      <c r="F229">
        <v>0.03</v>
      </c>
      <c r="G229">
        <v>0.01</v>
      </c>
      <c r="H229">
        <v>0.01</v>
      </c>
      <c r="I229">
        <v>0.06</v>
      </c>
      <c r="J229">
        <v>0.02</v>
      </c>
      <c r="K229">
        <v>0.03</v>
      </c>
      <c r="L229" t="s">
        <v>3</v>
      </c>
      <c r="M229" t="s">
        <v>23</v>
      </c>
    </row>
    <row r="230" spans="1:13" x14ac:dyDescent="0.45">
      <c r="A230" t="s">
        <v>2</v>
      </c>
      <c r="B230" t="s">
        <v>123</v>
      </c>
      <c r="C230">
        <v>2030</v>
      </c>
      <c r="D230">
        <v>89</v>
      </c>
      <c r="E230">
        <v>0.04</v>
      </c>
      <c r="F230">
        <v>0.04</v>
      </c>
      <c r="G230">
        <v>0.02</v>
      </c>
      <c r="H230">
        <v>0.01</v>
      </c>
      <c r="I230">
        <v>0.09</v>
      </c>
      <c r="J230">
        <v>0.03</v>
      </c>
      <c r="K230">
        <v>0.05</v>
      </c>
      <c r="L230" t="s">
        <v>3</v>
      </c>
      <c r="M230" t="s">
        <v>23</v>
      </c>
    </row>
    <row r="231" spans="1:13" x14ac:dyDescent="0.45">
      <c r="A231" t="s">
        <v>2</v>
      </c>
      <c r="B231" t="s">
        <v>123</v>
      </c>
      <c r="C231">
        <v>2035</v>
      </c>
      <c r="D231">
        <v>89</v>
      </c>
      <c r="E231">
        <v>0.05</v>
      </c>
      <c r="F231">
        <v>0.05</v>
      </c>
      <c r="G231">
        <v>0.03</v>
      </c>
      <c r="H231">
        <v>0.01</v>
      </c>
      <c r="I231">
        <v>0.12</v>
      </c>
      <c r="J231">
        <v>0.03</v>
      </c>
      <c r="K231">
        <v>7.0000000000000007E-2</v>
      </c>
      <c r="L231" t="s">
        <v>3</v>
      </c>
      <c r="M231" t="s">
        <v>23</v>
      </c>
    </row>
    <row r="232" spans="1:13" x14ac:dyDescent="0.45">
      <c r="A232" t="s">
        <v>2</v>
      </c>
      <c r="B232" t="s">
        <v>123</v>
      </c>
      <c r="C232">
        <v>2040</v>
      </c>
      <c r="D232">
        <v>89</v>
      </c>
      <c r="E232">
        <v>0.06</v>
      </c>
      <c r="F232">
        <v>0.06</v>
      </c>
      <c r="G232">
        <v>0.03</v>
      </c>
      <c r="H232">
        <v>0.01</v>
      </c>
      <c r="I232">
        <v>0.12</v>
      </c>
      <c r="J232">
        <v>0.04</v>
      </c>
      <c r="K232">
        <v>0.09</v>
      </c>
      <c r="L232" t="s">
        <v>3</v>
      </c>
      <c r="M232" t="s">
        <v>23</v>
      </c>
    </row>
    <row r="233" spans="1:13" x14ac:dyDescent="0.45">
      <c r="A233" t="s">
        <v>2</v>
      </c>
      <c r="B233" t="s">
        <v>123</v>
      </c>
      <c r="C233">
        <v>2045</v>
      </c>
      <c r="D233">
        <v>89</v>
      </c>
      <c r="E233">
        <v>0.08</v>
      </c>
      <c r="F233">
        <v>0.08</v>
      </c>
      <c r="G233">
        <v>0.03</v>
      </c>
      <c r="H233">
        <v>0.01</v>
      </c>
      <c r="I233">
        <v>0.15</v>
      </c>
      <c r="J233">
        <v>0.05</v>
      </c>
      <c r="K233">
        <v>0.11</v>
      </c>
      <c r="L233" t="s">
        <v>3</v>
      </c>
      <c r="M233" t="s">
        <v>23</v>
      </c>
    </row>
    <row r="234" spans="1:13" x14ac:dyDescent="0.45">
      <c r="A234" t="s">
        <v>2</v>
      </c>
      <c r="B234" t="s">
        <v>123</v>
      </c>
      <c r="C234">
        <v>2050</v>
      </c>
      <c r="D234">
        <v>89</v>
      </c>
      <c r="E234">
        <v>0.08</v>
      </c>
      <c r="F234">
        <v>0.08</v>
      </c>
      <c r="G234">
        <v>0.03</v>
      </c>
      <c r="H234">
        <v>0.01</v>
      </c>
      <c r="I234">
        <v>0.15</v>
      </c>
      <c r="J234">
        <v>7.0000000000000007E-2</v>
      </c>
      <c r="K234">
        <v>0.11</v>
      </c>
      <c r="L234" t="s">
        <v>3</v>
      </c>
      <c r="M234" t="s">
        <v>23</v>
      </c>
    </row>
    <row r="235" spans="1:13" x14ac:dyDescent="0.45">
      <c r="A235" t="s">
        <v>5</v>
      </c>
      <c r="B235" t="s">
        <v>123</v>
      </c>
      <c r="C235">
        <v>2020</v>
      </c>
      <c r="D235">
        <v>233</v>
      </c>
      <c r="E235">
        <v>0.02</v>
      </c>
      <c r="F235">
        <v>0.02</v>
      </c>
      <c r="G235">
        <v>0</v>
      </c>
      <c r="H235">
        <v>0.01</v>
      </c>
      <c r="I235">
        <v>0.03</v>
      </c>
      <c r="J235">
        <v>0.01</v>
      </c>
      <c r="K235">
        <v>0.02</v>
      </c>
      <c r="L235" t="s">
        <v>6</v>
      </c>
      <c r="M235" t="s">
        <v>23</v>
      </c>
    </row>
    <row r="236" spans="1:13" x14ac:dyDescent="0.45">
      <c r="A236" t="s">
        <v>5</v>
      </c>
      <c r="B236" t="s">
        <v>123</v>
      </c>
      <c r="C236">
        <v>2025</v>
      </c>
      <c r="D236">
        <v>210</v>
      </c>
      <c r="E236">
        <v>0.02</v>
      </c>
      <c r="F236">
        <v>0.02</v>
      </c>
      <c r="G236">
        <v>0.01</v>
      </c>
      <c r="H236">
        <v>0</v>
      </c>
      <c r="I236">
        <v>0.04</v>
      </c>
      <c r="J236">
        <v>0.02</v>
      </c>
      <c r="K236">
        <v>0.03</v>
      </c>
      <c r="L236" t="s">
        <v>6</v>
      </c>
      <c r="M236" t="s">
        <v>23</v>
      </c>
    </row>
    <row r="237" spans="1:13" x14ac:dyDescent="0.45">
      <c r="A237" t="s">
        <v>5</v>
      </c>
      <c r="B237" t="s">
        <v>123</v>
      </c>
      <c r="C237">
        <v>2030</v>
      </c>
      <c r="D237">
        <v>233</v>
      </c>
      <c r="E237">
        <v>0.03</v>
      </c>
      <c r="F237">
        <v>0.03</v>
      </c>
      <c r="G237">
        <v>0.01</v>
      </c>
      <c r="H237">
        <v>0</v>
      </c>
      <c r="I237">
        <v>0.06</v>
      </c>
      <c r="J237">
        <v>0.02</v>
      </c>
      <c r="K237">
        <v>0.04</v>
      </c>
      <c r="L237" t="s">
        <v>6</v>
      </c>
      <c r="M237" t="s">
        <v>23</v>
      </c>
    </row>
    <row r="238" spans="1:13" x14ac:dyDescent="0.45">
      <c r="A238" t="s">
        <v>5</v>
      </c>
      <c r="B238" t="s">
        <v>123</v>
      </c>
      <c r="C238">
        <v>2035</v>
      </c>
      <c r="D238">
        <v>210</v>
      </c>
      <c r="E238">
        <v>0.04</v>
      </c>
      <c r="F238">
        <v>0.04</v>
      </c>
      <c r="G238">
        <v>0.02</v>
      </c>
      <c r="H238">
        <v>0</v>
      </c>
      <c r="I238">
        <v>0.08</v>
      </c>
      <c r="J238">
        <v>0.03</v>
      </c>
      <c r="K238">
        <v>0.05</v>
      </c>
      <c r="L238" t="s">
        <v>6</v>
      </c>
      <c r="M238" t="s">
        <v>23</v>
      </c>
    </row>
    <row r="239" spans="1:13" x14ac:dyDescent="0.45">
      <c r="A239" t="s">
        <v>5</v>
      </c>
      <c r="B239" t="s">
        <v>123</v>
      </c>
      <c r="C239">
        <v>2040</v>
      </c>
      <c r="D239">
        <v>233</v>
      </c>
      <c r="E239">
        <v>0.05</v>
      </c>
      <c r="F239">
        <v>0.05</v>
      </c>
      <c r="G239">
        <v>0.03</v>
      </c>
      <c r="H239">
        <v>0</v>
      </c>
      <c r="I239">
        <v>0.14000000000000001</v>
      </c>
      <c r="J239">
        <v>0.03</v>
      </c>
      <c r="K239">
        <v>0.06</v>
      </c>
      <c r="L239" t="s">
        <v>6</v>
      </c>
      <c r="M239" t="s">
        <v>23</v>
      </c>
    </row>
    <row r="240" spans="1:13" x14ac:dyDescent="0.45">
      <c r="A240" t="s">
        <v>5</v>
      </c>
      <c r="B240" t="s">
        <v>123</v>
      </c>
      <c r="C240">
        <v>2045</v>
      </c>
      <c r="D240">
        <v>210</v>
      </c>
      <c r="E240">
        <v>0.06</v>
      </c>
      <c r="F240">
        <v>0.06</v>
      </c>
      <c r="G240">
        <v>0.04</v>
      </c>
      <c r="H240">
        <v>0</v>
      </c>
      <c r="I240">
        <v>0.18</v>
      </c>
      <c r="J240">
        <v>0.04</v>
      </c>
      <c r="K240">
        <v>7.0000000000000007E-2</v>
      </c>
      <c r="L240" t="s">
        <v>6</v>
      </c>
      <c r="M240" t="s">
        <v>23</v>
      </c>
    </row>
    <row r="241" spans="1:13" x14ac:dyDescent="0.45">
      <c r="A241" t="s">
        <v>5</v>
      </c>
      <c r="B241" t="s">
        <v>123</v>
      </c>
      <c r="C241">
        <v>2050</v>
      </c>
      <c r="D241">
        <v>233</v>
      </c>
      <c r="E241">
        <v>7.0000000000000007E-2</v>
      </c>
      <c r="F241">
        <v>0.06</v>
      </c>
      <c r="G241">
        <v>0.05</v>
      </c>
      <c r="H241">
        <v>0</v>
      </c>
      <c r="I241">
        <v>0.21</v>
      </c>
      <c r="J241">
        <v>0.04</v>
      </c>
      <c r="K241">
        <v>0.1</v>
      </c>
      <c r="L241" t="s">
        <v>6</v>
      </c>
      <c r="M241" t="s">
        <v>23</v>
      </c>
    </row>
    <row r="242" spans="1:13" x14ac:dyDescent="0.45">
      <c r="A242" t="s">
        <v>7</v>
      </c>
      <c r="B242" t="s">
        <v>123</v>
      </c>
      <c r="C242">
        <v>2020</v>
      </c>
      <c r="D242">
        <v>102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23</v>
      </c>
    </row>
    <row r="243" spans="1:13" x14ac:dyDescent="0.45">
      <c r="A243" t="s">
        <v>7</v>
      </c>
      <c r="B243" t="s">
        <v>123</v>
      </c>
      <c r="C243">
        <v>2025</v>
      </c>
      <c r="D243">
        <v>96</v>
      </c>
      <c r="E243">
        <v>0.02</v>
      </c>
      <c r="F243">
        <v>0.02</v>
      </c>
      <c r="G243">
        <v>0.01</v>
      </c>
      <c r="H243">
        <v>0.01</v>
      </c>
      <c r="I243">
        <v>0.04</v>
      </c>
      <c r="J243">
        <v>0.02</v>
      </c>
      <c r="K243">
        <v>0.02</v>
      </c>
      <c r="L243" t="s">
        <v>8</v>
      </c>
      <c r="M243" t="s">
        <v>23</v>
      </c>
    </row>
    <row r="244" spans="1:13" x14ac:dyDescent="0.45">
      <c r="A244" t="s">
        <v>7</v>
      </c>
      <c r="B244" t="s">
        <v>123</v>
      </c>
      <c r="C244">
        <v>2030</v>
      </c>
      <c r="D244">
        <v>102</v>
      </c>
      <c r="E244">
        <v>0.02</v>
      </c>
      <c r="F244">
        <v>0.02</v>
      </c>
      <c r="G244">
        <v>0.01</v>
      </c>
      <c r="H244">
        <v>0.01</v>
      </c>
      <c r="I244">
        <v>0.05</v>
      </c>
      <c r="J244">
        <v>0.02</v>
      </c>
      <c r="K244">
        <v>0.03</v>
      </c>
      <c r="L244" t="s">
        <v>8</v>
      </c>
      <c r="M244" t="s">
        <v>23</v>
      </c>
    </row>
    <row r="245" spans="1:13" x14ac:dyDescent="0.45">
      <c r="A245" t="s">
        <v>7</v>
      </c>
      <c r="B245" t="s">
        <v>123</v>
      </c>
      <c r="C245">
        <v>2035</v>
      </c>
      <c r="D245">
        <v>96</v>
      </c>
      <c r="E245">
        <v>0.03</v>
      </c>
      <c r="F245">
        <v>0.03</v>
      </c>
      <c r="G245">
        <v>0.01</v>
      </c>
      <c r="H245">
        <v>0.01</v>
      </c>
      <c r="I245">
        <v>0.06</v>
      </c>
      <c r="J245">
        <v>0.02</v>
      </c>
      <c r="K245">
        <v>0.04</v>
      </c>
      <c r="L245" t="s">
        <v>8</v>
      </c>
      <c r="M245" t="s">
        <v>23</v>
      </c>
    </row>
    <row r="246" spans="1:13" x14ac:dyDescent="0.45">
      <c r="A246" t="s">
        <v>7</v>
      </c>
      <c r="B246" t="s">
        <v>123</v>
      </c>
      <c r="C246">
        <v>2040</v>
      </c>
      <c r="D246">
        <v>102</v>
      </c>
      <c r="E246">
        <v>0.04</v>
      </c>
      <c r="F246">
        <v>0.04</v>
      </c>
      <c r="G246">
        <v>0.02</v>
      </c>
      <c r="H246">
        <v>0.01</v>
      </c>
      <c r="I246">
        <v>0.08</v>
      </c>
      <c r="J246">
        <v>0.02</v>
      </c>
      <c r="K246">
        <v>0.05</v>
      </c>
      <c r="L246" t="s">
        <v>8</v>
      </c>
      <c r="M246" t="s">
        <v>23</v>
      </c>
    </row>
    <row r="247" spans="1:13" x14ac:dyDescent="0.45">
      <c r="A247" t="s">
        <v>7</v>
      </c>
      <c r="B247" t="s">
        <v>123</v>
      </c>
      <c r="C247">
        <v>2045</v>
      </c>
      <c r="D247">
        <v>96</v>
      </c>
      <c r="E247">
        <v>0.05</v>
      </c>
      <c r="F247">
        <v>0.04</v>
      </c>
      <c r="G247">
        <v>0.03</v>
      </c>
      <c r="H247">
        <v>0.01</v>
      </c>
      <c r="I247">
        <v>0.12</v>
      </c>
      <c r="J247">
        <v>0.03</v>
      </c>
      <c r="K247">
        <v>0.08</v>
      </c>
      <c r="L247" t="s">
        <v>8</v>
      </c>
      <c r="M247" t="s">
        <v>23</v>
      </c>
    </row>
    <row r="248" spans="1:13" x14ac:dyDescent="0.45">
      <c r="A248" t="s">
        <v>7</v>
      </c>
      <c r="B248" t="s">
        <v>123</v>
      </c>
      <c r="C248">
        <v>2050</v>
      </c>
      <c r="D248">
        <v>102</v>
      </c>
      <c r="E248">
        <v>0.06</v>
      </c>
      <c r="F248">
        <v>0.05</v>
      </c>
      <c r="G248">
        <v>0.05</v>
      </c>
      <c r="H248">
        <v>0.01</v>
      </c>
      <c r="I248">
        <v>0.17</v>
      </c>
      <c r="J248">
        <v>0.02</v>
      </c>
      <c r="K248">
        <v>0.1</v>
      </c>
      <c r="L248" t="s">
        <v>8</v>
      </c>
      <c r="M248" t="s">
        <v>23</v>
      </c>
    </row>
    <row r="249" spans="1:13" x14ac:dyDescent="0.45">
      <c r="A249" t="s">
        <v>9</v>
      </c>
      <c r="B249" t="s">
        <v>123</v>
      </c>
      <c r="C249">
        <v>2020</v>
      </c>
      <c r="D249">
        <v>61</v>
      </c>
      <c r="E249">
        <v>0.02</v>
      </c>
      <c r="F249">
        <v>0.02</v>
      </c>
      <c r="G249">
        <v>0.01</v>
      </c>
      <c r="H249">
        <v>0.01</v>
      </c>
      <c r="I249">
        <v>0.03</v>
      </c>
      <c r="J249">
        <v>0.02</v>
      </c>
      <c r="K249">
        <v>0.02</v>
      </c>
      <c r="L249" t="s">
        <v>10</v>
      </c>
      <c r="M249" t="s">
        <v>23</v>
      </c>
    </row>
    <row r="250" spans="1:13" x14ac:dyDescent="0.45">
      <c r="A250" t="s">
        <v>9</v>
      </c>
      <c r="B250" t="s">
        <v>123</v>
      </c>
      <c r="C250">
        <v>2025</v>
      </c>
      <c r="D250">
        <v>56</v>
      </c>
      <c r="E250">
        <v>0.03</v>
      </c>
      <c r="F250">
        <v>0.03</v>
      </c>
      <c r="G250">
        <v>0.01</v>
      </c>
      <c r="H250">
        <v>0</v>
      </c>
      <c r="I250">
        <v>0.04</v>
      </c>
      <c r="J250">
        <v>0.02</v>
      </c>
      <c r="K250">
        <v>0.03</v>
      </c>
      <c r="L250" t="s">
        <v>10</v>
      </c>
      <c r="M250" t="s">
        <v>23</v>
      </c>
    </row>
    <row r="251" spans="1:13" x14ac:dyDescent="0.45">
      <c r="A251" t="s">
        <v>9</v>
      </c>
      <c r="B251" t="s">
        <v>123</v>
      </c>
      <c r="C251">
        <v>2030</v>
      </c>
      <c r="D251">
        <v>61</v>
      </c>
      <c r="E251">
        <v>0.03</v>
      </c>
      <c r="F251">
        <v>0.03</v>
      </c>
      <c r="G251">
        <v>0.01</v>
      </c>
      <c r="H251">
        <v>0</v>
      </c>
      <c r="I251">
        <v>0.05</v>
      </c>
      <c r="J251">
        <v>0.02</v>
      </c>
      <c r="K251">
        <v>0.04</v>
      </c>
      <c r="L251" t="s">
        <v>10</v>
      </c>
      <c r="M251" t="s">
        <v>23</v>
      </c>
    </row>
    <row r="252" spans="1:13" x14ac:dyDescent="0.45">
      <c r="A252" t="s">
        <v>9</v>
      </c>
      <c r="B252" t="s">
        <v>123</v>
      </c>
      <c r="C252">
        <v>2035</v>
      </c>
      <c r="D252">
        <v>56</v>
      </c>
      <c r="E252">
        <v>0.04</v>
      </c>
      <c r="F252">
        <v>0.04</v>
      </c>
      <c r="G252">
        <v>0.01</v>
      </c>
      <c r="H252">
        <v>0</v>
      </c>
      <c r="I252">
        <v>0.06</v>
      </c>
      <c r="J252">
        <v>0.02</v>
      </c>
      <c r="K252">
        <v>0.04</v>
      </c>
      <c r="L252" t="s">
        <v>10</v>
      </c>
      <c r="M252" t="s">
        <v>23</v>
      </c>
    </row>
    <row r="253" spans="1:13" x14ac:dyDescent="0.45">
      <c r="A253" t="s">
        <v>9</v>
      </c>
      <c r="B253" t="s">
        <v>123</v>
      </c>
      <c r="C253">
        <v>2040</v>
      </c>
      <c r="D253">
        <v>61</v>
      </c>
      <c r="E253">
        <v>0.04</v>
      </c>
      <c r="F253">
        <v>0.04</v>
      </c>
      <c r="G253">
        <v>0.02</v>
      </c>
      <c r="H253">
        <v>0</v>
      </c>
      <c r="I253">
        <v>7.0000000000000007E-2</v>
      </c>
      <c r="J253">
        <v>0.02</v>
      </c>
      <c r="K253">
        <v>0.05</v>
      </c>
      <c r="L253" t="s">
        <v>10</v>
      </c>
      <c r="M253" t="s">
        <v>23</v>
      </c>
    </row>
    <row r="254" spans="1:13" x14ac:dyDescent="0.45">
      <c r="A254" t="s">
        <v>9</v>
      </c>
      <c r="B254" t="s">
        <v>123</v>
      </c>
      <c r="C254">
        <v>2045</v>
      </c>
      <c r="D254">
        <v>56</v>
      </c>
      <c r="E254">
        <v>0.05</v>
      </c>
      <c r="F254">
        <v>0.05</v>
      </c>
      <c r="G254">
        <v>0.02</v>
      </c>
      <c r="H254">
        <v>0</v>
      </c>
      <c r="I254">
        <v>0.11</v>
      </c>
      <c r="J254">
        <v>0.03</v>
      </c>
      <c r="K254">
        <v>0.06</v>
      </c>
      <c r="L254" t="s">
        <v>10</v>
      </c>
      <c r="M254" t="s">
        <v>23</v>
      </c>
    </row>
    <row r="255" spans="1:13" x14ac:dyDescent="0.45">
      <c r="A255" t="s">
        <v>9</v>
      </c>
      <c r="B255" t="s">
        <v>123</v>
      </c>
      <c r="C255">
        <v>2050</v>
      </c>
      <c r="D255">
        <v>61</v>
      </c>
      <c r="E255">
        <v>0.05</v>
      </c>
      <c r="F255">
        <v>0.05</v>
      </c>
      <c r="G255">
        <v>0.03</v>
      </c>
      <c r="H255">
        <v>0</v>
      </c>
      <c r="I255">
        <v>0.14000000000000001</v>
      </c>
      <c r="J255">
        <v>0.03</v>
      </c>
      <c r="K255">
        <v>7.0000000000000007E-2</v>
      </c>
      <c r="L255" t="s">
        <v>10</v>
      </c>
      <c r="M255" t="s">
        <v>23</v>
      </c>
    </row>
    <row r="256" spans="1:13" x14ac:dyDescent="0.45">
      <c r="A256" t="s">
        <v>0</v>
      </c>
      <c r="B256" t="s">
        <v>123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123</v>
      </c>
      <c r="C257">
        <v>2025</v>
      </c>
      <c r="D257">
        <v>45</v>
      </c>
      <c r="E257">
        <v>2.23</v>
      </c>
      <c r="F257">
        <v>2.14</v>
      </c>
      <c r="G257">
        <v>1.03</v>
      </c>
      <c r="H257">
        <v>0</v>
      </c>
      <c r="I257">
        <v>6.07</v>
      </c>
      <c r="J257">
        <v>1.52</v>
      </c>
      <c r="K257">
        <v>2.5</v>
      </c>
      <c r="L257" t="s">
        <v>1</v>
      </c>
      <c r="M257" t="s">
        <v>69</v>
      </c>
    </row>
    <row r="258" spans="1:13" x14ac:dyDescent="0.45">
      <c r="A258" t="s">
        <v>0</v>
      </c>
      <c r="B258" t="s">
        <v>123</v>
      </c>
      <c r="C258">
        <v>2030</v>
      </c>
      <c r="D258">
        <v>45</v>
      </c>
      <c r="E258">
        <v>2.96</v>
      </c>
      <c r="F258">
        <v>2.77</v>
      </c>
      <c r="G258">
        <v>1.58</v>
      </c>
      <c r="H258">
        <v>0</v>
      </c>
      <c r="I258">
        <v>9.2200000000000006</v>
      </c>
      <c r="J258">
        <v>1.98</v>
      </c>
      <c r="K258">
        <v>3.32</v>
      </c>
      <c r="L258" t="s">
        <v>1</v>
      </c>
      <c r="M258" t="s">
        <v>69</v>
      </c>
    </row>
    <row r="259" spans="1:13" x14ac:dyDescent="0.45">
      <c r="A259" t="s">
        <v>0</v>
      </c>
      <c r="B259" t="s">
        <v>123</v>
      </c>
      <c r="C259">
        <v>2035</v>
      </c>
      <c r="D259">
        <v>45</v>
      </c>
      <c r="E259">
        <v>3.63</v>
      </c>
      <c r="F259">
        <v>2.73</v>
      </c>
      <c r="G259">
        <v>2.11</v>
      </c>
      <c r="H259">
        <v>0</v>
      </c>
      <c r="I259">
        <v>11.11</v>
      </c>
      <c r="J259">
        <v>2.2400000000000002</v>
      </c>
      <c r="K259">
        <v>4.99</v>
      </c>
      <c r="L259" t="s">
        <v>1</v>
      </c>
      <c r="M259" t="s">
        <v>69</v>
      </c>
    </row>
    <row r="260" spans="1:13" x14ac:dyDescent="0.45">
      <c r="A260" t="s">
        <v>0</v>
      </c>
      <c r="B260" t="s">
        <v>123</v>
      </c>
      <c r="C260">
        <v>2040</v>
      </c>
      <c r="D260">
        <v>45</v>
      </c>
      <c r="E260">
        <v>4.87</v>
      </c>
      <c r="F260">
        <v>3.81</v>
      </c>
      <c r="G260">
        <v>2.5299999999999998</v>
      </c>
      <c r="H260">
        <v>0</v>
      </c>
      <c r="I260">
        <v>13.06</v>
      </c>
      <c r="J260">
        <v>3.14</v>
      </c>
      <c r="K260">
        <v>6.54</v>
      </c>
      <c r="L260" t="s">
        <v>1</v>
      </c>
      <c r="M260" t="s">
        <v>69</v>
      </c>
    </row>
    <row r="261" spans="1:13" x14ac:dyDescent="0.45">
      <c r="A261" t="s">
        <v>0</v>
      </c>
      <c r="B261" t="s">
        <v>123</v>
      </c>
      <c r="C261">
        <v>2045</v>
      </c>
      <c r="D261">
        <v>45</v>
      </c>
      <c r="E261">
        <v>5.81</v>
      </c>
      <c r="F261">
        <v>4.6100000000000003</v>
      </c>
      <c r="G261">
        <v>2.97</v>
      </c>
      <c r="H261">
        <v>0</v>
      </c>
      <c r="I261">
        <v>15.77</v>
      </c>
      <c r="J261">
        <v>4.04</v>
      </c>
      <c r="K261">
        <v>7.53</v>
      </c>
      <c r="L261" t="s">
        <v>1</v>
      </c>
      <c r="M261" t="s">
        <v>69</v>
      </c>
    </row>
    <row r="262" spans="1:13" x14ac:dyDescent="0.45">
      <c r="A262" t="s">
        <v>0</v>
      </c>
      <c r="B262" t="s">
        <v>123</v>
      </c>
      <c r="C262">
        <v>2050</v>
      </c>
      <c r="D262">
        <v>45</v>
      </c>
      <c r="E262">
        <v>6.59</v>
      </c>
      <c r="F262">
        <v>5.65</v>
      </c>
      <c r="G262">
        <v>3.2</v>
      </c>
      <c r="H262">
        <v>0</v>
      </c>
      <c r="I262">
        <v>16.96</v>
      </c>
      <c r="J262">
        <v>4.62</v>
      </c>
      <c r="K262">
        <v>8.3800000000000008</v>
      </c>
      <c r="L262" t="s">
        <v>1</v>
      </c>
      <c r="M262" t="s">
        <v>69</v>
      </c>
    </row>
    <row r="263" spans="1:13" x14ac:dyDescent="0.45">
      <c r="A263" t="s">
        <v>2</v>
      </c>
      <c r="B263" t="s">
        <v>123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123</v>
      </c>
      <c r="C264">
        <v>2025</v>
      </c>
      <c r="D264">
        <v>44</v>
      </c>
      <c r="E264">
        <v>1.35</v>
      </c>
      <c r="F264">
        <v>1.1499999999999999</v>
      </c>
      <c r="G264">
        <v>0.43</v>
      </c>
      <c r="H264">
        <v>0.94</v>
      </c>
      <c r="I264">
        <v>2.6</v>
      </c>
      <c r="J264">
        <v>1.07</v>
      </c>
      <c r="K264">
        <v>1.54</v>
      </c>
      <c r="L264" t="s">
        <v>3</v>
      </c>
      <c r="M264" t="s">
        <v>69</v>
      </c>
    </row>
    <row r="265" spans="1:13" x14ac:dyDescent="0.45">
      <c r="A265" t="s">
        <v>2</v>
      </c>
      <c r="B265" t="s">
        <v>123</v>
      </c>
      <c r="C265">
        <v>2030</v>
      </c>
      <c r="D265">
        <v>44</v>
      </c>
      <c r="E265">
        <v>1.54</v>
      </c>
      <c r="F265">
        <v>1.5</v>
      </c>
      <c r="G265">
        <v>0.4</v>
      </c>
      <c r="H265">
        <v>1.05</v>
      </c>
      <c r="I265">
        <v>2.5099999999999998</v>
      </c>
      <c r="J265">
        <v>1.1499999999999999</v>
      </c>
      <c r="K265">
        <v>1.71</v>
      </c>
      <c r="L265" t="s">
        <v>3</v>
      </c>
      <c r="M265" t="s">
        <v>69</v>
      </c>
    </row>
    <row r="266" spans="1:13" x14ac:dyDescent="0.45">
      <c r="A266" t="s">
        <v>2</v>
      </c>
      <c r="B266" t="s">
        <v>123</v>
      </c>
      <c r="C266">
        <v>2035</v>
      </c>
      <c r="D266">
        <v>44</v>
      </c>
      <c r="E266">
        <v>2.5499999999999998</v>
      </c>
      <c r="F266">
        <v>1.99</v>
      </c>
      <c r="G266">
        <v>1.89</v>
      </c>
      <c r="H266">
        <v>1.05</v>
      </c>
      <c r="I266">
        <v>10.54</v>
      </c>
      <c r="J266">
        <v>1.69</v>
      </c>
      <c r="K266">
        <v>2.4700000000000002</v>
      </c>
      <c r="L266" t="s">
        <v>3</v>
      </c>
      <c r="M266" t="s">
        <v>69</v>
      </c>
    </row>
    <row r="267" spans="1:13" x14ac:dyDescent="0.45">
      <c r="A267" t="s">
        <v>2</v>
      </c>
      <c r="B267" t="s">
        <v>123</v>
      </c>
      <c r="C267">
        <v>2040</v>
      </c>
      <c r="D267">
        <v>44</v>
      </c>
      <c r="E267">
        <v>3.78</v>
      </c>
      <c r="F267">
        <v>2.67</v>
      </c>
      <c r="G267">
        <v>3.93</v>
      </c>
      <c r="H267">
        <v>1.04</v>
      </c>
      <c r="I267">
        <v>21.51</v>
      </c>
      <c r="J267">
        <v>2</v>
      </c>
      <c r="K267">
        <v>3.43</v>
      </c>
      <c r="L267" t="s">
        <v>3</v>
      </c>
      <c r="M267" t="s">
        <v>69</v>
      </c>
    </row>
    <row r="268" spans="1:13" x14ac:dyDescent="0.45">
      <c r="A268" t="s">
        <v>2</v>
      </c>
      <c r="B268" t="s">
        <v>123</v>
      </c>
      <c r="C268">
        <v>2045</v>
      </c>
      <c r="D268">
        <v>44</v>
      </c>
      <c r="E268">
        <v>3.74</v>
      </c>
      <c r="F268">
        <v>3.22</v>
      </c>
      <c r="G268">
        <v>2.35</v>
      </c>
      <c r="H268">
        <v>1.1000000000000001</v>
      </c>
      <c r="I268">
        <v>12.52</v>
      </c>
      <c r="J268">
        <v>2.2599999999999998</v>
      </c>
      <c r="K268">
        <v>4</v>
      </c>
      <c r="L268" t="s">
        <v>3</v>
      </c>
      <c r="M268" t="s">
        <v>69</v>
      </c>
    </row>
    <row r="269" spans="1:13" x14ac:dyDescent="0.45">
      <c r="A269" t="s">
        <v>2</v>
      </c>
      <c r="B269" t="s">
        <v>123</v>
      </c>
      <c r="C269">
        <v>2050</v>
      </c>
      <c r="D269">
        <v>44</v>
      </c>
      <c r="E269">
        <v>3.71</v>
      </c>
      <c r="F269">
        <v>3.61</v>
      </c>
      <c r="G269">
        <v>1.66</v>
      </c>
      <c r="H269">
        <v>1.2</v>
      </c>
      <c r="I269">
        <v>11.67</v>
      </c>
      <c r="J269">
        <v>2.58</v>
      </c>
      <c r="K269">
        <v>4.2300000000000004</v>
      </c>
      <c r="L269" t="s">
        <v>3</v>
      </c>
      <c r="M269" t="s">
        <v>69</v>
      </c>
    </row>
    <row r="270" spans="1:13" x14ac:dyDescent="0.45">
      <c r="A270" t="s">
        <v>5</v>
      </c>
      <c r="B270" t="s">
        <v>123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123</v>
      </c>
      <c r="C271">
        <v>2025</v>
      </c>
      <c r="D271">
        <v>111</v>
      </c>
      <c r="E271">
        <v>1.52</v>
      </c>
      <c r="F271">
        <v>1.42</v>
      </c>
      <c r="G271">
        <v>0.54</v>
      </c>
      <c r="H271">
        <v>0</v>
      </c>
      <c r="I271">
        <v>3.37</v>
      </c>
      <c r="J271">
        <v>1.1499999999999999</v>
      </c>
      <c r="K271">
        <v>1.67</v>
      </c>
      <c r="L271" t="s">
        <v>6</v>
      </c>
      <c r="M271" t="s">
        <v>69</v>
      </c>
    </row>
    <row r="272" spans="1:13" x14ac:dyDescent="0.45">
      <c r="A272" t="s">
        <v>5</v>
      </c>
      <c r="B272" t="s">
        <v>123</v>
      </c>
      <c r="C272">
        <v>2030</v>
      </c>
      <c r="D272">
        <v>111</v>
      </c>
      <c r="E272">
        <v>1.83</v>
      </c>
      <c r="F272">
        <v>1.79</v>
      </c>
      <c r="G272">
        <v>0.73</v>
      </c>
      <c r="H272">
        <v>0</v>
      </c>
      <c r="I272">
        <v>4.87</v>
      </c>
      <c r="J272">
        <v>1.32</v>
      </c>
      <c r="K272">
        <v>2.0499999999999998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123</v>
      </c>
      <c r="C273">
        <v>2035</v>
      </c>
      <c r="D273">
        <v>111</v>
      </c>
      <c r="E273">
        <v>2.4500000000000002</v>
      </c>
      <c r="F273">
        <v>2.0299999999999998</v>
      </c>
      <c r="G273">
        <v>1.1100000000000001</v>
      </c>
      <c r="H273">
        <v>0</v>
      </c>
      <c r="I273">
        <v>7.68</v>
      </c>
      <c r="J273">
        <v>1.79</v>
      </c>
      <c r="K273">
        <v>2.94</v>
      </c>
      <c r="L273" t="s">
        <v>6</v>
      </c>
      <c r="M273" t="s">
        <v>69</v>
      </c>
    </row>
    <row r="274" spans="1:13" x14ac:dyDescent="0.45">
      <c r="A274" t="s">
        <v>5</v>
      </c>
      <c r="B274" t="s">
        <v>123</v>
      </c>
      <c r="C274">
        <v>2040</v>
      </c>
      <c r="D274">
        <v>111</v>
      </c>
      <c r="E274">
        <v>3.16</v>
      </c>
      <c r="F274">
        <v>2.67</v>
      </c>
      <c r="G274">
        <v>1.55</v>
      </c>
      <c r="H274">
        <v>0</v>
      </c>
      <c r="I274">
        <v>10.29</v>
      </c>
      <c r="J274">
        <v>2.25</v>
      </c>
      <c r="K274">
        <v>3.88</v>
      </c>
      <c r="L274" t="s">
        <v>6</v>
      </c>
      <c r="M274" t="s">
        <v>69</v>
      </c>
    </row>
    <row r="275" spans="1:13" x14ac:dyDescent="0.45">
      <c r="A275" t="s">
        <v>5</v>
      </c>
      <c r="B275" t="s">
        <v>123</v>
      </c>
      <c r="C275">
        <v>2045</v>
      </c>
      <c r="D275">
        <v>111</v>
      </c>
      <c r="E275">
        <v>3.65</v>
      </c>
      <c r="F275">
        <v>3.08</v>
      </c>
      <c r="G275">
        <v>1.99</v>
      </c>
      <c r="H275">
        <v>0</v>
      </c>
      <c r="I275">
        <v>13.07</v>
      </c>
      <c r="J275">
        <v>2.34</v>
      </c>
      <c r="K275">
        <v>4.58</v>
      </c>
      <c r="L275" t="s">
        <v>6</v>
      </c>
      <c r="M275" t="s">
        <v>69</v>
      </c>
    </row>
    <row r="276" spans="1:13" x14ac:dyDescent="0.45">
      <c r="A276" t="s">
        <v>5</v>
      </c>
      <c r="B276" t="s">
        <v>123</v>
      </c>
      <c r="C276">
        <v>2050</v>
      </c>
      <c r="D276">
        <v>111</v>
      </c>
      <c r="E276">
        <v>4.08</v>
      </c>
      <c r="F276">
        <v>3.63</v>
      </c>
      <c r="G276">
        <v>2.11</v>
      </c>
      <c r="H276">
        <v>0</v>
      </c>
      <c r="I276">
        <v>11.07</v>
      </c>
      <c r="J276">
        <v>2.6</v>
      </c>
      <c r="K276">
        <v>5.3</v>
      </c>
      <c r="L276" t="s">
        <v>6</v>
      </c>
      <c r="M276" t="s">
        <v>69</v>
      </c>
    </row>
    <row r="277" spans="1:13" x14ac:dyDescent="0.45">
      <c r="A277" t="s">
        <v>7</v>
      </c>
      <c r="B277" t="s">
        <v>123</v>
      </c>
      <c r="C277">
        <v>2020</v>
      </c>
      <c r="D277">
        <v>30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123</v>
      </c>
      <c r="C278">
        <v>2025</v>
      </c>
      <c r="D278">
        <v>30</v>
      </c>
      <c r="E278">
        <v>1.26</v>
      </c>
      <c r="F278">
        <v>1.18</v>
      </c>
      <c r="G278">
        <v>0.26</v>
      </c>
      <c r="H278">
        <v>1.02</v>
      </c>
      <c r="I278">
        <v>1.9</v>
      </c>
      <c r="J278">
        <v>1.04</v>
      </c>
      <c r="K278">
        <v>1.33</v>
      </c>
      <c r="L278" t="s">
        <v>8</v>
      </c>
      <c r="M278" t="s">
        <v>69</v>
      </c>
    </row>
    <row r="279" spans="1:13" x14ac:dyDescent="0.45">
      <c r="A279" t="s">
        <v>7</v>
      </c>
      <c r="B279" t="s">
        <v>123</v>
      </c>
      <c r="C279">
        <v>2030</v>
      </c>
      <c r="D279">
        <v>30</v>
      </c>
      <c r="E279">
        <v>1.51</v>
      </c>
      <c r="F279">
        <v>1.49</v>
      </c>
      <c r="G279">
        <v>0.44</v>
      </c>
      <c r="H279">
        <v>1.01</v>
      </c>
      <c r="I279">
        <v>2.52</v>
      </c>
      <c r="J279">
        <v>1.08</v>
      </c>
      <c r="K279">
        <v>1.67</v>
      </c>
      <c r="L279" t="s">
        <v>8</v>
      </c>
      <c r="M279" t="s">
        <v>69</v>
      </c>
    </row>
    <row r="280" spans="1:13" x14ac:dyDescent="0.45">
      <c r="A280" t="s">
        <v>7</v>
      </c>
      <c r="B280" t="s">
        <v>123</v>
      </c>
      <c r="C280">
        <v>2035</v>
      </c>
      <c r="D280">
        <v>30</v>
      </c>
      <c r="E280">
        <v>2.0499999999999998</v>
      </c>
      <c r="F280">
        <v>2.13</v>
      </c>
      <c r="G280">
        <v>0.51</v>
      </c>
      <c r="H280">
        <v>0.84</v>
      </c>
      <c r="I280">
        <v>2.99</v>
      </c>
      <c r="J280">
        <v>1.53</v>
      </c>
      <c r="K280">
        <v>2.4</v>
      </c>
      <c r="L280" t="s">
        <v>8</v>
      </c>
      <c r="M280" t="s">
        <v>69</v>
      </c>
    </row>
    <row r="281" spans="1:13" x14ac:dyDescent="0.45">
      <c r="A281" t="s">
        <v>7</v>
      </c>
      <c r="B281" t="s">
        <v>123</v>
      </c>
      <c r="C281">
        <v>2040</v>
      </c>
      <c r="D281">
        <v>30</v>
      </c>
      <c r="E281">
        <v>2.59</v>
      </c>
      <c r="F281">
        <v>2.69</v>
      </c>
      <c r="G281">
        <v>0.65</v>
      </c>
      <c r="H281">
        <v>0.95</v>
      </c>
      <c r="I281">
        <v>3.73</v>
      </c>
      <c r="J281">
        <v>2</v>
      </c>
      <c r="K281">
        <v>3.02</v>
      </c>
      <c r="L281" t="s">
        <v>8</v>
      </c>
      <c r="M281" t="s">
        <v>69</v>
      </c>
    </row>
    <row r="282" spans="1:13" x14ac:dyDescent="0.45">
      <c r="A282" t="s">
        <v>7</v>
      </c>
      <c r="B282" t="s">
        <v>123</v>
      </c>
      <c r="C282">
        <v>2045</v>
      </c>
      <c r="D282">
        <v>30</v>
      </c>
      <c r="E282">
        <v>2.85</v>
      </c>
      <c r="F282">
        <v>2.92</v>
      </c>
      <c r="G282">
        <v>0.87</v>
      </c>
      <c r="H282">
        <v>0.93</v>
      </c>
      <c r="I282">
        <v>4.22</v>
      </c>
      <c r="J282">
        <v>2</v>
      </c>
      <c r="K282">
        <v>3.51</v>
      </c>
      <c r="L282" t="s">
        <v>8</v>
      </c>
      <c r="M282" t="s">
        <v>69</v>
      </c>
    </row>
    <row r="283" spans="1:13" x14ac:dyDescent="0.45">
      <c r="A283" t="s">
        <v>7</v>
      </c>
      <c r="B283" t="s">
        <v>123</v>
      </c>
      <c r="C283">
        <v>2050</v>
      </c>
      <c r="D283">
        <v>30</v>
      </c>
      <c r="E283">
        <v>3.04</v>
      </c>
      <c r="F283">
        <v>3.07</v>
      </c>
      <c r="G283">
        <v>0.98</v>
      </c>
      <c r="H283">
        <v>0.92</v>
      </c>
      <c r="I283">
        <v>4.6100000000000003</v>
      </c>
      <c r="J283">
        <v>2.08</v>
      </c>
      <c r="K283">
        <v>3.76</v>
      </c>
      <c r="L283" t="s">
        <v>8</v>
      </c>
      <c r="M283" t="s">
        <v>69</v>
      </c>
    </row>
    <row r="284" spans="1:13" x14ac:dyDescent="0.45">
      <c r="A284" t="s">
        <v>9</v>
      </c>
      <c r="B284" t="s">
        <v>123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123</v>
      </c>
      <c r="C285">
        <v>2025</v>
      </c>
      <c r="D285">
        <v>39</v>
      </c>
      <c r="E285">
        <v>1.1299999999999999</v>
      </c>
      <c r="F285">
        <v>1.1100000000000001</v>
      </c>
      <c r="G285">
        <v>0.18</v>
      </c>
      <c r="H285">
        <v>0.94</v>
      </c>
      <c r="I285">
        <v>2.04</v>
      </c>
      <c r="J285">
        <v>1.04</v>
      </c>
      <c r="K285">
        <v>1.2</v>
      </c>
      <c r="L285" t="s">
        <v>10</v>
      </c>
      <c r="M285" t="s">
        <v>69</v>
      </c>
    </row>
    <row r="286" spans="1:13" x14ac:dyDescent="0.45">
      <c r="A286" t="s">
        <v>9</v>
      </c>
      <c r="B286" t="s">
        <v>123</v>
      </c>
      <c r="C286">
        <v>2030</v>
      </c>
      <c r="D286">
        <v>39</v>
      </c>
      <c r="E286">
        <v>1.26</v>
      </c>
      <c r="F286">
        <v>1.21</v>
      </c>
      <c r="G286">
        <v>0.18</v>
      </c>
      <c r="H286">
        <v>0.99</v>
      </c>
      <c r="I286">
        <v>1.55</v>
      </c>
      <c r="J286">
        <v>1.1000000000000001</v>
      </c>
      <c r="K286">
        <v>1.45</v>
      </c>
      <c r="L286" t="s">
        <v>10</v>
      </c>
      <c r="M286" t="s">
        <v>69</v>
      </c>
    </row>
    <row r="287" spans="1:13" x14ac:dyDescent="0.45">
      <c r="A287" t="s">
        <v>9</v>
      </c>
      <c r="B287" t="s">
        <v>123</v>
      </c>
      <c r="C287">
        <v>2035</v>
      </c>
      <c r="D287">
        <v>39</v>
      </c>
      <c r="E287">
        <v>1.2</v>
      </c>
      <c r="F287">
        <v>1.1599999999999999</v>
      </c>
      <c r="G287">
        <v>0.15</v>
      </c>
      <c r="H287">
        <v>0.99</v>
      </c>
      <c r="I287">
        <v>1.57</v>
      </c>
      <c r="J287">
        <v>1.08</v>
      </c>
      <c r="K287">
        <v>1.25</v>
      </c>
      <c r="L287" t="s">
        <v>10</v>
      </c>
      <c r="M287" t="s">
        <v>69</v>
      </c>
    </row>
    <row r="288" spans="1:13" x14ac:dyDescent="0.45">
      <c r="A288" t="s">
        <v>9</v>
      </c>
      <c r="B288" t="s">
        <v>123</v>
      </c>
      <c r="C288">
        <v>2040</v>
      </c>
      <c r="D288">
        <v>39</v>
      </c>
      <c r="E288">
        <v>1.38</v>
      </c>
      <c r="F288">
        <v>1.36</v>
      </c>
      <c r="G288">
        <v>0.2</v>
      </c>
      <c r="H288">
        <v>1.01</v>
      </c>
      <c r="I288">
        <v>1.69</v>
      </c>
      <c r="J288">
        <v>1.24</v>
      </c>
      <c r="K288">
        <v>1.55</v>
      </c>
      <c r="L288" t="s">
        <v>10</v>
      </c>
      <c r="M288" t="s">
        <v>69</v>
      </c>
    </row>
    <row r="289" spans="1:13" x14ac:dyDescent="0.45">
      <c r="A289" t="s">
        <v>9</v>
      </c>
      <c r="B289" t="s">
        <v>123</v>
      </c>
      <c r="C289">
        <v>2045</v>
      </c>
      <c r="D289">
        <v>39</v>
      </c>
      <c r="E289">
        <v>1.37</v>
      </c>
      <c r="F289">
        <v>1.4</v>
      </c>
      <c r="G289">
        <v>0.17</v>
      </c>
      <c r="H289">
        <v>1.02</v>
      </c>
      <c r="I289">
        <v>1.82</v>
      </c>
      <c r="J289">
        <v>1.3</v>
      </c>
      <c r="K289">
        <v>1.45</v>
      </c>
      <c r="L289" t="s">
        <v>10</v>
      </c>
      <c r="M289" t="s">
        <v>69</v>
      </c>
    </row>
    <row r="290" spans="1:13" x14ac:dyDescent="0.45">
      <c r="A290" t="s">
        <v>9</v>
      </c>
      <c r="B290" t="s">
        <v>123</v>
      </c>
      <c r="C290">
        <v>2050</v>
      </c>
      <c r="D290">
        <v>39</v>
      </c>
      <c r="E290">
        <v>1.42</v>
      </c>
      <c r="F290">
        <v>1.44</v>
      </c>
      <c r="G290">
        <v>0.18</v>
      </c>
      <c r="H290">
        <v>1.05</v>
      </c>
      <c r="I290">
        <v>1.82</v>
      </c>
      <c r="J290">
        <v>1.33</v>
      </c>
      <c r="K290">
        <v>1.51</v>
      </c>
      <c r="L290" t="s">
        <v>10</v>
      </c>
      <c r="M290" t="s">
        <v>69</v>
      </c>
    </row>
    <row r="291" spans="1:13" x14ac:dyDescent="0.45">
      <c r="A291" t="s">
        <v>0</v>
      </c>
      <c r="B291" t="s">
        <v>123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123</v>
      </c>
      <c r="C292">
        <v>2025</v>
      </c>
      <c r="D292">
        <v>50</v>
      </c>
      <c r="E292">
        <v>2.36</v>
      </c>
      <c r="F292">
        <v>2.37</v>
      </c>
      <c r="G292">
        <v>1.03</v>
      </c>
      <c r="H292">
        <v>0</v>
      </c>
      <c r="I292">
        <v>6.42</v>
      </c>
      <c r="J292">
        <v>1.71</v>
      </c>
      <c r="K292">
        <v>2.98</v>
      </c>
      <c r="L292" t="s">
        <v>1</v>
      </c>
      <c r="M292" t="s">
        <v>70</v>
      </c>
    </row>
    <row r="293" spans="1:13" x14ac:dyDescent="0.45">
      <c r="A293" t="s">
        <v>0</v>
      </c>
      <c r="B293" t="s">
        <v>123</v>
      </c>
      <c r="C293">
        <v>2030</v>
      </c>
      <c r="D293">
        <v>50</v>
      </c>
      <c r="E293">
        <v>3.31</v>
      </c>
      <c r="F293">
        <v>3.29</v>
      </c>
      <c r="G293">
        <v>2.06</v>
      </c>
      <c r="H293">
        <v>0</v>
      </c>
      <c r="I293">
        <v>10.89</v>
      </c>
      <c r="J293">
        <v>2.06</v>
      </c>
      <c r="K293">
        <v>4.4000000000000004</v>
      </c>
      <c r="L293" t="s">
        <v>1</v>
      </c>
      <c r="M293" t="s">
        <v>70</v>
      </c>
    </row>
    <row r="294" spans="1:13" x14ac:dyDescent="0.45">
      <c r="A294" t="s">
        <v>0</v>
      </c>
      <c r="B294" t="s">
        <v>123</v>
      </c>
      <c r="C294">
        <v>2035</v>
      </c>
      <c r="D294">
        <v>50</v>
      </c>
      <c r="E294">
        <v>3.68</v>
      </c>
      <c r="F294">
        <v>3.77</v>
      </c>
      <c r="G294">
        <v>2.23</v>
      </c>
      <c r="H294">
        <v>0</v>
      </c>
      <c r="I294">
        <v>11.3</v>
      </c>
      <c r="J294">
        <v>2.19</v>
      </c>
      <c r="K294">
        <v>4.7699999999999996</v>
      </c>
      <c r="L294" t="s">
        <v>1</v>
      </c>
      <c r="M294" t="s">
        <v>70</v>
      </c>
    </row>
    <row r="295" spans="1:13" x14ac:dyDescent="0.45">
      <c r="A295" t="s">
        <v>0</v>
      </c>
      <c r="B295" t="s">
        <v>123</v>
      </c>
      <c r="C295">
        <v>2040</v>
      </c>
      <c r="D295">
        <v>50</v>
      </c>
      <c r="E295">
        <v>4.74</v>
      </c>
      <c r="F295">
        <v>5.03</v>
      </c>
      <c r="G295">
        <v>2.58</v>
      </c>
      <c r="H295">
        <v>-0.45</v>
      </c>
      <c r="I295">
        <v>13.07</v>
      </c>
      <c r="J295">
        <v>3</v>
      </c>
      <c r="K295">
        <v>6.25</v>
      </c>
      <c r="L295" t="s">
        <v>1</v>
      </c>
      <c r="M295" t="s">
        <v>70</v>
      </c>
    </row>
    <row r="296" spans="1:13" x14ac:dyDescent="0.45">
      <c r="A296" t="s">
        <v>0</v>
      </c>
      <c r="B296" t="s">
        <v>123</v>
      </c>
      <c r="C296">
        <v>2045</v>
      </c>
      <c r="D296">
        <v>50</v>
      </c>
      <c r="E296">
        <v>5.42</v>
      </c>
      <c r="F296">
        <v>6.05</v>
      </c>
      <c r="G296">
        <v>3.2</v>
      </c>
      <c r="H296">
        <v>-0.1</v>
      </c>
      <c r="I296">
        <v>10.42</v>
      </c>
      <c r="J296">
        <v>3.34</v>
      </c>
      <c r="K296">
        <v>7.43</v>
      </c>
      <c r="L296" t="s">
        <v>1</v>
      </c>
      <c r="M296" t="s">
        <v>70</v>
      </c>
    </row>
    <row r="297" spans="1:13" x14ac:dyDescent="0.45">
      <c r="A297" t="s">
        <v>0</v>
      </c>
      <c r="B297" t="s">
        <v>123</v>
      </c>
      <c r="C297">
        <v>2050</v>
      </c>
      <c r="D297">
        <v>50</v>
      </c>
      <c r="E297">
        <v>6.11</v>
      </c>
      <c r="F297">
        <v>6.72</v>
      </c>
      <c r="G297">
        <v>3.76</v>
      </c>
      <c r="H297">
        <v>-0.59</v>
      </c>
      <c r="I297">
        <v>13.46</v>
      </c>
      <c r="J297">
        <v>3.59</v>
      </c>
      <c r="K297">
        <v>9.06</v>
      </c>
      <c r="L297" t="s">
        <v>1</v>
      </c>
      <c r="M297" t="s">
        <v>70</v>
      </c>
    </row>
    <row r="298" spans="1:13" x14ac:dyDescent="0.45">
      <c r="A298" t="s">
        <v>2</v>
      </c>
      <c r="B298" t="s">
        <v>123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123</v>
      </c>
      <c r="C299">
        <v>2025</v>
      </c>
      <c r="D299">
        <v>52</v>
      </c>
      <c r="E299">
        <v>1.76</v>
      </c>
      <c r="F299">
        <v>1.52</v>
      </c>
      <c r="G299">
        <v>0.67</v>
      </c>
      <c r="H299">
        <v>0.84</v>
      </c>
      <c r="I299">
        <v>3.31</v>
      </c>
      <c r="J299">
        <v>1.22</v>
      </c>
      <c r="K299">
        <v>2.33</v>
      </c>
      <c r="L299" t="s">
        <v>3</v>
      </c>
      <c r="M299" t="s">
        <v>70</v>
      </c>
    </row>
    <row r="300" spans="1:13" x14ac:dyDescent="0.45">
      <c r="A300" t="s">
        <v>2</v>
      </c>
      <c r="B300" t="s">
        <v>123</v>
      </c>
      <c r="C300">
        <v>2030</v>
      </c>
      <c r="D300">
        <v>63</v>
      </c>
      <c r="E300">
        <v>2.25</v>
      </c>
      <c r="F300">
        <v>1.56</v>
      </c>
      <c r="G300">
        <v>1.48</v>
      </c>
      <c r="H300">
        <v>0.77</v>
      </c>
      <c r="I300">
        <v>7.31</v>
      </c>
      <c r="J300">
        <v>1.22</v>
      </c>
      <c r="K300">
        <v>2.97</v>
      </c>
      <c r="L300" t="s">
        <v>3</v>
      </c>
      <c r="M300" t="s">
        <v>70</v>
      </c>
    </row>
    <row r="301" spans="1:13" x14ac:dyDescent="0.45">
      <c r="A301" t="s">
        <v>2</v>
      </c>
      <c r="B301" t="s">
        <v>123</v>
      </c>
      <c r="C301">
        <v>2035</v>
      </c>
      <c r="D301">
        <v>52</v>
      </c>
      <c r="E301">
        <v>3.34</v>
      </c>
      <c r="F301">
        <v>2.0699999999999998</v>
      </c>
      <c r="G301">
        <v>4.8600000000000003</v>
      </c>
      <c r="H301">
        <v>0.82</v>
      </c>
      <c r="I301">
        <v>27.06</v>
      </c>
      <c r="J301">
        <v>1.39</v>
      </c>
      <c r="K301">
        <v>3.72</v>
      </c>
      <c r="L301" t="s">
        <v>3</v>
      </c>
      <c r="M301" t="s">
        <v>70</v>
      </c>
    </row>
    <row r="302" spans="1:13" x14ac:dyDescent="0.45">
      <c r="A302" t="s">
        <v>2</v>
      </c>
      <c r="B302" t="s">
        <v>123</v>
      </c>
      <c r="C302">
        <v>2040</v>
      </c>
      <c r="D302">
        <v>63</v>
      </c>
      <c r="E302">
        <v>4.5</v>
      </c>
      <c r="F302">
        <v>2.76</v>
      </c>
      <c r="G302">
        <v>5.69</v>
      </c>
      <c r="H302">
        <v>0.17</v>
      </c>
      <c r="I302">
        <v>33.44</v>
      </c>
      <c r="J302">
        <v>1.65</v>
      </c>
      <c r="K302">
        <v>5.24</v>
      </c>
      <c r="L302" t="s">
        <v>3</v>
      </c>
      <c r="M302" t="s">
        <v>70</v>
      </c>
    </row>
    <row r="303" spans="1:13" x14ac:dyDescent="0.45">
      <c r="A303" t="s">
        <v>2</v>
      </c>
      <c r="B303" t="s">
        <v>123</v>
      </c>
      <c r="C303">
        <v>2045</v>
      </c>
      <c r="D303">
        <v>52</v>
      </c>
      <c r="E303">
        <v>3.81</v>
      </c>
      <c r="F303">
        <v>2.83</v>
      </c>
      <c r="G303">
        <v>3.36</v>
      </c>
      <c r="H303">
        <v>0.15</v>
      </c>
      <c r="I303">
        <v>17.12</v>
      </c>
      <c r="J303">
        <v>1.62</v>
      </c>
      <c r="K303">
        <v>5.29</v>
      </c>
      <c r="L303" t="s">
        <v>3</v>
      </c>
      <c r="M303" t="s">
        <v>70</v>
      </c>
    </row>
    <row r="304" spans="1:13" x14ac:dyDescent="0.45">
      <c r="A304" t="s">
        <v>2</v>
      </c>
      <c r="B304" t="s">
        <v>123</v>
      </c>
      <c r="C304">
        <v>2050</v>
      </c>
      <c r="D304">
        <v>63</v>
      </c>
      <c r="E304">
        <v>3.87</v>
      </c>
      <c r="F304">
        <v>1.9</v>
      </c>
      <c r="G304">
        <v>3.5</v>
      </c>
      <c r="H304">
        <v>-0.6</v>
      </c>
      <c r="I304">
        <v>13.46</v>
      </c>
      <c r="J304">
        <v>1.36</v>
      </c>
      <c r="K304">
        <v>6.5</v>
      </c>
      <c r="L304" t="s">
        <v>3</v>
      </c>
      <c r="M304" t="s">
        <v>70</v>
      </c>
    </row>
    <row r="305" spans="1:13" x14ac:dyDescent="0.45">
      <c r="A305" t="s">
        <v>5</v>
      </c>
      <c r="B305" t="s">
        <v>123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123</v>
      </c>
      <c r="C306">
        <v>2025</v>
      </c>
      <c r="D306">
        <v>160</v>
      </c>
      <c r="E306">
        <v>1.75</v>
      </c>
      <c r="F306">
        <v>1.56</v>
      </c>
      <c r="G306">
        <v>0.61</v>
      </c>
      <c r="H306">
        <v>0</v>
      </c>
      <c r="I306">
        <v>3.37</v>
      </c>
      <c r="J306">
        <v>1.2</v>
      </c>
      <c r="K306">
        <v>2.33</v>
      </c>
      <c r="L306" t="s">
        <v>6</v>
      </c>
      <c r="M306" t="s">
        <v>70</v>
      </c>
    </row>
    <row r="307" spans="1:13" x14ac:dyDescent="0.45">
      <c r="A307" t="s">
        <v>5</v>
      </c>
      <c r="B307" t="s">
        <v>123</v>
      </c>
      <c r="C307">
        <v>2030</v>
      </c>
      <c r="D307">
        <v>163</v>
      </c>
      <c r="E307">
        <v>2.1</v>
      </c>
      <c r="F307">
        <v>1.72</v>
      </c>
      <c r="G307">
        <v>1.01</v>
      </c>
      <c r="H307">
        <v>0</v>
      </c>
      <c r="I307">
        <v>4.49</v>
      </c>
      <c r="J307">
        <v>1.25</v>
      </c>
      <c r="K307">
        <v>2.97</v>
      </c>
      <c r="L307" t="s">
        <v>6</v>
      </c>
      <c r="M307" t="s">
        <v>70</v>
      </c>
    </row>
    <row r="308" spans="1:13" x14ac:dyDescent="0.45">
      <c r="A308" t="s">
        <v>5</v>
      </c>
      <c r="B308" t="s">
        <v>123</v>
      </c>
      <c r="C308">
        <v>2035</v>
      </c>
      <c r="D308">
        <v>160</v>
      </c>
      <c r="E308">
        <v>2.36</v>
      </c>
      <c r="F308">
        <v>2.2000000000000002</v>
      </c>
      <c r="G308">
        <v>1.21</v>
      </c>
      <c r="H308">
        <v>0</v>
      </c>
      <c r="I308">
        <v>12.48</v>
      </c>
      <c r="J308">
        <v>1.62</v>
      </c>
      <c r="K308">
        <v>2.9</v>
      </c>
      <c r="L308" t="s">
        <v>6</v>
      </c>
      <c r="M308" t="s">
        <v>70</v>
      </c>
    </row>
    <row r="309" spans="1:13" x14ac:dyDescent="0.45">
      <c r="A309" t="s">
        <v>5</v>
      </c>
      <c r="B309" t="s">
        <v>123</v>
      </c>
      <c r="C309">
        <v>2040</v>
      </c>
      <c r="D309">
        <v>163</v>
      </c>
      <c r="E309">
        <v>2.88</v>
      </c>
      <c r="F309">
        <v>2.63</v>
      </c>
      <c r="G309">
        <v>1.57</v>
      </c>
      <c r="H309">
        <v>0</v>
      </c>
      <c r="I309">
        <v>15.35</v>
      </c>
      <c r="J309">
        <v>1.75</v>
      </c>
      <c r="K309">
        <v>3.83</v>
      </c>
      <c r="L309" t="s">
        <v>6</v>
      </c>
      <c r="M309" t="s">
        <v>70</v>
      </c>
    </row>
    <row r="310" spans="1:13" x14ac:dyDescent="0.45">
      <c r="A310" t="s">
        <v>5</v>
      </c>
      <c r="B310" t="s">
        <v>123</v>
      </c>
      <c r="C310">
        <v>2045</v>
      </c>
      <c r="D310">
        <v>160</v>
      </c>
      <c r="E310">
        <v>3.33</v>
      </c>
      <c r="F310">
        <v>3.12</v>
      </c>
      <c r="G310">
        <v>1.67</v>
      </c>
      <c r="H310">
        <v>0</v>
      </c>
      <c r="I310">
        <v>14.5</v>
      </c>
      <c r="J310">
        <v>2.2000000000000002</v>
      </c>
      <c r="K310">
        <v>4.47</v>
      </c>
      <c r="L310" t="s">
        <v>6</v>
      </c>
      <c r="M310" t="s">
        <v>70</v>
      </c>
    </row>
    <row r="311" spans="1:13" x14ac:dyDescent="0.45">
      <c r="A311" t="s">
        <v>5</v>
      </c>
      <c r="B311" t="s">
        <v>123</v>
      </c>
      <c r="C311">
        <v>2050</v>
      </c>
      <c r="D311">
        <v>163</v>
      </c>
      <c r="E311">
        <v>3.55</v>
      </c>
      <c r="F311">
        <v>3.13</v>
      </c>
      <c r="G311">
        <v>1.9</v>
      </c>
      <c r="H311">
        <v>-0.12</v>
      </c>
      <c r="I311">
        <v>10.67</v>
      </c>
      <c r="J311">
        <v>1.85</v>
      </c>
      <c r="K311">
        <v>5.29</v>
      </c>
      <c r="L311" t="s">
        <v>6</v>
      </c>
      <c r="M311" t="s">
        <v>70</v>
      </c>
    </row>
    <row r="312" spans="1:13" x14ac:dyDescent="0.45">
      <c r="A312" t="s">
        <v>7</v>
      </c>
      <c r="B312" t="s">
        <v>123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123</v>
      </c>
      <c r="C313">
        <v>2025</v>
      </c>
      <c r="D313">
        <v>51</v>
      </c>
      <c r="E313">
        <v>1.31</v>
      </c>
      <c r="F313">
        <v>1.29</v>
      </c>
      <c r="G313">
        <v>0.17</v>
      </c>
      <c r="H313">
        <v>1.01</v>
      </c>
      <c r="I313">
        <v>1.56</v>
      </c>
      <c r="J313">
        <v>1.1100000000000001</v>
      </c>
      <c r="K313">
        <v>1.46</v>
      </c>
      <c r="L313" t="s">
        <v>8</v>
      </c>
      <c r="M313" t="s">
        <v>70</v>
      </c>
    </row>
    <row r="314" spans="1:13" x14ac:dyDescent="0.45">
      <c r="A314" t="s">
        <v>7</v>
      </c>
      <c r="B314" t="s">
        <v>123</v>
      </c>
      <c r="C314">
        <v>2030</v>
      </c>
      <c r="D314">
        <v>51</v>
      </c>
      <c r="E314">
        <v>1.35</v>
      </c>
      <c r="F314">
        <v>1.3</v>
      </c>
      <c r="G314">
        <v>0.18</v>
      </c>
      <c r="H314">
        <v>1</v>
      </c>
      <c r="I314">
        <v>1.64</v>
      </c>
      <c r="J314">
        <v>1.19</v>
      </c>
      <c r="K314">
        <v>1.54</v>
      </c>
      <c r="L314" t="s">
        <v>8</v>
      </c>
      <c r="M314" t="s">
        <v>70</v>
      </c>
    </row>
    <row r="315" spans="1:13" x14ac:dyDescent="0.45">
      <c r="A315" t="s">
        <v>7</v>
      </c>
      <c r="B315" t="s">
        <v>123</v>
      </c>
      <c r="C315">
        <v>2035</v>
      </c>
      <c r="D315">
        <v>51</v>
      </c>
      <c r="E315">
        <v>1.56</v>
      </c>
      <c r="F315">
        <v>1.57</v>
      </c>
      <c r="G315">
        <v>0.16</v>
      </c>
      <c r="H315">
        <v>1.01</v>
      </c>
      <c r="I315">
        <v>1.92</v>
      </c>
      <c r="J315">
        <v>1.44</v>
      </c>
      <c r="K315">
        <v>1.66</v>
      </c>
      <c r="L315" t="s">
        <v>8</v>
      </c>
      <c r="M315" t="s">
        <v>70</v>
      </c>
    </row>
    <row r="316" spans="1:13" x14ac:dyDescent="0.45">
      <c r="A316" t="s">
        <v>7</v>
      </c>
      <c r="B316" t="s">
        <v>123</v>
      </c>
      <c r="C316">
        <v>2040</v>
      </c>
      <c r="D316">
        <v>51</v>
      </c>
      <c r="E316">
        <v>1.7</v>
      </c>
      <c r="F316">
        <v>1.71</v>
      </c>
      <c r="G316">
        <v>0.28000000000000003</v>
      </c>
      <c r="H316">
        <v>0.99</v>
      </c>
      <c r="I316">
        <v>2.74</v>
      </c>
      <c r="J316">
        <v>1.51</v>
      </c>
      <c r="K316">
        <v>1.84</v>
      </c>
      <c r="L316" t="s">
        <v>8</v>
      </c>
      <c r="M316" t="s">
        <v>70</v>
      </c>
    </row>
    <row r="317" spans="1:13" x14ac:dyDescent="0.45">
      <c r="A317" t="s">
        <v>7</v>
      </c>
      <c r="B317" t="s">
        <v>123</v>
      </c>
      <c r="C317">
        <v>2045</v>
      </c>
      <c r="D317">
        <v>51</v>
      </c>
      <c r="E317">
        <v>1.99</v>
      </c>
      <c r="F317">
        <v>1.99</v>
      </c>
      <c r="G317">
        <v>0.33</v>
      </c>
      <c r="H317">
        <v>0.99</v>
      </c>
      <c r="I317">
        <v>3.11</v>
      </c>
      <c r="J317">
        <v>1.85</v>
      </c>
      <c r="K317">
        <v>2.16</v>
      </c>
      <c r="L317" t="s">
        <v>8</v>
      </c>
      <c r="M317" t="s">
        <v>70</v>
      </c>
    </row>
    <row r="318" spans="1:13" x14ac:dyDescent="0.45">
      <c r="A318" t="s">
        <v>7</v>
      </c>
      <c r="B318" t="s">
        <v>123</v>
      </c>
      <c r="C318">
        <v>2050</v>
      </c>
      <c r="D318">
        <v>51</v>
      </c>
      <c r="E318">
        <v>2.12</v>
      </c>
      <c r="F318">
        <v>2.13</v>
      </c>
      <c r="G318">
        <v>0.37</v>
      </c>
      <c r="H318">
        <v>0.92</v>
      </c>
      <c r="I318">
        <v>3.42</v>
      </c>
      <c r="J318">
        <v>1.94</v>
      </c>
      <c r="K318">
        <v>2.2799999999999998</v>
      </c>
      <c r="L318" t="s">
        <v>8</v>
      </c>
      <c r="M318" t="s">
        <v>70</v>
      </c>
    </row>
    <row r="319" spans="1:13" x14ac:dyDescent="0.45">
      <c r="A319" t="s">
        <v>9</v>
      </c>
      <c r="B319" t="s">
        <v>123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123</v>
      </c>
      <c r="C320">
        <v>2025</v>
      </c>
      <c r="D320">
        <v>40</v>
      </c>
      <c r="E320">
        <v>1.55</v>
      </c>
      <c r="F320">
        <v>1.43</v>
      </c>
      <c r="G320">
        <v>0.54</v>
      </c>
      <c r="H320">
        <v>0.78</v>
      </c>
      <c r="I320">
        <v>2.58</v>
      </c>
      <c r="J320">
        <v>1.08</v>
      </c>
      <c r="K320">
        <v>2.1800000000000002</v>
      </c>
      <c r="L320" t="s">
        <v>10</v>
      </c>
      <c r="M320" t="s">
        <v>70</v>
      </c>
    </row>
    <row r="321" spans="1:13" x14ac:dyDescent="0.45">
      <c r="A321" t="s">
        <v>9</v>
      </c>
      <c r="B321" t="s">
        <v>123</v>
      </c>
      <c r="C321">
        <v>2030</v>
      </c>
      <c r="D321">
        <v>40</v>
      </c>
      <c r="E321">
        <v>1.78</v>
      </c>
      <c r="F321">
        <v>1.58</v>
      </c>
      <c r="G321">
        <v>0.8</v>
      </c>
      <c r="H321">
        <v>0.71</v>
      </c>
      <c r="I321">
        <v>3.51</v>
      </c>
      <c r="J321">
        <v>1.1399999999999999</v>
      </c>
      <c r="K321">
        <v>2.74</v>
      </c>
      <c r="L321" t="s">
        <v>10</v>
      </c>
      <c r="M321" t="s">
        <v>70</v>
      </c>
    </row>
    <row r="322" spans="1:13" x14ac:dyDescent="0.45">
      <c r="A322" t="s">
        <v>9</v>
      </c>
      <c r="B322" t="s">
        <v>123</v>
      </c>
      <c r="C322">
        <v>2035</v>
      </c>
      <c r="D322">
        <v>40</v>
      </c>
      <c r="E322">
        <v>1.59</v>
      </c>
      <c r="F322">
        <v>1.53</v>
      </c>
      <c r="G322">
        <v>0.49</v>
      </c>
      <c r="H322">
        <v>0.96</v>
      </c>
      <c r="I322">
        <v>2.5299999999999998</v>
      </c>
      <c r="J322">
        <v>1.2</v>
      </c>
      <c r="K322">
        <v>2.08</v>
      </c>
      <c r="L322" t="s">
        <v>10</v>
      </c>
      <c r="M322" t="s">
        <v>70</v>
      </c>
    </row>
    <row r="323" spans="1:13" x14ac:dyDescent="0.45">
      <c r="A323" t="s">
        <v>9</v>
      </c>
      <c r="B323" t="s">
        <v>123</v>
      </c>
      <c r="C323">
        <v>2040</v>
      </c>
      <c r="D323">
        <v>40</v>
      </c>
      <c r="E323">
        <v>1.86</v>
      </c>
      <c r="F323">
        <v>1.74</v>
      </c>
      <c r="G323">
        <v>0.78</v>
      </c>
      <c r="H323">
        <v>0.79</v>
      </c>
      <c r="I323">
        <v>3.55</v>
      </c>
      <c r="J323">
        <v>1.27</v>
      </c>
      <c r="K323">
        <v>2.71</v>
      </c>
      <c r="L323" t="s">
        <v>10</v>
      </c>
      <c r="M323" t="s">
        <v>70</v>
      </c>
    </row>
    <row r="324" spans="1:13" x14ac:dyDescent="0.45">
      <c r="A324" t="s">
        <v>9</v>
      </c>
      <c r="B324" t="s">
        <v>123</v>
      </c>
      <c r="C324">
        <v>2045</v>
      </c>
      <c r="D324">
        <v>40</v>
      </c>
      <c r="E324">
        <v>1.99</v>
      </c>
      <c r="F324">
        <v>1.94</v>
      </c>
      <c r="G324">
        <v>0.86</v>
      </c>
      <c r="H324">
        <v>0.97</v>
      </c>
      <c r="I324">
        <v>3.71</v>
      </c>
      <c r="J324">
        <v>1.3</v>
      </c>
      <c r="K324">
        <v>3</v>
      </c>
      <c r="L324" t="s">
        <v>10</v>
      </c>
      <c r="M324" t="s">
        <v>70</v>
      </c>
    </row>
    <row r="325" spans="1:13" x14ac:dyDescent="0.45">
      <c r="A325" t="s">
        <v>9</v>
      </c>
      <c r="B325" t="s">
        <v>123</v>
      </c>
      <c r="C325">
        <v>2050</v>
      </c>
      <c r="D325">
        <v>40</v>
      </c>
      <c r="E325">
        <v>2.2599999999999998</v>
      </c>
      <c r="F325">
        <v>2.2000000000000002</v>
      </c>
      <c r="G325">
        <v>1.08</v>
      </c>
      <c r="H325">
        <v>0.98</v>
      </c>
      <c r="I325">
        <v>4.5599999999999996</v>
      </c>
      <c r="J325">
        <v>1.32</v>
      </c>
      <c r="K325">
        <v>3.41</v>
      </c>
      <c r="L325" t="s">
        <v>10</v>
      </c>
      <c r="M325" t="s">
        <v>70</v>
      </c>
    </row>
    <row r="326" spans="1:13" x14ac:dyDescent="0.45">
      <c r="A326" t="s">
        <v>0</v>
      </c>
      <c r="B326" t="s">
        <v>123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123</v>
      </c>
      <c r="C327">
        <v>2025</v>
      </c>
      <c r="D327">
        <v>20</v>
      </c>
      <c r="E327">
        <v>7</v>
      </c>
      <c r="F327">
        <v>5.18</v>
      </c>
      <c r="G327">
        <v>4.6399999999999997</v>
      </c>
      <c r="H327">
        <v>0</v>
      </c>
      <c r="I327">
        <v>21.59</v>
      </c>
      <c r="J327">
        <v>4.9400000000000004</v>
      </c>
      <c r="K327">
        <v>8.6199999999999992</v>
      </c>
      <c r="L327" t="s">
        <v>1</v>
      </c>
      <c r="M327" t="s">
        <v>71</v>
      </c>
    </row>
    <row r="328" spans="1:13" x14ac:dyDescent="0.45">
      <c r="A328" t="s">
        <v>0</v>
      </c>
      <c r="B328" t="s">
        <v>123</v>
      </c>
      <c r="C328">
        <v>2030</v>
      </c>
      <c r="D328">
        <v>20</v>
      </c>
      <c r="E328">
        <v>10.56</v>
      </c>
      <c r="F328">
        <v>7.86</v>
      </c>
      <c r="G328">
        <v>7.93</v>
      </c>
      <c r="H328">
        <v>0</v>
      </c>
      <c r="I328">
        <v>34.33</v>
      </c>
      <c r="J328">
        <v>6.34</v>
      </c>
      <c r="K328">
        <v>13.59</v>
      </c>
      <c r="L328" t="s">
        <v>1</v>
      </c>
      <c r="M328" t="s">
        <v>71</v>
      </c>
    </row>
    <row r="329" spans="1:13" x14ac:dyDescent="0.45">
      <c r="A329" t="s">
        <v>0</v>
      </c>
      <c r="B329" t="s">
        <v>123</v>
      </c>
      <c r="C329">
        <v>2035</v>
      </c>
      <c r="D329">
        <v>20</v>
      </c>
      <c r="E329">
        <v>13.65</v>
      </c>
      <c r="F329">
        <v>14.58</v>
      </c>
      <c r="G329">
        <v>9.81</v>
      </c>
      <c r="H329">
        <v>0</v>
      </c>
      <c r="I329">
        <v>41.96</v>
      </c>
      <c r="J329">
        <v>6.9</v>
      </c>
      <c r="K329">
        <v>15.21</v>
      </c>
      <c r="L329" t="s">
        <v>1</v>
      </c>
      <c r="M329" t="s">
        <v>71</v>
      </c>
    </row>
    <row r="330" spans="1:13" x14ac:dyDescent="0.45">
      <c r="A330" t="s">
        <v>0</v>
      </c>
      <c r="B330" t="s">
        <v>123</v>
      </c>
      <c r="C330">
        <v>2040</v>
      </c>
      <c r="D330">
        <v>20</v>
      </c>
      <c r="E330">
        <v>17.12</v>
      </c>
      <c r="F330">
        <v>20.22</v>
      </c>
      <c r="G330">
        <v>12.45</v>
      </c>
      <c r="H330">
        <v>0</v>
      </c>
      <c r="I330">
        <v>49.9</v>
      </c>
      <c r="J330">
        <v>6.08</v>
      </c>
      <c r="K330">
        <v>20.46</v>
      </c>
      <c r="L330" t="s">
        <v>1</v>
      </c>
      <c r="M330" t="s">
        <v>71</v>
      </c>
    </row>
    <row r="331" spans="1:13" x14ac:dyDescent="0.45">
      <c r="A331" t="s">
        <v>0</v>
      </c>
      <c r="B331" t="s">
        <v>123</v>
      </c>
      <c r="C331">
        <v>2045</v>
      </c>
      <c r="D331">
        <v>20</v>
      </c>
      <c r="E331">
        <v>20.11</v>
      </c>
      <c r="F331">
        <v>25.33</v>
      </c>
      <c r="G331">
        <v>15.69</v>
      </c>
      <c r="H331">
        <v>0</v>
      </c>
      <c r="I331">
        <v>60.92</v>
      </c>
      <c r="J331">
        <v>5.27</v>
      </c>
      <c r="K331">
        <v>25.4</v>
      </c>
      <c r="L331" t="s">
        <v>1</v>
      </c>
      <c r="M331" t="s">
        <v>71</v>
      </c>
    </row>
    <row r="332" spans="1:13" x14ac:dyDescent="0.45">
      <c r="A332" t="s">
        <v>0</v>
      </c>
      <c r="B332" t="s">
        <v>123</v>
      </c>
      <c r="C332">
        <v>2050</v>
      </c>
      <c r="D332">
        <v>20</v>
      </c>
      <c r="E332">
        <v>22.31</v>
      </c>
      <c r="F332">
        <v>27.99</v>
      </c>
      <c r="G332">
        <v>17.39</v>
      </c>
      <c r="H332">
        <v>0</v>
      </c>
      <c r="I332">
        <v>65.709999999999994</v>
      </c>
      <c r="J332">
        <v>5.44</v>
      </c>
      <c r="K332">
        <v>29.49</v>
      </c>
      <c r="L332" t="s">
        <v>1</v>
      </c>
      <c r="M332" t="s">
        <v>71</v>
      </c>
    </row>
    <row r="333" spans="1:13" x14ac:dyDescent="0.45">
      <c r="A333" t="s">
        <v>2</v>
      </c>
      <c r="B333" t="s">
        <v>123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123</v>
      </c>
      <c r="C334">
        <v>2025</v>
      </c>
      <c r="D334">
        <v>17</v>
      </c>
      <c r="E334">
        <v>2.06</v>
      </c>
      <c r="F334">
        <v>1.0900000000000001</v>
      </c>
      <c r="G334">
        <v>1.57</v>
      </c>
      <c r="H334">
        <v>0.79</v>
      </c>
      <c r="I334">
        <v>5.69</v>
      </c>
      <c r="J334">
        <v>0.81</v>
      </c>
      <c r="K334">
        <v>2.6</v>
      </c>
      <c r="L334" t="s">
        <v>3</v>
      </c>
      <c r="M334" t="s">
        <v>71</v>
      </c>
    </row>
    <row r="335" spans="1:13" x14ac:dyDescent="0.45">
      <c r="A335" t="s">
        <v>2</v>
      </c>
      <c r="B335" t="s">
        <v>123</v>
      </c>
      <c r="C335">
        <v>2030</v>
      </c>
      <c r="D335">
        <v>17</v>
      </c>
      <c r="E335">
        <v>2.4900000000000002</v>
      </c>
      <c r="F335">
        <v>1.59</v>
      </c>
      <c r="G335">
        <v>1.3</v>
      </c>
      <c r="H335">
        <v>1.27</v>
      </c>
      <c r="I335">
        <v>4.63</v>
      </c>
      <c r="J335">
        <v>1.28</v>
      </c>
      <c r="K335">
        <v>3.2</v>
      </c>
      <c r="L335" t="s">
        <v>3</v>
      </c>
      <c r="M335" t="s">
        <v>71</v>
      </c>
    </row>
    <row r="336" spans="1:13" x14ac:dyDescent="0.45">
      <c r="A336" t="s">
        <v>2</v>
      </c>
      <c r="B336" t="s">
        <v>123</v>
      </c>
      <c r="C336">
        <v>2035</v>
      </c>
      <c r="D336">
        <v>17</v>
      </c>
      <c r="E336">
        <v>4.99</v>
      </c>
      <c r="F336">
        <v>4</v>
      </c>
      <c r="G336">
        <v>2.37</v>
      </c>
      <c r="H336">
        <v>3.31</v>
      </c>
      <c r="I336">
        <v>11.1</v>
      </c>
      <c r="J336">
        <v>3.48</v>
      </c>
      <c r="K336">
        <v>5.42</v>
      </c>
      <c r="L336" t="s">
        <v>3</v>
      </c>
      <c r="M336" t="s">
        <v>71</v>
      </c>
    </row>
    <row r="337" spans="1:13" x14ac:dyDescent="0.45">
      <c r="A337" t="s">
        <v>2</v>
      </c>
      <c r="B337" t="s">
        <v>123</v>
      </c>
      <c r="C337">
        <v>2040</v>
      </c>
      <c r="D337">
        <v>17</v>
      </c>
      <c r="E337">
        <v>8.17</v>
      </c>
      <c r="F337">
        <v>5.17</v>
      </c>
      <c r="G337">
        <v>6.6</v>
      </c>
      <c r="H337">
        <v>4.1399999999999997</v>
      </c>
      <c r="I337">
        <v>28.78</v>
      </c>
      <c r="J337">
        <v>4.92</v>
      </c>
      <c r="K337">
        <v>6.27</v>
      </c>
      <c r="L337" t="s">
        <v>3</v>
      </c>
      <c r="M337" t="s">
        <v>71</v>
      </c>
    </row>
    <row r="338" spans="1:13" x14ac:dyDescent="0.45">
      <c r="A338" t="s">
        <v>2</v>
      </c>
      <c r="B338" t="s">
        <v>123</v>
      </c>
      <c r="C338">
        <v>2045</v>
      </c>
      <c r="D338">
        <v>17</v>
      </c>
      <c r="E338">
        <v>7.36</v>
      </c>
      <c r="F338">
        <v>5.28</v>
      </c>
      <c r="G338">
        <v>5.26</v>
      </c>
      <c r="H338">
        <v>3.93</v>
      </c>
      <c r="I338">
        <v>24.7</v>
      </c>
      <c r="J338">
        <v>4.88</v>
      </c>
      <c r="K338">
        <v>5.79</v>
      </c>
      <c r="L338" t="s">
        <v>3</v>
      </c>
      <c r="M338" t="s">
        <v>71</v>
      </c>
    </row>
    <row r="339" spans="1:13" x14ac:dyDescent="0.45">
      <c r="A339" t="s">
        <v>2</v>
      </c>
      <c r="B339" t="s">
        <v>123</v>
      </c>
      <c r="C339">
        <v>2050</v>
      </c>
      <c r="D339">
        <v>17</v>
      </c>
      <c r="E339">
        <v>5.43</v>
      </c>
      <c r="F339">
        <v>5.13</v>
      </c>
      <c r="G339">
        <v>1.0900000000000001</v>
      </c>
      <c r="H339">
        <v>4.33</v>
      </c>
      <c r="I339">
        <v>8.52</v>
      </c>
      <c r="J339">
        <v>4.68</v>
      </c>
      <c r="K339">
        <v>5.92</v>
      </c>
      <c r="L339" t="s">
        <v>3</v>
      </c>
      <c r="M339" t="s">
        <v>71</v>
      </c>
    </row>
    <row r="340" spans="1:13" x14ac:dyDescent="0.45">
      <c r="A340" t="s">
        <v>5</v>
      </c>
      <c r="B340" t="s">
        <v>123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123</v>
      </c>
      <c r="C341">
        <v>2025</v>
      </c>
      <c r="D341">
        <v>69</v>
      </c>
      <c r="E341">
        <v>2.54</v>
      </c>
      <c r="F341">
        <v>1.54</v>
      </c>
      <c r="G341">
        <v>2.2599999999999998</v>
      </c>
      <c r="H341">
        <v>0.79</v>
      </c>
      <c r="I341">
        <v>10.56</v>
      </c>
      <c r="J341">
        <v>1.06</v>
      </c>
      <c r="K341">
        <v>2.85</v>
      </c>
      <c r="L341" t="s">
        <v>6</v>
      </c>
      <c r="M341" t="s">
        <v>71</v>
      </c>
    </row>
    <row r="342" spans="1:13" x14ac:dyDescent="0.45">
      <c r="A342" t="s">
        <v>5</v>
      </c>
      <c r="B342" t="s">
        <v>123</v>
      </c>
      <c r="C342">
        <v>2030</v>
      </c>
      <c r="D342">
        <v>69</v>
      </c>
      <c r="E342">
        <v>3.47</v>
      </c>
      <c r="F342">
        <v>1.59</v>
      </c>
      <c r="G342">
        <v>3.56</v>
      </c>
      <c r="H342">
        <v>1.1100000000000001</v>
      </c>
      <c r="I342">
        <v>16.579999999999998</v>
      </c>
      <c r="J342">
        <v>1.27</v>
      </c>
      <c r="K342">
        <v>3.82</v>
      </c>
      <c r="L342" t="s">
        <v>6</v>
      </c>
      <c r="M342" t="s">
        <v>71</v>
      </c>
    </row>
    <row r="343" spans="1:13" x14ac:dyDescent="0.45">
      <c r="A343" t="s">
        <v>5</v>
      </c>
      <c r="B343" t="s">
        <v>123</v>
      </c>
      <c r="C343">
        <v>2035</v>
      </c>
      <c r="D343">
        <v>69</v>
      </c>
      <c r="E343">
        <v>7.26</v>
      </c>
      <c r="F343">
        <v>4.45</v>
      </c>
      <c r="G343">
        <v>4.84</v>
      </c>
      <c r="H343">
        <v>2.37</v>
      </c>
      <c r="I343">
        <v>21.77</v>
      </c>
      <c r="J343">
        <v>3.17</v>
      </c>
      <c r="K343">
        <v>11.02</v>
      </c>
      <c r="L343" t="s">
        <v>6</v>
      </c>
      <c r="M343" t="s">
        <v>71</v>
      </c>
    </row>
    <row r="344" spans="1:13" x14ac:dyDescent="0.45">
      <c r="A344" t="s">
        <v>5</v>
      </c>
      <c r="B344" t="s">
        <v>123</v>
      </c>
      <c r="C344">
        <v>2040</v>
      </c>
      <c r="D344">
        <v>69</v>
      </c>
      <c r="E344">
        <v>9.98</v>
      </c>
      <c r="F344">
        <v>5.15</v>
      </c>
      <c r="G344">
        <v>7.12</v>
      </c>
      <c r="H344">
        <v>2.69</v>
      </c>
      <c r="I344">
        <v>26.5</v>
      </c>
      <c r="J344">
        <v>4.09</v>
      </c>
      <c r="K344">
        <v>15.35</v>
      </c>
      <c r="L344" t="s">
        <v>6</v>
      </c>
      <c r="M344" t="s">
        <v>71</v>
      </c>
    </row>
    <row r="345" spans="1:13" x14ac:dyDescent="0.45">
      <c r="A345" t="s">
        <v>5</v>
      </c>
      <c r="B345" t="s">
        <v>123</v>
      </c>
      <c r="C345">
        <v>2045</v>
      </c>
      <c r="D345">
        <v>69</v>
      </c>
      <c r="E345">
        <v>11.56</v>
      </c>
      <c r="F345">
        <v>4.71</v>
      </c>
      <c r="G345">
        <v>9.2100000000000009</v>
      </c>
      <c r="H345">
        <v>2.72</v>
      </c>
      <c r="I345">
        <v>33.770000000000003</v>
      </c>
      <c r="J345">
        <v>3.76</v>
      </c>
      <c r="K345">
        <v>18.260000000000002</v>
      </c>
      <c r="L345" t="s">
        <v>6</v>
      </c>
      <c r="M345" t="s">
        <v>71</v>
      </c>
    </row>
    <row r="346" spans="1:13" x14ac:dyDescent="0.45">
      <c r="A346" t="s">
        <v>5</v>
      </c>
      <c r="B346" t="s">
        <v>123</v>
      </c>
      <c r="C346">
        <v>2050</v>
      </c>
      <c r="D346">
        <v>69</v>
      </c>
      <c r="E346">
        <v>12.7</v>
      </c>
      <c r="F346">
        <v>4.33</v>
      </c>
      <c r="G346">
        <v>11.07</v>
      </c>
      <c r="H346">
        <v>2.89</v>
      </c>
      <c r="I346">
        <v>41.53</v>
      </c>
      <c r="J346">
        <v>3.68</v>
      </c>
      <c r="K346">
        <v>20.41</v>
      </c>
      <c r="L346" t="s">
        <v>6</v>
      </c>
      <c r="M346" t="s">
        <v>71</v>
      </c>
    </row>
    <row r="347" spans="1:13" x14ac:dyDescent="0.45">
      <c r="A347" t="s">
        <v>7</v>
      </c>
      <c r="B347" t="s">
        <v>123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123</v>
      </c>
      <c r="C348">
        <v>2025</v>
      </c>
      <c r="D348">
        <v>27</v>
      </c>
      <c r="E348">
        <v>1.79</v>
      </c>
      <c r="F348">
        <v>1.23</v>
      </c>
      <c r="G348">
        <v>1.18</v>
      </c>
      <c r="H348">
        <v>0.81</v>
      </c>
      <c r="I348">
        <v>4.5599999999999996</v>
      </c>
      <c r="J348">
        <v>1.06</v>
      </c>
      <c r="K348">
        <v>1.8</v>
      </c>
      <c r="L348" t="s">
        <v>8</v>
      </c>
      <c r="M348" t="s">
        <v>71</v>
      </c>
    </row>
    <row r="349" spans="1:13" x14ac:dyDescent="0.45">
      <c r="A349" t="s">
        <v>7</v>
      </c>
      <c r="B349" t="s">
        <v>123</v>
      </c>
      <c r="C349">
        <v>2030</v>
      </c>
      <c r="D349">
        <v>27</v>
      </c>
      <c r="E349">
        <v>2.63</v>
      </c>
      <c r="F349">
        <v>1.85</v>
      </c>
      <c r="G349">
        <v>1.94</v>
      </c>
      <c r="H349">
        <v>1.1100000000000001</v>
      </c>
      <c r="I349">
        <v>6.99</v>
      </c>
      <c r="J349">
        <v>1.1100000000000001</v>
      </c>
      <c r="K349">
        <v>3.55</v>
      </c>
      <c r="L349" t="s">
        <v>8</v>
      </c>
      <c r="M349" t="s">
        <v>71</v>
      </c>
    </row>
    <row r="350" spans="1:13" x14ac:dyDescent="0.45">
      <c r="A350" t="s">
        <v>7</v>
      </c>
      <c r="B350" t="s">
        <v>123</v>
      </c>
      <c r="C350">
        <v>2035</v>
      </c>
      <c r="D350">
        <v>27</v>
      </c>
      <c r="E350">
        <v>5.18</v>
      </c>
      <c r="F350">
        <v>5.34</v>
      </c>
      <c r="G350">
        <v>2.13</v>
      </c>
      <c r="H350">
        <v>1.85</v>
      </c>
      <c r="I350">
        <v>8.82</v>
      </c>
      <c r="J350">
        <v>3</v>
      </c>
      <c r="K350">
        <v>6.72</v>
      </c>
      <c r="L350" t="s">
        <v>8</v>
      </c>
      <c r="M350" t="s">
        <v>71</v>
      </c>
    </row>
    <row r="351" spans="1:13" x14ac:dyDescent="0.45">
      <c r="A351" t="s">
        <v>7</v>
      </c>
      <c r="B351" t="s">
        <v>123</v>
      </c>
      <c r="C351">
        <v>2040</v>
      </c>
      <c r="D351">
        <v>27</v>
      </c>
      <c r="E351">
        <v>7.16</v>
      </c>
      <c r="F351">
        <v>7.95</v>
      </c>
      <c r="G351">
        <v>3.11</v>
      </c>
      <c r="H351">
        <v>2.0499999999999998</v>
      </c>
      <c r="I351">
        <v>13.8</v>
      </c>
      <c r="J351">
        <v>5.88</v>
      </c>
      <c r="K351">
        <v>9.5299999999999994</v>
      </c>
      <c r="L351" t="s">
        <v>8</v>
      </c>
      <c r="M351" t="s">
        <v>71</v>
      </c>
    </row>
    <row r="352" spans="1:13" x14ac:dyDescent="0.45">
      <c r="A352" t="s">
        <v>7</v>
      </c>
      <c r="B352" t="s">
        <v>123</v>
      </c>
      <c r="C352">
        <v>2045</v>
      </c>
      <c r="D352">
        <v>27</v>
      </c>
      <c r="E352">
        <v>8.4700000000000006</v>
      </c>
      <c r="F352">
        <v>9.73</v>
      </c>
      <c r="G352">
        <v>3.99</v>
      </c>
      <c r="H352">
        <v>2.0699999999999998</v>
      </c>
      <c r="I352">
        <v>16.75</v>
      </c>
      <c r="J352">
        <v>5.78</v>
      </c>
      <c r="K352">
        <v>11.61</v>
      </c>
      <c r="L352" t="s">
        <v>8</v>
      </c>
      <c r="M352" t="s">
        <v>71</v>
      </c>
    </row>
    <row r="353" spans="1:13" x14ac:dyDescent="0.45">
      <c r="A353" t="s">
        <v>7</v>
      </c>
      <c r="B353" t="s">
        <v>123</v>
      </c>
      <c r="C353">
        <v>2050</v>
      </c>
      <c r="D353">
        <v>27</v>
      </c>
      <c r="E353">
        <v>8.9700000000000006</v>
      </c>
      <c r="F353">
        <v>10.54</v>
      </c>
      <c r="G353">
        <v>4.3600000000000003</v>
      </c>
      <c r="H353">
        <v>2.44</v>
      </c>
      <c r="I353">
        <v>15.1</v>
      </c>
      <c r="J353">
        <v>5.28</v>
      </c>
      <c r="K353">
        <v>12.67</v>
      </c>
      <c r="L353" t="s">
        <v>8</v>
      </c>
      <c r="M353" t="s">
        <v>71</v>
      </c>
    </row>
    <row r="354" spans="1:13" x14ac:dyDescent="0.45">
      <c r="A354" t="s">
        <v>9</v>
      </c>
      <c r="B354" t="s">
        <v>123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123</v>
      </c>
      <c r="C355">
        <v>2025</v>
      </c>
      <c r="D355">
        <v>14</v>
      </c>
      <c r="E355">
        <v>1.06</v>
      </c>
      <c r="F355">
        <v>1.07</v>
      </c>
      <c r="G355">
        <v>7.0000000000000007E-2</v>
      </c>
      <c r="H355">
        <v>0.91</v>
      </c>
      <c r="I355">
        <v>1.2</v>
      </c>
      <c r="J355">
        <v>1.06</v>
      </c>
      <c r="K355">
        <v>1.07</v>
      </c>
      <c r="L355" t="s">
        <v>10</v>
      </c>
      <c r="M355" t="s">
        <v>71</v>
      </c>
    </row>
    <row r="356" spans="1:13" x14ac:dyDescent="0.45">
      <c r="A356" t="s">
        <v>9</v>
      </c>
      <c r="B356" t="s">
        <v>123</v>
      </c>
      <c r="C356">
        <v>2030</v>
      </c>
      <c r="D356">
        <v>14</v>
      </c>
      <c r="E356">
        <v>1.22</v>
      </c>
      <c r="F356">
        <v>1.17</v>
      </c>
      <c r="G356">
        <v>0.14000000000000001</v>
      </c>
      <c r="H356">
        <v>1.1100000000000001</v>
      </c>
      <c r="I356">
        <v>1.62</v>
      </c>
      <c r="J356">
        <v>1.1299999999999999</v>
      </c>
      <c r="K356">
        <v>1.23</v>
      </c>
      <c r="L356" t="s">
        <v>10</v>
      </c>
      <c r="M356" t="s">
        <v>71</v>
      </c>
    </row>
    <row r="357" spans="1:13" x14ac:dyDescent="0.45">
      <c r="A357" t="s">
        <v>9</v>
      </c>
      <c r="B357" t="s">
        <v>123</v>
      </c>
      <c r="C357">
        <v>2035</v>
      </c>
      <c r="D357">
        <v>14</v>
      </c>
      <c r="E357">
        <v>1.25</v>
      </c>
      <c r="F357">
        <v>1.21</v>
      </c>
      <c r="G357">
        <v>0.14000000000000001</v>
      </c>
      <c r="H357">
        <v>1.1100000000000001</v>
      </c>
      <c r="I357">
        <v>1.65</v>
      </c>
      <c r="J357">
        <v>1.17</v>
      </c>
      <c r="K357">
        <v>1.31</v>
      </c>
      <c r="L357" t="s">
        <v>10</v>
      </c>
      <c r="M357" t="s">
        <v>71</v>
      </c>
    </row>
    <row r="358" spans="1:13" x14ac:dyDescent="0.45">
      <c r="A358" t="s">
        <v>9</v>
      </c>
      <c r="B358" t="s">
        <v>123</v>
      </c>
      <c r="C358">
        <v>2040</v>
      </c>
      <c r="D358">
        <v>14</v>
      </c>
      <c r="E358">
        <v>1.39</v>
      </c>
      <c r="F358">
        <v>1.37</v>
      </c>
      <c r="G358">
        <v>0.2</v>
      </c>
      <c r="H358">
        <v>1.2</v>
      </c>
      <c r="I358">
        <v>1.79</v>
      </c>
      <c r="J358">
        <v>1.22</v>
      </c>
      <c r="K358">
        <v>1.44</v>
      </c>
      <c r="L358" t="s">
        <v>10</v>
      </c>
      <c r="M358" t="s">
        <v>71</v>
      </c>
    </row>
    <row r="359" spans="1:13" x14ac:dyDescent="0.45">
      <c r="A359" t="s">
        <v>9</v>
      </c>
      <c r="B359" t="s">
        <v>123</v>
      </c>
      <c r="C359">
        <v>2045</v>
      </c>
      <c r="D359">
        <v>14</v>
      </c>
      <c r="E359">
        <v>1.41</v>
      </c>
      <c r="F359">
        <v>1.33</v>
      </c>
      <c r="G359">
        <v>0.2</v>
      </c>
      <c r="H359">
        <v>1.2</v>
      </c>
      <c r="I359">
        <v>1.85</v>
      </c>
      <c r="J359">
        <v>1.26</v>
      </c>
      <c r="K359">
        <v>1.54</v>
      </c>
      <c r="L359" t="s">
        <v>10</v>
      </c>
      <c r="M359" t="s">
        <v>71</v>
      </c>
    </row>
    <row r="360" spans="1:13" x14ac:dyDescent="0.45">
      <c r="A360" t="s">
        <v>9</v>
      </c>
      <c r="B360" t="s">
        <v>123</v>
      </c>
      <c r="C360">
        <v>2050</v>
      </c>
      <c r="D360">
        <v>14</v>
      </c>
      <c r="E360">
        <v>1.48</v>
      </c>
      <c r="F360">
        <v>1.52</v>
      </c>
      <c r="G360">
        <v>0.21</v>
      </c>
      <c r="H360">
        <v>1.21</v>
      </c>
      <c r="I360">
        <v>1.92</v>
      </c>
      <c r="J360">
        <v>1.3</v>
      </c>
      <c r="K360">
        <v>1.61</v>
      </c>
      <c r="L360" t="s">
        <v>10</v>
      </c>
      <c r="M360" t="s">
        <v>71</v>
      </c>
    </row>
    <row r="361" spans="1:13" x14ac:dyDescent="0.45">
      <c r="A361" t="s">
        <v>0</v>
      </c>
      <c r="B361" t="s">
        <v>123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123</v>
      </c>
      <c r="C362">
        <v>2025</v>
      </c>
      <c r="D362">
        <v>7</v>
      </c>
      <c r="E362">
        <v>1.04</v>
      </c>
      <c r="F362">
        <v>1.05</v>
      </c>
      <c r="G362">
        <v>0.02</v>
      </c>
      <c r="H362">
        <v>1.01</v>
      </c>
      <c r="I362">
        <v>1.05</v>
      </c>
      <c r="J362">
        <v>1.02</v>
      </c>
      <c r="K362">
        <v>1.05</v>
      </c>
      <c r="L362" t="s">
        <v>1</v>
      </c>
      <c r="M362" t="s">
        <v>72</v>
      </c>
    </row>
    <row r="363" spans="1:13" x14ac:dyDescent="0.45">
      <c r="A363" t="s">
        <v>0</v>
      </c>
      <c r="B363" t="s">
        <v>123</v>
      </c>
      <c r="C363">
        <v>2030</v>
      </c>
      <c r="D363">
        <v>7</v>
      </c>
      <c r="E363">
        <v>1.07</v>
      </c>
      <c r="F363">
        <v>1.1000000000000001</v>
      </c>
      <c r="G363">
        <v>0.05</v>
      </c>
      <c r="H363">
        <v>0.96</v>
      </c>
      <c r="I363">
        <v>1.1000000000000001</v>
      </c>
      <c r="J363">
        <v>1.07</v>
      </c>
      <c r="K363">
        <v>1.1000000000000001</v>
      </c>
      <c r="L363" t="s">
        <v>1</v>
      </c>
      <c r="M363" t="s">
        <v>72</v>
      </c>
    </row>
    <row r="364" spans="1:13" x14ac:dyDescent="0.45">
      <c r="A364" t="s">
        <v>0</v>
      </c>
      <c r="B364" t="s">
        <v>123</v>
      </c>
      <c r="C364">
        <v>2035</v>
      </c>
      <c r="D364">
        <v>7</v>
      </c>
      <c r="E364">
        <v>1.0900000000000001</v>
      </c>
      <c r="F364">
        <v>1.1000000000000001</v>
      </c>
      <c r="G364">
        <v>7.0000000000000007E-2</v>
      </c>
      <c r="H364">
        <v>0.94</v>
      </c>
      <c r="I364">
        <v>1.1599999999999999</v>
      </c>
      <c r="J364">
        <v>1.07</v>
      </c>
      <c r="K364">
        <v>1.1299999999999999</v>
      </c>
      <c r="L364" t="s">
        <v>1</v>
      </c>
      <c r="M364" t="s">
        <v>72</v>
      </c>
    </row>
    <row r="365" spans="1:13" x14ac:dyDescent="0.45">
      <c r="A365" t="s">
        <v>0</v>
      </c>
      <c r="B365" t="s">
        <v>123</v>
      </c>
      <c r="C365">
        <v>2040</v>
      </c>
      <c r="D365">
        <v>7</v>
      </c>
      <c r="E365">
        <v>1.0900000000000001</v>
      </c>
      <c r="F365">
        <v>1.1000000000000001</v>
      </c>
      <c r="G365">
        <v>0.1</v>
      </c>
      <c r="H365">
        <v>0.91</v>
      </c>
      <c r="I365">
        <v>1.2</v>
      </c>
      <c r="J365">
        <v>1.06</v>
      </c>
      <c r="K365">
        <v>1.1499999999999999</v>
      </c>
      <c r="L365" t="s">
        <v>1</v>
      </c>
      <c r="M365" t="s">
        <v>72</v>
      </c>
    </row>
    <row r="366" spans="1:13" x14ac:dyDescent="0.45">
      <c r="A366" t="s">
        <v>0</v>
      </c>
      <c r="B366" t="s">
        <v>123</v>
      </c>
      <c r="C366">
        <v>2045</v>
      </c>
      <c r="D366">
        <v>7</v>
      </c>
      <c r="E366">
        <v>1.04</v>
      </c>
      <c r="F366">
        <v>1.06</v>
      </c>
      <c r="G366">
        <v>0.09</v>
      </c>
      <c r="H366">
        <v>0.87</v>
      </c>
      <c r="I366">
        <v>1.1399999999999999</v>
      </c>
      <c r="J366">
        <v>1.01</v>
      </c>
      <c r="K366">
        <v>1.1000000000000001</v>
      </c>
      <c r="L366" t="s">
        <v>1</v>
      </c>
      <c r="M366" t="s">
        <v>72</v>
      </c>
    </row>
    <row r="367" spans="1:13" x14ac:dyDescent="0.45">
      <c r="A367" t="s">
        <v>0</v>
      </c>
      <c r="B367" t="s">
        <v>123</v>
      </c>
      <c r="C367">
        <v>2050</v>
      </c>
      <c r="D367">
        <v>7</v>
      </c>
      <c r="E367">
        <v>1</v>
      </c>
      <c r="F367">
        <v>1.01</v>
      </c>
      <c r="G367">
        <v>0.1</v>
      </c>
      <c r="H367">
        <v>0.82</v>
      </c>
      <c r="I367">
        <v>1.1499999999999999</v>
      </c>
      <c r="J367">
        <v>0.97</v>
      </c>
      <c r="K367">
        <v>1.05</v>
      </c>
      <c r="L367" t="s">
        <v>1</v>
      </c>
      <c r="M367" t="s">
        <v>72</v>
      </c>
    </row>
    <row r="368" spans="1:13" x14ac:dyDescent="0.45">
      <c r="A368" t="s">
        <v>2</v>
      </c>
      <c r="B368" t="s">
        <v>123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123</v>
      </c>
      <c r="C369">
        <v>2025</v>
      </c>
      <c r="D369">
        <v>7</v>
      </c>
      <c r="E369">
        <v>1.03</v>
      </c>
      <c r="F369">
        <v>1.02</v>
      </c>
      <c r="G369">
        <v>0.02</v>
      </c>
      <c r="H369">
        <v>1.01</v>
      </c>
      <c r="I369">
        <v>1.05</v>
      </c>
      <c r="J369">
        <v>1.01</v>
      </c>
      <c r="K369">
        <v>1.05</v>
      </c>
      <c r="L369" t="s">
        <v>3</v>
      </c>
      <c r="M369" t="s">
        <v>72</v>
      </c>
    </row>
    <row r="370" spans="1:13" x14ac:dyDescent="0.45">
      <c r="A370" t="s">
        <v>2</v>
      </c>
      <c r="B370" t="s">
        <v>123</v>
      </c>
      <c r="C370">
        <v>2030</v>
      </c>
      <c r="D370">
        <v>7</v>
      </c>
      <c r="E370">
        <v>1.05</v>
      </c>
      <c r="F370">
        <v>1.07</v>
      </c>
      <c r="G370">
        <v>7.0000000000000007E-2</v>
      </c>
      <c r="H370">
        <v>0.96</v>
      </c>
      <c r="I370">
        <v>1.1000000000000001</v>
      </c>
      <c r="J370">
        <v>1.01</v>
      </c>
      <c r="K370">
        <v>1.1000000000000001</v>
      </c>
      <c r="L370" t="s">
        <v>3</v>
      </c>
      <c r="M370" t="s">
        <v>72</v>
      </c>
    </row>
    <row r="371" spans="1:13" x14ac:dyDescent="0.45">
      <c r="A371" t="s">
        <v>2</v>
      </c>
      <c r="B371" t="s">
        <v>123</v>
      </c>
      <c r="C371">
        <v>2035</v>
      </c>
      <c r="D371">
        <v>7</v>
      </c>
      <c r="E371">
        <v>1.06</v>
      </c>
      <c r="F371">
        <v>1.07</v>
      </c>
      <c r="G371">
        <v>0.08</v>
      </c>
      <c r="H371">
        <v>0.95</v>
      </c>
      <c r="I371">
        <v>1.1599999999999999</v>
      </c>
      <c r="J371">
        <v>1.01</v>
      </c>
      <c r="K371">
        <v>1.1100000000000001</v>
      </c>
      <c r="L371" t="s">
        <v>3</v>
      </c>
      <c r="M371" t="s">
        <v>72</v>
      </c>
    </row>
    <row r="372" spans="1:13" x14ac:dyDescent="0.45">
      <c r="A372" t="s">
        <v>2</v>
      </c>
      <c r="B372" t="s">
        <v>123</v>
      </c>
      <c r="C372">
        <v>2040</v>
      </c>
      <c r="D372">
        <v>7</v>
      </c>
      <c r="E372">
        <v>1.1000000000000001</v>
      </c>
      <c r="F372">
        <v>1.1000000000000001</v>
      </c>
      <c r="G372">
        <v>0.08</v>
      </c>
      <c r="H372">
        <v>0.98</v>
      </c>
      <c r="I372">
        <v>1.17</v>
      </c>
      <c r="J372">
        <v>1.05</v>
      </c>
      <c r="K372">
        <v>1.1599999999999999</v>
      </c>
      <c r="L372" t="s">
        <v>3</v>
      </c>
      <c r="M372" t="s">
        <v>72</v>
      </c>
    </row>
    <row r="373" spans="1:13" x14ac:dyDescent="0.45">
      <c r="A373" t="s">
        <v>2</v>
      </c>
      <c r="B373" t="s">
        <v>123</v>
      </c>
      <c r="C373">
        <v>2045</v>
      </c>
      <c r="D373">
        <v>7</v>
      </c>
      <c r="E373">
        <v>1.1299999999999999</v>
      </c>
      <c r="F373">
        <v>1.1399999999999999</v>
      </c>
      <c r="G373">
        <v>7.0000000000000007E-2</v>
      </c>
      <c r="H373">
        <v>1.03</v>
      </c>
      <c r="I373">
        <v>1.22</v>
      </c>
      <c r="J373">
        <v>1.0900000000000001</v>
      </c>
      <c r="K373">
        <v>1.18</v>
      </c>
      <c r="L373" t="s">
        <v>3</v>
      </c>
      <c r="M373" t="s">
        <v>72</v>
      </c>
    </row>
    <row r="374" spans="1:13" x14ac:dyDescent="0.45">
      <c r="A374" t="s">
        <v>2</v>
      </c>
      <c r="B374" t="s">
        <v>123</v>
      </c>
      <c r="C374">
        <v>2050</v>
      </c>
      <c r="D374">
        <v>7</v>
      </c>
      <c r="E374">
        <v>1.19</v>
      </c>
      <c r="F374">
        <v>1.2</v>
      </c>
      <c r="G374">
        <v>7.0000000000000007E-2</v>
      </c>
      <c r="H374">
        <v>1.08</v>
      </c>
      <c r="I374">
        <v>1.28</v>
      </c>
      <c r="J374">
        <v>1.1499999999999999</v>
      </c>
      <c r="K374">
        <v>1.24</v>
      </c>
      <c r="L374" t="s">
        <v>3</v>
      </c>
      <c r="M374" t="s">
        <v>72</v>
      </c>
    </row>
    <row r="375" spans="1:13" x14ac:dyDescent="0.45">
      <c r="A375" t="s">
        <v>5</v>
      </c>
      <c r="B375" t="s">
        <v>123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123</v>
      </c>
      <c r="C376">
        <v>2025</v>
      </c>
      <c r="D376">
        <v>15</v>
      </c>
      <c r="E376">
        <v>1.06</v>
      </c>
      <c r="F376">
        <v>1.05</v>
      </c>
      <c r="G376">
        <v>0.04</v>
      </c>
      <c r="H376">
        <v>1.01</v>
      </c>
      <c r="I376">
        <v>1.1200000000000001</v>
      </c>
      <c r="J376">
        <v>1.04</v>
      </c>
      <c r="K376">
        <v>1.1100000000000001</v>
      </c>
      <c r="L376" t="s">
        <v>6</v>
      </c>
      <c r="M376" t="s">
        <v>72</v>
      </c>
    </row>
    <row r="377" spans="1:13" x14ac:dyDescent="0.45">
      <c r="A377" t="s">
        <v>5</v>
      </c>
      <c r="B377" t="s">
        <v>123</v>
      </c>
      <c r="C377">
        <v>2030</v>
      </c>
      <c r="D377">
        <v>15</v>
      </c>
      <c r="E377">
        <v>1.1000000000000001</v>
      </c>
      <c r="F377">
        <v>1.1000000000000001</v>
      </c>
      <c r="G377">
        <v>0.1</v>
      </c>
      <c r="H377">
        <v>0.96</v>
      </c>
      <c r="I377">
        <v>1.35</v>
      </c>
      <c r="J377">
        <v>1.07</v>
      </c>
      <c r="K377">
        <v>1.1299999999999999</v>
      </c>
      <c r="L377" t="s">
        <v>6</v>
      </c>
      <c r="M377" t="s">
        <v>72</v>
      </c>
    </row>
    <row r="378" spans="1:13" x14ac:dyDescent="0.45">
      <c r="A378" t="s">
        <v>5</v>
      </c>
      <c r="B378" t="s">
        <v>123</v>
      </c>
      <c r="C378">
        <v>2035</v>
      </c>
      <c r="D378">
        <v>15</v>
      </c>
      <c r="E378">
        <v>1.22</v>
      </c>
      <c r="F378">
        <v>1.1599999999999999</v>
      </c>
      <c r="G378">
        <v>0.23</v>
      </c>
      <c r="H378">
        <v>0.91</v>
      </c>
      <c r="I378">
        <v>1.71</v>
      </c>
      <c r="J378">
        <v>1.07</v>
      </c>
      <c r="K378">
        <v>1.39</v>
      </c>
      <c r="L378" t="s">
        <v>6</v>
      </c>
      <c r="M378" t="s">
        <v>72</v>
      </c>
    </row>
    <row r="379" spans="1:13" x14ac:dyDescent="0.45">
      <c r="A379" t="s">
        <v>5</v>
      </c>
      <c r="B379" t="s">
        <v>123</v>
      </c>
      <c r="C379">
        <v>2040</v>
      </c>
      <c r="D379">
        <v>15</v>
      </c>
      <c r="E379">
        <v>1.46</v>
      </c>
      <c r="F379">
        <v>1.17</v>
      </c>
      <c r="G379">
        <v>0.55000000000000004</v>
      </c>
      <c r="H379">
        <v>0.92</v>
      </c>
      <c r="I379">
        <v>2.5299999999999998</v>
      </c>
      <c r="J379">
        <v>1.08</v>
      </c>
      <c r="K379">
        <v>1.82</v>
      </c>
      <c r="L379" t="s">
        <v>6</v>
      </c>
      <c r="M379" t="s">
        <v>72</v>
      </c>
    </row>
    <row r="380" spans="1:13" x14ac:dyDescent="0.45">
      <c r="A380" t="s">
        <v>5</v>
      </c>
      <c r="B380" t="s">
        <v>123</v>
      </c>
      <c r="C380">
        <v>2045</v>
      </c>
      <c r="D380">
        <v>15</v>
      </c>
      <c r="E380">
        <v>1.85</v>
      </c>
      <c r="F380">
        <v>1.1599999999999999</v>
      </c>
      <c r="G380">
        <v>1.04</v>
      </c>
      <c r="H380">
        <v>0.97</v>
      </c>
      <c r="I380">
        <v>3.83</v>
      </c>
      <c r="J380">
        <v>1.08</v>
      </c>
      <c r="K380">
        <v>2.6</v>
      </c>
      <c r="L380" t="s">
        <v>6</v>
      </c>
      <c r="M380" t="s">
        <v>72</v>
      </c>
    </row>
    <row r="381" spans="1:13" x14ac:dyDescent="0.45">
      <c r="A381" t="s">
        <v>5</v>
      </c>
      <c r="B381" t="s">
        <v>123</v>
      </c>
      <c r="C381">
        <v>2050</v>
      </c>
      <c r="D381">
        <v>15</v>
      </c>
      <c r="E381">
        <v>2.2200000000000002</v>
      </c>
      <c r="F381">
        <v>1.22</v>
      </c>
      <c r="G381">
        <v>1.48</v>
      </c>
      <c r="H381">
        <v>1</v>
      </c>
      <c r="I381">
        <v>4.87</v>
      </c>
      <c r="J381">
        <v>1.06</v>
      </c>
      <c r="K381">
        <v>3.43</v>
      </c>
      <c r="L381" t="s">
        <v>6</v>
      </c>
      <c r="M381" t="s">
        <v>72</v>
      </c>
    </row>
    <row r="382" spans="1:13" x14ac:dyDescent="0.45">
      <c r="A382" t="s">
        <v>7</v>
      </c>
      <c r="B382" t="s">
        <v>123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123</v>
      </c>
      <c r="C383">
        <v>2025</v>
      </c>
      <c r="D383">
        <v>8</v>
      </c>
      <c r="E383">
        <v>1.0900000000000001</v>
      </c>
      <c r="F383">
        <v>1.0900000000000001</v>
      </c>
      <c r="G383">
        <v>0.01</v>
      </c>
      <c r="H383">
        <v>1.08</v>
      </c>
      <c r="I383">
        <v>1.1100000000000001</v>
      </c>
      <c r="J383">
        <v>1.08</v>
      </c>
      <c r="K383">
        <v>1.1000000000000001</v>
      </c>
      <c r="L383" t="s">
        <v>8</v>
      </c>
      <c r="M383" t="s">
        <v>72</v>
      </c>
    </row>
    <row r="384" spans="1:13" x14ac:dyDescent="0.45">
      <c r="A384" t="s">
        <v>7</v>
      </c>
      <c r="B384" t="s">
        <v>123</v>
      </c>
      <c r="C384">
        <v>2030</v>
      </c>
      <c r="D384">
        <v>8</v>
      </c>
      <c r="E384">
        <v>1.07</v>
      </c>
      <c r="F384">
        <v>1.06</v>
      </c>
      <c r="G384">
        <v>0.06</v>
      </c>
      <c r="H384">
        <v>1.02</v>
      </c>
      <c r="I384">
        <v>1.1399999999999999</v>
      </c>
      <c r="J384">
        <v>1.02</v>
      </c>
      <c r="K384">
        <v>1.1200000000000001</v>
      </c>
      <c r="L384" t="s">
        <v>8</v>
      </c>
      <c r="M384" t="s">
        <v>72</v>
      </c>
    </row>
    <row r="385" spans="1:13" x14ac:dyDescent="0.45">
      <c r="A385" t="s">
        <v>7</v>
      </c>
      <c r="B385" t="s">
        <v>123</v>
      </c>
      <c r="C385">
        <v>2035</v>
      </c>
      <c r="D385">
        <v>8</v>
      </c>
      <c r="E385">
        <v>1.1200000000000001</v>
      </c>
      <c r="F385">
        <v>1.1100000000000001</v>
      </c>
      <c r="G385">
        <v>0.08</v>
      </c>
      <c r="H385">
        <v>1.02</v>
      </c>
      <c r="I385">
        <v>1.22</v>
      </c>
      <c r="J385">
        <v>1.07</v>
      </c>
      <c r="K385">
        <v>1.18</v>
      </c>
      <c r="L385" t="s">
        <v>8</v>
      </c>
      <c r="M385" t="s">
        <v>72</v>
      </c>
    </row>
    <row r="386" spans="1:13" x14ac:dyDescent="0.45">
      <c r="A386" t="s">
        <v>7</v>
      </c>
      <c r="B386" t="s">
        <v>123</v>
      </c>
      <c r="C386">
        <v>2040</v>
      </c>
      <c r="D386">
        <v>8</v>
      </c>
      <c r="E386">
        <v>1.29</v>
      </c>
      <c r="F386">
        <v>1.26</v>
      </c>
      <c r="G386">
        <v>0.11</v>
      </c>
      <c r="H386">
        <v>1.1599999999999999</v>
      </c>
      <c r="I386">
        <v>1.45</v>
      </c>
      <c r="J386">
        <v>1.22</v>
      </c>
      <c r="K386">
        <v>1.37</v>
      </c>
      <c r="L386" t="s">
        <v>8</v>
      </c>
      <c r="M386" t="s">
        <v>72</v>
      </c>
    </row>
    <row r="387" spans="1:13" x14ac:dyDescent="0.45">
      <c r="A387" t="s">
        <v>7</v>
      </c>
      <c r="B387" t="s">
        <v>123</v>
      </c>
      <c r="C387">
        <v>2045</v>
      </c>
      <c r="D387">
        <v>8</v>
      </c>
      <c r="E387">
        <v>1.84</v>
      </c>
      <c r="F387">
        <v>1.91</v>
      </c>
      <c r="G387">
        <v>0.28999999999999998</v>
      </c>
      <c r="H387">
        <v>1.37</v>
      </c>
      <c r="I387">
        <v>2.15</v>
      </c>
      <c r="J387">
        <v>1.63</v>
      </c>
      <c r="K387">
        <v>2.06</v>
      </c>
      <c r="L387" t="s">
        <v>8</v>
      </c>
      <c r="M387" t="s">
        <v>72</v>
      </c>
    </row>
    <row r="388" spans="1:13" x14ac:dyDescent="0.45">
      <c r="A388" t="s">
        <v>7</v>
      </c>
      <c r="B388" t="s">
        <v>123</v>
      </c>
      <c r="C388">
        <v>2050</v>
      </c>
      <c r="D388">
        <v>8</v>
      </c>
      <c r="E388">
        <v>2.52</v>
      </c>
      <c r="F388">
        <v>2.5099999999999998</v>
      </c>
      <c r="G388">
        <v>0.26</v>
      </c>
      <c r="H388">
        <v>2.11</v>
      </c>
      <c r="I388">
        <v>2.92</v>
      </c>
      <c r="J388">
        <v>2.4</v>
      </c>
      <c r="K388">
        <v>2.64</v>
      </c>
      <c r="L388" t="s">
        <v>8</v>
      </c>
      <c r="M388" t="s">
        <v>72</v>
      </c>
    </row>
    <row r="389" spans="1:13" x14ac:dyDescent="0.45">
      <c r="A389" t="s">
        <v>9</v>
      </c>
      <c r="B389" t="s">
        <v>123</v>
      </c>
      <c r="C389">
        <v>2020</v>
      </c>
      <c r="D389">
        <v>6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123</v>
      </c>
      <c r="C390">
        <v>2025</v>
      </c>
      <c r="D390">
        <v>6</v>
      </c>
      <c r="E390">
        <v>1.06</v>
      </c>
      <c r="F390">
        <v>1.05</v>
      </c>
      <c r="G390">
        <v>0.02</v>
      </c>
      <c r="H390">
        <v>1.02</v>
      </c>
      <c r="I390">
        <v>1.08</v>
      </c>
      <c r="J390">
        <v>1.05</v>
      </c>
      <c r="K390">
        <v>1.07</v>
      </c>
      <c r="L390" t="s">
        <v>10</v>
      </c>
      <c r="M390" t="s">
        <v>72</v>
      </c>
    </row>
    <row r="391" spans="1:13" x14ac:dyDescent="0.45">
      <c r="A391" t="s">
        <v>9</v>
      </c>
      <c r="B391" t="s">
        <v>123</v>
      </c>
      <c r="C391">
        <v>2030</v>
      </c>
      <c r="D391">
        <v>6</v>
      </c>
      <c r="E391">
        <v>1.06</v>
      </c>
      <c r="F391">
        <v>1.06</v>
      </c>
      <c r="G391">
        <v>0.04</v>
      </c>
      <c r="H391">
        <v>1</v>
      </c>
      <c r="I391">
        <v>1.1000000000000001</v>
      </c>
      <c r="J391">
        <v>1.03</v>
      </c>
      <c r="K391">
        <v>1.08</v>
      </c>
      <c r="L391" t="s">
        <v>10</v>
      </c>
      <c r="M391" t="s">
        <v>72</v>
      </c>
    </row>
    <row r="392" spans="1:13" x14ac:dyDescent="0.45">
      <c r="A392" t="s">
        <v>9</v>
      </c>
      <c r="B392" t="s">
        <v>123</v>
      </c>
      <c r="C392">
        <v>2035</v>
      </c>
      <c r="D392">
        <v>6</v>
      </c>
      <c r="E392">
        <v>1.03</v>
      </c>
      <c r="F392">
        <v>1.04</v>
      </c>
      <c r="G392">
        <v>7.0000000000000007E-2</v>
      </c>
      <c r="H392">
        <v>0.94</v>
      </c>
      <c r="I392">
        <v>1.1000000000000001</v>
      </c>
      <c r="J392">
        <v>0.98</v>
      </c>
      <c r="K392">
        <v>1.08</v>
      </c>
      <c r="L392" t="s">
        <v>10</v>
      </c>
      <c r="M392" t="s">
        <v>72</v>
      </c>
    </row>
    <row r="393" spans="1:13" x14ac:dyDescent="0.45">
      <c r="A393" t="s">
        <v>9</v>
      </c>
      <c r="B393" t="s">
        <v>123</v>
      </c>
      <c r="C393">
        <v>2040</v>
      </c>
      <c r="D393">
        <v>6</v>
      </c>
      <c r="E393">
        <v>1.02</v>
      </c>
      <c r="F393">
        <v>1</v>
      </c>
      <c r="G393">
        <v>0.05</v>
      </c>
      <c r="H393">
        <v>0.98</v>
      </c>
      <c r="I393">
        <v>1.1100000000000001</v>
      </c>
      <c r="J393">
        <v>0.99</v>
      </c>
      <c r="K393">
        <v>1.02</v>
      </c>
      <c r="L393" t="s">
        <v>10</v>
      </c>
      <c r="M393" t="s">
        <v>72</v>
      </c>
    </row>
    <row r="394" spans="1:13" x14ac:dyDescent="0.45">
      <c r="A394" t="s">
        <v>9</v>
      </c>
      <c r="B394" t="s">
        <v>123</v>
      </c>
      <c r="C394">
        <v>2045</v>
      </c>
      <c r="D394">
        <v>6</v>
      </c>
      <c r="E394">
        <v>0.97</v>
      </c>
      <c r="F394">
        <v>0.95</v>
      </c>
      <c r="G394">
        <v>0.05</v>
      </c>
      <c r="H394">
        <v>0.93</v>
      </c>
      <c r="I394">
        <v>1.06</v>
      </c>
      <c r="J394">
        <v>0.93</v>
      </c>
      <c r="K394">
        <v>0.97</v>
      </c>
      <c r="L394" t="s">
        <v>10</v>
      </c>
      <c r="M394" t="s">
        <v>72</v>
      </c>
    </row>
    <row r="395" spans="1:13" x14ac:dyDescent="0.45">
      <c r="A395" t="s">
        <v>9</v>
      </c>
      <c r="B395" t="s">
        <v>123</v>
      </c>
      <c r="C395">
        <v>2050</v>
      </c>
      <c r="D395">
        <v>6</v>
      </c>
      <c r="E395">
        <v>0.94</v>
      </c>
      <c r="F395">
        <v>0.93</v>
      </c>
      <c r="G395">
        <v>0.04</v>
      </c>
      <c r="H395">
        <v>0.9</v>
      </c>
      <c r="I395">
        <v>1.01</v>
      </c>
      <c r="J395">
        <v>0.91</v>
      </c>
      <c r="K395">
        <v>0.96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DEF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2026-06-14T18:35:38Z</dcterms:modified>
</cp:coreProperties>
</file>