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SuppXLS\"/>
    </mc:Choice>
  </mc:AlternateContent>
  <xr:revisionPtr revIDLastSave="0" documentId="13_ncr:1_{999B5BCC-3433-4A4C-97DA-8844927F6A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2" i="1"/>
  <c r="B43" i="1"/>
  <c r="B44" i="1"/>
  <c r="B45" i="1"/>
  <c r="B46" i="1"/>
  <c r="B47" i="1"/>
  <c r="B48" i="1"/>
  <c r="C41" i="1"/>
  <c r="C42" i="1"/>
  <c r="C43" i="1" s="1"/>
  <c r="C44" i="1" s="1"/>
  <c r="C45" i="1" s="1"/>
  <c r="C46" i="1" s="1"/>
  <c r="C47" i="1" s="1"/>
  <c r="C48" i="1" s="1"/>
  <c r="F46" i="1"/>
  <c r="F47" i="1"/>
  <c r="F48" i="1"/>
  <c r="F45" i="1"/>
  <c r="Q45" i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7" i="5" s="1"/>
  <c r="E5" i="1"/>
  <c r="J24" i="1" s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11" i="5"/>
  <c r="D25" i="5"/>
  <c r="C23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Q24" i="1" l="1"/>
  <c r="AB24" i="1" s="1"/>
  <c r="K15" i="1"/>
  <c r="K14" i="1"/>
  <c r="J14" i="1"/>
  <c r="AL59" i="1"/>
  <c r="AL55" i="1"/>
  <c r="Q15" i="1" l="1"/>
  <c r="AB23" i="1" s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<sst xmlns="http://schemas.openxmlformats.org/spreadsheetml/2006/main" count="1820" uniqueCount="150">
  <si>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</si>
  <si>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</si>
  <si>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</si>
  <si>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</si>
  <si>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</si>
  <si>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</si>
  <si>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</si>
  <si>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</si>
  <si>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</si>
  <si>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</si>
  <si>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</si>
  <si>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</si>
  <si>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</si>
  <si>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</si>
  <si>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</si>
  <si>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</si>
  <si>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</si>
  <si>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</si>
  <si>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</si>
  <si>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</si>
  <si>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</si>
  <si>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</si>
  <si>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</si>
  <si>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</si>
  <si>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</si>
  <si>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</si>
  <si>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</si>
  <si>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</si>
  <si>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</si>
  <si>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</si>
  <si>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</si>
  <si>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</si>
  <si>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</si>
  <si>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</si>
  <si>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</si>
  <si>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</si>
  <si>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</si>
  <si>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</si>
  <si>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</si>
  <si>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</si>
  <si>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</si>
  <si>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</si>
  <si>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</si>
  <si>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</si>
  <si>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</si>
  <si>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</si>
  <si>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</si>
  <si>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</si>
  <si>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</si>
  <si>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</si>
  <si>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</si>
  <si>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</si>
  <si>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</si>
  <si>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</si>
  <si>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</si>
  <si>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</si>
  <si>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</si>
  <si>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</si>
  <si>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</si>
  <si>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</si>
  <si>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</si>
  <si>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</si>
  <si>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</si>
  <si>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</si>
  <si>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</si>
  <si>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</si>
  <si>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</si>
  <si>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</si>
  <si>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</si>
  <si>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</si>
  <si>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</si>
  <si>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</si>
  <si>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</si>
  <si>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</si>
  <si>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</si>
  <si>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</si>
  <si>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</si>
  <si>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</si>
  <si>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</si>
  <si>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</si>
  <si>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</si>
  <si>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</si>
  <si>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</si>
  <si>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</si>
  <si>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</si>
  <si>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</si>
  <si>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</si>
  <si>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</si>
  <si>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</si>
  <si>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</si>
  <si>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</si>
  <si>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</si>
  <si>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</si>
  <si>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</si>
  <si>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</si>
  <si>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</si>
  <si>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</si>
  <si>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</si>
  <si>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</si>
  <si>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</si>
  <si>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</si>
  <si>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</si>
  <si>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</si>
  <si>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</si>
  <si>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</si>
  <si>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</si>
  <si>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</si>
  <si>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</si>
  <si>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</si>
  <si>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</si>
  <si>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</si>
  <si>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</si>
  <si>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</si>
  <si>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</si>
  <si>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</si>
  <si>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</si>
  <si>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</si>
  <si>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</si>
  <si>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</si>
  <si>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</si>
  <si>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</si>
  <si>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</si>
  <si>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</si>
  <si>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</si>
  <si>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</si>
  <si>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</si>
  <si>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</si>
  <si>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</si>
  <si>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</si>
  <si>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</si>
  <si>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</si>
  <si>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</si>
  <si>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</si>
  <si>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</si>
  <si>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</si>
  <si>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</si>
  <si>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</si>
  <si>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</si>
  <si>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</si>
  <si>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</si>
  <si>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</si>
  <si>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</si>
  <si>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</si>
  <si>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</si>
  <si>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</si>
  <si>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</si>
  <si>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ncap_pkcnt</t>
  </si>
  <si>
    <t>distr_sol*</t>
  </si>
  <si>
    <t>distr_wo*</t>
  </si>
  <si>
    <t>1-32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</si>
</sst>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2228.3294999999998</c:v>
                </c:pt>
                <c:pt idx="2">
                  <c:v>2789.9409999999998</c:v>
                </c:pt>
                <c:pt idx="3">
                  <c:v>3279.0864999999999</c:v>
                </c:pt>
                <c:pt idx="4">
                  <c:v>3840.6979999999999</c:v>
                </c:pt>
                <c:pt idx="5">
                  <c:v>4655.9404999999997</c:v>
                </c:pt>
                <c:pt idx="6">
                  <c:v>5163.2024999999994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176.95</c:v>
                </c:pt>
                <c:pt idx="3">
                  <c:v>242.69</c:v>
                </c:pt>
                <c:pt idx="4">
                  <c:v>325.37</c:v>
                </c:pt>
                <c:pt idx="5">
                  <c:v>430.26</c:v>
                </c:pt>
                <c:pt idx="6">
                  <c:v>592.32000000000005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149</v>
      </c>
    </row>
    <row r="2" spans="1:41" x14ac:dyDescent="0.45">
      <c r="D2" s="1" t="str">
        <f>"~Inputcell: "&amp;_xlfn.TEXTJOIN(",",TRUE,I1:EG1)</f>
        <v>~Inputcell: 1-32</v>
      </c>
      <c r="M2" s="2" t="s">
        <v>26</v>
      </c>
      <c r="N2" s="2"/>
      <c r="O2" s="2"/>
      <c r="P2" s="2" t="s">
        <v>17</v>
      </c>
    </row>
    <row r="3" spans="1:41" x14ac:dyDescent="0.45">
      <c r="D3" s="9">
        <v>33</v>
      </c>
      <c r="M3" s="10">
        <v>0</v>
      </c>
      <c r="N3" s="10" t="s">
        <v>9</v>
      </c>
      <c r="P3" s="10" t="s">
        <v>114</v>
      </c>
      <c r="Q3" s="10" t="s">
        <v>5</v>
      </c>
    </row>
    <row r="4" spans="1:41" x14ac:dyDescent="0.45">
      <c r="M4" s="10">
        <v>100</v>
      </c>
      <c r="N4" s="10" t="s">
        <v>7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base</v>
      </c>
      <c r="E5" s="30">
        <f>VLOOKUP($D$3,$C$9:$F$999,COLUMN()-2,FALSE)</f>
        <v>600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200</v>
      </c>
      <c r="N5" s="10" t="s">
        <v>5</v>
      </c>
    </row>
    <row r="6" spans="1:41" x14ac:dyDescent="0.45">
      <c r="F6" s="31"/>
      <c r="G6" s="31"/>
      <c r="M6" s="10">
        <v>300</v>
      </c>
      <c r="N6" s="10" t="s">
        <v>2</v>
      </c>
    </row>
    <row r="7" spans="1:41" x14ac:dyDescent="0.45">
      <c r="B7" s="14" t="s">
        <v>94</v>
      </c>
      <c r="F7" s="31"/>
      <c r="G7" s="31"/>
      <c r="M7" s="10">
        <v>600</v>
      </c>
      <c r="N7" s="10" t="s">
        <v>0</v>
      </c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8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1.23</v>
      </c>
      <c r="M14" s="11">
        <f>SUMIFS(ar6_r10!$J$2:$J$999,ar6_r10!$A$2:$A$999,$J$14,ar6_r10!$C$2:$C$999,Veda!M$17,ar6_r10!$M$2:$M$999,Veda!$I14)</f>
        <v>1.54</v>
      </c>
      <c r="N14" s="11">
        <f>SUMIFS(ar6_r10!$J$2:$J$999,ar6_r10!$A$2:$A$999,$J$14,ar6_r10!$C$2:$C$999,Veda!N$17,ar6_r10!$M$2:$M$999,Veda!$I14)</f>
        <v>1.81</v>
      </c>
      <c r="O14" s="11">
        <f>SUMIFS(ar6_r10!$J$2:$J$999,ar6_r10!$A$2:$A$999,$J$14,ar6_r10!$C$2:$C$999,Veda!O$17,ar6_r10!$M$2:$M$999,Veda!$I14)</f>
        <v>2.12</v>
      </c>
      <c r="P14" s="11">
        <f>SUMIFS(ar6_r10!$J$2:$J$999,ar6_r10!$A$2:$A$999,$J$14,ar6_r10!$C$2:$C$999,Veda!P$17,ar6_r10!$M$2:$M$999,Veda!$I14)</f>
        <v>2.57</v>
      </c>
      <c r="Q14" s="11">
        <f>SUMIFS(ar6_r10!$J$2:$J$999,ar6_r10!$A$2:$A$999,$J$14,ar6_r10!$C$2:$C$999,Veda!Q$17,ar6_r10!$M$2:$M$999,Veda!$I14)</f>
        <v>2.85</v>
      </c>
      <c r="V14" s="8">
        <f>U11</f>
        <v>1811.6499999999999</v>
      </c>
      <c r="W14" s="8">
        <f t="shared" ref="W14:AB14" si="4">$U$11*L14</f>
        <v>2228.3294999999998</v>
      </c>
      <c r="X14" s="8">
        <f t="shared" si="4"/>
        <v>2789.9409999999998</v>
      </c>
      <c r="Y14" s="8">
        <f t="shared" si="4"/>
        <v>3279.0864999999999</v>
      </c>
      <c r="Z14" s="8">
        <f t="shared" si="4"/>
        <v>3840.6979999999999</v>
      </c>
      <c r="AA14" s="8">
        <f t="shared" si="4"/>
        <v>4655.9404999999997</v>
      </c>
      <c r="AB14" s="8">
        <f t="shared" si="4"/>
        <v>5163.2024999999994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2.2400000000000002</v>
      </c>
      <c r="M15" s="11">
        <f>SUMIFS(ar6_r10!$J$2:$J$999,ar6_r10!$A$2:$A$999,$J$14,ar6_r10!$C$2:$C$999,Veda!M$17,ar6_r10!$M$2:$M$999,Veda!$I15)</f>
        <v>3.28</v>
      </c>
      <c r="N15" s="11">
        <f>SUMIFS(ar6_r10!$J$2:$J$999,ar6_r10!$A$2:$A$999,$J$14,ar6_r10!$C$2:$C$999,Veda!N$17,ar6_r10!$M$2:$M$999,Veda!$I15)</f>
        <v>7.17</v>
      </c>
      <c r="O15" s="11">
        <f>SUMIFS(ar6_r10!$J$2:$J$999,ar6_r10!$A$2:$A$999,$J$14,ar6_r10!$C$2:$C$999,Veda!O$17,ar6_r10!$M$2:$M$999,Veda!$I15)</f>
        <v>7.35</v>
      </c>
      <c r="P15" s="11">
        <f>SUMIFS(ar6_r10!$J$2:$J$999,ar6_r10!$A$2:$A$999,$J$14,ar6_r10!$C$2:$C$999,Veda!P$17,ar6_r10!$M$2:$M$999,Veda!$I15)</f>
        <v>13.56</v>
      </c>
      <c r="Q15" s="11">
        <f>SUMIFS(ar6_r10!$J$2:$J$999,ar6_r10!$A$2:$A$999,$J$14,ar6_r10!$C$2:$C$999,Veda!Q$17,ar6_r10!$M$2:$M$999,Veda!$I15)</f>
        <v>13.44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32.790864999999997</v>
      </c>
      <c r="Z18" s="6">
        <f t="shared" si="7"/>
        <v>76.813959999999994</v>
      </c>
      <c r="AA18" s="6">
        <f t="shared" si="7"/>
        <v>93.118809999999996</v>
      </c>
      <c r="AB18" s="6">
        <f t="shared" si="7"/>
        <v>154.89607499999997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1091.881455</v>
      </c>
      <c r="X19" s="6">
        <f t="shared" si="7"/>
        <v>1283.3728599999999</v>
      </c>
      <c r="Y19" s="6">
        <f t="shared" si="7"/>
        <v>1573.9615199999998</v>
      </c>
      <c r="Z19" s="6">
        <f t="shared" si="7"/>
        <v>1766.72108</v>
      </c>
      <c r="AA19" s="6">
        <f t="shared" si="7"/>
        <v>2234.8514399999999</v>
      </c>
      <c r="AB19" s="6">
        <f t="shared" si="7"/>
        <v>2426.7051749999996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1047.3148649999998</v>
      </c>
      <c r="X20" s="6">
        <f t="shared" si="7"/>
        <v>1255.47345</v>
      </c>
      <c r="Y20" s="6">
        <f t="shared" si="7"/>
        <v>1475.588925</v>
      </c>
      <c r="Z20" s="6">
        <f t="shared" si="7"/>
        <v>1805.1280599999998</v>
      </c>
      <c r="AA20" s="6">
        <f t="shared" si="7"/>
        <v>2048.61382</v>
      </c>
      <c r="AB20" s="6">
        <f t="shared" si="7"/>
        <v>2271.8090999999999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52.900179999999636</v>
      </c>
      <c r="X22" s="6">
        <f t="shared" si="10"/>
        <v>214.86168999999973</v>
      </c>
      <c r="Y22" s="6">
        <f t="shared" si="10"/>
        <v>193.30305499999986</v>
      </c>
      <c r="Z22" s="6">
        <f t="shared" si="10"/>
        <v>232.61585999999988</v>
      </c>
      <c r="AA22" s="6">
        <f t="shared" si="10"/>
        <v>336.24223999999958</v>
      </c>
      <c r="AB22" s="6">
        <f t="shared" si="10"/>
        <v>428.4552249999997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VLOOKUP(E5,$M$3:$N$7,2,FALSE)</f>
        <v>C1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176.95</v>
      </c>
      <c r="N24" s="8">
        <f>SUMIFS(ar6_r10!$F$2:$F$999,ar6_r10!$A$2:$A$999,$J$24,ar6_r10!$C$2:$C$999,Veda!N$17,ar6_r10!$M$2:$M$999,Veda!$I24)</f>
        <v>242.69</v>
      </c>
      <c r="O24" s="8">
        <f>SUMIFS(ar6_r10!$F$2:$F$999,ar6_r10!$A$2:$A$999,$J$24,ar6_r10!$C$2:$C$999,Veda!O$17,ar6_r10!$M$2:$M$999,Veda!$I24)</f>
        <v>325.37</v>
      </c>
      <c r="P24" s="8">
        <f>SUMIFS(ar6_r10!$F$2:$F$999,ar6_r10!$A$2:$A$999,$J$24,ar6_r10!$C$2:$C$999,Veda!P$17,ar6_r10!$M$2:$M$999,Veda!$I24)</f>
        <v>430.26</v>
      </c>
      <c r="Q24" s="8">
        <f>SUMIFS(ar6_r10!$F$2:$F$999,ar6_r10!$A$2:$A$999,$J$24,ar6_r10!$C$2:$C$999,Veda!Q$17,ar6_r10!$M$2:$M$999,Veda!$I24)</f>
        <v>592.32000000000005</v>
      </c>
      <c r="U24" s="26" t="s">
        <v>27</v>
      </c>
      <c r="V24" s="27"/>
      <c r="W24" s="27">
        <v>0</v>
      </c>
      <c r="X24" s="28">
        <f>M24/1000</f>
        <v>0.17695</v>
      </c>
      <c r="Y24" s="28">
        <f>N24/1000</f>
        <v>0.24268999999999999</v>
      </c>
      <c r="Z24" s="28">
        <f>O24/1000</f>
        <v>0.32536999999999999</v>
      </c>
      <c r="AA24" s="28">
        <f>P24/1000</f>
        <v>0.43025999999999998</v>
      </c>
      <c r="AB24" s="28">
        <f>Q24/1000</f>
        <v>0.59232000000000007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41">
        <v>5</v>
      </c>
      <c r="B41" t="str">
        <f t="shared" ref="B41:B48" si="15">_xlfn.TEXTJOIN(CHAR(183),TRUE,D41,TEXT(E41,"$000"),F41,TEXT(G41,"000%"))</f>
        <v>base·$600·Y·100%</v>
      </c>
      <c r="C41">
        <f t="shared" si="2"/>
        <v>33</v>
      </c>
      <c r="D41" t="s">
        <v>114</v>
      </c>
      <c r="E41">
        <v>600</v>
      </c>
      <c r="F41" s="33" t="s">
        <v>126</v>
      </c>
      <c r="G41" s="33">
        <v>1</v>
      </c>
      <c r="AL41" s="10">
        <f t="shared" si="5"/>
        <v>7</v>
      </c>
    </row>
    <row r="42" spans="1:38" x14ac:dyDescent="0.45">
      <c r="A42">
        <v>5</v>
      </c>
      <c r="B42" t="str">
        <f t="shared" si="15"/>
        <v>high·$600·Y·100%</v>
      </c>
      <c r="C42">
        <f t="shared" si="2"/>
        <v>34</v>
      </c>
      <c r="D42" t="s">
        <v>82</v>
      </c>
      <c r="E42">
        <v>600</v>
      </c>
      <c r="F42" s="33" t="s">
        <v>126</v>
      </c>
      <c r="G42" s="33">
        <v>1</v>
      </c>
      <c r="AL42" s="10">
        <f t="shared" si="5"/>
        <v>7</v>
      </c>
    </row>
    <row r="43" spans="1:38" x14ac:dyDescent="0.45">
      <c r="A43">
        <v>5</v>
      </c>
      <c r="B43" t="str">
        <f t="shared" si="15"/>
        <v>base·$600·N·100%</v>
      </c>
      <c r="C43">
        <f t="shared" si="2"/>
        <v>35</v>
      </c>
      <c r="D43" t="s">
        <v>114</v>
      </c>
      <c r="E43">
        <v>600</v>
      </c>
      <c r="F43" s="33" t="s">
        <v>127</v>
      </c>
      <c r="G43" s="33">
        <v>1</v>
      </c>
      <c r="I43" t="s">
        <v>101</v>
      </c>
      <c r="AL43" s="10">
        <f t="shared" si="5"/>
        <v>7</v>
      </c>
    </row>
    <row r="44" spans="1:38" x14ac:dyDescent="0.45">
      <c r="A44">
        <v>5</v>
      </c>
      <c r="B44" t="str">
        <f t="shared" si="15"/>
        <v>high·$600·N·100%</v>
      </c>
      <c r="C44">
        <f t="shared" si="2"/>
        <v>36</v>
      </c>
      <c r="D44" t="s">
        <v>82</v>
      </c>
      <c r="E44">
        <v>600</v>
      </c>
      <c r="F44" s="33" t="s">
        <v>127</v>
      </c>
      <c r="G44" s="33">
        <v>1</v>
      </c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6">M17</f>
        <v>2030</v>
      </c>
      <c r="N44">
        <f t="shared" si="16"/>
        <v>2035</v>
      </c>
      <c r="O44">
        <f t="shared" si="16"/>
        <v>2040</v>
      </c>
      <c r="P44">
        <f t="shared" si="16"/>
        <v>2045</v>
      </c>
      <c r="Q44">
        <f t="shared" si="16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A45">
        <v>5</v>
      </c>
      <c r="B45" t="str">
        <f t="shared" si="15"/>
        <v>base·$600·Y·001%</v>
      </c>
      <c r="C45">
        <f t="shared" si="2"/>
        <v>37</v>
      </c>
      <c r="D45" t="s">
        <v>114</v>
      </c>
      <c r="E45">
        <v>600</v>
      </c>
      <c r="F45" s="33" t="str">
        <f>F41</f>
        <v>Y</v>
      </c>
      <c r="G45" s="33">
        <v>0.01</v>
      </c>
      <c r="I45" t="s">
        <v>77</v>
      </c>
      <c r="J45" t="str">
        <f>I45</f>
        <v>Gas</v>
      </c>
      <c r="K45">
        <f>AVERAGE($T45)*K37</f>
        <v>30.9</v>
      </c>
      <c r="L45">
        <f t="shared" ref="L45:Q45" si="17">AVERAGE($T45)*L37</f>
        <v>32.136000000000003</v>
      </c>
      <c r="M45">
        <f t="shared" si="17"/>
        <v>33.99</v>
      </c>
      <c r="N45">
        <f t="shared" si="17"/>
        <v>33.372</v>
      </c>
      <c r="O45">
        <f t="shared" si="17"/>
        <v>38.315999999999995</v>
      </c>
      <c r="P45">
        <f t="shared" si="17"/>
        <v>40.17</v>
      </c>
      <c r="Q45">
        <f t="shared" si="17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A46">
        <v>5</v>
      </c>
      <c r="B46" t="str">
        <f t="shared" si="15"/>
        <v>high·$600·Y·001%</v>
      </c>
      <c r="C46">
        <f t="shared" si="2"/>
        <v>38</v>
      </c>
      <c r="D46" t="s">
        <v>82</v>
      </c>
      <c r="E46">
        <v>600</v>
      </c>
      <c r="F46" s="33" t="str">
        <f t="shared" ref="F46:F48" si="18">F42</f>
        <v>Y</v>
      </c>
      <c r="G46" s="33">
        <v>0.01</v>
      </c>
      <c r="I46" t="s">
        <v>78</v>
      </c>
      <c r="J46" t="str">
        <f t="shared" ref="J46:J48" si="19">I46</f>
        <v>Coal</v>
      </c>
      <c r="K46">
        <f t="shared" ref="K46:Q48" si="20">AVERAGE($T46:$U46)*K38</f>
        <v>9.8000000000000007</v>
      </c>
      <c r="L46">
        <f t="shared" si="20"/>
        <v>10.388000000000002</v>
      </c>
      <c r="M46">
        <f t="shared" si="20"/>
        <v>11.074</v>
      </c>
      <c r="N46">
        <f t="shared" si="20"/>
        <v>11.465999999999999</v>
      </c>
      <c r="O46">
        <f t="shared" si="20"/>
        <v>11.956000000000001</v>
      </c>
      <c r="P46">
        <f t="shared" si="20"/>
        <v>12.348000000000001</v>
      </c>
      <c r="Q46">
        <f t="shared" si="20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A47">
        <v>5</v>
      </c>
      <c r="B47" t="str">
        <f t="shared" si="15"/>
        <v>base·$600·N·001%</v>
      </c>
      <c r="C47">
        <f t="shared" si="2"/>
        <v>39</v>
      </c>
      <c r="D47" t="s">
        <v>114</v>
      </c>
      <c r="E47">
        <v>600</v>
      </c>
      <c r="F47" s="33" t="str">
        <f t="shared" si="18"/>
        <v>N</v>
      </c>
      <c r="G47" s="33">
        <v>0.01</v>
      </c>
      <c r="I47" t="s">
        <v>79</v>
      </c>
      <c r="J47" t="str">
        <f t="shared" si="19"/>
        <v>Oil</v>
      </c>
      <c r="K47">
        <f t="shared" si="20"/>
        <v>50</v>
      </c>
      <c r="L47">
        <f t="shared" si="20"/>
        <v>54</v>
      </c>
      <c r="M47">
        <f t="shared" si="20"/>
        <v>56.999999999999993</v>
      </c>
      <c r="N47">
        <f t="shared" si="20"/>
        <v>60</v>
      </c>
      <c r="O47">
        <f t="shared" si="20"/>
        <v>63.5</v>
      </c>
      <c r="P47">
        <f t="shared" si="20"/>
        <v>65</v>
      </c>
      <c r="Q47">
        <f t="shared" si="20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A48">
        <v>5</v>
      </c>
      <c r="B48" t="str">
        <f t="shared" si="15"/>
        <v>high·$600·N·001%</v>
      </c>
      <c r="C48">
        <f t="shared" si="2"/>
        <v>40</v>
      </c>
      <c r="D48" t="s">
        <v>82</v>
      </c>
      <c r="E48">
        <v>600</v>
      </c>
      <c r="F48" s="33" t="str">
        <f t="shared" si="18"/>
        <v>N</v>
      </c>
      <c r="G48" s="33">
        <v>0.01</v>
      </c>
      <c r="I48" t="s">
        <v>80</v>
      </c>
      <c r="J48" t="str">
        <f t="shared" si="19"/>
        <v>Bioenergy</v>
      </c>
      <c r="K48">
        <f t="shared" si="20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sortState xmlns:xlrd2="http://schemas.microsoft.com/office/spreadsheetml/2017/richdata2" ref="M3:N7">
    <sortCondition ref="M3:M7"/>
  </sortState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5"/>
  <sheetViews>
    <sheetView workbookViewId="0">
      <selection activeCell="F6" sqref="F6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6" spans="1:7" x14ac:dyDescent="0.45">
      <c r="C6" t="s">
        <v>146</v>
      </c>
      <c r="E6" t="s">
        <v>147</v>
      </c>
      <c r="F6">
        <v>0.15</v>
      </c>
    </row>
    <row r="7" spans="1:7" x14ac:dyDescent="0.45">
      <c r="C7" t="s">
        <v>146</v>
      </c>
      <c r="E7" t="s">
        <v>148</v>
      </c>
      <c r="F7">
        <v>0.35</v>
      </c>
    </row>
    <row r="11" spans="1:7" x14ac:dyDescent="0.45">
      <c r="C11" t="str">
        <f>IF($A$1="Y","DEF active","~TFM_INS: limtype=LO")</f>
        <v>DEF active</v>
      </c>
    </row>
    <row r="12" spans="1:7" x14ac:dyDescent="0.45">
      <c r="C12" t="s">
        <v>14</v>
      </c>
      <c r="D12" t="s">
        <v>131</v>
      </c>
      <c r="E12" t="s">
        <v>36</v>
      </c>
      <c r="F12" t="s">
        <v>128</v>
      </c>
      <c r="G12" t="s">
        <v>132</v>
      </c>
    </row>
    <row r="13" spans="1:7" x14ac:dyDescent="0.45">
      <c r="C13" t="s">
        <v>133</v>
      </c>
      <c r="D13" t="s">
        <v>134</v>
      </c>
      <c r="E13">
        <v>0</v>
      </c>
      <c r="F13">
        <v>-13</v>
      </c>
      <c r="G13" t="s">
        <v>135</v>
      </c>
    </row>
    <row r="14" spans="1:7" x14ac:dyDescent="0.45">
      <c r="C14" t="s">
        <v>136</v>
      </c>
      <c r="E14">
        <v>0</v>
      </c>
      <c r="F14">
        <v>-13</v>
      </c>
      <c r="G14" t="s">
        <v>137</v>
      </c>
    </row>
    <row r="17" spans="3:6" x14ac:dyDescent="0.45">
      <c r="C17" t="str">
        <f>IF($A$1="Y","DEF active","~TFM_UPD")</f>
        <v>DEF active</v>
      </c>
    </row>
    <row r="18" spans="3:6" x14ac:dyDescent="0.45">
      <c r="C18" t="s">
        <v>14</v>
      </c>
      <c r="D18" t="s">
        <v>141</v>
      </c>
      <c r="E18" t="s">
        <v>138</v>
      </c>
      <c r="F18" t="s">
        <v>128</v>
      </c>
    </row>
    <row r="19" spans="3:6" x14ac:dyDescent="0.45">
      <c r="C19" t="s">
        <v>140</v>
      </c>
      <c r="D19" t="s">
        <v>139</v>
      </c>
      <c r="E19" t="s">
        <v>139</v>
      </c>
      <c r="F19">
        <v>0</v>
      </c>
    </row>
    <row r="23" spans="3:6" x14ac:dyDescent="0.45">
      <c r="C23" t="str">
        <f>IF($A$2=1,"Tx cost 100%","~TFM_UPD")</f>
        <v>Tx cost 100%</v>
      </c>
    </row>
    <row r="24" spans="3:6" x14ac:dyDescent="0.45">
      <c r="C24" t="s">
        <v>14</v>
      </c>
      <c r="D24" t="s">
        <v>128</v>
      </c>
      <c r="E24" t="s">
        <v>144</v>
      </c>
    </row>
    <row r="25" spans="3:6" x14ac:dyDescent="0.45">
      <c r="C25" t="s">
        <v>143</v>
      </c>
      <c r="D25" t="str">
        <f>"*"&amp;A2</f>
        <v>*1</v>
      </c>
      <c r="E25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2026-06-15T06:14:46Z</dcterms:modified>
</cp:coreProperties>
</file>