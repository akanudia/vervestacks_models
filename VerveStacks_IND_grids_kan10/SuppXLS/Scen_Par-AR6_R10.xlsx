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66C9B7A2-C1F2-4C28-A7B5-AECC7458E63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5" l="1"/>
  <c r="C20" i="5"/>
  <c r="A2" i="5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9" i="1"/>
  <c r="C25" i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E40" i="1"/>
  <c r="E39" i="1"/>
  <c r="E38" i="1"/>
  <c r="E37" i="1"/>
  <c r="E32" i="1"/>
  <c r="E31" i="1"/>
  <c r="E30" i="1"/>
  <c r="E29" i="1"/>
  <c r="G5" i="1"/>
  <c r="D5" i="1"/>
  <c r="E5" i="1"/>
  <c r="F5" i="1"/>
  <c r="E24" i="1" l="1"/>
  <c r="E23" i="1"/>
  <c r="E22" i="1"/>
  <c r="E21" i="1"/>
  <c r="U12" i="1"/>
  <c r="E16" i="1"/>
  <c r="E15" i="1"/>
  <c r="E14" i="1"/>
  <c r="E13" i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A1" i="5"/>
  <c r="AL28" i="1"/>
  <c r="AL24" i="1"/>
  <c r="AL20" i="1"/>
  <c r="D2" i="1"/>
  <c r="J48" i="1"/>
  <c r="J47" i="1"/>
  <c r="J46" i="1"/>
  <c r="J45" i="1"/>
  <c r="C14" i="5" l="1"/>
  <c r="C8" i="5"/>
  <c r="C3" i="5"/>
  <c r="AL33" i="1"/>
  <c r="AL25" i="1"/>
  <c r="AL29" i="1"/>
  <c r="U48" i="1"/>
  <c r="T48" i="1"/>
  <c r="U47" i="1"/>
  <c r="T47" i="1"/>
  <c r="U46" i="1"/>
  <c r="T46" i="1"/>
  <c r="U45" i="1"/>
  <c r="T45" i="1"/>
  <c r="K40" i="1"/>
  <c r="K39" i="1"/>
  <c r="K38" i="1"/>
  <c r="K37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Q40" i="1" s="1"/>
  <c r="P17" i="1"/>
  <c r="P39" i="1" s="1"/>
  <c r="O17" i="1"/>
  <c r="O38" i="1" s="1"/>
  <c r="N17" i="1"/>
  <c r="N38" i="1" s="1"/>
  <c r="M17" i="1"/>
  <c r="M38" i="1" s="1"/>
  <c r="L17" i="1"/>
  <c r="L44" i="1" s="1"/>
  <c r="AL38" i="1" l="1"/>
  <c r="AL34" i="1"/>
  <c r="AL30" i="1"/>
  <c r="M40" i="1"/>
  <c r="L37" i="1"/>
  <c r="L45" i="1" s="1"/>
  <c r="L40" i="1"/>
  <c r="K47" i="1"/>
  <c r="N40" i="1"/>
  <c r="O40" i="1"/>
  <c r="P40" i="1"/>
  <c r="O44" i="1"/>
  <c r="P44" i="1"/>
  <c r="M37" i="1"/>
  <c r="M45" i="1" s="1"/>
  <c r="N37" i="1"/>
  <c r="N45" i="1" s="1"/>
  <c r="K46" i="1"/>
  <c r="M46" i="1"/>
  <c r="O37" i="1"/>
  <c r="O45" i="1" s="1"/>
  <c r="P37" i="1"/>
  <c r="P45" i="1" s="1"/>
  <c r="N46" i="1"/>
  <c r="O46" i="1"/>
  <c r="P38" i="1"/>
  <c r="P46" i="1" s="1"/>
  <c r="K48" i="1"/>
  <c r="P47" i="1"/>
  <c r="K45" i="1"/>
  <c r="M39" i="1"/>
  <c r="M47" i="1" s="1"/>
  <c r="N39" i="1"/>
  <c r="N47" i="1" s="1"/>
  <c r="L39" i="1"/>
  <c r="L47" i="1" s="1"/>
  <c r="O39" i="1"/>
  <c r="O47" i="1" s="1"/>
  <c r="Q39" i="1"/>
  <c r="Q47" i="1" s="1"/>
  <c r="Q37" i="1"/>
  <c r="Q45" i="1" s="1"/>
  <c r="M44" i="1"/>
  <c r="N44" i="1"/>
  <c r="Q38" i="1"/>
  <c r="Q46" i="1" s="1"/>
  <c r="Q44" i="1"/>
  <c r="L38" i="1"/>
  <c r="L46" i="1" s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J24" i="1" l="1"/>
  <c r="Q24" i="1" s="1"/>
  <c r="AB24" i="1" s="1"/>
  <c r="K15" i="1"/>
  <c r="K14" i="1"/>
  <c r="J14" i="1"/>
  <c r="AL59" i="1"/>
  <c r="AL55" i="1"/>
  <c r="P24" i="1" l="1"/>
  <c r="AA24" i="1" s="1"/>
  <c r="M24" i="1"/>
  <c r="X24" i="1" s="1"/>
  <c r="O24" i="1"/>
  <c r="Z24" i="1" s="1"/>
  <c r="N24" i="1"/>
  <c r="Y24" i="1" s="1"/>
  <c r="P15" i="1"/>
  <c r="AA23" i="1" s="1"/>
  <c r="Q15" i="1"/>
  <c r="AB23" i="1" s="1"/>
  <c r="O15" i="1"/>
  <c r="Z23" i="1" s="1"/>
  <c r="N15" i="1"/>
  <c r="Y23" i="1" s="1"/>
  <c r="M15" i="1"/>
  <c r="X23" i="1" s="1"/>
  <c r="L15" i="1"/>
  <c r="W23" i="1" s="1"/>
  <c r="L14" i="1"/>
  <c r="W14" i="1" s="1"/>
  <c r="Q48" i="1"/>
  <c r="Q18" i="1"/>
  <c r="O18" i="1"/>
  <c r="N18" i="1"/>
  <c r="N21" i="1"/>
  <c r="M21" i="1"/>
  <c r="K18" i="1"/>
  <c r="V18" i="1" s="1"/>
  <c r="M14" i="1"/>
  <c r="X14" i="1" s="1"/>
  <c r="N14" i="1"/>
  <c r="Y14" i="1" s="1"/>
  <c r="O14" i="1"/>
  <c r="Z14" i="1" s="1"/>
  <c r="P14" i="1"/>
  <c r="AA14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4" i="1"/>
  <c r="AB14" i="1" s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<sst xmlns="http://schemas.openxmlformats.org/spreadsheetml/2006/main" count="1803" uniqueCount="147">
  <si>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</si>
  <si>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</si>
  <si>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</si>
  <si>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</si>
  <si>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</si>
  <si>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</si>
  <si>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</si>
  <si>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</si>
  <si>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</si>
  <si>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</si>
  <si>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</si>
  <si>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</si>
  <si>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</si>
  <si>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</si>
  <si>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</si>
  <si>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</si>
  <si>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</si>
  <si>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</si>
  <si>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</si>
  <si>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</si>
  <si>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</si>
  <si>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</si>
  <si>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</si>
  <si>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</si>
  <si>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</si>
  <si>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</si>
  <si>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</si>
  <si>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</si>
  <si>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</si>
  <si>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</si>
  <si>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</si>
  <si>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</si>
  <si>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</si>
  <si>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</si>
  <si>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</si>
  <si>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</si>
  <si>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</si>
  <si>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</si>
  <si>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</si>
  <si>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</si>
  <si>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</si>
  <si>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</si>
  <si>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</si>
  <si>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</si>
  <si>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</si>
  <si>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</si>
  <si>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</si>
  <si>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</si>
  <si>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</si>
  <si>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</si>
  <si>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</si>
  <si>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</si>
  <si>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</si>
  <si>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</si>
  <si>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</si>
  <si>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</si>
  <si>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</si>
  <si>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</si>
  <si>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</si>
  <si>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</si>
  <si>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</si>
  <si>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</si>
  <si>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</si>
  <si>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</si>
  <si>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</si>
  <si>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</si>
  <si>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</si>
  <si>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</si>
  <si>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</si>
  <si>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</si>
  <si>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</si>
  <si>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</si>
  <si>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</si>
  <si>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</si>
  <si>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</si>
  <si>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</si>
  <si>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</si>
  <si>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</si>
  <si>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</si>
  <si>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</si>
  <si>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</si>
  <si>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</si>
  <si>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</si>
  <si>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</si>
  <si>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</si>
  <si>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</si>
  <si>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</si>
  <si>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</si>
  <si>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</si>
  <si>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</si>
  <si>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</si>
  <si>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</si>
  <si>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</si>
  <si>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</si>
  <si>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</si>
  <si>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</si>
  <si>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</si>
  <si>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</si>
  <si>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</si>
  <si>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</si>
  <si>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</si>
  <si>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</si>
  <si>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</si>
  <si>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</si>
  <si>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</si>
  <si>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</si>
  <si>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</si>
  <si>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</si>
  <si>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</si>
  <si>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</si>
  <si>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</si>
  <si>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</si>
  <si>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</si>
  <si>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</si>
  <si>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</si>
  <si>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</si>
  <si>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</si>
  <si>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</si>
  <si>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</si>
  <si>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</si>
  <si>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</si>
  <si>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</si>
  <si>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</si>
  <si>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</si>
  <si>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</si>
  <si>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</si>
  <si>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</si>
  <si>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</si>
  <si>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</si>
  <si>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</si>
  <si>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</si>
  <si>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</si>
  <si>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</si>
  <si>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</si>
  <si>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</si>
  <si>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</si>
  <si>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</si>
  <si>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</si>
  <si>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</si>
  <si>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</si>
  <si>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</si>
  <si>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</si>
  <si>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</si>
  <si>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</si>
  <si>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</si>
  <si>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</si>
  <si>
    <t>9-32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</si>
</sst>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454817</xdr:colOff>
      <xdr:row>0</xdr:row>
      <xdr:rowOff>142875</xdr:rowOff>
    </xdr:from>
    <xdr:to>
      <xdr:col>28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workbookViewId="0">
      <selection activeCell="I2" sqref="I2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 t="s">
        <v>146</v>
      </c>
    </row>
    <row r="2" spans="1:41" x14ac:dyDescent="0.45">
      <c r="D2" s="1" t="str">
        <f>"~Inputcell: "&amp;_xlfn.TEXTJOIN(",",TRUE,I1:EG1)</f>
        <v>~Inputcell: 9-32</v>
      </c>
      <c r="M2" s="2" t="s">
        <v>26</v>
      </c>
      <c r="N2" s="2"/>
      <c r="O2" s="2"/>
      <c r="P2" s="2" t="s">
        <v>17</v>
      </c>
    </row>
    <row r="3" spans="1:41" x14ac:dyDescent="0.45">
      <c r="D3" s="9">
        <v>5</v>
      </c>
      <c r="M3" s="10">
        <v>300</v>
      </c>
      <c r="N3" s="10" t="s">
        <v>2</v>
      </c>
      <c r="P3" s="10" t="s">
        <v>114</v>
      </c>
      <c r="Q3" s="10" t="s">
        <v>7</v>
      </c>
    </row>
    <row r="4" spans="1:41" x14ac:dyDescent="0.45">
      <c r="M4" s="10">
        <v>200</v>
      </c>
      <c r="N4" s="10" t="s">
        <v>5</v>
      </c>
      <c r="P4" s="10" t="s">
        <v>82</v>
      </c>
      <c r="Q4" s="10" t="s">
        <v>5</v>
      </c>
    </row>
    <row r="5" spans="1:41" x14ac:dyDescent="0.45">
      <c r="D5" s="30" t="str">
        <f>VLOOKUP($D$3,$C$9:$F$999,COLUMN()-2,FALSE)</f>
        <v>high</v>
      </c>
      <c r="E5" s="30">
        <f>VLOOKUP($D$3,$C$9:$F$999,COLUMN()-2,FALSE)</f>
        <v>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100</v>
      </c>
      <c r="N5" s="10" t="s">
        <v>7</v>
      </c>
    </row>
    <row r="6" spans="1:41" x14ac:dyDescent="0.45">
      <c r="F6" s="31"/>
      <c r="G6" s="31"/>
      <c r="M6" s="10">
        <v>0</v>
      </c>
      <c r="N6" s="10" t="s">
        <v>9</v>
      </c>
    </row>
    <row r="7" spans="1:41" x14ac:dyDescent="0.45">
      <c r="B7" s="14" t="s">
        <v>94</v>
      </c>
      <c r="F7" s="31"/>
      <c r="G7" s="31"/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0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C3</v>
      </c>
      <c r="K14" s="11">
        <f>SUMIFS(ar6_r10!$F$2:$F$999,ar6_r10!$A$2:$A$999,Veda!$E$5,ar6_r10!$C$2:$C$999,Veda!K$17,ar6_r10!$M$2:$M$999,Veda!$I14)</f>
        <v>0</v>
      </c>
      <c r="L14" s="11">
        <f>SUMIFS(ar6_r10!$F$2:$F$999,ar6_r10!$A$2:$A$999,$J$14,ar6_r10!$C$2:$C$999,Veda!L$17,ar6_r10!$M$2:$M$999,Veda!$I14)</f>
        <v>1.3</v>
      </c>
      <c r="M14" s="11">
        <f>SUMIFS(ar6_r10!$F$2:$F$999,ar6_r10!$A$2:$A$999,$J$14,ar6_r10!$C$2:$C$999,Veda!M$17,ar6_r10!$M$2:$M$999,Veda!$I14)</f>
        <v>1.62</v>
      </c>
      <c r="N14" s="11">
        <f>SUMIFS(ar6_r10!$F$2:$F$999,ar6_r10!$A$2:$A$999,$J$14,ar6_r10!$C$2:$C$999,Veda!N$17,ar6_r10!$M$2:$M$999,Veda!$I14)</f>
        <v>2.12</v>
      </c>
      <c r="O14" s="11">
        <f>SUMIFS(ar6_r10!$F$2:$F$999,ar6_r10!$A$2:$A$999,$J$14,ar6_r10!$C$2:$C$999,Veda!O$17,ar6_r10!$M$2:$M$999,Veda!$I14)</f>
        <v>2.64</v>
      </c>
      <c r="P14" s="11">
        <f>SUMIFS(ar6_r10!$F$2:$F$999,ar6_r10!$A$2:$A$999,$J$14,ar6_r10!$C$2:$C$999,Veda!P$17,ar6_r10!$M$2:$M$999,Veda!$I14)</f>
        <v>3.43</v>
      </c>
      <c r="Q14" s="11">
        <f>SUMIFS(ar6_r10!$F$2:$F$999,ar6_r10!$A$2:$A$999,$J$14,ar6_r10!$C$2:$C$999,Veda!Q$17,ar6_r10!$M$2:$M$999,Veda!$I14)</f>
        <v>4.1100000000000003</v>
      </c>
      <c r="V14" s="8">
        <f>U11</f>
        <v>1811.6499999999999</v>
      </c>
      <c r="W14" s="8">
        <f t="shared" ref="W14:AB14" si="4">$U$11*L14</f>
        <v>2355.145</v>
      </c>
      <c r="X14" s="8">
        <f t="shared" si="4"/>
        <v>2934.873</v>
      </c>
      <c r="Y14" s="8">
        <f t="shared" si="4"/>
        <v>3840.6979999999999</v>
      </c>
      <c r="Z14" s="8">
        <f t="shared" si="4"/>
        <v>4782.7560000000003</v>
      </c>
      <c r="AA14" s="8">
        <f t="shared" si="4"/>
        <v>6213.9594999999999</v>
      </c>
      <c r="AB14" s="8">
        <f t="shared" si="4"/>
        <v>7445.8815000000004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SUMIFS(ar6_r10!$F$2:$F$999,ar6_r10!$A$2:$A$999,$J$14,ar6_r10!$C$2:$C$999,Veda!L$17,ar6_r10!$M$2:$M$999,Veda!$I15)</f>
        <v>2.33</v>
      </c>
      <c r="M15" s="11">
        <f>SUMIFS(ar6_r10!$F$2:$F$999,ar6_r10!$A$2:$A$999,$J$14,ar6_r10!$C$2:$C$999,Veda!M$17,ar6_r10!$M$2:$M$999,Veda!$I15)</f>
        <v>4.4000000000000004</v>
      </c>
      <c r="N15" s="11">
        <f>SUMIFS(ar6_r10!$F$2:$F$999,ar6_r10!$A$2:$A$999,$J$14,ar6_r10!$C$2:$C$999,Veda!N$17,ar6_r10!$M$2:$M$999,Veda!$I15)</f>
        <v>7.61</v>
      </c>
      <c r="O15" s="11">
        <f>SUMIFS(ar6_r10!$F$2:$F$999,ar6_r10!$A$2:$A$999,$J$14,ar6_r10!$C$2:$C$999,Veda!O$17,ar6_r10!$M$2:$M$999,Veda!$I15)</f>
        <v>11.44</v>
      </c>
      <c r="P15" s="11">
        <f>SUMIFS(ar6_r10!$F$2:$F$999,ar6_r10!$A$2:$A$999,$J$14,ar6_r10!$C$2:$C$999,Veda!P$17,ar6_r10!$M$2:$M$999,Veda!$I15)</f>
        <v>19.03</v>
      </c>
      <c r="Q15" s="11">
        <f>SUMIFS(ar6_r10!$F$2:$F$999,ar6_r10!$A$2:$A$999,$J$14,ar6_r10!$C$2:$C$999,Veda!Q$17,ar6_r10!$M$2:$M$999,Veda!$I15)</f>
        <v>25.28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0</v>
      </c>
      <c r="W18" s="6">
        <f t="shared" si="7"/>
        <v>0</v>
      </c>
      <c r="X18" s="6">
        <f t="shared" si="7"/>
        <v>0</v>
      </c>
      <c r="Y18" s="6">
        <f t="shared" si="7"/>
        <v>38.406979999999997</v>
      </c>
      <c r="Z18" s="6">
        <f t="shared" si="7"/>
        <v>95.655120000000011</v>
      </c>
      <c r="AA18" s="6">
        <f t="shared" si="7"/>
        <v>124.27919</v>
      </c>
      <c r="AB18" s="6">
        <f t="shared" si="7"/>
        <v>223.37644500000002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0.49</v>
      </c>
      <c r="L19" s="11">
        <f>SUMIFS(ar6_r10!$F$2:$F$999,ar6_r10!$A$2:$A$999,$J$14,ar6_r10!$C$2:$C$999,Veda!L$17,ar6_r10!$M$2:$M$999,Veda!$I19)</f>
        <v>0.49</v>
      </c>
      <c r="M19" s="11">
        <f>SUMIFS(ar6_r10!$F$2:$F$999,ar6_r10!$A$2:$A$999,$J$14,ar6_r10!$C$2:$C$999,Veda!M$17,ar6_r10!$M$2:$M$999,Veda!$I19)</f>
        <v>0.46</v>
      </c>
      <c r="N19" s="11">
        <f>SUMIFS(ar6_r10!$F$2:$F$999,ar6_r10!$A$2:$A$999,$J$14,ar6_r10!$C$2:$C$999,Veda!N$17,ar6_r10!$M$2:$M$999,Veda!$I19)</f>
        <v>0.48</v>
      </c>
      <c r="O19" s="11">
        <f>SUMIFS(ar6_r10!$F$2:$F$999,ar6_r10!$A$2:$A$999,$J$14,ar6_r10!$C$2:$C$999,Veda!O$17,ar6_r10!$M$2:$M$999,Veda!$I19)</f>
        <v>0.46</v>
      </c>
      <c r="P19" s="11">
        <f>SUMIFS(ar6_r10!$F$2:$F$999,ar6_r10!$A$2:$A$999,$J$14,ar6_r10!$C$2:$C$999,Veda!P$17,ar6_r10!$M$2:$M$999,Veda!$I19)</f>
        <v>0.48</v>
      </c>
      <c r="Q19" s="11">
        <f>SUMIFS(ar6_r10!$F$2:$F$999,ar6_r10!$A$2:$A$999,$J$14,ar6_r10!$C$2:$C$999,Veda!Q$17,ar6_r10!$M$2:$M$999,Veda!$I19)</f>
        <v>0.47</v>
      </c>
      <c r="U19" s="10" t="s">
        <v>19</v>
      </c>
      <c r="V19" s="6">
        <f t="shared" si="7"/>
        <v>887.70849999999996</v>
      </c>
      <c r="W19" s="6">
        <f t="shared" si="7"/>
        <v>1154.0210500000001</v>
      </c>
      <c r="X19" s="6">
        <f t="shared" si="7"/>
        <v>1350.0415800000001</v>
      </c>
      <c r="Y19" s="6">
        <f t="shared" si="7"/>
        <v>1843.5350399999998</v>
      </c>
      <c r="Z19" s="6">
        <f t="shared" si="7"/>
        <v>2200.0677600000004</v>
      </c>
      <c r="AA19" s="6">
        <f t="shared" si="7"/>
        <v>2982.7005599999998</v>
      </c>
      <c r="AB19" s="6">
        <f t="shared" si="7"/>
        <v>3499.5643049999999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0.46</v>
      </c>
      <c r="L20" s="11">
        <f>SUMIFS(ar6_r10!$F$2:$F$999,ar6_r10!$A$2:$A$999,$J$14,ar6_r10!$C$2:$C$999,Veda!L$17,ar6_r10!$M$2:$M$999,Veda!$I20)</f>
        <v>0.47</v>
      </c>
      <c r="M20" s="11">
        <f>SUMIFS(ar6_r10!$F$2:$F$999,ar6_r10!$A$2:$A$999,$J$14,ar6_r10!$C$2:$C$999,Veda!M$17,ar6_r10!$M$2:$M$999,Veda!$I20)</f>
        <v>0.45</v>
      </c>
      <c r="N20" s="11">
        <f>SUMIFS(ar6_r10!$F$2:$F$999,ar6_r10!$A$2:$A$999,$J$14,ar6_r10!$C$2:$C$999,Veda!N$17,ar6_r10!$M$2:$M$999,Veda!$I20)</f>
        <v>0.45</v>
      </c>
      <c r="O20" s="11">
        <f>SUMIFS(ar6_r10!$F$2:$F$999,ar6_r10!$A$2:$A$999,$J$14,ar6_r10!$C$2:$C$999,Veda!O$17,ar6_r10!$M$2:$M$999,Veda!$I20)</f>
        <v>0.47</v>
      </c>
      <c r="P20" s="11">
        <f>SUMIFS(ar6_r10!$F$2:$F$999,ar6_r10!$A$2:$A$999,$J$14,ar6_r10!$C$2:$C$999,Veda!P$17,ar6_r10!$M$2:$M$999,Veda!$I20)</f>
        <v>0.44</v>
      </c>
      <c r="Q20" s="11">
        <f>SUMIFS(ar6_r10!$F$2:$F$999,ar6_r10!$A$2:$A$999,$J$14,ar6_r10!$C$2:$C$999,Veda!Q$17,ar6_r10!$M$2:$M$999,Veda!$I20)</f>
        <v>0.44</v>
      </c>
      <c r="U20" s="10" t="s">
        <v>22</v>
      </c>
      <c r="V20" s="6">
        <f t="shared" si="7"/>
        <v>833.35899999999992</v>
      </c>
      <c r="W20" s="6">
        <f t="shared" si="7"/>
        <v>1106.91815</v>
      </c>
      <c r="X20" s="6">
        <f t="shared" si="7"/>
        <v>1320.6928500000001</v>
      </c>
      <c r="Y20" s="6">
        <f t="shared" si="7"/>
        <v>1728.3141000000001</v>
      </c>
      <c r="Z20" s="6">
        <f t="shared" si="7"/>
        <v>2247.8953200000001</v>
      </c>
      <c r="AA20" s="6">
        <f t="shared" si="7"/>
        <v>2734.1421799999998</v>
      </c>
      <c r="AB20" s="6">
        <f t="shared" si="7"/>
        <v>3276.18786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0.02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0.05</v>
      </c>
      <c r="P21" s="11">
        <f>SUMIFS(ar6_r10!$F$2:$F$999,ar6_r10!$A$2:$A$999,$J$14,ar6_r10!$C$2:$C$999,Veda!P$17,ar6_r10!$M$2:$M$999,Veda!$I21)</f>
        <v>0.06</v>
      </c>
      <c r="Q21" s="11">
        <f>SUMIFS(ar6_r10!$F$2:$F$999,ar6_r10!$A$2:$A$999,$J$14,ar6_r10!$C$2:$C$999,Veda!Q$17,ar6_r10!$M$2:$M$999,Veda!$I21)</f>
        <v>0.06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54.349500000000035</v>
      </c>
      <c r="W22" s="6">
        <f t="shared" si="10"/>
        <v>57.972800000000007</v>
      </c>
      <c r="X22" s="6">
        <f t="shared" si="10"/>
        <v>227.90556999999944</v>
      </c>
      <c r="Y22" s="6">
        <f t="shared" si="10"/>
        <v>232.61585999999988</v>
      </c>
      <c r="Z22" s="6">
        <f t="shared" si="10"/>
        <v>298.55991999999969</v>
      </c>
      <c r="AA22" s="6">
        <f t="shared" si="10"/>
        <v>460.88375999999971</v>
      </c>
      <c r="AB22" s="6">
        <f t="shared" si="10"/>
        <v>633.89633500000036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VLOOKUP(E5,$M$3:$N$6,2,FALSE)</f>
        <v>C7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0</v>
      </c>
      <c r="N24" s="8">
        <f>SUMIFS(ar6_r10!$F$2:$F$999,ar6_r10!$A$2:$A$999,$J$24,ar6_r10!$C$2:$C$999,Veda!N$17,ar6_r10!$M$2:$M$999,Veda!$I24)</f>
        <v>0</v>
      </c>
      <c r="O24" s="8">
        <f>SUMIFS(ar6_r10!$F$2:$F$999,ar6_r10!$A$2:$A$999,$J$24,ar6_r10!$C$2:$C$999,Veda!O$17,ar6_r10!$M$2:$M$999,Veda!$I24)</f>
        <v>0</v>
      </c>
      <c r="P24" s="8">
        <f>SUMIFS(ar6_r10!$F$2:$F$999,ar6_r10!$A$2:$A$999,$J$24,ar6_r10!$C$2:$C$999,Veda!P$17,ar6_r10!$M$2:$M$999,Veda!$I24)</f>
        <v>0</v>
      </c>
      <c r="Q24" s="8">
        <f>SUMIFS(ar6_r10!$F$2:$F$999,ar6_r10!$A$2:$A$999,$J$24,ar6_r10!$C$2:$C$999,Veda!Q$17,ar6_r10!$M$2:$M$999,Veda!$I24)</f>
        <v>0</v>
      </c>
      <c r="U24" s="26" t="s">
        <v>27</v>
      </c>
      <c r="V24" s="27"/>
      <c r="W24" s="27"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8">
        <f>P24/1000</f>
        <v>0</v>
      </c>
      <c r="AB24" s="28">
        <f>Q24/1000</f>
        <v>0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SUMIFS(ar6_r10!$F$2:$F$999,ar6_r10!$A$2:$A$999,Veda!$I$36,ar6_r10!$C$2:$C$999,Veda!K$17,ar6_r10!$M$2:$M$999,Veda!$I37)</f>
        <v>1</v>
      </c>
      <c r="L37" s="11">
        <f>SUMIFS(ar6_r10!$F$2:$F$999,ar6_r10!$A$2:$A$999,Veda!$I$36,ar6_r10!$C$2:$C$999,Veda!L$17,ar6_r10!$M$2:$M$999,Veda!$I37)</f>
        <v>1.1100000000000001</v>
      </c>
      <c r="M37" s="11">
        <f>SUMIFS(ar6_r10!$F$2:$F$999,ar6_r10!$A$2:$A$999,Veda!$I$36,ar6_r10!$C$2:$C$999,Veda!M$17,ar6_r10!$M$2:$M$999,Veda!$I37)</f>
        <v>1.21</v>
      </c>
      <c r="N37" s="11">
        <f>SUMIFS(ar6_r10!$F$2:$F$999,ar6_r10!$A$2:$A$999,Veda!$I$36,ar6_r10!$C$2:$C$999,Veda!N$17,ar6_r10!$M$2:$M$999,Veda!$I37)</f>
        <v>1.1599999999999999</v>
      </c>
      <c r="O37" s="11">
        <f>SUMIFS(ar6_r10!$F$2:$F$999,ar6_r10!$A$2:$A$999,Veda!$I$36,ar6_r10!$C$2:$C$999,Veda!O$17,ar6_r10!$M$2:$M$999,Veda!$I37)</f>
        <v>1.36</v>
      </c>
      <c r="P37" s="11">
        <f>SUMIFS(ar6_r10!$F$2:$F$999,ar6_r10!$A$2:$A$999,Veda!$I$36,ar6_r10!$C$2:$C$999,Veda!P$17,ar6_r10!$M$2:$M$999,Veda!$I37)</f>
        <v>1.4</v>
      </c>
      <c r="Q37" s="11">
        <f>SUMIFS(ar6_r10!$F$2:$F$999,ar6_r10!$A$2:$A$999,Veda!$I$36,ar6_r10!$C$2:$C$999,Veda!Q$17,ar6_r10!$M$2:$M$999,Veda!$I37)</f>
        <v>1.44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SUMIFS(ar6_r10!$F$2:$F$999,ar6_r10!$A$2:$A$999,Veda!$I$36,ar6_r10!$C$2:$C$999,Veda!K$17,ar6_r10!$M$2:$M$999,Veda!$I38)</f>
        <v>1</v>
      </c>
      <c r="L38" s="11">
        <f>SUMIFS(ar6_r10!$F$2:$F$999,ar6_r10!$A$2:$A$999,Veda!$I$36,ar6_r10!$C$2:$C$999,Veda!L$17,ar6_r10!$M$2:$M$999,Veda!$I38)</f>
        <v>1.07</v>
      </c>
      <c r="M38" s="11">
        <f>SUMIFS(ar6_r10!$F$2:$F$999,ar6_r10!$A$2:$A$999,Veda!$I$36,ar6_r10!$C$2:$C$999,Veda!M$17,ar6_r10!$M$2:$M$999,Veda!$I38)</f>
        <v>1.17</v>
      </c>
      <c r="N38" s="11">
        <f>SUMIFS(ar6_r10!$F$2:$F$999,ar6_r10!$A$2:$A$999,Veda!$I$36,ar6_r10!$C$2:$C$999,Veda!N$17,ar6_r10!$M$2:$M$999,Veda!$I38)</f>
        <v>1.21</v>
      </c>
      <c r="O38" s="11">
        <f>SUMIFS(ar6_r10!$F$2:$F$999,ar6_r10!$A$2:$A$999,Veda!$I$36,ar6_r10!$C$2:$C$999,Veda!O$17,ar6_r10!$M$2:$M$999,Veda!$I38)</f>
        <v>1.37</v>
      </c>
      <c r="P38" s="11">
        <f>SUMIFS(ar6_r10!$F$2:$F$999,ar6_r10!$A$2:$A$999,Veda!$I$36,ar6_r10!$C$2:$C$999,Veda!P$17,ar6_r10!$M$2:$M$999,Veda!$I38)</f>
        <v>1.33</v>
      </c>
      <c r="Q38" s="11">
        <f>SUMIFS(ar6_r10!$F$2:$F$999,ar6_r10!$A$2:$A$999,Veda!$I$36,ar6_r10!$C$2:$C$999,Veda!Q$17,ar6_r10!$M$2:$M$999,Veda!$I38)</f>
        <v>1.52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SUMIFS(ar6_r10!$F$2:$F$999,ar6_r10!$A$2:$A$999,Veda!$I$36,ar6_r10!$C$2:$C$999,Veda!K$17,ar6_r10!$M$2:$M$999,Veda!$I39)</f>
        <v>1</v>
      </c>
      <c r="L39" s="11">
        <f>SUMIFS(ar6_r10!$F$2:$F$999,ar6_r10!$A$2:$A$999,Veda!$I$36,ar6_r10!$C$2:$C$999,Veda!L$17,ar6_r10!$M$2:$M$999,Veda!$I39)</f>
        <v>1.43</v>
      </c>
      <c r="M39" s="11">
        <f>SUMIFS(ar6_r10!$F$2:$F$999,ar6_r10!$A$2:$A$999,Veda!$I$36,ar6_r10!$C$2:$C$999,Veda!M$17,ar6_r10!$M$2:$M$999,Veda!$I39)</f>
        <v>1.58</v>
      </c>
      <c r="N39" s="11">
        <f>SUMIFS(ar6_r10!$F$2:$F$999,ar6_r10!$A$2:$A$999,Veda!$I$36,ar6_r10!$C$2:$C$999,Veda!N$17,ar6_r10!$M$2:$M$999,Veda!$I39)</f>
        <v>1.53</v>
      </c>
      <c r="O39" s="11">
        <f>SUMIFS(ar6_r10!$F$2:$F$999,ar6_r10!$A$2:$A$999,Veda!$I$36,ar6_r10!$C$2:$C$999,Veda!O$17,ar6_r10!$M$2:$M$999,Veda!$I39)</f>
        <v>1.74</v>
      </c>
      <c r="P39" s="11">
        <f>SUMIFS(ar6_r10!$F$2:$F$999,ar6_r10!$A$2:$A$999,Veda!$I$36,ar6_r10!$C$2:$C$999,Veda!P$17,ar6_r10!$M$2:$M$999,Veda!$I39)</f>
        <v>1.94</v>
      </c>
      <c r="Q39" s="11">
        <f>SUMIFS(ar6_r10!$F$2:$F$999,ar6_r10!$A$2:$A$999,Veda!$I$36,ar6_r10!$C$2:$C$999,Veda!Q$17,ar6_r10!$M$2:$M$999,Veda!$I39)</f>
        <v>2.2000000000000002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SUMIFS(ar6_r10!$F$2:$F$999,ar6_r10!$A$2:$A$999,Veda!$I$36,ar6_r10!$C$2:$C$999,Veda!K$17,ar6_r10!$M$2:$M$999,Veda!$I40)</f>
        <v>1</v>
      </c>
      <c r="L40" s="11">
        <f>SUMIFS(ar6_r10!$F$2:$F$999,ar6_r10!$A$2:$A$999,Veda!$I$36,ar6_r10!$C$2:$C$999,Veda!L$17,ar6_r10!$M$2:$M$999,Veda!$I40)</f>
        <v>1.05</v>
      </c>
      <c r="M40" s="11">
        <f>SUMIFS(ar6_r10!$F$2:$F$999,ar6_r10!$A$2:$A$999,Veda!$I$36,ar6_r10!$C$2:$C$999,Veda!M$17,ar6_r10!$M$2:$M$999,Veda!$I40)</f>
        <v>1.06</v>
      </c>
      <c r="N40" s="11">
        <f>SUMIFS(ar6_r10!$F$2:$F$999,ar6_r10!$A$2:$A$999,Veda!$I$36,ar6_r10!$C$2:$C$999,Veda!N$17,ar6_r10!$M$2:$M$999,Veda!$I40)</f>
        <v>1.04</v>
      </c>
      <c r="O40" s="11">
        <f>SUMIFS(ar6_r10!$F$2:$F$999,ar6_r10!$A$2:$A$999,Veda!$I$36,ar6_r10!$C$2:$C$999,Veda!O$17,ar6_r10!$M$2:$M$999,Veda!$I40)</f>
        <v>1</v>
      </c>
      <c r="P40" s="11">
        <f>SUMIFS(ar6_r10!$F$2:$F$999,ar6_r10!$A$2:$A$999,Veda!$I$36,ar6_r10!$C$2:$C$999,Veda!P$17,ar6_r10!$M$2:$M$999,Veda!$I40)</f>
        <v>0.95</v>
      </c>
      <c r="Q40" s="11">
        <f>SUMIFS(ar6_r10!$F$2:$F$999,ar6_r10!$A$2:$A$999,Veda!$I$36,ar6_r10!$C$2:$C$999,Veda!Q$17,ar6_r10!$M$2:$M$999,Veda!$I40)</f>
        <v>0.93</v>
      </c>
      <c r="AL40" s="10">
        <f t="shared" si="5"/>
        <v>7</v>
      </c>
    </row>
    <row r="41" spans="1:38" x14ac:dyDescent="0.45">
      <c r="AL41" s="10">
        <f t="shared" si="5"/>
        <v>7</v>
      </c>
    </row>
    <row r="42" spans="1:38" x14ac:dyDescent="0.45">
      <c r="AL42" s="10">
        <f t="shared" si="5"/>
        <v>7</v>
      </c>
    </row>
    <row r="43" spans="1:38" x14ac:dyDescent="0.45">
      <c r="I43" t="s">
        <v>101</v>
      </c>
      <c r="AL43" s="10">
        <f t="shared" si="5"/>
        <v>7</v>
      </c>
    </row>
    <row r="44" spans="1:38" x14ac:dyDescent="0.45"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5">M17</f>
        <v>2030</v>
      </c>
      <c r="N44">
        <f t="shared" si="15"/>
        <v>2035</v>
      </c>
      <c r="O44">
        <f t="shared" si="15"/>
        <v>2040</v>
      </c>
      <c r="P44">
        <f t="shared" si="15"/>
        <v>2045</v>
      </c>
      <c r="Q44">
        <f t="shared" si="15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I45" t="s">
        <v>77</v>
      </c>
      <c r="J45" t="str">
        <f>I45</f>
        <v>Gas</v>
      </c>
      <c r="K45">
        <f t="shared" ref="K45:Q48" si="16">AVERAGE($T45:$U45)*K37</f>
        <v>36</v>
      </c>
      <c r="L45">
        <f t="shared" si="16"/>
        <v>39.96</v>
      </c>
      <c r="M45">
        <f t="shared" si="16"/>
        <v>43.56</v>
      </c>
      <c r="N45">
        <f t="shared" si="16"/>
        <v>41.76</v>
      </c>
      <c r="O45">
        <f t="shared" si="16"/>
        <v>48.96</v>
      </c>
      <c r="P45">
        <f t="shared" si="16"/>
        <v>50.4</v>
      </c>
      <c r="Q45">
        <f t="shared" si="16"/>
        <v>51.839999999999996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I46" t="s">
        <v>78</v>
      </c>
      <c r="J46" t="str">
        <f t="shared" ref="J46:J48" si="17">I46</f>
        <v>Coal</v>
      </c>
      <c r="K46">
        <f t="shared" si="16"/>
        <v>9.8000000000000007</v>
      </c>
      <c r="L46">
        <f t="shared" si="16"/>
        <v>10.486000000000001</v>
      </c>
      <c r="M46">
        <f t="shared" si="16"/>
        <v>11.465999999999999</v>
      </c>
      <c r="N46">
        <f t="shared" si="16"/>
        <v>11.858000000000001</v>
      </c>
      <c r="O46">
        <f t="shared" si="16"/>
        <v>13.426000000000002</v>
      </c>
      <c r="P46">
        <f t="shared" si="16"/>
        <v>13.034000000000002</v>
      </c>
      <c r="Q46">
        <f t="shared" si="16"/>
        <v>14.896000000000001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I47" t="s">
        <v>79</v>
      </c>
      <c r="J47" t="str">
        <f t="shared" si="17"/>
        <v>Oil</v>
      </c>
      <c r="K47">
        <f t="shared" si="16"/>
        <v>50</v>
      </c>
      <c r="L47">
        <f t="shared" si="16"/>
        <v>71.5</v>
      </c>
      <c r="M47">
        <f t="shared" si="16"/>
        <v>79</v>
      </c>
      <c r="N47">
        <f t="shared" si="16"/>
        <v>76.5</v>
      </c>
      <c r="O47">
        <f t="shared" si="16"/>
        <v>87</v>
      </c>
      <c r="P47">
        <f t="shared" si="16"/>
        <v>97</v>
      </c>
      <c r="Q47">
        <f t="shared" si="16"/>
        <v>110.00000000000001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I48" t="s">
        <v>80</v>
      </c>
      <c r="J48" t="str">
        <f t="shared" si="17"/>
        <v>Bioenergy</v>
      </c>
      <c r="K48">
        <f t="shared" si="16"/>
        <v>18.5</v>
      </c>
      <c r="Q48">
        <f>VLOOKUP($J$14,$AM$9:$AO$15,3,FALSE)*K48</f>
        <v>55.5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2"/>
  <sheetViews>
    <sheetView workbookViewId="0">
      <selection activeCell="C21" sqref="C21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  <row r="20" spans="3:5" x14ac:dyDescent="0.45">
      <c r="C20" t="str">
        <f>IF($A$2=1,"Tx cost 100%","~TFM_UPD")</f>
        <v>Tx cost 100%</v>
      </c>
    </row>
    <row r="21" spans="3:5" x14ac:dyDescent="0.45">
      <c r="C21" t="s">
        <v>14</v>
      </c>
      <c r="D21" t="s">
        <v>128</v>
      </c>
      <c r="E21" t="s">
        <v>144</v>
      </c>
    </row>
    <row r="22" spans="3:5" x14ac:dyDescent="0.45">
      <c r="C22" t="s">
        <v>143</v>
      </c>
      <c r="D22" t="str">
        <f>"*"&amp;A2</f>
        <v>*1</v>
      </c>
      <c r="E22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2026-06-12T18:14:54Z</dcterms:modified>
</cp:coreProperties>
</file>