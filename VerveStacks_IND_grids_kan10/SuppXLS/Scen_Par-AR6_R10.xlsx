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459AA5F-0716-4D6F-84B2-E17D7B1E83E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5" i="1" l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4" i="5" s="1"/>
  <c r="E5" i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8" i="5"/>
  <c r="D22" i="5"/>
  <c r="C20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J24" i="1" l="1"/>
  <c r="Q24" i="1" s="1"/>
  <c r="AB24" i="1" s="1"/>
  <c r="K15" i="1"/>
  <c r="K14" i="1"/>
  <c r="J14" i="1"/>
  <c r="AL59" i="1"/>
  <c r="AL55" i="1"/>
  <c r="Q15" i="1" l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AB23" i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<sst xmlns="http://schemas.openxmlformats.org/spreadsheetml/2006/main" count="1803" uniqueCount="147">
  <si>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</si>
  <si>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</si>
  <si>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</si>
  <si>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</si>
  <si>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</si>
  <si>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</si>
  <si>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</si>
  <si>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</si>
  <si>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</si>
  <si>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</si>
  <si>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</si>
  <si>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</si>
  <si>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</si>
  <si>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</si>
  <si>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</si>
  <si>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</si>
  <si>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</si>
  <si>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</si>
  <si>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</si>
  <si>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</si>
  <si>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</si>
  <si>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</si>
  <si>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</si>
  <si>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</si>
  <si>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</si>
  <si>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</si>
  <si>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</si>
  <si>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</si>
  <si>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</si>
  <si>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</si>
  <si>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</si>
  <si>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</si>
  <si>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</si>
  <si>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</si>
  <si>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</si>
  <si>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</si>
  <si>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</si>
  <si>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</si>
  <si>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</si>
  <si>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</si>
  <si>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</si>
  <si>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</si>
  <si>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</si>
  <si>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</si>
  <si>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</si>
  <si>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</si>
  <si>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</si>
  <si>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</si>
  <si>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</si>
  <si>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</si>
  <si>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</si>
  <si>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</si>
  <si>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</si>
  <si>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</si>
  <si>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</si>
  <si>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</si>
  <si>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</si>
  <si>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</si>
  <si>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</si>
  <si>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</si>
  <si>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</si>
  <si>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</si>
  <si>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</si>
  <si>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</si>
  <si>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</si>
  <si>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</si>
  <si>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</si>
  <si>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</si>
  <si>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</si>
  <si>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</si>
  <si>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</si>
  <si>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</si>
  <si>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</si>
  <si>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</si>
  <si>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</si>
  <si>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</si>
  <si>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</si>
  <si>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</si>
  <si>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</si>
  <si>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</si>
  <si>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</si>
  <si>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</si>
  <si>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</si>
  <si>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</si>
  <si>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</si>
  <si>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</si>
  <si>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</si>
  <si>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</si>
  <si>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</si>
  <si>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</si>
  <si>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</si>
  <si>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</si>
  <si>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</si>
  <si>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</si>
  <si>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</si>
  <si>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</si>
  <si>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</si>
  <si>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</si>
  <si>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</si>
  <si>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</si>
  <si>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</si>
  <si>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</si>
  <si>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</si>
  <si>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</si>
  <si>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</si>
  <si>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</si>
  <si>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</si>
  <si>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</si>
  <si>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</si>
  <si>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</si>
  <si>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</si>
  <si>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</si>
  <si>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</si>
  <si>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</si>
  <si>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</si>
  <si>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</si>
  <si>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</si>
  <si>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</si>
  <si>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</si>
  <si>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</si>
  <si>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</si>
  <si>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</si>
  <si>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</si>
  <si>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</si>
  <si>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</si>
  <si>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</si>
  <si>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</si>
  <si>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</si>
  <si>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</si>
  <si>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</si>
  <si>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</si>
  <si>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</si>
  <si>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</si>
  <si>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</si>
  <si>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</si>
  <si>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</si>
  <si>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</si>
  <si>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</si>
  <si>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</si>
  <si>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</si>
  <si>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</si>
  <si>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</si>
  <si>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</si>
  <si>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</si>
  <si>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</si>
  <si>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</si>
  <si>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1-32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</si>
</sst>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2445.7275</c:v>
                </c:pt>
                <c:pt idx="2">
                  <c:v>3097.9214999999999</c:v>
                </c:pt>
                <c:pt idx="3">
                  <c:v>4021.8629999999998</c:v>
                </c:pt>
                <c:pt idx="4">
                  <c:v>4728.4064999999991</c:v>
                </c:pt>
                <c:pt idx="5">
                  <c:v>5905.9789999999994</c:v>
                </c:pt>
                <c:pt idx="6">
                  <c:v>6449.4739999999993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I2" sqref="I2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1-32</v>
      </c>
      <c r="M2" s="2" t="s">
        <v>26</v>
      </c>
      <c r="N2" s="2"/>
      <c r="O2" s="2"/>
      <c r="P2" s="2" t="s">
        <v>17</v>
      </c>
    </row>
    <row r="3" spans="1:41" x14ac:dyDescent="0.45">
      <c r="D3" s="9">
        <v>5</v>
      </c>
      <c r="M3" s="10">
        <v>300</v>
      </c>
      <c r="N3" s="10" t="s">
        <v>2</v>
      </c>
      <c r="P3" s="10" t="s">
        <v>114</v>
      </c>
      <c r="Q3" s="10" t="s">
        <v>5</v>
      </c>
    </row>
    <row r="4" spans="1:41" x14ac:dyDescent="0.45">
      <c r="M4" s="10">
        <v>200</v>
      </c>
      <c r="N4" s="10" t="s">
        <v>5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high</v>
      </c>
      <c r="E5" s="30">
        <f>VLOOKUP($D$3,$C$9:$F$999,COLUMN()-2,FALSE)</f>
        <v>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100</v>
      </c>
      <c r="N5" s="10" t="s">
        <v>7</v>
      </c>
    </row>
    <row r="6" spans="1:41" x14ac:dyDescent="0.45">
      <c r="F6" s="31"/>
      <c r="G6" s="31"/>
      <c r="M6" s="10">
        <v>0</v>
      </c>
      <c r="N6" s="10" t="s">
        <v>9</v>
      </c>
    </row>
    <row r="7" spans="1:41" x14ac:dyDescent="0.45">
      <c r="B7" s="14" t="s">
        <v>94</v>
      </c>
      <c r="F7" s="31"/>
      <c r="G7" s="31"/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0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C7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1.35</v>
      </c>
      <c r="M14" s="11">
        <f>SUMIFS(ar6_r10!$J$2:$J$999,ar6_r10!$A$2:$A$999,$J$14,ar6_r10!$C$2:$C$999,Veda!M$17,ar6_r10!$M$2:$M$999,Veda!$I14)</f>
        <v>1.71</v>
      </c>
      <c r="N14" s="11">
        <f>SUMIFS(ar6_r10!$J$2:$J$999,ar6_r10!$A$2:$A$999,$J$14,ar6_r10!$C$2:$C$999,Veda!N$17,ar6_r10!$M$2:$M$999,Veda!$I14)</f>
        <v>2.2200000000000002</v>
      </c>
      <c r="O14" s="11">
        <f>SUMIFS(ar6_r10!$J$2:$J$999,ar6_r10!$A$2:$A$999,$J$14,ar6_r10!$C$2:$C$999,Veda!O$17,ar6_r10!$M$2:$M$999,Veda!$I14)</f>
        <v>2.61</v>
      </c>
      <c r="P14" s="11">
        <f>SUMIFS(ar6_r10!$J$2:$J$999,ar6_r10!$A$2:$A$999,$J$14,ar6_r10!$C$2:$C$999,Veda!P$17,ar6_r10!$M$2:$M$999,Veda!$I14)</f>
        <v>3.26</v>
      </c>
      <c r="Q14" s="11">
        <f>SUMIFS(ar6_r10!$J$2:$J$999,ar6_r10!$A$2:$A$999,$J$14,ar6_r10!$C$2:$C$999,Veda!Q$17,ar6_r10!$M$2:$M$999,Veda!$I14)</f>
        <v>3.56</v>
      </c>
      <c r="V14" s="8">
        <f>U11</f>
        <v>1811.6499999999999</v>
      </c>
      <c r="W14" s="8">
        <f t="shared" ref="W14:AB14" si="4">$U$11*L14</f>
        <v>2445.7275</v>
      </c>
      <c r="X14" s="8">
        <f t="shared" si="4"/>
        <v>3097.9214999999999</v>
      </c>
      <c r="Y14" s="8">
        <f t="shared" si="4"/>
        <v>4021.8629999999998</v>
      </c>
      <c r="Z14" s="8">
        <f t="shared" si="4"/>
        <v>4728.4064999999991</v>
      </c>
      <c r="AA14" s="8">
        <f t="shared" si="4"/>
        <v>5905.9789999999994</v>
      </c>
      <c r="AB14" s="8">
        <f t="shared" si="4"/>
        <v>6449.4739999999993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1.23</v>
      </c>
      <c r="M15" s="11">
        <f>SUMIFS(ar6_r10!$J$2:$J$999,ar6_r10!$A$2:$A$999,$J$14,ar6_r10!$C$2:$C$999,Veda!M$17,ar6_r10!$M$2:$M$999,Veda!$I15)</f>
        <v>1.3</v>
      </c>
      <c r="N15" s="11">
        <f>SUMIFS(ar6_r10!$J$2:$J$999,ar6_r10!$A$2:$A$999,$J$14,ar6_r10!$C$2:$C$999,Veda!N$17,ar6_r10!$M$2:$M$999,Veda!$I15)</f>
        <v>2.71</v>
      </c>
      <c r="O15" s="11">
        <f>SUMIFS(ar6_r10!$J$2:$J$999,ar6_r10!$A$2:$A$999,$J$14,ar6_r10!$C$2:$C$999,Veda!O$17,ar6_r10!$M$2:$M$999,Veda!$I15)</f>
        <v>2.94</v>
      </c>
      <c r="P15" s="11">
        <f>SUMIFS(ar6_r10!$J$2:$J$999,ar6_r10!$A$2:$A$999,$J$14,ar6_r10!$C$2:$C$999,Veda!P$17,ar6_r10!$M$2:$M$999,Veda!$I15)</f>
        <v>5.92</v>
      </c>
      <c r="Q15" s="11">
        <f>SUMIFS(ar6_r10!$J$2:$J$999,ar6_r10!$A$2:$A$999,$J$14,ar6_r10!$C$2:$C$999,Veda!Q$17,ar6_r10!$M$2:$M$999,Veda!$I15)</f>
        <v>5.41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0.01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0.01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18.116499999999998</v>
      </c>
      <c r="W18" s="6">
        <f t="shared" si="7"/>
        <v>0</v>
      </c>
      <c r="X18" s="6">
        <f t="shared" si="7"/>
        <v>30.979215</v>
      </c>
      <c r="Y18" s="6">
        <f t="shared" si="7"/>
        <v>40.218629999999997</v>
      </c>
      <c r="Z18" s="6">
        <f t="shared" si="7"/>
        <v>94.568129999999982</v>
      </c>
      <c r="AA18" s="6">
        <f t="shared" si="7"/>
        <v>118.11957999999998</v>
      </c>
      <c r="AB18" s="6">
        <f t="shared" si="7"/>
        <v>193.48421999999997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0.53</v>
      </c>
      <c r="L19" s="11">
        <f>SUMIFS(ar6_r10!$F$2:$F$999,ar6_r10!$A$2:$A$999,$J$14,ar6_r10!$C$2:$C$999,Veda!L$17,ar6_r10!$M$2:$M$999,Veda!$I19)</f>
        <v>0.5</v>
      </c>
      <c r="M19" s="11">
        <f>SUMIFS(ar6_r10!$F$2:$F$999,ar6_r10!$A$2:$A$999,$J$14,ar6_r10!$C$2:$C$999,Veda!M$17,ar6_r10!$M$2:$M$999,Veda!$I19)</f>
        <v>0.52</v>
      </c>
      <c r="N19" s="11">
        <f>SUMIFS(ar6_r10!$F$2:$F$999,ar6_r10!$A$2:$A$999,$J$14,ar6_r10!$C$2:$C$999,Veda!N$17,ar6_r10!$M$2:$M$999,Veda!$I19)</f>
        <v>0.5</v>
      </c>
      <c r="O19" s="11">
        <f>SUMIFS(ar6_r10!$F$2:$F$999,ar6_r10!$A$2:$A$999,$J$14,ar6_r10!$C$2:$C$999,Veda!O$17,ar6_r10!$M$2:$M$999,Veda!$I19)</f>
        <v>0.47</v>
      </c>
      <c r="P19" s="11">
        <f>SUMIFS(ar6_r10!$F$2:$F$999,ar6_r10!$A$2:$A$999,$J$14,ar6_r10!$C$2:$C$999,Veda!P$17,ar6_r10!$M$2:$M$999,Veda!$I19)</f>
        <v>0.47</v>
      </c>
      <c r="Q19" s="11">
        <f>SUMIFS(ar6_r10!$F$2:$F$999,ar6_r10!$A$2:$A$999,$J$14,ar6_r10!$C$2:$C$999,Veda!Q$17,ar6_r10!$M$2:$M$999,Veda!$I19)</f>
        <v>0.45</v>
      </c>
      <c r="U19" s="10" t="s">
        <v>19</v>
      </c>
      <c r="V19" s="6">
        <f t="shared" si="7"/>
        <v>960.17449999999997</v>
      </c>
      <c r="W19" s="6">
        <f t="shared" si="7"/>
        <v>1222.86375</v>
      </c>
      <c r="X19" s="6">
        <f t="shared" si="7"/>
        <v>1610.9191800000001</v>
      </c>
      <c r="Y19" s="6">
        <f t="shared" si="7"/>
        <v>2010.9314999999999</v>
      </c>
      <c r="Z19" s="6">
        <f t="shared" si="7"/>
        <v>2222.3510549999996</v>
      </c>
      <c r="AA19" s="6">
        <f t="shared" si="7"/>
        <v>2775.8101299999994</v>
      </c>
      <c r="AB19" s="6">
        <f t="shared" si="7"/>
        <v>2902.2632999999996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0.45</v>
      </c>
      <c r="L20" s="11">
        <f>SUMIFS(ar6_r10!$F$2:$F$999,ar6_r10!$A$2:$A$999,$J$14,ar6_r10!$C$2:$C$999,Veda!L$17,ar6_r10!$M$2:$M$999,Veda!$I20)</f>
        <v>0.45</v>
      </c>
      <c r="M20" s="11">
        <f>SUMIFS(ar6_r10!$F$2:$F$999,ar6_r10!$A$2:$A$999,$J$14,ar6_r10!$C$2:$C$999,Veda!M$17,ar6_r10!$M$2:$M$999,Veda!$I20)</f>
        <v>0.44</v>
      </c>
      <c r="N20" s="11">
        <f>SUMIFS(ar6_r10!$F$2:$F$999,ar6_r10!$A$2:$A$999,$J$14,ar6_r10!$C$2:$C$999,Veda!N$17,ar6_r10!$M$2:$M$999,Veda!$I20)</f>
        <v>0.44</v>
      </c>
      <c r="O20" s="11">
        <f>SUMIFS(ar6_r10!$F$2:$F$999,ar6_r10!$A$2:$A$999,$J$14,ar6_r10!$C$2:$C$999,Veda!O$17,ar6_r10!$M$2:$M$999,Veda!$I20)</f>
        <v>0.45</v>
      </c>
      <c r="P20" s="11">
        <f>SUMIFS(ar6_r10!$F$2:$F$999,ar6_r10!$A$2:$A$999,$J$14,ar6_r10!$C$2:$C$999,Veda!P$17,ar6_r10!$M$2:$M$999,Veda!$I20)</f>
        <v>0.46</v>
      </c>
      <c r="Q20" s="11">
        <f>SUMIFS(ar6_r10!$F$2:$F$999,ar6_r10!$A$2:$A$999,$J$14,ar6_r10!$C$2:$C$999,Veda!Q$17,ar6_r10!$M$2:$M$999,Veda!$I20)</f>
        <v>0.47</v>
      </c>
      <c r="U20" s="10" t="s">
        <v>22</v>
      </c>
      <c r="V20" s="6">
        <f t="shared" si="7"/>
        <v>815.24249999999995</v>
      </c>
      <c r="W20" s="6">
        <f t="shared" si="7"/>
        <v>1100.5773750000001</v>
      </c>
      <c r="X20" s="6">
        <f t="shared" si="7"/>
        <v>1363.08546</v>
      </c>
      <c r="Y20" s="6">
        <f t="shared" si="7"/>
        <v>1769.6197199999999</v>
      </c>
      <c r="Z20" s="6">
        <f t="shared" si="7"/>
        <v>2127.7829249999995</v>
      </c>
      <c r="AA20" s="6">
        <f t="shared" si="7"/>
        <v>2716.7503399999996</v>
      </c>
      <c r="AB20" s="6">
        <f t="shared" si="7"/>
        <v>3031.2527799999993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0.03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0.04</v>
      </c>
      <c r="P21" s="11">
        <f>SUMIFS(ar6_r10!$F$2:$F$999,ar6_r10!$A$2:$A$999,$J$14,ar6_r10!$C$2:$C$999,Veda!P$17,ar6_r10!$M$2:$M$999,Veda!$I21)</f>
        <v>0.05</v>
      </c>
      <c r="Q21" s="11">
        <f>SUMIFS(ar6_r10!$F$2:$F$999,ar6_r10!$A$2:$A$999,$J$14,ar6_r10!$C$2:$C$999,Veda!Q$17,ar6_r10!$M$2:$M$999,Veda!$I21)</f>
        <v>0.05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0</v>
      </c>
      <c r="W22" s="6">
        <f t="shared" si="10"/>
        <v>86.053374999999505</v>
      </c>
      <c r="X22" s="6">
        <f t="shared" si="10"/>
        <v>87.68385999999964</v>
      </c>
      <c r="Y22" s="6">
        <f t="shared" si="10"/>
        <v>205.07877999999982</v>
      </c>
      <c r="Z22" s="6">
        <f t="shared" si="10"/>
        <v>342.03952000000027</v>
      </c>
      <c r="AA22" s="6">
        <f t="shared" si="10"/>
        <v>377.18553000000065</v>
      </c>
      <c r="AB22" s="6">
        <f t="shared" si="10"/>
        <v>479.72491999999966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VLOOKUP(E5,$M$3:$N$6,2,FALSE)</f>
        <v>C7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0</v>
      </c>
      <c r="N24" s="8">
        <f>SUMIFS(ar6_r10!$F$2:$F$999,ar6_r10!$A$2:$A$999,$J$24,ar6_r10!$C$2:$C$999,Veda!N$17,ar6_r10!$M$2:$M$999,Veda!$I24)</f>
        <v>0</v>
      </c>
      <c r="O24" s="8">
        <f>SUMIFS(ar6_r10!$F$2:$F$999,ar6_r10!$A$2:$A$999,$J$24,ar6_r10!$C$2:$C$999,Veda!O$17,ar6_r10!$M$2:$M$999,Veda!$I24)</f>
        <v>0</v>
      </c>
      <c r="P24" s="8">
        <f>SUMIFS(ar6_r10!$F$2:$F$999,ar6_r10!$A$2:$A$999,$J$24,ar6_r10!$C$2:$C$999,Veda!P$17,ar6_r10!$M$2:$M$999,Veda!$I24)</f>
        <v>0</v>
      </c>
      <c r="Q24" s="8">
        <f>SUMIFS(ar6_r10!$F$2:$F$999,ar6_r10!$A$2:$A$999,$J$24,ar6_r10!$C$2:$C$999,Veda!Q$17,ar6_r10!$M$2:$M$999,Veda!$I24)</f>
        <v>0</v>
      </c>
      <c r="U24" s="26" t="s">
        <v>27</v>
      </c>
      <c r="V24" s="27"/>
      <c r="W24" s="27"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8">
        <f>P24/1000</f>
        <v>0</v>
      </c>
      <c r="AB24" s="28">
        <f>Q24/1000</f>
        <v>0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L41" s="10">
        <f t="shared" si="5"/>
        <v>7</v>
      </c>
    </row>
    <row r="42" spans="1:38" x14ac:dyDescent="0.45">
      <c r="AL42" s="10">
        <f t="shared" si="5"/>
        <v>7</v>
      </c>
    </row>
    <row r="43" spans="1:38" x14ac:dyDescent="0.45">
      <c r="I43" t="s">
        <v>101</v>
      </c>
      <c r="AL43" s="10">
        <f t="shared" si="5"/>
        <v>7</v>
      </c>
    </row>
    <row r="44" spans="1:38" x14ac:dyDescent="0.45"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5">M17</f>
        <v>2030</v>
      </c>
      <c r="N44">
        <f t="shared" si="15"/>
        <v>2035</v>
      </c>
      <c r="O44">
        <f t="shared" si="15"/>
        <v>2040</v>
      </c>
      <c r="P44">
        <f t="shared" si="15"/>
        <v>2045</v>
      </c>
      <c r="Q44">
        <f t="shared" si="15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I45" t="s">
        <v>77</v>
      </c>
      <c r="J45" t="str">
        <f>I45</f>
        <v>Gas</v>
      </c>
      <c r="K45">
        <f>AVERAGE($T45)*K37</f>
        <v>30.9</v>
      </c>
      <c r="L45">
        <f t="shared" ref="L45:Q45" si="16">AVERAGE($T45)*L37</f>
        <v>32.136000000000003</v>
      </c>
      <c r="M45">
        <f t="shared" si="16"/>
        <v>33.99</v>
      </c>
      <c r="N45">
        <f t="shared" si="16"/>
        <v>33.372</v>
      </c>
      <c r="O45">
        <f t="shared" si="16"/>
        <v>38.315999999999995</v>
      </c>
      <c r="P45">
        <f t="shared" si="16"/>
        <v>40.17</v>
      </c>
      <c r="Q45">
        <f t="shared" si="16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I46" t="s">
        <v>78</v>
      </c>
      <c r="J46" t="str">
        <f t="shared" ref="J46:J48" si="17">I46</f>
        <v>Coal</v>
      </c>
      <c r="K46">
        <f t="shared" ref="K46:Q48" si="18">AVERAGE($T46:$U46)*K38</f>
        <v>9.8000000000000007</v>
      </c>
      <c r="L46">
        <f t="shared" si="18"/>
        <v>10.388000000000002</v>
      </c>
      <c r="M46">
        <f t="shared" si="18"/>
        <v>11.074</v>
      </c>
      <c r="N46">
        <f t="shared" si="18"/>
        <v>11.465999999999999</v>
      </c>
      <c r="O46">
        <f t="shared" si="18"/>
        <v>11.956000000000001</v>
      </c>
      <c r="P46">
        <f t="shared" si="18"/>
        <v>12.348000000000001</v>
      </c>
      <c r="Q46">
        <f t="shared" si="18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I47" t="s">
        <v>79</v>
      </c>
      <c r="J47" t="str">
        <f t="shared" si="17"/>
        <v>Oil</v>
      </c>
      <c r="K47">
        <f t="shared" si="18"/>
        <v>50</v>
      </c>
      <c r="L47">
        <f t="shared" si="18"/>
        <v>54</v>
      </c>
      <c r="M47">
        <f t="shared" si="18"/>
        <v>56.999999999999993</v>
      </c>
      <c r="N47">
        <f t="shared" si="18"/>
        <v>60</v>
      </c>
      <c r="O47">
        <f t="shared" si="18"/>
        <v>63.5</v>
      </c>
      <c r="P47">
        <f t="shared" si="18"/>
        <v>65</v>
      </c>
      <c r="Q47">
        <f t="shared" si="18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I48" t="s">
        <v>80</v>
      </c>
      <c r="J48" t="str">
        <f t="shared" si="17"/>
        <v>Bioenergy</v>
      </c>
      <c r="K48">
        <f t="shared" si="18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2026-06-13T14:22:24Z</dcterms:modified>
</cp:coreProperties>
</file>