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25\SuppXLS\"/>
    </mc:Choice>
  </mc:AlternateContent>
  <xr:revisionPtr revIDLastSave="0" documentId="13_ncr:1_{A936B4C9-7902-4F78-822A-E42DB64893F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M24" i="1" s="1"/>
  <c r="X24" i="1" s="1"/>
  <c r="I15" i="1"/>
  <c r="I14" i="1"/>
  <c r="D5" i="1"/>
  <c r="H14" i="1" s="1"/>
  <c r="AJ59" i="1"/>
  <c r="AJ55" i="1"/>
  <c r="N24" i="1" l="1"/>
  <c r="Y24" i="1" s="1"/>
  <c r="K24" i="1"/>
  <c r="V24" i="1" s="1"/>
  <c r="L24" i="1"/>
  <c r="W24" i="1" s="1"/>
  <c r="O24" i="1"/>
  <c r="Z24" i="1" s="1"/>
  <c r="L15" i="1"/>
  <c r="W23" i="1" s="1"/>
  <c r="K15" i="1"/>
  <c r="V23" i="1" s="1"/>
  <c r="N15" i="1"/>
  <c r="Y23" i="1" s="1"/>
  <c r="J15" i="1"/>
  <c r="U23" i="1" s="1"/>
  <c r="O15" i="1"/>
  <c r="Z23" i="1" s="1"/>
  <c r="M15" i="1"/>
  <c r="X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V22" i="1" s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X22" i="1"/>
  <c r="Y22" i="1"/>
  <c r="AJ69" i="1"/>
  <c r="AJ65" i="1"/>
  <c r="Z22" i="1" l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<sst xmlns="http://schemas.openxmlformats.org/spreadsheetml/2006/main" count="1717" uniqueCount="126">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</sst>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2264.5625</c:v>
                </c:pt>
                <c:pt idx="2">
                  <c:v>2826.174</c:v>
                </c:pt>
                <c:pt idx="3">
                  <c:v>3405.9019999999996</c:v>
                </c:pt>
                <c:pt idx="4">
                  <c:v>3949.3969999999999</c:v>
                </c:pt>
                <c:pt idx="5">
                  <c:v>4637.8239999999996</c:v>
                </c:pt>
                <c:pt idx="6">
                  <c:v>5181.3189999999995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topLeftCell="B1" workbookViewId="0">
      <selection activeCell="D4" sqref="D4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9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1811.6499999999999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1.25</v>
      </c>
      <c r="K14" s="11">
        <f>SUMIFS(ar6_r10!$F$2:$F$999,ar6_r10!$A$2:$A$999,$H$14,ar6_r10!$C$2:$C$999,Veda!K$17,ar6_r10!$M$2:$M$999,Veda!$G14)</f>
        <v>1.56</v>
      </c>
      <c r="L14" s="11">
        <f>SUMIFS(ar6_r10!$F$2:$F$999,ar6_r10!$A$2:$A$999,$H$14,ar6_r10!$C$2:$C$999,Veda!L$17,ar6_r10!$M$2:$M$999,Veda!$G14)</f>
        <v>1.88</v>
      </c>
      <c r="M14" s="11">
        <f>SUMIFS(ar6_r10!$F$2:$F$999,ar6_r10!$A$2:$A$999,$H$14,ar6_r10!$C$2:$C$999,Veda!M$17,ar6_r10!$M$2:$M$999,Veda!$G14)</f>
        <v>2.1800000000000002</v>
      </c>
      <c r="N14" s="11">
        <f>SUMIFS(ar6_r10!$F$2:$F$999,ar6_r10!$A$2:$A$999,$H$14,ar6_r10!$C$2:$C$999,Veda!N$17,ar6_r10!$M$2:$M$999,Veda!$G14)</f>
        <v>2.56</v>
      </c>
      <c r="O14" s="11">
        <f>SUMIFS(ar6_r10!$F$2:$F$999,ar6_r10!$A$2:$A$999,$H$14,ar6_r10!$C$2:$C$999,Veda!O$17,ar6_r10!$M$2:$M$999,Veda!$G14)</f>
        <v>2.86</v>
      </c>
      <c r="T14" s="8">
        <f>S11</f>
        <v>1811.6499999999999</v>
      </c>
      <c r="U14" s="8">
        <f t="shared" ref="U14:Z14" si="4">$S$11*J14</f>
        <v>2264.5625</v>
      </c>
      <c r="V14" s="8">
        <f t="shared" si="4"/>
        <v>2826.174</v>
      </c>
      <c r="W14" s="8">
        <f t="shared" si="4"/>
        <v>3405.9019999999996</v>
      </c>
      <c r="X14" s="8">
        <f t="shared" si="4"/>
        <v>3949.3969999999999</v>
      </c>
      <c r="Y14" s="8">
        <f t="shared" si="4"/>
        <v>4637.8239999999996</v>
      </c>
      <c r="Z14" s="8">
        <f t="shared" si="4"/>
        <v>5181.3189999999995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2.33</v>
      </c>
      <c r="K15" s="11">
        <f>SUMIFS(ar6_r10!$F$2:$F$999,ar6_r10!$A$2:$A$999,$H$14,ar6_r10!$C$2:$C$999,Veda!K$17,ar6_r10!$M$2:$M$999,Veda!$G15)</f>
        <v>4.4000000000000004</v>
      </c>
      <c r="L15" s="11">
        <f>SUMIFS(ar6_r10!$F$2:$F$999,ar6_r10!$A$2:$A$999,$H$14,ar6_r10!$C$2:$C$999,Veda!L$17,ar6_r10!$M$2:$M$999,Veda!$G15)</f>
        <v>7.61</v>
      </c>
      <c r="M15" s="11">
        <f>SUMIFS(ar6_r10!$F$2:$F$999,ar6_r10!$A$2:$A$999,$H$14,ar6_r10!$C$2:$C$999,Veda!M$17,ar6_r10!$M$2:$M$999,Veda!$G15)</f>
        <v>11.82</v>
      </c>
      <c r="N15" s="11">
        <f>SUMIFS(ar6_r10!$F$2:$F$999,ar6_r10!$A$2:$A$999,$H$14,ar6_r10!$C$2:$C$999,Veda!N$17,ar6_r10!$M$2:$M$999,Veda!$G15)</f>
        <v>19.03</v>
      </c>
      <c r="O15" s="11">
        <f>SUMIFS(ar6_r10!$F$2:$F$999,ar6_r10!$A$2:$A$999,$H$14,ar6_r10!$C$2:$C$999,Veda!O$17,ar6_r10!$M$2:$M$999,Veda!$G15)</f>
        <v>30.24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0.01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46.378239999999998</v>
      </c>
      <c r="Z18" s="6">
        <f t="shared" si="7"/>
        <v>51.813189999999999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0.47</v>
      </c>
      <c r="J19" s="11">
        <f>SUMIFS(ar6_r10!$F$2:$F$999,ar6_r10!$A$2:$A$999,$H$14,ar6_r10!$C$2:$C$999,Veda!J$17,ar6_r10!$M$2:$M$999,Veda!$G19)</f>
        <v>0.46</v>
      </c>
      <c r="K19" s="11">
        <f>SUMIFS(ar6_r10!$F$2:$F$999,ar6_r10!$A$2:$A$999,$H$14,ar6_r10!$C$2:$C$999,Veda!K$17,ar6_r10!$M$2:$M$999,Veda!$G19)</f>
        <v>0.41</v>
      </c>
      <c r="L19" s="11">
        <f>SUMIFS(ar6_r10!$F$2:$F$999,ar6_r10!$A$2:$A$999,$H$14,ar6_r10!$C$2:$C$999,Veda!L$17,ar6_r10!$M$2:$M$999,Veda!$G19)</f>
        <v>0.44</v>
      </c>
      <c r="M19" s="11">
        <f>SUMIFS(ar6_r10!$F$2:$F$999,ar6_r10!$A$2:$A$999,$H$14,ar6_r10!$C$2:$C$999,Veda!M$17,ar6_r10!$M$2:$M$999,Veda!$G19)</f>
        <v>0.42</v>
      </c>
      <c r="N19" s="11">
        <f>SUMIFS(ar6_r10!$F$2:$F$999,ar6_r10!$A$2:$A$999,$H$14,ar6_r10!$C$2:$C$999,Veda!N$17,ar6_r10!$M$2:$M$999,Veda!$G19)</f>
        <v>0.42</v>
      </c>
      <c r="O19" s="11">
        <f>SUMIFS(ar6_r10!$F$2:$F$999,ar6_r10!$A$2:$A$999,$H$14,ar6_r10!$C$2:$C$999,Veda!O$17,ar6_r10!$M$2:$M$999,Veda!$G19)</f>
        <v>0.43</v>
      </c>
      <c r="S19" s="10" t="s">
        <v>19</v>
      </c>
      <c r="T19" s="6">
        <f t="shared" si="7"/>
        <v>851.4754999999999</v>
      </c>
      <c r="U19" s="6">
        <f t="shared" si="7"/>
        <v>1041.69875</v>
      </c>
      <c r="V19" s="6">
        <f t="shared" si="7"/>
        <v>1158.7313399999998</v>
      </c>
      <c r="W19" s="6">
        <f t="shared" si="7"/>
        <v>1498.5968799999998</v>
      </c>
      <c r="X19" s="6">
        <f t="shared" si="7"/>
        <v>1658.7467399999998</v>
      </c>
      <c r="Y19" s="6">
        <f t="shared" si="7"/>
        <v>1947.8860799999998</v>
      </c>
      <c r="Z19" s="6">
        <f t="shared" si="7"/>
        <v>2227.9671699999999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0.4</v>
      </c>
      <c r="J20" s="11">
        <f>SUMIFS(ar6_r10!$F$2:$F$999,ar6_r10!$A$2:$A$999,$H$14,ar6_r10!$C$2:$C$999,Veda!J$17,ar6_r10!$M$2:$M$999,Veda!$G20)</f>
        <v>0.46</v>
      </c>
      <c r="K20" s="11">
        <f>SUMIFS(ar6_r10!$F$2:$F$999,ar6_r10!$A$2:$A$999,$H$14,ar6_r10!$C$2:$C$999,Veda!K$17,ar6_r10!$M$2:$M$999,Veda!$G20)</f>
        <v>0.46</v>
      </c>
      <c r="L20" s="11">
        <f>SUMIFS(ar6_r10!$F$2:$F$999,ar6_r10!$A$2:$A$999,$H$14,ar6_r10!$C$2:$C$999,Veda!L$17,ar6_r10!$M$2:$M$999,Veda!$G20)</f>
        <v>0.46</v>
      </c>
      <c r="M20" s="11">
        <f>SUMIFS(ar6_r10!$F$2:$F$999,ar6_r10!$A$2:$A$999,$H$14,ar6_r10!$C$2:$C$999,Veda!M$17,ar6_r10!$M$2:$M$999,Veda!$G20)</f>
        <v>0.48</v>
      </c>
      <c r="N20" s="11">
        <f>SUMIFS(ar6_r10!$F$2:$F$999,ar6_r10!$A$2:$A$999,$H$14,ar6_r10!$C$2:$C$999,Veda!N$17,ar6_r10!$M$2:$M$999,Veda!$G20)</f>
        <v>0.48</v>
      </c>
      <c r="O20" s="11">
        <f>SUMIFS(ar6_r10!$F$2:$F$999,ar6_r10!$A$2:$A$999,$H$14,ar6_r10!$C$2:$C$999,Veda!O$17,ar6_r10!$M$2:$M$999,Veda!$G20)</f>
        <v>0.47</v>
      </c>
      <c r="S20" s="10" t="s">
        <v>22</v>
      </c>
      <c r="T20" s="6">
        <f t="shared" si="7"/>
        <v>724.66</v>
      </c>
      <c r="U20" s="6">
        <f t="shared" si="7"/>
        <v>1041.69875</v>
      </c>
      <c r="V20" s="6">
        <f t="shared" si="7"/>
        <v>1300.0400400000001</v>
      </c>
      <c r="W20" s="6">
        <f t="shared" si="7"/>
        <v>1566.7149199999999</v>
      </c>
      <c r="X20" s="6">
        <f t="shared" si="7"/>
        <v>1895.71056</v>
      </c>
      <c r="Y20" s="6">
        <f t="shared" si="7"/>
        <v>2226.1555199999998</v>
      </c>
      <c r="Z20" s="6">
        <f t="shared" si="7"/>
        <v>2435.2199299999997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0.02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0.04</v>
      </c>
      <c r="O21" s="11">
        <f>SUMIFS(ar6_r10!$F$2:$F$999,ar6_r10!$A$2:$A$999,$H$14,ar6_r10!$C$2:$C$999,Veda!O$17,ar6_r10!$M$2:$M$999,Veda!$G21)</f>
        <v>0.05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199.28150000000005</v>
      </c>
      <c r="U22" s="6">
        <f t="shared" si="9"/>
        <v>144.93199999999979</v>
      </c>
      <c r="V22" s="6">
        <f t="shared" si="9"/>
        <v>331.16961999999967</v>
      </c>
      <c r="W22" s="6">
        <f t="shared" si="9"/>
        <v>304.35719999999992</v>
      </c>
      <c r="X22" s="6">
        <f t="shared" si="9"/>
        <v>358.70669999999973</v>
      </c>
      <c r="Y22" s="6">
        <f t="shared" si="9"/>
        <v>427.54939999999988</v>
      </c>
      <c r="Z22" s="6">
        <f t="shared" si="9"/>
        <v>481.89890000000014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7.84</v>
      </c>
      <c r="S28" t="s">
        <v>31</v>
      </c>
      <c r="T28" s="3">
        <f>Q28</f>
        <v>7.84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-10.25</v>
      </c>
      <c r="S29" t="s">
        <v>34</v>
      </c>
      <c r="T29" s="3">
        <f>-1*Q29</f>
        <v>10.25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18.5</v>
      </c>
      <c r="O48">
        <f>VLOOKUP($H$14,$AK$9:$AM$15,3,FALSE)*I48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2026-07-15T04:53:57Z</dcterms:modified>
</cp:coreProperties>
</file>