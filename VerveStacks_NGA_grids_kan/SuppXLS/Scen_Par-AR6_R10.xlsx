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NGA_grids_kan\SuppXLS\"/>
    </mc:Choice>
  </mc:AlternateContent>
  <xr:revisionPtr revIDLastSave="0" documentId="8_{0AE44C4A-316B-4744-81BC-20628E200B11}" xr6:coauthVersionLast="47" xr6:coauthVersionMax="47" xr10:uidLastSave="{00000000-0000-0000-0000-000000000000}"/>
  <bookViews>
    <workbookView xWindow="-98" yWindow="-98" windowWidth="28996" windowHeight="17475" firstSheet="8" activeTab="8" xr2:uid="{00000000-000D-0000-FFFF-FFFF00000000}"/>
  </bookViews>
  <sheets>
    <sheet name="Veda" sheetId="1" r:id="rId1"/>
    <sheet name="fuel_prices" sheetId="4" r:id="rId2"/>
    <sheet name="iea_data" sheetId="2" r:id="rId3"/>
    <sheet name="ar6_r10" sheetId="3" r:id="rId4"/>
    <sheet name="ev_charging_uc" sheetId="6" r:id="rId5"/>
    <sheet name="ts_012" sheetId="7" r:id="rId6"/>
    <sheet name="ts_048" sheetId="8" r:id="rId7"/>
    <sheet name="ts_annual" sheetId="9" r:id="rId8"/>
    <sheet name="ts_12t" sheetId="10" r:id="rId9"/>
  </sheets>
  <definedNames>
    <definedName name="_xlnm._FilterDatabase" localSheetId="0" hidden="1">Veda!$C$6:$E$63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9" i="10" l="1"/>
  <c r="AG9" i="10"/>
  <c r="AC9" i="10"/>
  <c r="A10" i="6"/>
  <c r="X9" i="10"/>
  <c r="S9" i="10"/>
  <c r="N9" i="10"/>
  <c r="I9" i="10"/>
  <c r="A11" i="10"/>
  <c r="C9" i="10" s="1"/>
  <c r="AK9" i="9"/>
  <c r="AG9" i="9"/>
  <c r="AC9" i="9"/>
  <c r="X9" i="9"/>
  <c r="S9" i="9"/>
  <c r="N9" i="9"/>
  <c r="I9" i="9"/>
  <c r="A11" i="9"/>
  <c r="C9" i="9" s="1"/>
  <c r="AK9" i="8"/>
  <c r="AG9" i="8"/>
  <c r="AC9" i="8"/>
  <c r="X9" i="8"/>
  <c r="S9" i="8"/>
  <c r="N9" i="8"/>
  <c r="I9" i="8"/>
  <c r="A11" i="8"/>
  <c r="C9" i="8" s="1"/>
  <c r="AK9" i="7"/>
  <c r="AG9" i="7"/>
  <c r="AC9" i="7"/>
  <c r="X9" i="7"/>
  <c r="S9" i="7"/>
  <c r="N9" i="7"/>
  <c r="I9" i="7"/>
  <c r="A11" i="7"/>
  <c r="C9" i="7" s="1"/>
  <c r="C10" i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D77" i="1"/>
  <c r="D73" i="1"/>
  <c r="D72" i="1"/>
  <c r="E69" i="1"/>
  <c r="E74" i="1" s="1"/>
  <c r="D67" i="1"/>
  <c r="E64" i="1"/>
  <c r="D10" i="1"/>
  <c r="B10" i="1" s="1"/>
  <c r="D11" i="1"/>
  <c r="B11" i="1" s="1"/>
  <c r="D12" i="1"/>
  <c r="B12" i="1" s="1"/>
  <c r="D13" i="1"/>
  <c r="B13" i="1" s="1"/>
  <c r="D17" i="1"/>
  <c r="D18" i="1"/>
  <c r="D22" i="1"/>
  <c r="D27" i="1"/>
  <c r="D32" i="1"/>
  <c r="D37" i="1"/>
  <c r="D38" i="1"/>
  <c r="D42" i="1"/>
  <c r="D43" i="1"/>
  <c r="D47" i="1"/>
  <c r="D52" i="1"/>
  <c r="D57" i="1"/>
  <c r="D58" i="1"/>
  <c r="D62" i="1"/>
  <c r="D63" i="1"/>
  <c r="D9" i="1"/>
  <c r="B9" i="1" s="1"/>
  <c r="AJ15" i="1"/>
  <c r="D15" i="1" s="1"/>
  <c r="AJ16" i="1"/>
  <c r="AJ21" i="1" s="1"/>
  <c r="AJ26" i="1" s="1"/>
  <c r="AJ31" i="1" s="1"/>
  <c r="AJ36" i="1" s="1"/>
  <c r="AJ41" i="1" s="1"/>
  <c r="AJ46" i="1" s="1"/>
  <c r="AJ51" i="1" s="1"/>
  <c r="AJ56" i="1" s="1"/>
  <c r="AJ61" i="1" s="1"/>
  <c r="AJ66" i="1" s="1"/>
  <c r="AJ71" i="1" s="1"/>
  <c r="AJ76" i="1" s="1"/>
  <c r="D76" i="1" s="1"/>
  <c r="AJ17" i="1"/>
  <c r="AJ22" i="1" s="1"/>
  <c r="AJ27" i="1" s="1"/>
  <c r="AJ32" i="1" s="1"/>
  <c r="AJ37" i="1" s="1"/>
  <c r="AJ42" i="1" s="1"/>
  <c r="AJ47" i="1" s="1"/>
  <c r="AJ52" i="1" s="1"/>
  <c r="AJ57" i="1" s="1"/>
  <c r="AJ62" i="1" s="1"/>
  <c r="AJ67" i="1" s="1"/>
  <c r="AJ72" i="1" s="1"/>
  <c r="AJ77" i="1" s="1"/>
  <c r="AJ18" i="1"/>
  <c r="AJ23" i="1"/>
  <c r="D23" i="1" s="1"/>
  <c r="AJ28" i="1"/>
  <c r="D28" i="1" s="1"/>
  <c r="AJ33" i="1"/>
  <c r="AJ38" i="1" s="1"/>
  <c r="AJ43" i="1" s="1"/>
  <c r="AJ48" i="1" s="1"/>
  <c r="AJ53" i="1" s="1"/>
  <c r="AJ58" i="1" s="1"/>
  <c r="AJ63" i="1" s="1"/>
  <c r="AJ68" i="1" s="1"/>
  <c r="AJ73" i="1" s="1"/>
  <c r="AJ78" i="1" s="1"/>
  <c r="D78" i="1" s="1"/>
  <c r="AJ14" i="1"/>
  <c r="AJ19" i="1" s="1"/>
  <c r="E15" i="1"/>
  <c r="E20" i="1" s="1"/>
  <c r="E25" i="1" s="1"/>
  <c r="E30" i="1" s="1"/>
  <c r="E35" i="1" s="1"/>
  <c r="E40" i="1" s="1"/>
  <c r="E45" i="1" s="1"/>
  <c r="E50" i="1" s="1"/>
  <c r="E55" i="1" s="1"/>
  <c r="E60" i="1" s="1"/>
  <c r="E65" i="1" s="1"/>
  <c r="E16" i="1"/>
  <c r="E17" i="1"/>
  <c r="B17" i="1" s="1"/>
  <c r="E18" i="1"/>
  <c r="B18" i="1" s="1"/>
  <c r="E21" i="1"/>
  <c r="E22" i="1"/>
  <c r="E27" i="1" s="1"/>
  <c r="E32" i="1" s="1"/>
  <c r="E37" i="1" s="1"/>
  <c r="E42" i="1" s="1"/>
  <c r="E47" i="1" s="1"/>
  <c r="E52" i="1" s="1"/>
  <c r="E57" i="1" s="1"/>
  <c r="E62" i="1" s="1"/>
  <c r="B62" i="1" s="1"/>
  <c r="E23" i="1"/>
  <c r="E28" i="1" s="1"/>
  <c r="E26" i="1"/>
  <c r="E31" i="1" s="1"/>
  <c r="E36" i="1" s="1"/>
  <c r="E41" i="1" s="1"/>
  <c r="E46" i="1" s="1"/>
  <c r="E51" i="1" s="1"/>
  <c r="E56" i="1" s="1"/>
  <c r="E61" i="1" s="1"/>
  <c r="E66" i="1" s="1"/>
  <c r="E14" i="1"/>
  <c r="E19" i="1" s="1"/>
  <c r="E24" i="1" s="1"/>
  <c r="E29" i="1" s="1"/>
  <c r="E34" i="1" s="1"/>
  <c r="E39" i="1" s="1"/>
  <c r="E44" i="1" s="1"/>
  <c r="E49" i="1" s="1"/>
  <c r="E54" i="1" s="1"/>
  <c r="E59" i="1" s="1"/>
  <c r="E70" i="1" l="1"/>
  <c r="E33" i="1"/>
  <c r="B28" i="1"/>
  <c r="B16" i="1"/>
  <c r="AJ24" i="1"/>
  <c r="D19" i="1"/>
  <c r="B19" i="1" s="1"/>
  <c r="D21" i="1"/>
  <c r="B21" i="1" s="1"/>
  <c r="B52" i="1"/>
  <c r="D36" i="1"/>
  <c r="B36" i="1" s="1"/>
  <c r="B23" i="1"/>
  <c r="D41" i="1"/>
  <c r="B41" i="1" s="1"/>
  <c r="B47" i="1"/>
  <c r="D26" i="1"/>
  <c r="B26" i="1" s="1"/>
  <c r="B57" i="1"/>
  <c r="D71" i="1"/>
  <c r="D16" i="1"/>
  <c r="D31" i="1"/>
  <c r="B31" i="1" s="1"/>
  <c r="B15" i="1"/>
  <c r="B27" i="1"/>
  <c r="D61" i="1"/>
  <c r="B61" i="1" s="1"/>
  <c r="D33" i="1"/>
  <c r="D53" i="1"/>
  <c r="D51" i="1"/>
  <c r="B51" i="1" s="1"/>
  <c r="AJ20" i="1"/>
  <c r="D48" i="1"/>
  <c r="B56" i="1"/>
  <c r="D46" i="1"/>
  <c r="B46" i="1" s="1"/>
  <c r="E67" i="1"/>
  <c r="D14" i="1"/>
  <c r="B14" i="1" s="1"/>
  <c r="B22" i="1"/>
  <c r="D56" i="1"/>
  <c r="B42" i="1"/>
  <c r="B37" i="1"/>
  <c r="D66" i="1"/>
  <c r="B66" i="1" s="1"/>
  <c r="D68" i="1"/>
  <c r="B32" i="1"/>
  <c r="E71" i="1"/>
  <c r="B71" i="1" s="1"/>
  <c r="D2" i="1"/>
  <c r="H48" i="1"/>
  <c r="H47" i="1"/>
  <c r="H46" i="1"/>
  <c r="H45" i="1"/>
  <c r="H24" i="6"/>
  <c r="H23" i="6"/>
  <c r="D5" i="1"/>
  <c r="H21" i="6" l="1"/>
  <c r="AJ25" i="1"/>
  <c r="D20" i="1"/>
  <c r="B20" i="1" s="1"/>
  <c r="AJ29" i="1"/>
  <c r="D24" i="1"/>
  <c r="B24" i="1" s="1"/>
  <c r="E72" i="1"/>
  <c r="B67" i="1"/>
  <c r="E38" i="1"/>
  <c r="B33" i="1"/>
  <c r="E75" i="1"/>
  <c r="E76" i="1"/>
  <c r="B76" i="1" s="1"/>
  <c r="E5" i="1"/>
  <c r="I24" i="6"/>
  <c r="I23" i="6" s="1"/>
  <c r="E24" i="6"/>
  <c r="E23" i="6"/>
  <c r="S48" i="1"/>
  <c r="R48" i="1"/>
  <c r="S47" i="1"/>
  <c r="R47" i="1"/>
  <c r="S46" i="1"/>
  <c r="R46" i="1"/>
  <c r="S45" i="1"/>
  <c r="R45" i="1"/>
  <c r="I40" i="1"/>
  <c r="I39" i="1"/>
  <c r="I38" i="1"/>
  <c r="I37" i="1"/>
  <c r="Q29" i="1"/>
  <c r="T29" i="1" s="1"/>
  <c r="Q28" i="1"/>
  <c r="T28" i="1" s="1"/>
  <c r="Z27" i="1"/>
  <c r="Y27" i="1"/>
  <c r="X27" i="1"/>
  <c r="W27" i="1"/>
  <c r="V27" i="1"/>
  <c r="U27" i="1"/>
  <c r="T27" i="1"/>
  <c r="O17" i="1"/>
  <c r="O40" i="1" s="1"/>
  <c r="N17" i="1"/>
  <c r="N39" i="1" s="1"/>
  <c r="M17" i="1"/>
  <c r="M38" i="1" s="1"/>
  <c r="L17" i="1"/>
  <c r="L38" i="1" s="1"/>
  <c r="K17" i="1"/>
  <c r="K38" i="1" s="1"/>
  <c r="J17" i="1"/>
  <c r="J44" i="1" s="1"/>
  <c r="E43" i="1" l="1"/>
  <c r="B38" i="1"/>
  <c r="B72" i="1"/>
  <c r="E77" i="1"/>
  <c r="B77" i="1" s="1"/>
  <c r="D29" i="1"/>
  <c r="B29" i="1" s="1"/>
  <c r="AJ34" i="1"/>
  <c r="D25" i="1"/>
  <c r="B25" i="1" s="1"/>
  <c r="AJ30" i="1"/>
  <c r="K40" i="1"/>
  <c r="J37" i="1"/>
  <c r="J45" i="1" s="1"/>
  <c r="J40" i="1"/>
  <c r="I47" i="1"/>
  <c r="L40" i="1"/>
  <c r="M40" i="1"/>
  <c r="N40" i="1"/>
  <c r="M44" i="1"/>
  <c r="N44" i="1"/>
  <c r="K37" i="1"/>
  <c r="K45" i="1" s="1"/>
  <c r="L37" i="1"/>
  <c r="L45" i="1" s="1"/>
  <c r="I46" i="1"/>
  <c r="K46" i="1"/>
  <c r="M37" i="1"/>
  <c r="M45" i="1" s="1"/>
  <c r="N37" i="1"/>
  <c r="N45" i="1" s="1"/>
  <c r="L46" i="1"/>
  <c r="M46" i="1"/>
  <c r="N38" i="1"/>
  <c r="N46" i="1" s="1"/>
  <c r="I48" i="1"/>
  <c r="O48" i="1" s="1"/>
  <c r="N47" i="1"/>
  <c r="I45" i="1"/>
  <c r="K39" i="1"/>
  <c r="K47" i="1" s="1"/>
  <c r="L39" i="1"/>
  <c r="L47" i="1" s="1"/>
  <c r="J39" i="1"/>
  <c r="J47" i="1" s="1"/>
  <c r="M39" i="1"/>
  <c r="M47" i="1" s="1"/>
  <c r="O39" i="1"/>
  <c r="O47" i="1" s="1"/>
  <c r="O37" i="1"/>
  <c r="O45" i="1" s="1"/>
  <c r="K44" i="1"/>
  <c r="L44" i="1"/>
  <c r="O38" i="1"/>
  <c r="O46" i="1" s="1"/>
  <c r="O44" i="1"/>
  <c r="J38" i="1"/>
  <c r="J46" i="1" s="1"/>
  <c r="M20" i="1"/>
  <c r="N20" i="1"/>
  <c r="I21" i="1"/>
  <c r="J21" i="1"/>
  <c r="K18" i="1"/>
  <c r="M21" i="1"/>
  <c r="O21" i="1"/>
  <c r="K24" i="1"/>
  <c r="V24" i="1" s="1"/>
  <c r="J19" i="1"/>
  <c r="K19" i="1"/>
  <c r="L19" i="1"/>
  <c r="I20" i="1"/>
  <c r="I15" i="1"/>
  <c r="J20" i="1"/>
  <c r="I18" i="1"/>
  <c r="K21" i="1"/>
  <c r="L18" i="1"/>
  <c r="M18" i="1"/>
  <c r="N18" i="1"/>
  <c r="L24" i="1"/>
  <c r="W24" i="1" s="1"/>
  <c r="N24" i="1"/>
  <c r="Y24" i="1" s="1"/>
  <c r="M19" i="1"/>
  <c r="N19" i="1"/>
  <c r="J15" i="1"/>
  <c r="K20" i="1"/>
  <c r="L15" i="1"/>
  <c r="M15" i="1"/>
  <c r="N15" i="1"/>
  <c r="O20" i="1"/>
  <c r="O15" i="1"/>
  <c r="J18" i="1"/>
  <c r="L21" i="1"/>
  <c r="N21" i="1"/>
  <c r="O18" i="1"/>
  <c r="I19" i="1"/>
  <c r="M24" i="1"/>
  <c r="X24" i="1" s="1"/>
  <c r="O24" i="1"/>
  <c r="Z24" i="1" s="1"/>
  <c r="O19" i="1"/>
  <c r="K15" i="1"/>
  <c r="L20" i="1"/>
  <c r="S12" i="1"/>
  <c r="T14" i="1" s="1"/>
  <c r="AJ39" i="1" l="1"/>
  <c r="D34" i="1"/>
  <c r="B34" i="1" s="1"/>
  <c r="D30" i="1"/>
  <c r="B30" i="1" s="1"/>
  <c r="AJ35" i="1"/>
  <c r="E48" i="1"/>
  <c r="B43" i="1"/>
  <c r="T18" i="1"/>
  <c r="V14" i="1"/>
  <c r="V19" i="1" s="1"/>
  <c r="Y14" i="1"/>
  <c r="Y18" i="1" s="1"/>
  <c r="Z14" i="1"/>
  <c r="Z20" i="1" s="1"/>
  <c r="W14" i="1"/>
  <c r="W19" i="1" s="1"/>
  <c r="U14" i="1"/>
  <c r="U18" i="1" s="1"/>
  <c r="X14" i="1"/>
  <c r="X20" i="1" s="1"/>
  <c r="T19" i="1"/>
  <c r="T21" i="1"/>
  <c r="U21" i="1" s="1"/>
  <c r="V21" i="1" s="1"/>
  <c r="W21" i="1" s="1"/>
  <c r="X21" i="1" s="1"/>
  <c r="Y21" i="1" s="1"/>
  <c r="Z21" i="1" s="1"/>
  <c r="T20" i="1"/>
  <c r="E53" i="1" l="1"/>
  <c r="B48" i="1"/>
  <c r="AJ40" i="1"/>
  <c r="D35" i="1"/>
  <c r="B35" i="1" s="1"/>
  <c r="AJ44" i="1"/>
  <c r="D39" i="1"/>
  <c r="B39" i="1" s="1"/>
  <c r="X19" i="1"/>
  <c r="X22" i="1" s="1"/>
  <c r="U19" i="1"/>
  <c r="U20" i="1"/>
  <c r="X18" i="1"/>
  <c r="W18" i="1"/>
  <c r="Z18" i="1"/>
  <c r="Y20" i="1"/>
  <c r="Y19" i="1"/>
  <c r="Z19" i="1"/>
  <c r="Z22" i="1" s="1"/>
  <c r="V18" i="1"/>
  <c r="V20" i="1"/>
  <c r="V22" i="1" s="1"/>
  <c r="W20" i="1"/>
  <c r="W22" i="1" s="1"/>
  <c r="T22" i="1"/>
  <c r="AJ49" i="1" l="1"/>
  <c r="D44" i="1"/>
  <c r="B44" i="1" s="1"/>
  <c r="AJ45" i="1"/>
  <c r="D40" i="1"/>
  <c r="B40" i="1" s="1"/>
  <c r="E58" i="1"/>
  <c r="B53" i="1"/>
  <c r="U22" i="1"/>
  <c r="Y22" i="1"/>
  <c r="E63" i="1" l="1"/>
  <c r="B58" i="1"/>
  <c r="AJ50" i="1"/>
  <c r="D45" i="1"/>
  <c r="B45" i="1" s="1"/>
  <c r="AJ54" i="1"/>
  <c r="D49" i="1"/>
  <c r="B49" i="1" s="1"/>
  <c r="B63" i="1" l="1"/>
  <c r="E68" i="1"/>
  <c r="AJ59" i="1"/>
  <c r="D54" i="1"/>
  <c r="B54" i="1" s="1"/>
  <c r="AJ55" i="1"/>
  <c r="D50" i="1"/>
  <c r="B50" i="1" s="1"/>
  <c r="AJ60" i="1" l="1"/>
  <c r="D55" i="1"/>
  <c r="B55" i="1" s="1"/>
  <c r="E73" i="1"/>
  <c r="B68" i="1"/>
  <c r="AJ64" i="1"/>
  <c r="D59" i="1"/>
  <c r="B59" i="1" s="1"/>
  <c r="AJ69" i="1" l="1"/>
  <c r="D64" i="1"/>
  <c r="B64" i="1" s="1"/>
  <c r="B73" i="1"/>
  <c r="E78" i="1"/>
  <c r="B78" i="1" s="1"/>
  <c r="AJ65" i="1"/>
  <c r="D60" i="1"/>
  <c r="B60" i="1" s="1"/>
  <c r="AJ70" i="1" l="1"/>
  <c r="D65" i="1"/>
  <c r="B65" i="1" s="1"/>
  <c r="AJ74" i="1"/>
  <c r="D74" i="1" s="1"/>
  <c r="B74" i="1" s="1"/>
  <c r="D69" i="1"/>
  <c r="B69" i="1" s="1"/>
  <c r="AJ75" i="1" l="1"/>
  <c r="D75" i="1" s="1"/>
  <c r="B75" i="1" s="1"/>
  <c r="D70" i="1"/>
  <c r="B7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M8" authorId="0" shapeId="0" xr:uid="{B8774821-523C-49C0-8481-0CFAD2313CD6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12-10-2025
AR6 info is not useful for this metric
</t>
        </r>
      </text>
    </comment>
  </commentList>
</comments>
</file>

<file path=xl/sharedStrings.xml><?xml version="1.0" encoding="utf-8"?>
<sst xmlns="http://schemas.openxmlformats.org/spreadsheetml/2006/main" count="17924" uniqueCount="320">
  <si>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</si>
  <si>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</si>
  <si>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</si>
  <si>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</si>
  <si>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</si>
  <si>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</si>
  <si>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</si>
  <si>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</si>
  <si>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</si>
  <si>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</si>
  <si>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</si>
  <si>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</si>
  <si>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~TFM_INS-TS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</si>
  <si>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</si>
  <si>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</si>
  <si>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</si>
  <si>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</si>
  <si>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</si>
  <si>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</si>
  <si>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</si>
  <si>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</si>
  <si>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</si>
  <si>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</si>
  <si>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</si>
  <si>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</si>
  <si>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</si>
  <si>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*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</si>
  <si>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</si>
  <si>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</si>
  <si>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</si>
  <si>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</si>
  <si>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</si>
  <si>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</si>
  <si>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</si>
  <si>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</si>
  <si>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</si>
  <si>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</si>
  <si>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</si>
  <si>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</si>
  <si>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</si>
  <si>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</si>
  <si>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</si>
  <si>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</si>
  <si>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</si>
  <si>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</si>
  <si>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</si>
  <si>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</si>
  <si>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</si>
  <si>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</si>
  <si>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</si>
  <si>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</si>
  <si>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</si>
  <si>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</si>
  <si>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</si>
  <si>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</si>
  <si>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</si>
  <si>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</si>
  <si>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</si>
  <si>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</si>
  <si>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</si>
  <si>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</si>
  <si>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</si>
  <si>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</si>
  <si>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</si>
  <si>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</si>
  <si>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</si>
  <si>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</si>
  <si>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</si>
  <si>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</si>
  <si>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</si>
  <si>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</si>
  <si>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</si>
  <si>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</si>
  <si>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</si>
  <si>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</si>
  <si>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</si>
  <si>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</si>
  <si>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</si>
  <si>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</si>
  <si>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</si>
  <si>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</si>
  <si>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</si>
  <si>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</si>
  <si>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</si>
  <si>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</si>
  <si>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</si>
  <si>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</si>
  <si>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</si>
  <si>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</si>
  <si>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</si>
  <si>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</si>
  <si>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</si>
  <si>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</si>
  <si>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</si>
  <si>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</si>
  <si>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</si>
  <si>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</si>
  <si>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</si>
  <si>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</si>
  <si>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</si>
  <si>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</si>
  <si>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s1p1v1_d</t>
  </si>
  <si>
    <t>s3p3v3_d</t>
  </si>
  <si>
    <t>s2_w</t>
  </si>
  <si>
    <t>s2_w_p2_d</t>
  </si>
  <si>
    <t>s5p5v5_d</t>
  </si>
  <si>
    <t>ts_annual</t>
  </si>
  <si>
    <t>pset_co</t>
  </si>
  <si>
    <t>e3d</t>
  </si>
  <si>
    <t>e 1.5 deg no OS</t>
  </si>
  <si>
    <t>d9d</t>
  </si>
  <si>
    <t>d 1.5 deg OS</t>
  </si>
  <si>
    <t>b2w</t>
  </si>
  <si>
    <t>c 2 deg (67%)</t>
  </si>
  <si>
    <t>a2w2d</t>
  </si>
  <si>
    <t>b 2 deg (50%)</t>
  </si>
  <si>
    <t>a 3 deg</t>
  </si>
  <si>
    <t>c15d</t>
  </si>
  <si>
    <t>~Scenmap</t>
  </si>
  <si>
    <t>scen</t>
  </si>
  <si>
    <t>case_no</t>
  </si>
  <si>
    <t>timeslice</t>
  </si>
  <si>
    <t>climate</t>
  </si>
  <si>
    <t>priority</t>
  </si>
  <si>
    <t>ts_012</t>
  </si>
  <si>
    <t>ts_024</t>
  </si>
  <si>
    <t>ts_048</t>
  </si>
  <si>
    <t>ts_064</t>
  </si>
  <si>
    <t>ts_096P50</t>
  </si>
  <si>
    <t>ts_096P10</t>
  </si>
  <si>
    <t>ts_096P90</t>
  </si>
  <si>
    <t>ts_12t</t>
  </si>
  <si>
    <t>f96p90</t>
  </si>
  <si>
    <t>f96p10</t>
  </si>
  <si>
    <t>g64</t>
  </si>
  <si>
    <t>h48</t>
  </si>
  <si>
    <t>i24</t>
  </si>
  <si>
    <t>j12</t>
  </si>
  <si>
    <t>k12</t>
  </si>
  <si>
    <t>kAnn</t>
  </si>
  <si>
    <t>f96p50</t>
  </si>
  <si>
    <t>~TFM_INS-TS: attribute=flo_cost;pset_pn=-IMP*Z</t>
  </si>
  <si>
    <t>bio price multiplier</t>
  </si>
  <si>
    <t>NGA</t>
  </si>
  <si>
    <t>R10AFRICA</t>
  </si>
  <si>
    <t>Major oil/gas producer, limited coal</t>
  </si>
  <si>
    <t>1,2,3,4,5,6,7,8,9,10,11,12,13,14,15,21,22,23,24,25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</si>
  <si>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</si>
  <si>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</si>
  <si>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</si>
  <si>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</si>
  <si>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</si>
  <si>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</si>
  <si>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</si>
  <si>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</si>
  <si>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</si>
  <si>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</si>
  <si>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</si>
  <si>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</si>
  <si>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</si>
  <si>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</si>
  <si>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com_fr</t>
  </si>
  <si>
    <t>elc_spv_001</t>
  </si>
  <si>
    <t>S01aH01</t>
  </si>
  <si>
    <t>IMPNRGZ</t>
  </si>
  <si>
    <t>S01aH02</t>
  </si>
  <si>
    <t>S01aH03</t>
  </si>
  <si>
    <t>S02aH01</t>
  </si>
  <si>
    <t>S02aH02</t>
  </si>
  <si>
    <t>S02aH03</t>
  </si>
  <si>
    <t>S03aH01</t>
  </si>
  <si>
    <t>S03aH02</t>
  </si>
  <si>
    <t>S03aH03</t>
  </si>
  <si>
    <t>S04aH01</t>
  </si>
  <si>
    <t>S04aH02</t>
  </si>
  <si>
    <t>S04aH03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</si>
  <si>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</si>
  <si>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</si>
  <si>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</si>
  <si>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</si>
  <si>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</si>
  <si>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</si>
  <si>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</si>
  <si>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</si>
  <si>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</si>
  <si>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elc_spv_011</t>
  </si>
  <si>
    <t>elc_spv_012</t>
  </si>
  <si>
    <t>elc_spv_013</t>
  </si>
  <si>
    <t>elc_spv_014</t>
  </si>
  <si>
    <t>elc_spv_015</t>
  </si>
  <si>
    <t>elc_spv_016</t>
  </si>
  <si>
    <t>elc_spv_017</t>
  </si>
  <si>
    <t>elc_spv_018</t>
  </si>
  <si>
    <t>elc_spv_019</t>
  </si>
  <si>
    <t>elc_spv_020</t>
  </si>
  <si>
    <t>elc_spv_021</t>
  </si>
  <si>
    <t>elc_spv_022</t>
  </si>
  <si>
    <t>elc_spv_023</t>
  </si>
  <si>
    <t>elc_spv_024</t>
  </si>
  <si>
    <t>elc_spv_025</t>
  </si>
  <si>
    <t>elc_spv_026</t>
  </si>
  <si>
    <t>elc_spv_027</t>
  </si>
  <si>
    <t>elc_spv_028</t>
  </si>
  <si>
    <t>elc_spv_029</t>
  </si>
  <si>
    <t>elc_spv_030</t>
  </si>
  <si>
    <t>elc_spv_031</t>
  </si>
  <si>
    <t>elc_spv_032</t>
  </si>
  <si>
    <t>elc_spv_033</t>
  </si>
  <si>
    <t>elc_spv_034</t>
  </si>
  <si>
    <t>elc_spv_035</t>
  </si>
  <si>
    <t>elc_spv_036</t>
  </si>
  <si>
    <t>elc_won_001</t>
  </si>
  <si>
    <t>elc_won_002</t>
  </si>
  <si>
    <t>elc_won_003</t>
  </si>
  <si>
    <t>elc_won_004</t>
  </si>
  <si>
    <t>elc_won_005</t>
  </si>
  <si>
    <t>elc_won_006</t>
  </si>
  <si>
    <t>elc_won_007</t>
  </si>
  <si>
    <t>elc_won_008</t>
  </si>
  <si>
    <t>elc_won_009</t>
  </si>
  <si>
    <t>elc_won_010</t>
  </si>
  <si>
    <t>elc_won_011</t>
  </si>
  <si>
    <t>elc_won_012</t>
  </si>
  <si>
    <t>elc_won_013</t>
  </si>
  <si>
    <t>elc_won_014</t>
  </si>
  <si>
    <t>elc_won_015</t>
  </si>
  <si>
    <t>elc_won_016</t>
  </si>
  <si>
    <t>elc_won_017</t>
  </si>
  <si>
    <t>elc_won_018</t>
  </si>
  <si>
    <t>elc_won_019</t>
  </si>
  <si>
    <t>elc_won_020</t>
  </si>
  <si>
    <t>elc_won_021</t>
  </si>
  <si>
    <t>elc_won_022</t>
  </si>
  <si>
    <t>elc_won_023</t>
  </si>
  <si>
    <t>elc_won_024</t>
  </si>
  <si>
    <t>elc_won_025</t>
  </si>
  <si>
    <t>elc_won_026</t>
  </si>
  <si>
    <t>elc_won_027</t>
  </si>
  <si>
    <t>elc_wof_001</t>
  </si>
  <si>
    <t>elc_wof_002</t>
  </si>
  <si>
    <t>elc_wof_003</t>
  </si>
  <si>
    <t>elc_wof_004</t>
  </si>
  <si>
    <t>elc_wof_005</t>
  </si>
  <si>
    <t>elc_wof_006</t>
  </si>
  <si>
    <t>elc_wof_007</t>
  </si>
  <si>
    <t>elc_wof_008</t>
  </si>
  <si>
    <t>elc_wof_009</t>
  </si>
  <si>
    <t>elc_wof_010</t>
  </si>
  <si>
    <t>g_yrfr</t>
  </si>
  <si>
    <t>day_night</t>
  </si>
  <si>
    <t>D</t>
  </si>
  <si>
    <t>S04aH02,S01aH02,S03aH02,S02aH02</t>
  </si>
  <si>
    <t>N</t>
  </si>
  <si>
    <t>S01aH03,S02aH01,S01aH01,S04aH01,S02aH03,S04aH03,S03aH01,S03aH03</t>
  </si>
  <si>
    <t>com_pkflx</t>
  </si>
  <si>
    <t>ncap_afs</t>
  </si>
  <si>
    <t>pset_ci</t>
  </si>
  <si>
    <t>hydro</t>
  </si>
  <si>
    <t>S01,S02,S03,S04,S05,S06,S07</t>
  </si>
  <si>
    <t>H04</t>
  </si>
  <si>
    <t>S05</t>
  </si>
  <si>
    <t>H05</t>
  </si>
  <si>
    <t>S06</t>
  </si>
  <si>
    <t>H06</t>
  </si>
  <si>
    <t>S07</t>
  </si>
  <si>
    <t>S01aH04</t>
  </si>
  <si>
    <t>S01aH05</t>
  </si>
  <si>
    <t>S01aH06</t>
  </si>
  <si>
    <t>S02aH04</t>
  </si>
  <si>
    <t>S02aH05</t>
  </si>
  <si>
    <t>S02aH06</t>
  </si>
  <si>
    <t>S03aH04</t>
  </si>
  <si>
    <t>S03aH05</t>
  </si>
  <si>
    <t>S03aH06</t>
  </si>
  <si>
    <t>S04aH04</t>
  </si>
  <si>
    <t>S04aH05</t>
  </si>
  <si>
    <t>S04aH06</t>
  </si>
  <si>
    <t>S05aH01</t>
  </si>
  <si>
    <t>S05aH02</t>
  </si>
  <si>
    <t>S05aH03</t>
  </si>
  <si>
    <t>S05aH04</t>
  </si>
  <si>
    <t>S05aH05</t>
  </si>
  <si>
    <t>S05aH06</t>
  </si>
  <si>
    <t>S06aH01</t>
  </si>
  <si>
    <t>S06aH02</t>
  </si>
  <si>
    <t>S06aH03</t>
  </si>
  <si>
    <t>S06aH04</t>
  </si>
  <si>
    <t>S06aH05</t>
  </si>
  <si>
    <t>S06aH06</t>
  </si>
  <si>
    <t>S07aH01</t>
  </si>
  <si>
    <t>S07aH02</t>
  </si>
  <si>
    <t>S07aH03</t>
  </si>
  <si>
    <t>S07aH04</t>
  </si>
  <si>
    <t>S07aH05</t>
  </si>
  <si>
    <t>S07aH06</t>
  </si>
  <si>
    <t>S02aH02,S02aH03,S07aH03,S03aH02,S04aH03,S07aH02,S03aH03,S01aH02,S01aH03,S05aH02,S05aH03,S04aH02,S06aH02,S06aH03</t>
  </si>
  <si>
    <t>S03aH01,S01aH01,S04aH01,S04aH06,S05aH04,S02aH04,S02aH05,S01aH04,S05aH01,S07aH06,S02aH01,S05aH06,S03aH04,S06aH06,S01aH05,S03aH06,S06aH05,S04aH05,S06aH01,S02aH06,S03aH05,S05aH05,S06aH04,S07aH04,S07aH05,S01aH06,S07aH01,S04aH04</t>
  </si>
  <si>
    <t>AllS</t>
  </si>
  <si>
    <t>AllH</t>
  </si>
  <si>
    <t>AllSaAllH</t>
  </si>
  <si>
    <t>F</t>
  </si>
  <si>
    <t>W,R,S,F</t>
  </si>
  <si>
    <t>R</t>
  </si>
  <si>
    <t>S</t>
  </si>
  <si>
    <t>P</t>
  </si>
  <si>
    <t>W</t>
  </si>
  <si>
    <t>FaD</t>
  </si>
  <si>
    <t>FaN</t>
  </si>
  <si>
    <t>FaP</t>
  </si>
  <si>
    <t>RaD</t>
  </si>
  <si>
    <t>RaN</t>
  </si>
  <si>
    <t>RaP</t>
  </si>
  <si>
    <t>SaD</t>
  </si>
  <si>
    <t>SaN</t>
  </si>
  <si>
    <t>SaP</t>
  </si>
  <si>
    <t>WaD</t>
  </si>
  <si>
    <t>WaN</t>
  </si>
  <si>
    <t>WaP</t>
  </si>
  <si>
    <t>FaD,RaD,WaP,WaD,FaP,SaP,RaP,SaD</t>
  </si>
  <si>
    <t>RaP,RaN,FaP,SaP,WaP,FaN,SaN,WaN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</si>
</sst>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0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</cellStyleXfs>
  <cellXfs count="19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8" fillId="4" borderId="4" xfId="7"/>
    <xf numFmtId="0" fontId="4" fillId="0" borderId="2" xfId="8"/>
    <xf numFmtId="0" fontId="5" fillId="0" borderId="3" xfId="9"/>
    <xf numFmtId="0" fontId="0" fillId="5" borderId="0" xfId="0" applyFill="1"/>
    <xf numFmtId="0" fontId="9" fillId="0" borderId="0" xfId="0" applyFont="1"/>
    <xf numFmtId="0" fontId="0" fillId="6" borderId="0" xfId="0" applyFill="1"/>
    <xf numFmtId="49" fontId="0" fillId="0" borderId="0" xfId="0" quotePrefix="1" applyNumberFormat="1"/>
  </cellXfs>
  <cellStyles count="10"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Veda!$T$17:$Z$17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Veda!$T$14:$Z$14</c:f>
              <c:numCache>
                <c:formatCode>0</c:formatCode>
                <c:ptCount val="7"/>
                <c:pt idx="0">
                  <c:v>35.6</c:v>
                </c:pt>
                <c:pt idx="1">
                  <c:v>45.212000000000003</c:v>
                </c:pt>
                <c:pt idx="2">
                  <c:v>59.808</c:v>
                </c:pt>
                <c:pt idx="3">
                  <c:v>80.455999999999989</c:v>
                </c:pt>
                <c:pt idx="4">
                  <c:v>103.952</c:v>
                </c:pt>
                <c:pt idx="5">
                  <c:v>159.48800000000003</c:v>
                </c:pt>
                <c:pt idx="6">
                  <c:v>213.95599999999999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Veda!$I$17:$O$17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Veda!$I$24:$O$24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48.97</c:v>
                </c:pt>
                <c:pt idx="3">
                  <c:v>87.7</c:v>
                </c:pt>
                <c:pt idx="4">
                  <c:v>122.55</c:v>
                </c:pt>
                <c:pt idx="5">
                  <c:v>179.54</c:v>
                </c:pt>
                <c:pt idx="6">
                  <c:v>211.71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454817</xdr:colOff>
      <xdr:row>0</xdr:row>
      <xdr:rowOff>142875</xdr:rowOff>
    </xdr:from>
    <xdr:to>
      <xdr:col>26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481012</xdr:colOff>
      <xdr:row>24</xdr:row>
      <xdr:rowOff>171450</xdr:rowOff>
    </xdr:from>
    <xdr:to>
      <xdr:col>15</xdr:col>
      <xdr:colOff>250032</xdr:colOff>
      <xdr:row>34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78"/>
  <sheetViews>
    <sheetView topLeftCell="A26" workbookViewId="0">
      <selection activeCell="O48" sqref="O48"/>
    </sheetView>
  </sheetViews>
  <sheetFormatPr defaultRowHeight="14.25" x14ac:dyDescent="0.45"/>
  <cols>
    <col min="1" max="1" width="6.46484375" bestFit="1" customWidth="1"/>
    <col min="2" max="2" width="19.06640625" bestFit="1" customWidth="1"/>
    <col min="3" max="3" width="7.265625" bestFit="1" customWidth="1"/>
    <col min="4" max="4" width="12.06640625" bestFit="1" customWidth="1"/>
    <col min="5" max="5" width="9.53125" customWidth="1"/>
    <col min="6" max="6" width="1.73046875" bestFit="1" customWidth="1"/>
    <col min="7" max="7" width="24.53125" customWidth="1"/>
    <col min="8" max="8" width="9.6640625" bestFit="1" customWidth="1"/>
    <col min="9" max="10" width="5.265625" bestFit="1" customWidth="1"/>
    <col min="11" max="11" width="7.265625" bestFit="1" customWidth="1"/>
    <col min="12" max="14" width="5.265625" bestFit="1" customWidth="1"/>
    <col min="15" max="15" width="6.265625" bestFit="1" customWidth="1"/>
    <col min="19" max="19" width="14.6640625" bestFit="1" customWidth="1"/>
    <col min="33" max="33" width="2.73046875" bestFit="1" customWidth="1"/>
    <col min="34" max="34" width="9.265625" bestFit="1" customWidth="1"/>
    <col min="35" max="35" width="6.265625" bestFit="1" customWidth="1"/>
    <col min="36" max="36" width="2.73046875" bestFit="1" customWidth="1"/>
    <col min="37" max="37" width="2.9296875" bestFit="1" customWidth="1"/>
    <col min="38" max="38" width="12.59765625" bestFit="1" customWidth="1"/>
  </cols>
  <sheetData>
    <row r="1" spans="1:39" x14ac:dyDescent="0.45">
      <c r="G1" s="18" t="s">
        <v>146</v>
      </c>
    </row>
    <row r="2" spans="1:39" x14ac:dyDescent="0.45">
      <c r="D2" s="1" t="str">
        <f>"~Inputcell: "&amp;_xlfn.TEXTJOIN(",",TRUE,G1:EE1)</f>
        <v>~Inputcell: 1,2,3,4,5,6,7,8,9,10,11,12,13,14,15,21,22,23,24,25</v>
      </c>
      <c r="G2">
        <v>5</v>
      </c>
      <c r="H2">
        <v>6</v>
      </c>
      <c r="I2">
        <v>7</v>
      </c>
      <c r="J2">
        <v>9</v>
      </c>
      <c r="K2">
        <v>10</v>
      </c>
      <c r="L2">
        <v>11</v>
      </c>
      <c r="M2">
        <v>16</v>
      </c>
      <c r="N2">
        <v>17</v>
      </c>
      <c r="O2">
        <v>18</v>
      </c>
      <c r="P2">
        <v>20</v>
      </c>
      <c r="Q2">
        <v>21</v>
      </c>
      <c r="R2">
        <v>22</v>
      </c>
      <c r="S2">
        <v>27</v>
      </c>
      <c r="T2">
        <v>28</v>
      </c>
      <c r="U2">
        <v>29</v>
      </c>
      <c r="V2">
        <v>31</v>
      </c>
      <c r="W2">
        <v>32</v>
      </c>
      <c r="X2">
        <v>33</v>
      </c>
      <c r="Y2">
        <v>38</v>
      </c>
      <c r="Z2">
        <v>39</v>
      </c>
      <c r="AA2">
        <v>40</v>
      </c>
      <c r="AB2">
        <v>42</v>
      </c>
      <c r="AC2">
        <v>43</v>
      </c>
      <c r="AD2">
        <v>44</v>
      </c>
      <c r="AE2">
        <v>49</v>
      </c>
      <c r="AF2">
        <v>50</v>
      </c>
      <c r="AG2">
        <v>51</v>
      </c>
      <c r="AH2">
        <v>53</v>
      </c>
      <c r="AI2">
        <v>54</v>
      </c>
      <c r="AJ2">
        <v>55</v>
      </c>
    </row>
    <row r="3" spans="1:39" x14ac:dyDescent="0.45">
      <c r="D3" s="9">
        <v>3</v>
      </c>
    </row>
    <row r="5" spans="1:39" x14ac:dyDescent="0.45">
      <c r="D5" s="1" t="str">
        <f>VLOOKUP(D3,$C$9:$E$999,2,FALSE)</f>
        <v>ts_annual</v>
      </c>
      <c r="E5" s="1" t="str">
        <f>VLOOKUP(D3,$C$9:$E$999,3,FALSE)</f>
        <v>C3</v>
      </c>
    </row>
    <row r="7" spans="1:39" x14ac:dyDescent="0.45">
      <c r="B7" s="16" t="s">
        <v>118</v>
      </c>
    </row>
    <row r="8" spans="1:39" ht="14.65" thickBot="1" x14ac:dyDescent="0.5">
      <c r="A8" s="4" t="s">
        <v>123</v>
      </c>
      <c r="B8" s="4" t="s">
        <v>119</v>
      </c>
      <c r="C8" s="4" t="s">
        <v>120</v>
      </c>
      <c r="D8" s="4" t="s">
        <v>121</v>
      </c>
      <c r="E8" s="4" t="s">
        <v>122</v>
      </c>
      <c r="AM8" s="2" t="s">
        <v>142</v>
      </c>
    </row>
    <row r="9" spans="1:39" x14ac:dyDescent="0.45">
      <c r="A9">
        <v>5</v>
      </c>
      <c r="B9" t="str">
        <f>VLOOKUP(E9,$AK$9:$AL$15,2,FALSE)&amp;"."&amp;VLOOKUP(D9,$AH$9:$AI$24,2,FALSE)</f>
        <v>e 1.5 deg no OS.kAnn</v>
      </c>
      <c r="C9">
        <v>1</v>
      </c>
      <c r="D9" t="str">
        <f>VLOOKUP(AJ9,$AG$9:$AH$22,2,FALSE)</f>
        <v>ts_annual</v>
      </c>
      <c r="E9" s="17" t="s">
        <v>0</v>
      </c>
      <c r="G9" t="s">
        <v>1</v>
      </c>
      <c r="AG9">
        <v>1</v>
      </c>
      <c r="AH9" t="s">
        <v>106</v>
      </c>
      <c r="AI9" t="s">
        <v>139</v>
      </c>
      <c r="AJ9" s="10">
        <v>1</v>
      </c>
      <c r="AK9" t="s">
        <v>0</v>
      </c>
      <c r="AL9" t="s">
        <v>109</v>
      </c>
      <c r="AM9" s="12">
        <v>5</v>
      </c>
    </row>
    <row r="10" spans="1:39" x14ac:dyDescent="0.45">
      <c r="A10">
        <v>5</v>
      </c>
      <c r="B10" t="str">
        <f t="shared" ref="B10:B73" si="0">VLOOKUP(E10,$AK$9:$AL$15,2,FALSE)&amp;"."&amp;VLOOKUP(D10,$AH$9:$AI$24,2,FALSE)</f>
        <v>d 1.5 deg OS.kAnn</v>
      </c>
      <c r="C10">
        <f>C9+1</f>
        <v>2</v>
      </c>
      <c r="D10" t="str">
        <f t="shared" ref="D10:D63" si="1">VLOOKUP(AJ10,$AG$9:$AH$22,2,FALSE)</f>
        <v>ts_annual</v>
      </c>
      <c r="E10" s="17" t="s">
        <v>2</v>
      </c>
      <c r="G10" t="s">
        <v>3</v>
      </c>
      <c r="S10" t="s">
        <v>4</v>
      </c>
      <c r="AG10">
        <v>2</v>
      </c>
      <c r="AH10" t="s">
        <v>131</v>
      </c>
      <c r="AI10" t="s">
        <v>138</v>
      </c>
      <c r="AJ10" s="10">
        <v>1</v>
      </c>
      <c r="AK10" t="s">
        <v>2</v>
      </c>
      <c r="AL10" t="s">
        <v>111</v>
      </c>
      <c r="AM10" s="12">
        <v>4</v>
      </c>
    </row>
    <row r="11" spans="1:39" x14ac:dyDescent="0.45">
      <c r="A11">
        <v>5</v>
      </c>
      <c r="B11" t="str">
        <f t="shared" si="0"/>
        <v>c 2 deg (67%).kAnn</v>
      </c>
      <c r="C11">
        <f t="shared" ref="C11:C74" si="2">C10+1</f>
        <v>3</v>
      </c>
      <c r="D11" t="str">
        <f t="shared" si="1"/>
        <v>ts_annual</v>
      </c>
      <c r="E11" s="17" t="s">
        <v>5</v>
      </c>
      <c r="G11" t="s">
        <v>6</v>
      </c>
      <c r="S11" s="1">
        <v>2022</v>
      </c>
      <c r="AG11">
        <v>3</v>
      </c>
      <c r="AH11" t="s">
        <v>124</v>
      </c>
      <c r="AI11" t="s">
        <v>137</v>
      </c>
      <c r="AJ11" s="10">
        <v>1</v>
      </c>
      <c r="AK11" t="s">
        <v>5</v>
      </c>
      <c r="AL11" t="s">
        <v>113</v>
      </c>
      <c r="AM11" s="12">
        <v>3</v>
      </c>
    </row>
    <row r="12" spans="1:39" ht="14.65" customHeight="1" thickBot="1" x14ac:dyDescent="0.5">
      <c r="A12">
        <v>5</v>
      </c>
      <c r="B12" t="str">
        <f t="shared" si="0"/>
        <v>b 2 deg (50%).kAnn</v>
      </c>
      <c r="C12">
        <f t="shared" si="2"/>
        <v>4</v>
      </c>
      <c r="D12" t="str">
        <f t="shared" si="1"/>
        <v>ts_annual</v>
      </c>
      <c r="E12" s="17" t="s">
        <v>7</v>
      </c>
      <c r="G12" t="s">
        <v>8</v>
      </c>
      <c r="S12" s="3">
        <f>SUMIFS(iea_data!I3:I9999,iea_data!$B$3:$B$9999,Veda!$S$11)+T28-T29</f>
        <v>35.6</v>
      </c>
      <c r="T12" s="2" t="s">
        <v>57</v>
      </c>
      <c r="AG12">
        <v>4</v>
      </c>
      <c r="AH12" t="s">
        <v>125</v>
      </c>
      <c r="AI12" t="s">
        <v>136</v>
      </c>
      <c r="AJ12" s="10">
        <v>1</v>
      </c>
      <c r="AK12" t="s">
        <v>7</v>
      </c>
      <c r="AL12" t="s">
        <v>115</v>
      </c>
      <c r="AM12" s="12">
        <v>3</v>
      </c>
    </row>
    <row r="13" spans="1:39" ht="14.65" customHeight="1" thickTop="1" x14ac:dyDescent="0.45">
      <c r="A13">
        <v>5</v>
      </c>
      <c r="B13" t="str">
        <f t="shared" si="0"/>
        <v>a 3 deg.kAnn</v>
      </c>
      <c r="C13">
        <f t="shared" si="2"/>
        <v>5</v>
      </c>
      <c r="D13" t="str">
        <f t="shared" si="1"/>
        <v>ts_annual</v>
      </c>
      <c r="E13" s="17" t="s">
        <v>9</v>
      </c>
      <c r="G13" t="s">
        <v>10</v>
      </c>
      <c r="AG13">
        <v>5</v>
      </c>
      <c r="AH13" t="s">
        <v>126</v>
      </c>
      <c r="AI13" t="s">
        <v>135</v>
      </c>
      <c r="AJ13" s="10">
        <v>1</v>
      </c>
      <c r="AK13" t="s">
        <v>9</v>
      </c>
      <c r="AL13" t="s">
        <v>116</v>
      </c>
      <c r="AM13" s="12">
        <v>1.5</v>
      </c>
    </row>
    <row r="14" spans="1:39" x14ac:dyDescent="0.45">
      <c r="A14">
        <v>5</v>
      </c>
      <c r="B14" t="str">
        <f t="shared" si="0"/>
        <v>e 1.5 deg no OS.k12</v>
      </c>
      <c r="C14">
        <f t="shared" si="2"/>
        <v>6</v>
      </c>
      <c r="D14" t="str">
        <f t="shared" si="1"/>
        <v>ts_12t</v>
      </c>
      <c r="E14" t="str">
        <f>E9</f>
        <v>C1</v>
      </c>
      <c r="T14" s="8">
        <f>S12</f>
        <v>35.6</v>
      </c>
      <c r="U14" s="8">
        <f t="shared" ref="U14:Z14" si="3">$S$12*J15</f>
        <v>45.212000000000003</v>
      </c>
      <c r="V14" s="8">
        <f t="shared" si="3"/>
        <v>59.808</v>
      </c>
      <c r="W14" s="8">
        <f t="shared" si="3"/>
        <v>80.455999999999989</v>
      </c>
      <c r="X14" s="8">
        <f t="shared" si="3"/>
        <v>103.952</v>
      </c>
      <c r="Y14" s="8">
        <f t="shared" si="3"/>
        <v>159.48800000000003</v>
      </c>
      <c r="Z14" s="8">
        <f t="shared" si="3"/>
        <v>213.95599999999999</v>
      </c>
      <c r="AG14">
        <v>6</v>
      </c>
      <c r="AH14" t="s">
        <v>127</v>
      </c>
      <c r="AI14" t="s">
        <v>134</v>
      </c>
      <c r="AJ14" s="10">
        <f>AJ9+1</f>
        <v>2</v>
      </c>
    </row>
    <row r="15" spans="1:39" x14ac:dyDescent="0.45">
      <c r="A15">
        <v>5</v>
      </c>
      <c r="B15" t="str">
        <f t="shared" si="0"/>
        <v>d 1.5 deg OS.k12</v>
      </c>
      <c r="C15">
        <f t="shared" si="2"/>
        <v>7</v>
      </c>
      <c r="D15" t="str">
        <f t="shared" si="1"/>
        <v>ts_12t</v>
      </c>
      <c r="E15" t="str">
        <f t="shared" ref="E15:E78" si="4">E10</f>
        <v>C2</v>
      </c>
      <c r="G15" t="s">
        <v>11</v>
      </c>
      <c r="I15" s="11">
        <f>SUMIFS(ar6_r10!$F$2:$F$999,ar6_r10!$A$2:$A$999,Veda!$E$5,ar6_r10!$C$2:$C$999,Veda!I$17,ar6_r10!$M$2:$M$999,Veda!$G15)</f>
        <v>1</v>
      </c>
      <c r="J15" s="11">
        <f>SUMIFS(ar6_r10!$F$2:$F$999,ar6_r10!$A$2:$A$999,Veda!$E$5,ar6_r10!$C$2:$C$999,Veda!J$17,ar6_r10!$M$2:$M$999,Veda!$G15)</f>
        <v>1.27</v>
      </c>
      <c r="K15" s="11">
        <f>SUMIFS(ar6_r10!$F$2:$F$999,ar6_r10!$A$2:$A$999,Veda!$E$5,ar6_r10!$C$2:$C$999,Veda!K$17,ar6_r10!$M$2:$M$999,Veda!$G15)</f>
        <v>1.68</v>
      </c>
      <c r="L15" s="11">
        <f>SUMIFS(ar6_r10!$F$2:$F$999,ar6_r10!$A$2:$A$999,Veda!$E$5,ar6_r10!$C$2:$C$999,Veda!L$17,ar6_r10!$M$2:$M$999,Veda!$G15)</f>
        <v>2.2599999999999998</v>
      </c>
      <c r="M15" s="11">
        <f>SUMIFS(ar6_r10!$F$2:$F$999,ar6_r10!$A$2:$A$999,Veda!$E$5,ar6_r10!$C$2:$C$999,Veda!M$17,ar6_r10!$M$2:$M$999,Veda!$G15)</f>
        <v>2.92</v>
      </c>
      <c r="N15" s="11">
        <f>SUMIFS(ar6_r10!$F$2:$F$999,ar6_r10!$A$2:$A$999,Veda!$E$5,ar6_r10!$C$2:$C$999,Veda!N$17,ar6_r10!$M$2:$M$999,Veda!$G15)</f>
        <v>4.4800000000000004</v>
      </c>
      <c r="O15" s="11">
        <f>SUMIFS(ar6_r10!$F$2:$F$999,ar6_r10!$A$2:$A$999,Veda!$E$5,ar6_r10!$C$2:$C$999,Veda!O$17,ar6_r10!$M$2:$M$999,Veda!$G15)</f>
        <v>6.01</v>
      </c>
      <c r="AG15">
        <v>7</v>
      </c>
      <c r="AH15" t="s">
        <v>128</v>
      </c>
      <c r="AI15" t="s">
        <v>140</v>
      </c>
      <c r="AJ15" s="10">
        <f t="shared" ref="AJ15:AJ78" si="5">AJ10+1</f>
        <v>2</v>
      </c>
    </row>
    <row r="16" spans="1:39" ht="17.649999999999999" customHeight="1" thickBot="1" x14ac:dyDescent="0.6">
      <c r="A16">
        <v>5</v>
      </c>
      <c r="B16" t="str">
        <f t="shared" si="0"/>
        <v>c 2 deg (67%).k12</v>
      </c>
      <c r="C16">
        <f t="shared" si="2"/>
        <v>8</v>
      </c>
      <c r="D16" t="str">
        <f t="shared" si="1"/>
        <v>ts_12t</v>
      </c>
      <c r="E16" t="str">
        <f t="shared" si="4"/>
        <v>C3</v>
      </c>
      <c r="S16" s="5" t="s">
        <v>12</v>
      </c>
      <c r="AG16">
        <v>8</v>
      </c>
      <c r="AH16" t="s">
        <v>129</v>
      </c>
      <c r="AI16" t="s">
        <v>133</v>
      </c>
      <c r="AJ16" s="10">
        <f t="shared" si="5"/>
        <v>2</v>
      </c>
    </row>
    <row r="17" spans="1:36" ht="15" customHeight="1" thickTop="1" thickBot="1" x14ac:dyDescent="0.5">
      <c r="A17">
        <v>5</v>
      </c>
      <c r="B17" t="str">
        <f t="shared" si="0"/>
        <v>b 2 deg (50%).k12</v>
      </c>
      <c r="C17">
        <f t="shared" si="2"/>
        <v>9</v>
      </c>
      <c r="D17" t="str">
        <f t="shared" si="1"/>
        <v>ts_12t</v>
      </c>
      <c r="E17" t="str">
        <f t="shared" si="4"/>
        <v>C4</v>
      </c>
      <c r="I17" s="7">
        <v>2020</v>
      </c>
      <c r="J17" s="7">
        <f t="shared" ref="J17:O17" si="6">U17</f>
        <v>2025</v>
      </c>
      <c r="K17" s="7">
        <f t="shared" si="6"/>
        <v>2030</v>
      </c>
      <c r="L17" s="7">
        <f t="shared" si="6"/>
        <v>2035</v>
      </c>
      <c r="M17" s="7">
        <f t="shared" si="6"/>
        <v>2040</v>
      </c>
      <c r="N17" s="7">
        <f t="shared" si="6"/>
        <v>2045</v>
      </c>
      <c r="O17" s="7">
        <f t="shared" si="6"/>
        <v>2050</v>
      </c>
      <c r="S17" s="4" t="s">
        <v>13</v>
      </c>
      <c r="T17" s="4">
        <v>2022</v>
      </c>
      <c r="U17" s="4">
        <v>2025</v>
      </c>
      <c r="V17" s="4">
        <v>2030</v>
      </c>
      <c r="W17" s="4">
        <v>2035</v>
      </c>
      <c r="X17" s="4">
        <v>2040</v>
      </c>
      <c r="Y17" s="4">
        <v>2045</v>
      </c>
      <c r="Z17" s="4">
        <v>2050</v>
      </c>
      <c r="AA17" s="4" t="s">
        <v>14</v>
      </c>
      <c r="AG17">
        <v>9</v>
      </c>
      <c r="AH17" t="s">
        <v>130</v>
      </c>
      <c r="AI17" t="s">
        <v>132</v>
      </c>
      <c r="AJ17" s="10">
        <f t="shared" si="5"/>
        <v>2</v>
      </c>
    </row>
    <row r="18" spans="1:36" x14ac:dyDescent="0.45">
      <c r="A18">
        <v>5</v>
      </c>
      <c r="B18" t="str">
        <f t="shared" si="0"/>
        <v>a 3 deg.k12</v>
      </c>
      <c r="C18">
        <f t="shared" si="2"/>
        <v>10</v>
      </c>
      <c r="D18" t="str">
        <f t="shared" si="1"/>
        <v>ts_12t</v>
      </c>
      <c r="E18" t="str">
        <f t="shared" si="4"/>
        <v>C7</v>
      </c>
      <c r="G18" t="s">
        <v>15</v>
      </c>
      <c r="I18" s="11">
        <f>SUMIFS(ar6_r10!$F$2:$F$999,ar6_r10!$A$2:$A$999,Veda!$E$5,ar6_r10!$C$2:$C$999,Veda!I$17,ar6_r10!$M$2:$M$999,Veda!$G18)</f>
        <v>0</v>
      </c>
      <c r="J18" s="11">
        <f>SUMIFS(ar6_r10!$F$2:$F$999,ar6_r10!$A$2:$A$999,Veda!$E$5,ar6_r10!$C$2:$C$999,Veda!J$17,ar6_r10!$M$2:$M$999,Veda!$G18)</f>
        <v>0</v>
      </c>
      <c r="K18" s="11">
        <f>SUMIFS(ar6_r10!$F$2:$F$999,ar6_r10!$A$2:$A$999,Veda!$E$5,ar6_r10!$C$2:$C$999,Veda!K$17,ar6_r10!$M$2:$M$999,Veda!$G18)</f>
        <v>0</v>
      </c>
      <c r="L18" s="11">
        <f>SUMIFS(ar6_r10!$F$2:$F$999,ar6_r10!$A$2:$A$999,Veda!$E$5,ar6_r10!$C$2:$C$999,Veda!L$17,ar6_r10!$M$2:$M$999,Veda!$G18)</f>
        <v>0.01</v>
      </c>
      <c r="M18" s="11">
        <f>SUMIFS(ar6_r10!$F$2:$F$999,ar6_r10!$A$2:$A$999,Veda!$E$5,ar6_r10!$C$2:$C$999,Veda!M$17,ar6_r10!$M$2:$M$999,Veda!$G18)</f>
        <v>0.02</v>
      </c>
      <c r="N18" s="11">
        <f>SUMIFS(ar6_r10!$F$2:$F$999,ar6_r10!$A$2:$A$999,Veda!$E$5,ar6_r10!$C$2:$C$999,Veda!N$17,ar6_r10!$M$2:$M$999,Veda!$G18)</f>
        <v>0.02</v>
      </c>
      <c r="O18" s="11">
        <f>SUMIFS(ar6_r10!$F$2:$F$999,ar6_r10!$A$2:$A$999,Veda!$E$5,ar6_r10!$C$2:$C$999,Veda!O$17,ar6_r10!$M$2:$M$999,Veda!$G18)</f>
        <v>0.03</v>
      </c>
      <c r="S18" s="10" t="s">
        <v>16</v>
      </c>
      <c r="T18" s="6">
        <f t="shared" ref="T18:Z20" si="7">I18*T$14</f>
        <v>0</v>
      </c>
      <c r="U18" s="6">
        <f t="shared" si="7"/>
        <v>0</v>
      </c>
      <c r="V18" s="6">
        <f t="shared" si="7"/>
        <v>0</v>
      </c>
      <c r="W18" s="6">
        <f t="shared" si="7"/>
        <v>0.80455999999999994</v>
      </c>
      <c r="X18" s="6">
        <f t="shared" si="7"/>
        <v>2.07904</v>
      </c>
      <c r="Y18" s="6">
        <f t="shared" si="7"/>
        <v>3.1897600000000006</v>
      </c>
      <c r="Z18" s="6">
        <f t="shared" si="7"/>
        <v>6.4186799999999993</v>
      </c>
      <c r="AA18" t="s">
        <v>17</v>
      </c>
      <c r="AC18" s="2"/>
      <c r="AG18">
        <v>10</v>
      </c>
      <c r="AH18" t="s">
        <v>101</v>
      </c>
      <c r="AI18" t="s">
        <v>108</v>
      </c>
      <c r="AJ18" s="10">
        <f t="shared" si="5"/>
        <v>2</v>
      </c>
    </row>
    <row r="19" spans="1:36" x14ac:dyDescent="0.45">
      <c r="A19">
        <v>5</v>
      </c>
      <c r="B19" t="str">
        <f t="shared" si="0"/>
        <v>e 1.5 deg no OS.j12</v>
      </c>
      <c r="C19">
        <f t="shared" si="2"/>
        <v>11</v>
      </c>
      <c r="D19" t="str">
        <f t="shared" si="1"/>
        <v>ts_012</v>
      </c>
      <c r="E19" t="str">
        <f t="shared" si="4"/>
        <v>C1</v>
      </c>
      <c r="G19" t="s">
        <v>18</v>
      </c>
      <c r="I19" s="11">
        <f>SUMIFS(ar6_r10!$F$2:$F$999,ar6_r10!$A$2:$A$999,Veda!$E$5,ar6_r10!$C$2:$C$999,Veda!I$17,ar6_r10!$M$2:$M$999,Veda!$G19)</f>
        <v>0.49</v>
      </c>
      <c r="J19" s="11">
        <f>SUMIFS(ar6_r10!$F$2:$F$999,ar6_r10!$A$2:$A$999,Veda!$E$5,ar6_r10!$C$2:$C$999,Veda!J$17,ar6_r10!$M$2:$M$999,Veda!$G19)</f>
        <v>0.45</v>
      </c>
      <c r="K19" s="11">
        <f>SUMIFS(ar6_r10!$F$2:$F$999,ar6_r10!$A$2:$A$999,Veda!$E$5,ar6_r10!$C$2:$C$999,Veda!K$17,ar6_r10!$M$2:$M$999,Veda!$G19)</f>
        <v>0.43</v>
      </c>
      <c r="L19" s="11">
        <f>SUMIFS(ar6_r10!$F$2:$F$999,ar6_r10!$A$2:$A$999,Veda!$E$5,ar6_r10!$C$2:$C$999,Veda!L$17,ar6_r10!$M$2:$M$999,Veda!$G19)</f>
        <v>0.42</v>
      </c>
      <c r="M19" s="11">
        <f>SUMIFS(ar6_r10!$F$2:$F$999,ar6_r10!$A$2:$A$999,Veda!$E$5,ar6_r10!$C$2:$C$999,Veda!M$17,ar6_r10!$M$2:$M$999,Veda!$G19)</f>
        <v>0.4</v>
      </c>
      <c r="N19" s="11">
        <f>SUMIFS(ar6_r10!$F$2:$F$999,ar6_r10!$A$2:$A$999,Veda!$E$5,ar6_r10!$C$2:$C$999,Veda!N$17,ar6_r10!$M$2:$M$999,Veda!$G19)</f>
        <v>0.41</v>
      </c>
      <c r="O19" s="11">
        <f>SUMIFS(ar6_r10!$F$2:$F$999,ar6_r10!$A$2:$A$999,Veda!$E$5,ar6_r10!$C$2:$C$999,Veda!O$17,ar6_r10!$M$2:$M$999,Veda!$G19)</f>
        <v>0.38</v>
      </c>
      <c r="S19" s="10" t="s">
        <v>19</v>
      </c>
      <c r="T19" s="6">
        <f t="shared" si="7"/>
        <v>17.443999999999999</v>
      </c>
      <c r="U19" s="6">
        <f t="shared" si="7"/>
        <v>20.345400000000001</v>
      </c>
      <c r="V19" s="6">
        <f t="shared" si="7"/>
        <v>25.71744</v>
      </c>
      <c r="W19" s="6">
        <f t="shared" si="7"/>
        <v>33.791519999999991</v>
      </c>
      <c r="X19" s="6">
        <f t="shared" si="7"/>
        <v>41.580800000000004</v>
      </c>
      <c r="Y19" s="6">
        <f t="shared" si="7"/>
        <v>65.390080000000012</v>
      </c>
      <c r="Z19" s="6">
        <f t="shared" si="7"/>
        <v>81.303280000000001</v>
      </c>
      <c r="AA19" t="s">
        <v>17</v>
      </c>
      <c r="AG19">
        <v>11</v>
      </c>
      <c r="AH19" t="s">
        <v>102</v>
      </c>
      <c r="AI19" t="s">
        <v>110</v>
      </c>
      <c r="AJ19" s="10">
        <f t="shared" si="5"/>
        <v>3</v>
      </c>
    </row>
    <row r="20" spans="1:36" x14ac:dyDescent="0.45">
      <c r="A20">
        <v>5</v>
      </c>
      <c r="B20" t="str">
        <f t="shared" si="0"/>
        <v>d 1.5 deg OS.j12</v>
      </c>
      <c r="C20">
        <f t="shared" si="2"/>
        <v>12</v>
      </c>
      <c r="D20" t="str">
        <f t="shared" si="1"/>
        <v>ts_012</v>
      </c>
      <c r="E20" t="str">
        <f t="shared" si="4"/>
        <v>C2</v>
      </c>
      <c r="G20" t="s">
        <v>21</v>
      </c>
      <c r="I20" s="11">
        <f>SUMIFS(ar6_r10!$F$2:$F$999,ar6_r10!$A$2:$A$999,Veda!$E$5,ar6_r10!$C$2:$C$999,Veda!I$17,ar6_r10!$M$2:$M$999,Veda!$G20)</f>
        <v>0.49</v>
      </c>
      <c r="J20" s="11">
        <f>SUMIFS(ar6_r10!$F$2:$F$999,ar6_r10!$A$2:$A$999,Veda!$E$5,ar6_r10!$C$2:$C$999,Veda!J$17,ar6_r10!$M$2:$M$999,Veda!$G20)</f>
        <v>0.52</v>
      </c>
      <c r="K20" s="11">
        <f>SUMIFS(ar6_r10!$F$2:$F$999,ar6_r10!$A$2:$A$999,Veda!$E$5,ar6_r10!$C$2:$C$999,Veda!K$17,ar6_r10!$M$2:$M$999,Veda!$G20)</f>
        <v>0.54</v>
      </c>
      <c r="L20" s="11">
        <f>SUMIFS(ar6_r10!$F$2:$F$999,ar6_r10!$A$2:$A$999,Veda!$E$5,ar6_r10!$C$2:$C$999,Veda!L$17,ar6_r10!$M$2:$M$999,Veda!$G20)</f>
        <v>0.51</v>
      </c>
      <c r="M20" s="11">
        <f>SUMIFS(ar6_r10!$F$2:$F$999,ar6_r10!$A$2:$A$999,Veda!$E$5,ar6_r10!$C$2:$C$999,Veda!M$17,ar6_r10!$M$2:$M$999,Veda!$G20)</f>
        <v>0.51</v>
      </c>
      <c r="N20" s="11">
        <f>SUMIFS(ar6_r10!$F$2:$F$999,ar6_r10!$A$2:$A$999,Veda!$E$5,ar6_r10!$C$2:$C$999,Veda!N$17,ar6_r10!$M$2:$M$999,Veda!$G20)</f>
        <v>0.48</v>
      </c>
      <c r="O20" s="11">
        <f>SUMIFS(ar6_r10!$F$2:$F$999,ar6_r10!$A$2:$A$999,Veda!$E$5,ar6_r10!$C$2:$C$999,Veda!O$17,ar6_r10!$M$2:$M$999,Veda!$G20)</f>
        <v>0.47</v>
      </c>
      <c r="S20" s="10" t="s">
        <v>22</v>
      </c>
      <c r="T20" s="6">
        <f t="shared" si="7"/>
        <v>17.443999999999999</v>
      </c>
      <c r="U20" s="6">
        <f t="shared" si="7"/>
        <v>23.510240000000003</v>
      </c>
      <c r="V20" s="6">
        <f t="shared" si="7"/>
        <v>32.296320000000001</v>
      </c>
      <c r="W20" s="6">
        <f t="shared" si="7"/>
        <v>41.032559999999997</v>
      </c>
      <c r="X20" s="6">
        <f t="shared" si="7"/>
        <v>53.015520000000002</v>
      </c>
      <c r="Y20" s="6">
        <f t="shared" si="7"/>
        <v>76.554240000000007</v>
      </c>
      <c r="Z20" s="6">
        <f t="shared" si="7"/>
        <v>100.55931999999999</v>
      </c>
      <c r="AA20" t="s">
        <v>17</v>
      </c>
      <c r="AG20">
        <v>12</v>
      </c>
      <c r="AH20" t="s">
        <v>105</v>
      </c>
      <c r="AI20" t="s">
        <v>117</v>
      </c>
      <c r="AJ20" s="10">
        <f t="shared" si="5"/>
        <v>3</v>
      </c>
    </row>
    <row r="21" spans="1:36" x14ac:dyDescent="0.45">
      <c r="A21">
        <v>5</v>
      </c>
      <c r="B21" t="str">
        <f t="shared" si="0"/>
        <v>c 2 deg (67%).j12</v>
      </c>
      <c r="C21">
        <f t="shared" si="2"/>
        <v>13</v>
      </c>
      <c r="D21" t="str">
        <f t="shared" si="1"/>
        <v>ts_012</v>
      </c>
      <c r="E21" t="str">
        <f t="shared" si="4"/>
        <v>C3</v>
      </c>
      <c r="G21" t="s">
        <v>23</v>
      </c>
      <c r="I21" s="11">
        <f>SUMIFS(ar6_r10!$F$2:$F$999,ar6_r10!$A$2:$A$999,Veda!$E$5,ar6_r10!$C$2:$C$999,Veda!I$17,ar6_r10!$M$2:$M$999,Veda!$G21)</f>
        <v>0.01</v>
      </c>
      <c r="J21" s="11">
        <f>SUMIFS(ar6_r10!$F$2:$F$999,ar6_r10!$A$2:$A$999,Veda!$E$5,ar6_r10!$C$2:$C$999,Veda!J$17,ar6_r10!$M$2:$M$999,Veda!$G21)</f>
        <v>0.01</v>
      </c>
      <c r="K21" s="11">
        <f>SUMIFS(ar6_r10!$F$2:$F$999,ar6_r10!$A$2:$A$999,Veda!$E$5,ar6_r10!$C$2:$C$999,Veda!K$17,ar6_r10!$M$2:$M$999,Veda!$G21)</f>
        <v>0.02</v>
      </c>
      <c r="L21" s="11">
        <f>SUMIFS(ar6_r10!$F$2:$F$999,ar6_r10!$A$2:$A$999,Veda!$E$5,ar6_r10!$C$2:$C$999,Veda!L$17,ar6_r10!$M$2:$M$999,Veda!$G21)</f>
        <v>0.02</v>
      </c>
      <c r="M21" s="11">
        <f>SUMIFS(ar6_r10!$F$2:$F$999,ar6_r10!$A$2:$A$999,Veda!$E$5,ar6_r10!$C$2:$C$999,Veda!M$17,ar6_r10!$M$2:$M$999,Veda!$G21)</f>
        <v>0.03</v>
      </c>
      <c r="N21" s="11">
        <f>SUMIFS(ar6_r10!$F$2:$F$999,ar6_r10!$A$2:$A$999,Veda!$E$5,ar6_r10!$C$2:$C$999,Veda!N$17,ar6_r10!$M$2:$M$999,Veda!$G21)</f>
        <v>0.05</v>
      </c>
      <c r="O21" s="11">
        <f>SUMIFS(ar6_r10!$F$2:$F$999,ar6_r10!$A$2:$A$999,Veda!$E$5,ar6_r10!$C$2:$C$999,Veda!O$17,ar6_r10!$M$2:$M$999,Veda!$G21)</f>
        <v>0.05</v>
      </c>
      <c r="S21" s="10" t="s">
        <v>24</v>
      </c>
      <c r="T21" s="6">
        <f>I21*T$14</f>
        <v>0.35600000000000004</v>
      </c>
      <c r="U21" s="6">
        <f t="shared" ref="U21:Z21" si="8">T21</f>
        <v>0.35600000000000004</v>
      </c>
      <c r="V21" s="6">
        <f t="shared" si="8"/>
        <v>0.35600000000000004</v>
      </c>
      <c r="W21" s="6">
        <f t="shared" si="8"/>
        <v>0.35600000000000004</v>
      </c>
      <c r="X21" s="6">
        <f t="shared" si="8"/>
        <v>0.35600000000000004</v>
      </c>
      <c r="Y21" s="6">
        <f t="shared" si="8"/>
        <v>0.35600000000000004</v>
      </c>
      <c r="Z21" s="6">
        <f t="shared" si="8"/>
        <v>0.35600000000000004</v>
      </c>
      <c r="AA21" t="s">
        <v>17</v>
      </c>
      <c r="AC21" s="2" t="s">
        <v>20</v>
      </c>
      <c r="AG21">
        <v>13</v>
      </c>
      <c r="AH21" t="s">
        <v>103</v>
      </c>
      <c r="AI21" t="s">
        <v>112</v>
      </c>
      <c r="AJ21" s="10">
        <f t="shared" si="5"/>
        <v>3</v>
      </c>
    </row>
    <row r="22" spans="1:36" x14ac:dyDescent="0.45">
      <c r="A22">
        <v>5</v>
      </c>
      <c r="B22" t="str">
        <f t="shared" si="0"/>
        <v>b 2 deg (50%).j12</v>
      </c>
      <c r="C22">
        <f t="shared" si="2"/>
        <v>14</v>
      </c>
      <c r="D22" t="str">
        <f t="shared" si="1"/>
        <v>ts_012</v>
      </c>
      <c r="E22" t="str">
        <f t="shared" si="4"/>
        <v>C4</v>
      </c>
      <c r="S22" s="10" t="s">
        <v>25</v>
      </c>
      <c r="T22" s="6">
        <f t="shared" ref="T22:Z22" si="9">T14-SUM(T19:T21)</f>
        <v>0.35600000000000165</v>
      </c>
      <c r="U22" s="6">
        <f t="shared" si="9"/>
        <v>1.0003599999999935</v>
      </c>
      <c r="V22" s="6">
        <f t="shared" si="9"/>
        <v>1.4382399999999933</v>
      </c>
      <c r="W22" s="6">
        <f t="shared" si="9"/>
        <v>5.2759200000000135</v>
      </c>
      <c r="X22" s="6">
        <f t="shared" si="9"/>
        <v>8.9996799999999979</v>
      </c>
      <c r="Y22" s="6">
        <f t="shared" si="9"/>
        <v>17.187680000000029</v>
      </c>
      <c r="Z22" s="6">
        <f t="shared" si="9"/>
        <v>31.737400000000008</v>
      </c>
      <c r="AA22" t="s">
        <v>17</v>
      </c>
      <c r="AG22">
        <v>14</v>
      </c>
      <c r="AH22" t="s">
        <v>104</v>
      </c>
      <c r="AI22" t="s">
        <v>114</v>
      </c>
      <c r="AJ22" s="10">
        <f t="shared" si="5"/>
        <v>3</v>
      </c>
    </row>
    <row r="23" spans="1:36" x14ac:dyDescent="0.45">
      <c r="A23">
        <v>5</v>
      </c>
      <c r="B23" t="str">
        <f t="shared" si="0"/>
        <v>a 3 deg.j12</v>
      </c>
      <c r="C23">
        <f t="shared" si="2"/>
        <v>15</v>
      </c>
      <c r="D23" t="str">
        <f t="shared" si="1"/>
        <v>ts_012</v>
      </c>
      <c r="E23" t="str">
        <f t="shared" si="4"/>
        <v>C7</v>
      </c>
      <c r="S23" t="s">
        <v>26</v>
      </c>
      <c r="AJ23" s="10">
        <f t="shared" si="5"/>
        <v>3</v>
      </c>
    </row>
    <row r="24" spans="1:36" ht="14.65" customHeight="1" x14ac:dyDescent="0.45">
      <c r="A24">
        <v>5</v>
      </c>
      <c r="B24" t="str">
        <f t="shared" si="0"/>
        <v>e 1.5 deg no OS.i24</v>
      </c>
      <c r="C24">
        <f t="shared" si="2"/>
        <v>16</v>
      </c>
      <c r="D24" t="str">
        <f t="shared" si="1"/>
        <v>ts_024</v>
      </c>
      <c r="E24" t="str">
        <f t="shared" si="4"/>
        <v>C1</v>
      </c>
      <c r="G24" s="10" t="s">
        <v>27</v>
      </c>
      <c r="I24" s="8">
        <v>0</v>
      </c>
      <c r="J24" s="8">
        <v>0</v>
      </c>
      <c r="K24" s="8">
        <f>SUMIFS(ar6_r10!$F$2:$F$999,ar6_r10!$A$2:$A$999,Veda!$E$5,ar6_r10!$C$2:$C$999,Veda!K$17,ar6_r10!$M$2:$M$999,Veda!$G24)</f>
        <v>48.97</v>
      </c>
      <c r="L24" s="8">
        <f>SUMIFS(ar6_r10!$F$2:$F$999,ar6_r10!$A$2:$A$999,Veda!$E$5,ar6_r10!$C$2:$C$999,Veda!L$17,ar6_r10!$M$2:$M$999,Veda!$G24)</f>
        <v>87.7</v>
      </c>
      <c r="M24" s="8">
        <f>SUMIFS(ar6_r10!$F$2:$F$999,ar6_r10!$A$2:$A$999,Veda!$E$5,ar6_r10!$C$2:$C$999,Veda!M$17,ar6_r10!$M$2:$M$999,Veda!$G24)</f>
        <v>122.55</v>
      </c>
      <c r="N24" s="8">
        <f>SUMIFS(ar6_r10!$F$2:$F$999,ar6_r10!$A$2:$A$999,Veda!$E$5,ar6_r10!$C$2:$C$999,Veda!N$17,ar6_r10!$M$2:$M$999,Veda!$G24)</f>
        <v>179.54</v>
      </c>
      <c r="O24" s="8">
        <f>SUMIFS(ar6_r10!$F$2:$F$999,ar6_r10!$A$2:$A$999,Veda!$E$5,ar6_r10!$C$2:$C$999,Veda!O$17,ar6_r10!$M$2:$M$999,Veda!$G24)</f>
        <v>211.71</v>
      </c>
      <c r="S24" t="s">
        <v>28</v>
      </c>
      <c r="U24">
        <v>0</v>
      </c>
      <c r="V24" s="11">
        <f>K24/1000</f>
        <v>4.897E-2</v>
      </c>
      <c r="W24" s="11">
        <f>L24/1000</f>
        <v>8.77E-2</v>
      </c>
      <c r="X24" s="11">
        <f>M24/1000</f>
        <v>0.12254999999999999</v>
      </c>
      <c r="Y24" s="11">
        <f>N24/1000</f>
        <v>0.17954000000000001</v>
      </c>
      <c r="Z24" s="11">
        <f>O24/1000</f>
        <v>0.21171000000000001</v>
      </c>
      <c r="AA24" t="s">
        <v>29</v>
      </c>
      <c r="AJ24" s="10">
        <f t="shared" si="5"/>
        <v>4</v>
      </c>
    </row>
    <row r="25" spans="1:36" ht="14.65" customHeight="1" x14ac:dyDescent="0.45">
      <c r="A25">
        <v>5</v>
      </c>
      <c r="B25" t="str">
        <f t="shared" si="0"/>
        <v>d 1.5 deg OS.i24</v>
      </c>
      <c r="C25">
        <f t="shared" si="2"/>
        <v>17</v>
      </c>
      <c r="D25" t="str">
        <f t="shared" si="1"/>
        <v>ts_024</v>
      </c>
      <c r="E25" t="str">
        <f t="shared" si="4"/>
        <v>C2</v>
      </c>
      <c r="AJ25" s="10">
        <f t="shared" si="5"/>
        <v>4</v>
      </c>
    </row>
    <row r="26" spans="1:36" ht="17.649999999999999" customHeight="1" thickBot="1" x14ac:dyDescent="0.6">
      <c r="A26">
        <v>5</v>
      </c>
      <c r="B26" t="str">
        <f t="shared" si="0"/>
        <v>c 2 deg (67%).i24</v>
      </c>
      <c r="C26">
        <f t="shared" si="2"/>
        <v>18</v>
      </c>
      <c r="D26" t="str">
        <f t="shared" si="1"/>
        <v>ts_024</v>
      </c>
      <c r="E26" t="str">
        <f t="shared" si="4"/>
        <v>C3</v>
      </c>
      <c r="S26" s="5" t="s">
        <v>12</v>
      </c>
      <c r="AJ26" s="10">
        <f t="shared" si="5"/>
        <v>4</v>
      </c>
    </row>
    <row r="27" spans="1:36" ht="15" customHeight="1" thickTop="1" thickBot="1" x14ac:dyDescent="0.5">
      <c r="A27">
        <v>5</v>
      </c>
      <c r="B27" t="str">
        <f t="shared" si="0"/>
        <v>b 2 deg (50%).i24</v>
      </c>
      <c r="C27">
        <f t="shared" si="2"/>
        <v>19</v>
      </c>
      <c r="D27" t="str">
        <f t="shared" si="1"/>
        <v>ts_024</v>
      </c>
      <c r="E27" t="str">
        <f t="shared" si="4"/>
        <v>C4</v>
      </c>
      <c r="S27" s="4" t="s">
        <v>30</v>
      </c>
      <c r="T27" s="4">
        <f t="shared" ref="T27:Z27" si="10">T17</f>
        <v>2022</v>
      </c>
      <c r="U27" s="4">
        <f t="shared" si="10"/>
        <v>2025</v>
      </c>
      <c r="V27" s="4">
        <f t="shared" si="10"/>
        <v>2030</v>
      </c>
      <c r="W27" s="4">
        <f t="shared" si="10"/>
        <v>2035</v>
      </c>
      <c r="X27" s="4">
        <f t="shared" si="10"/>
        <v>2040</v>
      </c>
      <c r="Y27" s="4">
        <f t="shared" si="10"/>
        <v>2045</v>
      </c>
      <c r="Z27" s="4">
        <f t="shared" si="10"/>
        <v>2050</v>
      </c>
      <c r="AA27" s="4" t="s">
        <v>14</v>
      </c>
      <c r="AB27" s="4" t="s">
        <v>31</v>
      </c>
      <c r="AJ27" s="10">
        <f t="shared" si="5"/>
        <v>4</v>
      </c>
    </row>
    <row r="28" spans="1:36" ht="14.65" customHeight="1" thickBot="1" x14ac:dyDescent="0.5">
      <c r="A28">
        <v>5</v>
      </c>
      <c r="B28" t="str">
        <f t="shared" si="0"/>
        <v>a 3 deg.i24</v>
      </c>
      <c r="C28">
        <f t="shared" si="2"/>
        <v>20</v>
      </c>
      <c r="D28" t="str">
        <f t="shared" si="1"/>
        <v>ts_024</v>
      </c>
      <c r="E28" t="str">
        <f t="shared" si="4"/>
        <v>C7</v>
      </c>
      <c r="Q28" s="3">
        <f>SUMIFS(iea_data!G3:G9999,iea_data!$B$3:$B$9999,Veda!$S$11)</f>
        <v>0</v>
      </c>
      <c r="S28" t="s">
        <v>32</v>
      </c>
      <c r="T28" s="3">
        <f>Q28</f>
        <v>0</v>
      </c>
      <c r="V28" s="6"/>
      <c r="W28" s="6"/>
      <c r="X28" s="6"/>
      <c r="Y28" s="6"/>
      <c r="Z28" s="6"/>
      <c r="AA28" t="s">
        <v>33</v>
      </c>
      <c r="AB28" t="s">
        <v>34</v>
      </c>
      <c r="AJ28" s="10">
        <f t="shared" si="5"/>
        <v>4</v>
      </c>
    </row>
    <row r="29" spans="1:36" ht="15" customHeight="1" thickTop="1" thickBot="1" x14ac:dyDescent="0.5">
      <c r="A29">
        <v>5</v>
      </c>
      <c r="B29" t="str">
        <f t="shared" si="0"/>
        <v>e 1.5 deg no OS.h48</v>
      </c>
      <c r="C29">
        <f t="shared" si="2"/>
        <v>21</v>
      </c>
      <c r="D29" t="str">
        <f t="shared" si="1"/>
        <v>ts_048</v>
      </c>
      <c r="E29" t="str">
        <f t="shared" si="4"/>
        <v>C1</v>
      </c>
      <c r="Q29" s="3">
        <f>SUMIFS(iea_data!H3:H9999,iea_data!$B$3:$B$9999,Veda!$S$11)</f>
        <v>-2.3199999999999998</v>
      </c>
      <c r="S29" t="s">
        <v>35</v>
      </c>
      <c r="T29" s="3">
        <f>-1*Q29</f>
        <v>2.3199999999999998</v>
      </c>
      <c r="V29" s="6"/>
      <c r="W29" s="6"/>
      <c r="X29" s="6"/>
      <c r="Y29" s="6"/>
      <c r="Z29" s="6"/>
      <c r="AA29" t="s">
        <v>33</v>
      </c>
      <c r="AB29" t="s">
        <v>34</v>
      </c>
      <c r="AJ29" s="10">
        <f t="shared" si="5"/>
        <v>5</v>
      </c>
    </row>
    <row r="30" spans="1:36" ht="14.65" customHeight="1" thickTop="1" x14ac:dyDescent="0.45">
      <c r="A30">
        <v>5</v>
      </c>
      <c r="B30" t="str">
        <f t="shared" si="0"/>
        <v>d 1.5 deg OS.h48</v>
      </c>
      <c r="C30">
        <f t="shared" si="2"/>
        <v>22</v>
      </c>
      <c r="D30" t="str">
        <f t="shared" si="1"/>
        <v>ts_048</v>
      </c>
      <c r="E30" t="str">
        <f t="shared" si="4"/>
        <v>C2</v>
      </c>
      <c r="AJ30" s="10">
        <f t="shared" si="5"/>
        <v>5</v>
      </c>
    </row>
    <row r="31" spans="1:36" x14ac:dyDescent="0.45">
      <c r="A31">
        <v>5</v>
      </c>
      <c r="B31" t="str">
        <f t="shared" si="0"/>
        <v>c 2 deg (67%).h48</v>
      </c>
      <c r="C31">
        <f t="shared" si="2"/>
        <v>23</v>
      </c>
      <c r="D31" t="str">
        <f t="shared" si="1"/>
        <v>ts_048</v>
      </c>
      <c r="E31" t="str">
        <f t="shared" si="4"/>
        <v>C3</v>
      </c>
      <c r="AJ31" s="10">
        <f t="shared" si="5"/>
        <v>5</v>
      </c>
    </row>
    <row r="32" spans="1:36" x14ac:dyDescent="0.45">
      <c r="A32">
        <v>5</v>
      </c>
      <c r="B32" t="str">
        <f t="shared" si="0"/>
        <v>b 2 deg (50%).h48</v>
      </c>
      <c r="C32">
        <f t="shared" si="2"/>
        <v>24</v>
      </c>
      <c r="D32" t="str">
        <f t="shared" si="1"/>
        <v>ts_048</v>
      </c>
      <c r="E32" t="str">
        <f t="shared" si="4"/>
        <v>C4</v>
      </c>
      <c r="AJ32" s="10">
        <f t="shared" si="5"/>
        <v>5</v>
      </c>
    </row>
    <row r="33" spans="1:36" x14ac:dyDescent="0.45">
      <c r="A33">
        <v>5</v>
      </c>
      <c r="B33" t="str">
        <f t="shared" si="0"/>
        <v>a 3 deg.h48</v>
      </c>
      <c r="C33">
        <f t="shared" si="2"/>
        <v>25</v>
      </c>
      <c r="D33" t="str">
        <f t="shared" si="1"/>
        <v>ts_048</v>
      </c>
      <c r="E33" t="str">
        <f t="shared" si="4"/>
        <v>C7</v>
      </c>
      <c r="AJ33" s="10">
        <f t="shared" si="5"/>
        <v>5</v>
      </c>
    </row>
    <row r="34" spans="1:36" x14ac:dyDescent="0.45">
      <c r="A34">
        <v>5</v>
      </c>
      <c r="B34" t="str">
        <f t="shared" si="0"/>
        <v>e 1.5 deg no OS.g64</v>
      </c>
      <c r="C34">
        <f t="shared" si="2"/>
        <v>26</v>
      </c>
      <c r="D34" t="str">
        <f t="shared" si="1"/>
        <v>ts_064</v>
      </c>
      <c r="E34" t="str">
        <f t="shared" si="4"/>
        <v>C1</v>
      </c>
      <c r="AJ34" s="10">
        <f t="shared" si="5"/>
        <v>6</v>
      </c>
    </row>
    <row r="35" spans="1:36" x14ac:dyDescent="0.45">
      <c r="A35">
        <v>5</v>
      </c>
      <c r="B35" t="str">
        <f t="shared" si="0"/>
        <v>d 1.5 deg OS.g64</v>
      </c>
      <c r="C35">
        <f t="shared" si="2"/>
        <v>27</v>
      </c>
      <c r="D35" t="str">
        <f t="shared" si="1"/>
        <v>ts_064</v>
      </c>
      <c r="E35" t="str">
        <f t="shared" si="4"/>
        <v>C2</v>
      </c>
      <c r="AJ35" s="10">
        <f t="shared" si="5"/>
        <v>6</v>
      </c>
    </row>
    <row r="36" spans="1:36" x14ac:dyDescent="0.45">
      <c r="A36">
        <v>5</v>
      </c>
      <c r="B36" t="str">
        <f t="shared" si="0"/>
        <v>c 2 deg (67%).g64</v>
      </c>
      <c r="C36">
        <f t="shared" si="2"/>
        <v>28</v>
      </c>
      <c r="D36" t="str">
        <f t="shared" si="1"/>
        <v>ts_064</v>
      </c>
      <c r="E36" t="str">
        <f t="shared" si="4"/>
        <v>C3</v>
      </c>
      <c r="G36" s="2" t="s">
        <v>9</v>
      </c>
      <c r="AJ36" s="10">
        <f t="shared" si="5"/>
        <v>6</v>
      </c>
    </row>
    <row r="37" spans="1:36" x14ac:dyDescent="0.45">
      <c r="A37">
        <v>5</v>
      </c>
      <c r="B37" t="str">
        <f t="shared" si="0"/>
        <v>b 2 deg (50%).g64</v>
      </c>
      <c r="C37">
        <f t="shared" si="2"/>
        <v>29</v>
      </c>
      <c r="D37" t="str">
        <f t="shared" si="1"/>
        <v>ts_064</v>
      </c>
      <c r="E37" t="str">
        <f t="shared" si="4"/>
        <v>C4</v>
      </c>
      <c r="G37" t="s">
        <v>74</v>
      </c>
      <c r="I37" s="11">
        <f>SUMIFS(ar6_r10!$F$2:$F$999,ar6_r10!$A$2:$A$999,Veda!$G$36,ar6_r10!$C$2:$C$999,Veda!I$17,ar6_r10!$M$2:$M$999,Veda!$G37)</f>
        <v>1</v>
      </c>
      <c r="J37" s="11">
        <f>SUMIFS(ar6_r10!$F$2:$F$999,ar6_r10!$A$2:$A$999,Veda!$G$36,ar6_r10!$C$2:$C$999,Veda!J$17,ar6_r10!$M$2:$M$999,Veda!$G37)</f>
        <v>1.04</v>
      </c>
      <c r="K37" s="11">
        <f>SUMIFS(ar6_r10!$F$2:$F$999,ar6_r10!$A$2:$A$999,Veda!$G$36,ar6_r10!$C$2:$C$999,Veda!K$17,ar6_r10!$M$2:$M$999,Veda!$G37)</f>
        <v>1.37</v>
      </c>
      <c r="L37" s="11">
        <f>SUMIFS(ar6_r10!$F$2:$F$999,ar6_r10!$A$2:$A$999,Veda!$G$36,ar6_r10!$C$2:$C$999,Veda!L$17,ar6_r10!$M$2:$M$999,Veda!$G37)</f>
        <v>1.3</v>
      </c>
      <c r="M37" s="11">
        <f>SUMIFS(ar6_r10!$F$2:$F$999,ar6_r10!$A$2:$A$999,Veda!$G$36,ar6_r10!$C$2:$C$999,Veda!M$17,ar6_r10!$M$2:$M$999,Veda!$G37)</f>
        <v>1.55</v>
      </c>
      <c r="N37" s="11">
        <f>SUMIFS(ar6_r10!$F$2:$F$999,ar6_r10!$A$2:$A$999,Veda!$G$36,ar6_r10!$C$2:$C$999,Veda!N$17,ar6_r10!$M$2:$M$999,Veda!$G37)</f>
        <v>1.63</v>
      </c>
      <c r="O37" s="11">
        <f>SUMIFS(ar6_r10!$F$2:$F$999,ar6_r10!$A$2:$A$999,Veda!$G$36,ar6_r10!$C$2:$C$999,Veda!O$17,ar6_r10!$M$2:$M$999,Veda!$G37)</f>
        <v>1.71</v>
      </c>
      <c r="AJ37" s="10">
        <f t="shared" si="5"/>
        <v>6</v>
      </c>
    </row>
    <row r="38" spans="1:36" x14ac:dyDescent="0.45">
      <c r="A38">
        <v>5</v>
      </c>
      <c r="B38" t="str">
        <f t="shared" si="0"/>
        <v>a 3 deg.g64</v>
      </c>
      <c r="C38">
        <f t="shared" si="2"/>
        <v>30</v>
      </c>
      <c r="D38" t="str">
        <f t="shared" si="1"/>
        <v>ts_064</v>
      </c>
      <c r="E38" t="str">
        <f t="shared" si="4"/>
        <v>C7</v>
      </c>
      <c r="G38" t="s">
        <v>75</v>
      </c>
      <c r="I38" s="11">
        <f>SUMIFS(ar6_r10!$F$2:$F$999,ar6_r10!$A$2:$A$999,Veda!$G$36,ar6_r10!$C$2:$C$999,Veda!I$17,ar6_r10!$M$2:$M$999,Veda!$G38)</f>
        <v>1</v>
      </c>
      <c r="J38" s="11">
        <f>SUMIFS(ar6_r10!$F$2:$F$999,ar6_r10!$A$2:$A$999,Veda!$G$36,ar6_r10!$C$2:$C$999,Veda!J$17,ar6_r10!$M$2:$M$999,Veda!$G38)</f>
        <v>1.08</v>
      </c>
      <c r="K38" s="11">
        <f>SUMIFS(ar6_r10!$F$2:$F$999,ar6_r10!$A$2:$A$999,Veda!$G$36,ar6_r10!$C$2:$C$999,Veda!K$17,ar6_r10!$M$2:$M$999,Veda!$G38)</f>
        <v>1.2</v>
      </c>
      <c r="L38" s="11">
        <f>SUMIFS(ar6_r10!$F$2:$F$999,ar6_r10!$A$2:$A$999,Veda!$G$36,ar6_r10!$C$2:$C$999,Veda!L$17,ar6_r10!$M$2:$M$999,Veda!$G38)</f>
        <v>1.34</v>
      </c>
      <c r="M38" s="11">
        <f>SUMIFS(ar6_r10!$F$2:$F$999,ar6_r10!$A$2:$A$999,Veda!$G$36,ar6_r10!$C$2:$C$999,Veda!M$17,ar6_r10!$M$2:$M$999,Veda!$G38)</f>
        <v>1.52</v>
      </c>
      <c r="N38" s="11">
        <f>SUMIFS(ar6_r10!$F$2:$F$999,ar6_r10!$A$2:$A$999,Veda!$G$36,ar6_r10!$C$2:$C$999,Veda!N$17,ar6_r10!$M$2:$M$999,Veda!$G38)</f>
        <v>1.46</v>
      </c>
      <c r="O38" s="11">
        <f>SUMIFS(ar6_r10!$F$2:$F$999,ar6_r10!$A$2:$A$999,Veda!$G$36,ar6_r10!$C$2:$C$999,Veda!O$17,ar6_r10!$M$2:$M$999,Veda!$G38)</f>
        <v>1.57</v>
      </c>
      <c r="AJ38" s="10">
        <f t="shared" si="5"/>
        <v>6</v>
      </c>
    </row>
    <row r="39" spans="1:36" x14ac:dyDescent="0.45">
      <c r="A39">
        <v>5</v>
      </c>
      <c r="B39" t="str">
        <f t="shared" si="0"/>
        <v>e 1.5 deg no OS.f96p50</v>
      </c>
      <c r="C39">
        <f t="shared" si="2"/>
        <v>31</v>
      </c>
      <c r="D39" t="str">
        <f t="shared" si="1"/>
        <v>ts_096P50</v>
      </c>
      <c r="E39" t="str">
        <f t="shared" si="4"/>
        <v>C1</v>
      </c>
      <c r="G39" t="s">
        <v>76</v>
      </c>
      <c r="I39" s="11">
        <f>SUMIFS(ar6_r10!$F$2:$F$999,ar6_r10!$A$2:$A$999,Veda!$G$36,ar6_r10!$C$2:$C$999,Veda!I$17,ar6_r10!$M$2:$M$999,Veda!$G39)</f>
        <v>1</v>
      </c>
      <c r="J39" s="11">
        <f>SUMIFS(ar6_r10!$F$2:$F$999,ar6_r10!$A$2:$A$999,Veda!$G$36,ar6_r10!$C$2:$C$999,Veda!J$17,ar6_r10!$M$2:$M$999,Veda!$G39)</f>
        <v>1.1499999999999999</v>
      </c>
      <c r="K39" s="11">
        <f>SUMIFS(ar6_r10!$F$2:$F$999,ar6_r10!$A$2:$A$999,Veda!$G$36,ar6_r10!$C$2:$C$999,Veda!K$17,ar6_r10!$M$2:$M$999,Veda!$G39)</f>
        <v>1.6</v>
      </c>
      <c r="L39" s="11">
        <f>SUMIFS(ar6_r10!$F$2:$F$999,ar6_r10!$A$2:$A$999,Veda!$G$36,ar6_r10!$C$2:$C$999,Veda!L$17,ar6_r10!$M$2:$M$999,Veda!$G39)</f>
        <v>1.33</v>
      </c>
      <c r="M39" s="11">
        <f>SUMIFS(ar6_r10!$F$2:$F$999,ar6_r10!$A$2:$A$999,Veda!$G$36,ar6_r10!$C$2:$C$999,Veda!M$17,ar6_r10!$M$2:$M$999,Veda!$G39)</f>
        <v>1.47</v>
      </c>
      <c r="N39" s="11">
        <f>SUMIFS(ar6_r10!$F$2:$F$999,ar6_r10!$A$2:$A$999,Veda!$G$36,ar6_r10!$C$2:$C$999,Veda!N$17,ar6_r10!$M$2:$M$999,Veda!$G39)</f>
        <v>1.61</v>
      </c>
      <c r="O39" s="11">
        <f>SUMIFS(ar6_r10!$F$2:$F$999,ar6_r10!$A$2:$A$999,Veda!$G$36,ar6_r10!$C$2:$C$999,Veda!O$17,ar6_r10!$M$2:$M$999,Veda!$G39)</f>
        <v>1.77</v>
      </c>
      <c r="AJ39" s="10">
        <f t="shared" si="5"/>
        <v>7</v>
      </c>
    </row>
    <row r="40" spans="1:36" x14ac:dyDescent="0.45">
      <c r="A40">
        <v>5</v>
      </c>
      <c r="B40" t="str">
        <f t="shared" si="0"/>
        <v>d 1.5 deg OS.f96p50</v>
      </c>
      <c r="C40">
        <f t="shared" si="2"/>
        <v>32</v>
      </c>
      <c r="D40" t="str">
        <f t="shared" si="1"/>
        <v>ts_096P50</v>
      </c>
      <c r="E40" t="str">
        <f t="shared" si="4"/>
        <v>C2</v>
      </c>
      <c r="G40" t="s">
        <v>77</v>
      </c>
      <c r="I40" s="11">
        <f>SUMIFS(ar6_r10!$F$2:$F$999,ar6_r10!$A$2:$A$999,Veda!$G$36,ar6_r10!$C$2:$C$999,Veda!I$17,ar6_r10!$M$2:$M$999,Veda!$G40)</f>
        <v>1</v>
      </c>
      <c r="J40" s="11">
        <f>SUMIFS(ar6_r10!$F$2:$F$999,ar6_r10!$A$2:$A$999,Veda!$G$36,ar6_r10!$C$2:$C$999,Veda!J$17,ar6_r10!$M$2:$M$999,Veda!$G40)</f>
        <v>0.84</v>
      </c>
      <c r="K40" s="11">
        <f>SUMIFS(ar6_r10!$F$2:$F$999,ar6_r10!$A$2:$A$999,Veda!$G$36,ar6_r10!$C$2:$C$999,Veda!K$17,ar6_r10!$M$2:$M$999,Veda!$G40)</f>
        <v>0.79</v>
      </c>
      <c r="L40" s="11">
        <f>SUMIFS(ar6_r10!$F$2:$F$999,ar6_r10!$A$2:$A$999,Veda!$G$36,ar6_r10!$C$2:$C$999,Veda!L$17,ar6_r10!$M$2:$M$999,Veda!$G40)</f>
        <v>0.82</v>
      </c>
      <c r="M40" s="11">
        <f>SUMIFS(ar6_r10!$F$2:$F$999,ar6_r10!$A$2:$A$999,Veda!$G$36,ar6_r10!$C$2:$C$999,Veda!M$17,ar6_r10!$M$2:$M$999,Veda!$G40)</f>
        <v>0.86</v>
      </c>
      <c r="N40" s="11">
        <f>SUMIFS(ar6_r10!$F$2:$F$999,ar6_r10!$A$2:$A$999,Veda!$G$36,ar6_r10!$C$2:$C$999,Veda!N$17,ar6_r10!$M$2:$M$999,Veda!$G40)</f>
        <v>0.88</v>
      </c>
      <c r="O40" s="11">
        <f>SUMIFS(ar6_r10!$F$2:$F$999,ar6_r10!$A$2:$A$999,Veda!$G$36,ar6_r10!$C$2:$C$999,Veda!O$17,ar6_r10!$M$2:$M$999,Veda!$G40)</f>
        <v>0.9</v>
      </c>
      <c r="AJ40" s="10">
        <f t="shared" si="5"/>
        <v>7</v>
      </c>
    </row>
    <row r="41" spans="1:36" x14ac:dyDescent="0.45">
      <c r="A41">
        <v>5</v>
      </c>
      <c r="B41" t="str">
        <f t="shared" si="0"/>
        <v>c 2 deg (67%).f96p50</v>
      </c>
      <c r="C41">
        <f t="shared" si="2"/>
        <v>33</v>
      </c>
      <c r="D41" t="str">
        <f t="shared" si="1"/>
        <v>ts_096P50</v>
      </c>
      <c r="E41" t="str">
        <f t="shared" si="4"/>
        <v>C3</v>
      </c>
      <c r="AJ41" s="10">
        <f t="shared" si="5"/>
        <v>7</v>
      </c>
    </row>
    <row r="42" spans="1:36" x14ac:dyDescent="0.45">
      <c r="A42">
        <v>5</v>
      </c>
      <c r="B42" t="str">
        <f t="shared" si="0"/>
        <v>b 2 deg (50%).f96p50</v>
      </c>
      <c r="C42">
        <f t="shared" si="2"/>
        <v>34</v>
      </c>
      <c r="D42" t="str">
        <f t="shared" si="1"/>
        <v>ts_096P50</v>
      </c>
      <c r="E42" t="str">
        <f t="shared" si="4"/>
        <v>C4</v>
      </c>
      <c r="AJ42" s="10">
        <f t="shared" si="5"/>
        <v>7</v>
      </c>
    </row>
    <row r="43" spans="1:36" x14ac:dyDescent="0.45">
      <c r="A43">
        <v>5</v>
      </c>
      <c r="B43" t="str">
        <f t="shared" si="0"/>
        <v>a 3 deg.f96p50</v>
      </c>
      <c r="C43">
        <f t="shared" si="2"/>
        <v>35</v>
      </c>
      <c r="D43" t="str">
        <f t="shared" si="1"/>
        <v>ts_096P50</v>
      </c>
      <c r="E43" t="str">
        <f t="shared" si="4"/>
        <v>C7</v>
      </c>
      <c r="G43" t="s">
        <v>141</v>
      </c>
      <c r="AJ43" s="10">
        <f t="shared" si="5"/>
        <v>7</v>
      </c>
    </row>
    <row r="44" spans="1:36" x14ac:dyDescent="0.45">
      <c r="A44">
        <v>5</v>
      </c>
      <c r="B44" t="str">
        <f t="shared" si="0"/>
        <v>e 1.5 deg no OS.f96p10</v>
      </c>
      <c r="C44">
        <f t="shared" si="2"/>
        <v>36</v>
      </c>
      <c r="D44" t="str">
        <f t="shared" si="1"/>
        <v>ts_096P10</v>
      </c>
      <c r="E44" t="str">
        <f t="shared" si="4"/>
        <v>C1</v>
      </c>
      <c r="G44" t="s">
        <v>13</v>
      </c>
      <c r="H44" t="s">
        <v>107</v>
      </c>
      <c r="I44">
        <v>2022</v>
      </c>
      <c r="J44">
        <f>J17</f>
        <v>2025</v>
      </c>
      <c r="K44">
        <f t="shared" ref="K44:O44" si="11">K17</f>
        <v>2030</v>
      </c>
      <c r="L44">
        <f t="shared" si="11"/>
        <v>2035</v>
      </c>
      <c r="M44">
        <f t="shared" si="11"/>
        <v>2040</v>
      </c>
      <c r="N44">
        <f t="shared" si="11"/>
        <v>2045</v>
      </c>
      <c r="O44">
        <f t="shared" si="11"/>
        <v>2050</v>
      </c>
      <c r="R44" t="s">
        <v>82</v>
      </c>
      <c r="S44" t="s">
        <v>83</v>
      </c>
      <c r="AJ44" s="10">
        <f t="shared" si="5"/>
        <v>8</v>
      </c>
    </row>
    <row r="45" spans="1:36" x14ac:dyDescent="0.45">
      <c r="A45">
        <v>5</v>
      </c>
      <c r="B45" t="str">
        <f t="shared" si="0"/>
        <v>d 1.5 deg OS.f96p10</v>
      </c>
      <c r="C45">
        <f t="shared" si="2"/>
        <v>37</v>
      </c>
      <c r="D45" t="str">
        <f t="shared" si="1"/>
        <v>ts_096P10</v>
      </c>
      <c r="E45" t="str">
        <f t="shared" si="4"/>
        <v>C2</v>
      </c>
      <c r="G45" t="s">
        <v>78</v>
      </c>
      <c r="H45" t="str">
        <f>G45</f>
        <v>Gas</v>
      </c>
      <c r="I45">
        <f t="shared" ref="I45:O48" si="12">AVERAGE($R45:$S45)*I37</f>
        <v>11.149999999999999</v>
      </c>
      <c r="J45">
        <f t="shared" si="12"/>
        <v>11.595999999999998</v>
      </c>
      <c r="K45">
        <f t="shared" si="12"/>
        <v>15.275499999999999</v>
      </c>
      <c r="L45">
        <f t="shared" si="12"/>
        <v>14.494999999999999</v>
      </c>
      <c r="M45">
        <f t="shared" si="12"/>
        <v>17.282499999999999</v>
      </c>
      <c r="N45">
        <f t="shared" si="12"/>
        <v>18.174499999999995</v>
      </c>
      <c r="O45">
        <f t="shared" si="12"/>
        <v>19.066499999999998</v>
      </c>
      <c r="R45">
        <f>HLOOKUP($G45&amp;"_"&amp;R$44,fuel_prices!$B$10:$I$11,2,FALSE)</f>
        <v>8.6</v>
      </c>
      <c r="S45">
        <f>HLOOKUP($G45&amp;"_"&amp;S$44,fuel_prices!$B$10:$I$11,2,FALSE)</f>
        <v>13.7</v>
      </c>
      <c r="AJ45" s="10">
        <f t="shared" si="5"/>
        <v>8</v>
      </c>
    </row>
    <row r="46" spans="1:36" x14ac:dyDescent="0.45">
      <c r="A46">
        <v>5</v>
      </c>
      <c r="B46" t="str">
        <f t="shared" si="0"/>
        <v>c 2 deg (67%).f96p10</v>
      </c>
      <c r="C46">
        <f t="shared" si="2"/>
        <v>38</v>
      </c>
      <c r="D46" t="str">
        <f t="shared" si="1"/>
        <v>ts_096P10</v>
      </c>
      <c r="E46" t="str">
        <f t="shared" si="4"/>
        <v>C3</v>
      </c>
      <c r="G46" t="s">
        <v>79</v>
      </c>
      <c r="H46" t="str">
        <f t="shared" ref="H46:H48" si="13">G46</f>
        <v>Coal</v>
      </c>
      <c r="I46">
        <f t="shared" si="12"/>
        <v>12.95</v>
      </c>
      <c r="J46">
        <f t="shared" si="12"/>
        <v>13.986000000000001</v>
      </c>
      <c r="K46">
        <f t="shared" si="12"/>
        <v>15.54</v>
      </c>
      <c r="L46">
        <f t="shared" si="12"/>
        <v>17.353000000000002</v>
      </c>
      <c r="M46">
        <f t="shared" si="12"/>
        <v>19.683999999999997</v>
      </c>
      <c r="N46">
        <f t="shared" si="12"/>
        <v>18.907</v>
      </c>
      <c r="O46">
        <f t="shared" si="12"/>
        <v>20.331499999999998</v>
      </c>
      <c r="R46">
        <f>HLOOKUP($G46&amp;"_"&amp;R$44,fuel_prices!$B$10:$I$11,2,FALSE)</f>
        <v>10.7</v>
      </c>
      <c r="S46">
        <f>HLOOKUP($G46&amp;"_"&amp;S$44,fuel_prices!$B$10:$I$11,2,FALSE)</f>
        <v>15.2</v>
      </c>
      <c r="AJ46" s="10">
        <f t="shared" si="5"/>
        <v>8</v>
      </c>
    </row>
    <row r="47" spans="1:36" x14ac:dyDescent="0.45">
      <c r="A47">
        <v>5</v>
      </c>
      <c r="B47" t="str">
        <f t="shared" si="0"/>
        <v>b 2 deg (50%).f96p10</v>
      </c>
      <c r="C47">
        <f t="shared" si="2"/>
        <v>39</v>
      </c>
      <c r="D47" t="str">
        <f t="shared" si="1"/>
        <v>ts_096P10</v>
      </c>
      <c r="E47" t="str">
        <f t="shared" si="4"/>
        <v>C4</v>
      </c>
      <c r="G47" t="s">
        <v>80</v>
      </c>
      <c r="H47" t="str">
        <f t="shared" si="13"/>
        <v>Oil</v>
      </c>
      <c r="I47">
        <f t="shared" si="12"/>
        <v>43</v>
      </c>
      <c r="J47">
        <f t="shared" si="12"/>
        <v>49.449999999999996</v>
      </c>
      <c r="K47">
        <f t="shared" si="12"/>
        <v>68.8</v>
      </c>
      <c r="L47">
        <f t="shared" si="12"/>
        <v>57.190000000000005</v>
      </c>
      <c r="M47">
        <f t="shared" si="12"/>
        <v>63.21</v>
      </c>
      <c r="N47">
        <f t="shared" si="12"/>
        <v>69.23</v>
      </c>
      <c r="O47">
        <f t="shared" si="12"/>
        <v>76.11</v>
      </c>
      <c r="R47">
        <f>HLOOKUP($G47&amp;"_"&amp;R$44,fuel_prices!$B$10:$I$11,2,FALSE)</f>
        <v>38</v>
      </c>
      <c r="S47">
        <f>HLOOKUP($G47&amp;"_"&amp;S$44,fuel_prices!$B$10:$I$11,2,FALSE)</f>
        <v>48</v>
      </c>
      <c r="AJ47" s="10">
        <f t="shared" si="5"/>
        <v>8</v>
      </c>
    </row>
    <row r="48" spans="1:36" x14ac:dyDescent="0.45">
      <c r="A48">
        <v>5</v>
      </c>
      <c r="B48" t="str">
        <f t="shared" si="0"/>
        <v>a 3 deg.f96p10</v>
      </c>
      <c r="C48">
        <f t="shared" si="2"/>
        <v>40</v>
      </c>
      <c r="D48" t="str">
        <f t="shared" si="1"/>
        <v>ts_096P10</v>
      </c>
      <c r="E48" t="str">
        <f t="shared" si="4"/>
        <v>C7</v>
      </c>
      <c r="G48" t="s">
        <v>81</v>
      </c>
      <c r="H48" t="str">
        <f t="shared" si="13"/>
        <v>Bioenergy</v>
      </c>
      <c r="I48">
        <f t="shared" si="12"/>
        <v>18</v>
      </c>
      <c r="O48">
        <f>VLOOKUP($E$5,$AK$9:$AM$15,3,FALSE)*I48</f>
        <v>54</v>
      </c>
      <c r="R48">
        <f>HLOOKUP($G48&amp;"_"&amp;R$44,fuel_prices!$B$10:$I$11,2,FALSE)</f>
        <v>14</v>
      </c>
      <c r="S48">
        <f>HLOOKUP($G48&amp;"_"&amp;S$44,fuel_prices!$B$10:$I$11,2,FALSE)</f>
        <v>22</v>
      </c>
      <c r="AJ48" s="10">
        <f t="shared" si="5"/>
        <v>8</v>
      </c>
    </row>
    <row r="49" spans="1:36" x14ac:dyDescent="0.45">
      <c r="A49">
        <v>5</v>
      </c>
      <c r="B49" t="str">
        <f t="shared" si="0"/>
        <v>e 1.5 deg no OS.f96p90</v>
      </c>
      <c r="C49">
        <f t="shared" si="2"/>
        <v>41</v>
      </c>
      <c r="D49" t="str">
        <f t="shared" si="1"/>
        <v>ts_096P90</v>
      </c>
      <c r="E49" t="str">
        <f t="shared" si="4"/>
        <v>C1</v>
      </c>
      <c r="AJ49" s="10">
        <f t="shared" si="5"/>
        <v>9</v>
      </c>
    </row>
    <row r="50" spans="1:36" x14ac:dyDescent="0.45">
      <c r="A50">
        <v>5</v>
      </c>
      <c r="B50" t="str">
        <f t="shared" si="0"/>
        <v>d 1.5 deg OS.f96p90</v>
      </c>
      <c r="C50">
        <f t="shared" si="2"/>
        <v>42</v>
      </c>
      <c r="D50" t="str">
        <f t="shared" si="1"/>
        <v>ts_096P90</v>
      </c>
      <c r="E50" t="str">
        <f t="shared" si="4"/>
        <v>C2</v>
      </c>
      <c r="AJ50" s="10">
        <f t="shared" si="5"/>
        <v>9</v>
      </c>
    </row>
    <row r="51" spans="1:36" x14ac:dyDescent="0.45">
      <c r="A51">
        <v>5</v>
      </c>
      <c r="B51" t="str">
        <f t="shared" si="0"/>
        <v>c 2 deg (67%).f96p90</v>
      </c>
      <c r="C51">
        <f t="shared" si="2"/>
        <v>43</v>
      </c>
      <c r="D51" t="str">
        <f t="shared" si="1"/>
        <v>ts_096P90</v>
      </c>
      <c r="E51" t="str">
        <f t="shared" si="4"/>
        <v>C3</v>
      </c>
      <c r="AJ51" s="10">
        <f t="shared" si="5"/>
        <v>9</v>
      </c>
    </row>
    <row r="52" spans="1:36" x14ac:dyDescent="0.45">
      <c r="A52">
        <v>5</v>
      </c>
      <c r="B52" t="str">
        <f t="shared" si="0"/>
        <v>b 2 deg (50%).f96p90</v>
      </c>
      <c r="C52">
        <f t="shared" si="2"/>
        <v>44</v>
      </c>
      <c r="D52" t="str">
        <f t="shared" si="1"/>
        <v>ts_096P90</v>
      </c>
      <c r="E52" t="str">
        <f t="shared" si="4"/>
        <v>C4</v>
      </c>
      <c r="AJ52" s="10">
        <f t="shared" si="5"/>
        <v>9</v>
      </c>
    </row>
    <row r="53" spans="1:36" x14ac:dyDescent="0.45">
      <c r="A53">
        <v>5</v>
      </c>
      <c r="B53" t="str">
        <f t="shared" si="0"/>
        <v>a 3 deg.f96p90</v>
      </c>
      <c r="C53">
        <f t="shared" si="2"/>
        <v>45</v>
      </c>
      <c r="D53" t="str">
        <f t="shared" si="1"/>
        <v>ts_096P90</v>
      </c>
      <c r="E53" t="str">
        <f t="shared" si="4"/>
        <v>C7</v>
      </c>
      <c r="AJ53" s="10">
        <f t="shared" si="5"/>
        <v>9</v>
      </c>
    </row>
    <row r="54" spans="1:36" x14ac:dyDescent="0.45">
      <c r="A54">
        <v>5</v>
      </c>
      <c r="B54" t="str">
        <f t="shared" si="0"/>
        <v>e 1.5 deg no OS.e3d</v>
      </c>
      <c r="C54">
        <f t="shared" si="2"/>
        <v>46</v>
      </c>
      <c r="D54" t="str">
        <f t="shared" si="1"/>
        <v>s1p1v1_d</v>
      </c>
      <c r="E54" t="str">
        <f t="shared" si="4"/>
        <v>C1</v>
      </c>
      <c r="AJ54" s="10">
        <f t="shared" si="5"/>
        <v>10</v>
      </c>
    </row>
    <row r="55" spans="1:36" x14ac:dyDescent="0.45">
      <c r="A55">
        <v>5</v>
      </c>
      <c r="B55" t="str">
        <f t="shared" si="0"/>
        <v>d 1.5 deg OS.e3d</v>
      </c>
      <c r="C55">
        <f t="shared" si="2"/>
        <v>47</v>
      </c>
      <c r="D55" t="str">
        <f t="shared" si="1"/>
        <v>s1p1v1_d</v>
      </c>
      <c r="E55" t="str">
        <f t="shared" si="4"/>
        <v>C2</v>
      </c>
      <c r="AJ55" s="10">
        <f t="shared" si="5"/>
        <v>10</v>
      </c>
    </row>
    <row r="56" spans="1:36" x14ac:dyDescent="0.45">
      <c r="A56">
        <v>5</v>
      </c>
      <c r="B56" t="str">
        <f t="shared" si="0"/>
        <v>c 2 deg (67%).e3d</v>
      </c>
      <c r="C56">
        <f t="shared" si="2"/>
        <v>48</v>
      </c>
      <c r="D56" t="str">
        <f t="shared" si="1"/>
        <v>s1p1v1_d</v>
      </c>
      <c r="E56" t="str">
        <f t="shared" si="4"/>
        <v>C3</v>
      </c>
      <c r="AJ56" s="10">
        <f t="shared" si="5"/>
        <v>10</v>
      </c>
    </row>
    <row r="57" spans="1:36" x14ac:dyDescent="0.45">
      <c r="A57">
        <v>5</v>
      </c>
      <c r="B57" t="str">
        <f t="shared" si="0"/>
        <v>b 2 deg (50%).e3d</v>
      </c>
      <c r="C57">
        <f t="shared" si="2"/>
        <v>49</v>
      </c>
      <c r="D57" t="str">
        <f t="shared" si="1"/>
        <v>s1p1v1_d</v>
      </c>
      <c r="E57" t="str">
        <f t="shared" si="4"/>
        <v>C4</v>
      </c>
      <c r="AJ57" s="10">
        <f t="shared" si="5"/>
        <v>10</v>
      </c>
    </row>
    <row r="58" spans="1:36" x14ac:dyDescent="0.45">
      <c r="A58">
        <v>5</v>
      </c>
      <c r="B58" t="str">
        <f t="shared" si="0"/>
        <v>a 3 deg.e3d</v>
      </c>
      <c r="C58">
        <f t="shared" si="2"/>
        <v>50</v>
      </c>
      <c r="D58" t="str">
        <f t="shared" si="1"/>
        <v>s1p1v1_d</v>
      </c>
      <c r="E58" t="str">
        <f t="shared" si="4"/>
        <v>C7</v>
      </c>
      <c r="AJ58" s="10">
        <f t="shared" si="5"/>
        <v>10</v>
      </c>
    </row>
    <row r="59" spans="1:36" x14ac:dyDescent="0.45">
      <c r="A59">
        <v>5</v>
      </c>
      <c r="B59" t="str">
        <f t="shared" si="0"/>
        <v>e 1.5 deg no OS.d9d</v>
      </c>
      <c r="C59">
        <f t="shared" si="2"/>
        <v>51</v>
      </c>
      <c r="D59" t="str">
        <f t="shared" si="1"/>
        <v>s3p3v3_d</v>
      </c>
      <c r="E59" t="str">
        <f t="shared" si="4"/>
        <v>C1</v>
      </c>
      <c r="AJ59" s="10">
        <f t="shared" si="5"/>
        <v>11</v>
      </c>
    </row>
    <row r="60" spans="1:36" x14ac:dyDescent="0.45">
      <c r="A60">
        <v>5</v>
      </c>
      <c r="B60" t="str">
        <f t="shared" si="0"/>
        <v>d 1.5 deg OS.d9d</v>
      </c>
      <c r="C60">
        <f t="shared" si="2"/>
        <v>52</v>
      </c>
      <c r="D60" t="str">
        <f t="shared" si="1"/>
        <v>s3p3v3_d</v>
      </c>
      <c r="E60" t="str">
        <f t="shared" si="4"/>
        <v>C2</v>
      </c>
      <c r="AJ60" s="10">
        <f t="shared" si="5"/>
        <v>11</v>
      </c>
    </row>
    <row r="61" spans="1:36" x14ac:dyDescent="0.45">
      <c r="A61">
        <v>5</v>
      </c>
      <c r="B61" t="str">
        <f t="shared" si="0"/>
        <v>c 2 deg (67%).d9d</v>
      </c>
      <c r="C61">
        <f t="shared" si="2"/>
        <v>53</v>
      </c>
      <c r="D61" t="str">
        <f t="shared" si="1"/>
        <v>s3p3v3_d</v>
      </c>
      <c r="E61" t="str">
        <f t="shared" si="4"/>
        <v>C3</v>
      </c>
      <c r="AJ61" s="10">
        <f t="shared" si="5"/>
        <v>11</v>
      </c>
    </row>
    <row r="62" spans="1:36" x14ac:dyDescent="0.45">
      <c r="A62">
        <v>5</v>
      </c>
      <c r="B62" t="str">
        <f t="shared" si="0"/>
        <v>b 2 deg (50%).d9d</v>
      </c>
      <c r="C62">
        <f t="shared" si="2"/>
        <v>54</v>
      </c>
      <c r="D62" t="str">
        <f t="shared" si="1"/>
        <v>s3p3v3_d</v>
      </c>
      <c r="E62" t="str">
        <f t="shared" si="4"/>
        <v>C4</v>
      </c>
      <c r="AJ62" s="10">
        <f t="shared" si="5"/>
        <v>11</v>
      </c>
    </row>
    <row r="63" spans="1:36" x14ac:dyDescent="0.45">
      <c r="A63">
        <v>5</v>
      </c>
      <c r="B63" t="str">
        <f t="shared" si="0"/>
        <v>a 3 deg.d9d</v>
      </c>
      <c r="C63">
        <f t="shared" si="2"/>
        <v>55</v>
      </c>
      <c r="D63" t="str">
        <f t="shared" si="1"/>
        <v>s3p3v3_d</v>
      </c>
      <c r="E63" t="str">
        <f t="shared" si="4"/>
        <v>C7</v>
      </c>
      <c r="AJ63" s="10">
        <f t="shared" si="5"/>
        <v>11</v>
      </c>
    </row>
    <row r="64" spans="1:36" x14ac:dyDescent="0.45">
      <c r="A64">
        <v>5</v>
      </c>
      <c r="B64" t="str">
        <f t="shared" si="0"/>
        <v>e 1.5 deg no OS.c15d</v>
      </c>
      <c r="C64">
        <f t="shared" si="2"/>
        <v>56</v>
      </c>
      <c r="D64" t="str">
        <f t="shared" ref="D64:D78" si="14">VLOOKUP(AJ64,$AG$9:$AH$22,2,FALSE)</f>
        <v>s5p5v5_d</v>
      </c>
      <c r="E64" t="str">
        <f t="shared" si="4"/>
        <v>C1</v>
      </c>
      <c r="AJ64" s="10">
        <f t="shared" si="5"/>
        <v>12</v>
      </c>
    </row>
    <row r="65" spans="1:36" x14ac:dyDescent="0.45">
      <c r="A65">
        <v>5</v>
      </c>
      <c r="B65" t="str">
        <f t="shared" si="0"/>
        <v>d 1.5 deg OS.c15d</v>
      </c>
      <c r="C65">
        <f t="shared" si="2"/>
        <v>57</v>
      </c>
      <c r="D65" t="str">
        <f t="shared" si="14"/>
        <v>s5p5v5_d</v>
      </c>
      <c r="E65" t="str">
        <f t="shared" si="4"/>
        <v>C2</v>
      </c>
      <c r="AJ65" s="10">
        <f t="shared" si="5"/>
        <v>12</v>
      </c>
    </row>
    <row r="66" spans="1:36" x14ac:dyDescent="0.45">
      <c r="A66">
        <v>5</v>
      </c>
      <c r="B66" t="str">
        <f t="shared" si="0"/>
        <v>c 2 deg (67%).c15d</v>
      </c>
      <c r="C66">
        <f t="shared" si="2"/>
        <v>58</v>
      </c>
      <c r="D66" t="str">
        <f t="shared" si="14"/>
        <v>s5p5v5_d</v>
      </c>
      <c r="E66" t="str">
        <f t="shared" si="4"/>
        <v>C3</v>
      </c>
      <c r="AJ66" s="10">
        <f t="shared" si="5"/>
        <v>12</v>
      </c>
    </row>
    <row r="67" spans="1:36" x14ac:dyDescent="0.45">
      <c r="A67">
        <v>5</v>
      </c>
      <c r="B67" t="str">
        <f t="shared" si="0"/>
        <v>b 2 deg (50%).c15d</v>
      </c>
      <c r="C67">
        <f t="shared" si="2"/>
        <v>59</v>
      </c>
      <c r="D67" t="str">
        <f t="shared" si="14"/>
        <v>s5p5v5_d</v>
      </c>
      <c r="E67" t="str">
        <f t="shared" si="4"/>
        <v>C4</v>
      </c>
      <c r="AJ67" s="10">
        <f t="shared" si="5"/>
        <v>12</v>
      </c>
    </row>
    <row r="68" spans="1:36" x14ac:dyDescent="0.45">
      <c r="A68">
        <v>5</v>
      </c>
      <c r="B68" t="str">
        <f t="shared" si="0"/>
        <v>a 3 deg.c15d</v>
      </c>
      <c r="C68">
        <f t="shared" si="2"/>
        <v>60</v>
      </c>
      <c r="D68" t="str">
        <f t="shared" si="14"/>
        <v>s5p5v5_d</v>
      </c>
      <c r="E68" t="str">
        <f t="shared" si="4"/>
        <v>C7</v>
      </c>
      <c r="AJ68" s="10">
        <f t="shared" si="5"/>
        <v>12</v>
      </c>
    </row>
    <row r="69" spans="1:36" x14ac:dyDescent="0.45">
      <c r="A69">
        <v>5</v>
      </c>
      <c r="B69" t="str">
        <f t="shared" si="0"/>
        <v>e 1.5 deg no OS.b2w</v>
      </c>
      <c r="C69">
        <f t="shared" si="2"/>
        <v>61</v>
      </c>
      <c r="D69" t="str">
        <f t="shared" si="14"/>
        <v>s2_w</v>
      </c>
      <c r="E69" t="str">
        <f t="shared" si="4"/>
        <v>C1</v>
      </c>
      <c r="AJ69" s="10">
        <f t="shared" si="5"/>
        <v>13</v>
      </c>
    </row>
    <row r="70" spans="1:36" x14ac:dyDescent="0.45">
      <c r="A70">
        <v>5</v>
      </c>
      <c r="B70" t="str">
        <f t="shared" si="0"/>
        <v>d 1.5 deg OS.b2w</v>
      </c>
      <c r="C70">
        <f t="shared" si="2"/>
        <v>62</v>
      </c>
      <c r="D70" t="str">
        <f t="shared" si="14"/>
        <v>s2_w</v>
      </c>
      <c r="E70" t="str">
        <f t="shared" si="4"/>
        <v>C2</v>
      </c>
      <c r="AJ70" s="10">
        <f t="shared" si="5"/>
        <v>13</v>
      </c>
    </row>
    <row r="71" spans="1:36" x14ac:dyDescent="0.45">
      <c r="A71">
        <v>5</v>
      </c>
      <c r="B71" t="str">
        <f t="shared" si="0"/>
        <v>c 2 deg (67%).b2w</v>
      </c>
      <c r="C71">
        <f t="shared" si="2"/>
        <v>63</v>
      </c>
      <c r="D71" t="str">
        <f t="shared" si="14"/>
        <v>s2_w</v>
      </c>
      <c r="E71" t="str">
        <f t="shared" si="4"/>
        <v>C3</v>
      </c>
      <c r="AJ71" s="10">
        <f t="shared" si="5"/>
        <v>13</v>
      </c>
    </row>
    <row r="72" spans="1:36" x14ac:dyDescent="0.45">
      <c r="A72">
        <v>5</v>
      </c>
      <c r="B72" t="str">
        <f t="shared" si="0"/>
        <v>b 2 deg (50%).b2w</v>
      </c>
      <c r="C72">
        <f t="shared" si="2"/>
        <v>64</v>
      </c>
      <c r="D72" t="str">
        <f t="shared" si="14"/>
        <v>s2_w</v>
      </c>
      <c r="E72" t="str">
        <f t="shared" si="4"/>
        <v>C4</v>
      </c>
      <c r="AJ72" s="10">
        <f t="shared" si="5"/>
        <v>13</v>
      </c>
    </row>
    <row r="73" spans="1:36" x14ac:dyDescent="0.45">
      <c r="A73">
        <v>5</v>
      </c>
      <c r="B73" t="str">
        <f t="shared" si="0"/>
        <v>a 3 deg.b2w</v>
      </c>
      <c r="C73">
        <f t="shared" si="2"/>
        <v>65</v>
      </c>
      <c r="D73" t="str">
        <f t="shared" si="14"/>
        <v>s2_w</v>
      </c>
      <c r="E73" t="str">
        <f t="shared" si="4"/>
        <v>C7</v>
      </c>
      <c r="AJ73" s="10">
        <f t="shared" si="5"/>
        <v>13</v>
      </c>
    </row>
    <row r="74" spans="1:36" x14ac:dyDescent="0.45">
      <c r="A74">
        <v>5</v>
      </c>
      <c r="B74" t="str">
        <f t="shared" ref="B74:B78" si="15">VLOOKUP(E74,$AK$9:$AL$15,2,FALSE)&amp;"."&amp;VLOOKUP(D74,$AH$9:$AI$24,2,FALSE)</f>
        <v>e 1.5 deg no OS.a2w2d</v>
      </c>
      <c r="C74">
        <f t="shared" si="2"/>
        <v>66</v>
      </c>
      <c r="D74" t="str">
        <f t="shared" si="14"/>
        <v>s2_w_p2_d</v>
      </c>
      <c r="E74" t="str">
        <f t="shared" si="4"/>
        <v>C1</v>
      </c>
      <c r="AJ74" s="10">
        <f t="shared" si="5"/>
        <v>14</v>
      </c>
    </row>
    <row r="75" spans="1:36" x14ac:dyDescent="0.45">
      <c r="A75">
        <v>5</v>
      </c>
      <c r="B75" t="str">
        <f t="shared" si="15"/>
        <v>d 1.5 deg OS.a2w2d</v>
      </c>
      <c r="C75">
        <f t="shared" ref="C75:C78" si="16">C74+1</f>
        <v>67</v>
      </c>
      <c r="D75" t="str">
        <f t="shared" si="14"/>
        <v>s2_w_p2_d</v>
      </c>
      <c r="E75" t="str">
        <f t="shared" si="4"/>
        <v>C2</v>
      </c>
      <c r="AJ75" s="10">
        <f t="shared" si="5"/>
        <v>14</v>
      </c>
    </row>
    <row r="76" spans="1:36" x14ac:dyDescent="0.45">
      <c r="A76">
        <v>5</v>
      </c>
      <c r="B76" t="str">
        <f t="shared" si="15"/>
        <v>c 2 deg (67%).a2w2d</v>
      </c>
      <c r="C76">
        <f t="shared" si="16"/>
        <v>68</v>
      </c>
      <c r="D76" t="str">
        <f t="shared" si="14"/>
        <v>s2_w_p2_d</v>
      </c>
      <c r="E76" t="str">
        <f t="shared" si="4"/>
        <v>C3</v>
      </c>
      <c r="AJ76" s="10">
        <f t="shared" si="5"/>
        <v>14</v>
      </c>
    </row>
    <row r="77" spans="1:36" x14ac:dyDescent="0.45">
      <c r="A77">
        <v>5</v>
      </c>
      <c r="B77" t="str">
        <f t="shared" si="15"/>
        <v>b 2 deg (50%).a2w2d</v>
      </c>
      <c r="C77">
        <f t="shared" si="16"/>
        <v>69</v>
      </c>
      <c r="D77" t="str">
        <f t="shared" si="14"/>
        <v>s2_w_p2_d</v>
      </c>
      <c r="E77" t="str">
        <f t="shared" si="4"/>
        <v>C4</v>
      </c>
      <c r="AJ77" s="10">
        <f t="shared" si="5"/>
        <v>14</v>
      </c>
    </row>
    <row r="78" spans="1:36" x14ac:dyDescent="0.45">
      <c r="A78">
        <v>5</v>
      </c>
      <c r="B78" t="str">
        <f t="shared" si="15"/>
        <v>a 3 deg.a2w2d</v>
      </c>
      <c r="C78">
        <f t="shared" si="16"/>
        <v>70</v>
      </c>
      <c r="D78" t="str">
        <f t="shared" si="14"/>
        <v>s2_w_p2_d</v>
      </c>
      <c r="E78" t="str">
        <f t="shared" si="4"/>
        <v>C7</v>
      </c>
      <c r="AJ78" s="10">
        <f t="shared" si="5"/>
        <v>14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1"/>
  <sheetViews>
    <sheetView workbookViewId="0">
      <selection sqref="A1:H1"/>
    </sheetView>
  </sheetViews>
  <sheetFormatPr defaultRowHeight="14.25" x14ac:dyDescent="0.45"/>
  <cols>
    <col min="1" max="7" width="10.59765625" customWidth="1"/>
    <col min="8" max="8" width="13.3984375" bestFit="1" customWidth="1"/>
    <col min="9" max="9" width="14.06640625" bestFit="1" customWidth="1"/>
    <col min="10" max="10" width="26.3984375" bestFit="1" customWidth="1"/>
  </cols>
  <sheetData>
    <row r="1" spans="1:10" ht="22.05" customHeight="1" x14ac:dyDescent="0.45"/>
    <row r="9" spans="1:10" x14ac:dyDescent="0.45">
      <c r="A9" t="s">
        <v>60</v>
      </c>
    </row>
    <row r="10" spans="1:10" x14ac:dyDescent="0.45">
      <c r="A10" t="s">
        <v>36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t="s">
        <v>66</v>
      </c>
      <c r="H10" t="s">
        <v>67</v>
      </c>
      <c r="I10" t="s">
        <v>68</v>
      </c>
      <c r="J10" t="s">
        <v>69</v>
      </c>
    </row>
    <row r="11" spans="1:10" x14ac:dyDescent="0.45">
      <c r="A11" t="s">
        <v>143</v>
      </c>
      <c r="B11">
        <v>8.6</v>
      </c>
      <c r="C11">
        <v>13.7</v>
      </c>
      <c r="D11">
        <v>10.7</v>
      </c>
      <c r="E11">
        <v>15.2</v>
      </c>
      <c r="F11">
        <v>38</v>
      </c>
      <c r="G11">
        <v>48</v>
      </c>
      <c r="H11">
        <v>14</v>
      </c>
      <c r="I11">
        <v>22</v>
      </c>
      <c r="J11" t="s">
        <v>145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"/>
  <sheetViews>
    <sheetView workbookViewId="0">
      <selection sqref="A1:H1"/>
    </sheetView>
  </sheetViews>
  <sheetFormatPr defaultRowHeight="14.25" x14ac:dyDescent="0.45"/>
  <cols>
    <col min="1" max="2" width="10.59765625" customWidth="1"/>
    <col min="3" max="3" width="11.796875" bestFit="1" customWidth="1"/>
    <col min="4" max="4" width="16.9296875" bestFit="1" customWidth="1"/>
    <col min="5" max="5" width="21" bestFit="1" customWidth="1"/>
    <col min="6" max="6" width="17.6640625" bestFit="1" customWidth="1"/>
    <col min="7" max="7" width="11.46484375" bestFit="1" customWidth="1"/>
    <col min="8" max="8" width="11.265625" bestFit="1" customWidth="1"/>
    <col min="9" max="9" width="19.265625" bestFit="1" customWidth="1"/>
  </cols>
  <sheetData>
    <row r="1" spans="1:9" ht="22.05" customHeight="1" x14ac:dyDescent="0.45"/>
    <row r="9" spans="1:9" x14ac:dyDescent="0.45">
      <c r="A9" t="s">
        <v>58</v>
      </c>
    </row>
    <row r="10" spans="1:9" x14ac:dyDescent="0.45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</row>
    <row r="11" spans="1:9" x14ac:dyDescent="0.45">
      <c r="A11" t="s">
        <v>143</v>
      </c>
      <c r="B11">
        <v>2000</v>
      </c>
      <c r="C11">
        <v>5.68</v>
      </c>
      <c r="D11">
        <v>6.78</v>
      </c>
      <c r="E11">
        <v>0</v>
      </c>
      <c r="F11">
        <v>0</v>
      </c>
      <c r="G11">
        <v>0</v>
      </c>
      <c r="H11">
        <v>0</v>
      </c>
      <c r="I11">
        <v>15.1</v>
      </c>
    </row>
    <row r="12" spans="1:9" x14ac:dyDescent="0.45">
      <c r="A12" t="s">
        <v>143</v>
      </c>
      <c r="B12">
        <v>2001</v>
      </c>
      <c r="C12">
        <v>5.88</v>
      </c>
      <c r="D12">
        <v>7.05</v>
      </c>
      <c r="E12">
        <v>0</v>
      </c>
      <c r="F12">
        <v>0</v>
      </c>
      <c r="G12">
        <v>0</v>
      </c>
      <c r="H12">
        <v>0</v>
      </c>
      <c r="I12">
        <v>15.82</v>
      </c>
    </row>
    <row r="13" spans="1:9" x14ac:dyDescent="0.45">
      <c r="A13" t="s">
        <v>143</v>
      </c>
      <c r="B13">
        <v>2002</v>
      </c>
      <c r="C13">
        <v>7.07</v>
      </c>
      <c r="D13">
        <v>11.01</v>
      </c>
      <c r="E13">
        <v>0</v>
      </c>
      <c r="F13">
        <v>0</v>
      </c>
      <c r="G13">
        <v>0</v>
      </c>
      <c r="H13">
        <v>0</v>
      </c>
      <c r="I13">
        <v>21.85</v>
      </c>
    </row>
    <row r="14" spans="1:9" x14ac:dyDescent="0.45">
      <c r="A14" t="s">
        <v>143</v>
      </c>
      <c r="B14">
        <v>2003</v>
      </c>
      <c r="C14">
        <v>6.6</v>
      </c>
      <c r="D14">
        <v>11.21</v>
      </c>
      <c r="E14">
        <v>0</v>
      </c>
      <c r="F14">
        <v>0</v>
      </c>
      <c r="G14">
        <v>0</v>
      </c>
      <c r="H14">
        <v>0</v>
      </c>
      <c r="I14">
        <v>20.52</v>
      </c>
    </row>
    <row r="15" spans="1:9" x14ac:dyDescent="0.45">
      <c r="A15" t="s">
        <v>143</v>
      </c>
      <c r="B15">
        <v>2004</v>
      </c>
      <c r="C15">
        <v>7.92</v>
      </c>
      <c r="D15">
        <v>13.97</v>
      </c>
      <c r="E15">
        <v>0</v>
      </c>
      <c r="F15">
        <v>0</v>
      </c>
      <c r="G15">
        <v>0</v>
      </c>
      <c r="H15">
        <v>0</v>
      </c>
      <c r="I15">
        <v>24.61</v>
      </c>
    </row>
    <row r="16" spans="1:9" x14ac:dyDescent="0.45">
      <c r="A16" t="s">
        <v>143</v>
      </c>
      <c r="B16">
        <v>2005</v>
      </c>
      <c r="C16">
        <v>7.99</v>
      </c>
      <c r="D16">
        <v>15.06</v>
      </c>
      <c r="E16">
        <v>0</v>
      </c>
      <c r="F16">
        <v>0</v>
      </c>
      <c r="G16">
        <v>0</v>
      </c>
      <c r="H16">
        <v>0</v>
      </c>
      <c r="I16">
        <v>23.94</v>
      </c>
    </row>
    <row r="17" spans="1:9" x14ac:dyDescent="0.45">
      <c r="A17" t="s">
        <v>143</v>
      </c>
      <c r="B17">
        <v>2006</v>
      </c>
      <c r="C17">
        <v>9.08</v>
      </c>
      <c r="D17">
        <v>11.91</v>
      </c>
      <c r="E17">
        <v>0</v>
      </c>
      <c r="F17">
        <v>0</v>
      </c>
      <c r="G17">
        <v>0</v>
      </c>
      <c r="H17">
        <v>0</v>
      </c>
      <c r="I17">
        <v>23.6</v>
      </c>
    </row>
    <row r="18" spans="1:9" x14ac:dyDescent="0.45">
      <c r="A18" t="s">
        <v>143</v>
      </c>
      <c r="B18">
        <v>2007</v>
      </c>
      <c r="C18">
        <v>9.0500000000000007</v>
      </c>
      <c r="D18">
        <v>15.34</v>
      </c>
      <c r="E18">
        <v>0</v>
      </c>
      <c r="F18">
        <v>0</v>
      </c>
      <c r="G18">
        <v>0</v>
      </c>
      <c r="H18">
        <v>0</v>
      </c>
      <c r="I18">
        <v>23.67</v>
      </c>
    </row>
    <row r="19" spans="1:9" x14ac:dyDescent="0.45">
      <c r="A19" t="s">
        <v>143</v>
      </c>
      <c r="B19">
        <v>2008</v>
      </c>
      <c r="C19">
        <v>9.01</v>
      </c>
      <c r="D19">
        <v>14.81</v>
      </c>
      <c r="E19">
        <v>0</v>
      </c>
      <c r="F19">
        <v>0</v>
      </c>
      <c r="G19">
        <v>0</v>
      </c>
      <c r="H19">
        <v>0</v>
      </c>
      <c r="I19">
        <v>22.58</v>
      </c>
    </row>
    <row r="20" spans="1:9" x14ac:dyDescent="0.45">
      <c r="A20" t="s">
        <v>143</v>
      </c>
      <c r="B20">
        <v>2009</v>
      </c>
      <c r="C20">
        <v>8.3800000000000008</v>
      </c>
      <c r="D20">
        <v>14.8</v>
      </c>
      <c r="E20">
        <v>0</v>
      </c>
      <c r="F20">
        <v>0</v>
      </c>
      <c r="G20">
        <v>0</v>
      </c>
      <c r="H20">
        <v>0</v>
      </c>
      <c r="I20">
        <v>21.25</v>
      </c>
    </row>
    <row r="21" spans="1:9" x14ac:dyDescent="0.45">
      <c r="A21" t="s">
        <v>143</v>
      </c>
      <c r="B21">
        <v>2010</v>
      </c>
      <c r="C21">
        <v>9.65</v>
      </c>
      <c r="D21">
        <v>17.41</v>
      </c>
      <c r="E21">
        <v>0</v>
      </c>
      <c r="F21">
        <v>0</v>
      </c>
      <c r="G21">
        <v>0</v>
      </c>
      <c r="H21">
        <v>0</v>
      </c>
      <c r="I21">
        <v>27.6</v>
      </c>
    </row>
    <row r="22" spans="1:9" x14ac:dyDescent="0.45">
      <c r="A22" t="s">
        <v>143</v>
      </c>
      <c r="B22">
        <v>2011</v>
      </c>
      <c r="C22">
        <v>10.61</v>
      </c>
      <c r="D22">
        <v>19.75</v>
      </c>
      <c r="E22">
        <v>0</v>
      </c>
      <c r="F22">
        <v>0</v>
      </c>
      <c r="G22">
        <v>0</v>
      </c>
      <c r="H22">
        <v>0</v>
      </c>
      <c r="I22">
        <v>28.8</v>
      </c>
    </row>
    <row r="23" spans="1:9" x14ac:dyDescent="0.45">
      <c r="A23" t="s">
        <v>143</v>
      </c>
      <c r="B23">
        <v>2012</v>
      </c>
      <c r="C23">
        <v>11.89</v>
      </c>
      <c r="D23">
        <v>21.18</v>
      </c>
      <c r="E23">
        <v>0</v>
      </c>
      <c r="F23">
        <v>0</v>
      </c>
      <c r="G23">
        <v>0</v>
      </c>
      <c r="H23">
        <v>0</v>
      </c>
      <c r="I23">
        <v>31.06</v>
      </c>
    </row>
    <row r="24" spans="1:9" x14ac:dyDescent="0.45">
      <c r="A24" t="s">
        <v>143</v>
      </c>
      <c r="B24">
        <v>2013</v>
      </c>
      <c r="C24">
        <v>12.93</v>
      </c>
      <c r="D24">
        <v>19.59</v>
      </c>
      <c r="E24">
        <v>0</v>
      </c>
      <c r="F24">
        <v>0</v>
      </c>
      <c r="G24">
        <v>0</v>
      </c>
      <c r="H24">
        <v>0</v>
      </c>
      <c r="I24">
        <v>34.06</v>
      </c>
    </row>
    <row r="25" spans="1:9" x14ac:dyDescent="0.45">
      <c r="A25" t="s">
        <v>143</v>
      </c>
      <c r="B25">
        <v>2014</v>
      </c>
      <c r="C25">
        <v>14.35</v>
      </c>
      <c r="D25">
        <v>20.38</v>
      </c>
      <c r="E25">
        <v>0</v>
      </c>
      <c r="F25">
        <v>0</v>
      </c>
      <c r="G25">
        <v>0</v>
      </c>
      <c r="H25">
        <v>0</v>
      </c>
      <c r="I25">
        <v>41.08</v>
      </c>
    </row>
    <row r="26" spans="1:9" x14ac:dyDescent="0.45">
      <c r="A26" t="s">
        <v>143</v>
      </c>
      <c r="B26">
        <v>2015</v>
      </c>
      <c r="C26">
        <v>15.14</v>
      </c>
      <c r="D26">
        <v>21.03</v>
      </c>
      <c r="E26">
        <v>0</v>
      </c>
      <c r="F26">
        <v>0</v>
      </c>
      <c r="G26">
        <v>0</v>
      </c>
      <c r="H26">
        <v>0</v>
      </c>
      <c r="I26">
        <v>45.02</v>
      </c>
    </row>
    <row r="27" spans="1:9" x14ac:dyDescent="0.45">
      <c r="A27" t="s">
        <v>143</v>
      </c>
      <c r="B27">
        <v>2016</v>
      </c>
      <c r="C27">
        <v>16.07</v>
      </c>
      <c r="D27">
        <v>21.56</v>
      </c>
      <c r="E27">
        <v>0</v>
      </c>
      <c r="F27">
        <v>0</v>
      </c>
      <c r="G27">
        <v>0</v>
      </c>
      <c r="H27">
        <v>-1.94</v>
      </c>
      <c r="I27">
        <v>52.35</v>
      </c>
    </row>
    <row r="28" spans="1:9" x14ac:dyDescent="0.45">
      <c r="A28" t="s">
        <v>143</v>
      </c>
      <c r="B28">
        <v>2017</v>
      </c>
      <c r="C28">
        <v>12.43</v>
      </c>
      <c r="D28">
        <v>22.11</v>
      </c>
      <c r="E28">
        <v>0</v>
      </c>
      <c r="F28">
        <v>0</v>
      </c>
      <c r="G28">
        <v>0</v>
      </c>
      <c r="H28">
        <v>-2.46</v>
      </c>
      <c r="I28">
        <v>35.020000000000003</v>
      </c>
    </row>
    <row r="29" spans="1:9" x14ac:dyDescent="0.45">
      <c r="A29" t="s">
        <v>143</v>
      </c>
      <c r="B29">
        <v>2018</v>
      </c>
      <c r="C29">
        <v>13.19</v>
      </c>
      <c r="D29">
        <v>22.67</v>
      </c>
      <c r="E29">
        <v>0</v>
      </c>
      <c r="F29">
        <v>0</v>
      </c>
      <c r="G29">
        <v>0</v>
      </c>
      <c r="H29">
        <v>-3</v>
      </c>
      <c r="I29">
        <v>36.67</v>
      </c>
    </row>
    <row r="30" spans="1:9" x14ac:dyDescent="0.45">
      <c r="A30" t="s">
        <v>143</v>
      </c>
      <c r="B30">
        <v>2019</v>
      </c>
      <c r="C30">
        <v>13.34</v>
      </c>
      <c r="D30">
        <v>23.23</v>
      </c>
      <c r="E30">
        <v>0</v>
      </c>
      <c r="F30">
        <v>0</v>
      </c>
      <c r="G30">
        <v>0</v>
      </c>
      <c r="H30">
        <v>-2.33</v>
      </c>
      <c r="I30">
        <v>36.43</v>
      </c>
    </row>
    <row r="31" spans="1:9" x14ac:dyDescent="0.45">
      <c r="A31" t="s">
        <v>143</v>
      </c>
      <c r="B31">
        <v>2020</v>
      </c>
      <c r="C31">
        <v>13.03</v>
      </c>
      <c r="D31">
        <v>23.81</v>
      </c>
      <c r="E31">
        <v>0</v>
      </c>
      <c r="F31">
        <v>0</v>
      </c>
      <c r="G31">
        <v>0</v>
      </c>
      <c r="H31">
        <v>-2.4300000000000002</v>
      </c>
      <c r="I31">
        <v>37.950000000000003</v>
      </c>
    </row>
    <row r="32" spans="1:9" x14ac:dyDescent="0.45">
      <c r="A32" t="s">
        <v>143</v>
      </c>
      <c r="B32">
        <v>2021</v>
      </c>
      <c r="C32">
        <v>13.56</v>
      </c>
      <c r="D32">
        <v>24.39</v>
      </c>
      <c r="E32">
        <v>0</v>
      </c>
      <c r="F32">
        <v>0</v>
      </c>
      <c r="G32">
        <v>0</v>
      </c>
      <c r="H32">
        <v>-2.4300000000000002</v>
      </c>
      <c r="I32">
        <v>39.14</v>
      </c>
    </row>
    <row r="33" spans="1:9" x14ac:dyDescent="0.45">
      <c r="A33" t="s">
        <v>143</v>
      </c>
      <c r="B33">
        <v>2022</v>
      </c>
      <c r="C33">
        <v>13.63</v>
      </c>
      <c r="D33">
        <v>24.98</v>
      </c>
      <c r="E33">
        <v>0</v>
      </c>
      <c r="F33">
        <v>0</v>
      </c>
      <c r="G33">
        <v>0</v>
      </c>
      <c r="H33">
        <v>-2.3199999999999998</v>
      </c>
      <c r="I33">
        <v>37.92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60"/>
  <sheetViews>
    <sheetView workbookViewId="0">
      <selection sqref="A1:K1"/>
    </sheetView>
  </sheetViews>
  <sheetFormatPr defaultRowHeight="14.25" x14ac:dyDescent="0.45"/>
  <cols>
    <col min="1" max="1" width="10.59765625" customWidth="1"/>
    <col min="2" max="2" width="11.06640625" bestFit="1" customWidth="1"/>
    <col min="3" max="11" width="10.59765625" customWidth="1"/>
    <col min="12" max="13" width="30.59765625" customWidth="1"/>
    <col min="14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3" ht="22.05" customHeight="1" x14ac:dyDescent="0.45"/>
    <row r="9" spans="1:13" x14ac:dyDescent="0.45">
      <c r="A9" t="s">
        <v>59</v>
      </c>
    </row>
    <row r="10" spans="1:13" x14ac:dyDescent="0.45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55</v>
      </c>
      <c r="L10" t="s">
        <v>56</v>
      </c>
      <c r="M10" t="s">
        <v>14</v>
      </c>
    </row>
    <row r="11" spans="1:13" x14ac:dyDescent="0.45">
      <c r="A11" t="s">
        <v>0</v>
      </c>
      <c r="B11" t="s">
        <v>144</v>
      </c>
      <c r="C11">
        <v>2020</v>
      </c>
      <c r="D11">
        <v>58</v>
      </c>
      <c r="E11">
        <v>4.4000000000000004</v>
      </c>
      <c r="F11">
        <v>0.43</v>
      </c>
      <c r="G11">
        <v>5.71</v>
      </c>
      <c r="H11">
        <v>0</v>
      </c>
      <c r="I11">
        <v>15.58</v>
      </c>
      <c r="J11">
        <v>0</v>
      </c>
      <c r="K11">
        <v>8.31</v>
      </c>
      <c r="L11" t="s">
        <v>1</v>
      </c>
      <c r="M11" t="s">
        <v>27</v>
      </c>
    </row>
    <row r="12" spans="1:13" x14ac:dyDescent="0.45">
      <c r="A12" t="s">
        <v>0</v>
      </c>
      <c r="B12" t="s">
        <v>144</v>
      </c>
      <c r="C12">
        <v>2025</v>
      </c>
      <c r="D12">
        <v>58</v>
      </c>
      <c r="E12">
        <v>132.94</v>
      </c>
      <c r="F12">
        <v>113.94</v>
      </c>
      <c r="G12">
        <v>135.33000000000001</v>
      </c>
      <c r="H12">
        <v>13.36</v>
      </c>
      <c r="I12">
        <v>626.48</v>
      </c>
      <c r="J12">
        <v>28.22</v>
      </c>
      <c r="K12">
        <v>179.27</v>
      </c>
      <c r="L12" t="s">
        <v>1</v>
      </c>
      <c r="M12" t="s">
        <v>27</v>
      </c>
    </row>
    <row r="13" spans="1:13" x14ac:dyDescent="0.45">
      <c r="A13" t="s">
        <v>0</v>
      </c>
      <c r="B13" t="s">
        <v>144</v>
      </c>
      <c r="C13">
        <v>2030</v>
      </c>
      <c r="D13">
        <v>58</v>
      </c>
      <c r="E13">
        <v>191.57</v>
      </c>
      <c r="F13">
        <v>180.17</v>
      </c>
      <c r="G13">
        <v>130.46</v>
      </c>
      <c r="H13">
        <v>3.02</v>
      </c>
      <c r="I13">
        <v>673.46</v>
      </c>
      <c r="J13">
        <v>89.49</v>
      </c>
      <c r="K13">
        <v>241.69</v>
      </c>
      <c r="L13" t="s">
        <v>1</v>
      </c>
      <c r="M13" t="s">
        <v>27</v>
      </c>
    </row>
    <row r="14" spans="1:13" x14ac:dyDescent="0.45">
      <c r="A14" t="s">
        <v>0</v>
      </c>
      <c r="B14" t="s">
        <v>144</v>
      </c>
      <c r="C14">
        <v>2035</v>
      </c>
      <c r="D14">
        <v>58</v>
      </c>
      <c r="E14">
        <v>278.86</v>
      </c>
      <c r="F14">
        <v>243.45</v>
      </c>
      <c r="G14">
        <v>167.16</v>
      </c>
      <c r="H14">
        <v>9.51</v>
      </c>
      <c r="I14">
        <v>859.53</v>
      </c>
      <c r="J14">
        <v>142.94999999999999</v>
      </c>
      <c r="K14">
        <v>358.71</v>
      </c>
      <c r="L14" t="s">
        <v>1</v>
      </c>
      <c r="M14" t="s">
        <v>27</v>
      </c>
    </row>
    <row r="15" spans="1:13" x14ac:dyDescent="0.45">
      <c r="A15" t="s">
        <v>0</v>
      </c>
      <c r="B15" t="s">
        <v>144</v>
      </c>
      <c r="C15">
        <v>2040</v>
      </c>
      <c r="D15">
        <v>58</v>
      </c>
      <c r="E15">
        <v>397.63</v>
      </c>
      <c r="F15">
        <v>326.01</v>
      </c>
      <c r="G15">
        <v>215.59</v>
      </c>
      <c r="H15">
        <v>115.55</v>
      </c>
      <c r="I15">
        <v>1097.01</v>
      </c>
      <c r="J15">
        <v>239.53</v>
      </c>
      <c r="K15">
        <v>539.74</v>
      </c>
      <c r="L15" t="s">
        <v>1</v>
      </c>
      <c r="M15" t="s">
        <v>27</v>
      </c>
    </row>
    <row r="16" spans="1:13" x14ac:dyDescent="0.45">
      <c r="A16" t="s">
        <v>0</v>
      </c>
      <c r="B16" t="s">
        <v>144</v>
      </c>
      <c r="C16">
        <v>2045</v>
      </c>
      <c r="D16">
        <v>58</v>
      </c>
      <c r="E16">
        <v>527.26</v>
      </c>
      <c r="F16">
        <v>415.81</v>
      </c>
      <c r="G16">
        <v>250.01</v>
      </c>
      <c r="H16">
        <v>193.42</v>
      </c>
      <c r="I16">
        <v>1269.8800000000001</v>
      </c>
      <c r="J16">
        <v>353.85</v>
      </c>
      <c r="K16">
        <v>714.5</v>
      </c>
      <c r="L16" t="s">
        <v>1</v>
      </c>
      <c r="M16" t="s">
        <v>27</v>
      </c>
    </row>
    <row r="17" spans="1:13" x14ac:dyDescent="0.45">
      <c r="A17" t="s">
        <v>0</v>
      </c>
      <c r="B17" t="s">
        <v>144</v>
      </c>
      <c r="C17">
        <v>2050</v>
      </c>
      <c r="D17">
        <v>58</v>
      </c>
      <c r="E17">
        <v>649.79</v>
      </c>
      <c r="F17">
        <v>605.23</v>
      </c>
      <c r="G17">
        <v>268.91000000000003</v>
      </c>
      <c r="H17">
        <v>209.76</v>
      </c>
      <c r="I17">
        <v>1271.76</v>
      </c>
      <c r="J17">
        <v>451.31</v>
      </c>
      <c r="K17">
        <v>863.42</v>
      </c>
      <c r="L17" t="s">
        <v>1</v>
      </c>
      <c r="M17" t="s">
        <v>27</v>
      </c>
    </row>
    <row r="18" spans="1:13" x14ac:dyDescent="0.45">
      <c r="A18" t="s">
        <v>2</v>
      </c>
      <c r="B18" t="s">
        <v>144</v>
      </c>
      <c r="C18">
        <v>2020</v>
      </c>
      <c r="D18">
        <v>76</v>
      </c>
      <c r="E18">
        <v>1.95</v>
      </c>
      <c r="F18">
        <v>0</v>
      </c>
      <c r="G18">
        <v>3.61</v>
      </c>
      <c r="H18">
        <v>0</v>
      </c>
      <c r="I18">
        <v>15.58</v>
      </c>
      <c r="J18">
        <v>0</v>
      </c>
      <c r="K18">
        <v>0.55000000000000004</v>
      </c>
      <c r="L18" t="s">
        <v>3</v>
      </c>
      <c r="M18" t="s">
        <v>27</v>
      </c>
    </row>
    <row r="19" spans="1:13" x14ac:dyDescent="0.45">
      <c r="A19" t="s">
        <v>2</v>
      </c>
      <c r="B19" t="s">
        <v>144</v>
      </c>
      <c r="C19">
        <v>2025</v>
      </c>
      <c r="D19">
        <v>65</v>
      </c>
      <c r="E19">
        <v>42.95</v>
      </c>
      <c r="F19">
        <v>32.69</v>
      </c>
      <c r="G19">
        <v>45.96</v>
      </c>
      <c r="H19">
        <v>0</v>
      </c>
      <c r="I19">
        <v>174.97</v>
      </c>
      <c r="J19">
        <v>5.54</v>
      </c>
      <c r="K19">
        <v>61.39</v>
      </c>
      <c r="L19" t="s">
        <v>3</v>
      </c>
      <c r="M19" t="s">
        <v>27</v>
      </c>
    </row>
    <row r="20" spans="1:13" x14ac:dyDescent="0.45">
      <c r="A20" t="s">
        <v>2</v>
      </c>
      <c r="B20" t="s">
        <v>144</v>
      </c>
      <c r="C20">
        <v>2030</v>
      </c>
      <c r="D20">
        <v>76</v>
      </c>
      <c r="E20">
        <v>55.8</v>
      </c>
      <c r="F20">
        <v>49.85</v>
      </c>
      <c r="G20">
        <v>54.52</v>
      </c>
      <c r="H20">
        <v>0</v>
      </c>
      <c r="I20">
        <v>221.93</v>
      </c>
      <c r="J20">
        <v>10.8</v>
      </c>
      <c r="K20">
        <v>78.77</v>
      </c>
      <c r="L20" t="s">
        <v>3</v>
      </c>
      <c r="M20" t="s">
        <v>27</v>
      </c>
    </row>
    <row r="21" spans="1:13" x14ac:dyDescent="0.45">
      <c r="A21" t="s">
        <v>2</v>
      </c>
      <c r="B21" t="s">
        <v>144</v>
      </c>
      <c r="C21">
        <v>2035</v>
      </c>
      <c r="D21">
        <v>65</v>
      </c>
      <c r="E21">
        <v>217.07</v>
      </c>
      <c r="F21">
        <v>152.99</v>
      </c>
      <c r="G21">
        <v>316.2</v>
      </c>
      <c r="H21">
        <v>29.98</v>
      </c>
      <c r="I21">
        <v>2037.12</v>
      </c>
      <c r="J21">
        <v>95.06</v>
      </c>
      <c r="K21">
        <v>208.88</v>
      </c>
      <c r="L21" t="s">
        <v>3</v>
      </c>
      <c r="M21" t="s">
        <v>27</v>
      </c>
    </row>
    <row r="22" spans="1:13" x14ac:dyDescent="0.45">
      <c r="A22" t="s">
        <v>2</v>
      </c>
      <c r="B22" t="s">
        <v>144</v>
      </c>
      <c r="C22">
        <v>2040</v>
      </c>
      <c r="D22">
        <v>76</v>
      </c>
      <c r="E22">
        <v>257.11</v>
      </c>
      <c r="F22">
        <v>191.71</v>
      </c>
      <c r="G22">
        <v>381.8</v>
      </c>
      <c r="H22">
        <v>0</v>
      </c>
      <c r="I22">
        <v>2600</v>
      </c>
      <c r="J22">
        <v>106.05</v>
      </c>
      <c r="K22">
        <v>261.57</v>
      </c>
      <c r="L22" t="s">
        <v>3</v>
      </c>
      <c r="M22" t="s">
        <v>27</v>
      </c>
    </row>
    <row r="23" spans="1:13" x14ac:dyDescent="0.45">
      <c r="A23" t="s">
        <v>2</v>
      </c>
      <c r="B23" t="s">
        <v>144</v>
      </c>
      <c r="C23">
        <v>2045</v>
      </c>
      <c r="D23">
        <v>65</v>
      </c>
      <c r="E23">
        <v>303.95999999999998</v>
      </c>
      <c r="F23">
        <v>257.82</v>
      </c>
      <c r="G23">
        <v>200.99</v>
      </c>
      <c r="H23">
        <v>103.1</v>
      </c>
      <c r="I23">
        <v>1213.1199999999999</v>
      </c>
      <c r="J23">
        <v>161.66999999999999</v>
      </c>
      <c r="K23">
        <v>360.63</v>
      </c>
      <c r="L23" t="s">
        <v>3</v>
      </c>
      <c r="M23" t="s">
        <v>27</v>
      </c>
    </row>
    <row r="24" spans="1:13" x14ac:dyDescent="0.45">
      <c r="A24" t="s">
        <v>2</v>
      </c>
      <c r="B24" t="s">
        <v>144</v>
      </c>
      <c r="C24">
        <v>2050</v>
      </c>
      <c r="D24">
        <v>76</v>
      </c>
      <c r="E24">
        <v>312.97000000000003</v>
      </c>
      <c r="F24">
        <v>285.06</v>
      </c>
      <c r="G24">
        <v>179.85</v>
      </c>
      <c r="H24">
        <v>0</v>
      </c>
      <c r="I24">
        <v>729.74</v>
      </c>
      <c r="J24">
        <v>180.84</v>
      </c>
      <c r="K24">
        <v>426.08</v>
      </c>
      <c r="L24" t="s">
        <v>3</v>
      </c>
      <c r="M24" t="s">
        <v>27</v>
      </c>
    </row>
    <row r="25" spans="1:13" x14ac:dyDescent="0.45">
      <c r="A25" t="s">
        <v>5</v>
      </c>
      <c r="B25" t="s">
        <v>144</v>
      </c>
      <c r="C25">
        <v>2020</v>
      </c>
      <c r="D25">
        <v>180</v>
      </c>
      <c r="E25">
        <v>7.42</v>
      </c>
      <c r="F25">
        <v>0.14000000000000001</v>
      </c>
      <c r="G25">
        <v>14.79</v>
      </c>
      <c r="H25">
        <v>0</v>
      </c>
      <c r="I25">
        <v>134.31</v>
      </c>
      <c r="J25">
        <v>0</v>
      </c>
      <c r="K25">
        <v>8.31</v>
      </c>
      <c r="L25" t="s">
        <v>6</v>
      </c>
      <c r="M25" t="s">
        <v>27</v>
      </c>
    </row>
    <row r="26" spans="1:13" x14ac:dyDescent="0.45">
      <c r="A26" t="s">
        <v>5</v>
      </c>
      <c r="B26" t="s">
        <v>144</v>
      </c>
      <c r="C26">
        <v>2025</v>
      </c>
      <c r="D26">
        <v>157</v>
      </c>
      <c r="E26">
        <v>34.700000000000003</v>
      </c>
      <c r="F26">
        <v>32.700000000000003</v>
      </c>
      <c r="G26">
        <v>30.36</v>
      </c>
      <c r="H26">
        <v>0</v>
      </c>
      <c r="I26">
        <v>134.68</v>
      </c>
      <c r="J26">
        <v>8.92</v>
      </c>
      <c r="K26">
        <v>45.73</v>
      </c>
      <c r="L26" t="s">
        <v>6</v>
      </c>
      <c r="M26" t="s">
        <v>27</v>
      </c>
    </row>
    <row r="27" spans="1:13" x14ac:dyDescent="0.45">
      <c r="A27" t="s">
        <v>5</v>
      </c>
      <c r="B27" t="s">
        <v>144</v>
      </c>
      <c r="C27">
        <v>2030</v>
      </c>
      <c r="D27">
        <v>180</v>
      </c>
      <c r="E27">
        <v>47.05</v>
      </c>
      <c r="F27">
        <v>48.97</v>
      </c>
      <c r="G27">
        <v>42.47</v>
      </c>
      <c r="H27">
        <v>-17.399999999999999</v>
      </c>
      <c r="I27">
        <v>216.75</v>
      </c>
      <c r="J27">
        <v>12.04</v>
      </c>
      <c r="K27">
        <v>63.91</v>
      </c>
      <c r="L27" t="s">
        <v>6</v>
      </c>
      <c r="M27" t="s">
        <v>27</v>
      </c>
    </row>
    <row r="28" spans="1:13" x14ac:dyDescent="0.45">
      <c r="A28" t="s">
        <v>5</v>
      </c>
      <c r="B28" t="s">
        <v>144</v>
      </c>
      <c r="C28">
        <v>2035</v>
      </c>
      <c r="D28">
        <v>157</v>
      </c>
      <c r="E28">
        <v>108.65</v>
      </c>
      <c r="F28">
        <v>87.7</v>
      </c>
      <c r="G28">
        <v>88.7</v>
      </c>
      <c r="H28">
        <v>14.74</v>
      </c>
      <c r="I28">
        <v>960.63</v>
      </c>
      <c r="J28">
        <v>63.8</v>
      </c>
      <c r="K28">
        <v>133.35</v>
      </c>
      <c r="L28" t="s">
        <v>6</v>
      </c>
      <c r="M28" t="s">
        <v>27</v>
      </c>
    </row>
    <row r="29" spans="1:13" x14ac:dyDescent="0.45">
      <c r="A29" t="s">
        <v>5</v>
      </c>
      <c r="B29" t="s">
        <v>144</v>
      </c>
      <c r="C29">
        <v>2040</v>
      </c>
      <c r="D29">
        <v>180</v>
      </c>
      <c r="E29">
        <v>150.09</v>
      </c>
      <c r="F29">
        <v>122.55</v>
      </c>
      <c r="G29">
        <v>109.7</v>
      </c>
      <c r="H29">
        <v>46.02</v>
      </c>
      <c r="I29">
        <v>1226.04</v>
      </c>
      <c r="J29">
        <v>91.4</v>
      </c>
      <c r="K29">
        <v>178.52</v>
      </c>
      <c r="L29" t="s">
        <v>6</v>
      </c>
      <c r="M29" t="s">
        <v>27</v>
      </c>
    </row>
    <row r="30" spans="1:13" x14ac:dyDescent="0.45">
      <c r="A30" t="s">
        <v>5</v>
      </c>
      <c r="B30" t="s">
        <v>144</v>
      </c>
      <c r="C30">
        <v>2045</v>
      </c>
      <c r="D30">
        <v>157</v>
      </c>
      <c r="E30">
        <v>196.36</v>
      </c>
      <c r="F30">
        <v>179.54</v>
      </c>
      <c r="G30">
        <v>143.16</v>
      </c>
      <c r="H30">
        <v>45.55</v>
      </c>
      <c r="I30">
        <v>1564.8</v>
      </c>
      <c r="J30">
        <v>117.95</v>
      </c>
      <c r="K30">
        <v>229.77</v>
      </c>
      <c r="L30" t="s">
        <v>6</v>
      </c>
      <c r="M30" t="s">
        <v>27</v>
      </c>
    </row>
    <row r="31" spans="1:13" x14ac:dyDescent="0.45">
      <c r="A31" t="s">
        <v>5</v>
      </c>
      <c r="B31" t="s">
        <v>144</v>
      </c>
      <c r="C31">
        <v>2050</v>
      </c>
      <c r="D31">
        <v>180</v>
      </c>
      <c r="E31">
        <v>243.05</v>
      </c>
      <c r="F31">
        <v>211.71</v>
      </c>
      <c r="G31">
        <v>126.45</v>
      </c>
      <c r="H31">
        <v>50.01</v>
      </c>
      <c r="I31">
        <v>712.07</v>
      </c>
      <c r="J31">
        <v>145.79</v>
      </c>
      <c r="K31">
        <v>304.91000000000003</v>
      </c>
      <c r="L31" t="s">
        <v>6</v>
      </c>
      <c r="M31" t="s">
        <v>27</v>
      </c>
    </row>
    <row r="32" spans="1:13" x14ac:dyDescent="0.45">
      <c r="A32" t="s">
        <v>7</v>
      </c>
      <c r="B32" t="s">
        <v>144</v>
      </c>
      <c r="C32">
        <v>2020</v>
      </c>
      <c r="D32">
        <v>69</v>
      </c>
      <c r="E32">
        <v>1.9</v>
      </c>
      <c r="F32">
        <v>0</v>
      </c>
      <c r="G32">
        <v>3.89</v>
      </c>
      <c r="H32">
        <v>0</v>
      </c>
      <c r="I32">
        <v>14.43</v>
      </c>
      <c r="J32">
        <v>0</v>
      </c>
      <c r="K32">
        <v>0</v>
      </c>
      <c r="L32" t="s">
        <v>8</v>
      </c>
      <c r="M32" t="s">
        <v>27</v>
      </c>
    </row>
    <row r="33" spans="1:13" x14ac:dyDescent="0.45">
      <c r="A33" t="s">
        <v>7</v>
      </c>
      <c r="B33" t="s">
        <v>144</v>
      </c>
      <c r="C33">
        <v>2025</v>
      </c>
      <c r="D33">
        <v>63</v>
      </c>
      <c r="E33">
        <v>14.95</v>
      </c>
      <c r="F33">
        <v>14.57</v>
      </c>
      <c r="G33">
        <v>12.73</v>
      </c>
      <c r="H33">
        <v>0</v>
      </c>
      <c r="I33">
        <v>48.97</v>
      </c>
      <c r="J33">
        <v>4.6100000000000003</v>
      </c>
      <c r="K33">
        <v>22.63</v>
      </c>
      <c r="L33" t="s">
        <v>8</v>
      </c>
      <c r="M33" t="s">
        <v>27</v>
      </c>
    </row>
    <row r="34" spans="1:13" x14ac:dyDescent="0.45">
      <c r="A34" t="s">
        <v>7</v>
      </c>
      <c r="B34" t="s">
        <v>144</v>
      </c>
      <c r="C34">
        <v>2030</v>
      </c>
      <c r="D34">
        <v>69</v>
      </c>
      <c r="E34">
        <v>20.25</v>
      </c>
      <c r="F34">
        <v>12.04</v>
      </c>
      <c r="G34">
        <v>23.83</v>
      </c>
      <c r="H34">
        <v>-12.67</v>
      </c>
      <c r="I34">
        <v>82.5</v>
      </c>
      <c r="J34">
        <v>0</v>
      </c>
      <c r="K34">
        <v>36.35</v>
      </c>
      <c r="L34" t="s">
        <v>8</v>
      </c>
      <c r="M34" t="s">
        <v>27</v>
      </c>
    </row>
    <row r="35" spans="1:13" x14ac:dyDescent="0.45">
      <c r="A35" t="s">
        <v>7</v>
      </c>
      <c r="B35" t="s">
        <v>144</v>
      </c>
      <c r="C35">
        <v>2035</v>
      </c>
      <c r="D35">
        <v>63</v>
      </c>
      <c r="E35">
        <v>63.5</v>
      </c>
      <c r="F35">
        <v>55.56</v>
      </c>
      <c r="G35">
        <v>30.26</v>
      </c>
      <c r="H35">
        <v>22.96</v>
      </c>
      <c r="I35">
        <v>148.63999999999999</v>
      </c>
      <c r="J35">
        <v>41.37</v>
      </c>
      <c r="K35">
        <v>83.87</v>
      </c>
      <c r="L35" t="s">
        <v>8</v>
      </c>
      <c r="M35" t="s">
        <v>27</v>
      </c>
    </row>
    <row r="36" spans="1:13" x14ac:dyDescent="0.45">
      <c r="A36" t="s">
        <v>7</v>
      </c>
      <c r="B36" t="s">
        <v>144</v>
      </c>
      <c r="C36">
        <v>2040</v>
      </c>
      <c r="D36">
        <v>69</v>
      </c>
      <c r="E36">
        <v>89.03</v>
      </c>
      <c r="F36">
        <v>76.61</v>
      </c>
      <c r="G36">
        <v>45.3</v>
      </c>
      <c r="H36">
        <v>31.83</v>
      </c>
      <c r="I36">
        <v>281.18</v>
      </c>
      <c r="J36">
        <v>56.75</v>
      </c>
      <c r="K36">
        <v>115.41</v>
      </c>
      <c r="L36" t="s">
        <v>8</v>
      </c>
      <c r="M36" t="s">
        <v>27</v>
      </c>
    </row>
    <row r="37" spans="1:13" x14ac:dyDescent="0.45">
      <c r="A37" t="s">
        <v>7</v>
      </c>
      <c r="B37" t="s">
        <v>144</v>
      </c>
      <c r="C37">
        <v>2045</v>
      </c>
      <c r="D37">
        <v>63</v>
      </c>
      <c r="E37">
        <v>116.52</v>
      </c>
      <c r="F37">
        <v>96.24</v>
      </c>
      <c r="G37">
        <v>62.73</v>
      </c>
      <c r="H37">
        <v>42.44</v>
      </c>
      <c r="I37">
        <v>317.56</v>
      </c>
      <c r="J37">
        <v>72.08</v>
      </c>
      <c r="K37">
        <v>152.12</v>
      </c>
      <c r="L37" t="s">
        <v>8</v>
      </c>
      <c r="M37" t="s">
        <v>27</v>
      </c>
    </row>
    <row r="38" spans="1:13" x14ac:dyDescent="0.45">
      <c r="A38" t="s">
        <v>7</v>
      </c>
      <c r="B38" t="s">
        <v>144</v>
      </c>
      <c r="C38">
        <v>2050</v>
      </c>
      <c r="D38">
        <v>69</v>
      </c>
      <c r="E38">
        <v>135.74</v>
      </c>
      <c r="F38">
        <v>112.53</v>
      </c>
      <c r="G38">
        <v>68.22</v>
      </c>
      <c r="H38">
        <v>54.16</v>
      </c>
      <c r="I38">
        <v>374.88</v>
      </c>
      <c r="J38">
        <v>90.42</v>
      </c>
      <c r="K38">
        <v>161.76</v>
      </c>
      <c r="L38" t="s">
        <v>8</v>
      </c>
      <c r="M38" t="s">
        <v>27</v>
      </c>
    </row>
    <row r="39" spans="1:13" x14ac:dyDescent="0.45">
      <c r="A39" t="s">
        <v>9</v>
      </c>
      <c r="B39" t="s">
        <v>144</v>
      </c>
      <c r="C39">
        <v>2020</v>
      </c>
      <c r="D39">
        <v>57</v>
      </c>
      <c r="E39">
        <v>2.2200000000000002</v>
      </c>
      <c r="F39">
        <v>0</v>
      </c>
      <c r="G39">
        <v>4.43</v>
      </c>
      <c r="H39">
        <v>-0.02</v>
      </c>
      <c r="I39">
        <v>15.43</v>
      </c>
      <c r="J39">
        <v>0</v>
      </c>
      <c r="K39">
        <v>0.55000000000000004</v>
      </c>
      <c r="L39" t="s">
        <v>10</v>
      </c>
      <c r="M39" t="s">
        <v>27</v>
      </c>
    </row>
    <row r="40" spans="1:13" x14ac:dyDescent="0.45">
      <c r="A40" t="s">
        <v>9</v>
      </c>
      <c r="B40" t="s">
        <v>144</v>
      </c>
      <c r="C40">
        <v>2025</v>
      </c>
      <c r="D40">
        <v>52</v>
      </c>
      <c r="E40">
        <v>2.36</v>
      </c>
      <c r="F40">
        <v>0</v>
      </c>
      <c r="G40">
        <v>4.53</v>
      </c>
      <c r="H40">
        <v>0</v>
      </c>
      <c r="I40">
        <v>16.079999999999998</v>
      </c>
      <c r="J40">
        <v>0</v>
      </c>
      <c r="K40">
        <v>1.94</v>
      </c>
      <c r="L40" t="s">
        <v>10</v>
      </c>
      <c r="M40" t="s">
        <v>27</v>
      </c>
    </row>
    <row r="41" spans="1:13" x14ac:dyDescent="0.45">
      <c r="A41" t="s">
        <v>9</v>
      </c>
      <c r="B41" t="s">
        <v>144</v>
      </c>
      <c r="C41">
        <v>2030</v>
      </c>
      <c r="D41">
        <v>57</v>
      </c>
      <c r="E41">
        <v>1.1499999999999999</v>
      </c>
      <c r="F41">
        <v>0</v>
      </c>
      <c r="G41">
        <v>5.2</v>
      </c>
      <c r="H41">
        <v>-15.25</v>
      </c>
      <c r="I41">
        <v>13.77</v>
      </c>
      <c r="J41">
        <v>0</v>
      </c>
      <c r="K41">
        <v>1.25</v>
      </c>
      <c r="L41" t="s">
        <v>10</v>
      </c>
      <c r="M41" t="s">
        <v>27</v>
      </c>
    </row>
    <row r="42" spans="1:13" x14ac:dyDescent="0.45">
      <c r="A42" t="s">
        <v>9</v>
      </c>
      <c r="B42" t="s">
        <v>144</v>
      </c>
      <c r="C42">
        <v>2035</v>
      </c>
      <c r="D42">
        <v>52</v>
      </c>
      <c r="E42">
        <v>2.31</v>
      </c>
      <c r="F42">
        <v>0</v>
      </c>
      <c r="G42">
        <v>3.78</v>
      </c>
      <c r="H42">
        <v>0</v>
      </c>
      <c r="I42">
        <v>13.18</v>
      </c>
      <c r="J42">
        <v>0</v>
      </c>
      <c r="K42">
        <v>1.99</v>
      </c>
      <c r="L42" t="s">
        <v>10</v>
      </c>
      <c r="M42" t="s">
        <v>27</v>
      </c>
    </row>
    <row r="43" spans="1:13" x14ac:dyDescent="0.45">
      <c r="A43" t="s">
        <v>9</v>
      </c>
      <c r="B43" t="s">
        <v>144</v>
      </c>
      <c r="C43">
        <v>2040</v>
      </c>
      <c r="D43">
        <v>57</v>
      </c>
      <c r="E43">
        <v>2.2999999999999998</v>
      </c>
      <c r="F43">
        <v>0</v>
      </c>
      <c r="G43">
        <v>3.67</v>
      </c>
      <c r="H43">
        <v>-7.0000000000000007E-2</v>
      </c>
      <c r="I43">
        <v>12.65</v>
      </c>
      <c r="J43">
        <v>0</v>
      </c>
      <c r="K43">
        <v>2.46</v>
      </c>
      <c r="L43" t="s">
        <v>10</v>
      </c>
      <c r="M43" t="s">
        <v>27</v>
      </c>
    </row>
    <row r="44" spans="1:13" x14ac:dyDescent="0.45">
      <c r="A44" t="s">
        <v>9</v>
      </c>
      <c r="B44" t="s">
        <v>144</v>
      </c>
      <c r="C44">
        <v>2045</v>
      </c>
      <c r="D44">
        <v>52</v>
      </c>
      <c r="E44">
        <v>2.81</v>
      </c>
      <c r="F44">
        <v>0.4</v>
      </c>
      <c r="G44">
        <v>3.9</v>
      </c>
      <c r="H44">
        <v>0</v>
      </c>
      <c r="I44">
        <v>12.18</v>
      </c>
      <c r="J44">
        <v>0</v>
      </c>
      <c r="K44">
        <v>3.1</v>
      </c>
      <c r="L44" t="s">
        <v>10</v>
      </c>
      <c r="M44" t="s">
        <v>27</v>
      </c>
    </row>
    <row r="45" spans="1:13" x14ac:dyDescent="0.45">
      <c r="A45" t="s">
        <v>9</v>
      </c>
      <c r="B45" t="s">
        <v>144</v>
      </c>
      <c r="C45">
        <v>2050</v>
      </c>
      <c r="D45">
        <v>57</v>
      </c>
      <c r="E45">
        <v>2.84</v>
      </c>
      <c r="F45">
        <v>0</v>
      </c>
      <c r="G45">
        <v>4.0999999999999996</v>
      </c>
      <c r="H45">
        <v>-0.03</v>
      </c>
      <c r="I45">
        <v>12.76</v>
      </c>
      <c r="J45">
        <v>0</v>
      </c>
      <c r="K45">
        <v>3.68</v>
      </c>
      <c r="L45" t="s">
        <v>10</v>
      </c>
      <c r="M45" t="s">
        <v>27</v>
      </c>
    </row>
    <row r="46" spans="1:13" x14ac:dyDescent="0.45">
      <c r="A46" t="s">
        <v>0</v>
      </c>
      <c r="B46" t="s">
        <v>144</v>
      </c>
      <c r="C46">
        <v>2020</v>
      </c>
      <c r="D46">
        <v>62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45">
      <c r="A47" t="s">
        <v>0</v>
      </c>
      <c r="B47" t="s">
        <v>144</v>
      </c>
      <c r="C47">
        <v>2025</v>
      </c>
      <c r="D47">
        <v>62</v>
      </c>
      <c r="E47">
        <v>1.35</v>
      </c>
      <c r="F47">
        <v>1.32</v>
      </c>
      <c r="G47">
        <v>0.28000000000000003</v>
      </c>
      <c r="H47">
        <v>0.84</v>
      </c>
      <c r="I47">
        <v>2.73</v>
      </c>
      <c r="J47">
        <v>1.18</v>
      </c>
      <c r="K47">
        <v>1.5</v>
      </c>
      <c r="L47" t="s">
        <v>1</v>
      </c>
      <c r="M47" t="s">
        <v>11</v>
      </c>
    </row>
    <row r="48" spans="1:13" x14ac:dyDescent="0.45">
      <c r="A48" t="s">
        <v>0</v>
      </c>
      <c r="B48" t="s">
        <v>144</v>
      </c>
      <c r="C48">
        <v>2030</v>
      </c>
      <c r="D48">
        <v>62</v>
      </c>
      <c r="E48">
        <v>1.98</v>
      </c>
      <c r="F48">
        <v>1.99</v>
      </c>
      <c r="G48">
        <v>0.56999999999999995</v>
      </c>
      <c r="H48">
        <v>0.83</v>
      </c>
      <c r="I48">
        <v>3.46</v>
      </c>
      <c r="J48">
        <v>1.61</v>
      </c>
      <c r="K48">
        <v>2.38</v>
      </c>
      <c r="L48" t="s">
        <v>1</v>
      </c>
      <c r="M48" t="s">
        <v>11</v>
      </c>
    </row>
    <row r="49" spans="1:13" x14ac:dyDescent="0.45">
      <c r="A49" t="s">
        <v>0</v>
      </c>
      <c r="B49" t="s">
        <v>144</v>
      </c>
      <c r="C49">
        <v>2035</v>
      </c>
      <c r="D49">
        <v>62</v>
      </c>
      <c r="E49">
        <v>3</v>
      </c>
      <c r="F49">
        <v>3.2</v>
      </c>
      <c r="G49">
        <v>0.99</v>
      </c>
      <c r="H49">
        <v>0.99</v>
      </c>
      <c r="I49">
        <v>4.9400000000000004</v>
      </c>
      <c r="J49">
        <v>2.4</v>
      </c>
      <c r="K49">
        <v>3.74</v>
      </c>
      <c r="L49" t="s">
        <v>1</v>
      </c>
      <c r="M49" t="s">
        <v>11</v>
      </c>
    </row>
    <row r="50" spans="1:13" x14ac:dyDescent="0.45">
      <c r="A50" t="s">
        <v>0</v>
      </c>
      <c r="B50" t="s">
        <v>144</v>
      </c>
      <c r="C50">
        <v>2040</v>
      </c>
      <c r="D50">
        <v>62</v>
      </c>
      <c r="E50">
        <v>4.45</v>
      </c>
      <c r="F50">
        <v>4.5599999999999996</v>
      </c>
      <c r="G50">
        <v>1.66</v>
      </c>
      <c r="H50">
        <v>1.35</v>
      </c>
      <c r="I50">
        <v>8.23</v>
      </c>
      <c r="J50">
        <v>3.29</v>
      </c>
      <c r="K50">
        <v>5.7</v>
      </c>
      <c r="L50" t="s">
        <v>1</v>
      </c>
      <c r="M50" t="s">
        <v>11</v>
      </c>
    </row>
    <row r="51" spans="1:13" x14ac:dyDescent="0.45">
      <c r="A51" t="s">
        <v>0</v>
      </c>
      <c r="B51" t="s">
        <v>144</v>
      </c>
      <c r="C51">
        <v>2045</v>
      </c>
      <c r="D51">
        <v>62</v>
      </c>
      <c r="E51">
        <v>6.47</v>
      </c>
      <c r="F51">
        <v>6.53</v>
      </c>
      <c r="G51">
        <v>2.66</v>
      </c>
      <c r="H51">
        <v>1.82</v>
      </c>
      <c r="I51">
        <v>12.68</v>
      </c>
      <c r="J51">
        <v>4.76</v>
      </c>
      <c r="K51">
        <v>8.67</v>
      </c>
      <c r="L51" t="s">
        <v>1</v>
      </c>
      <c r="M51" t="s">
        <v>11</v>
      </c>
    </row>
    <row r="52" spans="1:13" x14ac:dyDescent="0.45">
      <c r="A52" t="s">
        <v>0</v>
      </c>
      <c r="B52" t="s">
        <v>144</v>
      </c>
      <c r="C52">
        <v>2050</v>
      </c>
      <c r="D52">
        <v>62</v>
      </c>
      <c r="E52">
        <v>8.86</v>
      </c>
      <c r="F52">
        <v>8.2899999999999991</v>
      </c>
      <c r="G52">
        <v>3.89</v>
      </c>
      <c r="H52">
        <v>2.4300000000000002</v>
      </c>
      <c r="I52">
        <v>18.18</v>
      </c>
      <c r="J52">
        <v>6.3</v>
      </c>
      <c r="K52">
        <v>12.13</v>
      </c>
      <c r="L52" t="s">
        <v>1</v>
      </c>
      <c r="M52" t="s">
        <v>11</v>
      </c>
    </row>
    <row r="53" spans="1:13" x14ac:dyDescent="0.45">
      <c r="A53" t="s">
        <v>2</v>
      </c>
      <c r="B53" t="s">
        <v>144</v>
      </c>
      <c r="C53">
        <v>2020</v>
      </c>
      <c r="D53">
        <v>90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45">
      <c r="A54" t="s">
        <v>2</v>
      </c>
      <c r="B54" t="s">
        <v>144</v>
      </c>
      <c r="C54">
        <v>2025</v>
      </c>
      <c r="D54">
        <v>79</v>
      </c>
      <c r="E54">
        <v>1.38</v>
      </c>
      <c r="F54">
        <v>1.3</v>
      </c>
      <c r="G54">
        <v>0.19</v>
      </c>
      <c r="H54">
        <v>1.1000000000000001</v>
      </c>
      <c r="I54">
        <v>1.71</v>
      </c>
      <c r="J54">
        <v>1.22</v>
      </c>
      <c r="K54">
        <v>1.55</v>
      </c>
      <c r="L54" t="s">
        <v>3</v>
      </c>
      <c r="M54" t="s">
        <v>11</v>
      </c>
    </row>
    <row r="55" spans="1:13" x14ac:dyDescent="0.45">
      <c r="A55" t="s">
        <v>2</v>
      </c>
      <c r="B55" t="s">
        <v>144</v>
      </c>
      <c r="C55">
        <v>2030</v>
      </c>
      <c r="D55">
        <v>90</v>
      </c>
      <c r="E55">
        <v>1.96</v>
      </c>
      <c r="F55">
        <v>1.78</v>
      </c>
      <c r="G55">
        <v>0.44</v>
      </c>
      <c r="H55">
        <v>1.21</v>
      </c>
      <c r="I55">
        <v>2.81</v>
      </c>
      <c r="J55">
        <v>1.62</v>
      </c>
      <c r="K55">
        <v>2.42</v>
      </c>
      <c r="L55" t="s">
        <v>3</v>
      </c>
      <c r="M55" t="s">
        <v>11</v>
      </c>
    </row>
    <row r="56" spans="1:13" x14ac:dyDescent="0.45">
      <c r="A56" t="s">
        <v>2</v>
      </c>
      <c r="B56" t="s">
        <v>144</v>
      </c>
      <c r="C56">
        <v>2035</v>
      </c>
      <c r="D56">
        <v>79</v>
      </c>
      <c r="E56">
        <v>2.78</v>
      </c>
      <c r="F56">
        <v>2.4700000000000002</v>
      </c>
      <c r="G56">
        <v>0.82</v>
      </c>
      <c r="H56">
        <v>1.33</v>
      </c>
      <c r="I56">
        <v>4.38</v>
      </c>
      <c r="J56">
        <v>2.16</v>
      </c>
      <c r="K56">
        <v>3.53</v>
      </c>
      <c r="L56" t="s">
        <v>3</v>
      </c>
      <c r="M56" t="s">
        <v>11</v>
      </c>
    </row>
    <row r="57" spans="1:13" x14ac:dyDescent="0.45">
      <c r="A57" t="s">
        <v>2</v>
      </c>
      <c r="B57" t="s">
        <v>144</v>
      </c>
      <c r="C57">
        <v>2040</v>
      </c>
      <c r="D57">
        <v>90</v>
      </c>
      <c r="E57">
        <v>3.97</v>
      </c>
      <c r="F57">
        <v>3.46</v>
      </c>
      <c r="G57">
        <v>1.37</v>
      </c>
      <c r="H57">
        <v>1.54</v>
      </c>
      <c r="I57">
        <v>6.38</v>
      </c>
      <c r="J57">
        <v>3.05</v>
      </c>
      <c r="K57">
        <v>5.44</v>
      </c>
      <c r="L57" t="s">
        <v>3</v>
      </c>
      <c r="M57" t="s">
        <v>11</v>
      </c>
    </row>
    <row r="58" spans="1:13" x14ac:dyDescent="0.45">
      <c r="A58" t="s">
        <v>2</v>
      </c>
      <c r="B58" t="s">
        <v>144</v>
      </c>
      <c r="C58">
        <v>2045</v>
      </c>
      <c r="D58">
        <v>79</v>
      </c>
      <c r="E58">
        <v>5.97</v>
      </c>
      <c r="F58">
        <v>4.96</v>
      </c>
      <c r="G58">
        <v>2.42</v>
      </c>
      <c r="H58">
        <v>2.0699999999999998</v>
      </c>
      <c r="I58">
        <v>10.039999999999999</v>
      </c>
      <c r="J58">
        <v>4.13</v>
      </c>
      <c r="K58">
        <v>8.59</v>
      </c>
      <c r="L58" t="s">
        <v>3</v>
      </c>
      <c r="M58" t="s">
        <v>11</v>
      </c>
    </row>
    <row r="59" spans="1:13" x14ac:dyDescent="0.45">
      <c r="A59" t="s">
        <v>2</v>
      </c>
      <c r="B59" t="s">
        <v>144</v>
      </c>
      <c r="C59">
        <v>2050</v>
      </c>
      <c r="D59">
        <v>90</v>
      </c>
      <c r="E59">
        <v>8.2100000000000009</v>
      </c>
      <c r="F59">
        <v>6.61</v>
      </c>
      <c r="G59">
        <v>3.57</v>
      </c>
      <c r="H59">
        <v>2.62</v>
      </c>
      <c r="I59">
        <v>15.13</v>
      </c>
      <c r="J59">
        <v>5.72</v>
      </c>
      <c r="K59">
        <v>12.01</v>
      </c>
      <c r="L59" t="s">
        <v>3</v>
      </c>
      <c r="M59" t="s">
        <v>11</v>
      </c>
    </row>
    <row r="60" spans="1:13" x14ac:dyDescent="0.45">
      <c r="A60" t="s">
        <v>5</v>
      </c>
      <c r="B60" t="s">
        <v>144</v>
      </c>
      <c r="C60">
        <v>2020</v>
      </c>
      <c r="D60">
        <v>221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45">
      <c r="A61" t="s">
        <v>5</v>
      </c>
      <c r="B61" t="s">
        <v>144</v>
      </c>
      <c r="C61">
        <v>2025</v>
      </c>
      <c r="D61">
        <v>198</v>
      </c>
      <c r="E61">
        <v>1.33</v>
      </c>
      <c r="F61">
        <v>1.27</v>
      </c>
      <c r="G61">
        <v>0.23</v>
      </c>
      <c r="H61">
        <v>0.85</v>
      </c>
      <c r="I61">
        <v>3.03</v>
      </c>
      <c r="J61">
        <v>1.2</v>
      </c>
      <c r="K61">
        <v>1.53</v>
      </c>
      <c r="L61" t="s">
        <v>6</v>
      </c>
      <c r="M61" t="s">
        <v>11</v>
      </c>
    </row>
    <row r="62" spans="1:13" x14ac:dyDescent="0.45">
      <c r="A62" t="s">
        <v>5</v>
      </c>
      <c r="B62" t="s">
        <v>144</v>
      </c>
      <c r="C62">
        <v>2030</v>
      </c>
      <c r="D62">
        <v>221</v>
      </c>
      <c r="E62">
        <v>1.81</v>
      </c>
      <c r="F62">
        <v>1.68</v>
      </c>
      <c r="G62">
        <v>0.52</v>
      </c>
      <c r="H62">
        <v>0.84</v>
      </c>
      <c r="I62">
        <v>4.38</v>
      </c>
      <c r="J62">
        <v>1.55</v>
      </c>
      <c r="K62">
        <v>2.42</v>
      </c>
      <c r="L62" t="s">
        <v>6</v>
      </c>
      <c r="M62" t="s">
        <v>11</v>
      </c>
    </row>
    <row r="63" spans="1:13" x14ac:dyDescent="0.45">
      <c r="A63" t="s">
        <v>5</v>
      </c>
      <c r="B63" t="s">
        <v>144</v>
      </c>
      <c r="C63">
        <v>2035</v>
      </c>
      <c r="D63">
        <v>198</v>
      </c>
      <c r="E63">
        <v>2.56</v>
      </c>
      <c r="F63">
        <v>2.2599999999999998</v>
      </c>
      <c r="G63">
        <v>0.92</v>
      </c>
      <c r="H63">
        <v>1.07</v>
      </c>
      <c r="I63">
        <v>5.6</v>
      </c>
      <c r="J63">
        <v>1.8</v>
      </c>
      <c r="K63">
        <v>3.46</v>
      </c>
      <c r="L63" t="s">
        <v>6</v>
      </c>
      <c r="M63" t="s">
        <v>11</v>
      </c>
    </row>
    <row r="64" spans="1:13" x14ac:dyDescent="0.45">
      <c r="A64" t="s">
        <v>5</v>
      </c>
      <c r="B64" t="s">
        <v>144</v>
      </c>
      <c r="C64">
        <v>2040</v>
      </c>
      <c r="D64">
        <v>221</v>
      </c>
      <c r="E64">
        <v>3.46</v>
      </c>
      <c r="F64">
        <v>2.92</v>
      </c>
      <c r="G64">
        <v>1.4</v>
      </c>
      <c r="H64">
        <v>1.4</v>
      </c>
      <c r="I64">
        <v>6.62</v>
      </c>
      <c r="J64">
        <v>2.4</v>
      </c>
      <c r="K64">
        <v>4.99</v>
      </c>
      <c r="L64" t="s">
        <v>6</v>
      </c>
      <c r="M64" t="s">
        <v>11</v>
      </c>
    </row>
    <row r="65" spans="1:13" x14ac:dyDescent="0.45">
      <c r="A65" t="s">
        <v>5</v>
      </c>
      <c r="B65" t="s">
        <v>144</v>
      </c>
      <c r="C65">
        <v>2045</v>
      </c>
      <c r="D65">
        <v>198</v>
      </c>
      <c r="E65">
        <v>5.0199999999999996</v>
      </c>
      <c r="F65">
        <v>4.4800000000000004</v>
      </c>
      <c r="G65">
        <v>2.2000000000000002</v>
      </c>
      <c r="H65">
        <v>1.74</v>
      </c>
      <c r="I65">
        <v>9.85</v>
      </c>
      <c r="J65">
        <v>2.88</v>
      </c>
      <c r="K65">
        <v>7.22</v>
      </c>
      <c r="L65" t="s">
        <v>6</v>
      </c>
      <c r="M65" t="s">
        <v>11</v>
      </c>
    </row>
    <row r="66" spans="1:13" x14ac:dyDescent="0.45">
      <c r="A66" t="s">
        <v>5</v>
      </c>
      <c r="B66" t="s">
        <v>144</v>
      </c>
      <c r="C66">
        <v>2050</v>
      </c>
      <c r="D66">
        <v>221</v>
      </c>
      <c r="E66">
        <v>6.66</v>
      </c>
      <c r="F66">
        <v>6.01</v>
      </c>
      <c r="G66">
        <v>3.09</v>
      </c>
      <c r="H66">
        <v>2.17</v>
      </c>
      <c r="I66">
        <v>13.48</v>
      </c>
      <c r="J66">
        <v>4.18</v>
      </c>
      <c r="K66">
        <v>9.92</v>
      </c>
      <c r="L66" t="s">
        <v>6</v>
      </c>
      <c r="M66" t="s">
        <v>11</v>
      </c>
    </row>
    <row r="67" spans="1:13" x14ac:dyDescent="0.45">
      <c r="A67" t="s">
        <v>7</v>
      </c>
      <c r="B67" t="s">
        <v>144</v>
      </c>
      <c r="C67">
        <v>2020</v>
      </c>
      <c r="D67">
        <v>79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45">
      <c r="A68" t="s">
        <v>7</v>
      </c>
      <c r="B68" t="s">
        <v>144</v>
      </c>
      <c r="C68">
        <v>2025</v>
      </c>
      <c r="D68">
        <v>73</v>
      </c>
      <c r="E68">
        <v>1.23</v>
      </c>
      <c r="F68">
        <v>1.26</v>
      </c>
      <c r="G68">
        <v>0.1</v>
      </c>
      <c r="H68">
        <v>0.96</v>
      </c>
      <c r="I68">
        <v>1.4</v>
      </c>
      <c r="J68">
        <v>1.2</v>
      </c>
      <c r="K68">
        <v>1.28</v>
      </c>
      <c r="L68" t="s">
        <v>8</v>
      </c>
      <c r="M68" t="s">
        <v>11</v>
      </c>
    </row>
    <row r="69" spans="1:13" x14ac:dyDescent="0.45">
      <c r="A69" t="s">
        <v>7</v>
      </c>
      <c r="B69" t="s">
        <v>144</v>
      </c>
      <c r="C69">
        <v>2030</v>
      </c>
      <c r="D69">
        <v>79</v>
      </c>
      <c r="E69">
        <v>1.44</v>
      </c>
      <c r="F69">
        <v>1.51</v>
      </c>
      <c r="G69">
        <v>0.23</v>
      </c>
      <c r="H69">
        <v>0.84</v>
      </c>
      <c r="I69">
        <v>1.72</v>
      </c>
      <c r="J69">
        <v>1.22</v>
      </c>
      <c r="K69">
        <v>1.61</v>
      </c>
      <c r="L69" t="s">
        <v>8</v>
      </c>
      <c r="M69" t="s">
        <v>11</v>
      </c>
    </row>
    <row r="70" spans="1:13" x14ac:dyDescent="0.45">
      <c r="A70" t="s">
        <v>7</v>
      </c>
      <c r="B70" t="s">
        <v>144</v>
      </c>
      <c r="C70">
        <v>2035</v>
      </c>
      <c r="D70">
        <v>73</v>
      </c>
      <c r="E70">
        <v>1.76</v>
      </c>
      <c r="F70">
        <v>1.82</v>
      </c>
      <c r="G70">
        <v>0.34</v>
      </c>
      <c r="H70">
        <v>0.93</v>
      </c>
      <c r="I70">
        <v>2.21</v>
      </c>
      <c r="J70">
        <v>1.33</v>
      </c>
      <c r="K70">
        <v>2.04</v>
      </c>
      <c r="L70" t="s">
        <v>8</v>
      </c>
      <c r="M70" t="s">
        <v>11</v>
      </c>
    </row>
    <row r="71" spans="1:13" x14ac:dyDescent="0.45">
      <c r="A71" t="s">
        <v>7</v>
      </c>
      <c r="B71" t="s">
        <v>144</v>
      </c>
      <c r="C71">
        <v>2040</v>
      </c>
      <c r="D71">
        <v>79</v>
      </c>
      <c r="E71">
        <v>2.17</v>
      </c>
      <c r="F71">
        <v>2.19</v>
      </c>
      <c r="G71">
        <v>0.48</v>
      </c>
      <c r="H71">
        <v>1.1499999999999999</v>
      </c>
      <c r="I71">
        <v>2.89</v>
      </c>
      <c r="J71">
        <v>1.63</v>
      </c>
      <c r="K71">
        <v>2.66</v>
      </c>
      <c r="L71" t="s">
        <v>8</v>
      </c>
      <c r="M71" t="s">
        <v>11</v>
      </c>
    </row>
    <row r="72" spans="1:13" x14ac:dyDescent="0.45">
      <c r="A72" t="s">
        <v>7</v>
      </c>
      <c r="B72" t="s">
        <v>144</v>
      </c>
      <c r="C72">
        <v>2045</v>
      </c>
      <c r="D72">
        <v>73</v>
      </c>
      <c r="E72">
        <v>2.84</v>
      </c>
      <c r="F72">
        <v>2.59</v>
      </c>
      <c r="G72">
        <v>0.87</v>
      </c>
      <c r="H72">
        <v>1.33</v>
      </c>
      <c r="I72">
        <v>4.1399999999999997</v>
      </c>
      <c r="J72">
        <v>2</v>
      </c>
      <c r="K72">
        <v>3.81</v>
      </c>
      <c r="L72" t="s">
        <v>8</v>
      </c>
      <c r="M72" t="s">
        <v>11</v>
      </c>
    </row>
    <row r="73" spans="1:13" x14ac:dyDescent="0.45">
      <c r="A73" t="s">
        <v>7</v>
      </c>
      <c r="B73" t="s">
        <v>144</v>
      </c>
      <c r="C73">
        <v>2050</v>
      </c>
      <c r="D73">
        <v>79</v>
      </c>
      <c r="E73">
        <v>3.71</v>
      </c>
      <c r="F73">
        <v>3.32</v>
      </c>
      <c r="G73">
        <v>1.24</v>
      </c>
      <c r="H73">
        <v>1.88</v>
      </c>
      <c r="I73">
        <v>5.64</v>
      </c>
      <c r="J73">
        <v>2.58</v>
      </c>
      <c r="K73">
        <v>5.09</v>
      </c>
      <c r="L73" t="s">
        <v>8</v>
      </c>
      <c r="M73" t="s">
        <v>11</v>
      </c>
    </row>
    <row r="74" spans="1:13" x14ac:dyDescent="0.45">
      <c r="A74" t="s">
        <v>9</v>
      </c>
      <c r="B74" t="s">
        <v>144</v>
      </c>
      <c r="C74">
        <v>2020</v>
      </c>
      <c r="D74">
        <v>59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45">
      <c r="A75" t="s">
        <v>9</v>
      </c>
      <c r="B75" t="s">
        <v>144</v>
      </c>
      <c r="C75">
        <v>2025</v>
      </c>
      <c r="D75">
        <v>54</v>
      </c>
      <c r="E75">
        <v>1.44</v>
      </c>
      <c r="F75">
        <v>1.41</v>
      </c>
      <c r="G75">
        <v>0.19</v>
      </c>
      <c r="H75">
        <v>0.98</v>
      </c>
      <c r="I75">
        <v>1.71</v>
      </c>
      <c r="J75">
        <v>1.28</v>
      </c>
      <c r="K75">
        <v>1.61</v>
      </c>
      <c r="L75" t="s">
        <v>10</v>
      </c>
      <c r="M75" t="s">
        <v>11</v>
      </c>
    </row>
    <row r="76" spans="1:13" x14ac:dyDescent="0.45">
      <c r="A76" t="s">
        <v>9</v>
      </c>
      <c r="B76" t="s">
        <v>144</v>
      </c>
      <c r="C76">
        <v>2030</v>
      </c>
      <c r="D76">
        <v>59</v>
      </c>
      <c r="E76">
        <v>2.0299999999999998</v>
      </c>
      <c r="F76">
        <v>1.8</v>
      </c>
      <c r="G76">
        <v>0.47</v>
      </c>
      <c r="H76">
        <v>1.02</v>
      </c>
      <c r="I76">
        <v>2.81</v>
      </c>
      <c r="J76">
        <v>1.64</v>
      </c>
      <c r="K76">
        <v>2.4700000000000002</v>
      </c>
      <c r="L76" t="s">
        <v>10</v>
      </c>
      <c r="M76" t="s">
        <v>11</v>
      </c>
    </row>
    <row r="77" spans="1:13" x14ac:dyDescent="0.45">
      <c r="A77" t="s">
        <v>9</v>
      </c>
      <c r="B77" t="s">
        <v>144</v>
      </c>
      <c r="C77">
        <v>2035</v>
      </c>
      <c r="D77">
        <v>54</v>
      </c>
      <c r="E77">
        <v>2.83</v>
      </c>
      <c r="F77">
        <v>2.75</v>
      </c>
      <c r="G77">
        <v>0.81</v>
      </c>
      <c r="H77">
        <v>1.06</v>
      </c>
      <c r="I77">
        <v>4.41</v>
      </c>
      <c r="J77">
        <v>2.13</v>
      </c>
      <c r="K77">
        <v>3.4</v>
      </c>
      <c r="L77" t="s">
        <v>10</v>
      </c>
      <c r="M77" t="s">
        <v>11</v>
      </c>
    </row>
    <row r="78" spans="1:13" x14ac:dyDescent="0.45">
      <c r="A78" t="s">
        <v>9</v>
      </c>
      <c r="B78" t="s">
        <v>144</v>
      </c>
      <c r="C78">
        <v>2040</v>
      </c>
      <c r="D78">
        <v>59</v>
      </c>
      <c r="E78">
        <v>3.65</v>
      </c>
      <c r="F78">
        <v>3.36</v>
      </c>
      <c r="G78">
        <v>1.26</v>
      </c>
      <c r="H78">
        <v>1.1100000000000001</v>
      </c>
      <c r="I78">
        <v>6.51</v>
      </c>
      <c r="J78">
        <v>2.59</v>
      </c>
      <c r="K78">
        <v>4.49</v>
      </c>
      <c r="L78" t="s">
        <v>10</v>
      </c>
      <c r="M78" t="s">
        <v>11</v>
      </c>
    </row>
    <row r="79" spans="1:13" x14ac:dyDescent="0.45">
      <c r="A79" t="s">
        <v>9</v>
      </c>
      <c r="B79" t="s">
        <v>144</v>
      </c>
      <c r="C79">
        <v>2045</v>
      </c>
      <c r="D79">
        <v>54</v>
      </c>
      <c r="E79">
        <v>4.95</v>
      </c>
      <c r="F79">
        <v>5.12</v>
      </c>
      <c r="G79">
        <v>1.81</v>
      </c>
      <c r="H79">
        <v>1.17</v>
      </c>
      <c r="I79">
        <v>9.23</v>
      </c>
      <c r="J79">
        <v>3.58</v>
      </c>
      <c r="K79">
        <v>5.89</v>
      </c>
      <c r="L79" t="s">
        <v>10</v>
      </c>
      <c r="M79" t="s">
        <v>11</v>
      </c>
    </row>
    <row r="80" spans="1:13" x14ac:dyDescent="0.45">
      <c r="A80" t="s">
        <v>9</v>
      </c>
      <c r="B80" t="s">
        <v>144</v>
      </c>
      <c r="C80">
        <v>2050</v>
      </c>
      <c r="D80">
        <v>59</v>
      </c>
      <c r="E80">
        <v>6.18</v>
      </c>
      <c r="F80">
        <v>5.69</v>
      </c>
      <c r="G80">
        <v>2.5499999999999998</v>
      </c>
      <c r="H80">
        <v>1.25</v>
      </c>
      <c r="I80">
        <v>12.97</v>
      </c>
      <c r="J80">
        <v>4.2300000000000004</v>
      </c>
      <c r="K80">
        <v>7.5</v>
      </c>
      <c r="L80" t="s">
        <v>10</v>
      </c>
      <c r="M80" t="s">
        <v>11</v>
      </c>
    </row>
    <row r="81" spans="1:13" x14ac:dyDescent="0.45">
      <c r="A81" t="s">
        <v>0</v>
      </c>
      <c r="B81" t="s">
        <v>144</v>
      </c>
      <c r="C81">
        <v>2020</v>
      </c>
      <c r="D81">
        <v>62</v>
      </c>
      <c r="E81">
        <v>0.01</v>
      </c>
      <c r="F81">
        <v>0</v>
      </c>
      <c r="G81">
        <v>0.01</v>
      </c>
      <c r="H81">
        <v>0</v>
      </c>
      <c r="I81">
        <v>0.01</v>
      </c>
      <c r="J81">
        <v>0</v>
      </c>
      <c r="K81">
        <v>0.01</v>
      </c>
      <c r="L81" t="s">
        <v>1</v>
      </c>
      <c r="M81" t="s">
        <v>15</v>
      </c>
    </row>
    <row r="82" spans="1:13" x14ac:dyDescent="0.45">
      <c r="A82" t="s">
        <v>0</v>
      </c>
      <c r="B82" t="s">
        <v>144</v>
      </c>
      <c r="C82">
        <v>2025</v>
      </c>
      <c r="D82">
        <v>62</v>
      </c>
      <c r="E82">
        <v>0.01</v>
      </c>
      <c r="F82">
        <v>0.01</v>
      </c>
      <c r="G82">
        <v>0.01</v>
      </c>
      <c r="H82">
        <v>0</v>
      </c>
      <c r="I82">
        <v>0.02</v>
      </c>
      <c r="J82">
        <v>0</v>
      </c>
      <c r="K82">
        <v>0.01</v>
      </c>
      <c r="L82" t="s">
        <v>1</v>
      </c>
      <c r="M82" t="s">
        <v>15</v>
      </c>
    </row>
    <row r="83" spans="1:13" x14ac:dyDescent="0.45">
      <c r="A83" t="s">
        <v>0</v>
      </c>
      <c r="B83" t="s">
        <v>144</v>
      </c>
      <c r="C83">
        <v>2030</v>
      </c>
      <c r="D83">
        <v>62</v>
      </c>
      <c r="E83">
        <v>0.01</v>
      </c>
      <c r="F83">
        <v>0.01</v>
      </c>
      <c r="G83">
        <v>0.01</v>
      </c>
      <c r="H83">
        <v>0</v>
      </c>
      <c r="I83">
        <v>7.0000000000000007E-2</v>
      </c>
      <c r="J83">
        <v>0</v>
      </c>
      <c r="K83">
        <v>0.01</v>
      </c>
      <c r="L83" t="s">
        <v>1</v>
      </c>
      <c r="M83" t="s">
        <v>15</v>
      </c>
    </row>
    <row r="84" spans="1:13" x14ac:dyDescent="0.45">
      <c r="A84" t="s">
        <v>0</v>
      </c>
      <c r="B84" t="s">
        <v>144</v>
      </c>
      <c r="C84">
        <v>2035</v>
      </c>
      <c r="D84">
        <v>62</v>
      </c>
      <c r="E84">
        <v>0.02</v>
      </c>
      <c r="F84">
        <v>0.01</v>
      </c>
      <c r="G84">
        <v>0.03</v>
      </c>
      <c r="H84">
        <v>0</v>
      </c>
      <c r="I84">
        <v>0.15</v>
      </c>
      <c r="J84">
        <v>0.01</v>
      </c>
      <c r="K84">
        <v>0.02</v>
      </c>
      <c r="L84" t="s">
        <v>1</v>
      </c>
      <c r="M84" t="s">
        <v>15</v>
      </c>
    </row>
    <row r="85" spans="1:13" x14ac:dyDescent="0.45">
      <c r="A85" t="s">
        <v>0</v>
      </c>
      <c r="B85" t="s">
        <v>144</v>
      </c>
      <c r="C85">
        <v>2040</v>
      </c>
      <c r="D85">
        <v>62</v>
      </c>
      <c r="E85">
        <v>0.04</v>
      </c>
      <c r="F85">
        <v>0.03</v>
      </c>
      <c r="G85">
        <v>0.03</v>
      </c>
      <c r="H85">
        <v>0</v>
      </c>
      <c r="I85">
        <v>0.15</v>
      </c>
      <c r="J85">
        <v>0.02</v>
      </c>
      <c r="K85">
        <v>0.04</v>
      </c>
      <c r="L85" t="s">
        <v>1</v>
      </c>
      <c r="M85" t="s">
        <v>15</v>
      </c>
    </row>
    <row r="86" spans="1:13" x14ac:dyDescent="0.45">
      <c r="A86" t="s">
        <v>0</v>
      </c>
      <c r="B86" t="s">
        <v>144</v>
      </c>
      <c r="C86">
        <v>2045</v>
      </c>
      <c r="D86">
        <v>62</v>
      </c>
      <c r="E86">
        <v>0.05</v>
      </c>
      <c r="F86">
        <v>0.04</v>
      </c>
      <c r="G86">
        <v>0.03</v>
      </c>
      <c r="H86">
        <v>0</v>
      </c>
      <c r="I86">
        <v>0.16</v>
      </c>
      <c r="J86">
        <v>0.03</v>
      </c>
      <c r="K86">
        <v>0.06</v>
      </c>
      <c r="L86" t="s">
        <v>1</v>
      </c>
      <c r="M86" t="s">
        <v>15</v>
      </c>
    </row>
    <row r="87" spans="1:13" x14ac:dyDescent="0.45">
      <c r="A87" t="s">
        <v>0</v>
      </c>
      <c r="B87" t="s">
        <v>144</v>
      </c>
      <c r="C87">
        <v>2050</v>
      </c>
      <c r="D87">
        <v>62</v>
      </c>
      <c r="E87">
        <v>0.06</v>
      </c>
      <c r="F87">
        <v>0.06</v>
      </c>
      <c r="G87">
        <v>0.03</v>
      </c>
      <c r="H87">
        <v>0</v>
      </c>
      <c r="I87">
        <v>0.15</v>
      </c>
      <c r="J87">
        <v>0.04</v>
      </c>
      <c r="K87">
        <v>7.0000000000000007E-2</v>
      </c>
      <c r="L87" t="s">
        <v>1</v>
      </c>
      <c r="M87" t="s">
        <v>15</v>
      </c>
    </row>
    <row r="88" spans="1:13" x14ac:dyDescent="0.45">
      <c r="A88" t="s">
        <v>2</v>
      </c>
      <c r="B88" t="s">
        <v>144</v>
      </c>
      <c r="C88">
        <v>2020</v>
      </c>
      <c r="D88">
        <v>90</v>
      </c>
      <c r="E88">
        <v>0.01</v>
      </c>
      <c r="F88">
        <v>0</v>
      </c>
      <c r="G88">
        <v>0.01</v>
      </c>
      <c r="H88">
        <v>0</v>
      </c>
      <c r="I88">
        <v>0.01</v>
      </c>
      <c r="J88">
        <v>0</v>
      </c>
      <c r="K88">
        <v>0.01</v>
      </c>
      <c r="L88" t="s">
        <v>3</v>
      </c>
      <c r="M88" t="s">
        <v>15</v>
      </c>
    </row>
    <row r="89" spans="1:13" x14ac:dyDescent="0.45">
      <c r="A89" t="s">
        <v>2</v>
      </c>
      <c r="B89" t="s">
        <v>144</v>
      </c>
      <c r="C89">
        <v>2025</v>
      </c>
      <c r="D89">
        <v>79</v>
      </c>
      <c r="E89">
        <v>0</v>
      </c>
      <c r="F89">
        <v>0</v>
      </c>
      <c r="G89">
        <v>0</v>
      </c>
      <c r="H89">
        <v>0</v>
      </c>
      <c r="I89">
        <v>0.01</v>
      </c>
      <c r="J89">
        <v>0</v>
      </c>
      <c r="K89">
        <v>0.01</v>
      </c>
      <c r="L89" t="s">
        <v>3</v>
      </c>
      <c r="M89" t="s">
        <v>15</v>
      </c>
    </row>
    <row r="90" spans="1:13" x14ac:dyDescent="0.45">
      <c r="A90" t="s">
        <v>2</v>
      </c>
      <c r="B90" t="s">
        <v>144</v>
      </c>
      <c r="C90">
        <v>2030</v>
      </c>
      <c r="D90">
        <v>90</v>
      </c>
      <c r="E90">
        <v>0.01</v>
      </c>
      <c r="F90">
        <v>0</v>
      </c>
      <c r="G90">
        <v>0.01</v>
      </c>
      <c r="H90">
        <v>0</v>
      </c>
      <c r="I90">
        <v>0.02</v>
      </c>
      <c r="J90">
        <v>0</v>
      </c>
      <c r="K90">
        <v>0.01</v>
      </c>
      <c r="L90" t="s">
        <v>3</v>
      </c>
      <c r="M90" t="s">
        <v>15</v>
      </c>
    </row>
    <row r="91" spans="1:13" x14ac:dyDescent="0.45">
      <c r="A91" t="s">
        <v>2</v>
      </c>
      <c r="B91" t="s">
        <v>144</v>
      </c>
      <c r="C91">
        <v>2035</v>
      </c>
      <c r="D91">
        <v>79</v>
      </c>
      <c r="E91">
        <v>0.01</v>
      </c>
      <c r="F91">
        <v>0.01</v>
      </c>
      <c r="G91">
        <v>0.02</v>
      </c>
      <c r="H91">
        <v>0</v>
      </c>
      <c r="I91">
        <v>0.09</v>
      </c>
      <c r="J91">
        <v>0</v>
      </c>
      <c r="K91">
        <v>0.02</v>
      </c>
      <c r="L91" t="s">
        <v>3</v>
      </c>
      <c r="M91" t="s">
        <v>15</v>
      </c>
    </row>
    <row r="92" spans="1:13" x14ac:dyDescent="0.45">
      <c r="A92" t="s">
        <v>2</v>
      </c>
      <c r="B92" t="s">
        <v>144</v>
      </c>
      <c r="C92">
        <v>2040</v>
      </c>
      <c r="D92">
        <v>90</v>
      </c>
      <c r="E92">
        <v>0.03</v>
      </c>
      <c r="F92">
        <v>0.03</v>
      </c>
      <c r="G92">
        <v>0.03</v>
      </c>
      <c r="H92">
        <v>0</v>
      </c>
      <c r="I92">
        <v>0.11</v>
      </c>
      <c r="J92">
        <v>0.02</v>
      </c>
      <c r="K92">
        <v>0.04</v>
      </c>
      <c r="L92" t="s">
        <v>3</v>
      </c>
      <c r="M92" t="s">
        <v>15</v>
      </c>
    </row>
    <row r="93" spans="1:13" x14ac:dyDescent="0.45">
      <c r="A93" t="s">
        <v>2</v>
      </c>
      <c r="B93" t="s">
        <v>144</v>
      </c>
      <c r="C93">
        <v>2045</v>
      </c>
      <c r="D93">
        <v>79</v>
      </c>
      <c r="E93">
        <v>0.04</v>
      </c>
      <c r="F93">
        <v>0.04</v>
      </c>
      <c r="G93">
        <v>0.03</v>
      </c>
      <c r="H93">
        <v>0</v>
      </c>
      <c r="I93">
        <v>0.11</v>
      </c>
      <c r="J93">
        <v>0.02</v>
      </c>
      <c r="K93">
        <v>0.05</v>
      </c>
      <c r="L93" t="s">
        <v>3</v>
      </c>
      <c r="M93" t="s">
        <v>15</v>
      </c>
    </row>
    <row r="94" spans="1:13" x14ac:dyDescent="0.45">
      <c r="A94" t="s">
        <v>2</v>
      </c>
      <c r="B94" t="s">
        <v>144</v>
      </c>
      <c r="C94">
        <v>2050</v>
      </c>
      <c r="D94">
        <v>90</v>
      </c>
      <c r="E94">
        <v>0.06</v>
      </c>
      <c r="F94">
        <v>0.06</v>
      </c>
      <c r="G94">
        <v>0.03</v>
      </c>
      <c r="H94">
        <v>0</v>
      </c>
      <c r="I94">
        <v>0.12</v>
      </c>
      <c r="J94">
        <v>0.04</v>
      </c>
      <c r="K94">
        <v>0.08</v>
      </c>
      <c r="L94" t="s">
        <v>3</v>
      </c>
      <c r="M94" t="s">
        <v>15</v>
      </c>
    </row>
    <row r="95" spans="1:13" x14ac:dyDescent="0.45">
      <c r="A95" t="s">
        <v>5</v>
      </c>
      <c r="B95" t="s">
        <v>144</v>
      </c>
      <c r="C95">
        <v>2020</v>
      </c>
      <c r="D95">
        <v>219</v>
      </c>
      <c r="E95">
        <v>0.01</v>
      </c>
      <c r="F95">
        <v>0</v>
      </c>
      <c r="G95">
        <v>0.01</v>
      </c>
      <c r="H95">
        <v>0</v>
      </c>
      <c r="I95">
        <v>0.03</v>
      </c>
      <c r="J95">
        <v>0</v>
      </c>
      <c r="K95">
        <v>0.01</v>
      </c>
      <c r="L95" t="s">
        <v>6</v>
      </c>
      <c r="M95" t="s">
        <v>15</v>
      </c>
    </row>
    <row r="96" spans="1:13" x14ac:dyDescent="0.45">
      <c r="A96" t="s">
        <v>5</v>
      </c>
      <c r="B96" t="s">
        <v>144</v>
      </c>
      <c r="C96">
        <v>2025</v>
      </c>
      <c r="D96">
        <v>196</v>
      </c>
      <c r="E96">
        <v>0</v>
      </c>
      <c r="F96">
        <v>0</v>
      </c>
      <c r="G96">
        <v>0.01</v>
      </c>
      <c r="H96">
        <v>0</v>
      </c>
      <c r="I96">
        <v>0.02</v>
      </c>
      <c r="J96">
        <v>0</v>
      </c>
      <c r="K96">
        <v>0.01</v>
      </c>
      <c r="L96" t="s">
        <v>6</v>
      </c>
      <c r="M96" t="s">
        <v>15</v>
      </c>
    </row>
    <row r="97" spans="1:13" x14ac:dyDescent="0.45">
      <c r="A97" t="s">
        <v>5</v>
      </c>
      <c r="B97" t="s">
        <v>144</v>
      </c>
      <c r="C97">
        <v>2030</v>
      </c>
      <c r="D97">
        <v>219</v>
      </c>
      <c r="E97">
        <v>0.01</v>
      </c>
      <c r="F97">
        <v>0</v>
      </c>
      <c r="G97">
        <v>0.01</v>
      </c>
      <c r="H97">
        <v>0</v>
      </c>
      <c r="I97">
        <v>0.05</v>
      </c>
      <c r="J97">
        <v>0</v>
      </c>
      <c r="K97">
        <v>0.01</v>
      </c>
      <c r="L97" t="s">
        <v>6</v>
      </c>
      <c r="M97" t="s">
        <v>15</v>
      </c>
    </row>
    <row r="98" spans="1:13" x14ac:dyDescent="0.45">
      <c r="A98" t="s">
        <v>5</v>
      </c>
      <c r="B98" t="s">
        <v>144</v>
      </c>
      <c r="C98">
        <v>2035</v>
      </c>
      <c r="D98">
        <v>196</v>
      </c>
      <c r="E98">
        <v>0.01</v>
      </c>
      <c r="F98">
        <v>0.01</v>
      </c>
      <c r="G98">
        <v>0.01</v>
      </c>
      <c r="H98">
        <v>0</v>
      </c>
      <c r="I98">
        <v>0.09</v>
      </c>
      <c r="J98">
        <v>0</v>
      </c>
      <c r="K98">
        <v>0.02</v>
      </c>
      <c r="L98" t="s">
        <v>6</v>
      </c>
      <c r="M98" t="s">
        <v>15</v>
      </c>
    </row>
    <row r="99" spans="1:13" x14ac:dyDescent="0.45">
      <c r="A99" t="s">
        <v>5</v>
      </c>
      <c r="B99" t="s">
        <v>144</v>
      </c>
      <c r="C99">
        <v>2040</v>
      </c>
      <c r="D99">
        <v>219</v>
      </c>
      <c r="E99">
        <v>0.02</v>
      </c>
      <c r="F99">
        <v>0.02</v>
      </c>
      <c r="G99">
        <v>0.02</v>
      </c>
      <c r="H99">
        <v>0</v>
      </c>
      <c r="I99">
        <v>0.11</v>
      </c>
      <c r="J99">
        <v>0.01</v>
      </c>
      <c r="K99">
        <v>0.03</v>
      </c>
      <c r="L99" t="s">
        <v>6</v>
      </c>
      <c r="M99" t="s">
        <v>15</v>
      </c>
    </row>
    <row r="100" spans="1:13" x14ac:dyDescent="0.45">
      <c r="A100" t="s">
        <v>5</v>
      </c>
      <c r="B100" t="s">
        <v>144</v>
      </c>
      <c r="C100">
        <v>2045</v>
      </c>
      <c r="D100">
        <v>196</v>
      </c>
      <c r="E100">
        <v>0.03</v>
      </c>
      <c r="F100">
        <v>0.02</v>
      </c>
      <c r="G100">
        <v>0.02</v>
      </c>
      <c r="H100">
        <v>0</v>
      </c>
      <c r="I100">
        <v>0.09</v>
      </c>
      <c r="J100">
        <v>0.01</v>
      </c>
      <c r="K100">
        <v>0.03</v>
      </c>
      <c r="L100" t="s">
        <v>6</v>
      </c>
      <c r="M100" t="s">
        <v>15</v>
      </c>
    </row>
    <row r="101" spans="1:13" x14ac:dyDescent="0.45">
      <c r="A101" t="s">
        <v>5</v>
      </c>
      <c r="B101" t="s">
        <v>144</v>
      </c>
      <c r="C101">
        <v>2050</v>
      </c>
      <c r="D101">
        <v>219</v>
      </c>
      <c r="E101">
        <v>0.03</v>
      </c>
      <c r="F101">
        <v>0.03</v>
      </c>
      <c r="G101">
        <v>0.02</v>
      </c>
      <c r="H101">
        <v>0</v>
      </c>
      <c r="I101">
        <v>0.12</v>
      </c>
      <c r="J101">
        <v>0.01</v>
      </c>
      <c r="K101">
        <v>0.05</v>
      </c>
      <c r="L101" t="s">
        <v>6</v>
      </c>
      <c r="M101" t="s">
        <v>15</v>
      </c>
    </row>
    <row r="102" spans="1:13" x14ac:dyDescent="0.45">
      <c r="A102" t="s">
        <v>7</v>
      </c>
      <c r="B102" t="s">
        <v>144</v>
      </c>
      <c r="C102">
        <v>2020</v>
      </c>
      <c r="D102">
        <v>79</v>
      </c>
      <c r="E102">
        <v>0</v>
      </c>
      <c r="F102">
        <v>0</v>
      </c>
      <c r="G102">
        <v>0.01</v>
      </c>
      <c r="H102">
        <v>0</v>
      </c>
      <c r="I102">
        <v>0.03</v>
      </c>
      <c r="J102">
        <v>0</v>
      </c>
      <c r="K102">
        <v>0</v>
      </c>
      <c r="L102" t="s">
        <v>8</v>
      </c>
      <c r="M102" t="s">
        <v>15</v>
      </c>
    </row>
    <row r="103" spans="1:13" x14ac:dyDescent="0.45">
      <c r="A103" t="s">
        <v>7</v>
      </c>
      <c r="B103" t="s">
        <v>144</v>
      </c>
      <c r="C103">
        <v>2025</v>
      </c>
      <c r="D103">
        <v>73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 t="s">
        <v>8</v>
      </c>
      <c r="M103" t="s">
        <v>15</v>
      </c>
    </row>
    <row r="104" spans="1:13" x14ac:dyDescent="0.45">
      <c r="A104" t="s">
        <v>7</v>
      </c>
      <c r="B104" t="s">
        <v>144</v>
      </c>
      <c r="C104">
        <v>2030</v>
      </c>
      <c r="D104">
        <v>79</v>
      </c>
      <c r="E104">
        <v>0</v>
      </c>
      <c r="F104">
        <v>0</v>
      </c>
      <c r="G104">
        <v>0.01</v>
      </c>
      <c r="H104">
        <v>0</v>
      </c>
      <c r="I104">
        <v>0.04</v>
      </c>
      <c r="J104">
        <v>0</v>
      </c>
      <c r="K104">
        <v>0</v>
      </c>
      <c r="L104" t="s">
        <v>8</v>
      </c>
      <c r="M104" t="s">
        <v>15</v>
      </c>
    </row>
    <row r="105" spans="1:13" x14ac:dyDescent="0.45">
      <c r="A105" t="s">
        <v>7</v>
      </c>
      <c r="B105" t="s">
        <v>144</v>
      </c>
      <c r="C105">
        <v>2035</v>
      </c>
      <c r="D105">
        <v>73</v>
      </c>
      <c r="E105">
        <v>0</v>
      </c>
      <c r="F105">
        <v>0</v>
      </c>
      <c r="G105">
        <v>0</v>
      </c>
      <c r="H105">
        <v>0</v>
      </c>
      <c r="I105">
        <v>0.02</v>
      </c>
      <c r="J105">
        <v>0</v>
      </c>
      <c r="K105">
        <v>0</v>
      </c>
      <c r="L105" t="s">
        <v>8</v>
      </c>
      <c r="M105" t="s">
        <v>15</v>
      </c>
    </row>
    <row r="106" spans="1:13" x14ac:dyDescent="0.45">
      <c r="A106" t="s">
        <v>7</v>
      </c>
      <c r="B106" t="s">
        <v>144</v>
      </c>
      <c r="C106">
        <v>2040</v>
      </c>
      <c r="D106">
        <v>79</v>
      </c>
      <c r="E106">
        <v>0.01</v>
      </c>
      <c r="F106">
        <v>0</v>
      </c>
      <c r="G106">
        <v>0.02</v>
      </c>
      <c r="H106">
        <v>0</v>
      </c>
      <c r="I106">
        <v>0.06</v>
      </c>
      <c r="J106">
        <v>0</v>
      </c>
      <c r="K106">
        <v>0</v>
      </c>
      <c r="L106" t="s">
        <v>8</v>
      </c>
      <c r="M106" t="s">
        <v>15</v>
      </c>
    </row>
    <row r="107" spans="1:13" x14ac:dyDescent="0.45">
      <c r="A107" t="s">
        <v>7</v>
      </c>
      <c r="B107" t="s">
        <v>144</v>
      </c>
      <c r="C107">
        <v>2045</v>
      </c>
      <c r="D107">
        <v>73</v>
      </c>
      <c r="E107">
        <v>0.01</v>
      </c>
      <c r="F107">
        <v>0</v>
      </c>
      <c r="G107">
        <v>0.02</v>
      </c>
      <c r="H107">
        <v>0</v>
      </c>
      <c r="I107">
        <v>0.06</v>
      </c>
      <c r="J107">
        <v>0</v>
      </c>
      <c r="K107">
        <v>0.01</v>
      </c>
      <c r="L107" t="s">
        <v>8</v>
      </c>
      <c r="M107" t="s">
        <v>15</v>
      </c>
    </row>
    <row r="108" spans="1:13" x14ac:dyDescent="0.45">
      <c r="A108" t="s">
        <v>7</v>
      </c>
      <c r="B108" t="s">
        <v>144</v>
      </c>
      <c r="C108">
        <v>2050</v>
      </c>
      <c r="D108">
        <v>79</v>
      </c>
      <c r="E108">
        <v>0.02</v>
      </c>
      <c r="F108">
        <v>0.01</v>
      </c>
      <c r="G108">
        <v>0.02</v>
      </c>
      <c r="H108">
        <v>0</v>
      </c>
      <c r="I108">
        <v>0.08</v>
      </c>
      <c r="J108">
        <v>0</v>
      </c>
      <c r="K108">
        <v>0.01</v>
      </c>
      <c r="L108" t="s">
        <v>8</v>
      </c>
      <c r="M108" t="s">
        <v>15</v>
      </c>
    </row>
    <row r="109" spans="1:13" x14ac:dyDescent="0.45">
      <c r="A109" t="s">
        <v>9</v>
      </c>
      <c r="B109" t="s">
        <v>144</v>
      </c>
      <c r="C109">
        <v>2020</v>
      </c>
      <c r="D109">
        <v>57</v>
      </c>
      <c r="E109">
        <v>0.01</v>
      </c>
      <c r="F109">
        <v>0.01</v>
      </c>
      <c r="G109">
        <v>0.01</v>
      </c>
      <c r="H109">
        <v>0</v>
      </c>
      <c r="I109">
        <v>0.03</v>
      </c>
      <c r="J109">
        <v>0</v>
      </c>
      <c r="K109">
        <v>0.01</v>
      </c>
      <c r="L109" t="s">
        <v>10</v>
      </c>
      <c r="M109" t="s">
        <v>15</v>
      </c>
    </row>
    <row r="110" spans="1:13" x14ac:dyDescent="0.45">
      <c r="A110" t="s">
        <v>9</v>
      </c>
      <c r="B110" t="s">
        <v>144</v>
      </c>
      <c r="C110">
        <v>2025</v>
      </c>
      <c r="D110">
        <v>52</v>
      </c>
      <c r="E110">
        <v>0.01</v>
      </c>
      <c r="F110">
        <v>0.01</v>
      </c>
      <c r="G110">
        <v>0</v>
      </c>
      <c r="H110">
        <v>0</v>
      </c>
      <c r="I110">
        <v>0.01</v>
      </c>
      <c r="J110">
        <v>0</v>
      </c>
      <c r="K110">
        <v>0.01</v>
      </c>
      <c r="L110" t="s">
        <v>10</v>
      </c>
      <c r="M110" t="s">
        <v>15</v>
      </c>
    </row>
    <row r="111" spans="1:13" x14ac:dyDescent="0.45">
      <c r="A111" t="s">
        <v>9</v>
      </c>
      <c r="B111" t="s">
        <v>144</v>
      </c>
      <c r="C111">
        <v>2030</v>
      </c>
      <c r="D111">
        <v>57</v>
      </c>
      <c r="E111">
        <v>0.01</v>
      </c>
      <c r="F111">
        <v>0.01</v>
      </c>
      <c r="G111">
        <v>0.01</v>
      </c>
      <c r="H111">
        <v>0</v>
      </c>
      <c r="I111">
        <v>0.04</v>
      </c>
      <c r="J111">
        <v>0</v>
      </c>
      <c r="K111">
        <v>0.01</v>
      </c>
      <c r="L111" t="s">
        <v>10</v>
      </c>
      <c r="M111" t="s">
        <v>15</v>
      </c>
    </row>
    <row r="112" spans="1:13" x14ac:dyDescent="0.45">
      <c r="A112" t="s">
        <v>9</v>
      </c>
      <c r="B112" t="s">
        <v>144</v>
      </c>
      <c r="C112">
        <v>2035</v>
      </c>
      <c r="D112">
        <v>52</v>
      </c>
      <c r="E112">
        <v>0.01</v>
      </c>
      <c r="F112">
        <v>0.02</v>
      </c>
      <c r="G112">
        <v>0.01</v>
      </c>
      <c r="H112">
        <v>0</v>
      </c>
      <c r="I112">
        <v>0.03</v>
      </c>
      <c r="J112">
        <v>0</v>
      </c>
      <c r="K112">
        <v>0.02</v>
      </c>
      <c r="L112" t="s">
        <v>10</v>
      </c>
      <c r="M112" t="s">
        <v>15</v>
      </c>
    </row>
    <row r="113" spans="1:13" x14ac:dyDescent="0.45">
      <c r="A113" t="s">
        <v>9</v>
      </c>
      <c r="B113" t="s">
        <v>144</v>
      </c>
      <c r="C113">
        <v>2040</v>
      </c>
      <c r="D113">
        <v>57</v>
      </c>
      <c r="E113">
        <v>0.02</v>
      </c>
      <c r="F113">
        <v>0.02</v>
      </c>
      <c r="G113">
        <v>0.01</v>
      </c>
      <c r="H113">
        <v>0</v>
      </c>
      <c r="I113">
        <v>0.05</v>
      </c>
      <c r="J113">
        <v>0</v>
      </c>
      <c r="K113">
        <v>0.03</v>
      </c>
      <c r="L113" t="s">
        <v>10</v>
      </c>
      <c r="M113" t="s">
        <v>15</v>
      </c>
    </row>
    <row r="114" spans="1:13" x14ac:dyDescent="0.45">
      <c r="A114" t="s">
        <v>9</v>
      </c>
      <c r="B114" t="s">
        <v>144</v>
      </c>
      <c r="C114">
        <v>2045</v>
      </c>
      <c r="D114">
        <v>52</v>
      </c>
      <c r="E114">
        <v>0.02</v>
      </c>
      <c r="F114">
        <v>0.03</v>
      </c>
      <c r="G114">
        <v>0.02</v>
      </c>
      <c r="H114">
        <v>0</v>
      </c>
      <c r="I114">
        <v>0.05</v>
      </c>
      <c r="J114">
        <v>0</v>
      </c>
      <c r="K114">
        <v>0.03</v>
      </c>
      <c r="L114" t="s">
        <v>10</v>
      </c>
      <c r="M114" t="s">
        <v>15</v>
      </c>
    </row>
    <row r="115" spans="1:13" x14ac:dyDescent="0.45">
      <c r="A115" t="s">
        <v>9</v>
      </c>
      <c r="B115" t="s">
        <v>144</v>
      </c>
      <c r="C115">
        <v>2050</v>
      </c>
      <c r="D115">
        <v>57</v>
      </c>
      <c r="E115">
        <v>0.03</v>
      </c>
      <c r="F115">
        <v>0.03</v>
      </c>
      <c r="G115">
        <v>0.02</v>
      </c>
      <c r="H115">
        <v>0</v>
      </c>
      <c r="I115">
        <v>0.06</v>
      </c>
      <c r="J115">
        <v>0</v>
      </c>
      <c r="K115">
        <v>0.04</v>
      </c>
      <c r="L115" t="s">
        <v>10</v>
      </c>
      <c r="M115" t="s">
        <v>15</v>
      </c>
    </row>
    <row r="116" spans="1:13" x14ac:dyDescent="0.45">
      <c r="A116" t="s">
        <v>0</v>
      </c>
      <c r="B116" t="s">
        <v>144</v>
      </c>
      <c r="C116">
        <v>2020</v>
      </c>
      <c r="D116">
        <v>62</v>
      </c>
      <c r="E116">
        <v>0.49</v>
      </c>
      <c r="F116">
        <v>0.49</v>
      </c>
      <c r="G116">
        <v>0.04</v>
      </c>
      <c r="H116">
        <v>0.37</v>
      </c>
      <c r="I116">
        <v>0.57999999999999996</v>
      </c>
      <c r="J116">
        <v>0.46</v>
      </c>
      <c r="K116">
        <v>0.5</v>
      </c>
      <c r="L116" t="s">
        <v>1</v>
      </c>
      <c r="M116" t="s">
        <v>18</v>
      </c>
    </row>
    <row r="117" spans="1:13" x14ac:dyDescent="0.45">
      <c r="A117" t="s">
        <v>0</v>
      </c>
      <c r="B117" t="s">
        <v>144</v>
      </c>
      <c r="C117">
        <v>2025</v>
      </c>
      <c r="D117">
        <v>62</v>
      </c>
      <c r="E117">
        <v>0.47</v>
      </c>
      <c r="F117">
        <v>0.48</v>
      </c>
      <c r="G117">
        <v>7.0000000000000007E-2</v>
      </c>
      <c r="H117">
        <v>0.33</v>
      </c>
      <c r="I117">
        <v>0.6</v>
      </c>
      <c r="J117">
        <v>0.44</v>
      </c>
      <c r="K117">
        <v>0.54</v>
      </c>
      <c r="L117" t="s">
        <v>1</v>
      </c>
      <c r="M117" t="s">
        <v>18</v>
      </c>
    </row>
    <row r="118" spans="1:13" x14ac:dyDescent="0.45">
      <c r="A118" t="s">
        <v>0</v>
      </c>
      <c r="B118" t="s">
        <v>144</v>
      </c>
      <c r="C118">
        <v>2030</v>
      </c>
      <c r="D118">
        <v>62</v>
      </c>
      <c r="E118">
        <v>0.48</v>
      </c>
      <c r="F118">
        <v>0.5</v>
      </c>
      <c r="G118">
        <v>0.09</v>
      </c>
      <c r="H118">
        <v>0.31</v>
      </c>
      <c r="I118">
        <v>0.61</v>
      </c>
      <c r="J118">
        <v>0.4</v>
      </c>
      <c r="K118">
        <v>0.56000000000000005</v>
      </c>
      <c r="L118" t="s">
        <v>1</v>
      </c>
      <c r="M118" t="s">
        <v>18</v>
      </c>
    </row>
    <row r="119" spans="1:13" x14ac:dyDescent="0.45">
      <c r="A119" t="s">
        <v>0</v>
      </c>
      <c r="B119" t="s">
        <v>144</v>
      </c>
      <c r="C119">
        <v>2035</v>
      </c>
      <c r="D119">
        <v>62</v>
      </c>
      <c r="E119">
        <v>0.47</v>
      </c>
      <c r="F119">
        <v>0.51</v>
      </c>
      <c r="G119">
        <v>0.09</v>
      </c>
      <c r="H119">
        <v>0.28999999999999998</v>
      </c>
      <c r="I119">
        <v>0.64</v>
      </c>
      <c r="J119">
        <v>0.38</v>
      </c>
      <c r="K119">
        <v>0.54</v>
      </c>
      <c r="L119" t="s">
        <v>1</v>
      </c>
      <c r="M119" t="s">
        <v>18</v>
      </c>
    </row>
    <row r="120" spans="1:13" x14ac:dyDescent="0.45">
      <c r="A120" t="s">
        <v>0</v>
      </c>
      <c r="B120" t="s">
        <v>144</v>
      </c>
      <c r="C120">
        <v>2040</v>
      </c>
      <c r="D120">
        <v>62</v>
      </c>
      <c r="E120">
        <v>0.46</v>
      </c>
      <c r="F120">
        <v>0.51</v>
      </c>
      <c r="G120">
        <v>0.11</v>
      </c>
      <c r="H120">
        <v>0.22</v>
      </c>
      <c r="I120">
        <v>0.64</v>
      </c>
      <c r="J120">
        <v>0.36</v>
      </c>
      <c r="K120">
        <v>0.55000000000000004</v>
      </c>
      <c r="L120" t="s">
        <v>1</v>
      </c>
      <c r="M120" t="s">
        <v>18</v>
      </c>
    </row>
    <row r="121" spans="1:13" x14ac:dyDescent="0.45">
      <c r="A121" t="s">
        <v>0</v>
      </c>
      <c r="B121" t="s">
        <v>144</v>
      </c>
      <c r="C121">
        <v>2045</v>
      </c>
      <c r="D121">
        <v>62</v>
      </c>
      <c r="E121">
        <v>0.47</v>
      </c>
      <c r="F121">
        <v>0.53</v>
      </c>
      <c r="G121">
        <v>0.12</v>
      </c>
      <c r="H121">
        <v>0.2</v>
      </c>
      <c r="I121">
        <v>0.63</v>
      </c>
      <c r="J121">
        <v>0.36</v>
      </c>
      <c r="K121">
        <v>0.56000000000000005</v>
      </c>
      <c r="L121" t="s">
        <v>1</v>
      </c>
      <c r="M121" t="s">
        <v>18</v>
      </c>
    </row>
    <row r="122" spans="1:13" x14ac:dyDescent="0.45">
      <c r="A122" t="s">
        <v>0</v>
      </c>
      <c r="B122" t="s">
        <v>144</v>
      </c>
      <c r="C122">
        <v>2050</v>
      </c>
      <c r="D122">
        <v>62</v>
      </c>
      <c r="E122">
        <v>0.47</v>
      </c>
      <c r="F122">
        <v>0.54</v>
      </c>
      <c r="G122">
        <v>0.13</v>
      </c>
      <c r="H122">
        <v>0.2</v>
      </c>
      <c r="I122">
        <v>0.63</v>
      </c>
      <c r="J122">
        <v>0.35</v>
      </c>
      <c r="K122">
        <v>0.56999999999999995</v>
      </c>
      <c r="L122" t="s">
        <v>1</v>
      </c>
      <c r="M122" t="s">
        <v>18</v>
      </c>
    </row>
    <row r="123" spans="1:13" x14ac:dyDescent="0.45">
      <c r="A123" t="s">
        <v>2</v>
      </c>
      <c r="B123" t="s">
        <v>144</v>
      </c>
      <c r="C123">
        <v>2020</v>
      </c>
      <c r="D123">
        <v>90</v>
      </c>
      <c r="E123">
        <v>0.48</v>
      </c>
      <c r="F123">
        <v>0.49</v>
      </c>
      <c r="G123">
        <v>0.06</v>
      </c>
      <c r="H123">
        <v>0.37</v>
      </c>
      <c r="I123">
        <v>0.57999999999999996</v>
      </c>
      <c r="J123">
        <v>0.44</v>
      </c>
      <c r="K123">
        <v>0.51</v>
      </c>
      <c r="L123" t="s">
        <v>3</v>
      </c>
      <c r="M123" t="s">
        <v>18</v>
      </c>
    </row>
    <row r="124" spans="1:13" x14ac:dyDescent="0.45">
      <c r="A124" t="s">
        <v>2</v>
      </c>
      <c r="B124" t="s">
        <v>144</v>
      </c>
      <c r="C124">
        <v>2025</v>
      </c>
      <c r="D124">
        <v>79</v>
      </c>
      <c r="E124">
        <v>0.49</v>
      </c>
      <c r="F124">
        <v>0.48</v>
      </c>
      <c r="G124">
        <v>0.08</v>
      </c>
      <c r="H124">
        <v>0.23</v>
      </c>
      <c r="I124">
        <v>0.66</v>
      </c>
      <c r="J124">
        <v>0.44</v>
      </c>
      <c r="K124">
        <v>0.54</v>
      </c>
      <c r="L124" t="s">
        <v>3</v>
      </c>
      <c r="M124" t="s">
        <v>18</v>
      </c>
    </row>
    <row r="125" spans="1:13" x14ac:dyDescent="0.45">
      <c r="A125" t="s">
        <v>2</v>
      </c>
      <c r="B125" t="s">
        <v>144</v>
      </c>
      <c r="C125">
        <v>2030</v>
      </c>
      <c r="D125">
        <v>90</v>
      </c>
      <c r="E125">
        <v>0.47</v>
      </c>
      <c r="F125">
        <v>0.46</v>
      </c>
      <c r="G125">
        <v>0.09</v>
      </c>
      <c r="H125">
        <v>0.28999999999999998</v>
      </c>
      <c r="I125">
        <v>0.71</v>
      </c>
      <c r="J125">
        <v>0.4</v>
      </c>
      <c r="K125">
        <v>0.55000000000000004</v>
      </c>
      <c r="L125" t="s">
        <v>3</v>
      </c>
      <c r="M125" t="s">
        <v>18</v>
      </c>
    </row>
    <row r="126" spans="1:13" x14ac:dyDescent="0.45">
      <c r="A126" t="s">
        <v>2</v>
      </c>
      <c r="B126" t="s">
        <v>144</v>
      </c>
      <c r="C126">
        <v>2035</v>
      </c>
      <c r="D126">
        <v>79</v>
      </c>
      <c r="E126">
        <v>0.47</v>
      </c>
      <c r="F126">
        <v>0.49</v>
      </c>
      <c r="G126">
        <v>0.08</v>
      </c>
      <c r="H126">
        <v>0.28000000000000003</v>
      </c>
      <c r="I126">
        <v>0.66</v>
      </c>
      <c r="J126">
        <v>0.39</v>
      </c>
      <c r="K126">
        <v>0.54</v>
      </c>
      <c r="L126" t="s">
        <v>3</v>
      </c>
      <c r="M126" t="s">
        <v>18</v>
      </c>
    </row>
    <row r="127" spans="1:13" x14ac:dyDescent="0.45">
      <c r="A127" t="s">
        <v>2</v>
      </c>
      <c r="B127" t="s">
        <v>144</v>
      </c>
      <c r="C127">
        <v>2040</v>
      </c>
      <c r="D127">
        <v>90</v>
      </c>
      <c r="E127">
        <v>0.45</v>
      </c>
      <c r="F127">
        <v>0.47</v>
      </c>
      <c r="G127">
        <v>0.08</v>
      </c>
      <c r="H127">
        <v>0.28999999999999998</v>
      </c>
      <c r="I127">
        <v>0.64</v>
      </c>
      <c r="J127">
        <v>0.38</v>
      </c>
      <c r="K127">
        <v>0.51</v>
      </c>
      <c r="L127" t="s">
        <v>3</v>
      </c>
      <c r="M127" t="s">
        <v>18</v>
      </c>
    </row>
    <row r="128" spans="1:13" x14ac:dyDescent="0.45">
      <c r="A128" t="s">
        <v>2</v>
      </c>
      <c r="B128" t="s">
        <v>144</v>
      </c>
      <c r="C128">
        <v>2045</v>
      </c>
      <c r="D128">
        <v>79</v>
      </c>
      <c r="E128">
        <v>0.46</v>
      </c>
      <c r="F128">
        <v>0.47</v>
      </c>
      <c r="G128">
        <v>0.08</v>
      </c>
      <c r="H128">
        <v>0.27</v>
      </c>
      <c r="I128">
        <v>0.64</v>
      </c>
      <c r="J128">
        <v>0.38</v>
      </c>
      <c r="K128">
        <v>0.54</v>
      </c>
      <c r="L128" t="s">
        <v>3</v>
      </c>
      <c r="M128" t="s">
        <v>18</v>
      </c>
    </row>
    <row r="129" spans="1:13" x14ac:dyDescent="0.45">
      <c r="A129" t="s">
        <v>2</v>
      </c>
      <c r="B129" t="s">
        <v>144</v>
      </c>
      <c r="C129">
        <v>2050</v>
      </c>
      <c r="D129">
        <v>90</v>
      </c>
      <c r="E129">
        <v>0.45</v>
      </c>
      <c r="F129">
        <v>0.46</v>
      </c>
      <c r="G129">
        <v>0.09</v>
      </c>
      <c r="H129">
        <v>0.24</v>
      </c>
      <c r="I129">
        <v>0.64</v>
      </c>
      <c r="J129">
        <v>0.36</v>
      </c>
      <c r="K129">
        <v>0.53</v>
      </c>
      <c r="L129" t="s">
        <v>3</v>
      </c>
      <c r="M129" t="s">
        <v>18</v>
      </c>
    </row>
    <row r="130" spans="1:13" x14ac:dyDescent="0.45">
      <c r="A130" t="s">
        <v>5</v>
      </c>
      <c r="B130" t="s">
        <v>144</v>
      </c>
      <c r="C130">
        <v>2020</v>
      </c>
      <c r="D130">
        <v>221</v>
      </c>
      <c r="E130">
        <v>0.46</v>
      </c>
      <c r="F130">
        <v>0.49</v>
      </c>
      <c r="G130">
        <v>0.05</v>
      </c>
      <c r="H130">
        <v>0.37</v>
      </c>
      <c r="I130">
        <v>0.55000000000000004</v>
      </c>
      <c r="J130">
        <v>0.43</v>
      </c>
      <c r="K130">
        <v>0.5</v>
      </c>
      <c r="L130" t="s">
        <v>6</v>
      </c>
      <c r="M130" t="s">
        <v>18</v>
      </c>
    </row>
    <row r="131" spans="1:13" x14ac:dyDescent="0.45">
      <c r="A131" t="s">
        <v>5</v>
      </c>
      <c r="B131" t="s">
        <v>144</v>
      </c>
      <c r="C131">
        <v>2025</v>
      </c>
      <c r="D131">
        <v>198</v>
      </c>
      <c r="E131">
        <v>0.45</v>
      </c>
      <c r="F131">
        <v>0.45</v>
      </c>
      <c r="G131">
        <v>0.09</v>
      </c>
      <c r="H131">
        <v>0.23</v>
      </c>
      <c r="I131">
        <v>0.54</v>
      </c>
      <c r="J131">
        <v>0.43</v>
      </c>
      <c r="K131">
        <v>0.54</v>
      </c>
      <c r="L131" t="s">
        <v>6</v>
      </c>
      <c r="M131" t="s">
        <v>18</v>
      </c>
    </row>
    <row r="132" spans="1:13" x14ac:dyDescent="0.45">
      <c r="A132" t="s">
        <v>5</v>
      </c>
      <c r="B132" t="s">
        <v>144</v>
      </c>
      <c r="C132">
        <v>2030</v>
      </c>
      <c r="D132">
        <v>221</v>
      </c>
      <c r="E132">
        <v>0.43</v>
      </c>
      <c r="F132">
        <v>0.43</v>
      </c>
      <c r="G132">
        <v>0.1</v>
      </c>
      <c r="H132">
        <v>0.25</v>
      </c>
      <c r="I132">
        <v>0.56999999999999995</v>
      </c>
      <c r="J132">
        <v>0.34</v>
      </c>
      <c r="K132">
        <v>0.56000000000000005</v>
      </c>
      <c r="L132" t="s">
        <v>6</v>
      </c>
      <c r="M132" t="s">
        <v>18</v>
      </c>
    </row>
    <row r="133" spans="1:13" x14ac:dyDescent="0.45">
      <c r="A133" t="s">
        <v>5</v>
      </c>
      <c r="B133" t="s">
        <v>144</v>
      </c>
      <c r="C133">
        <v>2035</v>
      </c>
      <c r="D133">
        <v>198</v>
      </c>
      <c r="E133">
        <v>0.44</v>
      </c>
      <c r="F133">
        <v>0.42</v>
      </c>
      <c r="G133">
        <v>0.09</v>
      </c>
      <c r="H133">
        <v>0.26</v>
      </c>
      <c r="I133">
        <v>0.6</v>
      </c>
      <c r="J133">
        <v>0.37</v>
      </c>
      <c r="K133">
        <v>0.54</v>
      </c>
      <c r="L133" t="s">
        <v>6</v>
      </c>
      <c r="M133" t="s">
        <v>18</v>
      </c>
    </row>
    <row r="134" spans="1:13" x14ac:dyDescent="0.45">
      <c r="A134" t="s">
        <v>5</v>
      </c>
      <c r="B134" t="s">
        <v>144</v>
      </c>
      <c r="C134">
        <v>2040</v>
      </c>
      <c r="D134">
        <v>221</v>
      </c>
      <c r="E134">
        <v>0.42</v>
      </c>
      <c r="F134">
        <v>0.4</v>
      </c>
      <c r="G134">
        <v>0.1</v>
      </c>
      <c r="H134">
        <v>0.25</v>
      </c>
      <c r="I134">
        <v>0.6</v>
      </c>
      <c r="J134">
        <v>0.32</v>
      </c>
      <c r="K134">
        <v>0.53</v>
      </c>
      <c r="L134" t="s">
        <v>6</v>
      </c>
      <c r="M134" t="s">
        <v>18</v>
      </c>
    </row>
    <row r="135" spans="1:13" x14ac:dyDescent="0.45">
      <c r="A135" t="s">
        <v>5</v>
      </c>
      <c r="B135" t="s">
        <v>144</v>
      </c>
      <c r="C135">
        <v>2045</v>
      </c>
      <c r="D135">
        <v>198</v>
      </c>
      <c r="E135">
        <v>0.44</v>
      </c>
      <c r="F135">
        <v>0.41</v>
      </c>
      <c r="G135">
        <v>0.1</v>
      </c>
      <c r="H135">
        <v>0.23</v>
      </c>
      <c r="I135">
        <v>0.6</v>
      </c>
      <c r="J135">
        <v>0.33</v>
      </c>
      <c r="K135">
        <v>0.54</v>
      </c>
      <c r="L135" t="s">
        <v>6</v>
      </c>
      <c r="M135" t="s">
        <v>18</v>
      </c>
    </row>
    <row r="136" spans="1:13" x14ac:dyDescent="0.45">
      <c r="A136" t="s">
        <v>5</v>
      </c>
      <c r="B136" t="s">
        <v>144</v>
      </c>
      <c r="C136">
        <v>2050</v>
      </c>
      <c r="D136">
        <v>221</v>
      </c>
      <c r="E136">
        <v>0.41</v>
      </c>
      <c r="F136">
        <v>0.38</v>
      </c>
      <c r="G136">
        <v>0.12</v>
      </c>
      <c r="H136">
        <v>0.16</v>
      </c>
      <c r="I136">
        <v>0.62</v>
      </c>
      <c r="J136">
        <v>0.31</v>
      </c>
      <c r="K136">
        <v>0.55000000000000004</v>
      </c>
      <c r="L136" t="s">
        <v>6</v>
      </c>
      <c r="M136" t="s">
        <v>18</v>
      </c>
    </row>
    <row r="137" spans="1:13" x14ac:dyDescent="0.45">
      <c r="A137" t="s">
        <v>7</v>
      </c>
      <c r="B137" t="s">
        <v>144</v>
      </c>
      <c r="C137">
        <v>2020</v>
      </c>
      <c r="D137">
        <v>79</v>
      </c>
      <c r="E137">
        <v>0.44</v>
      </c>
      <c r="F137">
        <v>0.45</v>
      </c>
      <c r="G137">
        <v>0.05</v>
      </c>
      <c r="H137">
        <v>0.37</v>
      </c>
      <c r="I137">
        <v>0.55000000000000004</v>
      </c>
      <c r="J137">
        <v>0.4</v>
      </c>
      <c r="K137">
        <v>0.49</v>
      </c>
      <c r="L137" t="s">
        <v>8</v>
      </c>
      <c r="M137" t="s">
        <v>18</v>
      </c>
    </row>
    <row r="138" spans="1:13" x14ac:dyDescent="0.45">
      <c r="A138" t="s">
        <v>7</v>
      </c>
      <c r="B138" t="s">
        <v>144</v>
      </c>
      <c r="C138">
        <v>2025</v>
      </c>
      <c r="D138">
        <v>73</v>
      </c>
      <c r="E138">
        <v>0.4</v>
      </c>
      <c r="F138">
        <v>0.44</v>
      </c>
      <c r="G138">
        <v>7.0000000000000007E-2</v>
      </c>
      <c r="H138">
        <v>0.23</v>
      </c>
      <c r="I138">
        <v>0.47</v>
      </c>
      <c r="J138">
        <v>0.35</v>
      </c>
      <c r="K138">
        <v>0.45</v>
      </c>
      <c r="L138" t="s">
        <v>8</v>
      </c>
      <c r="M138" t="s">
        <v>18</v>
      </c>
    </row>
    <row r="139" spans="1:13" x14ac:dyDescent="0.45">
      <c r="A139" t="s">
        <v>7</v>
      </c>
      <c r="B139" t="s">
        <v>144</v>
      </c>
      <c r="C139">
        <v>2030</v>
      </c>
      <c r="D139">
        <v>79</v>
      </c>
      <c r="E139">
        <v>0.37</v>
      </c>
      <c r="F139">
        <v>0.34</v>
      </c>
      <c r="G139">
        <v>0.06</v>
      </c>
      <c r="H139">
        <v>0.25</v>
      </c>
      <c r="I139">
        <v>0.47</v>
      </c>
      <c r="J139">
        <v>0.33</v>
      </c>
      <c r="K139">
        <v>0.43</v>
      </c>
      <c r="L139" t="s">
        <v>8</v>
      </c>
      <c r="M139" t="s">
        <v>18</v>
      </c>
    </row>
    <row r="140" spans="1:13" x14ac:dyDescent="0.45">
      <c r="A140" t="s">
        <v>7</v>
      </c>
      <c r="B140" t="s">
        <v>144</v>
      </c>
      <c r="C140">
        <v>2035</v>
      </c>
      <c r="D140">
        <v>73</v>
      </c>
      <c r="E140">
        <v>0.37</v>
      </c>
      <c r="F140">
        <v>0.35</v>
      </c>
      <c r="G140">
        <v>0.06</v>
      </c>
      <c r="H140">
        <v>0.28999999999999998</v>
      </c>
      <c r="I140">
        <v>0.46</v>
      </c>
      <c r="J140">
        <v>0.32</v>
      </c>
      <c r="K140">
        <v>0.42</v>
      </c>
      <c r="L140" t="s">
        <v>8</v>
      </c>
      <c r="M140" t="s">
        <v>18</v>
      </c>
    </row>
    <row r="141" spans="1:13" x14ac:dyDescent="0.45">
      <c r="A141" t="s">
        <v>7</v>
      </c>
      <c r="B141" t="s">
        <v>144</v>
      </c>
      <c r="C141">
        <v>2040</v>
      </c>
      <c r="D141">
        <v>79</v>
      </c>
      <c r="E141">
        <v>0.36</v>
      </c>
      <c r="F141">
        <v>0.33</v>
      </c>
      <c r="G141">
        <v>0.06</v>
      </c>
      <c r="H141">
        <v>0.26</v>
      </c>
      <c r="I141">
        <v>0.49</v>
      </c>
      <c r="J141">
        <v>0.31</v>
      </c>
      <c r="K141">
        <v>0.41</v>
      </c>
      <c r="L141" t="s">
        <v>8</v>
      </c>
      <c r="M141" t="s">
        <v>18</v>
      </c>
    </row>
    <row r="142" spans="1:13" x14ac:dyDescent="0.45">
      <c r="A142" t="s">
        <v>7</v>
      </c>
      <c r="B142" t="s">
        <v>144</v>
      </c>
      <c r="C142">
        <v>2045</v>
      </c>
      <c r="D142">
        <v>73</v>
      </c>
      <c r="E142">
        <v>0.37</v>
      </c>
      <c r="F142">
        <v>0.38</v>
      </c>
      <c r="G142">
        <v>0.05</v>
      </c>
      <c r="H142">
        <v>0.3</v>
      </c>
      <c r="I142">
        <v>0.48</v>
      </c>
      <c r="J142">
        <v>0.31</v>
      </c>
      <c r="K142">
        <v>0.41</v>
      </c>
      <c r="L142" t="s">
        <v>8</v>
      </c>
      <c r="M142" t="s">
        <v>18</v>
      </c>
    </row>
    <row r="143" spans="1:13" x14ac:dyDescent="0.45">
      <c r="A143" t="s">
        <v>7</v>
      </c>
      <c r="B143" t="s">
        <v>144</v>
      </c>
      <c r="C143">
        <v>2050</v>
      </c>
      <c r="D143">
        <v>79</v>
      </c>
      <c r="E143">
        <v>0.36</v>
      </c>
      <c r="F143">
        <v>0.36</v>
      </c>
      <c r="G143">
        <v>0.06</v>
      </c>
      <c r="H143">
        <v>0.21</v>
      </c>
      <c r="I143">
        <v>0.46</v>
      </c>
      <c r="J143">
        <v>0.31</v>
      </c>
      <c r="K143">
        <v>0.4</v>
      </c>
      <c r="L143" t="s">
        <v>8</v>
      </c>
      <c r="M143" t="s">
        <v>18</v>
      </c>
    </row>
    <row r="144" spans="1:13" x14ac:dyDescent="0.45">
      <c r="A144" t="s">
        <v>9</v>
      </c>
      <c r="B144" t="s">
        <v>144</v>
      </c>
      <c r="C144">
        <v>2020</v>
      </c>
      <c r="D144">
        <v>59</v>
      </c>
      <c r="E144">
        <v>0.49</v>
      </c>
      <c r="F144">
        <v>0.5</v>
      </c>
      <c r="G144">
        <v>0.06</v>
      </c>
      <c r="H144">
        <v>0.37</v>
      </c>
      <c r="I144">
        <v>0.59</v>
      </c>
      <c r="J144">
        <v>0.45</v>
      </c>
      <c r="K144">
        <v>0.51</v>
      </c>
      <c r="L144" t="s">
        <v>10</v>
      </c>
      <c r="M144" t="s">
        <v>18</v>
      </c>
    </row>
    <row r="145" spans="1:13" x14ac:dyDescent="0.45">
      <c r="A145" t="s">
        <v>9</v>
      </c>
      <c r="B145" t="s">
        <v>144</v>
      </c>
      <c r="C145">
        <v>2025</v>
      </c>
      <c r="D145">
        <v>54</v>
      </c>
      <c r="E145">
        <v>0.5</v>
      </c>
      <c r="F145">
        <v>0.52</v>
      </c>
      <c r="G145">
        <v>7.0000000000000007E-2</v>
      </c>
      <c r="H145">
        <v>0.36</v>
      </c>
      <c r="I145">
        <v>0.64</v>
      </c>
      <c r="J145">
        <v>0.44</v>
      </c>
      <c r="K145">
        <v>0.54</v>
      </c>
      <c r="L145" t="s">
        <v>10</v>
      </c>
      <c r="M145" t="s">
        <v>18</v>
      </c>
    </row>
    <row r="146" spans="1:13" x14ac:dyDescent="0.45">
      <c r="A146" t="s">
        <v>9</v>
      </c>
      <c r="B146" t="s">
        <v>144</v>
      </c>
      <c r="C146">
        <v>2030</v>
      </c>
      <c r="D146">
        <v>59</v>
      </c>
      <c r="E146">
        <v>0.48</v>
      </c>
      <c r="F146">
        <v>0.49</v>
      </c>
      <c r="G146">
        <v>0.1</v>
      </c>
      <c r="H146">
        <v>0.28000000000000003</v>
      </c>
      <c r="I146">
        <v>0.68</v>
      </c>
      <c r="J146">
        <v>0.42</v>
      </c>
      <c r="K146">
        <v>0.56999999999999995</v>
      </c>
      <c r="L146" t="s">
        <v>10</v>
      </c>
      <c r="M146" t="s">
        <v>18</v>
      </c>
    </row>
    <row r="147" spans="1:13" x14ac:dyDescent="0.45">
      <c r="A147" t="s">
        <v>9</v>
      </c>
      <c r="B147" t="s">
        <v>144</v>
      </c>
      <c r="C147">
        <v>2035</v>
      </c>
      <c r="D147">
        <v>54</v>
      </c>
      <c r="E147">
        <v>0.49</v>
      </c>
      <c r="F147">
        <v>0.52</v>
      </c>
      <c r="G147">
        <v>0.08</v>
      </c>
      <c r="H147">
        <v>0.33</v>
      </c>
      <c r="I147">
        <v>0.65</v>
      </c>
      <c r="J147">
        <v>0.42</v>
      </c>
      <c r="K147">
        <v>0.55000000000000004</v>
      </c>
      <c r="L147" t="s">
        <v>10</v>
      </c>
      <c r="M147" t="s">
        <v>18</v>
      </c>
    </row>
    <row r="148" spans="1:13" x14ac:dyDescent="0.45">
      <c r="A148" t="s">
        <v>9</v>
      </c>
      <c r="B148" t="s">
        <v>144</v>
      </c>
      <c r="C148">
        <v>2040</v>
      </c>
      <c r="D148">
        <v>59</v>
      </c>
      <c r="E148">
        <v>0.46</v>
      </c>
      <c r="F148">
        <v>0.5</v>
      </c>
      <c r="G148">
        <v>0.1</v>
      </c>
      <c r="H148">
        <v>0.25</v>
      </c>
      <c r="I148">
        <v>0.63</v>
      </c>
      <c r="J148">
        <v>0.4</v>
      </c>
      <c r="K148">
        <v>0.54</v>
      </c>
      <c r="L148" t="s">
        <v>10</v>
      </c>
      <c r="M148" t="s">
        <v>18</v>
      </c>
    </row>
    <row r="149" spans="1:13" x14ac:dyDescent="0.45">
      <c r="A149" t="s">
        <v>9</v>
      </c>
      <c r="B149" t="s">
        <v>144</v>
      </c>
      <c r="C149">
        <v>2045</v>
      </c>
      <c r="D149">
        <v>54</v>
      </c>
      <c r="E149">
        <v>0.47</v>
      </c>
      <c r="F149">
        <v>0.5</v>
      </c>
      <c r="G149">
        <v>7.0000000000000007E-2</v>
      </c>
      <c r="H149">
        <v>0.32</v>
      </c>
      <c r="I149">
        <v>0.6</v>
      </c>
      <c r="J149">
        <v>0.41</v>
      </c>
      <c r="K149">
        <v>0.53</v>
      </c>
      <c r="L149" t="s">
        <v>10</v>
      </c>
      <c r="M149" t="s">
        <v>18</v>
      </c>
    </row>
    <row r="150" spans="1:13" x14ac:dyDescent="0.45">
      <c r="A150" t="s">
        <v>9</v>
      </c>
      <c r="B150" t="s">
        <v>144</v>
      </c>
      <c r="C150">
        <v>2050</v>
      </c>
      <c r="D150">
        <v>59</v>
      </c>
      <c r="E150">
        <v>0.44</v>
      </c>
      <c r="F150">
        <v>0.48</v>
      </c>
      <c r="G150">
        <v>0.1</v>
      </c>
      <c r="H150">
        <v>0.2</v>
      </c>
      <c r="I150">
        <v>0.59</v>
      </c>
      <c r="J150">
        <v>0.38</v>
      </c>
      <c r="K150">
        <v>0.52</v>
      </c>
      <c r="L150" t="s">
        <v>10</v>
      </c>
      <c r="M150" t="s">
        <v>18</v>
      </c>
    </row>
    <row r="151" spans="1:13" x14ac:dyDescent="0.45">
      <c r="A151" t="s">
        <v>0</v>
      </c>
      <c r="B151" t="s">
        <v>144</v>
      </c>
      <c r="C151">
        <v>2020</v>
      </c>
      <c r="D151">
        <v>62</v>
      </c>
      <c r="E151">
        <v>0.5</v>
      </c>
      <c r="F151">
        <v>0.49</v>
      </c>
      <c r="G151">
        <v>0.03</v>
      </c>
      <c r="H151">
        <v>0.42</v>
      </c>
      <c r="I151">
        <v>0.6</v>
      </c>
      <c r="J151">
        <v>0.49</v>
      </c>
      <c r="K151">
        <v>0.53</v>
      </c>
      <c r="L151" t="s">
        <v>1</v>
      </c>
      <c r="M151" t="s">
        <v>21</v>
      </c>
    </row>
    <row r="152" spans="1:13" x14ac:dyDescent="0.45">
      <c r="A152" t="s">
        <v>0</v>
      </c>
      <c r="B152" t="s">
        <v>144</v>
      </c>
      <c r="C152">
        <v>2025</v>
      </c>
      <c r="D152">
        <v>62</v>
      </c>
      <c r="E152">
        <v>0.5</v>
      </c>
      <c r="F152">
        <v>0.5</v>
      </c>
      <c r="G152">
        <v>0.06</v>
      </c>
      <c r="H152">
        <v>0.4</v>
      </c>
      <c r="I152">
        <v>0.64</v>
      </c>
      <c r="J152">
        <v>0.45</v>
      </c>
      <c r="K152">
        <v>0.54</v>
      </c>
      <c r="L152" t="s">
        <v>1</v>
      </c>
      <c r="M152" t="s">
        <v>21</v>
      </c>
    </row>
    <row r="153" spans="1:13" x14ac:dyDescent="0.45">
      <c r="A153" t="s">
        <v>0</v>
      </c>
      <c r="B153" t="s">
        <v>144</v>
      </c>
      <c r="C153">
        <v>2030</v>
      </c>
      <c r="D153">
        <v>62</v>
      </c>
      <c r="E153">
        <v>0.49</v>
      </c>
      <c r="F153">
        <v>0.47</v>
      </c>
      <c r="G153">
        <v>0.08</v>
      </c>
      <c r="H153">
        <v>0.38</v>
      </c>
      <c r="I153">
        <v>0.66</v>
      </c>
      <c r="J153">
        <v>0.42</v>
      </c>
      <c r="K153">
        <v>0.54</v>
      </c>
      <c r="L153" t="s">
        <v>1</v>
      </c>
      <c r="M153" t="s">
        <v>21</v>
      </c>
    </row>
    <row r="154" spans="1:13" x14ac:dyDescent="0.45">
      <c r="A154" t="s">
        <v>0</v>
      </c>
      <c r="B154" t="s">
        <v>144</v>
      </c>
      <c r="C154">
        <v>2035</v>
      </c>
      <c r="D154">
        <v>62</v>
      </c>
      <c r="E154">
        <v>0.48</v>
      </c>
      <c r="F154">
        <v>0.46</v>
      </c>
      <c r="G154">
        <v>0.08</v>
      </c>
      <c r="H154">
        <v>0.35</v>
      </c>
      <c r="I154">
        <v>0.7</v>
      </c>
      <c r="J154">
        <v>0.42</v>
      </c>
      <c r="K154">
        <v>0.54</v>
      </c>
      <c r="L154" t="s">
        <v>1</v>
      </c>
      <c r="M154" t="s">
        <v>21</v>
      </c>
    </row>
    <row r="155" spans="1:13" x14ac:dyDescent="0.45">
      <c r="A155" t="s">
        <v>0</v>
      </c>
      <c r="B155" t="s">
        <v>144</v>
      </c>
      <c r="C155">
        <v>2040</v>
      </c>
      <c r="D155">
        <v>62</v>
      </c>
      <c r="E155">
        <v>0.47</v>
      </c>
      <c r="F155">
        <v>0.43</v>
      </c>
      <c r="G155">
        <v>0.09</v>
      </c>
      <c r="H155">
        <v>0.34</v>
      </c>
      <c r="I155">
        <v>0.72</v>
      </c>
      <c r="J155">
        <v>0.41</v>
      </c>
      <c r="K155">
        <v>0.53</v>
      </c>
      <c r="L155" t="s">
        <v>1</v>
      </c>
      <c r="M155" t="s">
        <v>21</v>
      </c>
    </row>
    <row r="156" spans="1:13" x14ac:dyDescent="0.45">
      <c r="A156" t="s">
        <v>0</v>
      </c>
      <c r="B156" t="s">
        <v>144</v>
      </c>
      <c r="C156">
        <v>2045</v>
      </c>
      <c r="D156">
        <v>62</v>
      </c>
      <c r="E156">
        <v>0.45</v>
      </c>
      <c r="F156">
        <v>0.4</v>
      </c>
      <c r="G156">
        <v>0.1</v>
      </c>
      <c r="H156">
        <v>0.3</v>
      </c>
      <c r="I156">
        <v>0.71</v>
      </c>
      <c r="J156">
        <v>0.38</v>
      </c>
      <c r="K156">
        <v>0.5</v>
      </c>
      <c r="L156" t="s">
        <v>1</v>
      </c>
      <c r="M156" t="s">
        <v>21</v>
      </c>
    </row>
    <row r="157" spans="1:13" x14ac:dyDescent="0.45">
      <c r="A157" t="s">
        <v>0</v>
      </c>
      <c r="B157" t="s">
        <v>144</v>
      </c>
      <c r="C157">
        <v>2050</v>
      </c>
      <c r="D157">
        <v>62</v>
      </c>
      <c r="E157">
        <v>0.44</v>
      </c>
      <c r="F157">
        <v>0.38</v>
      </c>
      <c r="G157">
        <v>0.11</v>
      </c>
      <c r="H157">
        <v>0.28999999999999998</v>
      </c>
      <c r="I157">
        <v>0.69</v>
      </c>
      <c r="J157">
        <v>0.37</v>
      </c>
      <c r="K157">
        <v>0.48</v>
      </c>
      <c r="L157" t="s">
        <v>1</v>
      </c>
      <c r="M157" t="s">
        <v>21</v>
      </c>
    </row>
    <row r="158" spans="1:13" x14ac:dyDescent="0.45">
      <c r="A158" t="s">
        <v>2</v>
      </c>
      <c r="B158" t="s">
        <v>144</v>
      </c>
      <c r="C158">
        <v>2020</v>
      </c>
      <c r="D158">
        <v>87</v>
      </c>
      <c r="E158">
        <v>0.51</v>
      </c>
      <c r="F158">
        <v>0.5</v>
      </c>
      <c r="G158">
        <v>0.05</v>
      </c>
      <c r="H158">
        <v>0.42</v>
      </c>
      <c r="I158">
        <v>0.6</v>
      </c>
      <c r="J158">
        <v>0.47</v>
      </c>
      <c r="K158">
        <v>0.55000000000000004</v>
      </c>
      <c r="L158" t="s">
        <v>3</v>
      </c>
      <c r="M158" t="s">
        <v>21</v>
      </c>
    </row>
    <row r="159" spans="1:13" x14ac:dyDescent="0.45">
      <c r="A159" t="s">
        <v>2</v>
      </c>
      <c r="B159" t="s">
        <v>144</v>
      </c>
      <c r="C159">
        <v>2025</v>
      </c>
      <c r="D159">
        <v>76</v>
      </c>
      <c r="E159">
        <v>0.49</v>
      </c>
      <c r="F159">
        <v>0.5</v>
      </c>
      <c r="G159">
        <v>0.06</v>
      </c>
      <c r="H159">
        <v>0.32</v>
      </c>
      <c r="I159">
        <v>0.65</v>
      </c>
      <c r="J159">
        <v>0.45</v>
      </c>
      <c r="K159">
        <v>0.52</v>
      </c>
      <c r="L159" t="s">
        <v>3</v>
      </c>
      <c r="M159" t="s">
        <v>21</v>
      </c>
    </row>
    <row r="160" spans="1:13" x14ac:dyDescent="0.45">
      <c r="A160" t="s">
        <v>2</v>
      </c>
      <c r="B160" t="s">
        <v>144</v>
      </c>
      <c r="C160">
        <v>2030</v>
      </c>
      <c r="D160">
        <v>87</v>
      </c>
      <c r="E160">
        <v>0.5</v>
      </c>
      <c r="F160">
        <v>0.52</v>
      </c>
      <c r="G160">
        <v>7.0000000000000007E-2</v>
      </c>
      <c r="H160">
        <v>0.26</v>
      </c>
      <c r="I160">
        <v>0.63</v>
      </c>
      <c r="J160">
        <v>0.43</v>
      </c>
      <c r="K160">
        <v>0.55000000000000004</v>
      </c>
      <c r="L160" t="s">
        <v>3</v>
      </c>
      <c r="M160" t="s">
        <v>21</v>
      </c>
    </row>
    <row r="161" spans="1:13" x14ac:dyDescent="0.45">
      <c r="A161" t="s">
        <v>2</v>
      </c>
      <c r="B161" t="s">
        <v>144</v>
      </c>
      <c r="C161">
        <v>2035</v>
      </c>
      <c r="D161">
        <v>76</v>
      </c>
      <c r="E161">
        <v>0.49</v>
      </c>
      <c r="F161">
        <v>0.49</v>
      </c>
      <c r="G161">
        <v>7.0000000000000007E-2</v>
      </c>
      <c r="H161">
        <v>0.28999999999999998</v>
      </c>
      <c r="I161">
        <v>0.63</v>
      </c>
      <c r="J161">
        <v>0.43</v>
      </c>
      <c r="K161">
        <v>0.54</v>
      </c>
      <c r="L161" t="s">
        <v>3</v>
      </c>
      <c r="M161" t="s">
        <v>21</v>
      </c>
    </row>
    <row r="162" spans="1:13" x14ac:dyDescent="0.45">
      <c r="A162" t="s">
        <v>2</v>
      </c>
      <c r="B162" t="s">
        <v>144</v>
      </c>
      <c r="C162">
        <v>2040</v>
      </c>
      <c r="D162">
        <v>87</v>
      </c>
      <c r="E162">
        <v>0.48</v>
      </c>
      <c r="F162">
        <v>0.48</v>
      </c>
      <c r="G162">
        <v>0.06</v>
      </c>
      <c r="H162">
        <v>0.3</v>
      </c>
      <c r="I162">
        <v>0.66</v>
      </c>
      <c r="J162">
        <v>0.45</v>
      </c>
      <c r="K162">
        <v>0.52</v>
      </c>
      <c r="L162" t="s">
        <v>3</v>
      </c>
      <c r="M162" t="s">
        <v>21</v>
      </c>
    </row>
    <row r="163" spans="1:13" x14ac:dyDescent="0.45">
      <c r="A163" t="s">
        <v>2</v>
      </c>
      <c r="B163" t="s">
        <v>144</v>
      </c>
      <c r="C163">
        <v>2045</v>
      </c>
      <c r="D163">
        <v>76</v>
      </c>
      <c r="E163">
        <v>0.46</v>
      </c>
      <c r="F163">
        <v>0.48</v>
      </c>
      <c r="G163">
        <v>0.06</v>
      </c>
      <c r="H163">
        <v>0.28999999999999998</v>
      </c>
      <c r="I163">
        <v>0.66</v>
      </c>
      <c r="J163">
        <v>0.42</v>
      </c>
      <c r="K163">
        <v>0.5</v>
      </c>
      <c r="L163" t="s">
        <v>3</v>
      </c>
      <c r="M163" t="s">
        <v>21</v>
      </c>
    </row>
    <row r="164" spans="1:13" x14ac:dyDescent="0.45">
      <c r="A164" t="s">
        <v>2</v>
      </c>
      <c r="B164" t="s">
        <v>144</v>
      </c>
      <c r="C164">
        <v>2050</v>
      </c>
      <c r="D164">
        <v>87</v>
      </c>
      <c r="E164">
        <v>0.45</v>
      </c>
      <c r="F164">
        <v>0.46</v>
      </c>
      <c r="G164">
        <v>7.0000000000000007E-2</v>
      </c>
      <c r="H164">
        <v>0.28000000000000003</v>
      </c>
      <c r="I164">
        <v>0.68</v>
      </c>
      <c r="J164">
        <v>0.39</v>
      </c>
      <c r="K164">
        <v>0.48</v>
      </c>
      <c r="L164" t="s">
        <v>3</v>
      </c>
      <c r="M164" t="s">
        <v>21</v>
      </c>
    </row>
    <row r="165" spans="1:13" x14ac:dyDescent="0.45">
      <c r="A165" t="s">
        <v>5</v>
      </c>
      <c r="B165" t="s">
        <v>144</v>
      </c>
      <c r="C165">
        <v>2020</v>
      </c>
      <c r="D165">
        <v>220</v>
      </c>
      <c r="E165">
        <v>0.51</v>
      </c>
      <c r="F165">
        <v>0.49</v>
      </c>
      <c r="G165">
        <v>0.05</v>
      </c>
      <c r="H165">
        <v>0.43</v>
      </c>
      <c r="I165">
        <v>0.6</v>
      </c>
      <c r="J165">
        <v>0.48</v>
      </c>
      <c r="K165">
        <v>0.55000000000000004</v>
      </c>
      <c r="L165" t="s">
        <v>6</v>
      </c>
      <c r="M165" t="s">
        <v>21</v>
      </c>
    </row>
    <row r="166" spans="1:13" x14ac:dyDescent="0.45">
      <c r="A166" t="s">
        <v>5</v>
      </c>
      <c r="B166" t="s">
        <v>144</v>
      </c>
      <c r="C166">
        <v>2025</v>
      </c>
      <c r="D166">
        <v>197</v>
      </c>
      <c r="E166">
        <v>0.51</v>
      </c>
      <c r="F166">
        <v>0.52</v>
      </c>
      <c r="G166">
        <v>0.06</v>
      </c>
      <c r="H166">
        <v>0.35</v>
      </c>
      <c r="I166">
        <v>0.66</v>
      </c>
      <c r="J166">
        <v>0.45</v>
      </c>
      <c r="K166">
        <v>0.54</v>
      </c>
      <c r="L166" t="s">
        <v>6</v>
      </c>
      <c r="M166" t="s">
        <v>21</v>
      </c>
    </row>
    <row r="167" spans="1:13" x14ac:dyDescent="0.45">
      <c r="A167" t="s">
        <v>5</v>
      </c>
      <c r="B167" t="s">
        <v>144</v>
      </c>
      <c r="C167">
        <v>2030</v>
      </c>
      <c r="D167">
        <v>220</v>
      </c>
      <c r="E167">
        <v>0.52</v>
      </c>
      <c r="F167">
        <v>0.54</v>
      </c>
      <c r="G167">
        <v>0.09</v>
      </c>
      <c r="H167">
        <v>0.37</v>
      </c>
      <c r="I167">
        <v>0.74</v>
      </c>
      <c r="J167">
        <v>0.42</v>
      </c>
      <c r="K167">
        <v>0.57999999999999996</v>
      </c>
      <c r="L167" t="s">
        <v>6</v>
      </c>
      <c r="M167" t="s">
        <v>21</v>
      </c>
    </row>
    <row r="168" spans="1:13" x14ac:dyDescent="0.45">
      <c r="A168" t="s">
        <v>5</v>
      </c>
      <c r="B168" t="s">
        <v>144</v>
      </c>
      <c r="C168">
        <v>2035</v>
      </c>
      <c r="D168">
        <v>197</v>
      </c>
      <c r="E168">
        <v>0.52</v>
      </c>
      <c r="F168">
        <v>0.51</v>
      </c>
      <c r="G168">
        <v>0.08</v>
      </c>
      <c r="H168">
        <v>0.39</v>
      </c>
      <c r="I168">
        <v>0.73</v>
      </c>
      <c r="J168">
        <v>0.44</v>
      </c>
      <c r="K168">
        <v>0.59</v>
      </c>
      <c r="L168" t="s">
        <v>6</v>
      </c>
      <c r="M168" t="s">
        <v>21</v>
      </c>
    </row>
    <row r="169" spans="1:13" x14ac:dyDescent="0.45">
      <c r="A169" t="s">
        <v>5</v>
      </c>
      <c r="B169" t="s">
        <v>144</v>
      </c>
      <c r="C169">
        <v>2040</v>
      </c>
      <c r="D169">
        <v>220</v>
      </c>
      <c r="E169">
        <v>0.53</v>
      </c>
      <c r="F169">
        <v>0.51</v>
      </c>
      <c r="G169">
        <v>0.1</v>
      </c>
      <c r="H169">
        <v>0.38</v>
      </c>
      <c r="I169">
        <v>0.73</v>
      </c>
      <c r="J169">
        <v>0.44</v>
      </c>
      <c r="K169">
        <v>0.6</v>
      </c>
      <c r="L169" t="s">
        <v>6</v>
      </c>
      <c r="M169" t="s">
        <v>21</v>
      </c>
    </row>
    <row r="170" spans="1:13" x14ac:dyDescent="0.45">
      <c r="A170" t="s">
        <v>5</v>
      </c>
      <c r="B170" t="s">
        <v>144</v>
      </c>
      <c r="C170">
        <v>2045</v>
      </c>
      <c r="D170">
        <v>197</v>
      </c>
      <c r="E170">
        <v>0.49</v>
      </c>
      <c r="F170">
        <v>0.48</v>
      </c>
      <c r="G170">
        <v>0.09</v>
      </c>
      <c r="H170">
        <v>0.33</v>
      </c>
      <c r="I170">
        <v>0.72</v>
      </c>
      <c r="J170">
        <v>0.42</v>
      </c>
      <c r="K170">
        <v>0.56999999999999995</v>
      </c>
      <c r="L170" t="s">
        <v>6</v>
      </c>
      <c r="M170" t="s">
        <v>21</v>
      </c>
    </row>
    <row r="171" spans="1:13" x14ac:dyDescent="0.45">
      <c r="A171" t="s">
        <v>5</v>
      </c>
      <c r="B171" t="s">
        <v>144</v>
      </c>
      <c r="C171">
        <v>2050</v>
      </c>
      <c r="D171">
        <v>220</v>
      </c>
      <c r="E171">
        <v>0.51</v>
      </c>
      <c r="F171">
        <v>0.47</v>
      </c>
      <c r="G171">
        <v>0.12</v>
      </c>
      <c r="H171">
        <v>0.32</v>
      </c>
      <c r="I171">
        <v>0.82</v>
      </c>
      <c r="J171">
        <v>0.4</v>
      </c>
      <c r="K171">
        <v>0.57999999999999996</v>
      </c>
      <c r="L171" t="s">
        <v>6</v>
      </c>
      <c r="M171" t="s">
        <v>21</v>
      </c>
    </row>
    <row r="172" spans="1:13" x14ac:dyDescent="0.45">
      <c r="A172" t="s">
        <v>7</v>
      </c>
      <c r="B172" t="s">
        <v>144</v>
      </c>
      <c r="C172">
        <v>2020</v>
      </c>
      <c r="D172">
        <v>79</v>
      </c>
      <c r="E172">
        <v>0.53</v>
      </c>
      <c r="F172">
        <v>0.54</v>
      </c>
      <c r="G172">
        <v>0.06</v>
      </c>
      <c r="H172">
        <v>0.43</v>
      </c>
      <c r="I172">
        <v>0.6</v>
      </c>
      <c r="J172">
        <v>0.47</v>
      </c>
      <c r="K172">
        <v>0.59</v>
      </c>
      <c r="L172" t="s">
        <v>8</v>
      </c>
      <c r="M172" t="s">
        <v>21</v>
      </c>
    </row>
    <row r="173" spans="1:13" x14ac:dyDescent="0.45">
      <c r="A173" t="s">
        <v>7</v>
      </c>
      <c r="B173" t="s">
        <v>144</v>
      </c>
      <c r="C173">
        <v>2025</v>
      </c>
      <c r="D173">
        <v>73</v>
      </c>
      <c r="E173">
        <v>0.55000000000000004</v>
      </c>
      <c r="F173">
        <v>0.54</v>
      </c>
      <c r="G173">
        <v>0.06</v>
      </c>
      <c r="H173">
        <v>0.35</v>
      </c>
      <c r="I173">
        <v>0.63</v>
      </c>
      <c r="J173">
        <v>0.52</v>
      </c>
      <c r="K173">
        <v>0.59</v>
      </c>
      <c r="L173" t="s">
        <v>8</v>
      </c>
      <c r="M173" t="s">
        <v>21</v>
      </c>
    </row>
    <row r="174" spans="1:13" x14ac:dyDescent="0.45">
      <c r="A174" t="s">
        <v>7</v>
      </c>
      <c r="B174" t="s">
        <v>144</v>
      </c>
      <c r="C174">
        <v>2030</v>
      </c>
      <c r="D174">
        <v>79</v>
      </c>
      <c r="E174">
        <v>0.57999999999999996</v>
      </c>
      <c r="F174">
        <v>0.56999999999999995</v>
      </c>
      <c r="G174">
        <v>0.06</v>
      </c>
      <c r="H174">
        <v>0.37</v>
      </c>
      <c r="I174">
        <v>0.69</v>
      </c>
      <c r="J174">
        <v>0.54</v>
      </c>
      <c r="K174">
        <v>0.63</v>
      </c>
      <c r="L174" t="s">
        <v>8</v>
      </c>
      <c r="M174" t="s">
        <v>21</v>
      </c>
    </row>
    <row r="175" spans="1:13" x14ac:dyDescent="0.45">
      <c r="A175" t="s">
        <v>7</v>
      </c>
      <c r="B175" t="s">
        <v>144</v>
      </c>
      <c r="C175">
        <v>2035</v>
      </c>
      <c r="D175">
        <v>73</v>
      </c>
      <c r="E175">
        <v>0.57999999999999996</v>
      </c>
      <c r="F175">
        <v>0.61</v>
      </c>
      <c r="G175">
        <v>0.05</v>
      </c>
      <c r="H175">
        <v>0.5</v>
      </c>
      <c r="I175">
        <v>0.65</v>
      </c>
      <c r="J175">
        <v>0.53</v>
      </c>
      <c r="K175">
        <v>0.63</v>
      </c>
      <c r="L175" t="s">
        <v>8</v>
      </c>
      <c r="M175" t="s">
        <v>21</v>
      </c>
    </row>
    <row r="176" spans="1:13" x14ac:dyDescent="0.45">
      <c r="A176" t="s">
        <v>7</v>
      </c>
      <c r="B176" t="s">
        <v>144</v>
      </c>
      <c r="C176">
        <v>2040</v>
      </c>
      <c r="D176">
        <v>79</v>
      </c>
      <c r="E176">
        <v>0.57999999999999996</v>
      </c>
      <c r="F176">
        <v>0.61</v>
      </c>
      <c r="G176">
        <v>7.0000000000000007E-2</v>
      </c>
      <c r="H176">
        <v>0.44</v>
      </c>
      <c r="I176">
        <v>0.72</v>
      </c>
      <c r="J176">
        <v>0.52</v>
      </c>
      <c r="K176">
        <v>0.63</v>
      </c>
      <c r="L176" t="s">
        <v>8</v>
      </c>
      <c r="M176" t="s">
        <v>21</v>
      </c>
    </row>
    <row r="177" spans="1:13" x14ac:dyDescent="0.45">
      <c r="A177" t="s">
        <v>7</v>
      </c>
      <c r="B177" t="s">
        <v>144</v>
      </c>
      <c r="C177">
        <v>2045</v>
      </c>
      <c r="D177">
        <v>73</v>
      </c>
      <c r="E177">
        <v>0.55000000000000004</v>
      </c>
      <c r="F177">
        <v>0.54</v>
      </c>
      <c r="G177">
        <v>0.06</v>
      </c>
      <c r="H177">
        <v>0.44</v>
      </c>
      <c r="I177">
        <v>0.64</v>
      </c>
      <c r="J177">
        <v>0.5</v>
      </c>
      <c r="K177">
        <v>0.61</v>
      </c>
      <c r="L177" t="s">
        <v>8</v>
      </c>
      <c r="M177" t="s">
        <v>21</v>
      </c>
    </row>
    <row r="178" spans="1:13" x14ac:dyDescent="0.45">
      <c r="A178" t="s">
        <v>7</v>
      </c>
      <c r="B178" t="s">
        <v>144</v>
      </c>
      <c r="C178">
        <v>2050</v>
      </c>
      <c r="D178">
        <v>79</v>
      </c>
      <c r="E178">
        <v>0.55000000000000004</v>
      </c>
      <c r="F178">
        <v>0.53</v>
      </c>
      <c r="G178">
        <v>0.09</v>
      </c>
      <c r="H178">
        <v>0.42</v>
      </c>
      <c r="I178">
        <v>0.76</v>
      </c>
      <c r="J178">
        <v>0.48</v>
      </c>
      <c r="K178">
        <v>0.62</v>
      </c>
      <c r="L178" t="s">
        <v>8</v>
      </c>
      <c r="M178" t="s">
        <v>21</v>
      </c>
    </row>
    <row r="179" spans="1:13" x14ac:dyDescent="0.45">
      <c r="A179" t="s">
        <v>9</v>
      </c>
      <c r="B179" t="s">
        <v>144</v>
      </c>
      <c r="C179">
        <v>2020</v>
      </c>
      <c r="D179">
        <v>55</v>
      </c>
      <c r="E179">
        <v>0.5</v>
      </c>
      <c r="F179">
        <v>0.49</v>
      </c>
      <c r="G179">
        <v>0.06</v>
      </c>
      <c r="H179">
        <v>0.34</v>
      </c>
      <c r="I179">
        <v>0.6</v>
      </c>
      <c r="J179">
        <v>0.46</v>
      </c>
      <c r="K179">
        <v>0.54</v>
      </c>
      <c r="L179" t="s">
        <v>10</v>
      </c>
      <c r="M179" t="s">
        <v>21</v>
      </c>
    </row>
    <row r="180" spans="1:13" x14ac:dyDescent="0.45">
      <c r="A180" t="s">
        <v>9</v>
      </c>
      <c r="B180" t="s">
        <v>144</v>
      </c>
      <c r="C180">
        <v>2025</v>
      </c>
      <c r="D180">
        <v>50</v>
      </c>
      <c r="E180">
        <v>0.49</v>
      </c>
      <c r="F180">
        <v>0.46</v>
      </c>
      <c r="G180">
        <v>7.0000000000000007E-2</v>
      </c>
      <c r="H180">
        <v>0.35</v>
      </c>
      <c r="I180">
        <v>0.62</v>
      </c>
      <c r="J180">
        <v>0.45</v>
      </c>
      <c r="K180">
        <v>0.55000000000000004</v>
      </c>
      <c r="L180" t="s">
        <v>10</v>
      </c>
      <c r="M180" t="s">
        <v>21</v>
      </c>
    </row>
    <row r="181" spans="1:13" x14ac:dyDescent="0.45">
      <c r="A181" t="s">
        <v>9</v>
      </c>
      <c r="B181" t="s">
        <v>144</v>
      </c>
      <c r="C181">
        <v>2030</v>
      </c>
      <c r="D181">
        <v>55</v>
      </c>
      <c r="E181">
        <v>0.5</v>
      </c>
      <c r="F181">
        <v>0.47</v>
      </c>
      <c r="G181">
        <v>0.1</v>
      </c>
      <c r="H181">
        <v>0.3</v>
      </c>
      <c r="I181">
        <v>0.75</v>
      </c>
      <c r="J181">
        <v>0.42</v>
      </c>
      <c r="K181">
        <v>0.56000000000000005</v>
      </c>
      <c r="L181" t="s">
        <v>10</v>
      </c>
      <c r="M181" t="s">
        <v>21</v>
      </c>
    </row>
    <row r="182" spans="1:13" x14ac:dyDescent="0.45">
      <c r="A182" t="s">
        <v>9</v>
      </c>
      <c r="B182" t="s">
        <v>144</v>
      </c>
      <c r="C182">
        <v>2035</v>
      </c>
      <c r="D182">
        <v>50</v>
      </c>
      <c r="E182">
        <v>0.49</v>
      </c>
      <c r="F182">
        <v>0.46</v>
      </c>
      <c r="G182">
        <v>0.08</v>
      </c>
      <c r="H182">
        <v>0.32</v>
      </c>
      <c r="I182">
        <v>0.63</v>
      </c>
      <c r="J182">
        <v>0.43</v>
      </c>
      <c r="K182">
        <v>0.55000000000000004</v>
      </c>
      <c r="L182" t="s">
        <v>10</v>
      </c>
      <c r="M182" t="s">
        <v>21</v>
      </c>
    </row>
    <row r="183" spans="1:13" x14ac:dyDescent="0.45">
      <c r="A183" t="s">
        <v>9</v>
      </c>
      <c r="B183" t="s">
        <v>144</v>
      </c>
      <c r="C183">
        <v>2040</v>
      </c>
      <c r="D183">
        <v>55</v>
      </c>
      <c r="E183">
        <v>0.51</v>
      </c>
      <c r="F183">
        <v>0.47</v>
      </c>
      <c r="G183">
        <v>0.1</v>
      </c>
      <c r="H183">
        <v>0.33</v>
      </c>
      <c r="I183">
        <v>0.73</v>
      </c>
      <c r="J183">
        <v>0.43</v>
      </c>
      <c r="K183">
        <v>0.56999999999999995</v>
      </c>
      <c r="L183" t="s">
        <v>10</v>
      </c>
      <c r="M183" t="s">
        <v>21</v>
      </c>
    </row>
    <row r="184" spans="1:13" x14ac:dyDescent="0.45">
      <c r="A184" t="s">
        <v>9</v>
      </c>
      <c r="B184" t="s">
        <v>144</v>
      </c>
      <c r="C184">
        <v>2045</v>
      </c>
      <c r="D184">
        <v>50</v>
      </c>
      <c r="E184">
        <v>0.49</v>
      </c>
      <c r="F184">
        <v>0.48</v>
      </c>
      <c r="G184">
        <v>7.0000000000000007E-2</v>
      </c>
      <c r="H184">
        <v>0.34</v>
      </c>
      <c r="I184">
        <v>0.64</v>
      </c>
      <c r="J184">
        <v>0.43</v>
      </c>
      <c r="K184">
        <v>0.53</v>
      </c>
      <c r="L184" t="s">
        <v>10</v>
      </c>
      <c r="M184" t="s">
        <v>21</v>
      </c>
    </row>
    <row r="185" spans="1:13" x14ac:dyDescent="0.45">
      <c r="A185" t="s">
        <v>9</v>
      </c>
      <c r="B185" t="s">
        <v>144</v>
      </c>
      <c r="C185">
        <v>2050</v>
      </c>
      <c r="D185">
        <v>55</v>
      </c>
      <c r="E185">
        <v>0.51</v>
      </c>
      <c r="F185">
        <v>0.49</v>
      </c>
      <c r="G185">
        <v>0.11</v>
      </c>
      <c r="H185">
        <v>0.35</v>
      </c>
      <c r="I185">
        <v>0.78</v>
      </c>
      <c r="J185">
        <v>0.43</v>
      </c>
      <c r="K185">
        <v>0.56000000000000005</v>
      </c>
      <c r="L185" t="s">
        <v>10</v>
      </c>
      <c r="M185" t="s">
        <v>21</v>
      </c>
    </row>
    <row r="186" spans="1:13" x14ac:dyDescent="0.45">
      <c r="A186" t="s">
        <v>0</v>
      </c>
      <c r="B186" t="s">
        <v>144</v>
      </c>
      <c r="C186">
        <v>2020</v>
      </c>
      <c r="D186">
        <v>62</v>
      </c>
      <c r="E186">
        <v>0.01</v>
      </c>
      <c r="F186">
        <v>0.01</v>
      </c>
      <c r="G186">
        <v>0</v>
      </c>
      <c r="H186">
        <v>0</v>
      </c>
      <c r="I186">
        <v>0.02</v>
      </c>
      <c r="J186">
        <v>0.01</v>
      </c>
      <c r="K186">
        <v>0.01</v>
      </c>
      <c r="L186" t="s">
        <v>1</v>
      </c>
      <c r="M186" t="s">
        <v>23</v>
      </c>
    </row>
    <row r="187" spans="1:13" x14ac:dyDescent="0.45">
      <c r="A187" t="s">
        <v>0</v>
      </c>
      <c r="B187" t="s">
        <v>144</v>
      </c>
      <c r="C187">
        <v>2025</v>
      </c>
      <c r="D187">
        <v>62</v>
      </c>
      <c r="E187">
        <v>0.02</v>
      </c>
      <c r="F187">
        <v>0.01</v>
      </c>
      <c r="G187">
        <v>0.01</v>
      </c>
      <c r="H187">
        <v>0</v>
      </c>
      <c r="I187">
        <v>0.05</v>
      </c>
      <c r="J187">
        <v>0.01</v>
      </c>
      <c r="K187">
        <v>0.02</v>
      </c>
      <c r="L187" t="s">
        <v>1</v>
      </c>
      <c r="M187" t="s">
        <v>23</v>
      </c>
    </row>
    <row r="188" spans="1:13" x14ac:dyDescent="0.45">
      <c r="A188" t="s">
        <v>0</v>
      </c>
      <c r="B188" t="s">
        <v>144</v>
      </c>
      <c r="C188">
        <v>2030</v>
      </c>
      <c r="D188">
        <v>62</v>
      </c>
      <c r="E188">
        <v>0.03</v>
      </c>
      <c r="F188">
        <v>0.02</v>
      </c>
      <c r="G188">
        <v>0.02</v>
      </c>
      <c r="H188">
        <v>0</v>
      </c>
      <c r="I188">
        <v>7.0000000000000007E-2</v>
      </c>
      <c r="J188">
        <v>0.02</v>
      </c>
      <c r="K188">
        <v>0.03</v>
      </c>
      <c r="L188" t="s">
        <v>1</v>
      </c>
      <c r="M188" t="s">
        <v>23</v>
      </c>
    </row>
    <row r="189" spans="1:13" x14ac:dyDescent="0.45">
      <c r="A189" t="s">
        <v>0</v>
      </c>
      <c r="B189" t="s">
        <v>144</v>
      </c>
      <c r="C189">
        <v>2035</v>
      </c>
      <c r="D189">
        <v>62</v>
      </c>
      <c r="E189">
        <v>0.04</v>
      </c>
      <c r="F189">
        <v>0.04</v>
      </c>
      <c r="G189">
        <v>0.02</v>
      </c>
      <c r="H189">
        <v>0</v>
      </c>
      <c r="I189">
        <v>0.11</v>
      </c>
      <c r="J189">
        <v>0.03</v>
      </c>
      <c r="K189">
        <v>0.06</v>
      </c>
      <c r="L189" t="s">
        <v>1</v>
      </c>
      <c r="M189" t="s">
        <v>23</v>
      </c>
    </row>
    <row r="190" spans="1:13" x14ac:dyDescent="0.45">
      <c r="A190" t="s">
        <v>0</v>
      </c>
      <c r="B190" t="s">
        <v>144</v>
      </c>
      <c r="C190">
        <v>2040</v>
      </c>
      <c r="D190">
        <v>62</v>
      </c>
      <c r="E190">
        <v>0.06</v>
      </c>
      <c r="F190">
        <v>0.05</v>
      </c>
      <c r="G190">
        <v>0.04</v>
      </c>
      <c r="H190">
        <v>0.01</v>
      </c>
      <c r="I190">
        <v>0.14000000000000001</v>
      </c>
      <c r="J190">
        <v>0.04</v>
      </c>
      <c r="K190">
        <v>0.1</v>
      </c>
      <c r="L190" t="s">
        <v>1</v>
      </c>
      <c r="M190" t="s">
        <v>23</v>
      </c>
    </row>
    <row r="191" spans="1:13" x14ac:dyDescent="0.45">
      <c r="A191" t="s">
        <v>0</v>
      </c>
      <c r="B191" t="s">
        <v>144</v>
      </c>
      <c r="C191">
        <v>2045</v>
      </c>
      <c r="D191">
        <v>62</v>
      </c>
      <c r="E191">
        <v>7.0000000000000007E-2</v>
      </c>
      <c r="F191">
        <v>0.06</v>
      </c>
      <c r="G191">
        <v>0.05</v>
      </c>
      <c r="H191">
        <v>0</v>
      </c>
      <c r="I191">
        <v>0.18</v>
      </c>
      <c r="J191">
        <v>0.04</v>
      </c>
      <c r="K191">
        <v>0.11</v>
      </c>
      <c r="L191" t="s">
        <v>1</v>
      </c>
      <c r="M191" t="s">
        <v>23</v>
      </c>
    </row>
    <row r="192" spans="1:13" x14ac:dyDescent="0.45">
      <c r="A192" t="s">
        <v>0</v>
      </c>
      <c r="B192" t="s">
        <v>144</v>
      </c>
      <c r="C192">
        <v>2050</v>
      </c>
      <c r="D192">
        <v>62</v>
      </c>
      <c r="E192">
        <v>0.08</v>
      </c>
      <c r="F192">
        <v>0.06</v>
      </c>
      <c r="G192">
        <v>0.06</v>
      </c>
      <c r="H192">
        <v>0</v>
      </c>
      <c r="I192">
        <v>0.2</v>
      </c>
      <c r="J192">
        <v>0.05</v>
      </c>
      <c r="K192">
        <v>0.13</v>
      </c>
      <c r="L192" t="s">
        <v>1</v>
      </c>
      <c r="M192" t="s">
        <v>23</v>
      </c>
    </row>
    <row r="193" spans="1:13" x14ac:dyDescent="0.45">
      <c r="A193" t="s">
        <v>2</v>
      </c>
      <c r="B193" t="s">
        <v>144</v>
      </c>
      <c r="C193">
        <v>2020</v>
      </c>
      <c r="D193">
        <v>90</v>
      </c>
      <c r="E193">
        <v>0.01</v>
      </c>
      <c r="F193">
        <v>0.01</v>
      </c>
      <c r="G193">
        <v>0.01</v>
      </c>
      <c r="H193">
        <v>0</v>
      </c>
      <c r="I193">
        <v>0.02</v>
      </c>
      <c r="J193">
        <v>0.01</v>
      </c>
      <c r="K193">
        <v>0.02</v>
      </c>
      <c r="L193" t="s">
        <v>3</v>
      </c>
      <c r="M193" t="s">
        <v>23</v>
      </c>
    </row>
    <row r="194" spans="1:13" x14ac:dyDescent="0.45">
      <c r="A194" t="s">
        <v>2</v>
      </c>
      <c r="B194" t="s">
        <v>144</v>
      </c>
      <c r="C194">
        <v>2025</v>
      </c>
      <c r="D194">
        <v>79</v>
      </c>
      <c r="E194">
        <v>0.02</v>
      </c>
      <c r="F194">
        <v>0.02</v>
      </c>
      <c r="G194">
        <v>0.02</v>
      </c>
      <c r="H194">
        <v>0</v>
      </c>
      <c r="I194">
        <v>0.15</v>
      </c>
      <c r="J194">
        <v>0.01</v>
      </c>
      <c r="K194">
        <v>0.02</v>
      </c>
      <c r="L194" t="s">
        <v>3</v>
      </c>
      <c r="M194" t="s">
        <v>23</v>
      </c>
    </row>
    <row r="195" spans="1:13" x14ac:dyDescent="0.45">
      <c r="A195" t="s">
        <v>2</v>
      </c>
      <c r="B195" t="s">
        <v>144</v>
      </c>
      <c r="C195">
        <v>2030</v>
      </c>
      <c r="D195">
        <v>90</v>
      </c>
      <c r="E195">
        <v>0.03</v>
      </c>
      <c r="F195">
        <v>0.02</v>
      </c>
      <c r="G195">
        <v>0.02</v>
      </c>
      <c r="H195">
        <v>0</v>
      </c>
      <c r="I195">
        <v>0.11</v>
      </c>
      <c r="J195">
        <v>0.02</v>
      </c>
      <c r="K195">
        <v>0.06</v>
      </c>
      <c r="L195" t="s">
        <v>3</v>
      </c>
      <c r="M195" t="s">
        <v>23</v>
      </c>
    </row>
    <row r="196" spans="1:13" x14ac:dyDescent="0.45">
      <c r="A196" t="s">
        <v>2</v>
      </c>
      <c r="B196" t="s">
        <v>144</v>
      </c>
      <c r="C196">
        <v>2035</v>
      </c>
      <c r="D196">
        <v>79</v>
      </c>
      <c r="E196">
        <v>0.04</v>
      </c>
      <c r="F196">
        <v>0.03</v>
      </c>
      <c r="G196">
        <v>0.03</v>
      </c>
      <c r="H196">
        <v>0</v>
      </c>
      <c r="I196">
        <v>0.09</v>
      </c>
      <c r="J196">
        <v>0.02</v>
      </c>
      <c r="K196">
        <v>7.0000000000000007E-2</v>
      </c>
      <c r="L196" t="s">
        <v>3</v>
      </c>
      <c r="M196" t="s">
        <v>23</v>
      </c>
    </row>
    <row r="197" spans="1:13" x14ac:dyDescent="0.45">
      <c r="A197" t="s">
        <v>2</v>
      </c>
      <c r="B197" t="s">
        <v>144</v>
      </c>
      <c r="C197">
        <v>2040</v>
      </c>
      <c r="D197">
        <v>90</v>
      </c>
      <c r="E197">
        <v>0.06</v>
      </c>
      <c r="F197">
        <v>0.05</v>
      </c>
      <c r="G197">
        <v>0.04</v>
      </c>
      <c r="H197">
        <v>0.01</v>
      </c>
      <c r="I197">
        <v>0.12</v>
      </c>
      <c r="J197">
        <v>0.03</v>
      </c>
      <c r="K197">
        <v>0.1</v>
      </c>
      <c r="L197" t="s">
        <v>3</v>
      </c>
      <c r="M197" t="s">
        <v>23</v>
      </c>
    </row>
    <row r="198" spans="1:13" x14ac:dyDescent="0.45">
      <c r="A198" t="s">
        <v>2</v>
      </c>
      <c r="B198" t="s">
        <v>144</v>
      </c>
      <c r="C198">
        <v>2045</v>
      </c>
      <c r="D198">
        <v>79</v>
      </c>
      <c r="E198">
        <v>7.0000000000000007E-2</v>
      </c>
      <c r="F198">
        <v>0.06</v>
      </c>
      <c r="G198">
        <v>0.04</v>
      </c>
      <c r="H198">
        <v>0</v>
      </c>
      <c r="I198">
        <v>0.16</v>
      </c>
      <c r="J198">
        <v>0.04</v>
      </c>
      <c r="K198">
        <v>0.1</v>
      </c>
      <c r="L198" t="s">
        <v>3</v>
      </c>
      <c r="M198" t="s">
        <v>23</v>
      </c>
    </row>
    <row r="199" spans="1:13" x14ac:dyDescent="0.45">
      <c r="A199" t="s">
        <v>2</v>
      </c>
      <c r="B199" t="s">
        <v>144</v>
      </c>
      <c r="C199">
        <v>2050</v>
      </c>
      <c r="D199">
        <v>90</v>
      </c>
      <c r="E199">
        <v>0.1</v>
      </c>
      <c r="F199">
        <v>0.08</v>
      </c>
      <c r="G199">
        <v>0.06</v>
      </c>
      <c r="H199">
        <v>0</v>
      </c>
      <c r="I199">
        <v>0.19</v>
      </c>
      <c r="J199">
        <v>0.05</v>
      </c>
      <c r="K199">
        <v>0.16</v>
      </c>
      <c r="L199" t="s">
        <v>3</v>
      </c>
      <c r="M199" t="s">
        <v>23</v>
      </c>
    </row>
    <row r="200" spans="1:13" x14ac:dyDescent="0.45">
      <c r="A200" t="s">
        <v>5</v>
      </c>
      <c r="B200" t="s">
        <v>144</v>
      </c>
      <c r="C200">
        <v>2020</v>
      </c>
      <c r="D200">
        <v>221</v>
      </c>
      <c r="E200">
        <v>0.01</v>
      </c>
      <c r="F200">
        <v>0.01</v>
      </c>
      <c r="G200">
        <v>0</v>
      </c>
      <c r="H200">
        <v>0</v>
      </c>
      <c r="I200">
        <v>0.02</v>
      </c>
      <c r="J200">
        <v>0.01</v>
      </c>
      <c r="K200">
        <v>0.01</v>
      </c>
      <c r="L200" t="s">
        <v>6</v>
      </c>
      <c r="M200" t="s">
        <v>23</v>
      </c>
    </row>
    <row r="201" spans="1:13" x14ac:dyDescent="0.45">
      <c r="A201" t="s">
        <v>5</v>
      </c>
      <c r="B201" t="s">
        <v>144</v>
      </c>
      <c r="C201">
        <v>2025</v>
      </c>
      <c r="D201">
        <v>198</v>
      </c>
      <c r="E201">
        <v>0.03</v>
      </c>
      <c r="F201">
        <v>0.01</v>
      </c>
      <c r="G201">
        <v>0.05</v>
      </c>
      <c r="H201">
        <v>0</v>
      </c>
      <c r="I201">
        <v>0.32</v>
      </c>
      <c r="J201">
        <v>0.01</v>
      </c>
      <c r="K201">
        <v>0.02</v>
      </c>
      <c r="L201" t="s">
        <v>6</v>
      </c>
      <c r="M201" t="s">
        <v>23</v>
      </c>
    </row>
    <row r="202" spans="1:13" x14ac:dyDescent="0.45">
      <c r="A202" t="s">
        <v>5</v>
      </c>
      <c r="B202" t="s">
        <v>144</v>
      </c>
      <c r="C202">
        <v>2030</v>
      </c>
      <c r="D202">
        <v>221</v>
      </c>
      <c r="E202">
        <v>0.03</v>
      </c>
      <c r="F202">
        <v>0.02</v>
      </c>
      <c r="G202">
        <v>0.04</v>
      </c>
      <c r="H202">
        <v>0</v>
      </c>
      <c r="I202">
        <v>0.33</v>
      </c>
      <c r="J202">
        <v>0.01</v>
      </c>
      <c r="K202">
        <v>0.03</v>
      </c>
      <c r="L202" t="s">
        <v>6</v>
      </c>
      <c r="M202" t="s">
        <v>23</v>
      </c>
    </row>
    <row r="203" spans="1:13" x14ac:dyDescent="0.45">
      <c r="A203" t="s">
        <v>5</v>
      </c>
      <c r="B203" t="s">
        <v>144</v>
      </c>
      <c r="C203">
        <v>2035</v>
      </c>
      <c r="D203">
        <v>198</v>
      </c>
      <c r="E203">
        <v>0.03</v>
      </c>
      <c r="F203">
        <v>0.02</v>
      </c>
      <c r="G203">
        <v>0.02</v>
      </c>
      <c r="H203">
        <v>0</v>
      </c>
      <c r="I203">
        <v>0.09</v>
      </c>
      <c r="J203">
        <v>0.02</v>
      </c>
      <c r="K203">
        <v>0.03</v>
      </c>
      <c r="L203" t="s">
        <v>6</v>
      </c>
      <c r="M203" t="s">
        <v>23</v>
      </c>
    </row>
    <row r="204" spans="1:13" x14ac:dyDescent="0.45">
      <c r="A204" t="s">
        <v>5</v>
      </c>
      <c r="B204" t="s">
        <v>144</v>
      </c>
      <c r="C204">
        <v>2040</v>
      </c>
      <c r="D204">
        <v>221</v>
      </c>
      <c r="E204">
        <v>0.04</v>
      </c>
      <c r="F204">
        <v>0.03</v>
      </c>
      <c r="G204">
        <v>0.03</v>
      </c>
      <c r="H204">
        <v>0</v>
      </c>
      <c r="I204">
        <v>0.13</v>
      </c>
      <c r="J204">
        <v>0.02</v>
      </c>
      <c r="K204">
        <v>0.05</v>
      </c>
      <c r="L204" t="s">
        <v>6</v>
      </c>
      <c r="M204" t="s">
        <v>23</v>
      </c>
    </row>
    <row r="205" spans="1:13" x14ac:dyDescent="0.45">
      <c r="A205" t="s">
        <v>5</v>
      </c>
      <c r="B205" t="s">
        <v>144</v>
      </c>
      <c r="C205">
        <v>2045</v>
      </c>
      <c r="D205">
        <v>198</v>
      </c>
      <c r="E205">
        <v>0.06</v>
      </c>
      <c r="F205">
        <v>0.05</v>
      </c>
      <c r="G205">
        <v>0.04</v>
      </c>
      <c r="H205">
        <v>0</v>
      </c>
      <c r="I205">
        <v>0.17</v>
      </c>
      <c r="J205">
        <v>0.03</v>
      </c>
      <c r="K205">
        <v>7.0000000000000007E-2</v>
      </c>
      <c r="L205" t="s">
        <v>6</v>
      </c>
      <c r="M205" t="s">
        <v>23</v>
      </c>
    </row>
    <row r="206" spans="1:13" x14ac:dyDescent="0.45">
      <c r="A206" t="s">
        <v>5</v>
      </c>
      <c r="B206" t="s">
        <v>144</v>
      </c>
      <c r="C206">
        <v>2050</v>
      </c>
      <c r="D206">
        <v>221</v>
      </c>
      <c r="E206">
        <v>7.0000000000000007E-2</v>
      </c>
      <c r="F206">
        <v>0.05</v>
      </c>
      <c r="G206">
        <v>0.06</v>
      </c>
      <c r="H206">
        <v>0</v>
      </c>
      <c r="I206">
        <v>0.21</v>
      </c>
      <c r="J206">
        <v>0.03</v>
      </c>
      <c r="K206">
        <v>0.1</v>
      </c>
      <c r="L206" t="s">
        <v>6</v>
      </c>
      <c r="M206" t="s">
        <v>23</v>
      </c>
    </row>
    <row r="207" spans="1:13" x14ac:dyDescent="0.45">
      <c r="A207" t="s">
        <v>7</v>
      </c>
      <c r="B207" t="s">
        <v>144</v>
      </c>
      <c r="C207">
        <v>2020</v>
      </c>
      <c r="D207">
        <v>79</v>
      </c>
      <c r="E207">
        <v>0.01</v>
      </c>
      <c r="F207">
        <v>0.01</v>
      </c>
      <c r="G207">
        <v>0</v>
      </c>
      <c r="H207">
        <v>0</v>
      </c>
      <c r="I207">
        <v>0.02</v>
      </c>
      <c r="J207">
        <v>0.01</v>
      </c>
      <c r="K207">
        <v>0.02</v>
      </c>
      <c r="L207" t="s">
        <v>8</v>
      </c>
      <c r="M207" t="s">
        <v>23</v>
      </c>
    </row>
    <row r="208" spans="1:13" x14ac:dyDescent="0.45">
      <c r="A208" t="s">
        <v>7</v>
      </c>
      <c r="B208" t="s">
        <v>144</v>
      </c>
      <c r="C208">
        <v>2025</v>
      </c>
      <c r="D208">
        <v>73</v>
      </c>
      <c r="E208">
        <v>0.03</v>
      </c>
      <c r="F208">
        <v>0.02</v>
      </c>
      <c r="G208">
        <v>0.06</v>
      </c>
      <c r="H208">
        <v>0</v>
      </c>
      <c r="I208">
        <v>0.38</v>
      </c>
      <c r="J208">
        <v>0.01</v>
      </c>
      <c r="K208">
        <v>0.02</v>
      </c>
      <c r="L208" t="s">
        <v>8</v>
      </c>
      <c r="M208" t="s">
        <v>23</v>
      </c>
    </row>
    <row r="209" spans="1:13" x14ac:dyDescent="0.45">
      <c r="A209" t="s">
        <v>7</v>
      </c>
      <c r="B209" t="s">
        <v>144</v>
      </c>
      <c r="C209">
        <v>2030</v>
      </c>
      <c r="D209">
        <v>79</v>
      </c>
      <c r="E209">
        <v>0.03</v>
      </c>
      <c r="F209">
        <v>0.02</v>
      </c>
      <c r="G209">
        <v>0.05</v>
      </c>
      <c r="H209">
        <v>0</v>
      </c>
      <c r="I209">
        <v>0.3</v>
      </c>
      <c r="J209">
        <v>0.01</v>
      </c>
      <c r="K209">
        <v>0.03</v>
      </c>
      <c r="L209" t="s">
        <v>8</v>
      </c>
      <c r="M209" t="s">
        <v>23</v>
      </c>
    </row>
    <row r="210" spans="1:13" x14ac:dyDescent="0.45">
      <c r="A210" t="s">
        <v>7</v>
      </c>
      <c r="B210" t="s">
        <v>144</v>
      </c>
      <c r="C210">
        <v>2035</v>
      </c>
      <c r="D210">
        <v>73</v>
      </c>
      <c r="E210">
        <v>0.03</v>
      </c>
      <c r="F210">
        <v>0.03</v>
      </c>
      <c r="G210">
        <v>0.03</v>
      </c>
      <c r="H210">
        <v>0</v>
      </c>
      <c r="I210">
        <v>0.09</v>
      </c>
      <c r="J210">
        <v>0.01</v>
      </c>
      <c r="K210">
        <v>0.04</v>
      </c>
      <c r="L210" t="s">
        <v>8</v>
      </c>
      <c r="M210" t="s">
        <v>23</v>
      </c>
    </row>
    <row r="211" spans="1:13" x14ac:dyDescent="0.45">
      <c r="A211" t="s">
        <v>7</v>
      </c>
      <c r="B211" t="s">
        <v>144</v>
      </c>
      <c r="C211">
        <v>2040</v>
      </c>
      <c r="D211">
        <v>79</v>
      </c>
      <c r="E211">
        <v>0.04</v>
      </c>
      <c r="F211">
        <v>0.04</v>
      </c>
      <c r="G211">
        <v>0.04</v>
      </c>
      <c r="H211">
        <v>0.01</v>
      </c>
      <c r="I211">
        <v>0.13</v>
      </c>
      <c r="J211">
        <v>0.01</v>
      </c>
      <c r="K211">
        <v>0.06</v>
      </c>
      <c r="L211" t="s">
        <v>8</v>
      </c>
      <c r="M211" t="s">
        <v>23</v>
      </c>
    </row>
    <row r="212" spans="1:13" x14ac:dyDescent="0.45">
      <c r="A212" t="s">
        <v>7</v>
      </c>
      <c r="B212" t="s">
        <v>144</v>
      </c>
      <c r="C212">
        <v>2045</v>
      </c>
      <c r="D212">
        <v>73</v>
      </c>
      <c r="E212">
        <v>0.06</v>
      </c>
      <c r="F212">
        <v>0.06</v>
      </c>
      <c r="G212">
        <v>0.05</v>
      </c>
      <c r="H212">
        <v>0.01</v>
      </c>
      <c r="I212">
        <v>0.17</v>
      </c>
      <c r="J212">
        <v>0.02</v>
      </c>
      <c r="K212">
        <v>0.08</v>
      </c>
      <c r="L212" t="s">
        <v>8</v>
      </c>
      <c r="M212" t="s">
        <v>23</v>
      </c>
    </row>
    <row r="213" spans="1:13" x14ac:dyDescent="0.45">
      <c r="A213" t="s">
        <v>7</v>
      </c>
      <c r="B213" t="s">
        <v>144</v>
      </c>
      <c r="C213">
        <v>2050</v>
      </c>
      <c r="D213">
        <v>79</v>
      </c>
      <c r="E213">
        <v>7.0000000000000007E-2</v>
      </c>
      <c r="F213">
        <v>0.06</v>
      </c>
      <c r="G213">
        <v>7.0000000000000007E-2</v>
      </c>
      <c r="H213">
        <v>0.01</v>
      </c>
      <c r="I213">
        <v>0.22</v>
      </c>
      <c r="J213">
        <v>0.02</v>
      </c>
      <c r="K213">
        <v>0.11</v>
      </c>
      <c r="L213" t="s">
        <v>8</v>
      </c>
      <c r="M213" t="s">
        <v>23</v>
      </c>
    </row>
    <row r="214" spans="1:13" x14ac:dyDescent="0.45">
      <c r="A214" t="s">
        <v>9</v>
      </c>
      <c r="B214" t="s">
        <v>144</v>
      </c>
      <c r="C214">
        <v>2020</v>
      </c>
      <c r="D214">
        <v>59</v>
      </c>
      <c r="E214">
        <v>0.01</v>
      </c>
      <c r="F214">
        <v>0.01</v>
      </c>
      <c r="G214">
        <v>0.01</v>
      </c>
      <c r="H214">
        <v>0</v>
      </c>
      <c r="I214">
        <v>0.02</v>
      </c>
      <c r="J214">
        <v>0.01</v>
      </c>
      <c r="K214">
        <v>0.01</v>
      </c>
      <c r="L214" t="s">
        <v>10</v>
      </c>
      <c r="M214" t="s">
        <v>23</v>
      </c>
    </row>
    <row r="215" spans="1:13" x14ac:dyDescent="0.45">
      <c r="A215" t="s">
        <v>9</v>
      </c>
      <c r="B215" t="s">
        <v>144</v>
      </c>
      <c r="C215">
        <v>2025</v>
      </c>
      <c r="D215">
        <v>54</v>
      </c>
      <c r="E215">
        <v>0.01</v>
      </c>
      <c r="F215">
        <v>0.01</v>
      </c>
      <c r="G215">
        <v>0.01</v>
      </c>
      <c r="H215">
        <v>0</v>
      </c>
      <c r="I215">
        <v>0.03</v>
      </c>
      <c r="J215">
        <v>0.01</v>
      </c>
      <c r="K215">
        <v>0.01</v>
      </c>
      <c r="L215" t="s">
        <v>10</v>
      </c>
      <c r="M215" t="s">
        <v>23</v>
      </c>
    </row>
    <row r="216" spans="1:13" x14ac:dyDescent="0.45">
      <c r="A216" t="s">
        <v>9</v>
      </c>
      <c r="B216" t="s">
        <v>144</v>
      </c>
      <c r="C216">
        <v>2030</v>
      </c>
      <c r="D216">
        <v>59</v>
      </c>
      <c r="E216">
        <v>0.01</v>
      </c>
      <c r="F216">
        <v>0.01</v>
      </c>
      <c r="G216">
        <v>0.01</v>
      </c>
      <c r="H216">
        <v>0</v>
      </c>
      <c r="I216">
        <v>0.03</v>
      </c>
      <c r="J216">
        <v>0.01</v>
      </c>
      <c r="K216">
        <v>0.02</v>
      </c>
      <c r="L216" t="s">
        <v>10</v>
      </c>
      <c r="M216" t="s">
        <v>23</v>
      </c>
    </row>
    <row r="217" spans="1:13" x14ac:dyDescent="0.45">
      <c r="A217" t="s">
        <v>9</v>
      </c>
      <c r="B217" t="s">
        <v>144</v>
      </c>
      <c r="C217">
        <v>2035</v>
      </c>
      <c r="D217">
        <v>54</v>
      </c>
      <c r="E217">
        <v>0.02</v>
      </c>
      <c r="F217">
        <v>0.02</v>
      </c>
      <c r="G217">
        <v>0.01</v>
      </c>
      <c r="H217">
        <v>0</v>
      </c>
      <c r="I217">
        <v>0.04</v>
      </c>
      <c r="J217">
        <v>0.01</v>
      </c>
      <c r="K217">
        <v>0.03</v>
      </c>
      <c r="L217" t="s">
        <v>10</v>
      </c>
      <c r="M217" t="s">
        <v>23</v>
      </c>
    </row>
    <row r="218" spans="1:13" x14ac:dyDescent="0.45">
      <c r="A218" t="s">
        <v>9</v>
      </c>
      <c r="B218" t="s">
        <v>144</v>
      </c>
      <c r="C218">
        <v>2040</v>
      </c>
      <c r="D218">
        <v>59</v>
      </c>
      <c r="E218">
        <v>0.02</v>
      </c>
      <c r="F218">
        <v>0.02</v>
      </c>
      <c r="G218">
        <v>0.02</v>
      </c>
      <c r="H218">
        <v>0</v>
      </c>
      <c r="I218">
        <v>0.06</v>
      </c>
      <c r="J218">
        <v>0.01</v>
      </c>
      <c r="K218">
        <v>0.03</v>
      </c>
      <c r="L218" t="s">
        <v>10</v>
      </c>
      <c r="M218" t="s">
        <v>23</v>
      </c>
    </row>
    <row r="219" spans="1:13" x14ac:dyDescent="0.45">
      <c r="A219" t="s">
        <v>9</v>
      </c>
      <c r="B219" t="s">
        <v>144</v>
      </c>
      <c r="C219">
        <v>2045</v>
      </c>
      <c r="D219">
        <v>54</v>
      </c>
      <c r="E219">
        <v>0.03</v>
      </c>
      <c r="F219">
        <v>0.03</v>
      </c>
      <c r="G219">
        <v>0.02</v>
      </c>
      <c r="H219">
        <v>0</v>
      </c>
      <c r="I219">
        <v>0.08</v>
      </c>
      <c r="J219">
        <v>0.01</v>
      </c>
      <c r="K219">
        <v>0.05</v>
      </c>
      <c r="L219" t="s">
        <v>10</v>
      </c>
      <c r="M219" t="s">
        <v>23</v>
      </c>
    </row>
    <row r="220" spans="1:13" x14ac:dyDescent="0.45">
      <c r="A220" t="s">
        <v>9</v>
      </c>
      <c r="B220" t="s">
        <v>144</v>
      </c>
      <c r="C220">
        <v>2050</v>
      </c>
      <c r="D220">
        <v>59</v>
      </c>
      <c r="E220">
        <v>0.04</v>
      </c>
      <c r="F220">
        <v>0.03</v>
      </c>
      <c r="G220">
        <v>0.03</v>
      </c>
      <c r="H220">
        <v>0</v>
      </c>
      <c r="I220">
        <v>0.12</v>
      </c>
      <c r="J220">
        <v>0.01</v>
      </c>
      <c r="K220">
        <v>0.05</v>
      </c>
      <c r="L220" t="s">
        <v>10</v>
      </c>
      <c r="M220" t="s">
        <v>23</v>
      </c>
    </row>
    <row r="221" spans="1:13" x14ac:dyDescent="0.45">
      <c r="A221" t="s">
        <v>0</v>
      </c>
      <c r="B221" t="s">
        <v>144</v>
      </c>
      <c r="C221">
        <v>2020</v>
      </c>
      <c r="D221">
        <v>45</v>
      </c>
      <c r="E221">
        <v>1</v>
      </c>
      <c r="F221">
        <v>1</v>
      </c>
      <c r="G221">
        <v>0</v>
      </c>
      <c r="H221">
        <v>1</v>
      </c>
      <c r="I221">
        <v>1</v>
      </c>
      <c r="J221">
        <v>1</v>
      </c>
      <c r="K221">
        <v>1</v>
      </c>
      <c r="L221" t="s">
        <v>1</v>
      </c>
      <c r="M221" t="s">
        <v>70</v>
      </c>
    </row>
    <row r="222" spans="1:13" x14ac:dyDescent="0.45">
      <c r="A222" t="s">
        <v>0</v>
      </c>
      <c r="B222" t="s">
        <v>144</v>
      </c>
      <c r="C222">
        <v>2025</v>
      </c>
      <c r="D222">
        <v>45</v>
      </c>
      <c r="E222">
        <v>1.89</v>
      </c>
      <c r="F222">
        <v>1.42</v>
      </c>
      <c r="G222">
        <v>1.06</v>
      </c>
      <c r="H222">
        <v>0.98</v>
      </c>
      <c r="I222">
        <v>6.94</v>
      </c>
      <c r="J222">
        <v>1.25</v>
      </c>
      <c r="K222">
        <v>2.17</v>
      </c>
      <c r="L222" t="s">
        <v>1</v>
      </c>
      <c r="M222" t="s">
        <v>70</v>
      </c>
    </row>
    <row r="223" spans="1:13" x14ac:dyDescent="0.45">
      <c r="A223" t="s">
        <v>0</v>
      </c>
      <c r="B223" t="s">
        <v>144</v>
      </c>
      <c r="C223">
        <v>2030</v>
      </c>
      <c r="D223">
        <v>45</v>
      </c>
      <c r="E223">
        <v>4.08</v>
      </c>
      <c r="F223">
        <v>2.79</v>
      </c>
      <c r="G223">
        <v>3.25</v>
      </c>
      <c r="H223">
        <v>1.4</v>
      </c>
      <c r="I223">
        <v>11.77</v>
      </c>
      <c r="J223">
        <v>2.0699999999999998</v>
      </c>
      <c r="K223">
        <v>3.91</v>
      </c>
      <c r="L223" t="s">
        <v>1</v>
      </c>
      <c r="M223" t="s">
        <v>70</v>
      </c>
    </row>
    <row r="224" spans="1:13" x14ac:dyDescent="0.45">
      <c r="A224" t="s">
        <v>0</v>
      </c>
      <c r="B224" t="s">
        <v>144</v>
      </c>
      <c r="C224">
        <v>2035</v>
      </c>
      <c r="D224">
        <v>45</v>
      </c>
      <c r="E224">
        <v>6.02</v>
      </c>
      <c r="F224">
        <v>3.28</v>
      </c>
      <c r="G224">
        <v>6.72</v>
      </c>
      <c r="H224">
        <v>2.0099999999999998</v>
      </c>
      <c r="I224">
        <v>23.22</v>
      </c>
      <c r="J224">
        <v>2.5099999999999998</v>
      </c>
      <c r="K224">
        <v>4.6100000000000003</v>
      </c>
      <c r="L224" t="s">
        <v>1</v>
      </c>
      <c r="M224" t="s">
        <v>70</v>
      </c>
    </row>
    <row r="225" spans="1:13" x14ac:dyDescent="0.45">
      <c r="A225" t="s">
        <v>0</v>
      </c>
      <c r="B225" t="s">
        <v>144</v>
      </c>
      <c r="C225">
        <v>2040</v>
      </c>
      <c r="D225">
        <v>45</v>
      </c>
      <c r="E225">
        <v>8.8699999999999992</v>
      </c>
      <c r="F225">
        <v>4.2</v>
      </c>
      <c r="G225">
        <v>9.9600000000000009</v>
      </c>
      <c r="H225">
        <v>2.8</v>
      </c>
      <c r="I225">
        <v>33.03</v>
      </c>
      <c r="J225">
        <v>3.68</v>
      </c>
      <c r="K225">
        <v>6.81</v>
      </c>
      <c r="L225" t="s">
        <v>1</v>
      </c>
      <c r="M225" t="s">
        <v>70</v>
      </c>
    </row>
    <row r="226" spans="1:13" x14ac:dyDescent="0.45">
      <c r="A226" t="s">
        <v>0</v>
      </c>
      <c r="B226" t="s">
        <v>144</v>
      </c>
      <c r="C226">
        <v>2045</v>
      </c>
      <c r="D226">
        <v>45</v>
      </c>
      <c r="E226">
        <v>11.22</v>
      </c>
      <c r="F226">
        <v>5.78</v>
      </c>
      <c r="G226">
        <v>12.65</v>
      </c>
      <c r="H226">
        <v>3.1</v>
      </c>
      <c r="I226">
        <v>41.52</v>
      </c>
      <c r="J226">
        <v>4.6100000000000003</v>
      </c>
      <c r="K226">
        <v>8.3800000000000008</v>
      </c>
      <c r="L226" t="s">
        <v>1</v>
      </c>
      <c r="M226" t="s">
        <v>70</v>
      </c>
    </row>
    <row r="227" spans="1:13" x14ac:dyDescent="0.45">
      <c r="A227" t="s">
        <v>0</v>
      </c>
      <c r="B227" t="s">
        <v>144</v>
      </c>
      <c r="C227">
        <v>2050</v>
      </c>
      <c r="D227">
        <v>45</v>
      </c>
      <c r="E227">
        <v>12.65</v>
      </c>
      <c r="F227">
        <v>6.68</v>
      </c>
      <c r="G227">
        <v>14.61</v>
      </c>
      <c r="H227">
        <v>3.15</v>
      </c>
      <c r="I227">
        <v>47.39</v>
      </c>
      <c r="J227">
        <v>4.87</v>
      </c>
      <c r="K227">
        <v>9.56</v>
      </c>
      <c r="L227" t="s">
        <v>1</v>
      </c>
      <c r="M227" t="s">
        <v>70</v>
      </c>
    </row>
    <row r="228" spans="1:13" x14ac:dyDescent="0.45">
      <c r="A228" t="s">
        <v>2</v>
      </c>
      <c r="B228" t="s">
        <v>144</v>
      </c>
      <c r="C228">
        <v>2020</v>
      </c>
      <c r="D228">
        <v>44</v>
      </c>
      <c r="E228">
        <v>1</v>
      </c>
      <c r="F228">
        <v>1</v>
      </c>
      <c r="G228">
        <v>0</v>
      </c>
      <c r="H228">
        <v>1</v>
      </c>
      <c r="I228">
        <v>1</v>
      </c>
      <c r="J228">
        <v>1</v>
      </c>
      <c r="K228">
        <v>1</v>
      </c>
      <c r="L228" t="s">
        <v>3</v>
      </c>
      <c r="M228" t="s">
        <v>70</v>
      </c>
    </row>
    <row r="229" spans="1:13" x14ac:dyDescent="0.45">
      <c r="A229" t="s">
        <v>2</v>
      </c>
      <c r="B229" t="s">
        <v>144</v>
      </c>
      <c r="C229">
        <v>2025</v>
      </c>
      <c r="D229">
        <v>44</v>
      </c>
      <c r="E229">
        <v>1.29</v>
      </c>
      <c r="F229">
        <v>1.23</v>
      </c>
      <c r="G229">
        <v>0.37</v>
      </c>
      <c r="H229">
        <v>1.01</v>
      </c>
      <c r="I229">
        <v>2.68</v>
      </c>
      <c r="J229">
        <v>1.0900000000000001</v>
      </c>
      <c r="K229">
        <v>1.26</v>
      </c>
      <c r="L229" t="s">
        <v>3</v>
      </c>
      <c r="M229" t="s">
        <v>70</v>
      </c>
    </row>
    <row r="230" spans="1:13" x14ac:dyDescent="0.45">
      <c r="A230" t="s">
        <v>2</v>
      </c>
      <c r="B230" t="s">
        <v>144</v>
      </c>
      <c r="C230">
        <v>2030</v>
      </c>
      <c r="D230">
        <v>44</v>
      </c>
      <c r="E230">
        <v>1.88</v>
      </c>
      <c r="F230">
        <v>1.58</v>
      </c>
      <c r="G230">
        <v>0.89</v>
      </c>
      <c r="H230">
        <v>1.05</v>
      </c>
      <c r="I230">
        <v>4.2300000000000004</v>
      </c>
      <c r="J230">
        <v>1.22</v>
      </c>
      <c r="K230">
        <v>2.0699999999999998</v>
      </c>
      <c r="L230" t="s">
        <v>3</v>
      </c>
      <c r="M230" t="s">
        <v>70</v>
      </c>
    </row>
    <row r="231" spans="1:13" x14ac:dyDescent="0.45">
      <c r="A231" t="s">
        <v>2</v>
      </c>
      <c r="B231" t="s">
        <v>144</v>
      </c>
      <c r="C231">
        <v>2035</v>
      </c>
      <c r="D231">
        <v>44</v>
      </c>
      <c r="E231">
        <v>4.59</v>
      </c>
      <c r="F231">
        <v>2.4700000000000002</v>
      </c>
      <c r="G231">
        <v>7.19</v>
      </c>
      <c r="H231">
        <v>0</v>
      </c>
      <c r="I231">
        <v>43.03</v>
      </c>
      <c r="J231">
        <v>1.94</v>
      </c>
      <c r="K231">
        <v>3.7</v>
      </c>
      <c r="L231" t="s">
        <v>3</v>
      </c>
      <c r="M231" t="s">
        <v>70</v>
      </c>
    </row>
    <row r="232" spans="1:13" x14ac:dyDescent="0.45">
      <c r="A232" t="s">
        <v>2</v>
      </c>
      <c r="B232" t="s">
        <v>144</v>
      </c>
      <c r="C232">
        <v>2040</v>
      </c>
      <c r="D232">
        <v>44</v>
      </c>
      <c r="E232">
        <v>5.66</v>
      </c>
      <c r="F232">
        <v>3.55</v>
      </c>
      <c r="G232">
        <v>8.02</v>
      </c>
      <c r="H232">
        <v>0</v>
      </c>
      <c r="I232">
        <v>45.45</v>
      </c>
      <c r="J232">
        <v>2.1800000000000002</v>
      </c>
      <c r="K232">
        <v>4.55</v>
      </c>
      <c r="L232" t="s">
        <v>3</v>
      </c>
      <c r="M232" t="s">
        <v>70</v>
      </c>
    </row>
    <row r="233" spans="1:13" x14ac:dyDescent="0.45">
      <c r="A233" t="s">
        <v>2</v>
      </c>
      <c r="B233" t="s">
        <v>144</v>
      </c>
      <c r="C233">
        <v>2045</v>
      </c>
      <c r="D233">
        <v>44</v>
      </c>
      <c r="E233">
        <v>5.93</v>
      </c>
      <c r="F233">
        <v>4.43</v>
      </c>
      <c r="G233">
        <v>6.44</v>
      </c>
      <c r="H233">
        <v>0</v>
      </c>
      <c r="I233">
        <v>38.75</v>
      </c>
      <c r="J233">
        <v>2.83</v>
      </c>
      <c r="K233">
        <v>5.51</v>
      </c>
      <c r="L233" t="s">
        <v>3</v>
      </c>
      <c r="M233" t="s">
        <v>70</v>
      </c>
    </row>
    <row r="234" spans="1:13" x14ac:dyDescent="0.45">
      <c r="A234" t="s">
        <v>2</v>
      </c>
      <c r="B234" t="s">
        <v>144</v>
      </c>
      <c r="C234">
        <v>2050</v>
      </c>
      <c r="D234">
        <v>44</v>
      </c>
      <c r="E234">
        <v>5.53</v>
      </c>
      <c r="F234">
        <v>4.87</v>
      </c>
      <c r="G234">
        <v>3.17</v>
      </c>
      <c r="H234">
        <v>0</v>
      </c>
      <c r="I234">
        <v>16.7</v>
      </c>
      <c r="J234">
        <v>3.35</v>
      </c>
      <c r="K234">
        <v>6.71</v>
      </c>
      <c r="L234" t="s">
        <v>3</v>
      </c>
      <c r="M234" t="s">
        <v>70</v>
      </c>
    </row>
    <row r="235" spans="1:13" x14ac:dyDescent="0.45">
      <c r="A235" t="s">
        <v>5</v>
      </c>
      <c r="B235" t="s">
        <v>144</v>
      </c>
      <c r="C235">
        <v>2020</v>
      </c>
      <c r="D235">
        <v>111</v>
      </c>
      <c r="E235">
        <v>1</v>
      </c>
      <c r="F235">
        <v>1</v>
      </c>
      <c r="G235">
        <v>0</v>
      </c>
      <c r="H235">
        <v>1</v>
      </c>
      <c r="I235">
        <v>1</v>
      </c>
      <c r="J235">
        <v>1</v>
      </c>
      <c r="K235">
        <v>1</v>
      </c>
      <c r="L235" t="s">
        <v>6</v>
      </c>
      <c r="M235" t="s">
        <v>70</v>
      </c>
    </row>
    <row r="236" spans="1:13" x14ac:dyDescent="0.45">
      <c r="A236" t="s">
        <v>5</v>
      </c>
      <c r="B236" t="s">
        <v>144</v>
      </c>
      <c r="C236">
        <v>2025</v>
      </c>
      <c r="D236">
        <v>111</v>
      </c>
      <c r="E236">
        <v>1.28</v>
      </c>
      <c r="F236">
        <v>1.24</v>
      </c>
      <c r="G236">
        <v>0.38</v>
      </c>
      <c r="H236">
        <v>0</v>
      </c>
      <c r="I236">
        <v>2.27</v>
      </c>
      <c r="J236">
        <v>1.04</v>
      </c>
      <c r="K236">
        <v>1.41</v>
      </c>
      <c r="L236" t="s">
        <v>6</v>
      </c>
      <c r="M236" t="s">
        <v>70</v>
      </c>
    </row>
    <row r="237" spans="1:13" x14ac:dyDescent="0.45">
      <c r="A237" t="s">
        <v>5</v>
      </c>
      <c r="B237" t="s">
        <v>144</v>
      </c>
      <c r="C237">
        <v>2030</v>
      </c>
      <c r="D237">
        <v>111</v>
      </c>
      <c r="E237">
        <v>1.75</v>
      </c>
      <c r="F237">
        <v>1.8</v>
      </c>
      <c r="G237">
        <v>0.56999999999999995</v>
      </c>
      <c r="H237">
        <v>0</v>
      </c>
      <c r="I237">
        <v>3.34</v>
      </c>
      <c r="J237">
        <v>1.3</v>
      </c>
      <c r="K237">
        <v>2.0699999999999998</v>
      </c>
      <c r="L237" t="s">
        <v>6</v>
      </c>
      <c r="M237" t="s">
        <v>70</v>
      </c>
    </row>
    <row r="238" spans="1:13" x14ac:dyDescent="0.45">
      <c r="A238" t="s">
        <v>5</v>
      </c>
      <c r="B238" t="s">
        <v>144</v>
      </c>
      <c r="C238">
        <v>2035</v>
      </c>
      <c r="D238">
        <v>111</v>
      </c>
      <c r="E238">
        <v>2.35</v>
      </c>
      <c r="F238">
        <v>2.2000000000000002</v>
      </c>
      <c r="G238">
        <v>1.1000000000000001</v>
      </c>
      <c r="H238">
        <v>0</v>
      </c>
      <c r="I238">
        <v>9.6999999999999993</v>
      </c>
      <c r="J238">
        <v>1.74</v>
      </c>
      <c r="K238">
        <v>2.67</v>
      </c>
      <c r="L238" t="s">
        <v>6</v>
      </c>
      <c r="M238" t="s">
        <v>70</v>
      </c>
    </row>
    <row r="239" spans="1:13" x14ac:dyDescent="0.45">
      <c r="A239" t="s">
        <v>5</v>
      </c>
      <c r="B239" t="s">
        <v>144</v>
      </c>
      <c r="C239">
        <v>2040</v>
      </c>
      <c r="D239">
        <v>111</v>
      </c>
      <c r="E239">
        <v>3.01</v>
      </c>
      <c r="F239">
        <v>2.78</v>
      </c>
      <c r="G239">
        <v>1.52</v>
      </c>
      <c r="H239">
        <v>0</v>
      </c>
      <c r="I239">
        <v>14.06</v>
      </c>
      <c r="J239">
        <v>2.23</v>
      </c>
      <c r="K239">
        <v>3.41</v>
      </c>
      <c r="L239" t="s">
        <v>6</v>
      </c>
      <c r="M239" t="s">
        <v>70</v>
      </c>
    </row>
    <row r="240" spans="1:13" x14ac:dyDescent="0.45">
      <c r="A240" t="s">
        <v>5</v>
      </c>
      <c r="B240" t="s">
        <v>144</v>
      </c>
      <c r="C240">
        <v>2045</v>
      </c>
      <c r="D240">
        <v>111</v>
      </c>
      <c r="E240">
        <v>3.61</v>
      </c>
      <c r="F240">
        <v>3.29</v>
      </c>
      <c r="G240">
        <v>1.52</v>
      </c>
      <c r="H240">
        <v>0</v>
      </c>
      <c r="I240">
        <v>12.8</v>
      </c>
      <c r="J240">
        <v>2.9</v>
      </c>
      <c r="K240">
        <v>4.16</v>
      </c>
      <c r="L240" t="s">
        <v>6</v>
      </c>
      <c r="M240" t="s">
        <v>70</v>
      </c>
    </row>
    <row r="241" spans="1:13" x14ac:dyDescent="0.45">
      <c r="A241" t="s">
        <v>5</v>
      </c>
      <c r="B241" t="s">
        <v>144</v>
      </c>
      <c r="C241">
        <v>2050</v>
      </c>
      <c r="D241">
        <v>111</v>
      </c>
      <c r="E241">
        <v>4.09</v>
      </c>
      <c r="F241">
        <v>3.81</v>
      </c>
      <c r="G241">
        <v>1.61</v>
      </c>
      <c r="H241">
        <v>0</v>
      </c>
      <c r="I241">
        <v>8.86</v>
      </c>
      <c r="J241">
        <v>3.07</v>
      </c>
      <c r="K241">
        <v>4.71</v>
      </c>
      <c r="L241" t="s">
        <v>6</v>
      </c>
      <c r="M241" t="s">
        <v>70</v>
      </c>
    </row>
    <row r="242" spans="1:13" x14ac:dyDescent="0.45">
      <c r="A242" t="s">
        <v>7</v>
      </c>
      <c r="B242" t="s">
        <v>144</v>
      </c>
      <c r="C242">
        <v>2020</v>
      </c>
      <c r="D242">
        <v>30</v>
      </c>
      <c r="E242">
        <v>1</v>
      </c>
      <c r="F242">
        <v>1</v>
      </c>
      <c r="G242">
        <v>0</v>
      </c>
      <c r="H242">
        <v>1</v>
      </c>
      <c r="I242">
        <v>1</v>
      </c>
      <c r="J242">
        <v>1</v>
      </c>
      <c r="K242">
        <v>1</v>
      </c>
      <c r="L242" t="s">
        <v>8</v>
      </c>
      <c r="M242" t="s">
        <v>70</v>
      </c>
    </row>
    <row r="243" spans="1:13" x14ac:dyDescent="0.45">
      <c r="A243" t="s">
        <v>7</v>
      </c>
      <c r="B243" t="s">
        <v>144</v>
      </c>
      <c r="C243">
        <v>2025</v>
      </c>
      <c r="D243">
        <v>30</v>
      </c>
      <c r="E243">
        <v>1.19</v>
      </c>
      <c r="F243">
        <v>1.1599999999999999</v>
      </c>
      <c r="G243">
        <v>0.14000000000000001</v>
      </c>
      <c r="H243">
        <v>1.02</v>
      </c>
      <c r="I243">
        <v>1.48</v>
      </c>
      <c r="J243">
        <v>1.04</v>
      </c>
      <c r="K243">
        <v>1.3</v>
      </c>
      <c r="L243" t="s">
        <v>8</v>
      </c>
      <c r="M243" t="s">
        <v>70</v>
      </c>
    </row>
    <row r="244" spans="1:13" x14ac:dyDescent="0.45">
      <c r="A244" t="s">
        <v>7</v>
      </c>
      <c r="B244" t="s">
        <v>144</v>
      </c>
      <c r="C244">
        <v>2030</v>
      </c>
      <c r="D244">
        <v>30</v>
      </c>
      <c r="E244">
        <v>1.5</v>
      </c>
      <c r="F244">
        <v>1.54</v>
      </c>
      <c r="G244">
        <v>0.33</v>
      </c>
      <c r="H244">
        <v>1.01</v>
      </c>
      <c r="I244">
        <v>2.0499999999999998</v>
      </c>
      <c r="J244">
        <v>1.1499999999999999</v>
      </c>
      <c r="K244">
        <v>1.77</v>
      </c>
      <c r="L244" t="s">
        <v>8</v>
      </c>
      <c r="M244" t="s">
        <v>70</v>
      </c>
    </row>
    <row r="245" spans="1:13" x14ac:dyDescent="0.45">
      <c r="A245" t="s">
        <v>7</v>
      </c>
      <c r="B245" t="s">
        <v>144</v>
      </c>
      <c r="C245">
        <v>2035</v>
      </c>
      <c r="D245">
        <v>30</v>
      </c>
      <c r="E245">
        <v>1.89</v>
      </c>
      <c r="F245">
        <v>1.73</v>
      </c>
      <c r="G245">
        <v>0.53</v>
      </c>
      <c r="H245">
        <v>0.84</v>
      </c>
      <c r="I245">
        <v>3.21</v>
      </c>
      <c r="J245">
        <v>1.61</v>
      </c>
      <c r="K245">
        <v>2.0499999999999998</v>
      </c>
      <c r="L245" t="s">
        <v>8</v>
      </c>
      <c r="M245" t="s">
        <v>70</v>
      </c>
    </row>
    <row r="246" spans="1:13" x14ac:dyDescent="0.45">
      <c r="A246" t="s">
        <v>7</v>
      </c>
      <c r="B246" t="s">
        <v>144</v>
      </c>
      <c r="C246">
        <v>2040</v>
      </c>
      <c r="D246">
        <v>30</v>
      </c>
      <c r="E246">
        <v>2.34</v>
      </c>
      <c r="F246">
        <v>2.02</v>
      </c>
      <c r="G246">
        <v>0.79</v>
      </c>
      <c r="H246">
        <v>0.95</v>
      </c>
      <c r="I246">
        <v>5.05</v>
      </c>
      <c r="J246">
        <v>1.95</v>
      </c>
      <c r="K246">
        <v>2.29</v>
      </c>
      <c r="L246" t="s">
        <v>8</v>
      </c>
      <c r="M246" t="s">
        <v>70</v>
      </c>
    </row>
    <row r="247" spans="1:13" x14ac:dyDescent="0.45">
      <c r="A247" t="s">
        <v>7</v>
      </c>
      <c r="B247" t="s">
        <v>144</v>
      </c>
      <c r="C247">
        <v>2045</v>
      </c>
      <c r="D247">
        <v>30</v>
      </c>
      <c r="E247">
        <v>2.63</v>
      </c>
      <c r="F247">
        <v>2.27</v>
      </c>
      <c r="G247">
        <v>0.96</v>
      </c>
      <c r="H247">
        <v>0.93</v>
      </c>
      <c r="I247">
        <v>5.96</v>
      </c>
      <c r="J247">
        <v>2.2000000000000002</v>
      </c>
      <c r="K247">
        <v>2.62</v>
      </c>
      <c r="L247" t="s">
        <v>8</v>
      </c>
      <c r="M247" t="s">
        <v>70</v>
      </c>
    </row>
    <row r="248" spans="1:13" x14ac:dyDescent="0.45">
      <c r="A248" t="s">
        <v>7</v>
      </c>
      <c r="B248" t="s">
        <v>144</v>
      </c>
      <c r="C248">
        <v>2050</v>
      </c>
      <c r="D248">
        <v>30</v>
      </c>
      <c r="E248">
        <v>2.73</v>
      </c>
      <c r="F248">
        <v>2.48</v>
      </c>
      <c r="G248">
        <v>0.83</v>
      </c>
      <c r="H248">
        <v>0.92</v>
      </c>
      <c r="I248">
        <v>5.0599999999999996</v>
      </c>
      <c r="J248">
        <v>2.34</v>
      </c>
      <c r="K248">
        <v>2.92</v>
      </c>
      <c r="L248" t="s">
        <v>8</v>
      </c>
      <c r="M248" t="s">
        <v>70</v>
      </c>
    </row>
    <row r="249" spans="1:13" x14ac:dyDescent="0.45">
      <c r="A249" t="s">
        <v>9</v>
      </c>
      <c r="B249" t="s">
        <v>144</v>
      </c>
      <c r="C249">
        <v>2020</v>
      </c>
      <c r="D249">
        <v>45</v>
      </c>
      <c r="E249">
        <v>1</v>
      </c>
      <c r="F249">
        <v>1</v>
      </c>
      <c r="G249">
        <v>0</v>
      </c>
      <c r="H249">
        <v>1</v>
      </c>
      <c r="I249">
        <v>1</v>
      </c>
      <c r="J249">
        <v>1</v>
      </c>
      <c r="K249">
        <v>1</v>
      </c>
      <c r="L249" t="s">
        <v>10</v>
      </c>
      <c r="M249" t="s">
        <v>70</v>
      </c>
    </row>
    <row r="250" spans="1:13" x14ac:dyDescent="0.45">
      <c r="A250" t="s">
        <v>9</v>
      </c>
      <c r="B250" t="s">
        <v>144</v>
      </c>
      <c r="C250">
        <v>2025</v>
      </c>
      <c r="D250">
        <v>45</v>
      </c>
      <c r="E250">
        <v>1.07</v>
      </c>
      <c r="F250">
        <v>1.04</v>
      </c>
      <c r="G250">
        <v>0.08</v>
      </c>
      <c r="H250">
        <v>0.96</v>
      </c>
      <c r="I250">
        <v>1.24</v>
      </c>
      <c r="J250">
        <v>1.02</v>
      </c>
      <c r="K250">
        <v>1.1399999999999999</v>
      </c>
      <c r="L250" t="s">
        <v>10</v>
      </c>
      <c r="M250" t="s">
        <v>70</v>
      </c>
    </row>
    <row r="251" spans="1:13" x14ac:dyDescent="0.45">
      <c r="A251" t="s">
        <v>9</v>
      </c>
      <c r="B251" t="s">
        <v>144</v>
      </c>
      <c r="C251">
        <v>2030</v>
      </c>
      <c r="D251">
        <v>45</v>
      </c>
      <c r="E251">
        <v>1.36</v>
      </c>
      <c r="F251">
        <v>1.37</v>
      </c>
      <c r="G251">
        <v>0.23</v>
      </c>
      <c r="H251">
        <v>1.01</v>
      </c>
      <c r="I251">
        <v>1.81</v>
      </c>
      <c r="J251">
        <v>1.1399999999999999</v>
      </c>
      <c r="K251">
        <v>1.57</v>
      </c>
      <c r="L251" t="s">
        <v>10</v>
      </c>
      <c r="M251" t="s">
        <v>70</v>
      </c>
    </row>
    <row r="252" spans="1:13" x14ac:dyDescent="0.45">
      <c r="A252" t="s">
        <v>9</v>
      </c>
      <c r="B252" t="s">
        <v>144</v>
      </c>
      <c r="C252">
        <v>2035</v>
      </c>
      <c r="D252">
        <v>45</v>
      </c>
      <c r="E252">
        <v>1.31</v>
      </c>
      <c r="F252">
        <v>1.3</v>
      </c>
      <c r="G252">
        <v>0.22</v>
      </c>
      <c r="H252">
        <v>1.01</v>
      </c>
      <c r="I252">
        <v>1.98</v>
      </c>
      <c r="J252">
        <v>1.1599999999999999</v>
      </c>
      <c r="K252">
        <v>1.39</v>
      </c>
      <c r="L252" t="s">
        <v>10</v>
      </c>
      <c r="M252" t="s">
        <v>70</v>
      </c>
    </row>
    <row r="253" spans="1:13" x14ac:dyDescent="0.45">
      <c r="A253" t="s">
        <v>9</v>
      </c>
      <c r="B253" t="s">
        <v>144</v>
      </c>
      <c r="C253">
        <v>2040</v>
      </c>
      <c r="D253">
        <v>45</v>
      </c>
      <c r="E253">
        <v>1.53</v>
      </c>
      <c r="F253">
        <v>1.55</v>
      </c>
      <c r="G253">
        <v>0.28999999999999998</v>
      </c>
      <c r="H253">
        <v>1.03</v>
      </c>
      <c r="I253">
        <v>2.25</v>
      </c>
      <c r="J253">
        <v>1.38</v>
      </c>
      <c r="K253">
        <v>1.69</v>
      </c>
      <c r="L253" t="s">
        <v>10</v>
      </c>
      <c r="M253" t="s">
        <v>70</v>
      </c>
    </row>
    <row r="254" spans="1:13" x14ac:dyDescent="0.45">
      <c r="A254" t="s">
        <v>9</v>
      </c>
      <c r="B254" t="s">
        <v>144</v>
      </c>
      <c r="C254">
        <v>2045</v>
      </c>
      <c r="D254">
        <v>45</v>
      </c>
      <c r="E254">
        <v>1.64</v>
      </c>
      <c r="F254">
        <v>1.63</v>
      </c>
      <c r="G254">
        <v>0.34</v>
      </c>
      <c r="H254">
        <v>1.05</v>
      </c>
      <c r="I254">
        <v>2.5299999999999998</v>
      </c>
      <c r="J254">
        <v>1.52</v>
      </c>
      <c r="K254">
        <v>1.72</v>
      </c>
      <c r="L254" t="s">
        <v>10</v>
      </c>
      <c r="M254" t="s">
        <v>70</v>
      </c>
    </row>
    <row r="255" spans="1:13" x14ac:dyDescent="0.45">
      <c r="A255" t="s">
        <v>9</v>
      </c>
      <c r="B255" t="s">
        <v>144</v>
      </c>
      <c r="C255">
        <v>2050</v>
      </c>
      <c r="D255">
        <v>45</v>
      </c>
      <c r="E255">
        <v>1.75</v>
      </c>
      <c r="F255">
        <v>1.71</v>
      </c>
      <c r="G255">
        <v>0.41</v>
      </c>
      <c r="H255">
        <v>1.07</v>
      </c>
      <c r="I255">
        <v>2.81</v>
      </c>
      <c r="J255">
        <v>1.6</v>
      </c>
      <c r="K255">
        <v>1.91</v>
      </c>
      <c r="L255" t="s">
        <v>10</v>
      </c>
      <c r="M255" t="s">
        <v>70</v>
      </c>
    </row>
    <row r="256" spans="1:13" x14ac:dyDescent="0.45">
      <c r="A256" t="s">
        <v>0</v>
      </c>
      <c r="B256" t="s">
        <v>144</v>
      </c>
      <c r="C256">
        <v>2020</v>
      </c>
      <c r="D256">
        <v>50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71</v>
      </c>
    </row>
    <row r="257" spans="1:13" x14ac:dyDescent="0.45">
      <c r="A257" t="s">
        <v>0</v>
      </c>
      <c r="B257" t="s">
        <v>144</v>
      </c>
      <c r="C257">
        <v>2025</v>
      </c>
      <c r="D257">
        <v>50</v>
      </c>
      <c r="E257">
        <v>1.68</v>
      </c>
      <c r="F257">
        <v>1.62</v>
      </c>
      <c r="G257">
        <v>0.68</v>
      </c>
      <c r="H257">
        <v>0.33</v>
      </c>
      <c r="I257">
        <v>4.1399999999999997</v>
      </c>
      <c r="J257">
        <v>1.3</v>
      </c>
      <c r="K257">
        <v>1.93</v>
      </c>
      <c r="L257" t="s">
        <v>1</v>
      </c>
      <c r="M257" t="s">
        <v>71</v>
      </c>
    </row>
    <row r="258" spans="1:13" x14ac:dyDescent="0.45">
      <c r="A258" t="s">
        <v>0</v>
      </c>
      <c r="B258" t="s">
        <v>144</v>
      </c>
      <c r="C258">
        <v>2030</v>
      </c>
      <c r="D258">
        <v>50</v>
      </c>
      <c r="E258">
        <v>2.57</v>
      </c>
      <c r="F258">
        <v>2.44</v>
      </c>
      <c r="G258">
        <v>1.27</v>
      </c>
      <c r="H258">
        <v>0.28000000000000003</v>
      </c>
      <c r="I258">
        <v>7.3</v>
      </c>
      <c r="J258">
        <v>1.85</v>
      </c>
      <c r="K258">
        <v>3.34</v>
      </c>
      <c r="L258" t="s">
        <v>1</v>
      </c>
      <c r="M258" t="s">
        <v>71</v>
      </c>
    </row>
    <row r="259" spans="1:13" x14ac:dyDescent="0.45">
      <c r="A259" t="s">
        <v>0</v>
      </c>
      <c r="B259" t="s">
        <v>144</v>
      </c>
      <c r="C259">
        <v>2035</v>
      </c>
      <c r="D259">
        <v>50</v>
      </c>
      <c r="E259">
        <v>3.06</v>
      </c>
      <c r="F259">
        <v>2.7</v>
      </c>
      <c r="G259">
        <v>1.67</v>
      </c>
      <c r="H259">
        <v>0.31</v>
      </c>
      <c r="I259">
        <v>7.57</v>
      </c>
      <c r="J259">
        <v>2.1800000000000002</v>
      </c>
      <c r="K259">
        <v>3.28</v>
      </c>
      <c r="L259" t="s">
        <v>1</v>
      </c>
      <c r="M259" t="s">
        <v>71</v>
      </c>
    </row>
    <row r="260" spans="1:13" x14ac:dyDescent="0.45">
      <c r="A260" t="s">
        <v>0</v>
      </c>
      <c r="B260" t="s">
        <v>144</v>
      </c>
      <c r="C260">
        <v>2040</v>
      </c>
      <c r="D260">
        <v>50</v>
      </c>
      <c r="E260">
        <v>3.98</v>
      </c>
      <c r="F260">
        <v>3.54</v>
      </c>
      <c r="G260">
        <v>1.98</v>
      </c>
      <c r="H260">
        <v>0.25</v>
      </c>
      <c r="I260">
        <v>8.4</v>
      </c>
      <c r="J260">
        <v>2.98</v>
      </c>
      <c r="K260">
        <v>5.07</v>
      </c>
      <c r="L260" t="s">
        <v>1</v>
      </c>
      <c r="M260" t="s">
        <v>71</v>
      </c>
    </row>
    <row r="261" spans="1:13" x14ac:dyDescent="0.45">
      <c r="A261" t="s">
        <v>0</v>
      </c>
      <c r="B261" t="s">
        <v>144</v>
      </c>
      <c r="C261">
        <v>2045</v>
      </c>
      <c r="D261">
        <v>50</v>
      </c>
      <c r="E261">
        <v>4.59</v>
      </c>
      <c r="F261">
        <v>4.41</v>
      </c>
      <c r="G261">
        <v>2.66</v>
      </c>
      <c r="H261">
        <v>0.13</v>
      </c>
      <c r="I261">
        <v>9.58</v>
      </c>
      <c r="J261">
        <v>3.37</v>
      </c>
      <c r="K261">
        <v>5.82</v>
      </c>
      <c r="L261" t="s">
        <v>1</v>
      </c>
      <c r="M261" t="s">
        <v>71</v>
      </c>
    </row>
    <row r="262" spans="1:13" x14ac:dyDescent="0.45">
      <c r="A262" t="s">
        <v>0</v>
      </c>
      <c r="B262" t="s">
        <v>144</v>
      </c>
      <c r="C262">
        <v>2050</v>
      </c>
      <c r="D262">
        <v>50</v>
      </c>
      <c r="E262">
        <v>5</v>
      </c>
      <c r="F262">
        <v>4.6399999999999997</v>
      </c>
      <c r="G262">
        <v>3.13</v>
      </c>
      <c r="H262">
        <v>-0.06</v>
      </c>
      <c r="I262">
        <v>10.78</v>
      </c>
      <c r="J262">
        <v>3.83</v>
      </c>
      <c r="K262">
        <v>6.14</v>
      </c>
      <c r="L262" t="s">
        <v>1</v>
      </c>
      <c r="M262" t="s">
        <v>71</v>
      </c>
    </row>
    <row r="263" spans="1:13" x14ac:dyDescent="0.45">
      <c r="A263" t="s">
        <v>2</v>
      </c>
      <c r="B263" t="s">
        <v>144</v>
      </c>
      <c r="C263">
        <v>2020</v>
      </c>
      <c r="D263">
        <v>63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71</v>
      </c>
    </row>
    <row r="264" spans="1:13" x14ac:dyDescent="0.45">
      <c r="A264" t="s">
        <v>2</v>
      </c>
      <c r="B264" t="s">
        <v>144</v>
      </c>
      <c r="C264">
        <v>2025</v>
      </c>
      <c r="D264">
        <v>52</v>
      </c>
      <c r="E264">
        <v>1.41</v>
      </c>
      <c r="F264">
        <v>1.37</v>
      </c>
      <c r="G264">
        <v>0.27</v>
      </c>
      <c r="H264">
        <v>1.03</v>
      </c>
      <c r="I264">
        <v>1.93</v>
      </c>
      <c r="J264">
        <v>1.18</v>
      </c>
      <c r="K264">
        <v>1.59</v>
      </c>
      <c r="L264" t="s">
        <v>3</v>
      </c>
      <c r="M264" t="s">
        <v>71</v>
      </c>
    </row>
    <row r="265" spans="1:13" x14ac:dyDescent="0.45">
      <c r="A265" t="s">
        <v>2</v>
      </c>
      <c r="B265" t="s">
        <v>144</v>
      </c>
      <c r="C265">
        <v>2030</v>
      </c>
      <c r="D265">
        <v>63</v>
      </c>
      <c r="E265">
        <v>2.04</v>
      </c>
      <c r="F265">
        <v>1.53</v>
      </c>
      <c r="G265">
        <v>1.47</v>
      </c>
      <c r="H265">
        <v>0.82</v>
      </c>
      <c r="I265">
        <v>8</v>
      </c>
      <c r="J265">
        <v>1.18</v>
      </c>
      <c r="K265">
        <v>2.3199999999999998</v>
      </c>
      <c r="L265" t="s">
        <v>3</v>
      </c>
      <c r="M265" t="s">
        <v>71</v>
      </c>
    </row>
    <row r="266" spans="1:13" x14ac:dyDescent="0.45">
      <c r="A266" t="s">
        <v>2</v>
      </c>
      <c r="B266" t="s">
        <v>144</v>
      </c>
      <c r="C266">
        <v>2035</v>
      </c>
      <c r="D266">
        <v>52</v>
      </c>
      <c r="E266">
        <v>2.91</v>
      </c>
      <c r="F266">
        <v>1.99</v>
      </c>
      <c r="G266">
        <v>3.74</v>
      </c>
      <c r="H266">
        <v>0.76</v>
      </c>
      <c r="I266">
        <v>21.7</v>
      </c>
      <c r="J266">
        <v>1.32</v>
      </c>
      <c r="K266">
        <v>2.62</v>
      </c>
      <c r="L266" t="s">
        <v>3</v>
      </c>
      <c r="M266" t="s">
        <v>71</v>
      </c>
    </row>
    <row r="267" spans="1:13" x14ac:dyDescent="0.45">
      <c r="A267" t="s">
        <v>2</v>
      </c>
      <c r="B267" t="s">
        <v>144</v>
      </c>
      <c r="C267">
        <v>2040</v>
      </c>
      <c r="D267">
        <v>63</v>
      </c>
      <c r="E267">
        <v>3.43</v>
      </c>
      <c r="F267">
        <v>2.5099999999999998</v>
      </c>
      <c r="G267">
        <v>3.41</v>
      </c>
      <c r="H267">
        <v>0</v>
      </c>
      <c r="I267">
        <v>19.86</v>
      </c>
      <c r="J267">
        <v>1.63</v>
      </c>
      <c r="K267">
        <v>3.54</v>
      </c>
      <c r="L267" t="s">
        <v>3</v>
      </c>
      <c r="M267" t="s">
        <v>71</v>
      </c>
    </row>
    <row r="268" spans="1:13" x14ac:dyDescent="0.45">
      <c r="A268" t="s">
        <v>2</v>
      </c>
      <c r="B268" t="s">
        <v>144</v>
      </c>
      <c r="C268">
        <v>2045</v>
      </c>
      <c r="D268">
        <v>52</v>
      </c>
      <c r="E268">
        <v>2.95</v>
      </c>
      <c r="F268">
        <v>2.52</v>
      </c>
      <c r="G268">
        <v>1.96</v>
      </c>
      <c r="H268">
        <v>0</v>
      </c>
      <c r="I268">
        <v>9.93</v>
      </c>
      <c r="J268">
        <v>1.68</v>
      </c>
      <c r="K268">
        <v>3.98</v>
      </c>
      <c r="L268" t="s">
        <v>3</v>
      </c>
      <c r="M268" t="s">
        <v>71</v>
      </c>
    </row>
    <row r="269" spans="1:13" x14ac:dyDescent="0.45">
      <c r="A269" t="s">
        <v>2</v>
      </c>
      <c r="B269" t="s">
        <v>144</v>
      </c>
      <c r="C269">
        <v>2050</v>
      </c>
      <c r="D269">
        <v>63</v>
      </c>
      <c r="E269">
        <v>3.43</v>
      </c>
      <c r="F269">
        <v>1.98</v>
      </c>
      <c r="G269">
        <v>3.94</v>
      </c>
      <c r="H269">
        <v>0</v>
      </c>
      <c r="I269">
        <v>19.37</v>
      </c>
      <c r="J269">
        <v>1.33</v>
      </c>
      <c r="K269">
        <v>4.25</v>
      </c>
      <c r="L269" t="s">
        <v>3</v>
      </c>
      <c r="M269" t="s">
        <v>71</v>
      </c>
    </row>
    <row r="270" spans="1:13" x14ac:dyDescent="0.45">
      <c r="A270" t="s">
        <v>5</v>
      </c>
      <c r="B270" t="s">
        <v>144</v>
      </c>
      <c r="C270">
        <v>2020</v>
      </c>
      <c r="D270">
        <v>163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71</v>
      </c>
    </row>
    <row r="271" spans="1:13" x14ac:dyDescent="0.45">
      <c r="A271" t="s">
        <v>5</v>
      </c>
      <c r="B271" t="s">
        <v>144</v>
      </c>
      <c r="C271">
        <v>2025</v>
      </c>
      <c r="D271">
        <v>160</v>
      </c>
      <c r="E271">
        <v>1.38</v>
      </c>
      <c r="F271">
        <v>1.38</v>
      </c>
      <c r="G271">
        <v>0.27</v>
      </c>
      <c r="H271">
        <v>0</v>
      </c>
      <c r="I271">
        <v>1.97</v>
      </c>
      <c r="J271">
        <v>1.1499999999999999</v>
      </c>
      <c r="K271">
        <v>1.59</v>
      </c>
      <c r="L271" t="s">
        <v>6</v>
      </c>
      <c r="M271" t="s">
        <v>71</v>
      </c>
    </row>
    <row r="272" spans="1:13" x14ac:dyDescent="0.45">
      <c r="A272" t="s">
        <v>5</v>
      </c>
      <c r="B272" t="s">
        <v>144</v>
      </c>
      <c r="C272">
        <v>2030</v>
      </c>
      <c r="D272">
        <v>163</v>
      </c>
      <c r="E272">
        <v>1.73</v>
      </c>
      <c r="F272">
        <v>1.67</v>
      </c>
      <c r="G272">
        <v>0.56000000000000005</v>
      </c>
      <c r="H272">
        <v>0</v>
      </c>
      <c r="I272">
        <v>3.35</v>
      </c>
      <c r="J272">
        <v>1.29</v>
      </c>
      <c r="K272">
        <v>2.16</v>
      </c>
      <c r="L272" t="s">
        <v>6</v>
      </c>
      <c r="M272" t="s">
        <v>71</v>
      </c>
    </row>
    <row r="273" spans="1:13" x14ac:dyDescent="0.45">
      <c r="A273" t="s">
        <v>5</v>
      </c>
      <c r="B273" t="s">
        <v>144</v>
      </c>
      <c r="C273">
        <v>2035</v>
      </c>
      <c r="D273">
        <v>160</v>
      </c>
      <c r="E273">
        <v>1.97</v>
      </c>
      <c r="F273">
        <v>1.79</v>
      </c>
      <c r="G273">
        <v>0.85</v>
      </c>
      <c r="H273">
        <v>0</v>
      </c>
      <c r="I273">
        <v>8.33</v>
      </c>
      <c r="J273">
        <v>1.58</v>
      </c>
      <c r="K273">
        <v>2.25</v>
      </c>
      <c r="L273" t="s">
        <v>6</v>
      </c>
      <c r="M273" t="s">
        <v>71</v>
      </c>
    </row>
    <row r="274" spans="1:13" x14ac:dyDescent="0.45">
      <c r="A274" t="s">
        <v>5</v>
      </c>
      <c r="B274" t="s">
        <v>144</v>
      </c>
      <c r="C274">
        <v>2040</v>
      </c>
      <c r="D274">
        <v>163</v>
      </c>
      <c r="E274">
        <v>2.37</v>
      </c>
      <c r="F274">
        <v>2.31</v>
      </c>
      <c r="G274">
        <v>1.03</v>
      </c>
      <c r="H274">
        <v>0</v>
      </c>
      <c r="I274">
        <v>10.31</v>
      </c>
      <c r="J274">
        <v>1.79</v>
      </c>
      <c r="K274">
        <v>2.68</v>
      </c>
      <c r="L274" t="s">
        <v>6</v>
      </c>
      <c r="M274" t="s">
        <v>71</v>
      </c>
    </row>
    <row r="275" spans="1:13" x14ac:dyDescent="0.45">
      <c r="A275" t="s">
        <v>5</v>
      </c>
      <c r="B275" t="s">
        <v>144</v>
      </c>
      <c r="C275">
        <v>2045</v>
      </c>
      <c r="D275">
        <v>160</v>
      </c>
      <c r="E275">
        <v>2.79</v>
      </c>
      <c r="F275">
        <v>2.8</v>
      </c>
      <c r="G275">
        <v>1.1299999999999999</v>
      </c>
      <c r="H275">
        <v>0</v>
      </c>
      <c r="I275">
        <v>8.11</v>
      </c>
      <c r="J275">
        <v>2.1</v>
      </c>
      <c r="K275">
        <v>3.28</v>
      </c>
      <c r="L275" t="s">
        <v>6</v>
      </c>
      <c r="M275" t="s">
        <v>71</v>
      </c>
    </row>
    <row r="276" spans="1:13" x14ac:dyDescent="0.45">
      <c r="A276" t="s">
        <v>5</v>
      </c>
      <c r="B276" t="s">
        <v>144</v>
      </c>
      <c r="C276">
        <v>2050</v>
      </c>
      <c r="D276">
        <v>163</v>
      </c>
      <c r="E276">
        <v>2.89</v>
      </c>
      <c r="F276">
        <v>2.96</v>
      </c>
      <c r="G276">
        <v>1.3</v>
      </c>
      <c r="H276">
        <v>0</v>
      </c>
      <c r="I276">
        <v>7.49</v>
      </c>
      <c r="J276">
        <v>1.98</v>
      </c>
      <c r="K276">
        <v>3.61</v>
      </c>
      <c r="L276" t="s">
        <v>6</v>
      </c>
      <c r="M276" t="s">
        <v>71</v>
      </c>
    </row>
    <row r="277" spans="1:13" x14ac:dyDescent="0.45">
      <c r="A277" t="s">
        <v>7</v>
      </c>
      <c r="B277" t="s">
        <v>144</v>
      </c>
      <c r="C277">
        <v>2020</v>
      </c>
      <c r="D277">
        <v>51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71</v>
      </c>
    </row>
    <row r="278" spans="1:13" x14ac:dyDescent="0.45">
      <c r="A278" t="s">
        <v>7</v>
      </c>
      <c r="B278" t="s">
        <v>144</v>
      </c>
      <c r="C278">
        <v>2025</v>
      </c>
      <c r="D278">
        <v>51</v>
      </c>
      <c r="E278">
        <v>1.32</v>
      </c>
      <c r="F278">
        <v>1.34</v>
      </c>
      <c r="G278">
        <v>0.17</v>
      </c>
      <c r="H278">
        <v>1.01</v>
      </c>
      <c r="I278">
        <v>1.6</v>
      </c>
      <c r="J278">
        <v>1.1499999999999999</v>
      </c>
      <c r="K278">
        <v>1.45</v>
      </c>
      <c r="L278" t="s">
        <v>8</v>
      </c>
      <c r="M278" t="s">
        <v>71</v>
      </c>
    </row>
    <row r="279" spans="1:13" x14ac:dyDescent="0.45">
      <c r="A279" t="s">
        <v>7</v>
      </c>
      <c r="B279" t="s">
        <v>144</v>
      </c>
      <c r="C279">
        <v>2030</v>
      </c>
      <c r="D279">
        <v>51</v>
      </c>
      <c r="E279">
        <v>1.41</v>
      </c>
      <c r="F279">
        <v>1.31</v>
      </c>
      <c r="G279">
        <v>0.19</v>
      </c>
      <c r="H279">
        <v>1</v>
      </c>
      <c r="I279">
        <v>1.68</v>
      </c>
      <c r="J279">
        <v>1.27</v>
      </c>
      <c r="K279">
        <v>1.63</v>
      </c>
      <c r="L279" t="s">
        <v>8</v>
      </c>
      <c r="M279" t="s">
        <v>71</v>
      </c>
    </row>
    <row r="280" spans="1:13" x14ac:dyDescent="0.45">
      <c r="A280" t="s">
        <v>7</v>
      </c>
      <c r="B280" t="s">
        <v>144</v>
      </c>
      <c r="C280">
        <v>2035</v>
      </c>
      <c r="D280">
        <v>51</v>
      </c>
      <c r="E280">
        <v>1.58</v>
      </c>
      <c r="F280">
        <v>1.6</v>
      </c>
      <c r="G280">
        <v>0.22</v>
      </c>
      <c r="H280">
        <v>1.01</v>
      </c>
      <c r="I280">
        <v>2.17</v>
      </c>
      <c r="J280">
        <v>1.43</v>
      </c>
      <c r="K280">
        <v>1.69</v>
      </c>
      <c r="L280" t="s">
        <v>8</v>
      </c>
      <c r="M280" t="s">
        <v>71</v>
      </c>
    </row>
    <row r="281" spans="1:13" x14ac:dyDescent="0.45">
      <c r="A281" t="s">
        <v>7</v>
      </c>
      <c r="B281" t="s">
        <v>144</v>
      </c>
      <c r="C281">
        <v>2040</v>
      </c>
      <c r="D281">
        <v>51</v>
      </c>
      <c r="E281">
        <v>1.8</v>
      </c>
      <c r="F281">
        <v>1.78</v>
      </c>
      <c r="G281">
        <v>0.36</v>
      </c>
      <c r="H281">
        <v>0.99</v>
      </c>
      <c r="I281">
        <v>3.17</v>
      </c>
      <c r="J281">
        <v>1.53</v>
      </c>
      <c r="K281">
        <v>1.91</v>
      </c>
      <c r="L281" t="s">
        <v>8</v>
      </c>
      <c r="M281" t="s">
        <v>71</v>
      </c>
    </row>
    <row r="282" spans="1:13" x14ac:dyDescent="0.45">
      <c r="A282" t="s">
        <v>7</v>
      </c>
      <c r="B282" t="s">
        <v>144</v>
      </c>
      <c r="C282">
        <v>2045</v>
      </c>
      <c r="D282">
        <v>51</v>
      </c>
      <c r="E282">
        <v>2.02</v>
      </c>
      <c r="F282">
        <v>2</v>
      </c>
      <c r="G282">
        <v>0.45</v>
      </c>
      <c r="H282">
        <v>0.99</v>
      </c>
      <c r="I282">
        <v>3.63</v>
      </c>
      <c r="J282">
        <v>1.81</v>
      </c>
      <c r="K282">
        <v>2.1800000000000002</v>
      </c>
      <c r="L282" t="s">
        <v>8</v>
      </c>
      <c r="M282" t="s">
        <v>71</v>
      </c>
    </row>
    <row r="283" spans="1:13" x14ac:dyDescent="0.45">
      <c r="A283" t="s">
        <v>7</v>
      </c>
      <c r="B283" t="s">
        <v>144</v>
      </c>
      <c r="C283">
        <v>2050</v>
      </c>
      <c r="D283">
        <v>51</v>
      </c>
      <c r="E283">
        <v>2.11</v>
      </c>
      <c r="F283">
        <v>2.11</v>
      </c>
      <c r="G283">
        <v>0.49</v>
      </c>
      <c r="H283">
        <v>0.92</v>
      </c>
      <c r="I283">
        <v>4.0199999999999996</v>
      </c>
      <c r="J283">
        <v>1.91</v>
      </c>
      <c r="K283">
        <v>2.2799999999999998</v>
      </c>
      <c r="L283" t="s">
        <v>8</v>
      </c>
      <c r="M283" t="s">
        <v>71</v>
      </c>
    </row>
    <row r="284" spans="1:13" x14ac:dyDescent="0.45">
      <c r="A284" t="s">
        <v>9</v>
      </c>
      <c r="B284" t="s">
        <v>144</v>
      </c>
      <c r="C284">
        <v>2020</v>
      </c>
      <c r="D284">
        <v>40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71</v>
      </c>
    </row>
    <row r="285" spans="1:13" x14ac:dyDescent="0.45">
      <c r="A285" t="s">
        <v>9</v>
      </c>
      <c r="B285" t="s">
        <v>144</v>
      </c>
      <c r="C285">
        <v>2025</v>
      </c>
      <c r="D285">
        <v>40</v>
      </c>
      <c r="E285">
        <v>1.23</v>
      </c>
      <c r="F285">
        <v>1.1499999999999999</v>
      </c>
      <c r="G285">
        <v>0.19</v>
      </c>
      <c r="H285">
        <v>0.92</v>
      </c>
      <c r="I285">
        <v>1.63</v>
      </c>
      <c r="J285">
        <v>1.07</v>
      </c>
      <c r="K285">
        <v>1.37</v>
      </c>
      <c r="L285" t="s">
        <v>10</v>
      </c>
      <c r="M285" t="s">
        <v>71</v>
      </c>
    </row>
    <row r="286" spans="1:13" x14ac:dyDescent="0.45">
      <c r="A286" t="s">
        <v>9</v>
      </c>
      <c r="B286" t="s">
        <v>144</v>
      </c>
      <c r="C286">
        <v>2030</v>
      </c>
      <c r="D286">
        <v>40</v>
      </c>
      <c r="E286">
        <v>1.54</v>
      </c>
      <c r="F286">
        <v>1.6</v>
      </c>
      <c r="G286">
        <v>0.41</v>
      </c>
      <c r="H286">
        <v>1</v>
      </c>
      <c r="I286">
        <v>2.66</v>
      </c>
      <c r="J286">
        <v>1.18</v>
      </c>
      <c r="K286">
        <v>1.91</v>
      </c>
      <c r="L286" t="s">
        <v>10</v>
      </c>
      <c r="M286" t="s">
        <v>71</v>
      </c>
    </row>
    <row r="287" spans="1:13" x14ac:dyDescent="0.45">
      <c r="A287" t="s">
        <v>9</v>
      </c>
      <c r="B287" t="s">
        <v>144</v>
      </c>
      <c r="C287">
        <v>2035</v>
      </c>
      <c r="D287">
        <v>40</v>
      </c>
      <c r="E287">
        <v>1.36</v>
      </c>
      <c r="F287">
        <v>1.33</v>
      </c>
      <c r="G287">
        <v>0.26</v>
      </c>
      <c r="H287">
        <v>0.99</v>
      </c>
      <c r="I287">
        <v>1.86</v>
      </c>
      <c r="J287">
        <v>1.19</v>
      </c>
      <c r="K287">
        <v>1.55</v>
      </c>
      <c r="L287" t="s">
        <v>10</v>
      </c>
      <c r="M287" t="s">
        <v>71</v>
      </c>
    </row>
    <row r="288" spans="1:13" x14ac:dyDescent="0.45">
      <c r="A288" t="s">
        <v>9</v>
      </c>
      <c r="B288" t="s">
        <v>144</v>
      </c>
      <c r="C288">
        <v>2040</v>
      </c>
      <c r="D288">
        <v>40</v>
      </c>
      <c r="E288">
        <v>1.56</v>
      </c>
      <c r="F288">
        <v>1.47</v>
      </c>
      <c r="G288">
        <v>0.37</v>
      </c>
      <c r="H288">
        <v>0.97</v>
      </c>
      <c r="I288">
        <v>2.5299999999999998</v>
      </c>
      <c r="J288">
        <v>1.29</v>
      </c>
      <c r="K288">
        <v>1.88</v>
      </c>
      <c r="L288" t="s">
        <v>10</v>
      </c>
      <c r="M288" t="s">
        <v>71</v>
      </c>
    </row>
    <row r="289" spans="1:13" x14ac:dyDescent="0.45">
      <c r="A289" t="s">
        <v>9</v>
      </c>
      <c r="B289" t="s">
        <v>144</v>
      </c>
      <c r="C289">
        <v>2045</v>
      </c>
      <c r="D289">
        <v>40</v>
      </c>
      <c r="E289">
        <v>1.66</v>
      </c>
      <c r="F289">
        <v>1.61</v>
      </c>
      <c r="G289">
        <v>0.41</v>
      </c>
      <c r="H289">
        <v>0.97</v>
      </c>
      <c r="I289">
        <v>2.62</v>
      </c>
      <c r="J289">
        <v>1.33</v>
      </c>
      <c r="K289">
        <v>2</v>
      </c>
      <c r="L289" t="s">
        <v>10</v>
      </c>
      <c r="M289" t="s">
        <v>71</v>
      </c>
    </row>
    <row r="290" spans="1:13" x14ac:dyDescent="0.45">
      <c r="A290" t="s">
        <v>9</v>
      </c>
      <c r="B290" t="s">
        <v>144</v>
      </c>
      <c r="C290">
        <v>2050</v>
      </c>
      <c r="D290">
        <v>40</v>
      </c>
      <c r="E290">
        <v>1.81</v>
      </c>
      <c r="F290">
        <v>1.77</v>
      </c>
      <c r="G290">
        <v>0.5</v>
      </c>
      <c r="H290">
        <v>0.98</v>
      </c>
      <c r="I290">
        <v>2.93</v>
      </c>
      <c r="J290">
        <v>1.39</v>
      </c>
      <c r="K290">
        <v>2.23</v>
      </c>
      <c r="L290" t="s">
        <v>10</v>
      </c>
      <c r="M290" t="s">
        <v>71</v>
      </c>
    </row>
    <row r="291" spans="1:13" x14ac:dyDescent="0.45">
      <c r="A291" t="s">
        <v>0</v>
      </c>
      <c r="B291" t="s">
        <v>144</v>
      </c>
      <c r="C291">
        <v>2020</v>
      </c>
      <c r="D291">
        <v>20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72</v>
      </c>
    </row>
    <row r="292" spans="1:13" x14ac:dyDescent="0.45">
      <c r="A292" t="s">
        <v>0</v>
      </c>
      <c r="B292" t="s">
        <v>144</v>
      </c>
      <c r="C292">
        <v>2025</v>
      </c>
      <c r="D292">
        <v>20</v>
      </c>
      <c r="E292">
        <v>7.61</v>
      </c>
      <c r="F292">
        <v>4.08</v>
      </c>
      <c r="G292">
        <v>7.12</v>
      </c>
      <c r="H292">
        <v>2.94</v>
      </c>
      <c r="I292">
        <v>29.92</v>
      </c>
      <c r="J292">
        <v>3.4</v>
      </c>
      <c r="K292">
        <v>10.6</v>
      </c>
      <c r="L292" t="s">
        <v>1</v>
      </c>
      <c r="M292" t="s">
        <v>72</v>
      </c>
    </row>
    <row r="293" spans="1:13" x14ac:dyDescent="0.45">
      <c r="A293" t="s">
        <v>0</v>
      </c>
      <c r="B293" t="s">
        <v>144</v>
      </c>
      <c r="C293">
        <v>2030</v>
      </c>
      <c r="D293">
        <v>20</v>
      </c>
      <c r="E293">
        <v>12.53</v>
      </c>
      <c r="F293">
        <v>9.2200000000000006</v>
      </c>
      <c r="G293">
        <v>11.46</v>
      </c>
      <c r="H293">
        <v>1.94</v>
      </c>
      <c r="I293">
        <v>47.8</v>
      </c>
      <c r="J293">
        <v>4.63</v>
      </c>
      <c r="K293">
        <v>14.79</v>
      </c>
      <c r="L293" t="s">
        <v>1</v>
      </c>
      <c r="M293" t="s">
        <v>72</v>
      </c>
    </row>
    <row r="294" spans="1:13" x14ac:dyDescent="0.45">
      <c r="A294" t="s">
        <v>0</v>
      </c>
      <c r="B294" t="s">
        <v>144</v>
      </c>
      <c r="C294">
        <v>2035</v>
      </c>
      <c r="D294">
        <v>20</v>
      </c>
      <c r="E294">
        <v>16.79</v>
      </c>
      <c r="F294">
        <v>17.05</v>
      </c>
      <c r="G294">
        <v>14.54</v>
      </c>
      <c r="H294">
        <v>1.7</v>
      </c>
      <c r="I294">
        <v>58.52</v>
      </c>
      <c r="J294">
        <v>4.22</v>
      </c>
      <c r="K294">
        <v>18.739999999999998</v>
      </c>
      <c r="L294" t="s">
        <v>1</v>
      </c>
      <c r="M294" t="s">
        <v>72</v>
      </c>
    </row>
    <row r="295" spans="1:13" x14ac:dyDescent="0.45">
      <c r="A295" t="s">
        <v>0</v>
      </c>
      <c r="B295" t="s">
        <v>144</v>
      </c>
      <c r="C295">
        <v>2040</v>
      </c>
      <c r="D295">
        <v>20</v>
      </c>
      <c r="E295">
        <v>21.55</v>
      </c>
      <c r="F295">
        <v>23.37</v>
      </c>
      <c r="G295">
        <v>17.690000000000001</v>
      </c>
      <c r="H295">
        <v>3.3</v>
      </c>
      <c r="I295">
        <v>69.67</v>
      </c>
      <c r="J295">
        <v>4.72</v>
      </c>
      <c r="K295">
        <v>24.63</v>
      </c>
      <c r="L295" t="s">
        <v>1</v>
      </c>
      <c r="M295" t="s">
        <v>72</v>
      </c>
    </row>
    <row r="296" spans="1:13" x14ac:dyDescent="0.45">
      <c r="A296" t="s">
        <v>0</v>
      </c>
      <c r="B296" t="s">
        <v>144</v>
      </c>
      <c r="C296">
        <v>2045</v>
      </c>
      <c r="D296">
        <v>20</v>
      </c>
      <c r="E296">
        <v>25.39</v>
      </c>
      <c r="F296">
        <v>28.77</v>
      </c>
      <c r="G296">
        <v>21.69</v>
      </c>
      <c r="H296">
        <v>3.06</v>
      </c>
      <c r="I296">
        <v>85.13</v>
      </c>
      <c r="J296">
        <v>3.99</v>
      </c>
      <c r="K296">
        <v>30.24</v>
      </c>
      <c r="L296" t="s">
        <v>1</v>
      </c>
      <c r="M296" t="s">
        <v>72</v>
      </c>
    </row>
    <row r="297" spans="1:13" x14ac:dyDescent="0.45">
      <c r="A297" t="s">
        <v>0</v>
      </c>
      <c r="B297" t="s">
        <v>144</v>
      </c>
      <c r="C297">
        <v>2050</v>
      </c>
      <c r="D297">
        <v>18</v>
      </c>
      <c r="E297">
        <v>29.74</v>
      </c>
      <c r="F297">
        <v>33.130000000000003</v>
      </c>
      <c r="G297">
        <v>24.52</v>
      </c>
      <c r="H297">
        <v>3.44</v>
      </c>
      <c r="I297">
        <v>91.86</v>
      </c>
      <c r="J297">
        <v>3.88</v>
      </c>
      <c r="K297">
        <v>35.229999999999997</v>
      </c>
      <c r="L297" t="s">
        <v>1</v>
      </c>
      <c r="M297" t="s">
        <v>72</v>
      </c>
    </row>
    <row r="298" spans="1:13" x14ac:dyDescent="0.45">
      <c r="A298" t="s">
        <v>2</v>
      </c>
      <c r="B298" t="s">
        <v>144</v>
      </c>
      <c r="C298">
        <v>2020</v>
      </c>
      <c r="D298">
        <v>18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72</v>
      </c>
    </row>
    <row r="299" spans="1:13" x14ac:dyDescent="0.45">
      <c r="A299" t="s">
        <v>2</v>
      </c>
      <c r="B299" t="s">
        <v>144</v>
      </c>
      <c r="C299">
        <v>2025</v>
      </c>
      <c r="D299">
        <v>18</v>
      </c>
      <c r="E299">
        <v>3.25</v>
      </c>
      <c r="F299">
        <v>2.66</v>
      </c>
      <c r="G299">
        <v>1.95</v>
      </c>
      <c r="H299">
        <v>1.68</v>
      </c>
      <c r="I299">
        <v>10.35</v>
      </c>
      <c r="J299">
        <v>2.3199999999999998</v>
      </c>
      <c r="K299">
        <v>3.1</v>
      </c>
      <c r="L299" t="s">
        <v>3</v>
      </c>
      <c r="M299" t="s">
        <v>72</v>
      </c>
    </row>
    <row r="300" spans="1:13" x14ac:dyDescent="0.45">
      <c r="A300" t="s">
        <v>2</v>
      </c>
      <c r="B300" t="s">
        <v>144</v>
      </c>
      <c r="C300">
        <v>2030</v>
      </c>
      <c r="D300">
        <v>18</v>
      </c>
      <c r="E300">
        <v>4.8099999999999996</v>
      </c>
      <c r="F300">
        <v>3.33</v>
      </c>
      <c r="G300">
        <v>2.74</v>
      </c>
      <c r="H300">
        <v>2.77</v>
      </c>
      <c r="I300">
        <v>9.65</v>
      </c>
      <c r="J300">
        <v>2.92</v>
      </c>
      <c r="K300">
        <v>5.01</v>
      </c>
      <c r="L300" t="s">
        <v>3</v>
      </c>
      <c r="M300" t="s">
        <v>72</v>
      </c>
    </row>
    <row r="301" spans="1:13" x14ac:dyDescent="0.45">
      <c r="A301" t="s">
        <v>2</v>
      </c>
      <c r="B301" t="s">
        <v>144</v>
      </c>
      <c r="C301">
        <v>2035</v>
      </c>
      <c r="D301">
        <v>18</v>
      </c>
      <c r="E301">
        <v>7.14</v>
      </c>
      <c r="F301">
        <v>4.62</v>
      </c>
      <c r="G301">
        <v>5.56</v>
      </c>
      <c r="H301">
        <v>0</v>
      </c>
      <c r="I301">
        <v>21.32</v>
      </c>
      <c r="J301">
        <v>3.81</v>
      </c>
      <c r="K301">
        <v>10.6</v>
      </c>
      <c r="L301" t="s">
        <v>3</v>
      </c>
      <c r="M301" t="s">
        <v>72</v>
      </c>
    </row>
    <row r="302" spans="1:13" x14ac:dyDescent="0.45">
      <c r="A302" t="s">
        <v>2</v>
      </c>
      <c r="B302" t="s">
        <v>144</v>
      </c>
      <c r="C302">
        <v>2040</v>
      </c>
      <c r="D302">
        <v>18</v>
      </c>
      <c r="E302">
        <v>9.2100000000000009</v>
      </c>
      <c r="F302">
        <v>4.83</v>
      </c>
      <c r="G302">
        <v>9.36</v>
      </c>
      <c r="H302">
        <v>0</v>
      </c>
      <c r="I302">
        <v>33.340000000000003</v>
      </c>
      <c r="J302">
        <v>3.44</v>
      </c>
      <c r="K302">
        <v>13.38</v>
      </c>
      <c r="L302" t="s">
        <v>3</v>
      </c>
      <c r="M302" t="s">
        <v>72</v>
      </c>
    </row>
    <row r="303" spans="1:13" x14ac:dyDescent="0.45">
      <c r="A303" t="s">
        <v>2</v>
      </c>
      <c r="B303" t="s">
        <v>144</v>
      </c>
      <c r="C303">
        <v>2045</v>
      </c>
      <c r="D303">
        <v>17</v>
      </c>
      <c r="E303">
        <v>7.53</v>
      </c>
      <c r="F303">
        <v>5.53</v>
      </c>
      <c r="G303">
        <v>7.14</v>
      </c>
      <c r="H303">
        <v>0</v>
      </c>
      <c r="I303">
        <v>28.53</v>
      </c>
      <c r="J303">
        <v>3.04</v>
      </c>
      <c r="K303">
        <v>12.57</v>
      </c>
      <c r="L303" t="s">
        <v>3</v>
      </c>
      <c r="M303" t="s">
        <v>72</v>
      </c>
    </row>
    <row r="304" spans="1:13" x14ac:dyDescent="0.45">
      <c r="A304" t="s">
        <v>2</v>
      </c>
      <c r="B304" t="s">
        <v>144</v>
      </c>
      <c r="C304">
        <v>2050</v>
      </c>
      <c r="D304">
        <v>15</v>
      </c>
      <c r="E304">
        <v>5.33</v>
      </c>
      <c r="F304">
        <v>3.7</v>
      </c>
      <c r="G304">
        <v>3.04</v>
      </c>
      <c r="H304">
        <v>0</v>
      </c>
      <c r="I304">
        <v>11.92</v>
      </c>
      <c r="J304">
        <v>3.38</v>
      </c>
      <c r="K304">
        <v>6.81</v>
      </c>
      <c r="L304" t="s">
        <v>3</v>
      </c>
      <c r="M304" t="s">
        <v>72</v>
      </c>
    </row>
    <row r="305" spans="1:13" x14ac:dyDescent="0.45">
      <c r="A305" t="s">
        <v>5</v>
      </c>
      <c r="B305" t="s">
        <v>144</v>
      </c>
      <c r="C305">
        <v>2020</v>
      </c>
      <c r="D305">
        <v>69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72</v>
      </c>
    </row>
    <row r="306" spans="1:13" x14ac:dyDescent="0.45">
      <c r="A306" t="s">
        <v>5</v>
      </c>
      <c r="B306" t="s">
        <v>144</v>
      </c>
      <c r="C306">
        <v>2025</v>
      </c>
      <c r="D306">
        <v>69</v>
      </c>
      <c r="E306">
        <v>4.26</v>
      </c>
      <c r="F306">
        <v>3.37</v>
      </c>
      <c r="G306">
        <v>2.64</v>
      </c>
      <c r="H306">
        <v>0</v>
      </c>
      <c r="I306">
        <v>14.43</v>
      </c>
      <c r="J306">
        <v>2.3199999999999998</v>
      </c>
      <c r="K306">
        <v>4.68</v>
      </c>
      <c r="L306" t="s">
        <v>6</v>
      </c>
      <c r="M306" t="s">
        <v>72</v>
      </c>
    </row>
    <row r="307" spans="1:13" x14ac:dyDescent="0.45">
      <c r="A307" t="s">
        <v>5</v>
      </c>
      <c r="B307" t="s">
        <v>144</v>
      </c>
      <c r="C307">
        <v>2030</v>
      </c>
      <c r="D307">
        <v>69</v>
      </c>
      <c r="E307">
        <v>7.11</v>
      </c>
      <c r="F307">
        <v>5.19</v>
      </c>
      <c r="G307">
        <v>4.8</v>
      </c>
      <c r="H307">
        <v>0</v>
      </c>
      <c r="I307">
        <v>22.88</v>
      </c>
      <c r="J307">
        <v>2.89</v>
      </c>
      <c r="K307">
        <v>9.61</v>
      </c>
      <c r="L307" t="s">
        <v>6</v>
      </c>
      <c r="M307" t="s">
        <v>72</v>
      </c>
    </row>
    <row r="308" spans="1:13" x14ac:dyDescent="0.45">
      <c r="A308" t="s">
        <v>5</v>
      </c>
      <c r="B308" t="s">
        <v>144</v>
      </c>
      <c r="C308">
        <v>2035</v>
      </c>
      <c r="D308">
        <v>69</v>
      </c>
      <c r="E308">
        <v>9.7799999999999994</v>
      </c>
      <c r="F308">
        <v>9.64</v>
      </c>
      <c r="G308">
        <v>6.88</v>
      </c>
      <c r="H308">
        <v>0</v>
      </c>
      <c r="I308">
        <v>30.18</v>
      </c>
      <c r="J308">
        <v>3.6</v>
      </c>
      <c r="K308">
        <v>14.65</v>
      </c>
      <c r="L308" t="s">
        <v>6</v>
      </c>
      <c r="M308" t="s">
        <v>72</v>
      </c>
    </row>
    <row r="309" spans="1:13" x14ac:dyDescent="0.45">
      <c r="A309" t="s">
        <v>5</v>
      </c>
      <c r="B309" t="s">
        <v>144</v>
      </c>
      <c r="C309">
        <v>2040</v>
      </c>
      <c r="D309">
        <v>69</v>
      </c>
      <c r="E309">
        <v>12.77</v>
      </c>
      <c r="F309">
        <v>12.01</v>
      </c>
      <c r="G309">
        <v>10.210000000000001</v>
      </c>
      <c r="H309">
        <v>0</v>
      </c>
      <c r="I309">
        <v>36.81</v>
      </c>
      <c r="J309">
        <v>3.26</v>
      </c>
      <c r="K309">
        <v>19.88</v>
      </c>
      <c r="L309" t="s">
        <v>6</v>
      </c>
      <c r="M309" t="s">
        <v>72</v>
      </c>
    </row>
    <row r="310" spans="1:13" x14ac:dyDescent="0.45">
      <c r="A310" t="s">
        <v>5</v>
      </c>
      <c r="B310" t="s">
        <v>144</v>
      </c>
      <c r="C310">
        <v>2045</v>
      </c>
      <c r="D310">
        <v>69</v>
      </c>
      <c r="E310">
        <v>14.94</v>
      </c>
      <c r="F310">
        <v>11.15</v>
      </c>
      <c r="G310">
        <v>13.33</v>
      </c>
      <c r="H310">
        <v>0</v>
      </c>
      <c r="I310">
        <v>47.01</v>
      </c>
      <c r="J310">
        <v>2.94</v>
      </c>
      <c r="K310">
        <v>24.26</v>
      </c>
      <c r="L310" t="s">
        <v>6</v>
      </c>
      <c r="M310" t="s">
        <v>72</v>
      </c>
    </row>
    <row r="311" spans="1:13" x14ac:dyDescent="0.45">
      <c r="A311" t="s">
        <v>5</v>
      </c>
      <c r="B311" t="s">
        <v>144</v>
      </c>
      <c r="C311">
        <v>2050</v>
      </c>
      <c r="D311">
        <v>63</v>
      </c>
      <c r="E311">
        <v>17.46</v>
      </c>
      <c r="F311">
        <v>5.57</v>
      </c>
      <c r="G311">
        <v>16.41</v>
      </c>
      <c r="H311">
        <v>0</v>
      </c>
      <c r="I311">
        <v>57.91</v>
      </c>
      <c r="J311">
        <v>3.21</v>
      </c>
      <c r="K311">
        <v>28.8</v>
      </c>
      <c r="L311" t="s">
        <v>6</v>
      </c>
      <c r="M311" t="s">
        <v>72</v>
      </c>
    </row>
    <row r="312" spans="1:13" x14ac:dyDescent="0.45">
      <c r="A312" t="s">
        <v>7</v>
      </c>
      <c r="B312" t="s">
        <v>144</v>
      </c>
      <c r="C312">
        <v>2020</v>
      </c>
      <c r="D312">
        <v>27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72</v>
      </c>
    </row>
    <row r="313" spans="1:13" x14ac:dyDescent="0.45">
      <c r="A313" t="s">
        <v>7</v>
      </c>
      <c r="B313" t="s">
        <v>144</v>
      </c>
      <c r="C313">
        <v>2025</v>
      </c>
      <c r="D313">
        <v>27</v>
      </c>
      <c r="E313">
        <v>3.29</v>
      </c>
      <c r="F313">
        <v>4.22</v>
      </c>
      <c r="G313">
        <v>1.71</v>
      </c>
      <c r="H313">
        <v>1.01</v>
      </c>
      <c r="I313">
        <v>6</v>
      </c>
      <c r="J313">
        <v>1.72</v>
      </c>
      <c r="K313">
        <v>4.68</v>
      </c>
      <c r="L313" t="s">
        <v>8</v>
      </c>
      <c r="M313" t="s">
        <v>72</v>
      </c>
    </row>
    <row r="314" spans="1:13" x14ac:dyDescent="0.45">
      <c r="A314" t="s">
        <v>7</v>
      </c>
      <c r="B314" t="s">
        <v>144</v>
      </c>
      <c r="C314">
        <v>2030</v>
      </c>
      <c r="D314">
        <v>27</v>
      </c>
      <c r="E314">
        <v>5.64</v>
      </c>
      <c r="F314">
        <v>6.45</v>
      </c>
      <c r="G314">
        <v>3.52</v>
      </c>
      <c r="H314">
        <v>1.06</v>
      </c>
      <c r="I314">
        <v>9.61</v>
      </c>
      <c r="J314">
        <v>2.4900000000000002</v>
      </c>
      <c r="K314">
        <v>9.6</v>
      </c>
      <c r="L314" t="s">
        <v>8</v>
      </c>
      <c r="M314" t="s">
        <v>72</v>
      </c>
    </row>
    <row r="315" spans="1:13" x14ac:dyDescent="0.45">
      <c r="A315" t="s">
        <v>7</v>
      </c>
      <c r="B315" t="s">
        <v>144</v>
      </c>
      <c r="C315">
        <v>2035</v>
      </c>
      <c r="D315">
        <v>27</v>
      </c>
      <c r="E315">
        <v>6.11</v>
      </c>
      <c r="F315">
        <v>6.79</v>
      </c>
      <c r="G315">
        <v>3.09</v>
      </c>
      <c r="H315">
        <v>2.06</v>
      </c>
      <c r="I315">
        <v>11.98</v>
      </c>
      <c r="J315">
        <v>2.98</v>
      </c>
      <c r="K315">
        <v>8.33</v>
      </c>
      <c r="L315" t="s">
        <v>8</v>
      </c>
      <c r="M315" t="s">
        <v>72</v>
      </c>
    </row>
    <row r="316" spans="1:13" x14ac:dyDescent="0.45">
      <c r="A316" t="s">
        <v>7</v>
      </c>
      <c r="B316" t="s">
        <v>144</v>
      </c>
      <c r="C316">
        <v>2040</v>
      </c>
      <c r="D316">
        <v>27</v>
      </c>
      <c r="E316">
        <v>8.31</v>
      </c>
      <c r="F316">
        <v>9.44</v>
      </c>
      <c r="G316">
        <v>4.3099999999999996</v>
      </c>
      <c r="H316">
        <v>2.2000000000000002</v>
      </c>
      <c r="I316">
        <v>14.3</v>
      </c>
      <c r="J316">
        <v>4.45</v>
      </c>
      <c r="K316">
        <v>11.39</v>
      </c>
      <c r="L316" t="s">
        <v>8</v>
      </c>
      <c r="M316" t="s">
        <v>72</v>
      </c>
    </row>
    <row r="317" spans="1:13" x14ac:dyDescent="0.45">
      <c r="A317" t="s">
        <v>7</v>
      </c>
      <c r="B317" t="s">
        <v>144</v>
      </c>
      <c r="C317">
        <v>2045</v>
      </c>
      <c r="D317">
        <v>27</v>
      </c>
      <c r="E317">
        <v>9.83</v>
      </c>
      <c r="F317">
        <v>10.97</v>
      </c>
      <c r="G317">
        <v>5.59</v>
      </c>
      <c r="H317">
        <v>2.2000000000000002</v>
      </c>
      <c r="I317">
        <v>17.59</v>
      </c>
      <c r="J317">
        <v>4.3600000000000003</v>
      </c>
      <c r="K317">
        <v>13.87</v>
      </c>
      <c r="L317" t="s">
        <v>8</v>
      </c>
      <c r="M317" t="s">
        <v>72</v>
      </c>
    </row>
    <row r="318" spans="1:13" x14ac:dyDescent="0.45">
      <c r="A318" t="s">
        <v>7</v>
      </c>
      <c r="B318" t="s">
        <v>144</v>
      </c>
      <c r="C318">
        <v>2050</v>
      </c>
      <c r="D318">
        <v>27</v>
      </c>
      <c r="E318">
        <v>10.73</v>
      </c>
      <c r="F318">
        <v>12</v>
      </c>
      <c r="G318">
        <v>6.63</v>
      </c>
      <c r="H318">
        <v>2.5299999999999998</v>
      </c>
      <c r="I318">
        <v>20.81</v>
      </c>
      <c r="J318">
        <v>3.97</v>
      </c>
      <c r="K318">
        <v>16.079999999999998</v>
      </c>
      <c r="L318" t="s">
        <v>8</v>
      </c>
      <c r="M318" t="s">
        <v>72</v>
      </c>
    </row>
    <row r="319" spans="1:13" x14ac:dyDescent="0.45">
      <c r="A319" t="s">
        <v>9</v>
      </c>
      <c r="B319" t="s">
        <v>144</v>
      </c>
      <c r="C319">
        <v>2020</v>
      </c>
      <c r="D319">
        <v>14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72</v>
      </c>
    </row>
    <row r="320" spans="1:13" x14ac:dyDescent="0.45">
      <c r="A320" t="s">
        <v>9</v>
      </c>
      <c r="B320" t="s">
        <v>144</v>
      </c>
      <c r="C320">
        <v>2025</v>
      </c>
      <c r="D320">
        <v>14</v>
      </c>
      <c r="E320">
        <v>1.29</v>
      </c>
      <c r="F320">
        <v>1.08</v>
      </c>
      <c r="G320">
        <v>0.55000000000000004</v>
      </c>
      <c r="H320">
        <v>1</v>
      </c>
      <c r="I320">
        <v>3.05</v>
      </c>
      <c r="J320">
        <v>1.07</v>
      </c>
      <c r="K320">
        <v>1.0900000000000001</v>
      </c>
      <c r="L320" t="s">
        <v>10</v>
      </c>
      <c r="M320" t="s">
        <v>72</v>
      </c>
    </row>
    <row r="321" spans="1:13" x14ac:dyDescent="0.45">
      <c r="A321" t="s">
        <v>9</v>
      </c>
      <c r="B321" t="s">
        <v>144</v>
      </c>
      <c r="C321">
        <v>2030</v>
      </c>
      <c r="D321">
        <v>14</v>
      </c>
      <c r="E321">
        <v>1.82</v>
      </c>
      <c r="F321">
        <v>1.2</v>
      </c>
      <c r="G321">
        <v>2.1800000000000002</v>
      </c>
      <c r="H321">
        <v>1.03</v>
      </c>
      <c r="I321">
        <v>9.36</v>
      </c>
      <c r="J321">
        <v>1.1499999999999999</v>
      </c>
      <c r="K321">
        <v>1.26</v>
      </c>
      <c r="L321" t="s">
        <v>10</v>
      </c>
      <c r="M321" t="s">
        <v>72</v>
      </c>
    </row>
    <row r="322" spans="1:13" x14ac:dyDescent="0.45">
      <c r="A322" t="s">
        <v>9</v>
      </c>
      <c r="B322" t="s">
        <v>144</v>
      </c>
      <c r="C322">
        <v>2035</v>
      </c>
      <c r="D322">
        <v>14</v>
      </c>
      <c r="E322">
        <v>1.99</v>
      </c>
      <c r="F322">
        <v>1.34</v>
      </c>
      <c r="G322">
        <v>2.5299999999999998</v>
      </c>
      <c r="H322">
        <v>1.02</v>
      </c>
      <c r="I322">
        <v>10.74</v>
      </c>
      <c r="J322">
        <v>1.22</v>
      </c>
      <c r="K322">
        <v>1.49</v>
      </c>
      <c r="L322" t="s">
        <v>10</v>
      </c>
      <c r="M322" t="s">
        <v>72</v>
      </c>
    </row>
    <row r="323" spans="1:13" x14ac:dyDescent="0.45">
      <c r="A323" t="s">
        <v>9</v>
      </c>
      <c r="B323" t="s">
        <v>144</v>
      </c>
      <c r="C323">
        <v>2040</v>
      </c>
      <c r="D323">
        <v>14</v>
      </c>
      <c r="E323">
        <v>2.16</v>
      </c>
      <c r="F323">
        <v>1.52</v>
      </c>
      <c r="G323">
        <v>2.5499999999999998</v>
      </c>
      <c r="H323">
        <v>1.01</v>
      </c>
      <c r="I323">
        <v>10.96</v>
      </c>
      <c r="J323">
        <v>1.29</v>
      </c>
      <c r="K323">
        <v>1.79</v>
      </c>
      <c r="L323" t="s">
        <v>10</v>
      </c>
      <c r="M323" t="s">
        <v>72</v>
      </c>
    </row>
    <row r="324" spans="1:13" x14ac:dyDescent="0.45">
      <c r="A324" t="s">
        <v>9</v>
      </c>
      <c r="B324" t="s">
        <v>144</v>
      </c>
      <c r="C324">
        <v>2045</v>
      </c>
      <c r="D324">
        <v>14</v>
      </c>
      <c r="E324">
        <v>2.0699999999999998</v>
      </c>
      <c r="F324">
        <v>1.46</v>
      </c>
      <c r="G324">
        <v>2.0699999999999998</v>
      </c>
      <c r="H324">
        <v>1</v>
      </c>
      <c r="I324">
        <v>9.17</v>
      </c>
      <c r="J324">
        <v>1.35</v>
      </c>
      <c r="K324">
        <v>1.89</v>
      </c>
      <c r="L324" t="s">
        <v>10</v>
      </c>
      <c r="M324" t="s">
        <v>72</v>
      </c>
    </row>
    <row r="325" spans="1:13" x14ac:dyDescent="0.45">
      <c r="A325" t="s">
        <v>9</v>
      </c>
      <c r="B325" t="s">
        <v>144</v>
      </c>
      <c r="C325">
        <v>2050</v>
      </c>
      <c r="D325">
        <v>14</v>
      </c>
      <c r="E325">
        <v>2.23</v>
      </c>
      <c r="F325">
        <v>1.57</v>
      </c>
      <c r="G325">
        <v>2.3199999999999998</v>
      </c>
      <c r="H325">
        <v>1.01</v>
      </c>
      <c r="I325">
        <v>10.14</v>
      </c>
      <c r="J325">
        <v>1.4</v>
      </c>
      <c r="K325">
        <v>2.04</v>
      </c>
      <c r="L325" t="s">
        <v>10</v>
      </c>
      <c r="M325" t="s">
        <v>72</v>
      </c>
    </row>
    <row r="326" spans="1:13" x14ac:dyDescent="0.45">
      <c r="A326" t="s">
        <v>0</v>
      </c>
      <c r="B326" t="s">
        <v>144</v>
      </c>
      <c r="C326">
        <v>2020</v>
      </c>
      <c r="D326">
        <v>6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73</v>
      </c>
    </row>
    <row r="327" spans="1:13" x14ac:dyDescent="0.45">
      <c r="A327" t="s">
        <v>0</v>
      </c>
      <c r="B327" t="s">
        <v>144</v>
      </c>
      <c r="C327">
        <v>2025</v>
      </c>
      <c r="D327">
        <v>6</v>
      </c>
      <c r="E327">
        <v>0.98</v>
      </c>
      <c r="F327">
        <v>0.99</v>
      </c>
      <c r="G327">
        <v>0.05</v>
      </c>
      <c r="H327">
        <v>0.92</v>
      </c>
      <c r="I327">
        <v>1.04</v>
      </c>
      <c r="J327">
        <v>0.93</v>
      </c>
      <c r="K327">
        <v>1.03</v>
      </c>
      <c r="L327" t="s">
        <v>1</v>
      </c>
      <c r="M327" t="s">
        <v>73</v>
      </c>
    </row>
    <row r="328" spans="1:13" x14ac:dyDescent="0.45">
      <c r="A328" t="s">
        <v>0</v>
      </c>
      <c r="B328" t="s">
        <v>144</v>
      </c>
      <c r="C328">
        <v>2030</v>
      </c>
      <c r="D328">
        <v>6</v>
      </c>
      <c r="E328">
        <v>0.92</v>
      </c>
      <c r="F328">
        <v>0.93</v>
      </c>
      <c r="G328">
        <v>0.02</v>
      </c>
      <c r="H328">
        <v>0.89</v>
      </c>
      <c r="I328">
        <v>0.95</v>
      </c>
      <c r="J328">
        <v>0.91</v>
      </c>
      <c r="K328">
        <v>0.94</v>
      </c>
      <c r="L328" t="s">
        <v>1</v>
      </c>
      <c r="M328" t="s">
        <v>73</v>
      </c>
    </row>
    <row r="329" spans="1:13" x14ac:dyDescent="0.45">
      <c r="A329" t="s">
        <v>0</v>
      </c>
      <c r="B329" t="s">
        <v>144</v>
      </c>
      <c r="C329">
        <v>2035</v>
      </c>
      <c r="D329">
        <v>6</v>
      </c>
      <c r="E329">
        <v>0.88</v>
      </c>
      <c r="F329">
        <v>0.87</v>
      </c>
      <c r="G329">
        <v>0.02</v>
      </c>
      <c r="H329">
        <v>0.86</v>
      </c>
      <c r="I329">
        <v>0.91</v>
      </c>
      <c r="J329">
        <v>0.87</v>
      </c>
      <c r="K329">
        <v>0.88</v>
      </c>
      <c r="L329" t="s">
        <v>1</v>
      </c>
      <c r="M329" t="s">
        <v>73</v>
      </c>
    </row>
    <row r="330" spans="1:13" x14ac:dyDescent="0.45">
      <c r="A330" t="s">
        <v>0</v>
      </c>
      <c r="B330" t="s">
        <v>144</v>
      </c>
      <c r="C330">
        <v>2040</v>
      </c>
      <c r="D330">
        <v>6</v>
      </c>
      <c r="E330">
        <v>0.9</v>
      </c>
      <c r="F330">
        <v>0.89</v>
      </c>
      <c r="G330">
        <v>0.02</v>
      </c>
      <c r="H330">
        <v>0.89</v>
      </c>
      <c r="I330">
        <v>0.93</v>
      </c>
      <c r="J330">
        <v>0.89</v>
      </c>
      <c r="K330">
        <v>0.91</v>
      </c>
      <c r="L330" t="s">
        <v>1</v>
      </c>
      <c r="M330" t="s">
        <v>73</v>
      </c>
    </row>
    <row r="331" spans="1:13" x14ac:dyDescent="0.45">
      <c r="A331" t="s">
        <v>0</v>
      </c>
      <c r="B331" t="s">
        <v>144</v>
      </c>
      <c r="C331">
        <v>2045</v>
      </c>
      <c r="D331">
        <v>6</v>
      </c>
      <c r="E331">
        <v>0.95</v>
      </c>
      <c r="F331">
        <v>0.96</v>
      </c>
      <c r="G331">
        <v>0.02</v>
      </c>
      <c r="H331">
        <v>0.91</v>
      </c>
      <c r="I331">
        <v>0.98</v>
      </c>
      <c r="J331">
        <v>0.95</v>
      </c>
      <c r="K331">
        <v>0.96</v>
      </c>
      <c r="L331" t="s">
        <v>1</v>
      </c>
      <c r="M331" t="s">
        <v>73</v>
      </c>
    </row>
    <row r="332" spans="1:13" x14ac:dyDescent="0.45">
      <c r="A332" t="s">
        <v>0</v>
      </c>
      <c r="B332" t="s">
        <v>144</v>
      </c>
      <c r="C332">
        <v>2050</v>
      </c>
      <c r="D332">
        <v>6</v>
      </c>
      <c r="E332">
        <v>0.96</v>
      </c>
      <c r="F332">
        <v>0.97</v>
      </c>
      <c r="G332">
        <v>0.04</v>
      </c>
      <c r="H332">
        <v>0.89</v>
      </c>
      <c r="I332">
        <v>0.99</v>
      </c>
      <c r="J332">
        <v>0.94</v>
      </c>
      <c r="K332">
        <v>0.98</v>
      </c>
      <c r="L332" t="s">
        <v>1</v>
      </c>
      <c r="M332" t="s">
        <v>73</v>
      </c>
    </row>
    <row r="333" spans="1:13" x14ac:dyDescent="0.45">
      <c r="A333" t="s">
        <v>2</v>
      </c>
      <c r="B333" t="s">
        <v>144</v>
      </c>
      <c r="C333">
        <v>2020</v>
      </c>
      <c r="D333">
        <v>7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73</v>
      </c>
    </row>
    <row r="334" spans="1:13" x14ac:dyDescent="0.45">
      <c r="A334" t="s">
        <v>2</v>
      </c>
      <c r="B334" t="s">
        <v>144</v>
      </c>
      <c r="C334">
        <v>2025</v>
      </c>
      <c r="D334">
        <v>7</v>
      </c>
      <c r="E334">
        <v>0.99</v>
      </c>
      <c r="F334">
        <v>0.99</v>
      </c>
      <c r="G334">
        <v>0.08</v>
      </c>
      <c r="H334">
        <v>0.85</v>
      </c>
      <c r="I334">
        <v>1.08</v>
      </c>
      <c r="J334">
        <v>0.97</v>
      </c>
      <c r="K334">
        <v>1.03</v>
      </c>
      <c r="L334" t="s">
        <v>3</v>
      </c>
      <c r="M334" t="s">
        <v>73</v>
      </c>
    </row>
    <row r="335" spans="1:13" x14ac:dyDescent="0.45">
      <c r="A335" t="s">
        <v>2</v>
      </c>
      <c r="B335" t="s">
        <v>144</v>
      </c>
      <c r="C335">
        <v>2030</v>
      </c>
      <c r="D335">
        <v>7</v>
      </c>
      <c r="E335">
        <v>0.84</v>
      </c>
      <c r="F335">
        <v>0.83</v>
      </c>
      <c r="G335">
        <v>0.03</v>
      </c>
      <c r="H335">
        <v>0.81</v>
      </c>
      <c r="I335">
        <v>0.89</v>
      </c>
      <c r="J335">
        <v>0.82</v>
      </c>
      <c r="K335">
        <v>0.85</v>
      </c>
      <c r="L335" t="s">
        <v>3</v>
      </c>
      <c r="M335" t="s">
        <v>73</v>
      </c>
    </row>
    <row r="336" spans="1:13" x14ac:dyDescent="0.45">
      <c r="A336" t="s">
        <v>2</v>
      </c>
      <c r="B336" t="s">
        <v>144</v>
      </c>
      <c r="C336">
        <v>2035</v>
      </c>
      <c r="D336">
        <v>7</v>
      </c>
      <c r="E336">
        <v>0.88</v>
      </c>
      <c r="F336">
        <v>0.86</v>
      </c>
      <c r="G336">
        <v>0.04</v>
      </c>
      <c r="H336">
        <v>0.84</v>
      </c>
      <c r="I336">
        <v>0.96</v>
      </c>
      <c r="J336">
        <v>0.85</v>
      </c>
      <c r="K336">
        <v>0.91</v>
      </c>
      <c r="L336" t="s">
        <v>3</v>
      </c>
      <c r="M336" t="s">
        <v>73</v>
      </c>
    </row>
    <row r="337" spans="1:13" x14ac:dyDescent="0.45">
      <c r="A337" t="s">
        <v>2</v>
      </c>
      <c r="B337" t="s">
        <v>144</v>
      </c>
      <c r="C337">
        <v>2040</v>
      </c>
      <c r="D337">
        <v>7</v>
      </c>
      <c r="E337">
        <v>0.95</v>
      </c>
      <c r="F337">
        <v>0.95</v>
      </c>
      <c r="G337">
        <v>0.03</v>
      </c>
      <c r="H337">
        <v>0.9</v>
      </c>
      <c r="I337">
        <v>0.98</v>
      </c>
      <c r="J337">
        <v>0.93</v>
      </c>
      <c r="K337">
        <v>0.97</v>
      </c>
      <c r="L337" t="s">
        <v>3</v>
      </c>
      <c r="M337" t="s">
        <v>73</v>
      </c>
    </row>
    <row r="338" spans="1:13" x14ac:dyDescent="0.45">
      <c r="A338" t="s">
        <v>2</v>
      </c>
      <c r="B338" t="s">
        <v>144</v>
      </c>
      <c r="C338">
        <v>2045</v>
      </c>
      <c r="D338">
        <v>7</v>
      </c>
      <c r="E338">
        <v>1</v>
      </c>
      <c r="F338">
        <v>0.98</v>
      </c>
      <c r="G338">
        <v>0.04</v>
      </c>
      <c r="H338">
        <v>0.96</v>
      </c>
      <c r="I338">
        <v>1.07</v>
      </c>
      <c r="J338">
        <v>0.97</v>
      </c>
      <c r="K338">
        <v>1.01</v>
      </c>
      <c r="L338" t="s">
        <v>3</v>
      </c>
      <c r="M338" t="s">
        <v>73</v>
      </c>
    </row>
    <row r="339" spans="1:13" x14ac:dyDescent="0.45">
      <c r="A339" t="s">
        <v>2</v>
      </c>
      <c r="B339" t="s">
        <v>144</v>
      </c>
      <c r="C339">
        <v>2050</v>
      </c>
      <c r="D339">
        <v>7</v>
      </c>
      <c r="E339">
        <v>1.05</v>
      </c>
      <c r="F339">
        <v>1.05</v>
      </c>
      <c r="G339">
        <v>0.03</v>
      </c>
      <c r="H339">
        <v>1.01</v>
      </c>
      <c r="I339">
        <v>1.0900000000000001</v>
      </c>
      <c r="J339">
        <v>1.03</v>
      </c>
      <c r="K339">
        <v>1.08</v>
      </c>
      <c r="L339" t="s">
        <v>3</v>
      </c>
      <c r="M339" t="s">
        <v>73</v>
      </c>
    </row>
    <row r="340" spans="1:13" x14ac:dyDescent="0.45">
      <c r="A340" t="s">
        <v>5</v>
      </c>
      <c r="B340" t="s">
        <v>144</v>
      </c>
      <c r="C340">
        <v>2020</v>
      </c>
      <c r="D340">
        <v>15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73</v>
      </c>
    </row>
    <row r="341" spans="1:13" x14ac:dyDescent="0.45">
      <c r="A341" t="s">
        <v>5</v>
      </c>
      <c r="B341" t="s">
        <v>144</v>
      </c>
      <c r="C341">
        <v>2025</v>
      </c>
      <c r="D341">
        <v>15</v>
      </c>
      <c r="E341">
        <v>1.07</v>
      </c>
      <c r="F341">
        <v>0.99</v>
      </c>
      <c r="G341">
        <v>0.22</v>
      </c>
      <c r="H341">
        <v>0.82</v>
      </c>
      <c r="I341">
        <v>1.32</v>
      </c>
      <c r="J341">
        <v>0.88</v>
      </c>
      <c r="K341">
        <v>1.32</v>
      </c>
      <c r="L341" t="s">
        <v>6</v>
      </c>
      <c r="M341" t="s">
        <v>73</v>
      </c>
    </row>
    <row r="342" spans="1:13" x14ac:dyDescent="0.45">
      <c r="A342" t="s">
        <v>5</v>
      </c>
      <c r="B342" t="s">
        <v>144</v>
      </c>
      <c r="C342">
        <v>2030</v>
      </c>
      <c r="D342">
        <v>15</v>
      </c>
      <c r="E342">
        <v>0.99</v>
      </c>
      <c r="F342">
        <v>0.86</v>
      </c>
      <c r="G342">
        <v>0.22</v>
      </c>
      <c r="H342">
        <v>0.77</v>
      </c>
      <c r="I342">
        <v>1.43</v>
      </c>
      <c r="J342">
        <v>0.81</v>
      </c>
      <c r="K342">
        <v>1.19</v>
      </c>
      <c r="L342" t="s">
        <v>6</v>
      </c>
      <c r="M342" t="s">
        <v>73</v>
      </c>
    </row>
    <row r="343" spans="1:13" x14ac:dyDescent="0.45">
      <c r="A343" t="s">
        <v>5</v>
      </c>
      <c r="B343" t="s">
        <v>144</v>
      </c>
      <c r="C343">
        <v>2035</v>
      </c>
      <c r="D343">
        <v>15</v>
      </c>
      <c r="E343">
        <v>1.07</v>
      </c>
      <c r="F343">
        <v>0.91</v>
      </c>
      <c r="G343">
        <v>0.28999999999999998</v>
      </c>
      <c r="H343">
        <v>0.77</v>
      </c>
      <c r="I343">
        <v>1.65</v>
      </c>
      <c r="J343">
        <v>0.85</v>
      </c>
      <c r="K343">
        <v>1.32</v>
      </c>
      <c r="L343" t="s">
        <v>6</v>
      </c>
      <c r="M343" t="s">
        <v>73</v>
      </c>
    </row>
    <row r="344" spans="1:13" x14ac:dyDescent="0.45">
      <c r="A344" t="s">
        <v>5</v>
      </c>
      <c r="B344" t="s">
        <v>144</v>
      </c>
      <c r="C344">
        <v>2040</v>
      </c>
      <c r="D344">
        <v>15</v>
      </c>
      <c r="E344">
        <v>1.33</v>
      </c>
      <c r="F344">
        <v>0.96</v>
      </c>
      <c r="G344">
        <v>0.59</v>
      </c>
      <c r="H344">
        <v>0.88</v>
      </c>
      <c r="I344">
        <v>2.57</v>
      </c>
      <c r="J344">
        <v>0.92</v>
      </c>
      <c r="K344">
        <v>1.69</v>
      </c>
      <c r="L344" t="s">
        <v>6</v>
      </c>
      <c r="M344" t="s">
        <v>73</v>
      </c>
    </row>
    <row r="345" spans="1:13" x14ac:dyDescent="0.45">
      <c r="A345" t="s">
        <v>5</v>
      </c>
      <c r="B345" t="s">
        <v>144</v>
      </c>
      <c r="C345">
        <v>2045</v>
      </c>
      <c r="D345">
        <v>15</v>
      </c>
      <c r="E345">
        <v>1.73</v>
      </c>
      <c r="F345">
        <v>1.05</v>
      </c>
      <c r="G345">
        <v>1.03</v>
      </c>
      <c r="H345">
        <v>0.92</v>
      </c>
      <c r="I345">
        <v>3.81</v>
      </c>
      <c r="J345">
        <v>1.01</v>
      </c>
      <c r="K345">
        <v>2.36</v>
      </c>
      <c r="L345" t="s">
        <v>6</v>
      </c>
      <c r="M345" t="s">
        <v>73</v>
      </c>
    </row>
    <row r="346" spans="1:13" x14ac:dyDescent="0.45">
      <c r="A346" t="s">
        <v>5</v>
      </c>
      <c r="B346" t="s">
        <v>144</v>
      </c>
      <c r="C346">
        <v>2050</v>
      </c>
      <c r="D346">
        <v>15</v>
      </c>
      <c r="E346">
        <v>2.09</v>
      </c>
      <c r="F346">
        <v>1.1000000000000001</v>
      </c>
      <c r="G346">
        <v>1.4</v>
      </c>
      <c r="H346">
        <v>0.98</v>
      </c>
      <c r="I346">
        <v>4.58</v>
      </c>
      <c r="J346">
        <v>1.08</v>
      </c>
      <c r="K346">
        <v>3.03</v>
      </c>
      <c r="L346" t="s">
        <v>6</v>
      </c>
      <c r="M346" t="s">
        <v>73</v>
      </c>
    </row>
    <row r="347" spans="1:13" x14ac:dyDescent="0.45">
      <c r="A347" t="s">
        <v>7</v>
      </c>
      <c r="B347" t="s">
        <v>144</v>
      </c>
      <c r="C347">
        <v>2020</v>
      </c>
      <c r="D347">
        <v>8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73</v>
      </c>
    </row>
    <row r="348" spans="1:13" x14ac:dyDescent="0.45">
      <c r="A348" t="s">
        <v>7</v>
      </c>
      <c r="B348" t="s">
        <v>144</v>
      </c>
      <c r="C348">
        <v>2025</v>
      </c>
      <c r="D348">
        <v>8</v>
      </c>
      <c r="E348">
        <v>1.3</v>
      </c>
      <c r="F348">
        <v>1.29</v>
      </c>
      <c r="G348">
        <v>0.01</v>
      </c>
      <c r="H348">
        <v>1.29</v>
      </c>
      <c r="I348">
        <v>1.32</v>
      </c>
      <c r="J348">
        <v>1.29</v>
      </c>
      <c r="K348">
        <v>1.3</v>
      </c>
      <c r="L348" t="s">
        <v>8</v>
      </c>
      <c r="M348" t="s">
        <v>73</v>
      </c>
    </row>
    <row r="349" spans="1:13" x14ac:dyDescent="0.45">
      <c r="A349" t="s">
        <v>7</v>
      </c>
      <c r="B349" t="s">
        <v>144</v>
      </c>
      <c r="C349">
        <v>2030</v>
      </c>
      <c r="D349">
        <v>8</v>
      </c>
      <c r="E349">
        <v>1.1200000000000001</v>
      </c>
      <c r="F349">
        <v>1.1000000000000001</v>
      </c>
      <c r="G349">
        <v>0.06</v>
      </c>
      <c r="H349">
        <v>1.07</v>
      </c>
      <c r="I349">
        <v>1.2</v>
      </c>
      <c r="J349">
        <v>1.07</v>
      </c>
      <c r="K349">
        <v>1.1599999999999999</v>
      </c>
      <c r="L349" t="s">
        <v>8</v>
      </c>
      <c r="M349" t="s">
        <v>73</v>
      </c>
    </row>
    <row r="350" spans="1:13" x14ac:dyDescent="0.45">
      <c r="A350" t="s">
        <v>7</v>
      </c>
      <c r="B350" t="s">
        <v>144</v>
      </c>
      <c r="C350">
        <v>2035</v>
      </c>
      <c r="D350">
        <v>8</v>
      </c>
      <c r="E350">
        <v>1.04</v>
      </c>
      <c r="F350">
        <v>1.02</v>
      </c>
      <c r="G350">
        <v>7.0000000000000007E-2</v>
      </c>
      <c r="H350">
        <v>0.95</v>
      </c>
      <c r="I350">
        <v>1.1200000000000001</v>
      </c>
      <c r="J350">
        <v>1</v>
      </c>
      <c r="K350">
        <v>1.1000000000000001</v>
      </c>
      <c r="L350" t="s">
        <v>8</v>
      </c>
      <c r="M350" t="s">
        <v>73</v>
      </c>
    </row>
    <row r="351" spans="1:13" x14ac:dyDescent="0.45">
      <c r="A351" t="s">
        <v>7</v>
      </c>
      <c r="B351" t="s">
        <v>144</v>
      </c>
      <c r="C351">
        <v>2040</v>
      </c>
      <c r="D351">
        <v>8</v>
      </c>
      <c r="E351">
        <v>1.1399999999999999</v>
      </c>
      <c r="F351">
        <v>1.1100000000000001</v>
      </c>
      <c r="G351">
        <v>0.12</v>
      </c>
      <c r="H351">
        <v>1.04</v>
      </c>
      <c r="I351">
        <v>1.38</v>
      </c>
      <c r="J351">
        <v>1.04</v>
      </c>
      <c r="K351">
        <v>1.17</v>
      </c>
      <c r="L351" t="s">
        <v>8</v>
      </c>
      <c r="M351" t="s">
        <v>73</v>
      </c>
    </row>
    <row r="352" spans="1:13" x14ac:dyDescent="0.45">
      <c r="A352" t="s">
        <v>7</v>
      </c>
      <c r="B352" t="s">
        <v>144</v>
      </c>
      <c r="C352">
        <v>2045</v>
      </c>
      <c r="D352">
        <v>8</v>
      </c>
      <c r="E352">
        <v>1.41</v>
      </c>
      <c r="F352">
        <v>1.45</v>
      </c>
      <c r="G352">
        <v>0.16</v>
      </c>
      <c r="H352">
        <v>1.2</v>
      </c>
      <c r="I352">
        <v>1.57</v>
      </c>
      <c r="J352">
        <v>1.27</v>
      </c>
      <c r="K352">
        <v>1.56</v>
      </c>
      <c r="L352" t="s">
        <v>8</v>
      </c>
      <c r="M352" t="s">
        <v>73</v>
      </c>
    </row>
    <row r="353" spans="1:13" x14ac:dyDescent="0.45">
      <c r="A353" t="s">
        <v>7</v>
      </c>
      <c r="B353" t="s">
        <v>144</v>
      </c>
      <c r="C353">
        <v>2050</v>
      </c>
      <c r="D353">
        <v>8</v>
      </c>
      <c r="E353">
        <v>1.91</v>
      </c>
      <c r="F353">
        <v>1.92</v>
      </c>
      <c r="G353">
        <v>0.34</v>
      </c>
      <c r="H353">
        <v>1.42</v>
      </c>
      <c r="I353">
        <v>2.35</v>
      </c>
      <c r="J353">
        <v>1.69</v>
      </c>
      <c r="K353">
        <v>2.17</v>
      </c>
      <c r="L353" t="s">
        <v>8</v>
      </c>
      <c r="M353" t="s">
        <v>73</v>
      </c>
    </row>
    <row r="354" spans="1:13" x14ac:dyDescent="0.45">
      <c r="A354" t="s">
        <v>9</v>
      </c>
      <c r="B354" t="s">
        <v>144</v>
      </c>
      <c r="C354">
        <v>2020</v>
      </c>
      <c r="D354">
        <v>7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73</v>
      </c>
    </row>
    <row r="355" spans="1:13" x14ac:dyDescent="0.45">
      <c r="A355" t="s">
        <v>9</v>
      </c>
      <c r="B355" t="s">
        <v>144</v>
      </c>
      <c r="C355">
        <v>2025</v>
      </c>
      <c r="D355">
        <v>7</v>
      </c>
      <c r="E355">
        <v>0.99</v>
      </c>
      <c r="F355">
        <v>0.84</v>
      </c>
      <c r="G355">
        <v>0.21</v>
      </c>
      <c r="H355">
        <v>0.83</v>
      </c>
      <c r="I355">
        <v>1.29</v>
      </c>
      <c r="J355">
        <v>0.83</v>
      </c>
      <c r="K355">
        <v>1.1599999999999999</v>
      </c>
      <c r="L355" t="s">
        <v>10</v>
      </c>
      <c r="M355" t="s">
        <v>73</v>
      </c>
    </row>
    <row r="356" spans="1:13" x14ac:dyDescent="0.45">
      <c r="A356" t="s">
        <v>9</v>
      </c>
      <c r="B356" t="s">
        <v>144</v>
      </c>
      <c r="C356">
        <v>2030</v>
      </c>
      <c r="D356">
        <v>7</v>
      </c>
      <c r="E356">
        <v>0.9</v>
      </c>
      <c r="F356">
        <v>0.79</v>
      </c>
      <c r="G356">
        <v>0.14000000000000001</v>
      </c>
      <c r="H356">
        <v>0.78</v>
      </c>
      <c r="I356">
        <v>1.07</v>
      </c>
      <c r="J356">
        <v>0.78</v>
      </c>
      <c r="K356">
        <v>1.04</v>
      </c>
      <c r="L356" t="s">
        <v>10</v>
      </c>
      <c r="M356" t="s">
        <v>73</v>
      </c>
    </row>
    <row r="357" spans="1:13" x14ac:dyDescent="0.45">
      <c r="A357" t="s">
        <v>9</v>
      </c>
      <c r="B357" t="s">
        <v>144</v>
      </c>
      <c r="C357">
        <v>2035</v>
      </c>
      <c r="D357">
        <v>7</v>
      </c>
      <c r="E357">
        <v>0.85</v>
      </c>
      <c r="F357">
        <v>0.82</v>
      </c>
      <c r="G357">
        <v>7.0000000000000007E-2</v>
      </c>
      <c r="H357">
        <v>0.8</v>
      </c>
      <c r="I357">
        <v>0.98</v>
      </c>
      <c r="J357">
        <v>0.81</v>
      </c>
      <c r="K357">
        <v>0.86</v>
      </c>
      <c r="L357" t="s">
        <v>10</v>
      </c>
      <c r="M357" t="s">
        <v>73</v>
      </c>
    </row>
    <row r="358" spans="1:13" x14ac:dyDescent="0.45">
      <c r="A358" t="s">
        <v>9</v>
      </c>
      <c r="B358" t="s">
        <v>144</v>
      </c>
      <c r="C358">
        <v>2040</v>
      </c>
      <c r="D358">
        <v>7</v>
      </c>
      <c r="E358">
        <v>0.87</v>
      </c>
      <c r="F358">
        <v>0.86</v>
      </c>
      <c r="G358">
        <v>0.06</v>
      </c>
      <c r="H358">
        <v>0.83</v>
      </c>
      <c r="I358">
        <v>0.99</v>
      </c>
      <c r="J358">
        <v>0.84</v>
      </c>
      <c r="K358">
        <v>0.86</v>
      </c>
      <c r="L358" t="s">
        <v>10</v>
      </c>
      <c r="M358" t="s">
        <v>73</v>
      </c>
    </row>
    <row r="359" spans="1:13" x14ac:dyDescent="0.45">
      <c r="A359" t="s">
        <v>9</v>
      </c>
      <c r="B359" t="s">
        <v>144</v>
      </c>
      <c r="C359">
        <v>2045</v>
      </c>
      <c r="D359">
        <v>7</v>
      </c>
      <c r="E359">
        <v>0.9</v>
      </c>
      <c r="F359">
        <v>0.88</v>
      </c>
      <c r="G359">
        <v>0.09</v>
      </c>
      <c r="H359">
        <v>0.82</v>
      </c>
      <c r="I359">
        <v>1.0900000000000001</v>
      </c>
      <c r="J359">
        <v>0.85</v>
      </c>
      <c r="K359">
        <v>0.89</v>
      </c>
      <c r="L359" t="s">
        <v>10</v>
      </c>
      <c r="M359" t="s">
        <v>73</v>
      </c>
    </row>
    <row r="360" spans="1:13" x14ac:dyDescent="0.45">
      <c r="A360" t="s">
        <v>9</v>
      </c>
      <c r="B360" t="s">
        <v>144</v>
      </c>
      <c r="C360">
        <v>2050</v>
      </c>
      <c r="D360">
        <v>7</v>
      </c>
      <c r="E360">
        <v>0.94</v>
      </c>
      <c r="F360">
        <v>0.9</v>
      </c>
      <c r="G360">
        <v>0.15</v>
      </c>
      <c r="H360">
        <v>0.84</v>
      </c>
      <c r="I360">
        <v>1.28</v>
      </c>
      <c r="J360">
        <v>0.87</v>
      </c>
      <c r="K360">
        <v>0.92</v>
      </c>
      <c r="L360" t="s">
        <v>10</v>
      </c>
      <c r="M360" t="s">
        <v>73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M24"/>
  <sheetViews>
    <sheetView workbookViewId="0">
      <selection activeCell="H21" sqref="H21"/>
    </sheetView>
  </sheetViews>
  <sheetFormatPr defaultRowHeight="14.25" x14ac:dyDescent="0.45"/>
  <sheetData>
    <row r="10" spans="1:13" x14ac:dyDescent="0.45">
      <c r="A10" t="str">
        <f>IFERROR(Veda!D5,"ts_12t")</f>
        <v>ts_annual</v>
      </c>
      <c r="B10" s="15"/>
      <c r="C10" s="15" t="s">
        <v>249</v>
      </c>
      <c r="D10" t="s">
        <v>124</v>
      </c>
      <c r="F10" t="s">
        <v>249</v>
      </c>
      <c r="G10" t="s">
        <v>126</v>
      </c>
      <c r="I10" t="s">
        <v>249</v>
      </c>
      <c r="J10" t="s">
        <v>106</v>
      </c>
      <c r="L10" t="s">
        <v>249</v>
      </c>
      <c r="M10" t="s">
        <v>131</v>
      </c>
    </row>
    <row r="11" spans="1:13" x14ac:dyDescent="0.45">
      <c r="B11" s="15"/>
      <c r="C11" s="15" t="s">
        <v>250</v>
      </c>
      <c r="D11" t="s">
        <v>251</v>
      </c>
      <c r="F11" t="s">
        <v>250</v>
      </c>
      <c r="G11" t="s">
        <v>295</v>
      </c>
      <c r="I11" t="s">
        <v>250</v>
      </c>
      <c r="J11" t="s">
        <v>299</v>
      </c>
      <c r="L11" t="s">
        <v>250</v>
      </c>
      <c r="M11" t="s">
        <v>318</v>
      </c>
    </row>
    <row r="12" spans="1:13" x14ac:dyDescent="0.45">
      <c r="B12" s="15"/>
      <c r="C12" s="15" t="s">
        <v>252</v>
      </c>
      <c r="D12" t="s">
        <v>253</v>
      </c>
      <c r="F12" t="s">
        <v>252</v>
      </c>
      <c r="G12" t="s">
        <v>296</v>
      </c>
      <c r="I12" t="s">
        <v>252</v>
      </c>
      <c r="J12" t="s">
        <v>299</v>
      </c>
      <c r="L12" t="s">
        <v>252</v>
      </c>
      <c r="M12" t="s">
        <v>319</v>
      </c>
    </row>
    <row r="17" spans="3:13" x14ac:dyDescent="0.45">
      <c r="I17" s="12">
        <v>0.75</v>
      </c>
      <c r="K17" s="2" t="s">
        <v>84</v>
      </c>
    </row>
    <row r="18" spans="3:13" ht="17.649999999999999" thickBot="1" x14ac:dyDescent="0.6">
      <c r="C18" s="13" t="s">
        <v>85</v>
      </c>
    </row>
    <row r="19" spans="3:13" ht="14.65" thickTop="1" x14ac:dyDescent="0.45"/>
    <row r="21" spans="3:13" ht="17.649999999999999" thickBot="1" x14ac:dyDescent="0.6">
      <c r="H21" s="13" t="str">
        <f>IF(H23=H24,"Not Required!","~UC_T: LO")</f>
        <v>Not Required!</v>
      </c>
    </row>
    <row r="22" spans="3:13" ht="15" thickTop="1" thickBot="1" x14ac:dyDescent="0.5">
      <c r="C22" s="14" t="s">
        <v>86</v>
      </c>
      <c r="D22" s="14" t="s">
        <v>87</v>
      </c>
      <c r="E22" s="14" t="s">
        <v>88</v>
      </c>
      <c r="F22" s="14" t="s">
        <v>89</v>
      </c>
      <c r="G22" s="14" t="s">
        <v>90</v>
      </c>
      <c r="H22" s="14" t="s">
        <v>91</v>
      </c>
      <c r="I22" s="14" t="s">
        <v>92</v>
      </c>
      <c r="J22" s="14" t="s">
        <v>93</v>
      </c>
      <c r="K22" s="14" t="s">
        <v>94</v>
      </c>
    </row>
    <row r="23" spans="3:13" x14ac:dyDescent="0.45">
      <c r="C23" t="s">
        <v>95</v>
      </c>
      <c r="D23" t="s">
        <v>96</v>
      </c>
      <c r="E23" t="str">
        <f>G23</f>
        <v>AuxStoIN</v>
      </c>
      <c r="F23" t="s">
        <v>97</v>
      </c>
      <c r="G23" t="s">
        <v>98</v>
      </c>
      <c r="H23" t="str">
        <f>HLOOKUP($A$10,$D$10:$CU$12,3,FALSE)</f>
        <v>AllSaAllH</v>
      </c>
      <c r="I23">
        <f>1+I24</f>
        <v>0.25</v>
      </c>
      <c r="J23">
        <v>0</v>
      </c>
      <c r="K23">
        <v>3</v>
      </c>
      <c r="M23" t="s">
        <v>99</v>
      </c>
    </row>
    <row r="24" spans="3:13" x14ac:dyDescent="0.45">
      <c r="D24" t="s">
        <v>96</v>
      </c>
      <c r="E24" t="str">
        <f>G24</f>
        <v>AuxStoIN</v>
      </c>
      <c r="F24" t="s">
        <v>97</v>
      </c>
      <c r="G24" t="s">
        <v>98</v>
      </c>
      <c r="H24" t="str">
        <f>HLOOKUP($A$10,$D$10:$CU$12,2,FALSE)</f>
        <v>AllSaAllH</v>
      </c>
      <c r="I24">
        <f>-$I$17</f>
        <v>-0.75</v>
      </c>
      <c r="M24" t="s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8DBFA-420D-4DC9-BEB7-9A5BAF8D99FF}">
  <dimension ref="A9:AN442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124</v>
      </c>
      <c r="C10" t="s">
        <v>147</v>
      </c>
      <c r="D10" t="s">
        <v>148</v>
      </c>
      <c r="E10" t="s">
        <v>149</v>
      </c>
      <c r="F10" t="s">
        <v>150</v>
      </c>
      <c r="G10" t="s">
        <v>151</v>
      </c>
      <c r="I10" t="s">
        <v>13</v>
      </c>
      <c r="J10" t="s">
        <v>121</v>
      </c>
      <c r="K10" t="s">
        <v>161</v>
      </c>
      <c r="L10" t="s">
        <v>30</v>
      </c>
      <c r="N10" t="s">
        <v>13</v>
      </c>
      <c r="O10" t="s">
        <v>121</v>
      </c>
      <c r="P10" t="s">
        <v>161</v>
      </c>
      <c r="Q10" t="s">
        <v>30</v>
      </c>
      <c r="S10" t="s">
        <v>13</v>
      </c>
      <c r="T10" t="s">
        <v>121</v>
      </c>
      <c r="U10" t="s">
        <v>161</v>
      </c>
      <c r="V10" t="s">
        <v>30</v>
      </c>
      <c r="X10" t="s">
        <v>248</v>
      </c>
      <c r="Y10" t="s">
        <v>161</v>
      </c>
      <c r="Z10" t="s">
        <v>121</v>
      </c>
      <c r="AA10" t="s">
        <v>13</v>
      </c>
      <c r="AC10" t="s">
        <v>13</v>
      </c>
      <c r="AD10" t="s">
        <v>121</v>
      </c>
      <c r="AE10" t="s">
        <v>161</v>
      </c>
      <c r="AG10" t="s">
        <v>13</v>
      </c>
      <c r="AH10" t="s">
        <v>121</v>
      </c>
      <c r="AI10" t="s">
        <v>254</v>
      </c>
      <c r="AK10" t="s">
        <v>47</v>
      </c>
      <c r="AL10" t="s">
        <v>121</v>
      </c>
      <c r="AM10" t="s">
        <v>255</v>
      </c>
      <c r="AN10" t="s">
        <v>256</v>
      </c>
    </row>
    <row r="11" spans="1:40" x14ac:dyDescent="0.45">
      <c r="A11" t="str">
        <f>IFERROR(IF(Veda!D5=A10,"ok","x"),"")</f>
        <v>x</v>
      </c>
      <c r="C11" t="s">
        <v>152</v>
      </c>
      <c r="D11" t="s">
        <v>153</v>
      </c>
      <c r="E11" t="s">
        <v>154</v>
      </c>
      <c r="F11" t="s">
        <v>155</v>
      </c>
      <c r="G11" t="s">
        <v>153</v>
      </c>
      <c r="I11" t="s">
        <v>162</v>
      </c>
      <c r="J11" t="s">
        <v>163</v>
      </c>
      <c r="K11">
        <v>4.6722121837419819E-3</v>
      </c>
      <c r="L11" t="s">
        <v>164</v>
      </c>
      <c r="N11" t="s">
        <v>211</v>
      </c>
      <c r="O11" t="s">
        <v>163</v>
      </c>
      <c r="P11">
        <v>8.5646132017407353E-2</v>
      </c>
      <c r="Q11" t="s">
        <v>164</v>
      </c>
      <c r="S11" t="s">
        <v>238</v>
      </c>
      <c r="T11" t="s">
        <v>163</v>
      </c>
      <c r="U11">
        <v>3.3195622765722861E-2</v>
      </c>
      <c r="V11" t="s">
        <v>164</v>
      </c>
      <c r="X11">
        <v>5.3881278538812784E-2</v>
      </c>
      <c r="Y11">
        <v>2.9864505382492607E-2</v>
      </c>
      <c r="Z11" t="s">
        <v>163</v>
      </c>
      <c r="AA11" t="s">
        <v>25</v>
      </c>
      <c r="AC11" t="s">
        <v>22</v>
      </c>
      <c r="AD11" t="s">
        <v>163</v>
      </c>
      <c r="AE11">
        <v>4.3063403215144194E-2</v>
      </c>
      <c r="AG11" t="s">
        <v>96</v>
      </c>
      <c r="AH11" t="s">
        <v>163</v>
      </c>
      <c r="AI11">
        <v>0.31726468829417898</v>
      </c>
      <c r="AK11">
        <v>2020</v>
      </c>
      <c r="AL11" t="s">
        <v>152</v>
      </c>
      <c r="AM11">
        <v>0.37175242086383653</v>
      </c>
      <c r="AN11" t="s">
        <v>257</v>
      </c>
    </row>
    <row r="12" spans="1:40" x14ac:dyDescent="0.45">
      <c r="C12" t="s">
        <v>156</v>
      </c>
      <c r="E12" t="s">
        <v>157</v>
      </c>
      <c r="G12" t="s">
        <v>153</v>
      </c>
      <c r="I12" t="s">
        <v>162</v>
      </c>
      <c r="J12" t="s">
        <v>165</v>
      </c>
      <c r="K12">
        <v>0.20049666304140337</v>
      </c>
      <c r="L12" t="s">
        <v>164</v>
      </c>
      <c r="N12" t="s">
        <v>211</v>
      </c>
      <c r="O12" t="s">
        <v>165</v>
      </c>
      <c r="P12">
        <v>8.6473497720989695E-2</v>
      </c>
      <c r="Q12" t="s">
        <v>164</v>
      </c>
      <c r="S12" t="s">
        <v>238</v>
      </c>
      <c r="T12" t="s">
        <v>165</v>
      </c>
      <c r="U12">
        <v>0.12272592521213846</v>
      </c>
      <c r="V12" t="s">
        <v>164</v>
      </c>
      <c r="X12">
        <v>0.10102739726027397</v>
      </c>
      <c r="Y12">
        <v>0.13001914327623501</v>
      </c>
      <c r="Z12" t="s">
        <v>165</v>
      </c>
      <c r="AA12" t="s">
        <v>25</v>
      </c>
      <c r="AC12" t="s">
        <v>22</v>
      </c>
      <c r="AD12" t="s">
        <v>165</v>
      </c>
      <c r="AE12">
        <v>0.11967282373419386</v>
      </c>
      <c r="AG12" t="s">
        <v>96</v>
      </c>
      <c r="AH12" t="s">
        <v>165</v>
      </c>
      <c r="AI12">
        <v>0.20767368356902027</v>
      </c>
      <c r="AK12">
        <v>2020</v>
      </c>
      <c r="AL12" t="s">
        <v>156</v>
      </c>
      <c r="AM12">
        <v>0.22505626406601639</v>
      </c>
      <c r="AN12" t="s">
        <v>257</v>
      </c>
    </row>
    <row r="13" spans="1:40" x14ac:dyDescent="0.45">
      <c r="C13" t="s">
        <v>158</v>
      </c>
      <c r="E13" t="s">
        <v>159</v>
      </c>
      <c r="G13" t="s">
        <v>153</v>
      </c>
      <c r="I13" t="s">
        <v>162</v>
      </c>
      <c r="J13" t="s">
        <v>166</v>
      </c>
      <c r="K13">
        <v>0</v>
      </c>
      <c r="L13" t="s">
        <v>164</v>
      </c>
      <c r="N13" t="s">
        <v>211</v>
      </c>
      <c r="O13" t="s">
        <v>166</v>
      </c>
      <c r="P13">
        <v>1.077601088599405E-2</v>
      </c>
      <c r="Q13" t="s">
        <v>164</v>
      </c>
      <c r="S13" t="s">
        <v>238</v>
      </c>
      <c r="T13" t="s">
        <v>166</v>
      </c>
      <c r="U13">
        <v>5.8398969883341539E-3</v>
      </c>
      <c r="V13" t="s">
        <v>164</v>
      </c>
      <c r="X13">
        <v>6.735159817351598E-3</v>
      </c>
      <c r="Y13">
        <v>1.7601869577107631E-3</v>
      </c>
      <c r="Z13" t="s">
        <v>166</v>
      </c>
      <c r="AA13" t="s">
        <v>25</v>
      </c>
      <c r="AC13" t="s">
        <v>22</v>
      </c>
      <c r="AD13" t="s">
        <v>166</v>
      </c>
      <c r="AE13">
        <v>4.2741041258635712E-3</v>
      </c>
      <c r="AG13" t="s">
        <v>96</v>
      </c>
      <c r="AH13" t="s">
        <v>166</v>
      </c>
      <c r="AI13">
        <v>5.3882725832012701E-2</v>
      </c>
      <c r="AK13">
        <v>2020</v>
      </c>
      <c r="AL13" t="s">
        <v>158</v>
      </c>
      <c r="AM13">
        <v>0.29453196632491452</v>
      </c>
      <c r="AN13" t="s">
        <v>257</v>
      </c>
    </row>
    <row r="14" spans="1:40" x14ac:dyDescent="0.45">
      <c r="C14" t="s">
        <v>160</v>
      </c>
      <c r="I14" t="s">
        <v>162</v>
      </c>
      <c r="J14" t="s">
        <v>167</v>
      </c>
      <c r="K14">
        <v>1.695668289459049E-3</v>
      </c>
      <c r="L14" t="s">
        <v>164</v>
      </c>
      <c r="N14" t="s">
        <v>211</v>
      </c>
      <c r="O14" t="s">
        <v>167</v>
      </c>
      <c r="P14">
        <v>6.3034791545868593E-2</v>
      </c>
      <c r="Q14" t="s">
        <v>164</v>
      </c>
      <c r="S14" t="s">
        <v>238</v>
      </c>
      <c r="T14" t="s">
        <v>167</v>
      </c>
      <c r="U14">
        <v>3.8821695062950946E-2</v>
      </c>
      <c r="V14" t="s">
        <v>164</v>
      </c>
      <c r="X14">
        <v>2.8310502283105023E-2</v>
      </c>
      <c r="Y14">
        <v>1.5691519777241876E-2</v>
      </c>
      <c r="Z14" t="s">
        <v>167</v>
      </c>
      <c r="AA14" t="s">
        <v>25</v>
      </c>
      <c r="AC14" t="s">
        <v>22</v>
      </c>
      <c r="AD14" t="s">
        <v>167</v>
      </c>
      <c r="AE14">
        <v>2.3214014900256031E-2</v>
      </c>
      <c r="AG14" t="s">
        <v>96</v>
      </c>
      <c r="AH14" t="s">
        <v>167</v>
      </c>
      <c r="AI14">
        <v>0.34456891333957795</v>
      </c>
      <c r="AK14">
        <v>2020</v>
      </c>
      <c r="AL14" t="s">
        <v>160</v>
      </c>
      <c r="AM14">
        <v>0.4304722013836792</v>
      </c>
      <c r="AN14" t="s">
        <v>257</v>
      </c>
    </row>
    <row r="15" spans="1:40" x14ac:dyDescent="0.45">
      <c r="I15" t="s">
        <v>162</v>
      </c>
      <c r="J15" t="s">
        <v>168</v>
      </c>
      <c r="K15">
        <v>9.2697448520417267E-2</v>
      </c>
      <c r="L15" t="s">
        <v>164</v>
      </c>
      <c r="N15" t="s">
        <v>211</v>
      </c>
      <c r="O15" t="s">
        <v>168</v>
      </c>
      <c r="P15">
        <v>4.3516960226472237E-2</v>
      </c>
      <c r="Q15" t="s">
        <v>164</v>
      </c>
      <c r="S15" t="s">
        <v>238</v>
      </c>
      <c r="T15" t="s">
        <v>168</v>
      </c>
      <c r="U15">
        <v>8.815114704159617E-2</v>
      </c>
      <c r="V15" t="s">
        <v>164</v>
      </c>
      <c r="X15">
        <v>5.3082191780821915E-2</v>
      </c>
      <c r="Y15">
        <v>6.8315143077343821E-2</v>
      </c>
      <c r="Z15" t="s">
        <v>168</v>
      </c>
      <c r="AA15" t="s">
        <v>25</v>
      </c>
      <c r="AC15" t="s">
        <v>22</v>
      </c>
      <c r="AD15" t="s">
        <v>168</v>
      </c>
      <c r="AE15">
        <v>6.5448793102430153E-2</v>
      </c>
      <c r="AG15" t="s">
        <v>96</v>
      </c>
      <c r="AH15" t="s">
        <v>168</v>
      </c>
      <c r="AI15">
        <v>0.18243136468134158</v>
      </c>
      <c r="AK15">
        <v>2021</v>
      </c>
      <c r="AL15" t="s">
        <v>152</v>
      </c>
      <c r="AM15">
        <v>0.4337021755438859</v>
      </c>
      <c r="AN15" t="s">
        <v>257</v>
      </c>
    </row>
    <row r="16" spans="1:40" x14ac:dyDescent="0.45">
      <c r="I16" t="s">
        <v>162</v>
      </c>
      <c r="J16" t="s">
        <v>169</v>
      </c>
      <c r="K16">
        <v>0</v>
      </c>
      <c r="L16" t="s">
        <v>164</v>
      </c>
      <c r="N16" t="s">
        <v>211</v>
      </c>
      <c r="O16" t="s">
        <v>169</v>
      </c>
      <c r="P16">
        <v>6.4933782873261405E-3</v>
      </c>
      <c r="Q16" t="s">
        <v>164</v>
      </c>
      <c r="S16" t="s">
        <v>238</v>
      </c>
      <c r="T16" t="s">
        <v>169</v>
      </c>
      <c r="U16">
        <v>4.4036894344861308E-3</v>
      </c>
      <c r="V16" t="s">
        <v>164</v>
      </c>
      <c r="X16">
        <v>3.5388127853881279E-3</v>
      </c>
      <c r="Y16">
        <v>9.2484399472938378E-4</v>
      </c>
      <c r="Z16" t="s">
        <v>169</v>
      </c>
      <c r="AA16" t="s">
        <v>25</v>
      </c>
      <c r="AC16" t="s">
        <v>22</v>
      </c>
      <c r="AD16" t="s">
        <v>169</v>
      </c>
      <c r="AE16">
        <v>2.2901287612460464E-3</v>
      </c>
      <c r="AG16" t="s">
        <v>96</v>
      </c>
      <c r="AH16" t="s">
        <v>169</v>
      </c>
      <c r="AI16">
        <v>2.7743894744811648E-2</v>
      </c>
      <c r="AK16">
        <v>2021</v>
      </c>
      <c r="AL16" t="s">
        <v>156</v>
      </c>
      <c r="AM16">
        <v>0.35633908477119269</v>
      </c>
      <c r="AN16" t="s">
        <v>257</v>
      </c>
    </row>
    <row r="17" spans="9:40" x14ac:dyDescent="0.45">
      <c r="I17" t="s">
        <v>162</v>
      </c>
      <c r="J17" t="s">
        <v>170</v>
      </c>
      <c r="K17">
        <v>8.4699480547084961E-3</v>
      </c>
      <c r="L17" t="s">
        <v>164</v>
      </c>
      <c r="N17" t="s">
        <v>211</v>
      </c>
      <c r="O17" t="s">
        <v>170</v>
      </c>
      <c r="P17">
        <v>0.19651723778957866</v>
      </c>
      <c r="Q17" t="s">
        <v>164</v>
      </c>
      <c r="S17" t="s">
        <v>238</v>
      </c>
      <c r="T17" t="s">
        <v>170</v>
      </c>
      <c r="U17">
        <v>0.13003737962280104</v>
      </c>
      <c r="V17" t="s">
        <v>164</v>
      </c>
      <c r="X17">
        <v>0.13972602739726028</v>
      </c>
      <c r="Y17">
        <v>7.7445242771548628E-2</v>
      </c>
      <c r="Z17" t="s">
        <v>170</v>
      </c>
      <c r="AA17" t="s">
        <v>25</v>
      </c>
      <c r="AC17" t="s">
        <v>22</v>
      </c>
      <c r="AD17" t="s">
        <v>170</v>
      </c>
      <c r="AE17">
        <v>0.11068930918294156</v>
      </c>
      <c r="AG17" t="s">
        <v>96</v>
      </c>
      <c r="AH17" t="s">
        <v>170</v>
      </c>
      <c r="AI17">
        <v>0.35226206844801289</v>
      </c>
      <c r="AK17">
        <v>2021</v>
      </c>
      <c r="AL17" t="s">
        <v>158</v>
      </c>
      <c r="AM17">
        <v>0.27894473618404597</v>
      </c>
      <c r="AN17" t="s">
        <v>257</v>
      </c>
    </row>
    <row r="18" spans="9:40" x14ac:dyDescent="0.45">
      <c r="I18" t="s">
        <v>162</v>
      </c>
      <c r="J18" t="s">
        <v>171</v>
      </c>
      <c r="K18">
        <v>0.35242490717627811</v>
      </c>
      <c r="L18" t="s">
        <v>164</v>
      </c>
      <c r="N18" t="s">
        <v>211</v>
      </c>
      <c r="O18" t="s">
        <v>171</v>
      </c>
      <c r="P18">
        <v>0.25671152996975027</v>
      </c>
      <c r="Q18" t="s">
        <v>164</v>
      </c>
      <c r="S18" t="s">
        <v>238</v>
      </c>
      <c r="T18" t="s">
        <v>171</v>
      </c>
      <c r="U18">
        <v>0.3310447500742652</v>
      </c>
      <c r="V18" t="s">
        <v>164</v>
      </c>
      <c r="X18">
        <v>0.26198630136986301</v>
      </c>
      <c r="Y18">
        <v>0.33716828680108402</v>
      </c>
      <c r="Z18" t="s">
        <v>171</v>
      </c>
      <c r="AA18" t="s">
        <v>25</v>
      </c>
      <c r="AC18" t="s">
        <v>22</v>
      </c>
      <c r="AD18" t="s">
        <v>171</v>
      </c>
      <c r="AE18">
        <v>0.29409967448133179</v>
      </c>
      <c r="AG18" t="s">
        <v>96</v>
      </c>
      <c r="AH18" t="s">
        <v>171</v>
      </c>
      <c r="AI18">
        <v>0.22202566550132552</v>
      </c>
      <c r="AK18">
        <v>2021</v>
      </c>
      <c r="AL18" t="s">
        <v>160</v>
      </c>
      <c r="AM18">
        <v>0.4890285071267817</v>
      </c>
      <c r="AN18" t="s">
        <v>257</v>
      </c>
    </row>
    <row r="19" spans="9:40" x14ac:dyDescent="0.45">
      <c r="I19" t="s">
        <v>162</v>
      </c>
      <c r="J19" t="s">
        <v>172</v>
      </c>
      <c r="K19">
        <v>0</v>
      </c>
      <c r="L19" t="s">
        <v>164</v>
      </c>
      <c r="N19" t="s">
        <v>211</v>
      </c>
      <c r="O19" t="s">
        <v>172</v>
      </c>
      <c r="P19">
        <v>2.2789225912786187E-2</v>
      </c>
      <c r="Q19" t="s">
        <v>164</v>
      </c>
      <c r="S19" t="s">
        <v>238</v>
      </c>
      <c r="T19" t="s">
        <v>172</v>
      </c>
      <c r="U19">
        <v>1.6519694231276083E-2</v>
      </c>
      <c r="V19" t="s">
        <v>164</v>
      </c>
      <c r="X19">
        <v>1.7465753424657535E-2</v>
      </c>
      <c r="Y19">
        <v>4.5645526191482495E-3</v>
      </c>
      <c r="Z19" t="s">
        <v>172</v>
      </c>
      <c r="AA19" t="s">
        <v>25</v>
      </c>
      <c r="AC19" t="s">
        <v>22</v>
      </c>
      <c r="AD19" t="s">
        <v>172</v>
      </c>
      <c r="AE19">
        <v>1.0650105501654102E-2</v>
      </c>
      <c r="AG19" t="s">
        <v>96</v>
      </c>
      <c r="AH19" t="s">
        <v>172</v>
      </c>
      <c r="AI19">
        <v>0.13589491318105673</v>
      </c>
      <c r="AK19">
        <v>2022</v>
      </c>
      <c r="AL19" t="s">
        <v>152</v>
      </c>
      <c r="AM19">
        <v>0.44933108277069267</v>
      </c>
      <c r="AN19" t="s">
        <v>257</v>
      </c>
    </row>
    <row r="20" spans="9:40" x14ac:dyDescent="0.45">
      <c r="I20" t="s">
        <v>162</v>
      </c>
      <c r="J20" t="s">
        <v>173</v>
      </c>
      <c r="K20">
        <v>6.9602265075502856E-3</v>
      </c>
      <c r="L20" t="s">
        <v>164</v>
      </c>
      <c r="N20" t="s">
        <v>211</v>
      </c>
      <c r="O20" t="s">
        <v>173</v>
      </c>
      <c r="P20">
        <v>0.10448401785408493</v>
      </c>
      <c r="Q20" t="s">
        <v>164</v>
      </c>
      <c r="S20" t="s">
        <v>238</v>
      </c>
      <c r="T20" t="s">
        <v>173</v>
      </c>
      <c r="U20">
        <v>5.4699457108262108E-2</v>
      </c>
      <c r="V20" t="s">
        <v>164</v>
      </c>
      <c r="X20">
        <v>0.11141552511415526</v>
      </c>
      <c r="Y20">
        <v>6.1753722994306731E-2</v>
      </c>
      <c r="Z20" t="s">
        <v>173</v>
      </c>
      <c r="AA20" t="s">
        <v>25</v>
      </c>
      <c r="AC20" t="s">
        <v>22</v>
      </c>
      <c r="AD20" t="s">
        <v>173</v>
      </c>
      <c r="AE20">
        <v>8.6336809290063973E-2</v>
      </c>
      <c r="AG20" t="s">
        <v>96</v>
      </c>
      <c r="AH20" t="s">
        <v>173</v>
      </c>
      <c r="AI20">
        <v>0.34770234546374912</v>
      </c>
      <c r="AK20">
        <v>2022</v>
      </c>
      <c r="AL20" t="s">
        <v>156</v>
      </c>
      <c r="AM20">
        <v>0.41885471367841959</v>
      </c>
      <c r="AN20" t="s">
        <v>257</v>
      </c>
    </row>
    <row r="21" spans="9:40" x14ac:dyDescent="0.45">
      <c r="I21" t="s">
        <v>162</v>
      </c>
      <c r="J21" t="s">
        <v>174</v>
      </c>
      <c r="K21">
        <v>0.33258292622644448</v>
      </c>
      <c r="L21" t="s">
        <v>164</v>
      </c>
      <c r="N21" t="s">
        <v>211</v>
      </c>
      <c r="O21" t="s">
        <v>174</v>
      </c>
      <c r="P21">
        <v>0.10896920314039675</v>
      </c>
      <c r="Q21" t="s">
        <v>164</v>
      </c>
      <c r="S21" t="s">
        <v>238</v>
      </c>
      <c r="T21" t="s">
        <v>174</v>
      </c>
      <c r="U21">
        <v>0.16510843215472645</v>
      </c>
      <c r="V21" t="s">
        <v>164</v>
      </c>
      <c r="X21">
        <v>0.2089041095890411</v>
      </c>
      <c r="Y21">
        <v>0.26885314372374025</v>
      </c>
      <c r="Z21" t="s">
        <v>174</v>
      </c>
      <c r="AA21" t="s">
        <v>25</v>
      </c>
      <c r="AC21" t="s">
        <v>22</v>
      </c>
      <c r="AD21" t="s">
        <v>174</v>
      </c>
      <c r="AE21">
        <v>0.23197493450107889</v>
      </c>
      <c r="AG21" t="s">
        <v>96</v>
      </c>
      <c r="AH21" t="s">
        <v>174</v>
      </c>
      <c r="AI21">
        <v>0.25481520574914618</v>
      </c>
      <c r="AK21">
        <v>2022</v>
      </c>
      <c r="AL21" t="s">
        <v>158</v>
      </c>
      <c r="AM21">
        <v>0.31320330082520625</v>
      </c>
      <c r="AN21" t="s">
        <v>257</v>
      </c>
    </row>
    <row r="22" spans="9:40" x14ac:dyDescent="0.45">
      <c r="I22" t="s">
        <v>162</v>
      </c>
      <c r="J22" t="s">
        <v>175</v>
      </c>
      <c r="K22">
        <v>0</v>
      </c>
      <c r="L22" t="s">
        <v>164</v>
      </c>
      <c r="N22" t="s">
        <v>211</v>
      </c>
      <c r="O22" t="s">
        <v>175</v>
      </c>
      <c r="P22">
        <v>1.4588014649345782E-2</v>
      </c>
      <c r="Q22" t="s">
        <v>164</v>
      </c>
      <c r="S22" t="s">
        <v>238</v>
      </c>
      <c r="T22" t="s">
        <v>175</v>
      </c>
      <c r="U22">
        <v>9.4523103034411422E-3</v>
      </c>
      <c r="V22" t="s">
        <v>164</v>
      </c>
      <c r="X22">
        <v>1.3926940639269407E-2</v>
      </c>
      <c r="Y22">
        <v>3.6397086244188658E-3</v>
      </c>
      <c r="Z22" t="s">
        <v>175</v>
      </c>
      <c r="AA22" t="s">
        <v>25</v>
      </c>
      <c r="AC22" t="s">
        <v>22</v>
      </c>
      <c r="AD22" t="s">
        <v>175</v>
      </c>
      <c r="AE22">
        <v>8.2858992037956793E-3</v>
      </c>
      <c r="AG22" t="s">
        <v>96</v>
      </c>
      <c r="AH22" t="s">
        <v>175</v>
      </c>
      <c r="AI22">
        <v>2.8989077398373198E-2</v>
      </c>
      <c r="AK22">
        <v>2022</v>
      </c>
      <c r="AL22" t="s">
        <v>160</v>
      </c>
      <c r="AM22">
        <v>0.54169792448112031</v>
      </c>
      <c r="AN22" t="s">
        <v>257</v>
      </c>
    </row>
    <row r="23" spans="9:40" x14ac:dyDescent="0.45">
      <c r="I23" t="s">
        <v>176</v>
      </c>
      <c r="J23" t="s">
        <v>163</v>
      </c>
      <c r="K23">
        <v>5.5422295922009706E-3</v>
      </c>
      <c r="L23" t="s">
        <v>164</v>
      </c>
      <c r="N23" t="s">
        <v>212</v>
      </c>
      <c r="O23" t="s">
        <v>163</v>
      </c>
      <c r="P23">
        <v>3.3575887449018488E-2</v>
      </c>
      <c r="Q23" t="s">
        <v>164</v>
      </c>
      <c r="S23" t="s">
        <v>239</v>
      </c>
      <c r="T23" t="s">
        <v>163</v>
      </c>
      <c r="U23">
        <v>4.923967835338354E-2</v>
      </c>
      <c r="V23" t="s">
        <v>164</v>
      </c>
      <c r="AC23" t="s">
        <v>19</v>
      </c>
      <c r="AD23" t="s">
        <v>163</v>
      </c>
      <c r="AE23">
        <v>5.2910501012878454E-2</v>
      </c>
      <c r="AK23">
        <v>2025</v>
      </c>
      <c r="AL23" t="s">
        <v>152</v>
      </c>
      <c r="AM23">
        <v>0.34260000000000002</v>
      </c>
      <c r="AN23" t="s">
        <v>257</v>
      </c>
    </row>
    <row r="24" spans="9:40" x14ac:dyDescent="0.45">
      <c r="I24" t="s">
        <v>176</v>
      </c>
      <c r="J24" t="s">
        <v>165</v>
      </c>
      <c r="K24">
        <v>0.19296808989094189</v>
      </c>
      <c r="L24" t="s">
        <v>164</v>
      </c>
      <c r="N24" t="s">
        <v>212</v>
      </c>
      <c r="O24" t="s">
        <v>165</v>
      </c>
      <c r="P24">
        <v>3.7697141869801769E-2</v>
      </c>
      <c r="Q24" t="s">
        <v>164</v>
      </c>
      <c r="S24" t="s">
        <v>239</v>
      </c>
      <c r="T24" t="s">
        <v>165</v>
      </c>
      <c r="U24">
        <v>8.3454953920713393E-2</v>
      </c>
      <c r="V24" t="s">
        <v>164</v>
      </c>
      <c r="AC24" t="s">
        <v>19</v>
      </c>
      <c r="AD24" t="s">
        <v>165</v>
      </c>
      <c r="AE24">
        <v>0.10224711684929318</v>
      </c>
      <c r="AK24">
        <v>2025</v>
      </c>
      <c r="AL24" t="s">
        <v>156</v>
      </c>
      <c r="AM24">
        <v>0.2681</v>
      </c>
      <c r="AN24" t="s">
        <v>257</v>
      </c>
    </row>
    <row r="25" spans="9:40" x14ac:dyDescent="0.45">
      <c r="I25" t="s">
        <v>176</v>
      </c>
      <c r="J25" t="s">
        <v>166</v>
      </c>
      <c r="K25">
        <v>0</v>
      </c>
      <c r="L25" t="s">
        <v>164</v>
      </c>
      <c r="N25" t="s">
        <v>212</v>
      </c>
      <c r="O25" t="s">
        <v>166</v>
      </c>
      <c r="P25">
        <v>6.5813346755353953E-3</v>
      </c>
      <c r="Q25" t="s">
        <v>164</v>
      </c>
      <c r="S25" t="s">
        <v>239</v>
      </c>
      <c r="T25" t="s">
        <v>166</v>
      </c>
      <c r="U25">
        <v>7.494105555744768E-3</v>
      </c>
      <c r="V25" t="s">
        <v>164</v>
      </c>
      <c r="AC25" t="s">
        <v>19</v>
      </c>
      <c r="AD25" t="s">
        <v>166</v>
      </c>
      <c r="AE25">
        <v>6.5272257326429734E-3</v>
      </c>
      <c r="AK25">
        <v>2025</v>
      </c>
      <c r="AL25" t="s">
        <v>158</v>
      </c>
      <c r="AM25">
        <v>0.24171999999999999</v>
      </c>
      <c r="AN25" t="s">
        <v>257</v>
      </c>
    </row>
    <row r="26" spans="9:40" x14ac:dyDescent="0.45">
      <c r="I26" t="s">
        <v>176</v>
      </c>
      <c r="J26" t="s">
        <v>167</v>
      </c>
      <c r="K26">
        <v>2.2097795716355872E-3</v>
      </c>
      <c r="L26" t="s">
        <v>164</v>
      </c>
      <c r="N26" t="s">
        <v>212</v>
      </c>
      <c r="O26" t="s">
        <v>167</v>
      </c>
      <c r="P26">
        <v>6.0869121762705113E-2</v>
      </c>
      <c r="Q26" t="s">
        <v>164</v>
      </c>
      <c r="S26" t="s">
        <v>239</v>
      </c>
      <c r="T26" t="s">
        <v>167</v>
      </c>
      <c r="U26">
        <v>4.7029513047656207E-2</v>
      </c>
      <c r="V26" t="s">
        <v>164</v>
      </c>
      <c r="AC26" t="s">
        <v>19</v>
      </c>
      <c r="AD26" t="s">
        <v>167</v>
      </c>
      <c r="AE26">
        <v>2.7771123458977798E-2</v>
      </c>
      <c r="AK26">
        <v>2025</v>
      </c>
      <c r="AL26" t="s">
        <v>160</v>
      </c>
      <c r="AM26">
        <v>0.393175</v>
      </c>
      <c r="AN26" t="s">
        <v>257</v>
      </c>
    </row>
    <row r="27" spans="9:40" x14ac:dyDescent="0.45">
      <c r="I27" t="s">
        <v>176</v>
      </c>
      <c r="J27" t="s">
        <v>168</v>
      </c>
      <c r="K27">
        <v>9.2721593715807987E-2</v>
      </c>
      <c r="L27" t="s">
        <v>164</v>
      </c>
      <c r="N27" t="s">
        <v>212</v>
      </c>
      <c r="O27" t="s">
        <v>168</v>
      </c>
      <c r="P27">
        <v>5.0600731491584158E-2</v>
      </c>
      <c r="Q27" t="s">
        <v>164</v>
      </c>
      <c r="S27" t="s">
        <v>239</v>
      </c>
      <c r="T27" t="s">
        <v>168</v>
      </c>
      <c r="U27">
        <v>5.9489533043810237E-2</v>
      </c>
      <c r="V27" t="s">
        <v>164</v>
      </c>
      <c r="AC27" t="s">
        <v>19</v>
      </c>
      <c r="AD27" t="s">
        <v>168</v>
      </c>
      <c r="AE27">
        <v>5.3782766724921272E-2</v>
      </c>
      <c r="AK27">
        <v>2026</v>
      </c>
      <c r="AL27" t="s">
        <v>152</v>
      </c>
      <c r="AM27">
        <v>0.33565</v>
      </c>
      <c r="AN27" t="s">
        <v>257</v>
      </c>
    </row>
    <row r="28" spans="9:40" x14ac:dyDescent="0.45">
      <c r="I28" t="s">
        <v>176</v>
      </c>
      <c r="J28" t="s">
        <v>169</v>
      </c>
      <c r="K28">
        <v>0</v>
      </c>
      <c r="L28" t="s">
        <v>164</v>
      </c>
      <c r="N28" t="s">
        <v>212</v>
      </c>
      <c r="O28" t="s">
        <v>169</v>
      </c>
      <c r="P28">
        <v>3.547632461076779E-3</v>
      </c>
      <c r="Q28" t="s">
        <v>164</v>
      </c>
      <c r="S28" t="s">
        <v>239</v>
      </c>
      <c r="T28" t="s">
        <v>169</v>
      </c>
      <c r="U28">
        <v>3.7319235805782871E-3</v>
      </c>
      <c r="V28" t="s">
        <v>164</v>
      </c>
      <c r="AC28" t="s">
        <v>19</v>
      </c>
      <c r="AD28" t="s">
        <v>169</v>
      </c>
      <c r="AE28">
        <v>3.4236293136386885E-3</v>
      </c>
      <c r="AK28">
        <v>2026</v>
      </c>
      <c r="AL28" t="s">
        <v>156</v>
      </c>
      <c r="AM28">
        <v>0.26719999999999999</v>
      </c>
      <c r="AN28" t="s">
        <v>257</v>
      </c>
    </row>
    <row r="29" spans="9:40" x14ac:dyDescent="0.45">
      <c r="I29" t="s">
        <v>176</v>
      </c>
      <c r="J29" t="s">
        <v>170</v>
      </c>
      <c r="K29">
        <v>1.0584270261279692E-2</v>
      </c>
      <c r="L29" t="s">
        <v>164</v>
      </c>
      <c r="N29" t="s">
        <v>212</v>
      </c>
      <c r="O29" t="s">
        <v>170</v>
      </c>
      <c r="P29">
        <v>0.26265222712264524</v>
      </c>
      <c r="Q29" t="s">
        <v>164</v>
      </c>
      <c r="S29" t="s">
        <v>239</v>
      </c>
      <c r="T29" t="s">
        <v>170</v>
      </c>
      <c r="U29">
        <v>0.16319499541069843</v>
      </c>
      <c r="V29" t="s">
        <v>164</v>
      </c>
      <c r="AC29" t="s">
        <v>19</v>
      </c>
      <c r="AD29" t="s">
        <v>170</v>
      </c>
      <c r="AE29">
        <v>0.13754637629182051</v>
      </c>
      <c r="AK29">
        <v>2026</v>
      </c>
      <c r="AL29" t="s">
        <v>158</v>
      </c>
      <c r="AM29">
        <v>0.25462000000000001</v>
      </c>
      <c r="AN29" t="s">
        <v>257</v>
      </c>
    </row>
    <row r="30" spans="9:40" x14ac:dyDescent="0.45">
      <c r="I30" t="s">
        <v>176</v>
      </c>
      <c r="J30" t="s">
        <v>171</v>
      </c>
      <c r="K30">
        <v>0.34965992103690768</v>
      </c>
      <c r="L30" t="s">
        <v>164</v>
      </c>
      <c r="N30" t="s">
        <v>212</v>
      </c>
      <c r="O30" t="s">
        <v>171</v>
      </c>
      <c r="P30">
        <v>0.33666931988236731</v>
      </c>
      <c r="Q30" t="s">
        <v>164</v>
      </c>
      <c r="S30" t="s">
        <v>239</v>
      </c>
      <c r="T30" t="s">
        <v>171</v>
      </c>
      <c r="U30">
        <v>0.31437641260257404</v>
      </c>
      <c r="V30" t="s">
        <v>164</v>
      </c>
      <c r="AC30" t="s">
        <v>19</v>
      </c>
      <c r="AD30" t="s">
        <v>171</v>
      </c>
      <c r="AE30">
        <v>0.26465863393932765</v>
      </c>
      <c r="AK30">
        <v>2026</v>
      </c>
      <c r="AL30" t="s">
        <v>160</v>
      </c>
      <c r="AM30">
        <v>0.37219999999999998</v>
      </c>
      <c r="AN30" t="s">
        <v>257</v>
      </c>
    </row>
    <row r="31" spans="9:40" x14ac:dyDescent="0.45">
      <c r="I31" t="s">
        <v>176</v>
      </c>
      <c r="J31" t="s">
        <v>172</v>
      </c>
      <c r="K31">
        <v>0</v>
      </c>
      <c r="L31" t="s">
        <v>164</v>
      </c>
      <c r="N31" t="s">
        <v>212</v>
      </c>
      <c r="O31" t="s">
        <v>172</v>
      </c>
      <c r="P31">
        <v>2.6189055842357978E-2</v>
      </c>
      <c r="Q31" t="s">
        <v>164</v>
      </c>
      <c r="S31" t="s">
        <v>239</v>
      </c>
      <c r="T31" t="s">
        <v>172</v>
      </c>
      <c r="U31">
        <v>2.0027684672856462E-2</v>
      </c>
      <c r="V31" t="s">
        <v>164</v>
      </c>
      <c r="AC31" t="s">
        <v>19</v>
      </c>
      <c r="AD31" t="s">
        <v>172</v>
      </c>
      <c r="AE31">
        <v>1.6944500512779695E-2</v>
      </c>
      <c r="AK31">
        <v>2027</v>
      </c>
      <c r="AL31" t="s">
        <v>152</v>
      </c>
      <c r="AM31">
        <v>0.40549999999999997</v>
      </c>
      <c r="AN31" t="s">
        <v>257</v>
      </c>
    </row>
    <row r="32" spans="9:40" x14ac:dyDescent="0.45">
      <c r="I32" t="s">
        <v>176</v>
      </c>
      <c r="J32" t="s">
        <v>173</v>
      </c>
      <c r="K32">
        <v>8.9748108941943606E-3</v>
      </c>
      <c r="L32" t="s">
        <v>164</v>
      </c>
      <c r="N32" t="s">
        <v>212</v>
      </c>
      <c r="O32" t="s">
        <v>173</v>
      </c>
      <c r="P32">
        <v>8.3046389587045438E-2</v>
      </c>
      <c r="Q32" t="s">
        <v>164</v>
      </c>
      <c r="S32" t="s">
        <v>239</v>
      </c>
      <c r="T32" t="s">
        <v>173</v>
      </c>
      <c r="U32">
        <v>8.7066802604510329E-2</v>
      </c>
      <c r="V32" t="s">
        <v>164</v>
      </c>
      <c r="AC32" t="s">
        <v>19</v>
      </c>
      <c r="AD32" t="s">
        <v>173</v>
      </c>
      <c r="AE32">
        <v>0.10963676633959181</v>
      </c>
      <c r="AK32">
        <v>2027</v>
      </c>
      <c r="AL32" t="s">
        <v>156</v>
      </c>
      <c r="AM32">
        <v>0.34289999999999998</v>
      </c>
      <c r="AN32" t="s">
        <v>257</v>
      </c>
    </row>
    <row r="33" spans="9:40" x14ac:dyDescent="0.45">
      <c r="I33" t="s">
        <v>176</v>
      </c>
      <c r="J33" t="s">
        <v>174</v>
      </c>
      <c r="K33">
        <v>0.33733930503703063</v>
      </c>
      <c r="L33" t="s">
        <v>164</v>
      </c>
      <c r="N33" t="s">
        <v>212</v>
      </c>
      <c r="O33" t="s">
        <v>174</v>
      </c>
      <c r="P33">
        <v>8.8314969847844038E-2</v>
      </c>
      <c r="Q33" t="s">
        <v>164</v>
      </c>
      <c r="S33" t="s">
        <v>239</v>
      </c>
      <c r="T33" t="s">
        <v>174</v>
      </c>
      <c r="U33">
        <v>0.15309109423527864</v>
      </c>
      <c r="V33" t="s">
        <v>164</v>
      </c>
      <c r="AC33" t="s">
        <v>19</v>
      </c>
      <c r="AD33" t="s">
        <v>174</v>
      </c>
      <c r="AE33">
        <v>0.21104247117388614</v>
      </c>
      <c r="AK33">
        <v>2027</v>
      </c>
      <c r="AL33" t="s">
        <v>158</v>
      </c>
      <c r="AM33">
        <v>0.27854000000000001</v>
      </c>
      <c r="AN33" t="s">
        <v>257</v>
      </c>
    </row>
    <row r="34" spans="9:40" x14ac:dyDescent="0.45">
      <c r="I34" t="s">
        <v>176</v>
      </c>
      <c r="J34" t="s">
        <v>175</v>
      </c>
      <c r="K34">
        <v>0</v>
      </c>
      <c r="L34" t="s">
        <v>164</v>
      </c>
      <c r="N34" t="s">
        <v>212</v>
      </c>
      <c r="O34" t="s">
        <v>175</v>
      </c>
      <c r="P34">
        <v>1.025618800802033E-2</v>
      </c>
      <c r="Q34" t="s">
        <v>164</v>
      </c>
      <c r="S34" t="s">
        <v>239</v>
      </c>
      <c r="T34" t="s">
        <v>175</v>
      </c>
      <c r="U34">
        <v>1.1803302972198226E-2</v>
      </c>
      <c r="V34" t="s">
        <v>164</v>
      </c>
      <c r="AC34" t="s">
        <v>19</v>
      </c>
      <c r="AD34" t="s">
        <v>175</v>
      </c>
      <c r="AE34">
        <v>1.3508888650241779E-2</v>
      </c>
      <c r="AK34">
        <v>2027</v>
      </c>
      <c r="AL34" t="s">
        <v>160</v>
      </c>
      <c r="AM34">
        <v>0.441575</v>
      </c>
      <c r="AN34" t="s">
        <v>257</v>
      </c>
    </row>
    <row r="35" spans="9:40" x14ac:dyDescent="0.45">
      <c r="I35" t="s">
        <v>177</v>
      </c>
      <c r="J35" t="s">
        <v>163</v>
      </c>
      <c r="K35">
        <v>4.9790496912992307E-3</v>
      </c>
      <c r="L35" t="s">
        <v>164</v>
      </c>
      <c r="N35" t="s">
        <v>213</v>
      </c>
      <c r="O35" t="s">
        <v>163</v>
      </c>
      <c r="P35">
        <v>8.4879168285292378E-2</v>
      </c>
      <c r="Q35" t="s">
        <v>164</v>
      </c>
      <c r="S35" t="s">
        <v>240</v>
      </c>
      <c r="T35" t="s">
        <v>163</v>
      </c>
      <c r="U35">
        <v>5.4521322411855262E-2</v>
      </c>
      <c r="V35" t="s">
        <v>164</v>
      </c>
      <c r="AK35">
        <v>2028</v>
      </c>
      <c r="AL35" t="s">
        <v>152</v>
      </c>
      <c r="AM35">
        <v>0.39395000000000002</v>
      </c>
      <c r="AN35" t="s">
        <v>257</v>
      </c>
    </row>
    <row r="36" spans="9:40" x14ac:dyDescent="0.45">
      <c r="I36" t="s">
        <v>177</v>
      </c>
      <c r="J36" t="s">
        <v>165</v>
      </c>
      <c r="K36">
        <v>0.19773708762941397</v>
      </c>
      <c r="L36" t="s">
        <v>164</v>
      </c>
      <c r="N36" t="s">
        <v>213</v>
      </c>
      <c r="O36" t="s">
        <v>165</v>
      </c>
      <c r="P36">
        <v>5.364108211516929E-2</v>
      </c>
      <c r="Q36" t="s">
        <v>164</v>
      </c>
      <c r="S36" t="s">
        <v>240</v>
      </c>
      <c r="T36" t="s">
        <v>165</v>
      </c>
      <c r="U36">
        <v>5.1993165572566641E-2</v>
      </c>
      <c r="V36" t="s">
        <v>164</v>
      </c>
      <c r="AK36">
        <v>2028</v>
      </c>
      <c r="AL36" t="s">
        <v>156</v>
      </c>
      <c r="AM36">
        <v>0.32229999999999998</v>
      </c>
      <c r="AN36" t="s">
        <v>257</v>
      </c>
    </row>
    <row r="37" spans="9:40" x14ac:dyDescent="0.45">
      <c r="I37" t="s">
        <v>177</v>
      </c>
      <c r="J37" t="s">
        <v>166</v>
      </c>
      <c r="K37">
        <v>0</v>
      </c>
      <c r="L37" t="s">
        <v>164</v>
      </c>
      <c r="N37" t="s">
        <v>213</v>
      </c>
      <c r="O37" t="s">
        <v>166</v>
      </c>
      <c r="P37">
        <v>1.7128765106907692E-2</v>
      </c>
      <c r="Q37" t="s">
        <v>164</v>
      </c>
      <c r="S37" t="s">
        <v>240</v>
      </c>
      <c r="T37" t="s">
        <v>166</v>
      </c>
      <c r="U37">
        <v>5.692704993627516E-3</v>
      </c>
      <c r="V37" t="s">
        <v>164</v>
      </c>
      <c r="AK37">
        <v>2028</v>
      </c>
      <c r="AL37" t="s">
        <v>158</v>
      </c>
      <c r="AM37">
        <v>0.28676000000000001</v>
      </c>
      <c r="AN37" t="s">
        <v>257</v>
      </c>
    </row>
    <row r="38" spans="9:40" x14ac:dyDescent="0.45">
      <c r="I38" t="s">
        <v>177</v>
      </c>
      <c r="J38" t="s">
        <v>167</v>
      </c>
      <c r="K38">
        <v>2.2054123241093833E-3</v>
      </c>
      <c r="L38" t="s">
        <v>164</v>
      </c>
      <c r="N38" t="s">
        <v>213</v>
      </c>
      <c r="O38" t="s">
        <v>167</v>
      </c>
      <c r="P38">
        <v>4.2721353671618903E-2</v>
      </c>
      <c r="Q38" t="s">
        <v>164</v>
      </c>
      <c r="S38" t="s">
        <v>240</v>
      </c>
      <c r="T38" t="s">
        <v>167</v>
      </c>
      <c r="U38">
        <v>3.5422783367655239E-2</v>
      </c>
      <c r="V38" t="s">
        <v>164</v>
      </c>
      <c r="AK38">
        <v>2028</v>
      </c>
      <c r="AL38" t="s">
        <v>160</v>
      </c>
      <c r="AM38">
        <v>0.424425</v>
      </c>
      <c r="AN38" t="s">
        <v>257</v>
      </c>
    </row>
    <row r="39" spans="9:40" x14ac:dyDescent="0.45">
      <c r="I39" t="s">
        <v>177</v>
      </c>
      <c r="J39" t="s">
        <v>168</v>
      </c>
      <c r="K39">
        <v>9.1443120533638636E-2</v>
      </c>
      <c r="L39" t="s">
        <v>164</v>
      </c>
      <c r="N39" t="s">
        <v>213</v>
      </c>
      <c r="O39" t="s">
        <v>168</v>
      </c>
      <c r="P39">
        <v>5.0320696992397211E-2</v>
      </c>
      <c r="Q39" t="s">
        <v>164</v>
      </c>
      <c r="S39" t="s">
        <v>240</v>
      </c>
      <c r="T39" t="s">
        <v>168</v>
      </c>
      <c r="U39">
        <v>3.4190744011837207E-2</v>
      </c>
      <c r="V39" t="s">
        <v>164</v>
      </c>
      <c r="AK39">
        <v>2029</v>
      </c>
      <c r="AL39" t="s">
        <v>152</v>
      </c>
      <c r="AM39">
        <v>0.3836</v>
      </c>
      <c r="AN39" t="s">
        <v>257</v>
      </c>
    </row>
    <row r="40" spans="9:40" x14ac:dyDescent="0.45">
      <c r="I40" t="s">
        <v>177</v>
      </c>
      <c r="J40" t="s">
        <v>169</v>
      </c>
      <c r="K40">
        <v>0</v>
      </c>
      <c r="L40" t="s">
        <v>164</v>
      </c>
      <c r="N40" t="s">
        <v>213</v>
      </c>
      <c r="O40" t="s">
        <v>169</v>
      </c>
      <c r="P40">
        <v>5.9443216458595991E-3</v>
      </c>
      <c r="Q40" t="s">
        <v>164</v>
      </c>
      <c r="S40" t="s">
        <v>240</v>
      </c>
      <c r="T40" t="s">
        <v>169</v>
      </c>
      <c r="U40">
        <v>2.0510508728592402E-3</v>
      </c>
      <c r="V40" t="s">
        <v>164</v>
      </c>
      <c r="AK40">
        <v>2029</v>
      </c>
      <c r="AL40" t="s">
        <v>156</v>
      </c>
      <c r="AM40">
        <v>0.36020000000000002</v>
      </c>
      <c r="AN40" t="s">
        <v>257</v>
      </c>
    </row>
    <row r="41" spans="9:40" x14ac:dyDescent="0.45">
      <c r="I41" t="s">
        <v>177</v>
      </c>
      <c r="J41" t="s">
        <v>170</v>
      </c>
      <c r="K41">
        <v>9.5538984508724781E-3</v>
      </c>
      <c r="L41" t="s">
        <v>164</v>
      </c>
      <c r="N41" t="s">
        <v>213</v>
      </c>
      <c r="O41" t="s">
        <v>170</v>
      </c>
      <c r="P41">
        <v>0.20361900838921637</v>
      </c>
      <c r="Q41" t="s">
        <v>164</v>
      </c>
      <c r="S41" t="s">
        <v>240</v>
      </c>
      <c r="T41" t="s">
        <v>170</v>
      </c>
      <c r="U41">
        <v>0.21107338375558088</v>
      </c>
      <c r="V41" t="s">
        <v>164</v>
      </c>
      <c r="AK41">
        <v>2029</v>
      </c>
      <c r="AL41" t="s">
        <v>158</v>
      </c>
      <c r="AM41">
        <v>0.29086000000000001</v>
      </c>
      <c r="AN41" t="s">
        <v>257</v>
      </c>
    </row>
    <row r="42" spans="9:40" x14ac:dyDescent="0.45">
      <c r="I42" t="s">
        <v>177</v>
      </c>
      <c r="J42" t="s">
        <v>171</v>
      </c>
      <c r="K42">
        <v>0.35603487232839814</v>
      </c>
      <c r="L42" t="s">
        <v>164</v>
      </c>
      <c r="N42" t="s">
        <v>213</v>
      </c>
      <c r="O42" t="s">
        <v>171</v>
      </c>
      <c r="P42">
        <v>0.30073169384269627</v>
      </c>
      <c r="Q42" t="s">
        <v>164</v>
      </c>
      <c r="S42" t="s">
        <v>240</v>
      </c>
      <c r="T42" t="s">
        <v>171</v>
      </c>
      <c r="U42">
        <v>0.32672812724431954</v>
      </c>
      <c r="V42" t="s">
        <v>164</v>
      </c>
      <c r="AK42">
        <v>2029</v>
      </c>
      <c r="AL42" t="s">
        <v>160</v>
      </c>
      <c r="AM42">
        <v>0.44437500000000002</v>
      </c>
      <c r="AN42" t="s">
        <v>257</v>
      </c>
    </row>
    <row r="43" spans="9:40" x14ac:dyDescent="0.45">
      <c r="I43" t="s">
        <v>177</v>
      </c>
      <c r="J43" t="s">
        <v>172</v>
      </c>
      <c r="K43">
        <v>0</v>
      </c>
      <c r="L43" t="s">
        <v>164</v>
      </c>
      <c r="N43" t="s">
        <v>213</v>
      </c>
      <c r="O43" t="s">
        <v>172</v>
      </c>
      <c r="P43">
        <v>2.5285910101395845E-2</v>
      </c>
      <c r="Q43" t="s">
        <v>164</v>
      </c>
      <c r="S43" t="s">
        <v>240</v>
      </c>
      <c r="T43" t="s">
        <v>172</v>
      </c>
      <c r="U43">
        <v>2.6546881835680429E-2</v>
      </c>
      <c r="V43" t="s">
        <v>164</v>
      </c>
      <c r="AK43">
        <v>2030</v>
      </c>
      <c r="AL43" t="s">
        <v>152</v>
      </c>
      <c r="AM43">
        <v>0.35420000000000001</v>
      </c>
      <c r="AN43" t="s">
        <v>257</v>
      </c>
    </row>
    <row r="44" spans="9:40" x14ac:dyDescent="0.45">
      <c r="I44" t="s">
        <v>177</v>
      </c>
      <c r="J44" t="s">
        <v>173</v>
      </c>
      <c r="K44">
        <v>7.0919234820674658E-3</v>
      </c>
      <c r="L44" t="s">
        <v>164</v>
      </c>
      <c r="N44" t="s">
        <v>213</v>
      </c>
      <c r="O44" t="s">
        <v>173</v>
      </c>
      <c r="P44">
        <v>9.8715850182867548E-2</v>
      </c>
      <c r="Q44" t="s">
        <v>164</v>
      </c>
      <c r="S44" t="s">
        <v>240</v>
      </c>
      <c r="T44" t="s">
        <v>173</v>
      </c>
      <c r="U44">
        <v>0.10133161241395108</v>
      </c>
      <c r="V44" t="s">
        <v>164</v>
      </c>
      <c r="AK44">
        <v>2030</v>
      </c>
      <c r="AL44" t="s">
        <v>156</v>
      </c>
      <c r="AM44">
        <v>0.31769999999999998</v>
      </c>
      <c r="AN44" t="s">
        <v>257</v>
      </c>
    </row>
    <row r="45" spans="9:40" x14ac:dyDescent="0.45">
      <c r="I45" t="s">
        <v>177</v>
      </c>
      <c r="J45" t="s">
        <v>174</v>
      </c>
      <c r="K45">
        <v>0.33095463556020011</v>
      </c>
      <c r="L45" t="s">
        <v>164</v>
      </c>
      <c r="N45" t="s">
        <v>213</v>
      </c>
      <c r="O45" t="s">
        <v>174</v>
      </c>
      <c r="P45">
        <v>0.10170940583184133</v>
      </c>
      <c r="Q45" t="s">
        <v>164</v>
      </c>
      <c r="S45" t="s">
        <v>240</v>
      </c>
      <c r="T45" t="s">
        <v>174</v>
      </c>
      <c r="U45">
        <v>0.13920522083177336</v>
      </c>
      <c r="V45" t="s">
        <v>164</v>
      </c>
      <c r="AK45">
        <v>2030</v>
      </c>
      <c r="AL45" t="s">
        <v>158</v>
      </c>
      <c r="AM45">
        <v>0.2873</v>
      </c>
      <c r="AN45" t="s">
        <v>257</v>
      </c>
    </row>
    <row r="46" spans="9:40" x14ac:dyDescent="0.45">
      <c r="I46" t="s">
        <v>177</v>
      </c>
      <c r="J46" t="s">
        <v>175</v>
      </c>
      <c r="K46">
        <v>0</v>
      </c>
      <c r="L46" t="s">
        <v>164</v>
      </c>
      <c r="N46" t="s">
        <v>213</v>
      </c>
      <c r="O46" t="s">
        <v>175</v>
      </c>
      <c r="P46">
        <v>1.5302743834739259E-2</v>
      </c>
      <c r="Q46" t="s">
        <v>164</v>
      </c>
      <c r="S46" t="s">
        <v>240</v>
      </c>
      <c r="T46" t="s">
        <v>175</v>
      </c>
      <c r="U46">
        <v>1.1243002688294208E-2</v>
      </c>
      <c r="V46" t="s">
        <v>164</v>
      </c>
      <c r="AK46">
        <v>2030</v>
      </c>
      <c r="AL46" t="s">
        <v>160</v>
      </c>
      <c r="AM46">
        <v>0.45515</v>
      </c>
      <c r="AN46" t="s">
        <v>257</v>
      </c>
    </row>
    <row r="47" spans="9:40" x14ac:dyDescent="0.45">
      <c r="I47" t="s">
        <v>178</v>
      </c>
      <c r="J47" t="s">
        <v>163</v>
      </c>
      <c r="K47">
        <v>4.7155132082866676E-3</v>
      </c>
      <c r="L47" t="s">
        <v>164</v>
      </c>
      <c r="N47" t="s">
        <v>214</v>
      </c>
      <c r="O47" t="s">
        <v>163</v>
      </c>
      <c r="P47">
        <v>0.10118837471315829</v>
      </c>
      <c r="Q47" t="s">
        <v>164</v>
      </c>
      <c r="S47" t="s">
        <v>241</v>
      </c>
      <c r="T47" t="s">
        <v>163</v>
      </c>
      <c r="U47">
        <v>5.8126529368040226E-2</v>
      </c>
      <c r="V47" t="s">
        <v>164</v>
      </c>
      <c r="AK47">
        <v>2031</v>
      </c>
      <c r="AL47" t="s">
        <v>152</v>
      </c>
      <c r="AM47">
        <v>0.35089999999999999</v>
      </c>
      <c r="AN47" t="s">
        <v>257</v>
      </c>
    </row>
    <row r="48" spans="9:40" x14ac:dyDescent="0.45">
      <c r="I48" t="s">
        <v>178</v>
      </c>
      <c r="J48" t="s">
        <v>165</v>
      </c>
      <c r="K48">
        <v>0.19075312709374626</v>
      </c>
      <c r="L48" t="s">
        <v>164</v>
      </c>
      <c r="N48" t="s">
        <v>214</v>
      </c>
      <c r="O48" t="s">
        <v>165</v>
      </c>
      <c r="P48">
        <v>8.5853094880153136E-2</v>
      </c>
      <c r="Q48" t="s">
        <v>164</v>
      </c>
      <c r="S48" t="s">
        <v>241</v>
      </c>
      <c r="T48" t="s">
        <v>165</v>
      </c>
      <c r="U48">
        <v>6.2636712869364397E-2</v>
      </c>
      <c r="V48" t="s">
        <v>164</v>
      </c>
      <c r="AK48">
        <v>2031</v>
      </c>
      <c r="AL48" t="s">
        <v>156</v>
      </c>
      <c r="AM48">
        <v>0.31830000000000003</v>
      </c>
      <c r="AN48" t="s">
        <v>257</v>
      </c>
    </row>
    <row r="49" spans="9:40" x14ac:dyDescent="0.45">
      <c r="I49" t="s">
        <v>178</v>
      </c>
      <c r="J49" t="s">
        <v>166</v>
      </c>
      <c r="K49">
        <v>0</v>
      </c>
      <c r="L49" t="s">
        <v>164</v>
      </c>
      <c r="N49" t="s">
        <v>214</v>
      </c>
      <c r="O49" t="s">
        <v>166</v>
      </c>
      <c r="P49">
        <v>1.0568309761042192E-2</v>
      </c>
      <c r="Q49" t="s">
        <v>164</v>
      </c>
      <c r="S49" t="s">
        <v>241</v>
      </c>
      <c r="T49" t="s">
        <v>166</v>
      </c>
      <c r="U49">
        <v>7.7412648562343303E-3</v>
      </c>
      <c r="V49" t="s">
        <v>164</v>
      </c>
      <c r="AK49">
        <v>2031</v>
      </c>
      <c r="AL49" t="s">
        <v>158</v>
      </c>
      <c r="AM49">
        <v>0.29005999999999998</v>
      </c>
      <c r="AN49" t="s">
        <v>257</v>
      </c>
    </row>
    <row r="50" spans="9:40" x14ac:dyDescent="0.45">
      <c r="I50" t="s">
        <v>178</v>
      </c>
      <c r="J50" t="s">
        <v>167</v>
      </c>
      <c r="K50">
        <v>2.8443536023968737E-3</v>
      </c>
      <c r="L50" t="s">
        <v>164</v>
      </c>
      <c r="N50" t="s">
        <v>214</v>
      </c>
      <c r="O50" t="s">
        <v>167</v>
      </c>
      <c r="P50">
        <v>6.9151474049985076E-2</v>
      </c>
      <c r="Q50" t="s">
        <v>164</v>
      </c>
      <c r="S50" t="s">
        <v>241</v>
      </c>
      <c r="T50" t="s">
        <v>167</v>
      </c>
      <c r="U50">
        <v>4.4499336500407161E-2</v>
      </c>
      <c r="V50" t="s">
        <v>164</v>
      </c>
      <c r="AK50">
        <v>2031</v>
      </c>
      <c r="AL50" t="s">
        <v>160</v>
      </c>
      <c r="AM50">
        <v>0.44527500000000003</v>
      </c>
      <c r="AN50" t="s">
        <v>257</v>
      </c>
    </row>
    <row r="51" spans="9:40" x14ac:dyDescent="0.45">
      <c r="I51" t="s">
        <v>178</v>
      </c>
      <c r="J51" t="s">
        <v>168</v>
      </c>
      <c r="K51">
        <v>9.2845918820701631E-2</v>
      </c>
      <c r="L51" t="s">
        <v>164</v>
      </c>
      <c r="N51" t="s">
        <v>214</v>
      </c>
      <c r="O51" t="s">
        <v>168</v>
      </c>
      <c r="P51">
        <v>5.7999008963345505E-2</v>
      </c>
      <c r="Q51" t="s">
        <v>164</v>
      </c>
      <c r="S51" t="s">
        <v>241</v>
      </c>
      <c r="T51" t="s">
        <v>168</v>
      </c>
      <c r="U51">
        <v>4.1944948530983246E-2</v>
      </c>
      <c r="V51" t="s">
        <v>164</v>
      </c>
      <c r="AK51">
        <v>2032</v>
      </c>
      <c r="AL51" t="s">
        <v>152</v>
      </c>
      <c r="AM51">
        <v>0.39710000000000001</v>
      </c>
      <c r="AN51" t="s">
        <v>257</v>
      </c>
    </row>
    <row r="52" spans="9:40" x14ac:dyDescent="0.45">
      <c r="I52" t="s">
        <v>178</v>
      </c>
      <c r="J52" t="s">
        <v>169</v>
      </c>
      <c r="K52">
        <v>0</v>
      </c>
      <c r="L52" t="s">
        <v>164</v>
      </c>
      <c r="N52" t="s">
        <v>214</v>
      </c>
      <c r="O52" t="s">
        <v>169</v>
      </c>
      <c r="P52">
        <v>1.0180286932024782E-2</v>
      </c>
      <c r="Q52" t="s">
        <v>164</v>
      </c>
      <c r="S52" t="s">
        <v>241</v>
      </c>
      <c r="T52" t="s">
        <v>169</v>
      </c>
      <c r="U52">
        <v>2.8999972947099948E-3</v>
      </c>
      <c r="V52" t="s">
        <v>164</v>
      </c>
      <c r="AK52">
        <v>2032</v>
      </c>
      <c r="AL52" t="s">
        <v>156</v>
      </c>
      <c r="AM52">
        <v>0.34639999999999999</v>
      </c>
      <c r="AN52" t="s">
        <v>257</v>
      </c>
    </row>
    <row r="53" spans="9:40" x14ac:dyDescent="0.45">
      <c r="I53" t="s">
        <v>178</v>
      </c>
      <c r="J53" t="s">
        <v>170</v>
      </c>
      <c r="K53">
        <v>1.3361405061754204E-2</v>
      </c>
      <c r="L53" t="s">
        <v>164</v>
      </c>
      <c r="N53" t="s">
        <v>214</v>
      </c>
      <c r="O53" t="s">
        <v>170</v>
      </c>
      <c r="P53">
        <v>0.17857083067832977</v>
      </c>
      <c r="Q53" t="s">
        <v>164</v>
      </c>
      <c r="S53" t="s">
        <v>241</v>
      </c>
      <c r="T53" t="s">
        <v>170</v>
      </c>
      <c r="U53">
        <v>0.19254457704340097</v>
      </c>
      <c r="V53" t="s">
        <v>164</v>
      </c>
      <c r="AK53">
        <v>2032</v>
      </c>
      <c r="AL53" t="s">
        <v>158</v>
      </c>
      <c r="AM53">
        <v>0.29151999999999995</v>
      </c>
      <c r="AN53" t="s">
        <v>257</v>
      </c>
    </row>
    <row r="54" spans="9:40" x14ac:dyDescent="0.45">
      <c r="I54" t="s">
        <v>178</v>
      </c>
      <c r="J54" t="s">
        <v>171</v>
      </c>
      <c r="K54">
        <v>0.35993555961748774</v>
      </c>
      <c r="L54" t="s">
        <v>164</v>
      </c>
      <c r="N54" t="s">
        <v>214</v>
      </c>
      <c r="O54" t="s">
        <v>171</v>
      </c>
      <c r="P54">
        <v>0.20839880246216724</v>
      </c>
      <c r="Q54" t="s">
        <v>164</v>
      </c>
      <c r="S54" t="s">
        <v>241</v>
      </c>
      <c r="T54" t="s">
        <v>171</v>
      </c>
      <c r="U54">
        <v>0.31658303773225582</v>
      </c>
      <c r="V54" t="s">
        <v>164</v>
      </c>
      <c r="AK54">
        <v>2032</v>
      </c>
      <c r="AL54" t="s">
        <v>160</v>
      </c>
      <c r="AM54">
        <v>0.45067499999999999</v>
      </c>
      <c r="AN54" t="s">
        <v>257</v>
      </c>
    </row>
    <row r="55" spans="9:40" x14ac:dyDescent="0.45">
      <c r="I55" t="s">
        <v>178</v>
      </c>
      <c r="J55" t="s">
        <v>172</v>
      </c>
      <c r="K55">
        <v>0</v>
      </c>
      <c r="L55" t="s">
        <v>164</v>
      </c>
      <c r="N55" t="s">
        <v>214</v>
      </c>
      <c r="O55" t="s">
        <v>172</v>
      </c>
      <c r="P55">
        <v>2.1629891602134948E-2</v>
      </c>
      <c r="Q55" t="s">
        <v>164</v>
      </c>
      <c r="S55" t="s">
        <v>241</v>
      </c>
      <c r="T55" t="s">
        <v>172</v>
      </c>
      <c r="U55">
        <v>2.4555340539248228E-2</v>
      </c>
      <c r="V55" t="s">
        <v>164</v>
      </c>
      <c r="AK55">
        <v>2033</v>
      </c>
      <c r="AL55" t="s">
        <v>152</v>
      </c>
      <c r="AM55">
        <v>0.37354999999999999</v>
      </c>
      <c r="AN55" t="s">
        <v>257</v>
      </c>
    </row>
    <row r="56" spans="9:40" x14ac:dyDescent="0.45">
      <c r="I56" t="s">
        <v>178</v>
      </c>
      <c r="J56" t="s">
        <v>173</v>
      </c>
      <c r="K56">
        <v>1.2312286385736802E-2</v>
      </c>
      <c r="L56" t="s">
        <v>164</v>
      </c>
      <c r="N56" t="s">
        <v>214</v>
      </c>
      <c r="O56" t="s">
        <v>173</v>
      </c>
      <c r="P56">
        <v>0.12209618834733392</v>
      </c>
      <c r="Q56" t="s">
        <v>164</v>
      </c>
      <c r="S56" t="s">
        <v>241</v>
      </c>
      <c r="T56" t="s">
        <v>173</v>
      </c>
      <c r="U56">
        <v>9.6778144827107948E-2</v>
      </c>
      <c r="V56" t="s">
        <v>164</v>
      </c>
      <c r="AK56">
        <v>2033</v>
      </c>
      <c r="AL56" t="s">
        <v>156</v>
      </c>
      <c r="AM56">
        <v>0.30869999999999997</v>
      </c>
      <c r="AN56" t="s">
        <v>257</v>
      </c>
    </row>
    <row r="57" spans="9:40" x14ac:dyDescent="0.45">
      <c r="I57" t="s">
        <v>178</v>
      </c>
      <c r="J57" t="s">
        <v>174</v>
      </c>
      <c r="K57">
        <v>0.32323183620989066</v>
      </c>
      <c r="L57" t="s">
        <v>164</v>
      </c>
      <c r="N57" t="s">
        <v>214</v>
      </c>
      <c r="O57" t="s">
        <v>174</v>
      </c>
      <c r="P57">
        <v>0.11783000506267247</v>
      </c>
      <c r="Q57" t="s">
        <v>164</v>
      </c>
      <c r="S57" t="s">
        <v>241</v>
      </c>
      <c r="T57" t="s">
        <v>174</v>
      </c>
      <c r="U57">
        <v>0.1400165303536591</v>
      </c>
      <c r="V57" t="s">
        <v>164</v>
      </c>
      <c r="AK57">
        <v>2033</v>
      </c>
      <c r="AL57" t="s">
        <v>158</v>
      </c>
      <c r="AM57">
        <v>0.29463999999999996</v>
      </c>
      <c r="AN57" t="s">
        <v>257</v>
      </c>
    </row>
    <row r="58" spans="9:40" x14ac:dyDescent="0.45">
      <c r="I58" t="s">
        <v>178</v>
      </c>
      <c r="J58" t="s">
        <v>175</v>
      </c>
      <c r="K58">
        <v>0</v>
      </c>
      <c r="L58" t="s">
        <v>164</v>
      </c>
      <c r="N58" t="s">
        <v>214</v>
      </c>
      <c r="O58" t="s">
        <v>175</v>
      </c>
      <c r="P58">
        <v>1.6533732547654632E-2</v>
      </c>
      <c r="Q58" t="s">
        <v>164</v>
      </c>
      <c r="S58" t="s">
        <v>241</v>
      </c>
      <c r="T58" t="s">
        <v>175</v>
      </c>
      <c r="U58">
        <v>1.1673580084588138E-2</v>
      </c>
      <c r="V58" t="s">
        <v>164</v>
      </c>
      <c r="AK58">
        <v>2033</v>
      </c>
      <c r="AL58" t="s">
        <v>160</v>
      </c>
      <c r="AM58">
        <v>0.43355000000000005</v>
      </c>
      <c r="AN58" t="s">
        <v>257</v>
      </c>
    </row>
    <row r="59" spans="9:40" x14ac:dyDescent="0.45">
      <c r="I59" t="s">
        <v>179</v>
      </c>
      <c r="J59" t="s">
        <v>163</v>
      </c>
      <c r="K59">
        <v>4.1223388385484691E-3</v>
      </c>
      <c r="L59" t="s">
        <v>164</v>
      </c>
      <c r="N59" t="s">
        <v>215</v>
      </c>
      <c r="O59" t="s">
        <v>163</v>
      </c>
      <c r="P59">
        <v>0.10174759476578912</v>
      </c>
      <c r="Q59" t="s">
        <v>164</v>
      </c>
      <c r="S59" t="s">
        <v>242</v>
      </c>
      <c r="T59" t="s">
        <v>163</v>
      </c>
      <c r="U59">
        <v>4.4053277781467261E-2</v>
      </c>
      <c r="V59" t="s">
        <v>164</v>
      </c>
      <c r="AK59">
        <v>2034</v>
      </c>
      <c r="AL59" t="s">
        <v>152</v>
      </c>
      <c r="AM59">
        <v>0.40260000000000001</v>
      </c>
      <c r="AN59" t="s">
        <v>257</v>
      </c>
    </row>
    <row r="60" spans="9:40" x14ac:dyDescent="0.45">
      <c r="I60" t="s">
        <v>179</v>
      </c>
      <c r="J60" t="s">
        <v>165</v>
      </c>
      <c r="K60">
        <v>0.19709121311063627</v>
      </c>
      <c r="L60" t="s">
        <v>164</v>
      </c>
      <c r="N60" t="s">
        <v>215</v>
      </c>
      <c r="O60" t="s">
        <v>165</v>
      </c>
      <c r="P60">
        <v>7.2356693350215759E-2</v>
      </c>
      <c r="Q60" t="s">
        <v>164</v>
      </c>
      <c r="S60" t="s">
        <v>242</v>
      </c>
      <c r="T60" t="s">
        <v>165</v>
      </c>
      <c r="U60">
        <v>4.4373789056041314E-2</v>
      </c>
      <c r="V60" t="s">
        <v>164</v>
      </c>
      <c r="AK60">
        <v>2034</v>
      </c>
      <c r="AL60" t="s">
        <v>156</v>
      </c>
      <c r="AM60">
        <v>0.31369999999999998</v>
      </c>
      <c r="AN60" t="s">
        <v>257</v>
      </c>
    </row>
    <row r="61" spans="9:40" x14ac:dyDescent="0.45">
      <c r="I61" t="s">
        <v>179</v>
      </c>
      <c r="J61" t="s">
        <v>166</v>
      </c>
      <c r="K61">
        <v>0</v>
      </c>
      <c r="L61" t="s">
        <v>164</v>
      </c>
      <c r="N61" t="s">
        <v>215</v>
      </c>
      <c r="O61" t="s">
        <v>166</v>
      </c>
      <c r="P61">
        <v>1.3384972781525591E-2</v>
      </c>
      <c r="Q61" t="s">
        <v>164</v>
      </c>
      <c r="S61" t="s">
        <v>242</v>
      </c>
      <c r="T61" t="s">
        <v>166</v>
      </c>
      <c r="U61">
        <v>4.3156805574462581E-3</v>
      </c>
      <c r="V61" t="s">
        <v>164</v>
      </c>
      <c r="AK61">
        <v>2034</v>
      </c>
      <c r="AL61" t="s">
        <v>158</v>
      </c>
      <c r="AM61">
        <v>0.29339999999999999</v>
      </c>
      <c r="AN61" t="s">
        <v>257</v>
      </c>
    </row>
    <row r="62" spans="9:40" x14ac:dyDescent="0.45">
      <c r="I62" t="s">
        <v>179</v>
      </c>
      <c r="J62" t="s">
        <v>167</v>
      </c>
      <c r="K62">
        <v>2.113043769676139E-3</v>
      </c>
      <c r="L62" t="s">
        <v>164</v>
      </c>
      <c r="N62" t="s">
        <v>215</v>
      </c>
      <c r="O62" t="s">
        <v>167</v>
      </c>
      <c r="P62">
        <v>6.7465808164216545E-2</v>
      </c>
      <c r="Q62" t="s">
        <v>164</v>
      </c>
      <c r="S62" t="s">
        <v>242</v>
      </c>
      <c r="T62" t="s">
        <v>167</v>
      </c>
      <c r="U62">
        <v>2.5455414868153944E-2</v>
      </c>
      <c r="V62" t="s">
        <v>164</v>
      </c>
      <c r="AK62">
        <v>2034</v>
      </c>
      <c r="AL62" t="s">
        <v>160</v>
      </c>
      <c r="AM62">
        <v>0.44155</v>
      </c>
      <c r="AN62" t="s">
        <v>257</v>
      </c>
    </row>
    <row r="63" spans="9:40" x14ac:dyDescent="0.45">
      <c r="I63" t="s">
        <v>179</v>
      </c>
      <c r="J63" t="s">
        <v>168</v>
      </c>
      <c r="K63">
        <v>9.3357794832497495E-2</v>
      </c>
      <c r="L63" t="s">
        <v>164</v>
      </c>
      <c r="N63" t="s">
        <v>215</v>
      </c>
      <c r="O63" t="s">
        <v>168</v>
      </c>
      <c r="P63">
        <v>7.22974081545774E-2</v>
      </c>
      <c r="Q63" t="s">
        <v>164</v>
      </c>
      <c r="S63" t="s">
        <v>242</v>
      </c>
      <c r="T63" t="s">
        <v>168</v>
      </c>
      <c r="U63">
        <v>2.8334746636645106E-2</v>
      </c>
      <c r="V63" t="s">
        <v>164</v>
      </c>
      <c r="AK63">
        <v>2035</v>
      </c>
      <c r="AL63" t="s">
        <v>152</v>
      </c>
      <c r="AM63">
        <v>0.38644999999999996</v>
      </c>
      <c r="AN63" t="s">
        <v>257</v>
      </c>
    </row>
    <row r="64" spans="9:40" x14ac:dyDescent="0.45">
      <c r="I64" t="s">
        <v>179</v>
      </c>
      <c r="J64" t="s">
        <v>169</v>
      </c>
      <c r="K64">
        <v>0</v>
      </c>
      <c r="L64" t="s">
        <v>164</v>
      </c>
      <c r="N64" t="s">
        <v>215</v>
      </c>
      <c r="O64" t="s">
        <v>169</v>
      </c>
      <c r="P64">
        <v>1.1982957046726148E-2</v>
      </c>
      <c r="Q64" t="s">
        <v>164</v>
      </c>
      <c r="S64" t="s">
        <v>242</v>
      </c>
      <c r="T64" t="s">
        <v>169</v>
      </c>
      <c r="U64">
        <v>1.6938667070921557E-3</v>
      </c>
      <c r="V64" t="s">
        <v>164</v>
      </c>
      <c r="AK64">
        <v>2035</v>
      </c>
      <c r="AL64" t="s">
        <v>156</v>
      </c>
      <c r="AM64">
        <v>0.30730000000000002</v>
      </c>
      <c r="AN64" t="s">
        <v>257</v>
      </c>
    </row>
    <row r="65" spans="9:40" x14ac:dyDescent="0.45">
      <c r="I65" t="s">
        <v>179</v>
      </c>
      <c r="J65" t="s">
        <v>170</v>
      </c>
      <c r="K65">
        <v>1.0838393330007776E-2</v>
      </c>
      <c r="L65" t="s">
        <v>164</v>
      </c>
      <c r="N65" t="s">
        <v>215</v>
      </c>
      <c r="O65" t="s">
        <v>170</v>
      </c>
      <c r="P65">
        <v>0.18045128462989427</v>
      </c>
      <c r="Q65" t="s">
        <v>164</v>
      </c>
      <c r="S65" t="s">
        <v>242</v>
      </c>
      <c r="T65" t="s">
        <v>170</v>
      </c>
      <c r="U65">
        <v>0.22637655690958602</v>
      </c>
      <c r="V65" t="s">
        <v>164</v>
      </c>
      <c r="AK65">
        <v>2035</v>
      </c>
      <c r="AL65" t="s">
        <v>158</v>
      </c>
      <c r="AM65">
        <v>0.28386000000000006</v>
      </c>
      <c r="AN65" t="s">
        <v>257</v>
      </c>
    </row>
    <row r="66" spans="9:40" x14ac:dyDescent="0.45">
      <c r="I66" t="s">
        <v>179</v>
      </c>
      <c r="J66" t="s">
        <v>171</v>
      </c>
      <c r="K66">
        <v>0.35640609193511569</v>
      </c>
      <c r="L66" t="s">
        <v>164</v>
      </c>
      <c r="N66" t="s">
        <v>215</v>
      </c>
      <c r="O66" t="s">
        <v>171</v>
      </c>
      <c r="P66">
        <v>0.18818642712718958</v>
      </c>
      <c r="Q66" t="s">
        <v>164</v>
      </c>
      <c r="S66" t="s">
        <v>242</v>
      </c>
      <c r="T66" t="s">
        <v>171</v>
      </c>
      <c r="U66">
        <v>0.33694921750828843</v>
      </c>
      <c r="V66" t="s">
        <v>164</v>
      </c>
      <c r="AK66">
        <v>2035</v>
      </c>
      <c r="AL66" t="s">
        <v>160</v>
      </c>
      <c r="AM66">
        <v>0.45424999999999999</v>
      </c>
      <c r="AN66" t="s">
        <v>257</v>
      </c>
    </row>
    <row r="67" spans="9:40" x14ac:dyDescent="0.45">
      <c r="I67" t="s">
        <v>179</v>
      </c>
      <c r="J67" t="s">
        <v>172</v>
      </c>
      <c r="K67">
        <v>0</v>
      </c>
      <c r="L67" t="s">
        <v>164</v>
      </c>
      <c r="N67" t="s">
        <v>215</v>
      </c>
      <c r="O67" t="s">
        <v>172</v>
      </c>
      <c r="P67">
        <v>2.2893776654633248E-2</v>
      </c>
      <c r="Q67" t="s">
        <v>164</v>
      </c>
      <c r="S67" t="s">
        <v>242</v>
      </c>
      <c r="T67" t="s">
        <v>172</v>
      </c>
      <c r="U67">
        <v>2.8153692412240885E-2</v>
      </c>
      <c r="V67" t="s">
        <v>164</v>
      </c>
      <c r="AK67">
        <v>2036</v>
      </c>
      <c r="AL67" t="s">
        <v>152</v>
      </c>
      <c r="AM67">
        <v>0.36380000000000001</v>
      </c>
      <c r="AN67" t="s">
        <v>257</v>
      </c>
    </row>
    <row r="68" spans="9:40" x14ac:dyDescent="0.45">
      <c r="I68" t="s">
        <v>179</v>
      </c>
      <c r="J68" t="s">
        <v>173</v>
      </c>
      <c r="K68">
        <v>8.4937118395030427E-3</v>
      </c>
      <c r="L68" t="s">
        <v>164</v>
      </c>
      <c r="N68" t="s">
        <v>215</v>
      </c>
      <c r="O68" t="s">
        <v>173</v>
      </c>
      <c r="P68">
        <v>0.13500019028882251</v>
      </c>
      <c r="Q68" t="s">
        <v>164</v>
      </c>
      <c r="S68" t="s">
        <v>242</v>
      </c>
      <c r="T68" t="s">
        <v>173</v>
      </c>
      <c r="U68">
        <v>0.10003403048089853</v>
      </c>
      <c r="V68" t="s">
        <v>164</v>
      </c>
      <c r="AK68">
        <v>2036</v>
      </c>
      <c r="AL68" t="s">
        <v>156</v>
      </c>
      <c r="AM68">
        <v>0.35470000000000002</v>
      </c>
      <c r="AN68" t="s">
        <v>257</v>
      </c>
    </row>
    <row r="69" spans="9:40" x14ac:dyDescent="0.45">
      <c r="I69" t="s">
        <v>179</v>
      </c>
      <c r="J69" t="s">
        <v>174</v>
      </c>
      <c r="K69">
        <v>0.32757741234401383</v>
      </c>
      <c r="L69" t="s">
        <v>164</v>
      </c>
      <c r="N69" t="s">
        <v>215</v>
      </c>
      <c r="O69" t="s">
        <v>174</v>
      </c>
      <c r="P69">
        <v>0.11531442080631699</v>
      </c>
      <c r="Q69" t="s">
        <v>164</v>
      </c>
      <c r="S69" t="s">
        <v>242</v>
      </c>
      <c r="T69" t="s">
        <v>174</v>
      </c>
      <c r="U69">
        <v>0.14891859932560667</v>
      </c>
      <c r="V69" t="s">
        <v>164</v>
      </c>
      <c r="AK69">
        <v>2036</v>
      </c>
      <c r="AL69" t="s">
        <v>158</v>
      </c>
      <c r="AM69">
        <v>0.29121999999999998</v>
      </c>
      <c r="AN69" t="s">
        <v>257</v>
      </c>
    </row>
    <row r="70" spans="9:40" x14ac:dyDescent="0.45">
      <c r="I70" t="s">
        <v>179</v>
      </c>
      <c r="J70" t="s">
        <v>175</v>
      </c>
      <c r="K70">
        <v>0</v>
      </c>
      <c r="L70" t="s">
        <v>164</v>
      </c>
      <c r="N70" t="s">
        <v>215</v>
      </c>
      <c r="O70" t="s">
        <v>175</v>
      </c>
      <c r="P70">
        <v>1.8918466230089616E-2</v>
      </c>
      <c r="Q70" t="s">
        <v>164</v>
      </c>
      <c r="S70" t="s">
        <v>242</v>
      </c>
      <c r="T70" t="s">
        <v>175</v>
      </c>
      <c r="U70">
        <v>1.1341127756533185E-2</v>
      </c>
      <c r="V70" t="s">
        <v>164</v>
      </c>
      <c r="AK70">
        <v>2036</v>
      </c>
      <c r="AL70" t="s">
        <v>160</v>
      </c>
      <c r="AM70">
        <v>0.45214999999999994</v>
      </c>
      <c r="AN70" t="s">
        <v>257</v>
      </c>
    </row>
    <row r="71" spans="9:40" x14ac:dyDescent="0.45">
      <c r="I71" t="s">
        <v>180</v>
      </c>
      <c r="J71" t="s">
        <v>163</v>
      </c>
      <c r="K71">
        <v>5.5852465524363062E-3</v>
      </c>
      <c r="L71" t="s">
        <v>164</v>
      </c>
      <c r="N71" t="s">
        <v>216</v>
      </c>
      <c r="O71" t="s">
        <v>163</v>
      </c>
      <c r="P71">
        <v>0.10612576838151612</v>
      </c>
      <c r="Q71" t="s">
        <v>164</v>
      </c>
      <c r="S71" t="s">
        <v>243</v>
      </c>
      <c r="T71" t="s">
        <v>163</v>
      </c>
      <c r="U71">
        <v>4.1387098875048163E-2</v>
      </c>
      <c r="V71" t="s">
        <v>164</v>
      </c>
      <c r="AK71">
        <v>2037</v>
      </c>
      <c r="AL71" t="s">
        <v>152</v>
      </c>
      <c r="AM71">
        <v>0.38009999999999999</v>
      </c>
      <c r="AN71" t="s">
        <v>257</v>
      </c>
    </row>
    <row r="72" spans="9:40" x14ac:dyDescent="0.45">
      <c r="I72" t="s">
        <v>180</v>
      </c>
      <c r="J72" t="s">
        <v>165</v>
      </c>
      <c r="K72">
        <v>0.1896391912179583</v>
      </c>
      <c r="L72" t="s">
        <v>164</v>
      </c>
      <c r="N72" t="s">
        <v>216</v>
      </c>
      <c r="O72" t="s">
        <v>165</v>
      </c>
      <c r="P72">
        <v>9.1786730413257966E-2</v>
      </c>
      <c r="Q72" t="s">
        <v>164</v>
      </c>
      <c r="S72" t="s">
        <v>243</v>
      </c>
      <c r="T72" t="s">
        <v>165</v>
      </c>
      <c r="U72">
        <v>4.8384947948432747E-2</v>
      </c>
      <c r="V72" t="s">
        <v>164</v>
      </c>
      <c r="AK72">
        <v>2037</v>
      </c>
      <c r="AL72" t="s">
        <v>156</v>
      </c>
      <c r="AM72">
        <v>0.31530000000000002</v>
      </c>
      <c r="AN72" t="s">
        <v>257</v>
      </c>
    </row>
    <row r="73" spans="9:40" x14ac:dyDescent="0.45">
      <c r="I73" t="s">
        <v>180</v>
      </c>
      <c r="J73" t="s">
        <v>166</v>
      </c>
      <c r="K73">
        <v>0</v>
      </c>
      <c r="L73" t="s">
        <v>164</v>
      </c>
      <c r="N73" t="s">
        <v>216</v>
      </c>
      <c r="O73" t="s">
        <v>166</v>
      </c>
      <c r="P73">
        <v>1.6295224046728445E-2</v>
      </c>
      <c r="Q73" t="s">
        <v>164</v>
      </c>
      <c r="S73" t="s">
        <v>243</v>
      </c>
      <c r="T73" t="s">
        <v>166</v>
      </c>
      <c r="U73">
        <v>5.3191689461521011E-3</v>
      </c>
      <c r="V73" t="s">
        <v>164</v>
      </c>
      <c r="AK73">
        <v>2037</v>
      </c>
      <c r="AL73" t="s">
        <v>158</v>
      </c>
      <c r="AM73">
        <v>0.2893</v>
      </c>
      <c r="AN73" t="s">
        <v>257</v>
      </c>
    </row>
    <row r="74" spans="9:40" x14ac:dyDescent="0.45">
      <c r="I74" t="s">
        <v>180</v>
      </c>
      <c r="J74" t="s">
        <v>167</v>
      </c>
      <c r="K74">
        <v>3.395602451126837E-3</v>
      </c>
      <c r="L74" t="s">
        <v>164</v>
      </c>
      <c r="N74" t="s">
        <v>216</v>
      </c>
      <c r="O74" t="s">
        <v>167</v>
      </c>
      <c r="P74">
        <v>7.9700539591740227E-2</v>
      </c>
      <c r="Q74" t="s">
        <v>164</v>
      </c>
      <c r="S74" t="s">
        <v>243</v>
      </c>
      <c r="T74" t="s">
        <v>167</v>
      </c>
      <c r="U74">
        <v>1.8939455354792488E-2</v>
      </c>
      <c r="V74" t="s">
        <v>164</v>
      </c>
      <c r="AK74">
        <v>2037</v>
      </c>
      <c r="AL74" t="s">
        <v>160</v>
      </c>
      <c r="AM74">
        <v>0.44895000000000002</v>
      </c>
      <c r="AN74" t="s">
        <v>257</v>
      </c>
    </row>
    <row r="75" spans="9:40" x14ac:dyDescent="0.45">
      <c r="I75" t="s">
        <v>180</v>
      </c>
      <c r="J75" t="s">
        <v>168</v>
      </c>
      <c r="K75">
        <v>9.574719533685494E-2</v>
      </c>
      <c r="L75" t="s">
        <v>164</v>
      </c>
      <c r="N75" t="s">
        <v>216</v>
      </c>
      <c r="O75" t="s">
        <v>168</v>
      </c>
      <c r="P75">
        <v>4.4262260673219624E-2</v>
      </c>
      <c r="Q75" t="s">
        <v>164</v>
      </c>
      <c r="S75" t="s">
        <v>243</v>
      </c>
      <c r="T75" t="s">
        <v>168</v>
      </c>
      <c r="U75">
        <v>3.0332675538953944E-2</v>
      </c>
      <c r="V75" t="s">
        <v>164</v>
      </c>
      <c r="AK75">
        <v>2038</v>
      </c>
      <c r="AL75" t="s">
        <v>152</v>
      </c>
      <c r="AM75">
        <v>0.37434999999999996</v>
      </c>
      <c r="AN75" t="s">
        <v>257</v>
      </c>
    </row>
    <row r="76" spans="9:40" x14ac:dyDescent="0.45">
      <c r="I76" t="s">
        <v>180</v>
      </c>
      <c r="J76" t="s">
        <v>169</v>
      </c>
      <c r="K76">
        <v>0</v>
      </c>
      <c r="L76" t="s">
        <v>164</v>
      </c>
      <c r="N76" t="s">
        <v>216</v>
      </c>
      <c r="O76" t="s">
        <v>169</v>
      </c>
      <c r="P76">
        <v>9.6806049752153536E-3</v>
      </c>
      <c r="Q76" t="s">
        <v>164</v>
      </c>
      <c r="S76" t="s">
        <v>243</v>
      </c>
      <c r="T76" t="s">
        <v>169</v>
      </c>
      <c r="U76">
        <v>1.8049907396059952E-3</v>
      </c>
      <c r="V76" t="s">
        <v>164</v>
      </c>
      <c r="AK76">
        <v>2038</v>
      </c>
      <c r="AL76" t="s">
        <v>156</v>
      </c>
      <c r="AM76">
        <v>0.33410000000000001</v>
      </c>
      <c r="AN76" t="s">
        <v>257</v>
      </c>
    </row>
    <row r="77" spans="9:40" x14ac:dyDescent="0.45">
      <c r="I77" t="s">
        <v>180</v>
      </c>
      <c r="J77" t="s">
        <v>170</v>
      </c>
      <c r="K77">
        <v>1.4422324409412067E-2</v>
      </c>
      <c r="L77" t="s">
        <v>164</v>
      </c>
      <c r="N77" t="s">
        <v>216</v>
      </c>
      <c r="O77" t="s">
        <v>170</v>
      </c>
      <c r="P77">
        <v>0.20782113196709234</v>
      </c>
      <c r="Q77" t="s">
        <v>164</v>
      </c>
      <c r="S77" t="s">
        <v>243</v>
      </c>
      <c r="T77" t="s">
        <v>170</v>
      </c>
      <c r="U77">
        <v>0.21597047930018878</v>
      </c>
      <c r="V77" t="s">
        <v>164</v>
      </c>
      <c r="AK77">
        <v>2038</v>
      </c>
      <c r="AL77" t="s">
        <v>158</v>
      </c>
      <c r="AM77">
        <v>0.29100000000000004</v>
      </c>
      <c r="AN77" t="s">
        <v>257</v>
      </c>
    </row>
    <row r="78" spans="9:40" x14ac:dyDescent="0.45">
      <c r="I78" t="s">
        <v>180</v>
      </c>
      <c r="J78" t="s">
        <v>171</v>
      </c>
      <c r="K78">
        <v>0.35520953824397788</v>
      </c>
      <c r="L78" t="s">
        <v>164</v>
      </c>
      <c r="N78" t="s">
        <v>216</v>
      </c>
      <c r="O78" t="s">
        <v>171</v>
      </c>
      <c r="P78">
        <v>0.17644569829191664</v>
      </c>
      <c r="Q78" t="s">
        <v>164</v>
      </c>
      <c r="S78" t="s">
        <v>243</v>
      </c>
      <c r="T78" t="s">
        <v>171</v>
      </c>
      <c r="U78">
        <v>0.34826078837299296</v>
      </c>
      <c r="V78" t="s">
        <v>164</v>
      </c>
      <c r="AK78">
        <v>2038</v>
      </c>
      <c r="AL78" t="s">
        <v>160</v>
      </c>
      <c r="AM78">
        <v>0.44550000000000001</v>
      </c>
      <c r="AN78" t="s">
        <v>257</v>
      </c>
    </row>
    <row r="79" spans="9:40" x14ac:dyDescent="0.45">
      <c r="I79" t="s">
        <v>180</v>
      </c>
      <c r="J79" t="s">
        <v>172</v>
      </c>
      <c r="K79">
        <v>0</v>
      </c>
      <c r="L79" t="s">
        <v>164</v>
      </c>
      <c r="N79" t="s">
        <v>216</v>
      </c>
      <c r="O79" t="s">
        <v>172</v>
      </c>
      <c r="P79">
        <v>1.9593707623255668E-2</v>
      </c>
      <c r="Q79" t="s">
        <v>164</v>
      </c>
      <c r="S79" t="s">
        <v>243</v>
      </c>
      <c r="T79" t="s">
        <v>172</v>
      </c>
      <c r="U79">
        <v>2.8306059917410212E-2</v>
      </c>
      <c r="V79" t="s">
        <v>164</v>
      </c>
      <c r="AK79">
        <v>2039</v>
      </c>
      <c r="AL79" t="s">
        <v>152</v>
      </c>
      <c r="AM79">
        <v>0.36645</v>
      </c>
      <c r="AN79" t="s">
        <v>257</v>
      </c>
    </row>
    <row r="80" spans="9:40" x14ac:dyDescent="0.45">
      <c r="I80" t="s">
        <v>180</v>
      </c>
      <c r="J80" t="s">
        <v>173</v>
      </c>
      <c r="K80">
        <v>1.3701379540802253E-2</v>
      </c>
      <c r="L80" t="s">
        <v>164</v>
      </c>
      <c r="N80" t="s">
        <v>216</v>
      </c>
      <c r="O80" t="s">
        <v>173</v>
      </c>
      <c r="P80">
        <v>0.12327308002990621</v>
      </c>
      <c r="Q80" t="s">
        <v>164</v>
      </c>
      <c r="S80" t="s">
        <v>243</v>
      </c>
      <c r="T80" t="s">
        <v>173</v>
      </c>
      <c r="U80">
        <v>9.2874650210361634E-2</v>
      </c>
      <c r="V80" t="s">
        <v>164</v>
      </c>
      <c r="AK80">
        <v>2039</v>
      </c>
      <c r="AL80" t="s">
        <v>156</v>
      </c>
      <c r="AM80">
        <v>0.33500000000000002</v>
      </c>
      <c r="AN80" t="s">
        <v>257</v>
      </c>
    </row>
    <row r="81" spans="9:40" x14ac:dyDescent="0.45">
      <c r="I81" t="s">
        <v>180</v>
      </c>
      <c r="J81" t="s">
        <v>174</v>
      </c>
      <c r="K81">
        <v>0.32229952224743424</v>
      </c>
      <c r="L81" t="s">
        <v>164</v>
      </c>
      <c r="N81" t="s">
        <v>216</v>
      </c>
      <c r="O81" t="s">
        <v>174</v>
      </c>
      <c r="P81">
        <v>0.11044892959698943</v>
      </c>
      <c r="Q81" t="s">
        <v>164</v>
      </c>
      <c r="S81" t="s">
        <v>243</v>
      </c>
      <c r="T81" t="s">
        <v>174</v>
      </c>
      <c r="U81">
        <v>0.15459456650526068</v>
      </c>
      <c r="V81" t="s">
        <v>164</v>
      </c>
      <c r="AK81">
        <v>2039</v>
      </c>
      <c r="AL81" t="s">
        <v>158</v>
      </c>
      <c r="AM81">
        <v>0.29471999999999998</v>
      </c>
      <c r="AN81" t="s">
        <v>257</v>
      </c>
    </row>
    <row r="82" spans="9:40" x14ac:dyDescent="0.45">
      <c r="I82" t="s">
        <v>180</v>
      </c>
      <c r="J82" t="s">
        <v>175</v>
      </c>
      <c r="K82">
        <v>0</v>
      </c>
      <c r="L82" t="s">
        <v>164</v>
      </c>
      <c r="N82" t="s">
        <v>216</v>
      </c>
      <c r="O82" t="s">
        <v>175</v>
      </c>
      <c r="P82">
        <v>1.4566324409162435E-2</v>
      </c>
      <c r="Q82" t="s">
        <v>164</v>
      </c>
      <c r="S82" t="s">
        <v>243</v>
      </c>
      <c r="T82" t="s">
        <v>175</v>
      </c>
      <c r="U82">
        <v>1.3825118290799326E-2</v>
      </c>
      <c r="V82" t="s">
        <v>164</v>
      </c>
      <c r="AK82">
        <v>2039</v>
      </c>
      <c r="AL82" t="s">
        <v>160</v>
      </c>
      <c r="AM82">
        <v>0.45582499999999998</v>
      </c>
      <c r="AN82" t="s">
        <v>257</v>
      </c>
    </row>
    <row r="83" spans="9:40" x14ac:dyDescent="0.45">
      <c r="I83" t="s">
        <v>181</v>
      </c>
      <c r="J83" t="s">
        <v>163</v>
      </c>
      <c r="K83">
        <v>6.6719160696868448E-3</v>
      </c>
      <c r="L83" t="s">
        <v>164</v>
      </c>
      <c r="N83" t="s">
        <v>217</v>
      </c>
      <c r="O83" t="s">
        <v>163</v>
      </c>
      <c r="P83">
        <v>8.2583092100686845E-2</v>
      </c>
      <c r="Q83" t="s">
        <v>164</v>
      </c>
      <c r="S83" t="s">
        <v>244</v>
      </c>
      <c r="T83" t="s">
        <v>163</v>
      </c>
      <c r="U83">
        <v>4.0611809088904334E-2</v>
      </c>
      <c r="V83" t="s">
        <v>164</v>
      </c>
      <c r="AK83">
        <v>2040</v>
      </c>
      <c r="AL83" t="s">
        <v>152</v>
      </c>
      <c r="AM83">
        <v>0.38009999999999999</v>
      </c>
      <c r="AN83" t="s">
        <v>257</v>
      </c>
    </row>
    <row r="84" spans="9:40" x14ac:dyDescent="0.45">
      <c r="I84" t="s">
        <v>181</v>
      </c>
      <c r="J84" t="s">
        <v>165</v>
      </c>
      <c r="K84">
        <v>0.20160343299932437</v>
      </c>
      <c r="L84" t="s">
        <v>164</v>
      </c>
      <c r="N84" t="s">
        <v>217</v>
      </c>
      <c r="O84" t="s">
        <v>165</v>
      </c>
      <c r="P84">
        <v>6.8209627972272105E-2</v>
      </c>
      <c r="Q84" t="s">
        <v>164</v>
      </c>
      <c r="S84" t="s">
        <v>244</v>
      </c>
      <c r="T84" t="s">
        <v>165</v>
      </c>
      <c r="U84">
        <v>7.1666514737360978E-2</v>
      </c>
      <c r="V84" t="s">
        <v>164</v>
      </c>
      <c r="AK84">
        <v>2040</v>
      </c>
      <c r="AL84" t="s">
        <v>156</v>
      </c>
      <c r="AM84">
        <v>0.3306</v>
      </c>
      <c r="AN84" t="s">
        <v>257</v>
      </c>
    </row>
    <row r="85" spans="9:40" x14ac:dyDescent="0.45">
      <c r="I85" t="s">
        <v>181</v>
      </c>
      <c r="J85" t="s">
        <v>166</v>
      </c>
      <c r="K85">
        <v>0</v>
      </c>
      <c r="L85" t="s">
        <v>164</v>
      </c>
      <c r="N85" t="s">
        <v>217</v>
      </c>
      <c r="O85" t="s">
        <v>166</v>
      </c>
      <c r="P85">
        <v>1.1387685736693697E-2</v>
      </c>
      <c r="Q85" t="s">
        <v>164</v>
      </c>
      <c r="S85" t="s">
        <v>244</v>
      </c>
      <c r="T85" t="s">
        <v>166</v>
      </c>
      <c r="U85">
        <v>7.4485471130354306E-3</v>
      </c>
      <c r="V85" t="s">
        <v>164</v>
      </c>
      <c r="AK85">
        <v>2040</v>
      </c>
      <c r="AL85" t="s">
        <v>158</v>
      </c>
      <c r="AM85">
        <v>0.29437999999999998</v>
      </c>
      <c r="AN85" t="s">
        <v>257</v>
      </c>
    </row>
    <row r="86" spans="9:40" x14ac:dyDescent="0.45">
      <c r="I86" t="s">
        <v>181</v>
      </c>
      <c r="J86" t="s">
        <v>167</v>
      </c>
      <c r="K86">
        <v>3.30210071240074E-3</v>
      </c>
      <c r="L86" t="s">
        <v>164</v>
      </c>
      <c r="N86" t="s">
        <v>217</v>
      </c>
      <c r="O86" t="s">
        <v>167</v>
      </c>
      <c r="P86">
        <v>7.7969033651726596E-2</v>
      </c>
      <c r="Q86" t="s">
        <v>164</v>
      </c>
      <c r="S86" t="s">
        <v>244</v>
      </c>
      <c r="T86" t="s">
        <v>167</v>
      </c>
      <c r="U86">
        <v>2.272043136330875E-2</v>
      </c>
      <c r="V86" t="s">
        <v>164</v>
      </c>
      <c r="AK86">
        <v>2040</v>
      </c>
      <c r="AL86" t="s">
        <v>160</v>
      </c>
      <c r="AM86">
        <v>0.45477499999999998</v>
      </c>
      <c r="AN86" t="s">
        <v>257</v>
      </c>
    </row>
    <row r="87" spans="9:40" x14ac:dyDescent="0.45">
      <c r="I87" t="s">
        <v>181</v>
      </c>
      <c r="J87" t="s">
        <v>168</v>
      </c>
      <c r="K87">
        <v>8.8890353085279136E-2</v>
      </c>
      <c r="L87" t="s">
        <v>164</v>
      </c>
      <c r="N87" t="s">
        <v>217</v>
      </c>
      <c r="O87" t="s">
        <v>168</v>
      </c>
      <c r="P87">
        <v>6.2788420741967513E-2</v>
      </c>
      <c r="Q87" t="s">
        <v>164</v>
      </c>
      <c r="S87" t="s">
        <v>244</v>
      </c>
      <c r="T87" t="s">
        <v>168</v>
      </c>
      <c r="U87">
        <v>3.8125369157373128E-2</v>
      </c>
      <c r="V87" t="s">
        <v>164</v>
      </c>
      <c r="AK87">
        <v>2041</v>
      </c>
      <c r="AL87" t="s">
        <v>152</v>
      </c>
      <c r="AM87">
        <v>0.37490000000000001</v>
      </c>
      <c r="AN87" t="s">
        <v>257</v>
      </c>
    </row>
    <row r="88" spans="9:40" x14ac:dyDescent="0.45">
      <c r="I88" t="s">
        <v>181</v>
      </c>
      <c r="J88" t="s">
        <v>169</v>
      </c>
      <c r="K88">
        <v>0</v>
      </c>
      <c r="L88" t="s">
        <v>164</v>
      </c>
      <c r="N88" t="s">
        <v>217</v>
      </c>
      <c r="O88" t="s">
        <v>169</v>
      </c>
      <c r="P88">
        <v>1.0196908312606254E-2</v>
      </c>
      <c r="Q88" t="s">
        <v>164</v>
      </c>
      <c r="S88" t="s">
        <v>244</v>
      </c>
      <c r="T88" t="s">
        <v>169</v>
      </c>
      <c r="U88">
        <v>2.3879103746184717E-3</v>
      </c>
      <c r="V88" t="s">
        <v>164</v>
      </c>
      <c r="AK88">
        <v>2041</v>
      </c>
      <c r="AL88" t="s">
        <v>156</v>
      </c>
      <c r="AM88">
        <v>0.31409999999999999</v>
      </c>
      <c r="AN88" t="s">
        <v>257</v>
      </c>
    </row>
    <row r="89" spans="9:40" x14ac:dyDescent="0.45">
      <c r="I89" t="s">
        <v>181</v>
      </c>
      <c r="J89" t="s">
        <v>170</v>
      </c>
      <c r="K89">
        <v>1.5723418233059221E-2</v>
      </c>
      <c r="L89" t="s">
        <v>164</v>
      </c>
      <c r="N89" t="s">
        <v>217</v>
      </c>
      <c r="O89" t="s">
        <v>170</v>
      </c>
      <c r="P89">
        <v>0.22263415783051352</v>
      </c>
      <c r="Q89" t="s">
        <v>164</v>
      </c>
      <c r="S89" t="s">
        <v>244</v>
      </c>
      <c r="T89" t="s">
        <v>170</v>
      </c>
      <c r="U89">
        <v>0.18844409733858986</v>
      </c>
      <c r="V89" t="s">
        <v>164</v>
      </c>
      <c r="AK89">
        <v>2041</v>
      </c>
      <c r="AL89" t="s">
        <v>158</v>
      </c>
      <c r="AM89">
        <v>0.28067999999999999</v>
      </c>
      <c r="AN89" t="s">
        <v>257</v>
      </c>
    </row>
    <row r="90" spans="9:40" x14ac:dyDescent="0.45">
      <c r="I90" t="s">
        <v>181</v>
      </c>
      <c r="J90" t="s">
        <v>171</v>
      </c>
      <c r="K90">
        <v>0.34091680078871439</v>
      </c>
      <c r="L90" t="s">
        <v>164</v>
      </c>
      <c r="N90" t="s">
        <v>217</v>
      </c>
      <c r="O90" t="s">
        <v>171</v>
      </c>
      <c r="P90">
        <v>0.20834831620002359</v>
      </c>
      <c r="Q90" t="s">
        <v>164</v>
      </c>
      <c r="S90" t="s">
        <v>244</v>
      </c>
      <c r="T90" t="s">
        <v>171</v>
      </c>
      <c r="U90">
        <v>0.36683288541593184</v>
      </c>
      <c r="V90" t="s">
        <v>164</v>
      </c>
      <c r="AK90">
        <v>2041</v>
      </c>
      <c r="AL90" t="s">
        <v>160</v>
      </c>
      <c r="AM90">
        <v>0.45905000000000001</v>
      </c>
      <c r="AN90" t="s">
        <v>257</v>
      </c>
    </row>
    <row r="91" spans="9:40" x14ac:dyDescent="0.45">
      <c r="I91" t="s">
        <v>181</v>
      </c>
      <c r="J91" t="s">
        <v>172</v>
      </c>
      <c r="K91">
        <v>0</v>
      </c>
      <c r="L91" t="s">
        <v>164</v>
      </c>
      <c r="N91" t="s">
        <v>217</v>
      </c>
      <c r="O91" t="s">
        <v>172</v>
      </c>
      <c r="P91">
        <v>2.2281773314365368E-2</v>
      </c>
      <c r="Q91" t="s">
        <v>164</v>
      </c>
      <c r="S91" t="s">
        <v>244</v>
      </c>
      <c r="T91" t="s">
        <v>172</v>
      </c>
      <c r="U91">
        <v>2.7139580808304174E-2</v>
      </c>
      <c r="V91" t="s">
        <v>164</v>
      </c>
      <c r="AK91">
        <v>2042</v>
      </c>
      <c r="AL91" t="s">
        <v>152</v>
      </c>
      <c r="AM91">
        <v>0.38300000000000001</v>
      </c>
      <c r="AN91" t="s">
        <v>257</v>
      </c>
    </row>
    <row r="92" spans="9:40" x14ac:dyDescent="0.45">
      <c r="I92" t="s">
        <v>181</v>
      </c>
      <c r="J92" t="s">
        <v>173</v>
      </c>
      <c r="K92">
        <v>1.8866468061661583E-2</v>
      </c>
      <c r="L92" t="s">
        <v>164</v>
      </c>
      <c r="N92" t="s">
        <v>217</v>
      </c>
      <c r="O92" t="s">
        <v>173</v>
      </c>
      <c r="P92">
        <v>0.11569509084230499</v>
      </c>
      <c r="Q92" t="s">
        <v>164</v>
      </c>
      <c r="S92" t="s">
        <v>244</v>
      </c>
      <c r="T92" t="s">
        <v>173</v>
      </c>
      <c r="U92">
        <v>6.5691563912202572E-2</v>
      </c>
      <c r="V92" t="s">
        <v>164</v>
      </c>
      <c r="AK92">
        <v>2042</v>
      </c>
      <c r="AL92" t="s">
        <v>156</v>
      </c>
      <c r="AM92">
        <v>0.34610000000000002</v>
      </c>
      <c r="AN92" t="s">
        <v>257</v>
      </c>
    </row>
    <row r="93" spans="9:40" x14ac:dyDescent="0.45">
      <c r="I93" t="s">
        <v>181</v>
      </c>
      <c r="J93" t="s">
        <v>174</v>
      </c>
      <c r="K93">
        <v>0.32402551004987168</v>
      </c>
      <c r="L93" t="s">
        <v>164</v>
      </c>
      <c r="N93" t="s">
        <v>217</v>
      </c>
      <c r="O93" t="s">
        <v>174</v>
      </c>
      <c r="P93">
        <v>0.10238837501732662</v>
      </c>
      <c r="Q93" t="s">
        <v>164</v>
      </c>
      <c r="S93" t="s">
        <v>244</v>
      </c>
      <c r="T93" t="s">
        <v>174</v>
      </c>
      <c r="U93">
        <v>0.1560187031263727</v>
      </c>
      <c r="V93" t="s">
        <v>164</v>
      </c>
      <c r="AK93">
        <v>2042</v>
      </c>
      <c r="AL93" t="s">
        <v>158</v>
      </c>
      <c r="AM93">
        <v>0.29891999999999996</v>
      </c>
      <c r="AN93" t="s">
        <v>257</v>
      </c>
    </row>
    <row r="94" spans="9:40" x14ac:dyDescent="0.45">
      <c r="I94" t="s">
        <v>181</v>
      </c>
      <c r="J94" t="s">
        <v>175</v>
      </c>
      <c r="K94">
        <v>0</v>
      </c>
      <c r="L94" t="s">
        <v>164</v>
      </c>
      <c r="N94" t="s">
        <v>217</v>
      </c>
      <c r="O94" t="s">
        <v>175</v>
      </c>
      <c r="P94">
        <v>1.5517518279515592E-2</v>
      </c>
      <c r="Q94" t="s">
        <v>164</v>
      </c>
      <c r="S94" t="s">
        <v>244</v>
      </c>
      <c r="T94" t="s">
        <v>175</v>
      </c>
      <c r="U94">
        <v>1.2912587563996061E-2</v>
      </c>
      <c r="V94" t="s">
        <v>164</v>
      </c>
      <c r="AK94">
        <v>2042</v>
      </c>
      <c r="AL94" t="s">
        <v>160</v>
      </c>
      <c r="AM94">
        <v>0.45839999999999997</v>
      </c>
      <c r="AN94" t="s">
        <v>257</v>
      </c>
    </row>
    <row r="95" spans="9:40" x14ac:dyDescent="0.45">
      <c r="I95" t="s">
        <v>182</v>
      </c>
      <c r="J95" t="s">
        <v>163</v>
      </c>
      <c r="K95">
        <v>6.395523396956827E-3</v>
      </c>
      <c r="L95" t="s">
        <v>164</v>
      </c>
      <c r="N95" t="s">
        <v>218</v>
      </c>
      <c r="O95" t="s">
        <v>163</v>
      </c>
      <c r="P95">
        <v>4.6116174369213191E-2</v>
      </c>
      <c r="Q95" t="s">
        <v>164</v>
      </c>
      <c r="S95" t="s">
        <v>245</v>
      </c>
      <c r="T95" t="s">
        <v>163</v>
      </c>
      <c r="U95">
        <v>3.977989875247584E-2</v>
      </c>
      <c r="V95" t="s">
        <v>164</v>
      </c>
      <c r="AK95">
        <v>2043</v>
      </c>
      <c r="AL95" t="s">
        <v>152</v>
      </c>
      <c r="AM95">
        <v>0.39039999999999997</v>
      </c>
      <c r="AN95" t="s">
        <v>257</v>
      </c>
    </row>
    <row r="96" spans="9:40" x14ac:dyDescent="0.45">
      <c r="I96" t="s">
        <v>182</v>
      </c>
      <c r="J96" t="s">
        <v>165</v>
      </c>
      <c r="K96">
        <v>0.20170163450552409</v>
      </c>
      <c r="L96" t="s">
        <v>164</v>
      </c>
      <c r="N96" t="s">
        <v>218</v>
      </c>
      <c r="O96" t="s">
        <v>165</v>
      </c>
      <c r="P96">
        <v>9.215252779628437E-2</v>
      </c>
      <c r="Q96" t="s">
        <v>164</v>
      </c>
      <c r="S96" t="s">
        <v>245</v>
      </c>
      <c r="T96" t="s">
        <v>165</v>
      </c>
      <c r="U96">
        <v>8.7555968769847406E-2</v>
      </c>
      <c r="V96" t="s">
        <v>164</v>
      </c>
      <c r="AK96">
        <v>2043</v>
      </c>
      <c r="AL96" t="s">
        <v>156</v>
      </c>
      <c r="AM96">
        <v>0.33900000000000002</v>
      </c>
      <c r="AN96" t="s">
        <v>257</v>
      </c>
    </row>
    <row r="97" spans="9:40" x14ac:dyDescent="0.45">
      <c r="I97" t="s">
        <v>182</v>
      </c>
      <c r="J97" t="s">
        <v>166</v>
      </c>
      <c r="K97">
        <v>0</v>
      </c>
      <c r="L97" t="s">
        <v>164</v>
      </c>
      <c r="N97" t="s">
        <v>218</v>
      </c>
      <c r="O97" t="s">
        <v>166</v>
      </c>
      <c r="P97">
        <v>7.5303230127543291E-3</v>
      </c>
      <c r="Q97" t="s">
        <v>164</v>
      </c>
      <c r="S97" t="s">
        <v>245</v>
      </c>
      <c r="T97" t="s">
        <v>166</v>
      </c>
      <c r="U97">
        <v>9.1553916000113224E-3</v>
      </c>
      <c r="V97" t="s">
        <v>164</v>
      </c>
      <c r="AK97">
        <v>2043</v>
      </c>
      <c r="AL97" t="s">
        <v>158</v>
      </c>
      <c r="AM97">
        <v>0.30503999999999998</v>
      </c>
      <c r="AN97" t="s">
        <v>257</v>
      </c>
    </row>
    <row r="98" spans="9:40" x14ac:dyDescent="0.45">
      <c r="I98" t="s">
        <v>182</v>
      </c>
      <c r="J98" t="s">
        <v>167</v>
      </c>
      <c r="K98">
        <v>3.5283503288531535E-3</v>
      </c>
      <c r="L98" t="s">
        <v>164</v>
      </c>
      <c r="N98" t="s">
        <v>218</v>
      </c>
      <c r="O98" t="s">
        <v>167</v>
      </c>
      <c r="P98">
        <v>4.3472546664883788E-2</v>
      </c>
      <c r="Q98" t="s">
        <v>164</v>
      </c>
      <c r="S98" t="s">
        <v>245</v>
      </c>
      <c r="T98" t="s">
        <v>167</v>
      </c>
      <c r="U98">
        <v>1.7595108024006909E-2</v>
      </c>
      <c r="V98" t="s">
        <v>164</v>
      </c>
      <c r="AK98">
        <v>2043</v>
      </c>
      <c r="AL98" t="s">
        <v>160</v>
      </c>
      <c r="AM98">
        <v>0.42627500000000002</v>
      </c>
      <c r="AN98" t="s">
        <v>257</v>
      </c>
    </row>
    <row r="99" spans="9:40" x14ac:dyDescent="0.45">
      <c r="I99" t="s">
        <v>182</v>
      </c>
      <c r="J99" t="s">
        <v>168</v>
      </c>
      <c r="K99">
        <v>9.1950929028228295E-2</v>
      </c>
      <c r="L99" t="s">
        <v>164</v>
      </c>
      <c r="N99" t="s">
        <v>218</v>
      </c>
      <c r="O99" t="s">
        <v>168</v>
      </c>
      <c r="P99">
        <v>6.7668751955117443E-2</v>
      </c>
      <c r="Q99" t="s">
        <v>164</v>
      </c>
      <c r="S99" t="s">
        <v>245</v>
      </c>
      <c r="T99" t="s">
        <v>168</v>
      </c>
      <c r="U99">
        <v>3.4185008431226106E-2</v>
      </c>
      <c r="V99" t="s">
        <v>164</v>
      </c>
      <c r="AK99">
        <v>2044</v>
      </c>
      <c r="AL99" t="s">
        <v>152</v>
      </c>
      <c r="AM99">
        <v>0.38159999999999999</v>
      </c>
      <c r="AN99" t="s">
        <v>257</v>
      </c>
    </row>
    <row r="100" spans="9:40" x14ac:dyDescent="0.45">
      <c r="I100" t="s">
        <v>182</v>
      </c>
      <c r="J100" t="s">
        <v>169</v>
      </c>
      <c r="K100">
        <v>0</v>
      </c>
      <c r="L100" t="s">
        <v>164</v>
      </c>
      <c r="N100" t="s">
        <v>218</v>
      </c>
      <c r="O100" t="s">
        <v>169</v>
      </c>
      <c r="P100">
        <v>3.8729505368817162E-3</v>
      </c>
      <c r="Q100" t="s">
        <v>164</v>
      </c>
      <c r="S100" t="s">
        <v>245</v>
      </c>
      <c r="T100" t="s">
        <v>169</v>
      </c>
      <c r="U100">
        <v>2.4551881513204168E-3</v>
      </c>
      <c r="V100" t="s">
        <v>164</v>
      </c>
      <c r="AK100">
        <v>2044</v>
      </c>
      <c r="AL100" t="s">
        <v>156</v>
      </c>
      <c r="AM100">
        <v>0.32140000000000002</v>
      </c>
      <c r="AN100" t="s">
        <v>257</v>
      </c>
    </row>
    <row r="101" spans="9:40" x14ac:dyDescent="0.45">
      <c r="I101" t="s">
        <v>182</v>
      </c>
      <c r="J101" t="s">
        <v>170</v>
      </c>
      <c r="K101">
        <v>1.6761237578781677E-2</v>
      </c>
      <c r="L101" t="s">
        <v>164</v>
      </c>
      <c r="N101" t="s">
        <v>218</v>
      </c>
      <c r="O101" t="s">
        <v>170</v>
      </c>
      <c r="P101">
        <v>0.14559754082506371</v>
      </c>
      <c r="Q101" t="s">
        <v>164</v>
      </c>
      <c r="S101" t="s">
        <v>245</v>
      </c>
      <c r="T101" t="s">
        <v>170</v>
      </c>
      <c r="U101">
        <v>0.18026245303216998</v>
      </c>
      <c r="V101" t="s">
        <v>164</v>
      </c>
      <c r="AK101">
        <v>2044</v>
      </c>
      <c r="AL101" t="s">
        <v>158</v>
      </c>
      <c r="AM101">
        <v>0.29588000000000003</v>
      </c>
      <c r="AN101" t="s">
        <v>257</v>
      </c>
    </row>
    <row r="102" spans="9:40" x14ac:dyDescent="0.45">
      <c r="I102" t="s">
        <v>182</v>
      </c>
      <c r="J102" t="s">
        <v>171</v>
      </c>
      <c r="K102">
        <v>0.3409318615364284</v>
      </c>
      <c r="L102" t="s">
        <v>164</v>
      </c>
      <c r="N102" t="s">
        <v>218</v>
      </c>
      <c r="O102" t="s">
        <v>171</v>
      </c>
      <c r="P102">
        <v>0.31392724420912549</v>
      </c>
      <c r="Q102" t="s">
        <v>164</v>
      </c>
      <c r="S102" t="s">
        <v>245</v>
      </c>
      <c r="T102" t="s">
        <v>171</v>
      </c>
      <c r="U102">
        <v>0.37076490576643023</v>
      </c>
      <c r="V102" t="s">
        <v>164</v>
      </c>
      <c r="AK102">
        <v>2044</v>
      </c>
      <c r="AL102" t="s">
        <v>160</v>
      </c>
      <c r="AM102">
        <v>0.42782500000000001</v>
      </c>
      <c r="AN102" t="s">
        <v>257</v>
      </c>
    </row>
    <row r="103" spans="9:40" x14ac:dyDescent="0.45">
      <c r="I103" t="s">
        <v>182</v>
      </c>
      <c r="J103" t="s">
        <v>172</v>
      </c>
      <c r="K103">
        <v>0</v>
      </c>
      <c r="L103" t="s">
        <v>164</v>
      </c>
      <c r="N103" t="s">
        <v>218</v>
      </c>
      <c r="O103" t="s">
        <v>172</v>
      </c>
      <c r="P103">
        <v>1.8441046303651735E-2</v>
      </c>
      <c r="Q103" t="s">
        <v>164</v>
      </c>
      <c r="S103" t="s">
        <v>245</v>
      </c>
      <c r="T103" t="s">
        <v>172</v>
      </c>
      <c r="U103">
        <v>2.6847076290181515E-2</v>
      </c>
      <c r="V103" t="s">
        <v>164</v>
      </c>
      <c r="AK103">
        <v>2045</v>
      </c>
      <c r="AL103" t="s">
        <v>152</v>
      </c>
      <c r="AM103">
        <v>0.40949999999999998</v>
      </c>
      <c r="AN103" t="s">
        <v>257</v>
      </c>
    </row>
    <row r="104" spans="9:40" x14ac:dyDescent="0.45">
      <c r="I104" t="s">
        <v>182</v>
      </c>
      <c r="J104" t="s">
        <v>173</v>
      </c>
      <c r="K104">
        <v>1.898598795085012E-2</v>
      </c>
      <c r="L104" t="s">
        <v>164</v>
      </c>
      <c r="N104" t="s">
        <v>218</v>
      </c>
      <c r="O104" t="s">
        <v>173</v>
      </c>
      <c r="P104">
        <v>8.6525537757852475E-2</v>
      </c>
      <c r="Q104" t="s">
        <v>164</v>
      </c>
      <c r="S104" t="s">
        <v>245</v>
      </c>
      <c r="T104" t="s">
        <v>173</v>
      </c>
      <c r="U104">
        <v>5.6079693367897476E-2</v>
      </c>
      <c r="V104" t="s">
        <v>164</v>
      </c>
      <c r="AK104">
        <v>2045</v>
      </c>
      <c r="AL104" t="s">
        <v>156</v>
      </c>
      <c r="AM104">
        <v>0.3377</v>
      </c>
      <c r="AN104" t="s">
        <v>257</v>
      </c>
    </row>
    <row r="105" spans="9:40" x14ac:dyDescent="0.45">
      <c r="I105" t="s">
        <v>182</v>
      </c>
      <c r="J105" t="s">
        <v>174</v>
      </c>
      <c r="K105">
        <v>0.31974447567437619</v>
      </c>
      <c r="L105" t="s">
        <v>164</v>
      </c>
      <c r="N105" t="s">
        <v>218</v>
      </c>
      <c r="O105" t="s">
        <v>174</v>
      </c>
      <c r="P105">
        <v>0.16214094742465743</v>
      </c>
      <c r="Q105" t="s">
        <v>164</v>
      </c>
      <c r="S105" t="s">
        <v>245</v>
      </c>
      <c r="T105" t="s">
        <v>174</v>
      </c>
      <c r="U105">
        <v>0.16264373679944705</v>
      </c>
      <c r="V105" t="s">
        <v>164</v>
      </c>
      <c r="AK105">
        <v>2045</v>
      </c>
      <c r="AL105" t="s">
        <v>158</v>
      </c>
      <c r="AM105">
        <v>0.28295999999999999</v>
      </c>
      <c r="AN105" t="s">
        <v>257</v>
      </c>
    </row>
    <row r="106" spans="9:40" x14ac:dyDescent="0.45">
      <c r="I106" t="s">
        <v>182</v>
      </c>
      <c r="J106" t="s">
        <v>175</v>
      </c>
      <c r="K106">
        <v>0</v>
      </c>
      <c r="L106" t="s">
        <v>164</v>
      </c>
      <c r="N106" t="s">
        <v>218</v>
      </c>
      <c r="O106" t="s">
        <v>175</v>
      </c>
      <c r="P106">
        <v>1.2554409144516802E-2</v>
      </c>
      <c r="Q106" t="s">
        <v>164</v>
      </c>
      <c r="S106" t="s">
        <v>245</v>
      </c>
      <c r="T106" t="s">
        <v>175</v>
      </c>
      <c r="U106">
        <v>1.2675571014984342E-2</v>
      </c>
      <c r="V106" t="s">
        <v>164</v>
      </c>
      <c r="AK106">
        <v>2045</v>
      </c>
      <c r="AL106" t="s">
        <v>160</v>
      </c>
      <c r="AM106">
        <v>0.44902500000000001</v>
      </c>
      <c r="AN106" t="s">
        <v>257</v>
      </c>
    </row>
    <row r="107" spans="9:40" x14ac:dyDescent="0.45">
      <c r="I107" t="s">
        <v>183</v>
      </c>
      <c r="J107" t="s">
        <v>163</v>
      </c>
      <c r="K107">
        <v>6.640640282673943E-3</v>
      </c>
      <c r="L107" t="s">
        <v>164</v>
      </c>
      <c r="N107" t="s">
        <v>219</v>
      </c>
      <c r="O107" t="s">
        <v>163</v>
      </c>
      <c r="P107">
        <v>0.19234844576178581</v>
      </c>
      <c r="Q107" t="s">
        <v>164</v>
      </c>
      <c r="S107" t="s">
        <v>246</v>
      </c>
      <c r="T107" t="s">
        <v>163</v>
      </c>
      <c r="U107">
        <v>4.3232759399486891E-2</v>
      </c>
      <c r="V107" t="s">
        <v>164</v>
      </c>
      <c r="AK107">
        <v>2046</v>
      </c>
      <c r="AL107" t="s">
        <v>152</v>
      </c>
      <c r="AM107">
        <v>0.38124999999999998</v>
      </c>
      <c r="AN107" t="s">
        <v>257</v>
      </c>
    </row>
    <row r="108" spans="9:40" x14ac:dyDescent="0.45">
      <c r="I108" t="s">
        <v>183</v>
      </c>
      <c r="J108" t="s">
        <v>165</v>
      </c>
      <c r="K108">
        <v>0.19267419642661895</v>
      </c>
      <c r="L108" t="s">
        <v>164</v>
      </c>
      <c r="N108" t="s">
        <v>219</v>
      </c>
      <c r="O108" t="s">
        <v>165</v>
      </c>
      <c r="P108">
        <v>0.14213480944235152</v>
      </c>
      <c r="Q108" t="s">
        <v>164</v>
      </c>
      <c r="S108" t="s">
        <v>246</v>
      </c>
      <c r="T108" t="s">
        <v>165</v>
      </c>
      <c r="U108">
        <v>0.10200717423783373</v>
      </c>
      <c r="V108" t="s">
        <v>164</v>
      </c>
      <c r="AK108">
        <v>2046</v>
      </c>
      <c r="AL108" t="s">
        <v>156</v>
      </c>
      <c r="AM108">
        <v>0.31180000000000002</v>
      </c>
      <c r="AN108" t="s">
        <v>257</v>
      </c>
    </row>
    <row r="109" spans="9:40" x14ac:dyDescent="0.45">
      <c r="I109" t="s">
        <v>183</v>
      </c>
      <c r="J109" t="s">
        <v>166</v>
      </c>
      <c r="K109">
        <v>0</v>
      </c>
      <c r="L109" t="s">
        <v>164</v>
      </c>
      <c r="N109" t="s">
        <v>219</v>
      </c>
      <c r="O109" t="s">
        <v>166</v>
      </c>
      <c r="P109">
        <v>2.0889313953301816E-2</v>
      </c>
      <c r="Q109" t="s">
        <v>164</v>
      </c>
      <c r="S109" t="s">
        <v>246</v>
      </c>
      <c r="T109" t="s">
        <v>166</v>
      </c>
      <c r="U109">
        <v>7.4982738281095546E-3</v>
      </c>
      <c r="V109" t="s">
        <v>164</v>
      </c>
      <c r="AK109">
        <v>2046</v>
      </c>
      <c r="AL109" t="s">
        <v>158</v>
      </c>
      <c r="AM109">
        <v>0.28914000000000001</v>
      </c>
      <c r="AN109" t="s">
        <v>257</v>
      </c>
    </row>
    <row r="110" spans="9:40" x14ac:dyDescent="0.45">
      <c r="I110" t="s">
        <v>183</v>
      </c>
      <c r="J110" t="s">
        <v>167</v>
      </c>
      <c r="K110">
        <v>3.9477588791024532E-3</v>
      </c>
      <c r="L110" t="s">
        <v>164</v>
      </c>
      <c r="N110" t="s">
        <v>219</v>
      </c>
      <c r="O110" t="s">
        <v>167</v>
      </c>
      <c r="P110">
        <v>3.5989728061612672E-2</v>
      </c>
      <c r="Q110" t="s">
        <v>164</v>
      </c>
      <c r="S110" t="s">
        <v>246</v>
      </c>
      <c r="T110" t="s">
        <v>167</v>
      </c>
      <c r="U110">
        <v>2.68178860603304E-2</v>
      </c>
      <c r="V110" t="s">
        <v>164</v>
      </c>
      <c r="AK110">
        <v>2046</v>
      </c>
      <c r="AL110" t="s">
        <v>160</v>
      </c>
      <c r="AM110">
        <v>0.44600000000000001</v>
      </c>
      <c r="AN110" t="s">
        <v>257</v>
      </c>
    </row>
    <row r="111" spans="9:40" x14ac:dyDescent="0.45">
      <c r="I111" t="s">
        <v>183</v>
      </c>
      <c r="J111" t="s">
        <v>168</v>
      </c>
      <c r="K111">
        <v>9.4996309308237575E-2</v>
      </c>
      <c r="L111" t="s">
        <v>164</v>
      </c>
      <c r="N111" t="s">
        <v>219</v>
      </c>
      <c r="O111" t="s">
        <v>168</v>
      </c>
      <c r="P111">
        <v>2.5506662456381932E-2</v>
      </c>
      <c r="Q111" t="s">
        <v>164</v>
      </c>
      <c r="S111" t="s">
        <v>246</v>
      </c>
      <c r="T111" t="s">
        <v>168</v>
      </c>
      <c r="U111">
        <v>4.9654511090011497E-2</v>
      </c>
      <c r="V111" t="s">
        <v>164</v>
      </c>
      <c r="AK111">
        <v>2047</v>
      </c>
      <c r="AL111" t="s">
        <v>152</v>
      </c>
      <c r="AM111">
        <v>0.46650000000000003</v>
      </c>
      <c r="AN111" t="s">
        <v>257</v>
      </c>
    </row>
    <row r="112" spans="9:40" x14ac:dyDescent="0.45">
      <c r="I112" t="s">
        <v>183</v>
      </c>
      <c r="J112" t="s">
        <v>169</v>
      </c>
      <c r="K112">
        <v>0</v>
      </c>
      <c r="L112" t="s">
        <v>164</v>
      </c>
      <c r="N112" t="s">
        <v>219</v>
      </c>
      <c r="O112" t="s">
        <v>169</v>
      </c>
      <c r="P112">
        <v>2.984692879341493E-3</v>
      </c>
      <c r="Q112" t="s">
        <v>164</v>
      </c>
      <c r="S112" t="s">
        <v>246</v>
      </c>
      <c r="T112" t="s">
        <v>169</v>
      </c>
      <c r="U112">
        <v>2.6425550986021247E-3</v>
      </c>
      <c r="V112" t="s">
        <v>164</v>
      </c>
      <c r="AK112">
        <v>2047</v>
      </c>
      <c r="AL112" t="s">
        <v>156</v>
      </c>
      <c r="AM112">
        <v>0.37409999999999999</v>
      </c>
      <c r="AN112" t="s">
        <v>257</v>
      </c>
    </row>
    <row r="113" spans="9:40" x14ac:dyDescent="0.45">
      <c r="I113" t="s">
        <v>183</v>
      </c>
      <c r="J113" t="s">
        <v>170</v>
      </c>
      <c r="K113">
        <v>1.5585758729011977E-2</v>
      </c>
      <c r="L113" t="s">
        <v>164</v>
      </c>
      <c r="N113" t="s">
        <v>219</v>
      </c>
      <c r="O113" t="s">
        <v>170</v>
      </c>
      <c r="P113">
        <v>0.11919356272740274</v>
      </c>
      <c r="Q113" t="s">
        <v>164</v>
      </c>
      <c r="S113" t="s">
        <v>246</v>
      </c>
      <c r="T113" t="s">
        <v>170</v>
      </c>
      <c r="U113">
        <v>0.14958250159087313</v>
      </c>
      <c r="V113" t="s">
        <v>164</v>
      </c>
      <c r="AK113">
        <v>2047</v>
      </c>
      <c r="AL113" t="s">
        <v>158</v>
      </c>
      <c r="AM113">
        <v>0.34517999999999999</v>
      </c>
      <c r="AN113" t="s">
        <v>257</v>
      </c>
    </row>
    <row r="114" spans="9:40" x14ac:dyDescent="0.45">
      <c r="I114" t="s">
        <v>183</v>
      </c>
      <c r="J114" t="s">
        <v>171</v>
      </c>
      <c r="K114">
        <v>0.34441717754552437</v>
      </c>
      <c r="L114" t="s">
        <v>164</v>
      </c>
      <c r="N114" t="s">
        <v>219</v>
      </c>
      <c r="O114" t="s">
        <v>171</v>
      </c>
      <c r="P114">
        <v>0.12578596768364972</v>
      </c>
      <c r="Q114" t="s">
        <v>164</v>
      </c>
      <c r="S114" t="s">
        <v>246</v>
      </c>
      <c r="T114" t="s">
        <v>171</v>
      </c>
      <c r="U114">
        <v>0.35536014774618097</v>
      </c>
      <c r="V114" t="s">
        <v>164</v>
      </c>
      <c r="AK114">
        <v>2047</v>
      </c>
      <c r="AL114" t="s">
        <v>160</v>
      </c>
      <c r="AM114">
        <v>0.51912500000000006</v>
      </c>
      <c r="AN114" t="s">
        <v>257</v>
      </c>
    </row>
    <row r="115" spans="9:40" x14ac:dyDescent="0.45">
      <c r="I115" t="s">
        <v>183</v>
      </c>
      <c r="J115" t="s">
        <v>172</v>
      </c>
      <c r="K115">
        <v>0</v>
      </c>
      <c r="L115" t="s">
        <v>164</v>
      </c>
      <c r="N115" t="s">
        <v>219</v>
      </c>
      <c r="O115" t="s">
        <v>172</v>
      </c>
      <c r="P115">
        <v>1.4776726024821895E-2</v>
      </c>
      <c r="Q115" t="s">
        <v>164</v>
      </c>
      <c r="S115" t="s">
        <v>246</v>
      </c>
      <c r="T115" t="s">
        <v>172</v>
      </c>
      <c r="U115">
        <v>2.3786932153447758E-2</v>
      </c>
      <c r="V115" t="s">
        <v>164</v>
      </c>
      <c r="AK115">
        <v>2048</v>
      </c>
      <c r="AL115" t="s">
        <v>152</v>
      </c>
      <c r="AM115">
        <v>0.43184999999999996</v>
      </c>
      <c r="AN115" t="s">
        <v>257</v>
      </c>
    </row>
    <row r="116" spans="9:40" x14ac:dyDescent="0.45">
      <c r="I116" t="s">
        <v>183</v>
      </c>
      <c r="J116" t="s">
        <v>173</v>
      </c>
      <c r="K116">
        <v>1.9288715181770805E-2</v>
      </c>
      <c r="L116" t="s">
        <v>164</v>
      </c>
      <c r="N116" t="s">
        <v>219</v>
      </c>
      <c r="O116" t="s">
        <v>173</v>
      </c>
      <c r="P116">
        <v>0.15778084856075242</v>
      </c>
      <c r="Q116" t="s">
        <v>164</v>
      </c>
      <c r="S116" t="s">
        <v>246</v>
      </c>
      <c r="T116" t="s">
        <v>173</v>
      </c>
      <c r="U116">
        <v>6.5977278886122828E-2</v>
      </c>
      <c r="V116" t="s">
        <v>164</v>
      </c>
      <c r="AK116">
        <v>2048</v>
      </c>
      <c r="AL116" t="s">
        <v>156</v>
      </c>
      <c r="AM116">
        <v>0.3639</v>
      </c>
      <c r="AN116" t="s">
        <v>257</v>
      </c>
    </row>
    <row r="117" spans="9:40" x14ac:dyDescent="0.45">
      <c r="I117" t="s">
        <v>183</v>
      </c>
      <c r="J117" t="s">
        <v>174</v>
      </c>
      <c r="K117">
        <v>0.3224494436470613</v>
      </c>
      <c r="L117" t="s">
        <v>164</v>
      </c>
      <c r="N117" t="s">
        <v>219</v>
      </c>
      <c r="O117" t="s">
        <v>174</v>
      </c>
      <c r="P117">
        <v>0.14394306213212379</v>
      </c>
      <c r="Q117" t="s">
        <v>164</v>
      </c>
      <c r="S117" t="s">
        <v>246</v>
      </c>
      <c r="T117" t="s">
        <v>174</v>
      </c>
      <c r="U117">
        <v>0.16079451143511136</v>
      </c>
      <c r="V117" t="s">
        <v>164</v>
      </c>
      <c r="AK117">
        <v>2048</v>
      </c>
      <c r="AL117" t="s">
        <v>158</v>
      </c>
      <c r="AM117">
        <v>0.32932</v>
      </c>
      <c r="AN117" t="s">
        <v>257</v>
      </c>
    </row>
    <row r="118" spans="9:40" x14ac:dyDescent="0.45">
      <c r="I118" t="s">
        <v>183</v>
      </c>
      <c r="J118" t="s">
        <v>175</v>
      </c>
      <c r="K118">
        <v>0</v>
      </c>
      <c r="L118" t="s">
        <v>164</v>
      </c>
      <c r="N118" t="s">
        <v>219</v>
      </c>
      <c r="O118" t="s">
        <v>175</v>
      </c>
      <c r="P118">
        <v>1.8666180316478102E-2</v>
      </c>
      <c r="Q118" t="s">
        <v>164</v>
      </c>
      <c r="S118" t="s">
        <v>246</v>
      </c>
      <c r="T118" t="s">
        <v>175</v>
      </c>
      <c r="U118">
        <v>1.264546847389008E-2</v>
      </c>
      <c r="V118" t="s">
        <v>164</v>
      </c>
      <c r="AK118">
        <v>2048</v>
      </c>
      <c r="AL118" t="s">
        <v>160</v>
      </c>
      <c r="AM118">
        <v>0.49807499999999999</v>
      </c>
      <c r="AN118" t="s">
        <v>257</v>
      </c>
    </row>
    <row r="119" spans="9:40" x14ac:dyDescent="0.45">
      <c r="I119" t="s">
        <v>184</v>
      </c>
      <c r="J119" t="s">
        <v>163</v>
      </c>
      <c r="K119">
        <v>4.9032759497633039E-3</v>
      </c>
      <c r="L119" t="s">
        <v>164</v>
      </c>
      <c r="N119" t="s">
        <v>220</v>
      </c>
      <c r="O119" t="s">
        <v>163</v>
      </c>
      <c r="P119">
        <v>0.14433286697448536</v>
      </c>
      <c r="Q119" t="s">
        <v>164</v>
      </c>
      <c r="S119" t="s">
        <v>247</v>
      </c>
      <c r="T119" t="s">
        <v>163</v>
      </c>
      <c r="U119">
        <v>4.6765835590589118E-2</v>
      </c>
      <c r="V119" t="s">
        <v>164</v>
      </c>
      <c r="AK119">
        <v>2049</v>
      </c>
      <c r="AL119" t="s">
        <v>152</v>
      </c>
      <c r="AM119">
        <v>0.42675000000000002</v>
      </c>
      <c r="AN119" t="s">
        <v>257</v>
      </c>
    </row>
    <row r="120" spans="9:40" x14ac:dyDescent="0.45">
      <c r="I120" t="s">
        <v>184</v>
      </c>
      <c r="J120" t="s">
        <v>165</v>
      </c>
      <c r="K120">
        <v>0.19650314950649311</v>
      </c>
      <c r="L120" t="s">
        <v>164</v>
      </c>
      <c r="N120" t="s">
        <v>220</v>
      </c>
      <c r="O120" t="s">
        <v>165</v>
      </c>
      <c r="P120">
        <v>0.13583253272484913</v>
      </c>
      <c r="Q120" t="s">
        <v>164</v>
      </c>
      <c r="S120" t="s">
        <v>247</v>
      </c>
      <c r="T120" t="s">
        <v>165</v>
      </c>
      <c r="U120">
        <v>6.612183620773486E-2</v>
      </c>
      <c r="V120" t="s">
        <v>164</v>
      </c>
      <c r="AK120">
        <v>2049</v>
      </c>
      <c r="AL120" t="s">
        <v>156</v>
      </c>
      <c r="AM120">
        <v>0.38140000000000002</v>
      </c>
      <c r="AN120" t="s">
        <v>257</v>
      </c>
    </row>
    <row r="121" spans="9:40" x14ac:dyDescent="0.45">
      <c r="I121" t="s">
        <v>184</v>
      </c>
      <c r="J121" t="s">
        <v>166</v>
      </c>
      <c r="K121">
        <v>0</v>
      </c>
      <c r="L121" t="s">
        <v>164</v>
      </c>
      <c r="N121" t="s">
        <v>220</v>
      </c>
      <c r="O121" t="s">
        <v>166</v>
      </c>
      <c r="P121">
        <v>1.4679959950298442E-2</v>
      </c>
      <c r="Q121" t="s">
        <v>164</v>
      </c>
      <c r="S121" t="s">
        <v>247</v>
      </c>
      <c r="T121" t="s">
        <v>166</v>
      </c>
      <c r="U121">
        <v>6.2047230041915088E-3</v>
      </c>
      <c r="V121" t="s">
        <v>164</v>
      </c>
      <c r="AK121">
        <v>2049</v>
      </c>
      <c r="AL121" t="s">
        <v>158</v>
      </c>
      <c r="AM121">
        <v>0.32473999999999997</v>
      </c>
      <c r="AN121" t="s">
        <v>257</v>
      </c>
    </row>
    <row r="122" spans="9:40" x14ac:dyDescent="0.45">
      <c r="I122" t="s">
        <v>184</v>
      </c>
      <c r="J122" t="s">
        <v>167</v>
      </c>
      <c r="K122">
        <v>3.371919512580587E-3</v>
      </c>
      <c r="L122" t="s">
        <v>164</v>
      </c>
      <c r="N122" t="s">
        <v>220</v>
      </c>
      <c r="O122" t="s">
        <v>167</v>
      </c>
      <c r="P122">
        <v>3.4055562835019246E-2</v>
      </c>
      <c r="Q122" t="s">
        <v>164</v>
      </c>
      <c r="S122" t="s">
        <v>247</v>
      </c>
      <c r="T122" t="s">
        <v>167</v>
      </c>
      <c r="U122">
        <v>2.5435019286805065E-2</v>
      </c>
      <c r="V122" t="s">
        <v>164</v>
      </c>
      <c r="AK122">
        <v>2049</v>
      </c>
      <c r="AL122" t="s">
        <v>160</v>
      </c>
      <c r="AM122">
        <v>0.51842499999999991</v>
      </c>
      <c r="AN122" t="s">
        <v>257</v>
      </c>
    </row>
    <row r="123" spans="9:40" x14ac:dyDescent="0.45">
      <c r="I123" t="s">
        <v>184</v>
      </c>
      <c r="J123" t="s">
        <v>168</v>
      </c>
      <c r="K123">
        <v>9.4308253828299507E-2</v>
      </c>
      <c r="L123" t="s">
        <v>164</v>
      </c>
      <c r="N123" t="s">
        <v>220</v>
      </c>
      <c r="O123" t="s">
        <v>168</v>
      </c>
      <c r="P123">
        <v>3.6473153613966601E-2</v>
      </c>
      <c r="Q123" t="s">
        <v>164</v>
      </c>
      <c r="S123" t="s">
        <v>247</v>
      </c>
      <c r="T123" t="s">
        <v>168</v>
      </c>
      <c r="U123">
        <v>3.7117916303639788E-2</v>
      </c>
      <c r="V123" t="s">
        <v>164</v>
      </c>
      <c r="AK123">
        <v>2050</v>
      </c>
      <c r="AL123" t="s">
        <v>152</v>
      </c>
      <c r="AM123">
        <v>0.42564999999999997</v>
      </c>
      <c r="AN123" t="s">
        <v>257</v>
      </c>
    </row>
    <row r="124" spans="9:40" x14ac:dyDescent="0.45">
      <c r="I124" t="s">
        <v>184</v>
      </c>
      <c r="J124" t="s">
        <v>169</v>
      </c>
      <c r="K124">
        <v>0</v>
      </c>
      <c r="L124" t="s">
        <v>164</v>
      </c>
      <c r="N124" t="s">
        <v>220</v>
      </c>
      <c r="O124" t="s">
        <v>169</v>
      </c>
      <c r="P124">
        <v>3.4846619993697198E-3</v>
      </c>
      <c r="Q124" t="s">
        <v>164</v>
      </c>
      <c r="S124" t="s">
        <v>247</v>
      </c>
      <c r="T124" t="s">
        <v>169</v>
      </c>
      <c r="U124">
        <v>2.1340503511335651E-3</v>
      </c>
      <c r="V124" t="s">
        <v>164</v>
      </c>
      <c r="AK124">
        <v>2050</v>
      </c>
      <c r="AL124" t="s">
        <v>156</v>
      </c>
      <c r="AM124">
        <v>0.41110000000000002</v>
      </c>
      <c r="AN124" t="s">
        <v>257</v>
      </c>
    </row>
    <row r="125" spans="9:40" x14ac:dyDescent="0.45">
      <c r="I125" t="s">
        <v>184</v>
      </c>
      <c r="J125" t="s">
        <v>170</v>
      </c>
      <c r="K125">
        <v>1.6499145905009928E-2</v>
      </c>
      <c r="L125" t="s">
        <v>164</v>
      </c>
      <c r="N125" t="s">
        <v>220</v>
      </c>
      <c r="O125" t="s">
        <v>170</v>
      </c>
      <c r="P125">
        <v>0.16871521441889512</v>
      </c>
      <c r="Q125" t="s">
        <v>164</v>
      </c>
      <c r="S125" t="s">
        <v>247</v>
      </c>
      <c r="T125" t="s">
        <v>170</v>
      </c>
      <c r="U125">
        <v>0.19360233731358756</v>
      </c>
      <c r="V125" t="s">
        <v>164</v>
      </c>
      <c r="AK125">
        <v>2050</v>
      </c>
      <c r="AL125" t="s">
        <v>158</v>
      </c>
      <c r="AM125">
        <v>0.31813999999999998</v>
      </c>
      <c r="AN125" t="s">
        <v>257</v>
      </c>
    </row>
    <row r="126" spans="9:40" x14ac:dyDescent="0.45">
      <c r="I126" t="s">
        <v>184</v>
      </c>
      <c r="J126" t="s">
        <v>171</v>
      </c>
      <c r="K126">
        <v>0.34700810334299936</v>
      </c>
      <c r="L126" t="s">
        <v>164</v>
      </c>
      <c r="N126" t="s">
        <v>220</v>
      </c>
      <c r="O126" t="s">
        <v>171</v>
      </c>
      <c r="P126">
        <v>0.14675835158527759</v>
      </c>
      <c r="Q126" t="s">
        <v>164</v>
      </c>
      <c r="S126" t="s">
        <v>247</v>
      </c>
      <c r="T126" t="s">
        <v>171</v>
      </c>
      <c r="U126">
        <v>0.3433850693386068</v>
      </c>
      <c r="V126" t="s">
        <v>164</v>
      </c>
      <c r="AK126">
        <v>2050</v>
      </c>
      <c r="AL126" t="s">
        <v>160</v>
      </c>
      <c r="AM126">
        <v>0.48444999999999994</v>
      </c>
      <c r="AN126" t="s">
        <v>257</v>
      </c>
    </row>
    <row r="127" spans="9:40" x14ac:dyDescent="0.45">
      <c r="I127" t="s">
        <v>184</v>
      </c>
      <c r="J127" t="s">
        <v>172</v>
      </c>
      <c r="K127">
        <v>0</v>
      </c>
      <c r="L127" t="s">
        <v>164</v>
      </c>
      <c r="N127" t="s">
        <v>220</v>
      </c>
      <c r="O127" t="s">
        <v>172</v>
      </c>
      <c r="P127">
        <v>1.8589462622156511E-2</v>
      </c>
      <c r="Q127" t="s">
        <v>164</v>
      </c>
      <c r="S127" t="s">
        <v>247</v>
      </c>
      <c r="T127" t="s">
        <v>172</v>
      </c>
      <c r="U127">
        <v>2.7133819153887306E-2</v>
      </c>
      <c r="V127" t="s">
        <v>164</v>
      </c>
    </row>
    <row r="128" spans="9:40" x14ac:dyDescent="0.45">
      <c r="I128" t="s">
        <v>184</v>
      </c>
      <c r="J128" t="s">
        <v>173</v>
      </c>
      <c r="K128">
        <v>1.4835604059114495E-2</v>
      </c>
      <c r="L128" t="s">
        <v>164</v>
      </c>
      <c r="N128" t="s">
        <v>220</v>
      </c>
      <c r="O128" t="s">
        <v>173</v>
      </c>
      <c r="P128">
        <v>0.13642244932616485</v>
      </c>
      <c r="Q128" t="s">
        <v>164</v>
      </c>
      <c r="S128" t="s">
        <v>247</v>
      </c>
      <c r="T128" t="s">
        <v>173</v>
      </c>
      <c r="U128">
        <v>8.386887870318141E-2</v>
      </c>
      <c r="V128" t="s">
        <v>164</v>
      </c>
    </row>
    <row r="129" spans="9:22" x14ac:dyDescent="0.45">
      <c r="I129" t="s">
        <v>184</v>
      </c>
      <c r="J129" t="s">
        <v>174</v>
      </c>
      <c r="K129">
        <v>0.32257054789573691</v>
      </c>
      <c r="L129" t="s">
        <v>164</v>
      </c>
      <c r="N129" t="s">
        <v>220</v>
      </c>
      <c r="O129" t="s">
        <v>174</v>
      </c>
      <c r="P129">
        <v>0.14603734361532883</v>
      </c>
      <c r="Q129" t="s">
        <v>164</v>
      </c>
      <c r="S129" t="s">
        <v>247</v>
      </c>
      <c r="T129" t="s">
        <v>174</v>
      </c>
      <c r="U129">
        <v>0.15536390712532086</v>
      </c>
      <c r="V129" t="s">
        <v>164</v>
      </c>
    </row>
    <row r="130" spans="9:22" x14ac:dyDescent="0.45">
      <c r="I130" t="s">
        <v>184</v>
      </c>
      <c r="J130" t="s">
        <v>175</v>
      </c>
      <c r="K130">
        <v>0</v>
      </c>
      <c r="L130" t="s">
        <v>164</v>
      </c>
      <c r="N130" t="s">
        <v>220</v>
      </c>
      <c r="O130" t="s">
        <v>175</v>
      </c>
      <c r="P130">
        <v>1.4618440334188184E-2</v>
      </c>
      <c r="Q130" t="s">
        <v>164</v>
      </c>
      <c r="S130" t="s">
        <v>247</v>
      </c>
      <c r="T130" t="s">
        <v>175</v>
      </c>
      <c r="U130">
        <v>1.2866607621322875E-2</v>
      </c>
      <c r="V130" t="s">
        <v>164</v>
      </c>
    </row>
    <row r="131" spans="9:22" x14ac:dyDescent="0.45">
      <c r="I131" t="s">
        <v>185</v>
      </c>
      <c r="J131" t="s">
        <v>163</v>
      </c>
      <c r="K131">
        <v>4.9936871820386846E-3</v>
      </c>
      <c r="L131" t="s">
        <v>164</v>
      </c>
      <c r="N131" t="s">
        <v>221</v>
      </c>
      <c r="O131" t="s">
        <v>163</v>
      </c>
      <c r="P131">
        <v>0.12544560043291134</v>
      </c>
      <c r="Q131" t="s">
        <v>164</v>
      </c>
    </row>
    <row r="132" spans="9:22" x14ac:dyDescent="0.45">
      <c r="I132" t="s">
        <v>185</v>
      </c>
      <c r="J132" t="s">
        <v>165</v>
      </c>
      <c r="K132">
        <v>0.20133677373155975</v>
      </c>
      <c r="L132" t="s">
        <v>164</v>
      </c>
      <c r="N132" t="s">
        <v>221</v>
      </c>
      <c r="O132" t="s">
        <v>165</v>
      </c>
      <c r="P132">
        <v>9.5876271499659535E-2</v>
      </c>
      <c r="Q132" t="s">
        <v>164</v>
      </c>
    </row>
    <row r="133" spans="9:22" x14ac:dyDescent="0.45">
      <c r="I133" t="s">
        <v>185</v>
      </c>
      <c r="J133" t="s">
        <v>166</v>
      </c>
      <c r="K133">
        <v>0</v>
      </c>
      <c r="L133" t="s">
        <v>164</v>
      </c>
      <c r="N133" t="s">
        <v>221</v>
      </c>
      <c r="O133" t="s">
        <v>166</v>
      </c>
      <c r="P133">
        <v>1.5104367162723871E-2</v>
      </c>
      <c r="Q133" t="s">
        <v>164</v>
      </c>
    </row>
    <row r="134" spans="9:22" x14ac:dyDescent="0.45">
      <c r="I134" t="s">
        <v>185</v>
      </c>
      <c r="J134" t="s">
        <v>167</v>
      </c>
      <c r="K134">
        <v>2.6642790795335779E-3</v>
      </c>
      <c r="L134" t="s">
        <v>164</v>
      </c>
      <c r="N134" t="s">
        <v>221</v>
      </c>
      <c r="O134" t="s">
        <v>167</v>
      </c>
      <c r="P134">
        <v>6.949578776706547E-2</v>
      </c>
      <c r="Q134" t="s">
        <v>164</v>
      </c>
    </row>
    <row r="135" spans="9:22" x14ac:dyDescent="0.45">
      <c r="I135" t="s">
        <v>185</v>
      </c>
      <c r="J135" t="s">
        <v>168</v>
      </c>
      <c r="K135">
        <v>9.4856309449787068E-2</v>
      </c>
      <c r="L135" t="s">
        <v>164</v>
      </c>
      <c r="N135" t="s">
        <v>221</v>
      </c>
      <c r="O135" t="s">
        <v>168</v>
      </c>
      <c r="P135">
        <v>3.5083638069378482E-2</v>
      </c>
      <c r="Q135" t="s">
        <v>164</v>
      </c>
    </row>
    <row r="136" spans="9:22" x14ac:dyDescent="0.45">
      <c r="I136" t="s">
        <v>185</v>
      </c>
      <c r="J136" t="s">
        <v>169</v>
      </c>
      <c r="K136">
        <v>0</v>
      </c>
      <c r="L136" t="s">
        <v>164</v>
      </c>
      <c r="N136" t="s">
        <v>221</v>
      </c>
      <c r="O136" t="s">
        <v>169</v>
      </c>
      <c r="P136">
        <v>5.0600572861895449E-3</v>
      </c>
      <c r="Q136" t="s">
        <v>164</v>
      </c>
    </row>
    <row r="137" spans="9:22" x14ac:dyDescent="0.45">
      <c r="I137" t="s">
        <v>185</v>
      </c>
      <c r="J137" t="s">
        <v>170</v>
      </c>
      <c r="K137">
        <v>1.4987647765753851E-2</v>
      </c>
      <c r="L137" t="s">
        <v>164</v>
      </c>
      <c r="N137" t="s">
        <v>221</v>
      </c>
      <c r="O137" t="s">
        <v>170</v>
      </c>
      <c r="P137">
        <v>0.23242768598733407</v>
      </c>
      <c r="Q137" t="s">
        <v>164</v>
      </c>
    </row>
    <row r="138" spans="9:22" x14ac:dyDescent="0.45">
      <c r="I138" t="s">
        <v>185</v>
      </c>
      <c r="J138" t="s">
        <v>171</v>
      </c>
      <c r="K138">
        <v>0.34903845442693138</v>
      </c>
      <c r="L138" t="s">
        <v>164</v>
      </c>
      <c r="N138" t="s">
        <v>221</v>
      </c>
      <c r="O138" t="s">
        <v>171</v>
      </c>
      <c r="P138">
        <v>0.14896414023072435</v>
      </c>
      <c r="Q138" t="s">
        <v>164</v>
      </c>
    </row>
    <row r="139" spans="9:22" x14ac:dyDescent="0.45">
      <c r="I139" t="s">
        <v>185</v>
      </c>
      <c r="J139" t="s">
        <v>172</v>
      </c>
      <c r="K139">
        <v>0</v>
      </c>
      <c r="L139" t="s">
        <v>164</v>
      </c>
      <c r="N139" t="s">
        <v>221</v>
      </c>
      <c r="O139" t="s">
        <v>172</v>
      </c>
      <c r="P139">
        <v>2.2256187195444057E-2</v>
      </c>
      <c r="Q139" t="s">
        <v>164</v>
      </c>
    </row>
    <row r="140" spans="9:22" x14ac:dyDescent="0.45">
      <c r="I140" t="s">
        <v>185</v>
      </c>
      <c r="J140" t="s">
        <v>173</v>
      </c>
      <c r="K140">
        <v>1.1821646236858056E-2</v>
      </c>
      <c r="L140" t="s">
        <v>164</v>
      </c>
      <c r="N140" t="s">
        <v>221</v>
      </c>
      <c r="O140" t="s">
        <v>173</v>
      </c>
      <c r="P140">
        <v>0.13440050183535335</v>
      </c>
      <c r="Q140" t="s">
        <v>164</v>
      </c>
    </row>
    <row r="141" spans="9:22" x14ac:dyDescent="0.45">
      <c r="I141" t="s">
        <v>185</v>
      </c>
      <c r="J141" t="s">
        <v>174</v>
      </c>
      <c r="K141">
        <v>0.32030120212753715</v>
      </c>
      <c r="L141" t="s">
        <v>164</v>
      </c>
      <c r="N141" t="s">
        <v>221</v>
      </c>
      <c r="O141" t="s">
        <v>174</v>
      </c>
      <c r="P141">
        <v>0.10214745882589862</v>
      </c>
      <c r="Q141" t="s">
        <v>164</v>
      </c>
    </row>
    <row r="142" spans="9:22" x14ac:dyDescent="0.45">
      <c r="I142" t="s">
        <v>185</v>
      </c>
      <c r="J142" t="s">
        <v>175</v>
      </c>
      <c r="K142">
        <v>0</v>
      </c>
      <c r="L142" t="s">
        <v>164</v>
      </c>
      <c r="N142" t="s">
        <v>221</v>
      </c>
      <c r="O142" t="s">
        <v>175</v>
      </c>
      <c r="P142">
        <v>1.373830370731309E-2</v>
      </c>
      <c r="Q142" t="s">
        <v>164</v>
      </c>
    </row>
    <row r="143" spans="9:22" x14ac:dyDescent="0.45">
      <c r="I143" t="s">
        <v>186</v>
      </c>
      <c r="J143" t="s">
        <v>163</v>
      </c>
      <c r="K143">
        <v>5.7222903376971633E-3</v>
      </c>
      <c r="L143" t="s">
        <v>164</v>
      </c>
      <c r="N143" t="s">
        <v>222</v>
      </c>
      <c r="O143" t="s">
        <v>163</v>
      </c>
      <c r="P143">
        <v>0.15305752267165462</v>
      </c>
      <c r="Q143" t="s">
        <v>164</v>
      </c>
    </row>
    <row r="144" spans="9:22" x14ac:dyDescent="0.45">
      <c r="I144" t="s">
        <v>186</v>
      </c>
      <c r="J144" t="s">
        <v>165</v>
      </c>
      <c r="K144">
        <v>0.21732189394557727</v>
      </c>
      <c r="L144" t="s">
        <v>164</v>
      </c>
      <c r="N144" t="s">
        <v>222</v>
      </c>
      <c r="O144" t="s">
        <v>165</v>
      </c>
      <c r="P144">
        <v>0.11098250493869678</v>
      </c>
      <c r="Q144" t="s">
        <v>164</v>
      </c>
    </row>
    <row r="145" spans="9:17" x14ac:dyDescent="0.45">
      <c r="I145" t="s">
        <v>186</v>
      </c>
      <c r="J145" t="s">
        <v>166</v>
      </c>
      <c r="K145">
        <v>0</v>
      </c>
      <c r="L145" t="s">
        <v>164</v>
      </c>
      <c r="N145" t="s">
        <v>222</v>
      </c>
      <c r="O145" t="s">
        <v>166</v>
      </c>
      <c r="P145">
        <v>1.831011370840677E-2</v>
      </c>
      <c r="Q145" t="s">
        <v>164</v>
      </c>
    </row>
    <row r="146" spans="9:17" x14ac:dyDescent="0.45">
      <c r="I146" t="s">
        <v>186</v>
      </c>
      <c r="J146" t="s">
        <v>167</v>
      </c>
      <c r="K146">
        <v>2.9430406604963157E-3</v>
      </c>
      <c r="L146" t="s">
        <v>164</v>
      </c>
      <c r="N146" t="s">
        <v>222</v>
      </c>
      <c r="O146" t="s">
        <v>167</v>
      </c>
      <c r="P146">
        <v>4.6477198940329777E-2</v>
      </c>
      <c r="Q146" t="s">
        <v>164</v>
      </c>
    </row>
    <row r="147" spans="9:17" x14ac:dyDescent="0.45">
      <c r="I147" t="s">
        <v>186</v>
      </c>
      <c r="J147" t="s">
        <v>168</v>
      </c>
      <c r="K147">
        <v>8.7953522800690201E-2</v>
      </c>
      <c r="L147" t="s">
        <v>164</v>
      </c>
      <c r="N147" t="s">
        <v>222</v>
      </c>
      <c r="O147" t="s">
        <v>168</v>
      </c>
      <c r="P147">
        <v>2.1320652281461634E-2</v>
      </c>
      <c r="Q147" t="s">
        <v>164</v>
      </c>
    </row>
    <row r="148" spans="9:17" x14ac:dyDescent="0.45">
      <c r="I148" t="s">
        <v>186</v>
      </c>
      <c r="J148" t="s">
        <v>169</v>
      </c>
      <c r="K148">
        <v>0</v>
      </c>
      <c r="L148" t="s">
        <v>164</v>
      </c>
      <c r="N148" t="s">
        <v>222</v>
      </c>
      <c r="O148" t="s">
        <v>169</v>
      </c>
      <c r="P148">
        <v>3.5979028512689404E-3</v>
      </c>
      <c r="Q148" t="s">
        <v>164</v>
      </c>
    </row>
    <row r="149" spans="9:17" x14ac:dyDescent="0.45">
      <c r="I149" t="s">
        <v>186</v>
      </c>
      <c r="J149" t="s">
        <v>170</v>
      </c>
      <c r="K149">
        <v>1.5753924636733359E-2</v>
      </c>
      <c r="L149" t="s">
        <v>164</v>
      </c>
      <c r="N149" t="s">
        <v>222</v>
      </c>
      <c r="O149" t="s">
        <v>170</v>
      </c>
      <c r="P149">
        <v>0.19710390463642966</v>
      </c>
      <c r="Q149" t="s">
        <v>164</v>
      </c>
    </row>
    <row r="150" spans="9:17" x14ac:dyDescent="0.45">
      <c r="I150" t="s">
        <v>186</v>
      </c>
      <c r="J150" t="s">
        <v>171</v>
      </c>
      <c r="K150">
        <v>0.33340007856410603</v>
      </c>
      <c r="L150" t="s">
        <v>164</v>
      </c>
      <c r="N150" t="s">
        <v>222</v>
      </c>
      <c r="O150" t="s">
        <v>171</v>
      </c>
      <c r="P150">
        <v>0.15063534530980469</v>
      </c>
      <c r="Q150" t="s">
        <v>164</v>
      </c>
    </row>
    <row r="151" spans="9:17" x14ac:dyDescent="0.45">
      <c r="I151" t="s">
        <v>186</v>
      </c>
      <c r="J151" t="s">
        <v>172</v>
      </c>
      <c r="K151">
        <v>0</v>
      </c>
      <c r="L151" t="s">
        <v>164</v>
      </c>
      <c r="N151" t="s">
        <v>222</v>
      </c>
      <c r="O151" t="s">
        <v>172</v>
      </c>
      <c r="P151">
        <v>2.4669197840385976E-2</v>
      </c>
      <c r="Q151" t="s">
        <v>164</v>
      </c>
    </row>
    <row r="152" spans="9:17" x14ac:dyDescent="0.45">
      <c r="I152" t="s">
        <v>186</v>
      </c>
      <c r="J152" t="s">
        <v>173</v>
      </c>
      <c r="K152">
        <v>1.4728437551535346E-2</v>
      </c>
      <c r="L152" t="s">
        <v>164</v>
      </c>
      <c r="N152" t="s">
        <v>222</v>
      </c>
      <c r="O152" t="s">
        <v>173</v>
      </c>
      <c r="P152">
        <v>0.15139430993019148</v>
      </c>
      <c r="Q152" t="s">
        <v>164</v>
      </c>
    </row>
    <row r="153" spans="9:17" x14ac:dyDescent="0.45">
      <c r="I153" t="s">
        <v>186</v>
      </c>
      <c r="J153" t="s">
        <v>174</v>
      </c>
      <c r="K153">
        <v>0.32217681150316574</v>
      </c>
      <c r="L153" t="s">
        <v>164</v>
      </c>
      <c r="N153" t="s">
        <v>222</v>
      </c>
      <c r="O153" t="s">
        <v>174</v>
      </c>
      <c r="P153">
        <v>0.10581954833076945</v>
      </c>
      <c r="Q153" t="s">
        <v>164</v>
      </c>
    </row>
    <row r="154" spans="9:17" x14ac:dyDescent="0.45">
      <c r="I154" t="s">
        <v>186</v>
      </c>
      <c r="J154" t="s">
        <v>175</v>
      </c>
      <c r="K154">
        <v>0</v>
      </c>
      <c r="L154" t="s">
        <v>164</v>
      </c>
      <c r="N154" t="s">
        <v>222</v>
      </c>
      <c r="O154" t="s">
        <v>175</v>
      </c>
      <c r="P154">
        <v>1.6631798560601881E-2</v>
      </c>
      <c r="Q154" t="s">
        <v>164</v>
      </c>
    </row>
    <row r="155" spans="9:17" x14ac:dyDescent="0.45">
      <c r="I155" t="s">
        <v>187</v>
      </c>
      <c r="J155" t="s">
        <v>163</v>
      </c>
      <c r="K155">
        <v>5.5782025210571531E-3</v>
      </c>
      <c r="L155" t="s">
        <v>164</v>
      </c>
      <c r="N155" t="s">
        <v>223</v>
      </c>
      <c r="O155" t="s">
        <v>163</v>
      </c>
      <c r="P155">
        <v>0.13775690145044486</v>
      </c>
      <c r="Q155" t="s">
        <v>164</v>
      </c>
    </row>
    <row r="156" spans="9:17" x14ac:dyDescent="0.45">
      <c r="I156" t="s">
        <v>187</v>
      </c>
      <c r="J156" t="s">
        <v>165</v>
      </c>
      <c r="K156">
        <v>0.21041464487764927</v>
      </c>
      <c r="L156" t="s">
        <v>164</v>
      </c>
      <c r="N156" t="s">
        <v>223</v>
      </c>
      <c r="O156" t="s">
        <v>165</v>
      </c>
      <c r="P156">
        <v>0.11703898909812013</v>
      </c>
      <c r="Q156" t="s">
        <v>164</v>
      </c>
    </row>
    <row r="157" spans="9:17" x14ac:dyDescent="0.45">
      <c r="I157" t="s">
        <v>187</v>
      </c>
      <c r="J157" t="s">
        <v>166</v>
      </c>
      <c r="K157">
        <v>0</v>
      </c>
      <c r="L157" t="s">
        <v>164</v>
      </c>
      <c r="N157" t="s">
        <v>223</v>
      </c>
      <c r="O157" t="s">
        <v>166</v>
      </c>
      <c r="P157">
        <v>1.4263953686354221E-2</v>
      </c>
      <c r="Q157" t="s">
        <v>164</v>
      </c>
    </row>
    <row r="158" spans="9:17" x14ac:dyDescent="0.45">
      <c r="I158" t="s">
        <v>187</v>
      </c>
      <c r="J158" t="s">
        <v>167</v>
      </c>
      <c r="K158">
        <v>2.8452828094220738E-3</v>
      </c>
      <c r="L158" t="s">
        <v>164</v>
      </c>
      <c r="N158" t="s">
        <v>223</v>
      </c>
      <c r="O158" t="s">
        <v>167</v>
      </c>
      <c r="P158">
        <v>3.2053034151243449E-2</v>
      </c>
      <c r="Q158" t="s">
        <v>164</v>
      </c>
    </row>
    <row r="159" spans="9:17" x14ac:dyDescent="0.45">
      <c r="I159" t="s">
        <v>187</v>
      </c>
      <c r="J159" t="s">
        <v>168</v>
      </c>
      <c r="K159">
        <v>9.238677832385217E-2</v>
      </c>
      <c r="L159" t="s">
        <v>164</v>
      </c>
      <c r="N159" t="s">
        <v>223</v>
      </c>
      <c r="O159" t="s">
        <v>168</v>
      </c>
      <c r="P159">
        <v>2.7970053045649552E-2</v>
      </c>
      <c r="Q159" t="s">
        <v>164</v>
      </c>
    </row>
    <row r="160" spans="9:17" x14ac:dyDescent="0.45">
      <c r="I160" t="s">
        <v>187</v>
      </c>
      <c r="J160" t="s">
        <v>169</v>
      </c>
      <c r="K160">
        <v>0</v>
      </c>
      <c r="L160" t="s">
        <v>164</v>
      </c>
      <c r="N160" t="s">
        <v>223</v>
      </c>
      <c r="O160" t="s">
        <v>169</v>
      </c>
      <c r="P160">
        <v>3.5601537529528072E-3</v>
      </c>
      <c r="Q160" t="s">
        <v>164</v>
      </c>
    </row>
    <row r="161" spans="9:17" x14ac:dyDescent="0.45">
      <c r="I161" t="s">
        <v>187</v>
      </c>
      <c r="J161" t="s">
        <v>170</v>
      </c>
      <c r="K161">
        <v>1.7622982024208738E-2</v>
      </c>
      <c r="L161" t="s">
        <v>164</v>
      </c>
      <c r="N161" t="s">
        <v>223</v>
      </c>
      <c r="O161" t="s">
        <v>170</v>
      </c>
      <c r="P161">
        <v>0.20490984547766203</v>
      </c>
      <c r="Q161" t="s">
        <v>164</v>
      </c>
    </row>
    <row r="162" spans="9:17" x14ac:dyDescent="0.45">
      <c r="I162" t="s">
        <v>187</v>
      </c>
      <c r="J162" t="s">
        <v>171</v>
      </c>
      <c r="K162">
        <v>0.33688724783249968</v>
      </c>
      <c r="L162" t="s">
        <v>164</v>
      </c>
      <c r="N162" t="s">
        <v>223</v>
      </c>
      <c r="O162" t="s">
        <v>171</v>
      </c>
      <c r="P162">
        <v>0.15446781408201177</v>
      </c>
      <c r="Q162" t="s">
        <v>164</v>
      </c>
    </row>
    <row r="163" spans="9:17" x14ac:dyDescent="0.45">
      <c r="I163" t="s">
        <v>187</v>
      </c>
      <c r="J163" t="s">
        <v>172</v>
      </c>
      <c r="K163">
        <v>0</v>
      </c>
      <c r="L163" t="s">
        <v>164</v>
      </c>
      <c r="N163" t="s">
        <v>223</v>
      </c>
      <c r="O163" t="s">
        <v>172</v>
      </c>
      <c r="P163">
        <v>2.5385135929413331E-2</v>
      </c>
      <c r="Q163" t="s">
        <v>164</v>
      </c>
    </row>
    <row r="164" spans="9:17" x14ac:dyDescent="0.45">
      <c r="I164" t="s">
        <v>187</v>
      </c>
      <c r="J164" t="s">
        <v>173</v>
      </c>
      <c r="K164">
        <v>1.4576447772778854E-2</v>
      </c>
      <c r="L164" t="s">
        <v>164</v>
      </c>
      <c r="N164" t="s">
        <v>223</v>
      </c>
      <c r="O164" t="s">
        <v>173</v>
      </c>
      <c r="P164">
        <v>0.1449010178751515</v>
      </c>
      <c r="Q164" t="s">
        <v>164</v>
      </c>
    </row>
    <row r="165" spans="9:17" x14ac:dyDescent="0.45">
      <c r="I165" t="s">
        <v>187</v>
      </c>
      <c r="J165" t="s">
        <v>174</v>
      </c>
      <c r="K165">
        <v>0.31968841383853103</v>
      </c>
      <c r="L165" t="s">
        <v>164</v>
      </c>
      <c r="N165" t="s">
        <v>223</v>
      </c>
      <c r="O165" t="s">
        <v>174</v>
      </c>
      <c r="P165">
        <v>0.12232929805955353</v>
      </c>
      <c r="Q165" t="s">
        <v>164</v>
      </c>
    </row>
    <row r="166" spans="9:17" x14ac:dyDescent="0.45">
      <c r="I166" t="s">
        <v>187</v>
      </c>
      <c r="J166" t="s">
        <v>175</v>
      </c>
      <c r="K166">
        <v>0</v>
      </c>
      <c r="L166" t="s">
        <v>164</v>
      </c>
      <c r="N166" t="s">
        <v>223</v>
      </c>
      <c r="O166" t="s">
        <v>175</v>
      </c>
      <c r="P166">
        <v>1.5363803391444509E-2</v>
      </c>
      <c r="Q166" t="s">
        <v>164</v>
      </c>
    </row>
    <row r="167" spans="9:17" x14ac:dyDescent="0.45">
      <c r="I167" t="s">
        <v>188</v>
      </c>
      <c r="J167" t="s">
        <v>163</v>
      </c>
      <c r="K167">
        <v>7.3924769958940576E-3</v>
      </c>
      <c r="L167" t="s">
        <v>164</v>
      </c>
      <c r="N167" t="s">
        <v>224</v>
      </c>
      <c r="O167" t="s">
        <v>163</v>
      </c>
      <c r="P167">
        <v>0.14388985133019938</v>
      </c>
      <c r="Q167" t="s">
        <v>164</v>
      </c>
    </row>
    <row r="168" spans="9:17" x14ac:dyDescent="0.45">
      <c r="I168" t="s">
        <v>188</v>
      </c>
      <c r="J168" t="s">
        <v>165</v>
      </c>
      <c r="K168">
        <v>0.21494798103470319</v>
      </c>
      <c r="L168" t="s">
        <v>164</v>
      </c>
      <c r="N168" t="s">
        <v>224</v>
      </c>
      <c r="O168" t="s">
        <v>165</v>
      </c>
      <c r="P168">
        <v>0.10535973566655747</v>
      </c>
      <c r="Q168" t="s">
        <v>164</v>
      </c>
    </row>
    <row r="169" spans="9:17" x14ac:dyDescent="0.45">
      <c r="I169" t="s">
        <v>188</v>
      </c>
      <c r="J169" t="s">
        <v>166</v>
      </c>
      <c r="K169">
        <v>0</v>
      </c>
      <c r="L169" t="s">
        <v>164</v>
      </c>
      <c r="N169" t="s">
        <v>224</v>
      </c>
      <c r="O169" t="s">
        <v>166</v>
      </c>
      <c r="P169">
        <v>1.6994422160156532E-2</v>
      </c>
      <c r="Q169" t="s">
        <v>164</v>
      </c>
    </row>
    <row r="170" spans="9:17" x14ac:dyDescent="0.45">
      <c r="I170" t="s">
        <v>188</v>
      </c>
      <c r="J170" t="s">
        <v>167</v>
      </c>
      <c r="K170">
        <v>3.138841402963138E-3</v>
      </c>
      <c r="L170" t="s">
        <v>164</v>
      </c>
      <c r="N170" t="s">
        <v>224</v>
      </c>
      <c r="O170" t="s">
        <v>167</v>
      </c>
      <c r="P170">
        <v>3.4588767481744054E-2</v>
      </c>
      <c r="Q170" t="s">
        <v>164</v>
      </c>
    </row>
    <row r="171" spans="9:17" x14ac:dyDescent="0.45">
      <c r="I171" t="s">
        <v>188</v>
      </c>
      <c r="J171" t="s">
        <v>168</v>
      </c>
      <c r="K171">
        <v>9.2910218334264313E-2</v>
      </c>
      <c r="L171" t="s">
        <v>164</v>
      </c>
      <c r="N171" t="s">
        <v>224</v>
      </c>
      <c r="O171" t="s">
        <v>168</v>
      </c>
      <c r="P171">
        <v>2.2051840543377322E-2</v>
      </c>
      <c r="Q171" t="s">
        <v>164</v>
      </c>
    </row>
    <row r="172" spans="9:17" x14ac:dyDescent="0.45">
      <c r="I172" t="s">
        <v>188</v>
      </c>
      <c r="J172" t="s">
        <v>169</v>
      </c>
      <c r="K172">
        <v>0</v>
      </c>
      <c r="L172" t="s">
        <v>164</v>
      </c>
      <c r="N172" t="s">
        <v>224</v>
      </c>
      <c r="O172" t="s">
        <v>169</v>
      </c>
      <c r="P172">
        <v>3.7446642104863965E-3</v>
      </c>
      <c r="Q172" t="s">
        <v>164</v>
      </c>
    </row>
    <row r="173" spans="9:17" x14ac:dyDescent="0.45">
      <c r="I173" t="s">
        <v>188</v>
      </c>
      <c r="J173" t="s">
        <v>170</v>
      </c>
      <c r="K173">
        <v>1.7172778170583908E-2</v>
      </c>
      <c r="L173" t="s">
        <v>164</v>
      </c>
      <c r="N173" t="s">
        <v>224</v>
      </c>
      <c r="O173" t="s">
        <v>170</v>
      </c>
      <c r="P173">
        <v>0.20817484405592399</v>
      </c>
      <c r="Q173" t="s">
        <v>164</v>
      </c>
    </row>
    <row r="174" spans="9:17" x14ac:dyDescent="0.45">
      <c r="I174" t="s">
        <v>188</v>
      </c>
      <c r="J174" t="s">
        <v>171</v>
      </c>
      <c r="K174">
        <v>0.3259157096145171</v>
      </c>
      <c r="L174" t="s">
        <v>164</v>
      </c>
      <c r="N174" t="s">
        <v>224</v>
      </c>
      <c r="O174" t="s">
        <v>171</v>
      </c>
      <c r="P174">
        <v>0.15186608209912253</v>
      </c>
      <c r="Q174" t="s">
        <v>164</v>
      </c>
    </row>
    <row r="175" spans="9:17" x14ac:dyDescent="0.45">
      <c r="I175" t="s">
        <v>188</v>
      </c>
      <c r="J175" t="s">
        <v>172</v>
      </c>
      <c r="K175">
        <v>0</v>
      </c>
      <c r="L175" t="s">
        <v>164</v>
      </c>
      <c r="N175" t="s">
        <v>224</v>
      </c>
      <c r="O175" t="s">
        <v>172</v>
      </c>
      <c r="P175">
        <v>2.6755841482520217E-2</v>
      </c>
      <c r="Q175" t="s">
        <v>164</v>
      </c>
    </row>
    <row r="176" spans="9:17" x14ac:dyDescent="0.45">
      <c r="I176" t="s">
        <v>188</v>
      </c>
      <c r="J176" t="s">
        <v>173</v>
      </c>
      <c r="K176">
        <v>1.6644826553372471E-2</v>
      </c>
      <c r="L176" t="s">
        <v>164</v>
      </c>
      <c r="N176" t="s">
        <v>224</v>
      </c>
      <c r="O176" t="s">
        <v>173</v>
      </c>
      <c r="P176">
        <v>0.15031448558072769</v>
      </c>
      <c r="Q176" t="s">
        <v>164</v>
      </c>
    </row>
    <row r="177" spans="9:17" x14ac:dyDescent="0.45">
      <c r="I177" t="s">
        <v>188</v>
      </c>
      <c r="J177" t="s">
        <v>174</v>
      </c>
      <c r="K177">
        <v>0.32187716789370269</v>
      </c>
      <c r="L177" t="s">
        <v>164</v>
      </c>
      <c r="N177" t="s">
        <v>224</v>
      </c>
      <c r="O177" t="s">
        <v>174</v>
      </c>
      <c r="P177">
        <v>0.11886019499049186</v>
      </c>
      <c r="Q177" t="s">
        <v>164</v>
      </c>
    </row>
    <row r="178" spans="9:17" x14ac:dyDescent="0.45">
      <c r="I178" t="s">
        <v>188</v>
      </c>
      <c r="J178" t="s">
        <v>175</v>
      </c>
      <c r="K178">
        <v>0</v>
      </c>
      <c r="L178" t="s">
        <v>164</v>
      </c>
      <c r="N178" t="s">
        <v>224</v>
      </c>
      <c r="O178" t="s">
        <v>175</v>
      </c>
      <c r="P178">
        <v>1.7399270398691935E-2</v>
      </c>
      <c r="Q178" t="s">
        <v>164</v>
      </c>
    </row>
    <row r="179" spans="9:17" x14ac:dyDescent="0.45">
      <c r="I179" t="s">
        <v>189</v>
      </c>
      <c r="J179" t="s">
        <v>163</v>
      </c>
      <c r="K179">
        <v>9.0809283894454317E-7</v>
      </c>
      <c r="L179" t="s">
        <v>164</v>
      </c>
      <c r="N179" t="s">
        <v>225</v>
      </c>
      <c r="O179" t="s">
        <v>163</v>
      </c>
      <c r="P179">
        <v>0.13553554742649071</v>
      </c>
      <c r="Q179" t="s">
        <v>164</v>
      </c>
    </row>
    <row r="180" spans="9:17" x14ac:dyDescent="0.45">
      <c r="I180" t="s">
        <v>189</v>
      </c>
      <c r="J180" t="s">
        <v>165</v>
      </c>
      <c r="K180">
        <v>0.20904234158492563</v>
      </c>
      <c r="L180" t="s">
        <v>164</v>
      </c>
      <c r="N180" t="s">
        <v>225</v>
      </c>
      <c r="O180" t="s">
        <v>165</v>
      </c>
      <c r="P180">
        <v>0.11191666534512154</v>
      </c>
      <c r="Q180" t="s">
        <v>164</v>
      </c>
    </row>
    <row r="181" spans="9:17" x14ac:dyDescent="0.45">
      <c r="I181" t="s">
        <v>189</v>
      </c>
      <c r="J181" t="s">
        <v>166</v>
      </c>
      <c r="K181">
        <v>0</v>
      </c>
      <c r="L181" t="s">
        <v>164</v>
      </c>
      <c r="N181" t="s">
        <v>225</v>
      </c>
      <c r="O181" t="s">
        <v>166</v>
      </c>
      <c r="P181">
        <v>1.5166216508224698E-2</v>
      </c>
      <c r="Q181" t="s">
        <v>164</v>
      </c>
    </row>
    <row r="182" spans="9:17" x14ac:dyDescent="0.45">
      <c r="I182" t="s">
        <v>189</v>
      </c>
      <c r="J182" t="s">
        <v>167</v>
      </c>
      <c r="K182">
        <v>1.9330984497686551E-3</v>
      </c>
      <c r="L182" t="s">
        <v>164</v>
      </c>
      <c r="N182" t="s">
        <v>225</v>
      </c>
      <c r="O182" t="s">
        <v>167</v>
      </c>
      <c r="P182">
        <v>3.3083422584942387E-2</v>
      </c>
      <c r="Q182" t="s">
        <v>164</v>
      </c>
    </row>
    <row r="183" spans="9:17" x14ac:dyDescent="0.45">
      <c r="I183" t="s">
        <v>189</v>
      </c>
      <c r="J183" t="s">
        <v>168</v>
      </c>
      <c r="K183">
        <v>8.7846613765895934E-2</v>
      </c>
      <c r="L183" t="s">
        <v>164</v>
      </c>
      <c r="N183" t="s">
        <v>225</v>
      </c>
      <c r="O183" t="s">
        <v>168</v>
      </c>
      <c r="P183">
        <v>2.8770066384636393E-2</v>
      </c>
      <c r="Q183" t="s">
        <v>164</v>
      </c>
    </row>
    <row r="184" spans="9:17" x14ac:dyDescent="0.45">
      <c r="I184" t="s">
        <v>189</v>
      </c>
      <c r="J184" t="s">
        <v>169</v>
      </c>
      <c r="K184">
        <v>0</v>
      </c>
      <c r="L184" t="s">
        <v>164</v>
      </c>
      <c r="N184" t="s">
        <v>225</v>
      </c>
      <c r="O184" t="s">
        <v>169</v>
      </c>
      <c r="P184">
        <v>3.8425403015034647E-3</v>
      </c>
      <c r="Q184" t="s">
        <v>164</v>
      </c>
    </row>
    <row r="185" spans="9:17" x14ac:dyDescent="0.45">
      <c r="I185" t="s">
        <v>189</v>
      </c>
      <c r="J185" t="s">
        <v>170</v>
      </c>
      <c r="K185">
        <v>8.8184736865764644E-3</v>
      </c>
      <c r="L185" t="s">
        <v>164</v>
      </c>
      <c r="N185" t="s">
        <v>225</v>
      </c>
      <c r="O185" t="s">
        <v>170</v>
      </c>
      <c r="P185">
        <v>0.20252923189478675</v>
      </c>
      <c r="Q185" t="s">
        <v>164</v>
      </c>
    </row>
    <row r="186" spans="9:17" x14ac:dyDescent="0.45">
      <c r="I186" t="s">
        <v>189</v>
      </c>
      <c r="J186" t="s">
        <v>171</v>
      </c>
      <c r="K186">
        <v>0.33662559056753394</v>
      </c>
      <c r="L186" t="s">
        <v>164</v>
      </c>
      <c r="N186" t="s">
        <v>225</v>
      </c>
      <c r="O186" t="s">
        <v>171</v>
      </c>
      <c r="P186">
        <v>0.13889463659421297</v>
      </c>
      <c r="Q186" t="s">
        <v>164</v>
      </c>
    </row>
    <row r="187" spans="9:17" x14ac:dyDescent="0.45">
      <c r="I187" t="s">
        <v>189</v>
      </c>
      <c r="J187" t="s">
        <v>172</v>
      </c>
      <c r="K187">
        <v>0</v>
      </c>
      <c r="L187" t="s">
        <v>164</v>
      </c>
      <c r="N187" t="s">
        <v>225</v>
      </c>
      <c r="O187" t="s">
        <v>172</v>
      </c>
      <c r="P187">
        <v>2.4269090475639521E-2</v>
      </c>
      <c r="Q187" t="s">
        <v>164</v>
      </c>
    </row>
    <row r="188" spans="9:17" x14ac:dyDescent="0.45">
      <c r="I188" t="s">
        <v>189</v>
      </c>
      <c r="J188" t="s">
        <v>173</v>
      </c>
      <c r="K188">
        <v>1.191293638067816E-2</v>
      </c>
      <c r="L188" t="s">
        <v>164</v>
      </c>
      <c r="N188" t="s">
        <v>225</v>
      </c>
      <c r="O188" t="s">
        <v>173</v>
      </c>
      <c r="P188">
        <v>0.15814609013511502</v>
      </c>
      <c r="Q188" t="s">
        <v>164</v>
      </c>
    </row>
    <row r="189" spans="9:17" x14ac:dyDescent="0.45">
      <c r="I189" t="s">
        <v>189</v>
      </c>
      <c r="J189" t="s">
        <v>174</v>
      </c>
      <c r="K189">
        <v>0.34382003747178402</v>
      </c>
      <c r="L189" t="s">
        <v>164</v>
      </c>
      <c r="N189" t="s">
        <v>225</v>
      </c>
      <c r="O189" t="s">
        <v>174</v>
      </c>
      <c r="P189">
        <v>0.13041245119540168</v>
      </c>
      <c r="Q189" t="s">
        <v>164</v>
      </c>
    </row>
    <row r="190" spans="9:17" x14ac:dyDescent="0.45">
      <c r="I190" t="s">
        <v>189</v>
      </c>
      <c r="J190" t="s">
        <v>175</v>
      </c>
      <c r="K190">
        <v>0</v>
      </c>
      <c r="L190" t="s">
        <v>164</v>
      </c>
      <c r="N190" t="s">
        <v>225</v>
      </c>
      <c r="O190" t="s">
        <v>175</v>
      </c>
      <c r="P190">
        <v>1.7434041153924312E-2</v>
      </c>
      <c r="Q190" t="s">
        <v>164</v>
      </c>
    </row>
    <row r="191" spans="9:17" x14ac:dyDescent="0.45">
      <c r="I191" t="s">
        <v>190</v>
      </c>
      <c r="J191" t="s">
        <v>163</v>
      </c>
      <c r="K191">
        <v>8.2613471853050437E-5</v>
      </c>
      <c r="L191" t="s">
        <v>164</v>
      </c>
      <c r="N191" t="s">
        <v>226</v>
      </c>
      <c r="O191" t="s">
        <v>163</v>
      </c>
      <c r="P191">
        <v>0.10261393758005193</v>
      </c>
      <c r="Q191" t="s">
        <v>164</v>
      </c>
    </row>
    <row r="192" spans="9:17" x14ac:dyDescent="0.45">
      <c r="I192" t="s">
        <v>190</v>
      </c>
      <c r="J192" t="s">
        <v>165</v>
      </c>
      <c r="K192">
        <v>0.18965780005892127</v>
      </c>
      <c r="L192" t="s">
        <v>164</v>
      </c>
      <c r="N192" t="s">
        <v>226</v>
      </c>
      <c r="O192" t="s">
        <v>165</v>
      </c>
      <c r="P192">
        <v>9.6186345975852447E-2</v>
      </c>
      <c r="Q192" t="s">
        <v>164</v>
      </c>
    </row>
    <row r="193" spans="9:17" x14ac:dyDescent="0.45">
      <c r="I193" t="s">
        <v>190</v>
      </c>
      <c r="J193" t="s">
        <v>166</v>
      </c>
      <c r="K193">
        <v>0</v>
      </c>
      <c r="L193" t="s">
        <v>164</v>
      </c>
      <c r="N193" t="s">
        <v>226</v>
      </c>
      <c r="O193" t="s">
        <v>166</v>
      </c>
      <c r="P193">
        <v>1.5707758290554534E-2</v>
      </c>
      <c r="Q193" t="s">
        <v>164</v>
      </c>
    </row>
    <row r="194" spans="9:17" x14ac:dyDescent="0.45">
      <c r="I194" t="s">
        <v>190</v>
      </c>
      <c r="J194" t="s">
        <v>167</v>
      </c>
      <c r="K194">
        <v>2.2867556335012551E-3</v>
      </c>
      <c r="L194" t="s">
        <v>164</v>
      </c>
      <c r="N194" t="s">
        <v>226</v>
      </c>
      <c r="O194" t="s">
        <v>167</v>
      </c>
      <c r="P194">
        <v>5.4676567031626565E-2</v>
      </c>
      <c r="Q194" t="s">
        <v>164</v>
      </c>
    </row>
    <row r="195" spans="9:17" x14ac:dyDescent="0.45">
      <c r="I195" t="s">
        <v>190</v>
      </c>
      <c r="J195" t="s">
        <v>168</v>
      </c>
      <c r="K195">
        <v>9.1887573119653926E-2</v>
      </c>
      <c r="L195" t="s">
        <v>164</v>
      </c>
      <c r="N195" t="s">
        <v>226</v>
      </c>
      <c r="O195" t="s">
        <v>168</v>
      </c>
      <c r="P195">
        <v>4.2580859941096033E-2</v>
      </c>
      <c r="Q195" t="s">
        <v>164</v>
      </c>
    </row>
    <row r="196" spans="9:17" x14ac:dyDescent="0.45">
      <c r="I196" t="s">
        <v>190</v>
      </c>
      <c r="J196" t="s">
        <v>169</v>
      </c>
      <c r="K196">
        <v>0</v>
      </c>
      <c r="L196" t="s">
        <v>164</v>
      </c>
      <c r="N196" t="s">
        <v>226</v>
      </c>
      <c r="O196" t="s">
        <v>169</v>
      </c>
      <c r="P196">
        <v>6.7804811050745858E-3</v>
      </c>
      <c r="Q196" t="s">
        <v>164</v>
      </c>
    </row>
    <row r="197" spans="9:17" x14ac:dyDescent="0.45">
      <c r="I197" t="s">
        <v>190</v>
      </c>
      <c r="J197" t="s">
        <v>170</v>
      </c>
      <c r="K197">
        <v>1.0857604285814757E-2</v>
      </c>
      <c r="L197" t="s">
        <v>164</v>
      </c>
      <c r="N197" t="s">
        <v>226</v>
      </c>
      <c r="O197" t="s">
        <v>170</v>
      </c>
      <c r="P197">
        <v>0.2157118312570854</v>
      </c>
      <c r="Q197" t="s">
        <v>164</v>
      </c>
    </row>
    <row r="198" spans="9:17" x14ac:dyDescent="0.45">
      <c r="I198" t="s">
        <v>190</v>
      </c>
      <c r="J198" t="s">
        <v>171</v>
      </c>
      <c r="K198">
        <v>0.34811189328244452</v>
      </c>
      <c r="L198" t="s">
        <v>164</v>
      </c>
      <c r="N198" t="s">
        <v>226</v>
      </c>
      <c r="O198" t="s">
        <v>171</v>
      </c>
      <c r="P198">
        <v>0.1563333377162843</v>
      </c>
      <c r="Q198" t="s">
        <v>164</v>
      </c>
    </row>
    <row r="199" spans="9:17" x14ac:dyDescent="0.45">
      <c r="I199" t="s">
        <v>190</v>
      </c>
      <c r="J199" t="s">
        <v>172</v>
      </c>
      <c r="K199">
        <v>0</v>
      </c>
      <c r="L199" t="s">
        <v>164</v>
      </c>
      <c r="N199" t="s">
        <v>226</v>
      </c>
      <c r="O199" t="s">
        <v>172</v>
      </c>
      <c r="P199">
        <v>2.0610686626111124E-2</v>
      </c>
      <c r="Q199" t="s">
        <v>164</v>
      </c>
    </row>
    <row r="200" spans="9:17" x14ac:dyDescent="0.45">
      <c r="I200" t="s">
        <v>190</v>
      </c>
      <c r="J200" t="s">
        <v>173</v>
      </c>
      <c r="K200">
        <v>1.2397672764988151E-2</v>
      </c>
      <c r="L200" t="s">
        <v>164</v>
      </c>
      <c r="N200" t="s">
        <v>226</v>
      </c>
      <c r="O200" t="s">
        <v>173</v>
      </c>
      <c r="P200">
        <v>0.14988354170039747</v>
      </c>
      <c r="Q200" t="s">
        <v>164</v>
      </c>
    </row>
    <row r="201" spans="9:17" x14ac:dyDescent="0.45">
      <c r="I201" t="s">
        <v>190</v>
      </c>
      <c r="J201" t="s">
        <v>174</v>
      </c>
      <c r="K201">
        <v>0.34471808738282683</v>
      </c>
      <c r="L201" t="s">
        <v>164</v>
      </c>
      <c r="N201" t="s">
        <v>226</v>
      </c>
      <c r="O201" t="s">
        <v>174</v>
      </c>
      <c r="P201">
        <v>0.11885089114246471</v>
      </c>
      <c r="Q201" t="s">
        <v>164</v>
      </c>
    </row>
    <row r="202" spans="9:17" x14ac:dyDescent="0.45">
      <c r="I202" t="s">
        <v>190</v>
      </c>
      <c r="J202" t="s">
        <v>175</v>
      </c>
      <c r="K202">
        <v>0</v>
      </c>
      <c r="L202" t="s">
        <v>164</v>
      </c>
      <c r="N202" t="s">
        <v>226</v>
      </c>
      <c r="O202" t="s">
        <v>175</v>
      </c>
      <c r="P202">
        <v>2.0063761633398194E-2</v>
      </c>
      <c r="Q202" t="s">
        <v>164</v>
      </c>
    </row>
    <row r="203" spans="9:17" x14ac:dyDescent="0.45">
      <c r="I203" t="s">
        <v>191</v>
      </c>
      <c r="J203" t="s">
        <v>163</v>
      </c>
      <c r="K203">
        <v>1.4957346181867663E-4</v>
      </c>
      <c r="L203" t="s">
        <v>164</v>
      </c>
      <c r="N203" t="s">
        <v>227</v>
      </c>
      <c r="O203" t="s">
        <v>163</v>
      </c>
      <c r="P203">
        <v>0.10060179396245392</v>
      </c>
      <c r="Q203" t="s">
        <v>164</v>
      </c>
    </row>
    <row r="204" spans="9:17" x14ac:dyDescent="0.45">
      <c r="I204" t="s">
        <v>191</v>
      </c>
      <c r="J204" t="s">
        <v>165</v>
      </c>
      <c r="K204">
        <v>0.16867295018575043</v>
      </c>
      <c r="L204" t="s">
        <v>164</v>
      </c>
      <c r="N204" t="s">
        <v>227</v>
      </c>
      <c r="O204" t="s">
        <v>165</v>
      </c>
      <c r="P204">
        <v>0.11064950112316481</v>
      </c>
      <c r="Q204" t="s">
        <v>164</v>
      </c>
    </row>
    <row r="205" spans="9:17" x14ac:dyDescent="0.45">
      <c r="I205" t="s">
        <v>191</v>
      </c>
      <c r="J205" t="s">
        <v>166</v>
      </c>
      <c r="K205">
        <v>0</v>
      </c>
      <c r="L205" t="s">
        <v>164</v>
      </c>
      <c r="N205" t="s">
        <v>227</v>
      </c>
      <c r="O205" t="s">
        <v>166</v>
      </c>
      <c r="P205">
        <v>1.4429666024821377E-2</v>
      </c>
      <c r="Q205" t="s">
        <v>164</v>
      </c>
    </row>
    <row r="206" spans="9:17" x14ac:dyDescent="0.45">
      <c r="I206" t="s">
        <v>191</v>
      </c>
      <c r="J206" t="s">
        <v>167</v>
      </c>
      <c r="K206">
        <v>2.5261770598350611E-3</v>
      </c>
      <c r="L206" t="s">
        <v>164</v>
      </c>
      <c r="N206" t="s">
        <v>227</v>
      </c>
      <c r="O206" t="s">
        <v>167</v>
      </c>
      <c r="P206">
        <v>4.3400254956290726E-2</v>
      </c>
      <c r="Q206" t="s">
        <v>164</v>
      </c>
    </row>
    <row r="207" spans="9:17" x14ac:dyDescent="0.45">
      <c r="I207" t="s">
        <v>191</v>
      </c>
      <c r="J207" t="s">
        <v>168</v>
      </c>
      <c r="K207">
        <v>9.1843955652562009E-2</v>
      </c>
      <c r="L207" t="s">
        <v>164</v>
      </c>
      <c r="N207" t="s">
        <v>227</v>
      </c>
      <c r="O207" t="s">
        <v>168</v>
      </c>
      <c r="P207">
        <v>4.4283451262490309E-2</v>
      </c>
      <c r="Q207" t="s">
        <v>164</v>
      </c>
    </row>
    <row r="208" spans="9:17" x14ac:dyDescent="0.45">
      <c r="I208" t="s">
        <v>191</v>
      </c>
      <c r="J208" t="s">
        <v>169</v>
      </c>
      <c r="K208">
        <v>0</v>
      </c>
      <c r="L208" t="s">
        <v>164</v>
      </c>
      <c r="N208" t="s">
        <v>227</v>
      </c>
      <c r="O208" t="s">
        <v>169</v>
      </c>
      <c r="P208">
        <v>5.6614505502747313E-3</v>
      </c>
      <c r="Q208" t="s">
        <v>164</v>
      </c>
    </row>
    <row r="209" spans="9:17" x14ac:dyDescent="0.45">
      <c r="I209" t="s">
        <v>191</v>
      </c>
      <c r="J209" t="s">
        <v>170</v>
      </c>
      <c r="K209">
        <v>1.4229597385711831E-2</v>
      </c>
      <c r="L209" t="s">
        <v>164</v>
      </c>
      <c r="N209" t="s">
        <v>227</v>
      </c>
      <c r="O209" t="s">
        <v>170</v>
      </c>
      <c r="P209">
        <v>0.22650450465560365</v>
      </c>
      <c r="Q209" t="s">
        <v>164</v>
      </c>
    </row>
    <row r="210" spans="9:17" x14ac:dyDescent="0.45">
      <c r="I210" t="s">
        <v>191</v>
      </c>
      <c r="J210" t="s">
        <v>171</v>
      </c>
      <c r="K210">
        <v>0.37399480331021173</v>
      </c>
      <c r="L210" t="s">
        <v>164</v>
      </c>
      <c r="N210" t="s">
        <v>227</v>
      </c>
      <c r="O210" t="s">
        <v>171</v>
      </c>
      <c r="P210">
        <v>0.17509871342144878</v>
      </c>
      <c r="Q210" t="s">
        <v>164</v>
      </c>
    </row>
    <row r="211" spans="9:17" x14ac:dyDescent="0.45">
      <c r="I211" t="s">
        <v>191</v>
      </c>
      <c r="J211" t="s">
        <v>172</v>
      </c>
      <c r="K211">
        <v>0</v>
      </c>
      <c r="L211" t="s">
        <v>164</v>
      </c>
      <c r="N211" t="s">
        <v>227</v>
      </c>
      <c r="O211" t="s">
        <v>172</v>
      </c>
      <c r="P211">
        <v>2.1015060990674003E-2</v>
      </c>
      <c r="Q211" t="s">
        <v>164</v>
      </c>
    </row>
    <row r="212" spans="9:17" x14ac:dyDescent="0.45">
      <c r="I212" t="s">
        <v>191</v>
      </c>
      <c r="J212" t="s">
        <v>173</v>
      </c>
      <c r="K212">
        <v>1.2002457893321265E-2</v>
      </c>
      <c r="L212" t="s">
        <v>164</v>
      </c>
      <c r="N212" t="s">
        <v>227</v>
      </c>
      <c r="O212" t="s">
        <v>173</v>
      </c>
      <c r="P212">
        <v>0.12585945265568663</v>
      </c>
      <c r="Q212" t="s">
        <v>164</v>
      </c>
    </row>
    <row r="213" spans="9:17" x14ac:dyDescent="0.45">
      <c r="I213" t="s">
        <v>191</v>
      </c>
      <c r="J213" t="s">
        <v>174</v>
      </c>
      <c r="K213">
        <v>0.3365804850507888</v>
      </c>
      <c r="L213" t="s">
        <v>164</v>
      </c>
      <c r="N213" t="s">
        <v>227</v>
      </c>
      <c r="O213" t="s">
        <v>174</v>
      </c>
      <c r="P213">
        <v>0.11742169813563237</v>
      </c>
      <c r="Q213" t="s">
        <v>164</v>
      </c>
    </row>
    <row r="214" spans="9:17" x14ac:dyDescent="0.45">
      <c r="I214" t="s">
        <v>191</v>
      </c>
      <c r="J214" t="s">
        <v>175</v>
      </c>
      <c r="K214">
        <v>0</v>
      </c>
      <c r="L214" t="s">
        <v>164</v>
      </c>
      <c r="N214" t="s">
        <v>227</v>
      </c>
      <c r="O214" t="s">
        <v>175</v>
      </c>
      <c r="P214">
        <v>1.5074452261459393E-2</v>
      </c>
      <c r="Q214" t="s">
        <v>164</v>
      </c>
    </row>
    <row r="215" spans="9:17" x14ac:dyDescent="0.45">
      <c r="I215" t="s">
        <v>192</v>
      </c>
      <c r="J215" t="s">
        <v>163</v>
      </c>
      <c r="K215">
        <v>2.3007470499654493E-4</v>
      </c>
      <c r="L215" t="s">
        <v>164</v>
      </c>
      <c r="N215" t="s">
        <v>228</v>
      </c>
      <c r="O215" t="s">
        <v>163</v>
      </c>
      <c r="P215">
        <v>9.9505558798332658E-2</v>
      </c>
      <c r="Q215" t="s">
        <v>164</v>
      </c>
    </row>
    <row r="216" spans="9:17" x14ac:dyDescent="0.45">
      <c r="I216" t="s">
        <v>192</v>
      </c>
      <c r="J216" t="s">
        <v>165</v>
      </c>
      <c r="K216">
        <v>0.17839672834697382</v>
      </c>
      <c r="L216" t="s">
        <v>164</v>
      </c>
      <c r="N216" t="s">
        <v>228</v>
      </c>
      <c r="O216" t="s">
        <v>165</v>
      </c>
      <c r="P216">
        <v>0.1156331330909868</v>
      </c>
      <c r="Q216" t="s">
        <v>164</v>
      </c>
    </row>
    <row r="217" spans="9:17" x14ac:dyDescent="0.45">
      <c r="I217" t="s">
        <v>192</v>
      </c>
      <c r="J217" t="s">
        <v>166</v>
      </c>
      <c r="K217">
        <v>0</v>
      </c>
      <c r="L217" t="s">
        <v>164</v>
      </c>
      <c r="N217" t="s">
        <v>228</v>
      </c>
      <c r="O217" t="s">
        <v>166</v>
      </c>
      <c r="P217">
        <v>1.4629945219391398E-2</v>
      </c>
      <c r="Q217" t="s">
        <v>164</v>
      </c>
    </row>
    <row r="218" spans="9:17" x14ac:dyDescent="0.45">
      <c r="I218" t="s">
        <v>192</v>
      </c>
      <c r="J218" t="s">
        <v>167</v>
      </c>
      <c r="K218">
        <v>2.729827561706628E-3</v>
      </c>
      <c r="L218" t="s">
        <v>164</v>
      </c>
      <c r="N218" t="s">
        <v>228</v>
      </c>
      <c r="O218" t="s">
        <v>167</v>
      </c>
      <c r="P218">
        <v>4.3763979213334053E-2</v>
      </c>
      <c r="Q218" t="s">
        <v>164</v>
      </c>
    </row>
    <row r="219" spans="9:17" x14ac:dyDescent="0.45">
      <c r="I219" t="s">
        <v>192</v>
      </c>
      <c r="J219" t="s">
        <v>168</v>
      </c>
      <c r="K219">
        <v>9.3585801500862292E-2</v>
      </c>
      <c r="L219" t="s">
        <v>164</v>
      </c>
      <c r="N219" t="s">
        <v>228</v>
      </c>
      <c r="O219" t="s">
        <v>168</v>
      </c>
      <c r="P219">
        <v>4.9248421855120524E-2</v>
      </c>
      <c r="Q219" t="s">
        <v>164</v>
      </c>
    </row>
    <row r="220" spans="9:17" x14ac:dyDescent="0.45">
      <c r="I220" t="s">
        <v>192</v>
      </c>
      <c r="J220" t="s">
        <v>169</v>
      </c>
      <c r="K220">
        <v>0</v>
      </c>
      <c r="L220" t="s">
        <v>164</v>
      </c>
      <c r="N220" t="s">
        <v>228</v>
      </c>
      <c r="O220" t="s">
        <v>169</v>
      </c>
      <c r="P220">
        <v>6.299310857862798E-3</v>
      </c>
      <c r="Q220" t="s">
        <v>164</v>
      </c>
    </row>
    <row r="221" spans="9:17" x14ac:dyDescent="0.45">
      <c r="I221" t="s">
        <v>192</v>
      </c>
      <c r="J221" t="s">
        <v>170</v>
      </c>
      <c r="K221">
        <v>1.3104223054963228E-2</v>
      </c>
      <c r="L221" t="s">
        <v>164</v>
      </c>
      <c r="N221" t="s">
        <v>228</v>
      </c>
      <c r="O221" t="s">
        <v>170</v>
      </c>
      <c r="P221">
        <v>0.16225375432018002</v>
      </c>
      <c r="Q221" t="s">
        <v>164</v>
      </c>
    </row>
    <row r="222" spans="9:17" x14ac:dyDescent="0.45">
      <c r="I222" t="s">
        <v>192</v>
      </c>
      <c r="J222" t="s">
        <v>171</v>
      </c>
      <c r="K222">
        <v>0.35600092301610925</v>
      </c>
      <c r="L222" t="s">
        <v>164</v>
      </c>
      <c r="N222" t="s">
        <v>228</v>
      </c>
      <c r="O222" t="s">
        <v>171</v>
      </c>
      <c r="P222">
        <v>0.15157134823620202</v>
      </c>
      <c r="Q222" t="s">
        <v>164</v>
      </c>
    </row>
    <row r="223" spans="9:17" x14ac:dyDescent="0.45">
      <c r="I223" t="s">
        <v>192</v>
      </c>
      <c r="J223" t="s">
        <v>172</v>
      </c>
      <c r="K223">
        <v>0</v>
      </c>
      <c r="L223" t="s">
        <v>164</v>
      </c>
      <c r="N223" t="s">
        <v>228</v>
      </c>
      <c r="O223" t="s">
        <v>172</v>
      </c>
      <c r="P223">
        <v>2.1469037886801538E-2</v>
      </c>
      <c r="Q223" t="s">
        <v>164</v>
      </c>
    </row>
    <row r="224" spans="9:17" x14ac:dyDescent="0.45">
      <c r="I224" t="s">
        <v>192</v>
      </c>
      <c r="J224" t="s">
        <v>173</v>
      </c>
      <c r="K224">
        <v>1.2983397779430417E-2</v>
      </c>
      <c r="L224" t="s">
        <v>164</v>
      </c>
      <c r="N224" t="s">
        <v>228</v>
      </c>
      <c r="O224" t="s">
        <v>173</v>
      </c>
      <c r="P224">
        <v>0.15068926231022606</v>
      </c>
      <c r="Q224" t="s">
        <v>164</v>
      </c>
    </row>
    <row r="225" spans="9:17" x14ac:dyDescent="0.45">
      <c r="I225" t="s">
        <v>192</v>
      </c>
      <c r="J225" t="s">
        <v>174</v>
      </c>
      <c r="K225">
        <v>0.34296902403495522</v>
      </c>
      <c r="L225" t="s">
        <v>164</v>
      </c>
      <c r="N225" t="s">
        <v>228</v>
      </c>
      <c r="O225" t="s">
        <v>174</v>
      </c>
      <c r="P225">
        <v>0.16289723742872075</v>
      </c>
      <c r="Q225" t="s">
        <v>164</v>
      </c>
    </row>
    <row r="226" spans="9:17" x14ac:dyDescent="0.45">
      <c r="I226" t="s">
        <v>192</v>
      </c>
      <c r="J226" t="s">
        <v>175</v>
      </c>
      <c r="K226">
        <v>0</v>
      </c>
      <c r="L226" t="s">
        <v>164</v>
      </c>
      <c r="N226" t="s">
        <v>228</v>
      </c>
      <c r="O226" t="s">
        <v>175</v>
      </c>
      <c r="P226">
        <v>2.2039010782842653E-2</v>
      </c>
      <c r="Q226" t="s">
        <v>164</v>
      </c>
    </row>
    <row r="227" spans="9:17" x14ac:dyDescent="0.45">
      <c r="I227" t="s">
        <v>193</v>
      </c>
      <c r="J227" t="s">
        <v>163</v>
      </c>
      <c r="K227">
        <v>1.2216370425020004E-2</v>
      </c>
      <c r="L227" t="s">
        <v>164</v>
      </c>
      <c r="N227" t="s">
        <v>229</v>
      </c>
      <c r="O227" t="s">
        <v>163</v>
      </c>
      <c r="P227">
        <v>9.3717763371453752E-2</v>
      </c>
      <c r="Q227" t="s">
        <v>164</v>
      </c>
    </row>
    <row r="228" spans="9:17" x14ac:dyDescent="0.45">
      <c r="I228" t="s">
        <v>193</v>
      </c>
      <c r="J228" t="s">
        <v>165</v>
      </c>
      <c r="K228">
        <v>0.20405901533570744</v>
      </c>
      <c r="L228" t="s">
        <v>164</v>
      </c>
      <c r="N228" t="s">
        <v>229</v>
      </c>
      <c r="O228" t="s">
        <v>165</v>
      </c>
      <c r="P228">
        <v>0.11241319526194621</v>
      </c>
      <c r="Q228" t="s">
        <v>164</v>
      </c>
    </row>
    <row r="229" spans="9:17" x14ac:dyDescent="0.45">
      <c r="I229" t="s">
        <v>193</v>
      </c>
      <c r="J229" t="s">
        <v>166</v>
      </c>
      <c r="K229">
        <v>0</v>
      </c>
      <c r="L229" t="s">
        <v>164</v>
      </c>
      <c r="N229" t="s">
        <v>229</v>
      </c>
      <c r="O229" t="s">
        <v>166</v>
      </c>
      <c r="P229">
        <v>1.4829327274691981E-2</v>
      </c>
      <c r="Q229" t="s">
        <v>164</v>
      </c>
    </row>
    <row r="230" spans="9:17" x14ac:dyDescent="0.45">
      <c r="I230" t="s">
        <v>193</v>
      </c>
      <c r="J230" t="s">
        <v>167</v>
      </c>
      <c r="K230">
        <v>5.6435825294831625E-3</v>
      </c>
      <c r="L230" t="s">
        <v>164</v>
      </c>
      <c r="N230" t="s">
        <v>229</v>
      </c>
      <c r="O230" t="s">
        <v>167</v>
      </c>
      <c r="P230">
        <v>5.0601684975352772E-2</v>
      </c>
      <c r="Q230" t="s">
        <v>164</v>
      </c>
    </row>
    <row r="231" spans="9:17" x14ac:dyDescent="0.45">
      <c r="I231" t="s">
        <v>193</v>
      </c>
      <c r="J231" t="s">
        <v>168</v>
      </c>
      <c r="K231">
        <v>8.472499525978136E-2</v>
      </c>
      <c r="L231" t="s">
        <v>164</v>
      </c>
      <c r="N231" t="s">
        <v>229</v>
      </c>
      <c r="O231" t="s">
        <v>168</v>
      </c>
      <c r="P231">
        <v>5.2183576516194582E-2</v>
      </c>
      <c r="Q231" t="s">
        <v>164</v>
      </c>
    </row>
    <row r="232" spans="9:17" x14ac:dyDescent="0.45">
      <c r="I232" t="s">
        <v>193</v>
      </c>
      <c r="J232" t="s">
        <v>169</v>
      </c>
      <c r="K232">
        <v>0</v>
      </c>
      <c r="L232" t="s">
        <v>164</v>
      </c>
      <c r="N232" t="s">
        <v>229</v>
      </c>
      <c r="O232" t="s">
        <v>169</v>
      </c>
      <c r="P232">
        <v>7.435848630350855E-3</v>
      </c>
      <c r="Q232" t="s">
        <v>164</v>
      </c>
    </row>
    <row r="233" spans="9:17" x14ac:dyDescent="0.45">
      <c r="I233" t="s">
        <v>193</v>
      </c>
      <c r="J233" t="s">
        <v>170</v>
      </c>
      <c r="K233">
        <v>2.5863224553959809E-2</v>
      </c>
      <c r="L233" t="s">
        <v>164</v>
      </c>
      <c r="N233" t="s">
        <v>229</v>
      </c>
      <c r="O233" t="s">
        <v>170</v>
      </c>
      <c r="P233">
        <v>0.17053716293035276</v>
      </c>
      <c r="Q233" t="s">
        <v>164</v>
      </c>
    </row>
    <row r="234" spans="9:17" x14ac:dyDescent="0.45">
      <c r="I234" t="s">
        <v>193</v>
      </c>
      <c r="J234" t="s">
        <v>171</v>
      </c>
      <c r="K234">
        <v>0.3166487725948478</v>
      </c>
      <c r="L234" t="s">
        <v>164</v>
      </c>
      <c r="N234" t="s">
        <v>229</v>
      </c>
      <c r="O234" t="s">
        <v>171</v>
      </c>
      <c r="P234">
        <v>0.16271509585265934</v>
      </c>
      <c r="Q234" t="s">
        <v>164</v>
      </c>
    </row>
    <row r="235" spans="9:17" x14ac:dyDescent="0.45">
      <c r="I235" t="s">
        <v>193</v>
      </c>
      <c r="J235" t="s">
        <v>172</v>
      </c>
      <c r="K235">
        <v>0</v>
      </c>
      <c r="L235" t="s">
        <v>164</v>
      </c>
      <c r="N235" t="s">
        <v>229</v>
      </c>
      <c r="O235" t="s">
        <v>172</v>
      </c>
      <c r="P235">
        <v>1.9253172446197949E-2</v>
      </c>
      <c r="Q235" t="s">
        <v>164</v>
      </c>
    </row>
    <row r="236" spans="9:17" x14ac:dyDescent="0.45">
      <c r="I236" t="s">
        <v>193</v>
      </c>
      <c r="J236" t="s">
        <v>173</v>
      </c>
      <c r="K236">
        <v>3.2746494846656253E-2</v>
      </c>
      <c r="L236" t="s">
        <v>164</v>
      </c>
      <c r="N236" t="s">
        <v>229</v>
      </c>
      <c r="O236" t="s">
        <v>173</v>
      </c>
      <c r="P236">
        <v>0.147622276442645</v>
      </c>
      <c r="Q236" t="s">
        <v>164</v>
      </c>
    </row>
    <row r="237" spans="9:17" x14ac:dyDescent="0.45">
      <c r="I237" t="s">
        <v>193</v>
      </c>
      <c r="J237" t="s">
        <v>174</v>
      </c>
      <c r="K237">
        <v>0.31809754445454314</v>
      </c>
      <c r="L237" t="s">
        <v>164</v>
      </c>
      <c r="N237" t="s">
        <v>229</v>
      </c>
      <c r="O237" t="s">
        <v>174</v>
      </c>
      <c r="P237">
        <v>0.14687860206313921</v>
      </c>
      <c r="Q237" t="s">
        <v>164</v>
      </c>
    </row>
    <row r="238" spans="9:17" x14ac:dyDescent="0.45">
      <c r="I238" t="s">
        <v>193</v>
      </c>
      <c r="J238" t="s">
        <v>175</v>
      </c>
      <c r="K238">
        <v>0</v>
      </c>
      <c r="L238" t="s">
        <v>164</v>
      </c>
      <c r="N238" t="s">
        <v>229</v>
      </c>
      <c r="O238" t="s">
        <v>175</v>
      </c>
      <c r="P238">
        <v>2.181229423501661E-2</v>
      </c>
      <c r="Q238" t="s">
        <v>164</v>
      </c>
    </row>
    <row r="239" spans="9:17" x14ac:dyDescent="0.45">
      <c r="I239" t="s">
        <v>194</v>
      </c>
      <c r="J239" t="s">
        <v>163</v>
      </c>
      <c r="K239">
        <v>1.0720403610901902E-2</v>
      </c>
      <c r="L239" t="s">
        <v>164</v>
      </c>
      <c r="N239" t="s">
        <v>230</v>
      </c>
      <c r="O239" t="s">
        <v>163</v>
      </c>
      <c r="P239">
        <v>0.12296832738869437</v>
      </c>
      <c r="Q239" t="s">
        <v>164</v>
      </c>
    </row>
    <row r="240" spans="9:17" x14ac:dyDescent="0.45">
      <c r="I240" t="s">
        <v>194</v>
      </c>
      <c r="J240" t="s">
        <v>165</v>
      </c>
      <c r="K240">
        <v>0.19502662524052408</v>
      </c>
      <c r="L240" t="s">
        <v>164</v>
      </c>
      <c r="N240" t="s">
        <v>230</v>
      </c>
      <c r="O240" t="s">
        <v>165</v>
      </c>
      <c r="P240">
        <v>0.10404450335601528</v>
      </c>
      <c r="Q240" t="s">
        <v>164</v>
      </c>
    </row>
    <row r="241" spans="9:17" x14ac:dyDescent="0.45">
      <c r="I241" t="s">
        <v>194</v>
      </c>
      <c r="J241" t="s">
        <v>166</v>
      </c>
      <c r="K241">
        <v>0</v>
      </c>
      <c r="L241" t="s">
        <v>164</v>
      </c>
      <c r="N241" t="s">
        <v>230</v>
      </c>
      <c r="O241" t="s">
        <v>166</v>
      </c>
      <c r="P241">
        <v>1.7285477815150354E-2</v>
      </c>
      <c r="Q241" t="s">
        <v>164</v>
      </c>
    </row>
    <row r="242" spans="9:17" x14ac:dyDescent="0.45">
      <c r="I242" t="s">
        <v>194</v>
      </c>
      <c r="J242" t="s">
        <v>167</v>
      </c>
      <c r="K242">
        <v>5.7632512026970575E-3</v>
      </c>
      <c r="L242" t="s">
        <v>164</v>
      </c>
      <c r="N242" t="s">
        <v>230</v>
      </c>
      <c r="O242" t="s">
        <v>167</v>
      </c>
      <c r="P242">
        <v>5.1970571838106203E-2</v>
      </c>
      <c r="Q242" t="s">
        <v>164</v>
      </c>
    </row>
    <row r="243" spans="9:17" x14ac:dyDescent="0.45">
      <c r="I243" t="s">
        <v>194</v>
      </c>
      <c r="J243" t="s">
        <v>168</v>
      </c>
      <c r="K243">
        <v>9.092290261200707E-2</v>
      </c>
      <c r="L243" t="s">
        <v>164</v>
      </c>
      <c r="N243" t="s">
        <v>230</v>
      </c>
      <c r="O243" t="s">
        <v>168</v>
      </c>
      <c r="P243">
        <v>3.5299270134910403E-2</v>
      </c>
      <c r="Q243" t="s">
        <v>164</v>
      </c>
    </row>
    <row r="244" spans="9:17" x14ac:dyDescent="0.45">
      <c r="I244" t="s">
        <v>194</v>
      </c>
      <c r="J244" t="s">
        <v>169</v>
      </c>
      <c r="K244">
        <v>0</v>
      </c>
      <c r="L244" t="s">
        <v>164</v>
      </c>
      <c r="N244" t="s">
        <v>230</v>
      </c>
      <c r="O244" t="s">
        <v>169</v>
      </c>
      <c r="P244">
        <v>5.2514034589023345E-3</v>
      </c>
      <c r="Q244" t="s">
        <v>164</v>
      </c>
    </row>
    <row r="245" spans="9:17" x14ac:dyDescent="0.45">
      <c r="I245" t="s">
        <v>194</v>
      </c>
      <c r="J245" t="s">
        <v>170</v>
      </c>
      <c r="K245">
        <v>2.4830002130572529E-2</v>
      </c>
      <c r="L245" t="s">
        <v>164</v>
      </c>
      <c r="N245" t="s">
        <v>230</v>
      </c>
      <c r="O245" t="s">
        <v>170</v>
      </c>
      <c r="P245">
        <v>0.18397876304059696</v>
      </c>
      <c r="Q245" t="s">
        <v>164</v>
      </c>
    </row>
    <row r="246" spans="9:17" x14ac:dyDescent="0.45">
      <c r="I246" t="s">
        <v>194</v>
      </c>
      <c r="J246" t="s">
        <v>171</v>
      </c>
      <c r="K246">
        <v>0.32143622043278886</v>
      </c>
      <c r="L246" t="s">
        <v>164</v>
      </c>
      <c r="N246" t="s">
        <v>230</v>
      </c>
      <c r="O246" t="s">
        <v>171</v>
      </c>
      <c r="P246">
        <v>0.14304960812603398</v>
      </c>
      <c r="Q246" t="s">
        <v>164</v>
      </c>
    </row>
    <row r="247" spans="9:17" x14ac:dyDescent="0.45">
      <c r="I247" t="s">
        <v>194</v>
      </c>
      <c r="J247" t="s">
        <v>172</v>
      </c>
      <c r="K247">
        <v>0</v>
      </c>
      <c r="L247" t="s">
        <v>164</v>
      </c>
      <c r="N247" t="s">
        <v>230</v>
      </c>
      <c r="O247" t="s">
        <v>172</v>
      </c>
      <c r="P247">
        <v>2.4820932221794864E-2</v>
      </c>
      <c r="Q247" t="s">
        <v>164</v>
      </c>
    </row>
    <row r="248" spans="9:17" x14ac:dyDescent="0.45">
      <c r="I248" t="s">
        <v>194</v>
      </c>
      <c r="J248" t="s">
        <v>173</v>
      </c>
      <c r="K248">
        <v>2.9729509566032049E-2</v>
      </c>
      <c r="L248" t="s">
        <v>164</v>
      </c>
      <c r="N248" t="s">
        <v>230</v>
      </c>
      <c r="O248" t="s">
        <v>173</v>
      </c>
      <c r="P248">
        <v>0.16089889071102292</v>
      </c>
      <c r="Q248" t="s">
        <v>164</v>
      </c>
    </row>
    <row r="249" spans="9:17" x14ac:dyDescent="0.45">
      <c r="I249" t="s">
        <v>194</v>
      </c>
      <c r="J249" t="s">
        <v>174</v>
      </c>
      <c r="K249">
        <v>0.32157108520447619</v>
      </c>
      <c r="L249" t="s">
        <v>164</v>
      </c>
      <c r="N249" t="s">
        <v>230</v>
      </c>
      <c r="O249" t="s">
        <v>174</v>
      </c>
      <c r="P249">
        <v>0.12904323464839024</v>
      </c>
      <c r="Q249" t="s">
        <v>164</v>
      </c>
    </row>
    <row r="250" spans="9:17" x14ac:dyDescent="0.45">
      <c r="I250" t="s">
        <v>194</v>
      </c>
      <c r="J250" t="s">
        <v>175</v>
      </c>
      <c r="K250">
        <v>0</v>
      </c>
      <c r="L250" t="s">
        <v>164</v>
      </c>
      <c r="N250" t="s">
        <v>230</v>
      </c>
      <c r="O250" t="s">
        <v>175</v>
      </c>
      <c r="P250">
        <v>2.1389017260380859E-2</v>
      </c>
      <c r="Q250" t="s">
        <v>164</v>
      </c>
    </row>
    <row r="251" spans="9:17" x14ac:dyDescent="0.45">
      <c r="I251" t="s">
        <v>195</v>
      </c>
      <c r="J251" t="s">
        <v>163</v>
      </c>
      <c r="K251">
        <v>9.3841796909351505E-3</v>
      </c>
      <c r="L251" t="s">
        <v>164</v>
      </c>
      <c r="N251" t="s">
        <v>231</v>
      </c>
      <c r="O251" t="s">
        <v>163</v>
      </c>
      <c r="P251">
        <v>0.1222768846378198</v>
      </c>
      <c r="Q251" t="s">
        <v>164</v>
      </c>
    </row>
    <row r="252" spans="9:17" x14ac:dyDescent="0.45">
      <c r="I252" t="s">
        <v>195</v>
      </c>
      <c r="J252" t="s">
        <v>165</v>
      </c>
      <c r="K252">
        <v>0.20062087919824076</v>
      </c>
      <c r="L252" t="s">
        <v>164</v>
      </c>
      <c r="N252" t="s">
        <v>231</v>
      </c>
      <c r="O252" t="s">
        <v>165</v>
      </c>
      <c r="P252">
        <v>0.11133100332513232</v>
      </c>
      <c r="Q252" t="s">
        <v>164</v>
      </c>
    </row>
    <row r="253" spans="9:17" x14ac:dyDescent="0.45">
      <c r="I253" t="s">
        <v>195</v>
      </c>
      <c r="J253" t="s">
        <v>166</v>
      </c>
      <c r="K253">
        <v>0</v>
      </c>
      <c r="L253" t="s">
        <v>164</v>
      </c>
      <c r="N253" t="s">
        <v>231</v>
      </c>
      <c r="O253" t="s">
        <v>166</v>
      </c>
      <c r="P253">
        <v>1.6867931892404847E-2</v>
      </c>
      <c r="Q253" t="s">
        <v>164</v>
      </c>
    </row>
    <row r="254" spans="9:17" x14ac:dyDescent="0.45">
      <c r="I254" t="s">
        <v>195</v>
      </c>
      <c r="J254" t="s">
        <v>167</v>
      </c>
      <c r="K254">
        <v>4.006518203881395E-3</v>
      </c>
      <c r="L254" t="s">
        <v>164</v>
      </c>
      <c r="N254" t="s">
        <v>231</v>
      </c>
      <c r="O254" t="s">
        <v>167</v>
      </c>
      <c r="P254">
        <v>3.8355693544047227E-2</v>
      </c>
      <c r="Q254" t="s">
        <v>164</v>
      </c>
    </row>
    <row r="255" spans="9:17" x14ac:dyDescent="0.45">
      <c r="I255" t="s">
        <v>195</v>
      </c>
      <c r="J255" t="s">
        <v>168</v>
      </c>
      <c r="K255">
        <v>9.3144233745287366E-2</v>
      </c>
      <c r="L255" t="s">
        <v>164</v>
      </c>
      <c r="N255" t="s">
        <v>231</v>
      </c>
      <c r="O255" t="s">
        <v>168</v>
      </c>
      <c r="P255">
        <v>3.2180230797686928E-2</v>
      </c>
      <c r="Q255" t="s">
        <v>164</v>
      </c>
    </row>
    <row r="256" spans="9:17" x14ac:dyDescent="0.45">
      <c r="I256" t="s">
        <v>195</v>
      </c>
      <c r="J256" t="s">
        <v>169</v>
      </c>
      <c r="K256">
        <v>0</v>
      </c>
      <c r="L256" t="s">
        <v>164</v>
      </c>
      <c r="N256" t="s">
        <v>231</v>
      </c>
      <c r="O256" t="s">
        <v>169</v>
      </c>
      <c r="P256">
        <v>4.0575320738902611E-3</v>
      </c>
      <c r="Q256" t="s">
        <v>164</v>
      </c>
    </row>
    <row r="257" spans="9:17" x14ac:dyDescent="0.45">
      <c r="I257" t="s">
        <v>195</v>
      </c>
      <c r="J257" t="s">
        <v>170</v>
      </c>
      <c r="K257">
        <v>2.0921012547484043E-2</v>
      </c>
      <c r="L257" t="s">
        <v>164</v>
      </c>
      <c r="N257" t="s">
        <v>231</v>
      </c>
      <c r="O257" t="s">
        <v>170</v>
      </c>
      <c r="P257">
        <v>0.20721239301778344</v>
      </c>
      <c r="Q257" t="s">
        <v>164</v>
      </c>
    </row>
    <row r="258" spans="9:17" x14ac:dyDescent="0.45">
      <c r="I258" t="s">
        <v>195</v>
      </c>
      <c r="J258" t="s">
        <v>171</v>
      </c>
      <c r="K258">
        <v>0.32245140167203684</v>
      </c>
      <c r="L258" t="s">
        <v>164</v>
      </c>
      <c r="N258" t="s">
        <v>231</v>
      </c>
      <c r="O258" t="s">
        <v>171</v>
      </c>
      <c r="P258">
        <v>0.16193180641050103</v>
      </c>
      <c r="Q258" t="s">
        <v>164</v>
      </c>
    </row>
    <row r="259" spans="9:17" x14ac:dyDescent="0.45">
      <c r="I259" t="s">
        <v>195</v>
      </c>
      <c r="J259" t="s">
        <v>172</v>
      </c>
      <c r="K259">
        <v>0</v>
      </c>
      <c r="L259" t="s">
        <v>164</v>
      </c>
      <c r="N259" t="s">
        <v>231</v>
      </c>
      <c r="O259" t="s">
        <v>172</v>
      </c>
      <c r="P259">
        <v>3.0325972307680138E-2</v>
      </c>
      <c r="Q259" t="s">
        <v>164</v>
      </c>
    </row>
    <row r="260" spans="9:17" x14ac:dyDescent="0.45">
      <c r="I260" t="s">
        <v>195</v>
      </c>
      <c r="J260" t="s">
        <v>173</v>
      </c>
      <c r="K260">
        <v>2.230453850484761E-2</v>
      </c>
      <c r="L260" t="s">
        <v>164</v>
      </c>
      <c r="N260" t="s">
        <v>231</v>
      </c>
      <c r="O260" t="s">
        <v>173</v>
      </c>
      <c r="P260">
        <v>0.14279587325741694</v>
      </c>
      <c r="Q260" t="s">
        <v>164</v>
      </c>
    </row>
    <row r="261" spans="9:17" x14ac:dyDescent="0.45">
      <c r="I261" t="s">
        <v>195</v>
      </c>
      <c r="J261" t="s">
        <v>174</v>
      </c>
      <c r="K261">
        <v>0.32716723643728229</v>
      </c>
      <c r="L261" t="s">
        <v>164</v>
      </c>
      <c r="N261" t="s">
        <v>231</v>
      </c>
      <c r="O261" t="s">
        <v>174</v>
      </c>
      <c r="P261">
        <v>0.11482207965205937</v>
      </c>
      <c r="Q261" t="s">
        <v>164</v>
      </c>
    </row>
    <row r="262" spans="9:17" x14ac:dyDescent="0.45">
      <c r="I262" t="s">
        <v>195</v>
      </c>
      <c r="J262" t="s">
        <v>175</v>
      </c>
      <c r="K262">
        <v>0</v>
      </c>
      <c r="L262" t="s">
        <v>164</v>
      </c>
      <c r="N262" t="s">
        <v>231</v>
      </c>
      <c r="O262" t="s">
        <v>175</v>
      </c>
      <c r="P262">
        <v>1.7842599083578038E-2</v>
      </c>
      <c r="Q262" t="s">
        <v>164</v>
      </c>
    </row>
    <row r="263" spans="9:17" x14ac:dyDescent="0.45">
      <c r="I263" t="s">
        <v>196</v>
      </c>
      <c r="J263" t="s">
        <v>163</v>
      </c>
      <c r="K263">
        <v>8.2316284440025443E-3</v>
      </c>
      <c r="L263" t="s">
        <v>164</v>
      </c>
      <c r="N263" t="s">
        <v>232</v>
      </c>
      <c r="O263" t="s">
        <v>163</v>
      </c>
      <c r="P263">
        <v>0.10921273823814114</v>
      </c>
      <c r="Q263" t="s">
        <v>164</v>
      </c>
    </row>
    <row r="264" spans="9:17" x14ac:dyDescent="0.45">
      <c r="I264" t="s">
        <v>196</v>
      </c>
      <c r="J264" t="s">
        <v>165</v>
      </c>
      <c r="K264">
        <v>0.19397928849313834</v>
      </c>
      <c r="L264" t="s">
        <v>164</v>
      </c>
      <c r="N264" t="s">
        <v>232</v>
      </c>
      <c r="O264" t="s">
        <v>165</v>
      </c>
      <c r="P264">
        <v>9.523412764820062E-2</v>
      </c>
      <c r="Q264" t="s">
        <v>164</v>
      </c>
    </row>
    <row r="265" spans="9:17" x14ac:dyDescent="0.45">
      <c r="I265" t="s">
        <v>196</v>
      </c>
      <c r="J265" t="s">
        <v>166</v>
      </c>
      <c r="K265">
        <v>0</v>
      </c>
      <c r="L265" t="s">
        <v>164</v>
      </c>
      <c r="N265" t="s">
        <v>232</v>
      </c>
      <c r="O265" t="s">
        <v>166</v>
      </c>
      <c r="P265">
        <v>1.4860524456835066E-2</v>
      </c>
      <c r="Q265" t="s">
        <v>164</v>
      </c>
    </row>
    <row r="266" spans="9:17" x14ac:dyDescent="0.45">
      <c r="I266" t="s">
        <v>196</v>
      </c>
      <c r="J266" t="s">
        <v>167</v>
      </c>
      <c r="K266">
        <v>3.6426632548748786E-3</v>
      </c>
      <c r="L266" t="s">
        <v>164</v>
      </c>
      <c r="N266" t="s">
        <v>232</v>
      </c>
      <c r="O266" t="s">
        <v>167</v>
      </c>
      <c r="P266">
        <v>4.2914419573886968E-2</v>
      </c>
      <c r="Q266" t="s">
        <v>164</v>
      </c>
    </row>
    <row r="267" spans="9:17" x14ac:dyDescent="0.45">
      <c r="I267" t="s">
        <v>196</v>
      </c>
      <c r="J267" t="s">
        <v>168</v>
      </c>
      <c r="K267">
        <v>9.4866398094927668E-2</v>
      </c>
      <c r="L267" t="s">
        <v>164</v>
      </c>
      <c r="N267" t="s">
        <v>232</v>
      </c>
      <c r="O267" t="s">
        <v>168</v>
      </c>
      <c r="P267">
        <v>3.5300011754119238E-2</v>
      </c>
      <c r="Q267" t="s">
        <v>164</v>
      </c>
    </row>
    <row r="268" spans="9:17" x14ac:dyDescent="0.45">
      <c r="I268" t="s">
        <v>196</v>
      </c>
      <c r="J268" t="s">
        <v>169</v>
      </c>
      <c r="K268">
        <v>0</v>
      </c>
      <c r="L268" t="s">
        <v>164</v>
      </c>
      <c r="N268" t="s">
        <v>232</v>
      </c>
      <c r="O268" t="s">
        <v>169</v>
      </c>
      <c r="P268">
        <v>4.7335652547584924E-3</v>
      </c>
      <c r="Q268" t="s">
        <v>164</v>
      </c>
    </row>
    <row r="269" spans="9:17" x14ac:dyDescent="0.45">
      <c r="I269" t="s">
        <v>196</v>
      </c>
      <c r="J269" t="s">
        <v>170</v>
      </c>
      <c r="K269">
        <v>1.9403397135798525E-2</v>
      </c>
      <c r="L269" t="s">
        <v>164</v>
      </c>
      <c r="N269" t="s">
        <v>232</v>
      </c>
      <c r="O269" t="s">
        <v>170</v>
      </c>
      <c r="P269">
        <v>0.19982179756159626</v>
      </c>
      <c r="Q269" t="s">
        <v>164</v>
      </c>
    </row>
    <row r="270" spans="9:17" x14ac:dyDescent="0.45">
      <c r="I270" t="s">
        <v>196</v>
      </c>
      <c r="J270" t="s">
        <v>171</v>
      </c>
      <c r="K270">
        <v>0.32941679416690367</v>
      </c>
      <c r="L270" t="s">
        <v>164</v>
      </c>
      <c r="N270" t="s">
        <v>232</v>
      </c>
      <c r="O270" t="s">
        <v>171</v>
      </c>
      <c r="P270">
        <v>0.15095736272987467</v>
      </c>
      <c r="Q270" t="s">
        <v>164</v>
      </c>
    </row>
    <row r="271" spans="9:17" x14ac:dyDescent="0.45">
      <c r="I271" t="s">
        <v>196</v>
      </c>
      <c r="J271" t="s">
        <v>172</v>
      </c>
      <c r="K271">
        <v>0</v>
      </c>
      <c r="L271" t="s">
        <v>164</v>
      </c>
      <c r="N271" t="s">
        <v>232</v>
      </c>
      <c r="O271" t="s">
        <v>172</v>
      </c>
      <c r="P271">
        <v>2.4576894149270667E-2</v>
      </c>
      <c r="Q271" t="s">
        <v>164</v>
      </c>
    </row>
    <row r="272" spans="9:17" x14ac:dyDescent="0.45">
      <c r="I272" t="s">
        <v>196</v>
      </c>
      <c r="J272" t="s">
        <v>173</v>
      </c>
      <c r="K272">
        <v>2.1795096746507127E-2</v>
      </c>
      <c r="L272" t="s">
        <v>164</v>
      </c>
      <c r="N272" t="s">
        <v>232</v>
      </c>
      <c r="O272" t="s">
        <v>173</v>
      </c>
      <c r="P272">
        <v>0.16582897338845842</v>
      </c>
      <c r="Q272" t="s">
        <v>164</v>
      </c>
    </row>
    <row r="273" spans="9:17" x14ac:dyDescent="0.45">
      <c r="I273" t="s">
        <v>196</v>
      </c>
      <c r="J273" t="s">
        <v>174</v>
      </c>
      <c r="K273">
        <v>0.3286647336638453</v>
      </c>
      <c r="L273" t="s">
        <v>164</v>
      </c>
      <c r="N273" t="s">
        <v>232</v>
      </c>
      <c r="O273" t="s">
        <v>174</v>
      </c>
      <c r="P273">
        <v>0.13465290718171682</v>
      </c>
      <c r="Q273" t="s">
        <v>164</v>
      </c>
    </row>
    <row r="274" spans="9:17" x14ac:dyDescent="0.45">
      <c r="I274" t="s">
        <v>196</v>
      </c>
      <c r="J274" t="s">
        <v>175</v>
      </c>
      <c r="K274">
        <v>0</v>
      </c>
      <c r="L274" t="s">
        <v>164</v>
      </c>
      <c r="N274" t="s">
        <v>232</v>
      </c>
      <c r="O274" t="s">
        <v>175</v>
      </c>
      <c r="P274">
        <v>2.1906678063143954E-2</v>
      </c>
      <c r="Q274" t="s">
        <v>164</v>
      </c>
    </row>
    <row r="275" spans="9:17" x14ac:dyDescent="0.45">
      <c r="I275" t="s">
        <v>197</v>
      </c>
      <c r="J275" t="s">
        <v>163</v>
      </c>
      <c r="K275">
        <v>6.8442447769878345E-3</v>
      </c>
      <c r="L275" t="s">
        <v>164</v>
      </c>
      <c r="N275" t="s">
        <v>233</v>
      </c>
      <c r="O275" t="s">
        <v>163</v>
      </c>
      <c r="P275">
        <v>0.13058484352124891</v>
      </c>
      <c r="Q275" t="s">
        <v>164</v>
      </c>
    </row>
    <row r="276" spans="9:17" x14ac:dyDescent="0.45">
      <c r="I276" t="s">
        <v>197</v>
      </c>
      <c r="J276" t="s">
        <v>165</v>
      </c>
      <c r="K276">
        <v>0.19910967329346527</v>
      </c>
      <c r="L276" t="s">
        <v>164</v>
      </c>
      <c r="N276" t="s">
        <v>233</v>
      </c>
      <c r="O276" t="s">
        <v>165</v>
      </c>
      <c r="P276">
        <v>0.11025671370975507</v>
      </c>
      <c r="Q276" t="s">
        <v>164</v>
      </c>
    </row>
    <row r="277" spans="9:17" x14ac:dyDescent="0.45">
      <c r="I277" t="s">
        <v>197</v>
      </c>
      <c r="J277" t="s">
        <v>166</v>
      </c>
      <c r="K277">
        <v>0</v>
      </c>
      <c r="L277" t="s">
        <v>164</v>
      </c>
      <c r="N277" t="s">
        <v>233</v>
      </c>
      <c r="O277" t="s">
        <v>166</v>
      </c>
      <c r="P277">
        <v>1.4010435671950457E-2</v>
      </c>
      <c r="Q277" t="s">
        <v>164</v>
      </c>
    </row>
    <row r="278" spans="9:17" x14ac:dyDescent="0.45">
      <c r="I278" t="s">
        <v>197</v>
      </c>
      <c r="J278" t="s">
        <v>167</v>
      </c>
      <c r="K278">
        <v>2.7519689262499518E-3</v>
      </c>
      <c r="L278" t="s">
        <v>164</v>
      </c>
      <c r="N278" t="s">
        <v>233</v>
      </c>
      <c r="O278" t="s">
        <v>167</v>
      </c>
      <c r="P278">
        <v>3.9679999312532535E-2</v>
      </c>
      <c r="Q278" t="s">
        <v>164</v>
      </c>
    </row>
    <row r="279" spans="9:17" x14ac:dyDescent="0.45">
      <c r="I279" t="s">
        <v>197</v>
      </c>
      <c r="J279" t="s">
        <v>168</v>
      </c>
      <c r="K279">
        <v>9.5646221160121406E-2</v>
      </c>
      <c r="L279" t="s">
        <v>164</v>
      </c>
      <c r="N279" t="s">
        <v>233</v>
      </c>
      <c r="O279" t="s">
        <v>168</v>
      </c>
      <c r="P279">
        <v>3.1162353736999233E-2</v>
      </c>
      <c r="Q279" t="s">
        <v>164</v>
      </c>
    </row>
    <row r="280" spans="9:17" x14ac:dyDescent="0.45">
      <c r="I280" t="s">
        <v>197</v>
      </c>
      <c r="J280" t="s">
        <v>169</v>
      </c>
      <c r="K280">
        <v>0</v>
      </c>
      <c r="L280" t="s">
        <v>164</v>
      </c>
      <c r="N280" t="s">
        <v>233</v>
      </c>
      <c r="O280" t="s">
        <v>169</v>
      </c>
      <c r="P280">
        <v>3.2280958389872593E-3</v>
      </c>
      <c r="Q280" t="s">
        <v>164</v>
      </c>
    </row>
    <row r="281" spans="9:17" x14ac:dyDescent="0.45">
      <c r="I281" t="s">
        <v>197</v>
      </c>
      <c r="J281" t="s">
        <v>170</v>
      </c>
      <c r="K281">
        <v>1.5848735702455451E-2</v>
      </c>
      <c r="L281" t="s">
        <v>164</v>
      </c>
      <c r="N281" t="s">
        <v>233</v>
      </c>
      <c r="O281" t="s">
        <v>170</v>
      </c>
      <c r="P281">
        <v>0.19409450176239243</v>
      </c>
      <c r="Q281" t="s">
        <v>164</v>
      </c>
    </row>
    <row r="282" spans="9:17" x14ac:dyDescent="0.45">
      <c r="I282" t="s">
        <v>197</v>
      </c>
      <c r="J282" t="s">
        <v>171</v>
      </c>
      <c r="K282">
        <v>0.34011531309533316</v>
      </c>
      <c r="L282" t="s">
        <v>164</v>
      </c>
      <c r="N282" t="s">
        <v>233</v>
      </c>
      <c r="O282" t="s">
        <v>171</v>
      </c>
      <c r="P282">
        <v>0.14663142503255785</v>
      </c>
      <c r="Q282" t="s">
        <v>164</v>
      </c>
    </row>
    <row r="283" spans="9:17" x14ac:dyDescent="0.45">
      <c r="I283" t="s">
        <v>197</v>
      </c>
      <c r="J283" t="s">
        <v>172</v>
      </c>
      <c r="K283">
        <v>0</v>
      </c>
      <c r="L283" t="s">
        <v>164</v>
      </c>
      <c r="N283" t="s">
        <v>233</v>
      </c>
      <c r="O283" t="s">
        <v>172</v>
      </c>
      <c r="P283">
        <v>2.4246859806953253E-2</v>
      </c>
      <c r="Q283" t="s">
        <v>164</v>
      </c>
    </row>
    <row r="284" spans="9:17" x14ac:dyDescent="0.45">
      <c r="I284" t="s">
        <v>197</v>
      </c>
      <c r="J284" t="s">
        <v>173</v>
      </c>
      <c r="K284">
        <v>1.4286879890681368E-2</v>
      </c>
      <c r="L284" t="s">
        <v>164</v>
      </c>
      <c r="N284" t="s">
        <v>233</v>
      </c>
      <c r="O284" t="s">
        <v>173</v>
      </c>
      <c r="P284">
        <v>0.15792468321864533</v>
      </c>
      <c r="Q284" t="s">
        <v>164</v>
      </c>
    </row>
    <row r="285" spans="9:17" x14ac:dyDescent="0.45">
      <c r="I285" t="s">
        <v>197</v>
      </c>
      <c r="J285" t="s">
        <v>174</v>
      </c>
      <c r="K285">
        <v>0.32539696315470257</v>
      </c>
      <c r="L285" t="s">
        <v>164</v>
      </c>
      <c r="N285" t="s">
        <v>233</v>
      </c>
      <c r="O285" t="s">
        <v>174</v>
      </c>
      <c r="P285">
        <v>0.13073446948357678</v>
      </c>
      <c r="Q285" t="s">
        <v>164</v>
      </c>
    </row>
    <row r="286" spans="9:17" x14ac:dyDescent="0.45">
      <c r="I286" t="s">
        <v>197</v>
      </c>
      <c r="J286" t="s">
        <v>175</v>
      </c>
      <c r="K286">
        <v>0</v>
      </c>
      <c r="L286" t="s">
        <v>164</v>
      </c>
      <c r="N286" t="s">
        <v>233</v>
      </c>
      <c r="O286" t="s">
        <v>175</v>
      </c>
      <c r="P286">
        <v>1.7445618904401963E-2</v>
      </c>
      <c r="Q286" t="s">
        <v>164</v>
      </c>
    </row>
    <row r="287" spans="9:17" x14ac:dyDescent="0.45">
      <c r="I287" t="s">
        <v>198</v>
      </c>
      <c r="J287" t="s">
        <v>163</v>
      </c>
      <c r="K287">
        <v>1.0221592733527889E-2</v>
      </c>
      <c r="L287" t="s">
        <v>164</v>
      </c>
      <c r="N287" t="s">
        <v>234</v>
      </c>
      <c r="O287" t="s">
        <v>163</v>
      </c>
      <c r="P287">
        <v>6.655477996442348E-2</v>
      </c>
      <c r="Q287" t="s">
        <v>164</v>
      </c>
    </row>
    <row r="288" spans="9:17" x14ac:dyDescent="0.45">
      <c r="I288" t="s">
        <v>198</v>
      </c>
      <c r="J288" t="s">
        <v>165</v>
      </c>
      <c r="K288">
        <v>0.1866635385245162</v>
      </c>
      <c r="L288" t="s">
        <v>164</v>
      </c>
      <c r="N288" t="s">
        <v>234</v>
      </c>
      <c r="O288" t="s">
        <v>165</v>
      </c>
      <c r="P288">
        <v>7.4241742604243349E-2</v>
      </c>
      <c r="Q288" t="s">
        <v>164</v>
      </c>
    </row>
    <row r="289" spans="9:17" x14ac:dyDescent="0.45">
      <c r="I289" t="s">
        <v>198</v>
      </c>
      <c r="J289" t="s">
        <v>166</v>
      </c>
      <c r="K289">
        <v>0</v>
      </c>
      <c r="L289" t="s">
        <v>164</v>
      </c>
      <c r="N289" t="s">
        <v>234</v>
      </c>
      <c r="O289" t="s">
        <v>166</v>
      </c>
      <c r="P289">
        <v>9.0910329442205236E-3</v>
      </c>
      <c r="Q289" t="s">
        <v>164</v>
      </c>
    </row>
    <row r="290" spans="9:17" x14ac:dyDescent="0.45">
      <c r="I290" t="s">
        <v>198</v>
      </c>
      <c r="J290" t="s">
        <v>167</v>
      </c>
      <c r="K290">
        <v>6.3709627364469659E-3</v>
      </c>
      <c r="L290" t="s">
        <v>164</v>
      </c>
      <c r="N290" t="s">
        <v>234</v>
      </c>
      <c r="O290" t="s">
        <v>167</v>
      </c>
      <c r="P290">
        <v>3.21306283005681E-2</v>
      </c>
      <c r="Q290" t="s">
        <v>164</v>
      </c>
    </row>
    <row r="291" spans="9:17" x14ac:dyDescent="0.45">
      <c r="I291" t="s">
        <v>198</v>
      </c>
      <c r="J291" t="s">
        <v>168</v>
      </c>
      <c r="K291">
        <v>9.1735377481457173E-2</v>
      </c>
      <c r="L291" t="s">
        <v>164</v>
      </c>
      <c r="N291" t="s">
        <v>234</v>
      </c>
      <c r="O291" t="s">
        <v>168</v>
      </c>
      <c r="P291">
        <v>3.1995351148347381E-2</v>
      </c>
      <c r="Q291" t="s">
        <v>164</v>
      </c>
    </row>
    <row r="292" spans="9:17" x14ac:dyDescent="0.45">
      <c r="I292" t="s">
        <v>198</v>
      </c>
      <c r="J292" t="s">
        <v>169</v>
      </c>
      <c r="K292">
        <v>0</v>
      </c>
      <c r="L292" t="s">
        <v>164</v>
      </c>
      <c r="N292" t="s">
        <v>234</v>
      </c>
      <c r="O292" t="s">
        <v>169</v>
      </c>
      <c r="P292">
        <v>2.8016000037154932E-3</v>
      </c>
      <c r="Q292" t="s">
        <v>164</v>
      </c>
    </row>
    <row r="293" spans="9:17" x14ac:dyDescent="0.45">
      <c r="I293" t="s">
        <v>198</v>
      </c>
      <c r="J293" t="s">
        <v>170</v>
      </c>
      <c r="K293">
        <v>2.578345781064962E-2</v>
      </c>
      <c r="L293" t="s">
        <v>164</v>
      </c>
      <c r="N293" t="s">
        <v>234</v>
      </c>
      <c r="O293" t="s">
        <v>170</v>
      </c>
      <c r="P293">
        <v>0.31910116709531838</v>
      </c>
      <c r="Q293" t="s">
        <v>164</v>
      </c>
    </row>
    <row r="294" spans="9:17" x14ac:dyDescent="0.45">
      <c r="I294" t="s">
        <v>198</v>
      </c>
      <c r="J294" t="s">
        <v>171</v>
      </c>
      <c r="K294">
        <v>0.32442811745365502</v>
      </c>
      <c r="L294" t="s">
        <v>164</v>
      </c>
      <c r="N294" t="s">
        <v>234</v>
      </c>
      <c r="O294" t="s">
        <v>171</v>
      </c>
      <c r="P294">
        <v>0.20980249571119633</v>
      </c>
      <c r="Q294" t="s">
        <v>164</v>
      </c>
    </row>
    <row r="295" spans="9:17" x14ac:dyDescent="0.45">
      <c r="I295" t="s">
        <v>198</v>
      </c>
      <c r="J295" t="s">
        <v>172</v>
      </c>
      <c r="K295">
        <v>0</v>
      </c>
      <c r="L295" t="s">
        <v>164</v>
      </c>
      <c r="N295" t="s">
        <v>234</v>
      </c>
      <c r="O295" t="s">
        <v>172</v>
      </c>
      <c r="P295">
        <v>3.3517983513951133E-2</v>
      </c>
      <c r="Q295" t="s">
        <v>164</v>
      </c>
    </row>
    <row r="296" spans="9:17" x14ac:dyDescent="0.45">
      <c r="I296" t="s">
        <v>198</v>
      </c>
      <c r="J296" t="s">
        <v>173</v>
      </c>
      <c r="K296">
        <v>3.116127038166586E-2</v>
      </c>
      <c r="L296" t="s">
        <v>164</v>
      </c>
      <c r="N296" t="s">
        <v>234</v>
      </c>
      <c r="O296" t="s">
        <v>173</v>
      </c>
      <c r="P296">
        <v>0.10199798958908589</v>
      </c>
      <c r="Q296" t="s">
        <v>164</v>
      </c>
    </row>
    <row r="297" spans="9:17" x14ac:dyDescent="0.45">
      <c r="I297" t="s">
        <v>198</v>
      </c>
      <c r="J297" t="s">
        <v>174</v>
      </c>
      <c r="K297">
        <v>0.32363568287808048</v>
      </c>
      <c r="L297" t="s">
        <v>164</v>
      </c>
      <c r="N297" t="s">
        <v>234</v>
      </c>
      <c r="O297" t="s">
        <v>174</v>
      </c>
      <c r="P297">
        <v>0.10752328805617702</v>
      </c>
      <c r="Q297" t="s">
        <v>164</v>
      </c>
    </row>
    <row r="298" spans="9:17" x14ac:dyDescent="0.45">
      <c r="I298" t="s">
        <v>198</v>
      </c>
      <c r="J298" t="s">
        <v>175</v>
      </c>
      <c r="K298">
        <v>0</v>
      </c>
      <c r="L298" t="s">
        <v>164</v>
      </c>
      <c r="N298" t="s">
        <v>234</v>
      </c>
      <c r="O298" t="s">
        <v>175</v>
      </c>
      <c r="P298">
        <v>1.1241941068751857E-2</v>
      </c>
      <c r="Q298" t="s">
        <v>164</v>
      </c>
    </row>
    <row r="299" spans="9:17" x14ac:dyDescent="0.45">
      <c r="I299" t="s">
        <v>199</v>
      </c>
      <c r="J299" t="s">
        <v>163</v>
      </c>
      <c r="K299">
        <v>8.3289831036811434E-3</v>
      </c>
      <c r="L299" t="s">
        <v>164</v>
      </c>
      <c r="N299" t="s">
        <v>235</v>
      </c>
      <c r="O299" t="s">
        <v>163</v>
      </c>
      <c r="P299">
        <v>9.7262107503159501E-2</v>
      </c>
      <c r="Q299" t="s">
        <v>164</v>
      </c>
    </row>
    <row r="300" spans="9:17" x14ac:dyDescent="0.45">
      <c r="I300" t="s">
        <v>199</v>
      </c>
      <c r="J300" t="s">
        <v>165</v>
      </c>
      <c r="K300">
        <v>0.19201552635396291</v>
      </c>
      <c r="L300" t="s">
        <v>164</v>
      </c>
      <c r="N300" t="s">
        <v>235</v>
      </c>
      <c r="O300" t="s">
        <v>165</v>
      </c>
      <c r="P300">
        <v>8.3775590220416474E-2</v>
      </c>
      <c r="Q300" t="s">
        <v>164</v>
      </c>
    </row>
    <row r="301" spans="9:17" x14ac:dyDescent="0.45">
      <c r="I301" t="s">
        <v>199</v>
      </c>
      <c r="J301" t="s">
        <v>166</v>
      </c>
      <c r="K301">
        <v>0</v>
      </c>
      <c r="L301" t="s">
        <v>164</v>
      </c>
      <c r="N301" t="s">
        <v>235</v>
      </c>
      <c r="O301" t="s">
        <v>166</v>
      </c>
      <c r="P301">
        <v>1.235412453351043E-2</v>
      </c>
      <c r="Q301" t="s">
        <v>164</v>
      </c>
    </row>
    <row r="302" spans="9:17" x14ac:dyDescent="0.45">
      <c r="I302" t="s">
        <v>199</v>
      </c>
      <c r="J302" t="s">
        <v>167</v>
      </c>
      <c r="K302">
        <v>4.2713941990080388E-3</v>
      </c>
      <c r="L302" t="s">
        <v>164</v>
      </c>
      <c r="N302" t="s">
        <v>235</v>
      </c>
      <c r="O302" t="s">
        <v>167</v>
      </c>
      <c r="P302">
        <v>3.3028971810491442E-2</v>
      </c>
      <c r="Q302" t="s">
        <v>164</v>
      </c>
    </row>
    <row r="303" spans="9:17" x14ac:dyDescent="0.45">
      <c r="I303" t="s">
        <v>199</v>
      </c>
      <c r="J303" t="s">
        <v>168</v>
      </c>
      <c r="K303">
        <v>9.6634178711591676E-2</v>
      </c>
      <c r="L303" t="s">
        <v>164</v>
      </c>
      <c r="N303" t="s">
        <v>235</v>
      </c>
      <c r="O303" t="s">
        <v>168</v>
      </c>
      <c r="P303">
        <v>2.5410743250508815E-2</v>
      </c>
      <c r="Q303" t="s">
        <v>164</v>
      </c>
    </row>
    <row r="304" spans="9:17" x14ac:dyDescent="0.45">
      <c r="I304" t="s">
        <v>199</v>
      </c>
      <c r="J304" t="s">
        <v>169</v>
      </c>
      <c r="K304">
        <v>0</v>
      </c>
      <c r="L304" t="s">
        <v>164</v>
      </c>
      <c r="N304" t="s">
        <v>235</v>
      </c>
      <c r="O304" t="s">
        <v>169</v>
      </c>
      <c r="P304">
        <v>3.059214624259387E-3</v>
      </c>
      <c r="Q304" t="s">
        <v>164</v>
      </c>
    </row>
    <row r="305" spans="9:17" x14ac:dyDescent="0.45">
      <c r="I305" t="s">
        <v>199</v>
      </c>
      <c r="J305" t="s">
        <v>170</v>
      </c>
      <c r="K305">
        <v>1.9813528441633883E-2</v>
      </c>
      <c r="L305" t="s">
        <v>164</v>
      </c>
      <c r="N305" t="s">
        <v>235</v>
      </c>
      <c r="O305" t="s">
        <v>170</v>
      </c>
      <c r="P305">
        <v>0.26170762226094829</v>
      </c>
      <c r="Q305" t="s">
        <v>164</v>
      </c>
    </row>
    <row r="306" spans="9:17" x14ac:dyDescent="0.45">
      <c r="I306" t="s">
        <v>199</v>
      </c>
      <c r="J306" t="s">
        <v>171</v>
      </c>
      <c r="K306">
        <v>0.31584499915871145</v>
      </c>
      <c r="L306" t="s">
        <v>164</v>
      </c>
      <c r="N306" t="s">
        <v>235</v>
      </c>
      <c r="O306" t="s">
        <v>171</v>
      </c>
      <c r="P306">
        <v>0.19255105639014045</v>
      </c>
      <c r="Q306" t="s">
        <v>164</v>
      </c>
    </row>
    <row r="307" spans="9:17" x14ac:dyDescent="0.45">
      <c r="I307" t="s">
        <v>199</v>
      </c>
      <c r="J307" t="s">
        <v>172</v>
      </c>
      <c r="K307">
        <v>0</v>
      </c>
      <c r="L307" t="s">
        <v>164</v>
      </c>
      <c r="N307" t="s">
        <v>235</v>
      </c>
      <c r="O307" t="s">
        <v>172</v>
      </c>
      <c r="P307">
        <v>3.0189268645722814E-2</v>
      </c>
      <c r="Q307" t="s">
        <v>164</v>
      </c>
    </row>
    <row r="308" spans="9:17" x14ac:dyDescent="0.45">
      <c r="I308" t="s">
        <v>199</v>
      </c>
      <c r="J308" t="s">
        <v>173</v>
      </c>
      <c r="K308">
        <v>2.5842416822046164E-2</v>
      </c>
      <c r="L308" t="s">
        <v>164</v>
      </c>
      <c r="N308" t="s">
        <v>235</v>
      </c>
      <c r="O308" t="s">
        <v>173</v>
      </c>
      <c r="P308">
        <v>0.1330342472240586</v>
      </c>
      <c r="Q308" t="s">
        <v>164</v>
      </c>
    </row>
    <row r="309" spans="9:17" x14ac:dyDescent="0.45">
      <c r="I309" t="s">
        <v>199</v>
      </c>
      <c r="J309" t="s">
        <v>174</v>
      </c>
      <c r="K309">
        <v>0.33724897320936492</v>
      </c>
      <c r="L309" t="s">
        <v>164</v>
      </c>
      <c r="N309" t="s">
        <v>235</v>
      </c>
      <c r="O309" t="s">
        <v>174</v>
      </c>
      <c r="P309">
        <v>0.11181331848822014</v>
      </c>
      <c r="Q309" t="s">
        <v>164</v>
      </c>
    </row>
    <row r="310" spans="9:17" x14ac:dyDescent="0.45">
      <c r="I310" t="s">
        <v>199</v>
      </c>
      <c r="J310" t="s">
        <v>175</v>
      </c>
      <c r="K310">
        <v>0</v>
      </c>
      <c r="L310" t="s">
        <v>164</v>
      </c>
      <c r="N310" t="s">
        <v>235</v>
      </c>
      <c r="O310" t="s">
        <v>175</v>
      </c>
      <c r="P310">
        <v>1.5813735048568398E-2</v>
      </c>
      <c r="Q310" t="s">
        <v>164</v>
      </c>
    </row>
    <row r="311" spans="9:17" x14ac:dyDescent="0.45">
      <c r="I311" t="s">
        <v>200</v>
      </c>
      <c r="J311" t="s">
        <v>163</v>
      </c>
      <c r="K311">
        <v>9.4782464836889874E-3</v>
      </c>
      <c r="L311" t="s">
        <v>164</v>
      </c>
      <c r="N311" t="s">
        <v>236</v>
      </c>
      <c r="O311" t="s">
        <v>163</v>
      </c>
      <c r="P311">
        <v>0.14045583279163237</v>
      </c>
      <c r="Q311" t="s">
        <v>164</v>
      </c>
    </row>
    <row r="312" spans="9:17" x14ac:dyDescent="0.45">
      <c r="I312" t="s">
        <v>200</v>
      </c>
      <c r="J312" t="s">
        <v>165</v>
      </c>
      <c r="K312">
        <v>0.19323998987587468</v>
      </c>
      <c r="L312" t="s">
        <v>164</v>
      </c>
      <c r="N312" t="s">
        <v>236</v>
      </c>
      <c r="O312" t="s">
        <v>165</v>
      </c>
      <c r="P312">
        <v>0.12263225849654893</v>
      </c>
      <c r="Q312" t="s">
        <v>164</v>
      </c>
    </row>
    <row r="313" spans="9:17" x14ac:dyDescent="0.45">
      <c r="I313" t="s">
        <v>200</v>
      </c>
      <c r="J313" t="s">
        <v>166</v>
      </c>
      <c r="K313">
        <v>0</v>
      </c>
      <c r="L313" t="s">
        <v>164</v>
      </c>
      <c r="N313" t="s">
        <v>236</v>
      </c>
      <c r="O313" t="s">
        <v>166</v>
      </c>
      <c r="P313">
        <v>1.6352915379835051E-2</v>
      </c>
      <c r="Q313" t="s">
        <v>164</v>
      </c>
    </row>
    <row r="314" spans="9:17" x14ac:dyDescent="0.45">
      <c r="I314" t="s">
        <v>200</v>
      </c>
      <c r="J314" t="s">
        <v>167</v>
      </c>
      <c r="K314">
        <v>4.9415715713973848E-3</v>
      </c>
      <c r="L314" t="s">
        <v>164</v>
      </c>
      <c r="N314" t="s">
        <v>236</v>
      </c>
      <c r="O314" t="s">
        <v>167</v>
      </c>
      <c r="P314">
        <v>3.6990612723107691E-2</v>
      </c>
      <c r="Q314" t="s">
        <v>164</v>
      </c>
    </row>
    <row r="315" spans="9:17" x14ac:dyDescent="0.45">
      <c r="I315" t="s">
        <v>200</v>
      </c>
      <c r="J315" t="s">
        <v>168</v>
      </c>
      <c r="K315">
        <v>9.4807275699765201E-2</v>
      </c>
      <c r="L315" t="s">
        <v>164</v>
      </c>
      <c r="N315" t="s">
        <v>236</v>
      </c>
      <c r="O315" t="s">
        <v>168</v>
      </c>
      <c r="P315">
        <v>3.8322414832206768E-2</v>
      </c>
      <c r="Q315" t="s">
        <v>164</v>
      </c>
    </row>
    <row r="316" spans="9:17" x14ac:dyDescent="0.45">
      <c r="I316" t="s">
        <v>200</v>
      </c>
      <c r="J316" t="s">
        <v>169</v>
      </c>
      <c r="K316">
        <v>0</v>
      </c>
      <c r="L316" t="s">
        <v>164</v>
      </c>
      <c r="N316" t="s">
        <v>236</v>
      </c>
      <c r="O316" t="s">
        <v>169</v>
      </c>
      <c r="P316">
        <v>4.301192672692274E-3</v>
      </c>
      <c r="Q316" t="s">
        <v>164</v>
      </c>
    </row>
    <row r="317" spans="9:17" x14ac:dyDescent="0.45">
      <c r="I317" t="s">
        <v>200</v>
      </c>
      <c r="J317" t="s">
        <v>170</v>
      </c>
      <c r="K317">
        <v>1.9614075825019079E-2</v>
      </c>
      <c r="L317" t="s">
        <v>164</v>
      </c>
      <c r="N317" t="s">
        <v>236</v>
      </c>
      <c r="O317" t="s">
        <v>170</v>
      </c>
      <c r="P317">
        <v>0.18371296965346604</v>
      </c>
      <c r="Q317" t="s">
        <v>164</v>
      </c>
    </row>
    <row r="318" spans="9:17" x14ac:dyDescent="0.45">
      <c r="I318" t="s">
        <v>200</v>
      </c>
      <c r="J318" t="s">
        <v>171</v>
      </c>
      <c r="K318">
        <v>0.31393253244697256</v>
      </c>
      <c r="L318" t="s">
        <v>164</v>
      </c>
      <c r="N318" t="s">
        <v>236</v>
      </c>
      <c r="O318" t="s">
        <v>171</v>
      </c>
      <c r="P318">
        <v>0.19543823010340747</v>
      </c>
      <c r="Q318" t="s">
        <v>164</v>
      </c>
    </row>
    <row r="319" spans="9:17" x14ac:dyDescent="0.45">
      <c r="I319" t="s">
        <v>200</v>
      </c>
      <c r="J319" t="s">
        <v>172</v>
      </c>
      <c r="K319">
        <v>0</v>
      </c>
      <c r="L319" t="s">
        <v>164</v>
      </c>
      <c r="N319" t="s">
        <v>236</v>
      </c>
      <c r="O319" t="s">
        <v>172</v>
      </c>
      <c r="P319">
        <v>1.7157182827905862E-2</v>
      </c>
      <c r="Q319" t="s">
        <v>164</v>
      </c>
    </row>
    <row r="320" spans="9:17" x14ac:dyDescent="0.45">
      <c r="I320" t="s">
        <v>200</v>
      </c>
      <c r="J320" t="s">
        <v>173</v>
      </c>
      <c r="K320">
        <v>2.8160420361796244E-2</v>
      </c>
      <c r="L320" t="s">
        <v>164</v>
      </c>
      <c r="N320" t="s">
        <v>236</v>
      </c>
      <c r="O320" t="s">
        <v>173</v>
      </c>
      <c r="P320">
        <v>0.11846092774070473</v>
      </c>
      <c r="Q320" t="s">
        <v>164</v>
      </c>
    </row>
    <row r="321" spans="9:17" x14ac:dyDescent="0.45">
      <c r="I321" t="s">
        <v>200</v>
      </c>
      <c r="J321" t="s">
        <v>174</v>
      </c>
      <c r="K321">
        <v>0.33582588773548427</v>
      </c>
      <c r="L321" t="s">
        <v>164</v>
      </c>
      <c r="N321" t="s">
        <v>236</v>
      </c>
      <c r="O321" t="s">
        <v>174</v>
      </c>
      <c r="P321">
        <v>0.11326164828856053</v>
      </c>
      <c r="Q321" t="s">
        <v>164</v>
      </c>
    </row>
    <row r="322" spans="9:17" x14ac:dyDescent="0.45">
      <c r="I322" t="s">
        <v>200</v>
      </c>
      <c r="J322" t="s">
        <v>175</v>
      </c>
      <c r="K322">
        <v>0</v>
      </c>
      <c r="L322" t="s">
        <v>164</v>
      </c>
      <c r="N322" t="s">
        <v>236</v>
      </c>
      <c r="O322" t="s">
        <v>175</v>
      </c>
      <c r="P322">
        <v>1.2913814489932405E-2</v>
      </c>
      <c r="Q322" t="s">
        <v>164</v>
      </c>
    </row>
    <row r="323" spans="9:17" x14ac:dyDescent="0.45">
      <c r="I323" t="s">
        <v>201</v>
      </c>
      <c r="J323" t="s">
        <v>163</v>
      </c>
      <c r="K323">
        <v>8.8536400898374494E-3</v>
      </c>
      <c r="L323" t="s">
        <v>164</v>
      </c>
      <c r="N323" t="s">
        <v>237</v>
      </c>
      <c r="O323" t="s">
        <v>163</v>
      </c>
      <c r="P323">
        <v>0.12141709568773514</v>
      </c>
      <c r="Q323" t="s">
        <v>164</v>
      </c>
    </row>
    <row r="324" spans="9:17" x14ac:dyDescent="0.45">
      <c r="I324" t="s">
        <v>201</v>
      </c>
      <c r="J324" t="s">
        <v>165</v>
      </c>
      <c r="K324">
        <v>0.16816376554258577</v>
      </c>
      <c r="L324" t="s">
        <v>164</v>
      </c>
      <c r="N324" t="s">
        <v>237</v>
      </c>
      <c r="O324" t="s">
        <v>165</v>
      </c>
      <c r="P324">
        <v>0.10384089288343437</v>
      </c>
      <c r="Q324" t="s">
        <v>164</v>
      </c>
    </row>
    <row r="325" spans="9:17" x14ac:dyDescent="0.45">
      <c r="I325" t="s">
        <v>201</v>
      </c>
      <c r="J325" t="s">
        <v>166</v>
      </c>
      <c r="K325">
        <v>0</v>
      </c>
      <c r="L325" t="s">
        <v>164</v>
      </c>
      <c r="N325" t="s">
        <v>237</v>
      </c>
      <c r="O325" t="s">
        <v>166</v>
      </c>
      <c r="P325">
        <v>1.612643002706203E-2</v>
      </c>
      <c r="Q325" t="s">
        <v>164</v>
      </c>
    </row>
    <row r="326" spans="9:17" x14ac:dyDescent="0.45">
      <c r="I326" t="s">
        <v>201</v>
      </c>
      <c r="J326" t="s">
        <v>167</v>
      </c>
      <c r="K326">
        <v>6.4484988783952459E-3</v>
      </c>
      <c r="L326" t="s">
        <v>164</v>
      </c>
      <c r="N326" t="s">
        <v>237</v>
      </c>
      <c r="O326" t="s">
        <v>167</v>
      </c>
      <c r="P326">
        <v>3.0856811926685074E-2</v>
      </c>
      <c r="Q326" t="s">
        <v>164</v>
      </c>
    </row>
    <row r="327" spans="9:17" x14ac:dyDescent="0.45">
      <c r="I327" t="s">
        <v>201</v>
      </c>
      <c r="J327" t="s">
        <v>168</v>
      </c>
      <c r="K327">
        <v>8.906691912317366E-2</v>
      </c>
      <c r="L327" t="s">
        <v>164</v>
      </c>
      <c r="N327" t="s">
        <v>237</v>
      </c>
      <c r="O327" t="s">
        <v>168</v>
      </c>
      <c r="P327">
        <v>2.6548845430525436E-2</v>
      </c>
      <c r="Q327" t="s">
        <v>164</v>
      </c>
    </row>
    <row r="328" spans="9:17" x14ac:dyDescent="0.45">
      <c r="I328" t="s">
        <v>201</v>
      </c>
      <c r="J328" t="s">
        <v>169</v>
      </c>
      <c r="K328">
        <v>0</v>
      </c>
      <c r="L328" t="s">
        <v>164</v>
      </c>
      <c r="N328" t="s">
        <v>237</v>
      </c>
      <c r="O328" t="s">
        <v>169</v>
      </c>
      <c r="P328">
        <v>4.0530589351664304E-3</v>
      </c>
      <c r="Q328" t="s">
        <v>164</v>
      </c>
    </row>
    <row r="329" spans="9:17" x14ac:dyDescent="0.45">
      <c r="I329" t="s">
        <v>201</v>
      </c>
      <c r="J329" t="s">
        <v>170</v>
      </c>
      <c r="K329">
        <v>3.1628304731259528E-2</v>
      </c>
      <c r="L329" t="s">
        <v>164</v>
      </c>
      <c r="N329" t="s">
        <v>237</v>
      </c>
      <c r="O329" t="s">
        <v>170</v>
      </c>
      <c r="P329">
        <v>0.21411034464963274</v>
      </c>
      <c r="Q329" t="s">
        <v>164</v>
      </c>
    </row>
    <row r="330" spans="9:17" x14ac:dyDescent="0.45">
      <c r="I330" t="s">
        <v>201</v>
      </c>
      <c r="J330" t="s">
        <v>171</v>
      </c>
      <c r="K330">
        <v>0.33918815923487877</v>
      </c>
      <c r="L330" t="s">
        <v>164</v>
      </c>
      <c r="N330" t="s">
        <v>237</v>
      </c>
      <c r="O330" t="s">
        <v>171</v>
      </c>
      <c r="P330">
        <v>0.2149067882829499</v>
      </c>
      <c r="Q330" t="s">
        <v>164</v>
      </c>
    </row>
    <row r="331" spans="9:17" x14ac:dyDescent="0.45">
      <c r="I331" t="s">
        <v>201</v>
      </c>
      <c r="J331" t="s">
        <v>172</v>
      </c>
      <c r="K331">
        <v>0</v>
      </c>
      <c r="L331" t="s">
        <v>164</v>
      </c>
      <c r="N331" t="s">
        <v>237</v>
      </c>
      <c r="O331" t="s">
        <v>172</v>
      </c>
      <c r="P331">
        <v>2.7603681869892194E-2</v>
      </c>
      <c r="Q331" t="s">
        <v>164</v>
      </c>
    </row>
    <row r="332" spans="9:17" x14ac:dyDescent="0.45">
      <c r="I332" t="s">
        <v>201</v>
      </c>
      <c r="J332" t="s">
        <v>173</v>
      </c>
      <c r="K332">
        <v>3.3113389221439915E-2</v>
      </c>
      <c r="L332" t="s">
        <v>164</v>
      </c>
      <c r="N332" t="s">
        <v>237</v>
      </c>
      <c r="O332" t="s">
        <v>173</v>
      </c>
      <c r="P332">
        <v>0.12234806900781679</v>
      </c>
      <c r="Q332" t="s">
        <v>164</v>
      </c>
    </row>
    <row r="333" spans="9:17" x14ac:dyDescent="0.45">
      <c r="I333" t="s">
        <v>201</v>
      </c>
      <c r="J333" t="s">
        <v>174</v>
      </c>
      <c r="K333">
        <v>0.32353732317842926</v>
      </c>
      <c r="L333" t="s">
        <v>164</v>
      </c>
      <c r="N333" t="s">
        <v>237</v>
      </c>
      <c r="O333" t="s">
        <v>174</v>
      </c>
      <c r="P333">
        <v>0.1023879684493222</v>
      </c>
      <c r="Q333" t="s">
        <v>164</v>
      </c>
    </row>
    <row r="334" spans="9:17" x14ac:dyDescent="0.45">
      <c r="I334" t="s">
        <v>201</v>
      </c>
      <c r="J334" t="s">
        <v>175</v>
      </c>
      <c r="K334">
        <v>0</v>
      </c>
      <c r="L334" t="s">
        <v>164</v>
      </c>
      <c r="N334" t="s">
        <v>237</v>
      </c>
      <c r="O334" t="s">
        <v>175</v>
      </c>
      <c r="P334">
        <v>1.5800012849773476E-2</v>
      </c>
      <c r="Q334" t="s">
        <v>164</v>
      </c>
    </row>
    <row r="335" spans="9:17" x14ac:dyDescent="0.45">
      <c r="I335" t="s">
        <v>202</v>
      </c>
      <c r="J335" t="s">
        <v>163</v>
      </c>
      <c r="K335">
        <v>7.2666144691451821E-3</v>
      </c>
      <c r="L335" t="s">
        <v>164</v>
      </c>
    </row>
    <row r="336" spans="9:17" x14ac:dyDescent="0.45">
      <c r="I336" t="s">
        <v>202</v>
      </c>
      <c r="J336" t="s">
        <v>165</v>
      </c>
      <c r="K336">
        <v>0.16531150214736809</v>
      </c>
      <c r="L336" t="s">
        <v>164</v>
      </c>
    </row>
    <row r="337" spans="9:12" x14ac:dyDescent="0.45">
      <c r="I337" t="s">
        <v>202</v>
      </c>
      <c r="J337" t="s">
        <v>166</v>
      </c>
      <c r="K337">
        <v>0</v>
      </c>
      <c r="L337" t="s">
        <v>164</v>
      </c>
    </row>
    <row r="338" spans="9:12" x14ac:dyDescent="0.45">
      <c r="I338" t="s">
        <v>202</v>
      </c>
      <c r="J338" t="s">
        <v>167</v>
      </c>
      <c r="K338">
        <v>4.5745009651349299E-3</v>
      </c>
      <c r="L338" t="s">
        <v>164</v>
      </c>
    </row>
    <row r="339" spans="9:12" x14ac:dyDescent="0.45">
      <c r="I339" t="s">
        <v>202</v>
      </c>
      <c r="J339" t="s">
        <v>168</v>
      </c>
      <c r="K339">
        <v>8.9525829660313125E-2</v>
      </c>
      <c r="L339" t="s">
        <v>164</v>
      </c>
    </row>
    <row r="340" spans="9:12" x14ac:dyDescent="0.45">
      <c r="I340" t="s">
        <v>202</v>
      </c>
      <c r="J340" t="s">
        <v>169</v>
      </c>
      <c r="K340">
        <v>0</v>
      </c>
      <c r="L340" t="s">
        <v>164</v>
      </c>
    </row>
    <row r="341" spans="9:12" x14ac:dyDescent="0.45">
      <c r="I341" t="s">
        <v>202</v>
      </c>
      <c r="J341" t="s">
        <v>170</v>
      </c>
      <c r="K341">
        <v>3.0019394338821642E-2</v>
      </c>
      <c r="L341" t="s">
        <v>164</v>
      </c>
    </row>
    <row r="342" spans="9:12" x14ac:dyDescent="0.45">
      <c r="I342" t="s">
        <v>202</v>
      </c>
      <c r="J342" t="s">
        <v>171</v>
      </c>
      <c r="K342">
        <v>0.34891761988430914</v>
      </c>
      <c r="L342" t="s">
        <v>164</v>
      </c>
    </row>
    <row r="343" spans="9:12" x14ac:dyDescent="0.45">
      <c r="I343" t="s">
        <v>202</v>
      </c>
      <c r="J343" t="s">
        <v>172</v>
      </c>
      <c r="K343">
        <v>0</v>
      </c>
      <c r="L343" t="s">
        <v>164</v>
      </c>
    </row>
    <row r="344" spans="9:12" x14ac:dyDescent="0.45">
      <c r="I344" t="s">
        <v>202</v>
      </c>
      <c r="J344" t="s">
        <v>173</v>
      </c>
      <c r="K344">
        <v>2.7684380897101991E-2</v>
      </c>
      <c r="L344" t="s">
        <v>164</v>
      </c>
    </row>
    <row r="345" spans="9:12" x14ac:dyDescent="0.45">
      <c r="I345" t="s">
        <v>202</v>
      </c>
      <c r="J345" t="s">
        <v>174</v>
      </c>
      <c r="K345">
        <v>0.32670015763780652</v>
      </c>
      <c r="L345" t="s">
        <v>164</v>
      </c>
    </row>
    <row r="346" spans="9:12" x14ac:dyDescent="0.45">
      <c r="I346" t="s">
        <v>202</v>
      </c>
      <c r="J346" t="s">
        <v>175</v>
      </c>
      <c r="K346">
        <v>0</v>
      </c>
      <c r="L346" t="s">
        <v>164</v>
      </c>
    </row>
    <row r="347" spans="9:12" x14ac:dyDescent="0.45">
      <c r="I347" t="s">
        <v>203</v>
      </c>
      <c r="J347" t="s">
        <v>163</v>
      </c>
      <c r="K347">
        <v>8.1955094917726835E-3</v>
      </c>
      <c r="L347" t="s">
        <v>164</v>
      </c>
    </row>
    <row r="348" spans="9:12" x14ac:dyDescent="0.45">
      <c r="I348" t="s">
        <v>203</v>
      </c>
      <c r="J348" t="s">
        <v>165</v>
      </c>
      <c r="K348">
        <v>0.15954448633828802</v>
      </c>
      <c r="L348" t="s">
        <v>164</v>
      </c>
    </row>
    <row r="349" spans="9:12" x14ac:dyDescent="0.45">
      <c r="I349" t="s">
        <v>203</v>
      </c>
      <c r="J349" t="s">
        <v>166</v>
      </c>
      <c r="K349">
        <v>0</v>
      </c>
      <c r="L349" t="s">
        <v>164</v>
      </c>
    </row>
    <row r="350" spans="9:12" x14ac:dyDescent="0.45">
      <c r="I350" t="s">
        <v>203</v>
      </c>
      <c r="J350" t="s">
        <v>167</v>
      </c>
      <c r="K350">
        <v>6.2297898694615413E-3</v>
      </c>
      <c r="L350" t="s">
        <v>164</v>
      </c>
    </row>
    <row r="351" spans="9:12" x14ac:dyDescent="0.45">
      <c r="I351" t="s">
        <v>203</v>
      </c>
      <c r="J351" t="s">
        <v>168</v>
      </c>
      <c r="K351">
        <v>8.6031720485738483E-2</v>
      </c>
      <c r="L351" t="s">
        <v>164</v>
      </c>
    </row>
    <row r="352" spans="9:12" x14ac:dyDescent="0.45">
      <c r="I352" t="s">
        <v>203</v>
      </c>
      <c r="J352" t="s">
        <v>169</v>
      </c>
      <c r="K352">
        <v>0</v>
      </c>
      <c r="L352" t="s">
        <v>164</v>
      </c>
    </row>
    <row r="353" spans="9:12" x14ac:dyDescent="0.45">
      <c r="I353" t="s">
        <v>203</v>
      </c>
      <c r="J353" t="s">
        <v>170</v>
      </c>
      <c r="K353">
        <v>3.4882689897006158E-2</v>
      </c>
      <c r="L353" t="s">
        <v>164</v>
      </c>
    </row>
    <row r="354" spans="9:12" x14ac:dyDescent="0.45">
      <c r="I354" t="s">
        <v>203</v>
      </c>
      <c r="J354" t="s">
        <v>171</v>
      </c>
      <c r="K354">
        <v>0.35522696538284193</v>
      </c>
      <c r="L354" t="s">
        <v>164</v>
      </c>
    </row>
    <row r="355" spans="9:12" x14ac:dyDescent="0.45">
      <c r="I355" t="s">
        <v>203</v>
      </c>
      <c r="J355" t="s">
        <v>172</v>
      </c>
      <c r="K355">
        <v>0</v>
      </c>
      <c r="L355" t="s">
        <v>164</v>
      </c>
    </row>
    <row r="356" spans="9:12" x14ac:dyDescent="0.45">
      <c r="I356" t="s">
        <v>203</v>
      </c>
      <c r="J356" t="s">
        <v>173</v>
      </c>
      <c r="K356">
        <v>3.2144171843403353E-2</v>
      </c>
      <c r="L356" t="s">
        <v>164</v>
      </c>
    </row>
    <row r="357" spans="9:12" x14ac:dyDescent="0.45">
      <c r="I357" t="s">
        <v>203</v>
      </c>
      <c r="J357" t="s">
        <v>174</v>
      </c>
      <c r="K357">
        <v>0.31774466669148771</v>
      </c>
      <c r="L357" t="s">
        <v>164</v>
      </c>
    </row>
    <row r="358" spans="9:12" x14ac:dyDescent="0.45">
      <c r="I358" t="s">
        <v>203</v>
      </c>
      <c r="J358" t="s">
        <v>175</v>
      </c>
      <c r="K358">
        <v>0</v>
      </c>
      <c r="L358" t="s">
        <v>164</v>
      </c>
    </row>
    <row r="359" spans="9:12" x14ac:dyDescent="0.45">
      <c r="I359" t="s">
        <v>204</v>
      </c>
      <c r="J359" t="s">
        <v>163</v>
      </c>
      <c r="K359">
        <v>5.8502692716520957E-3</v>
      </c>
      <c r="L359" t="s">
        <v>164</v>
      </c>
    </row>
    <row r="360" spans="9:12" x14ac:dyDescent="0.45">
      <c r="I360" t="s">
        <v>204</v>
      </c>
      <c r="J360" t="s">
        <v>165</v>
      </c>
      <c r="K360">
        <v>0.1655455772675187</v>
      </c>
      <c r="L360" t="s">
        <v>164</v>
      </c>
    </row>
    <row r="361" spans="9:12" x14ac:dyDescent="0.45">
      <c r="I361" t="s">
        <v>204</v>
      </c>
      <c r="J361" t="s">
        <v>166</v>
      </c>
      <c r="K361">
        <v>0</v>
      </c>
      <c r="L361" t="s">
        <v>164</v>
      </c>
    </row>
    <row r="362" spans="9:12" x14ac:dyDescent="0.45">
      <c r="I362" t="s">
        <v>204</v>
      </c>
      <c r="J362" t="s">
        <v>167</v>
      </c>
      <c r="K362">
        <v>3.7038574264792153E-3</v>
      </c>
      <c r="L362" t="s">
        <v>164</v>
      </c>
    </row>
    <row r="363" spans="9:12" x14ac:dyDescent="0.45">
      <c r="I363" t="s">
        <v>204</v>
      </c>
      <c r="J363" t="s">
        <v>168</v>
      </c>
      <c r="K363">
        <v>8.6992689882924579E-2</v>
      </c>
      <c r="L363" t="s">
        <v>164</v>
      </c>
    </row>
    <row r="364" spans="9:12" x14ac:dyDescent="0.45">
      <c r="I364" t="s">
        <v>204</v>
      </c>
      <c r="J364" t="s">
        <v>169</v>
      </c>
      <c r="K364">
        <v>0</v>
      </c>
      <c r="L364" t="s">
        <v>164</v>
      </c>
    </row>
    <row r="365" spans="9:12" x14ac:dyDescent="0.45">
      <c r="I365" t="s">
        <v>204</v>
      </c>
      <c r="J365" t="s">
        <v>170</v>
      </c>
      <c r="K365">
        <v>2.5719356419646264E-2</v>
      </c>
      <c r="L365" t="s">
        <v>164</v>
      </c>
    </row>
    <row r="366" spans="9:12" x14ac:dyDescent="0.45">
      <c r="I366" t="s">
        <v>204</v>
      </c>
      <c r="J366" t="s">
        <v>171</v>
      </c>
      <c r="K366">
        <v>0.36539674364634456</v>
      </c>
      <c r="L366" t="s">
        <v>164</v>
      </c>
    </row>
    <row r="367" spans="9:12" x14ac:dyDescent="0.45">
      <c r="I367" t="s">
        <v>204</v>
      </c>
      <c r="J367" t="s">
        <v>172</v>
      </c>
      <c r="K367">
        <v>0</v>
      </c>
      <c r="L367" t="s">
        <v>164</v>
      </c>
    </row>
    <row r="368" spans="9:12" x14ac:dyDescent="0.45">
      <c r="I368" t="s">
        <v>204</v>
      </c>
      <c r="J368" t="s">
        <v>173</v>
      </c>
      <c r="K368">
        <v>1.8932661328537086E-2</v>
      </c>
      <c r="L368" t="s">
        <v>164</v>
      </c>
    </row>
    <row r="369" spans="9:12" x14ac:dyDescent="0.45">
      <c r="I369" t="s">
        <v>204</v>
      </c>
      <c r="J369" t="s">
        <v>174</v>
      </c>
      <c r="K369">
        <v>0.32785884475689725</v>
      </c>
      <c r="L369" t="s">
        <v>164</v>
      </c>
    </row>
    <row r="370" spans="9:12" x14ac:dyDescent="0.45">
      <c r="I370" t="s">
        <v>204</v>
      </c>
      <c r="J370" t="s">
        <v>175</v>
      </c>
      <c r="K370">
        <v>0</v>
      </c>
      <c r="L370" t="s">
        <v>164</v>
      </c>
    </row>
    <row r="371" spans="9:12" x14ac:dyDescent="0.45">
      <c r="I371" t="s">
        <v>205</v>
      </c>
      <c r="J371" t="s">
        <v>163</v>
      </c>
      <c r="K371">
        <v>6.0284178833008035E-3</v>
      </c>
      <c r="L371" t="s">
        <v>164</v>
      </c>
    </row>
    <row r="372" spans="9:12" x14ac:dyDescent="0.45">
      <c r="I372" t="s">
        <v>205</v>
      </c>
      <c r="J372" t="s">
        <v>165</v>
      </c>
      <c r="K372">
        <v>0.17303397829654443</v>
      </c>
      <c r="L372" t="s">
        <v>164</v>
      </c>
    </row>
    <row r="373" spans="9:12" x14ac:dyDescent="0.45">
      <c r="I373" t="s">
        <v>205</v>
      </c>
      <c r="J373" t="s">
        <v>166</v>
      </c>
      <c r="K373">
        <v>0</v>
      </c>
      <c r="L373" t="s">
        <v>164</v>
      </c>
    </row>
    <row r="374" spans="9:12" x14ac:dyDescent="0.45">
      <c r="I374" t="s">
        <v>205</v>
      </c>
      <c r="J374" t="s">
        <v>167</v>
      </c>
      <c r="K374">
        <v>3.5096794726272897E-3</v>
      </c>
      <c r="L374" t="s">
        <v>164</v>
      </c>
    </row>
    <row r="375" spans="9:12" x14ac:dyDescent="0.45">
      <c r="I375" t="s">
        <v>205</v>
      </c>
      <c r="J375" t="s">
        <v>168</v>
      </c>
      <c r="K375">
        <v>8.7150013096411419E-2</v>
      </c>
      <c r="L375" t="s">
        <v>164</v>
      </c>
    </row>
    <row r="376" spans="9:12" x14ac:dyDescent="0.45">
      <c r="I376" t="s">
        <v>205</v>
      </c>
      <c r="J376" t="s">
        <v>169</v>
      </c>
      <c r="K376">
        <v>0</v>
      </c>
      <c r="L376" t="s">
        <v>164</v>
      </c>
    </row>
    <row r="377" spans="9:12" x14ac:dyDescent="0.45">
      <c r="I377" t="s">
        <v>205</v>
      </c>
      <c r="J377" t="s">
        <v>170</v>
      </c>
      <c r="K377">
        <v>2.2563815381473718E-2</v>
      </c>
      <c r="L377" t="s">
        <v>164</v>
      </c>
    </row>
    <row r="378" spans="9:12" x14ac:dyDescent="0.45">
      <c r="I378" t="s">
        <v>205</v>
      </c>
      <c r="J378" t="s">
        <v>171</v>
      </c>
      <c r="K378">
        <v>0.35742632069687075</v>
      </c>
      <c r="L378" t="s">
        <v>164</v>
      </c>
    </row>
    <row r="379" spans="9:12" x14ac:dyDescent="0.45">
      <c r="I379" t="s">
        <v>205</v>
      </c>
      <c r="J379" t="s">
        <v>172</v>
      </c>
      <c r="K379">
        <v>0</v>
      </c>
      <c r="L379" t="s">
        <v>164</v>
      </c>
    </row>
    <row r="380" spans="9:12" x14ac:dyDescent="0.45">
      <c r="I380" t="s">
        <v>205</v>
      </c>
      <c r="J380" t="s">
        <v>173</v>
      </c>
      <c r="K380">
        <v>1.8787296684113389E-2</v>
      </c>
      <c r="L380" t="s">
        <v>164</v>
      </c>
    </row>
    <row r="381" spans="9:12" x14ac:dyDescent="0.45">
      <c r="I381" t="s">
        <v>205</v>
      </c>
      <c r="J381" t="s">
        <v>174</v>
      </c>
      <c r="K381">
        <v>0.33150047848866204</v>
      </c>
      <c r="L381" t="s">
        <v>164</v>
      </c>
    </row>
    <row r="382" spans="9:12" x14ac:dyDescent="0.45">
      <c r="I382" t="s">
        <v>205</v>
      </c>
      <c r="J382" t="s">
        <v>175</v>
      </c>
      <c r="K382">
        <v>0</v>
      </c>
      <c r="L382" t="s">
        <v>164</v>
      </c>
    </row>
    <row r="383" spans="9:12" x14ac:dyDescent="0.45">
      <c r="I383" t="s">
        <v>206</v>
      </c>
      <c r="J383" t="s">
        <v>163</v>
      </c>
      <c r="K383">
        <v>7.1408115690902935E-3</v>
      </c>
      <c r="L383" t="s">
        <v>164</v>
      </c>
    </row>
    <row r="384" spans="9:12" x14ac:dyDescent="0.45">
      <c r="I384" t="s">
        <v>206</v>
      </c>
      <c r="J384" t="s">
        <v>165</v>
      </c>
      <c r="K384">
        <v>0.1821338552225461</v>
      </c>
      <c r="L384" t="s">
        <v>164</v>
      </c>
    </row>
    <row r="385" spans="9:12" x14ac:dyDescent="0.45">
      <c r="I385" t="s">
        <v>206</v>
      </c>
      <c r="J385" t="s">
        <v>166</v>
      </c>
      <c r="K385">
        <v>0</v>
      </c>
      <c r="L385" t="s">
        <v>164</v>
      </c>
    </row>
    <row r="386" spans="9:12" x14ac:dyDescent="0.45">
      <c r="I386" t="s">
        <v>206</v>
      </c>
      <c r="J386" t="s">
        <v>167</v>
      </c>
      <c r="K386">
        <v>4.0349779062620501E-3</v>
      </c>
      <c r="L386" t="s">
        <v>164</v>
      </c>
    </row>
    <row r="387" spans="9:12" x14ac:dyDescent="0.45">
      <c r="I387" t="s">
        <v>206</v>
      </c>
      <c r="J387" t="s">
        <v>168</v>
      </c>
      <c r="K387">
        <v>9.1994489468170973E-2</v>
      </c>
      <c r="L387" t="s">
        <v>164</v>
      </c>
    </row>
    <row r="388" spans="9:12" x14ac:dyDescent="0.45">
      <c r="I388" t="s">
        <v>206</v>
      </c>
      <c r="J388" t="s">
        <v>169</v>
      </c>
      <c r="K388">
        <v>0</v>
      </c>
      <c r="L388" t="s">
        <v>164</v>
      </c>
    </row>
    <row r="389" spans="9:12" x14ac:dyDescent="0.45">
      <c r="I389" t="s">
        <v>206</v>
      </c>
      <c r="J389" t="s">
        <v>170</v>
      </c>
      <c r="K389">
        <v>2.2039752326684384E-2</v>
      </c>
      <c r="L389" t="s">
        <v>164</v>
      </c>
    </row>
    <row r="390" spans="9:12" x14ac:dyDescent="0.45">
      <c r="I390" t="s">
        <v>206</v>
      </c>
      <c r="J390" t="s">
        <v>171</v>
      </c>
      <c r="K390">
        <v>0.33354131061280112</v>
      </c>
      <c r="L390" t="s">
        <v>164</v>
      </c>
    </row>
    <row r="391" spans="9:12" x14ac:dyDescent="0.45">
      <c r="I391" t="s">
        <v>206</v>
      </c>
      <c r="J391" t="s">
        <v>172</v>
      </c>
      <c r="K391">
        <v>0</v>
      </c>
      <c r="L391" t="s">
        <v>164</v>
      </c>
    </row>
    <row r="392" spans="9:12" x14ac:dyDescent="0.45">
      <c r="I392" t="s">
        <v>206</v>
      </c>
      <c r="J392" t="s">
        <v>173</v>
      </c>
      <c r="K392">
        <v>2.0602098393037033E-2</v>
      </c>
      <c r="L392" t="s">
        <v>164</v>
      </c>
    </row>
    <row r="393" spans="9:12" x14ac:dyDescent="0.45">
      <c r="I393" t="s">
        <v>206</v>
      </c>
      <c r="J393" t="s">
        <v>174</v>
      </c>
      <c r="K393">
        <v>0.33851270450140958</v>
      </c>
      <c r="L393" t="s">
        <v>164</v>
      </c>
    </row>
    <row r="394" spans="9:12" x14ac:dyDescent="0.45">
      <c r="I394" t="s">
        <v>206</v>
      </c>
      <c r="J394" t="s">
        <v>175</v>
      </c>
      <c r="K394">
        <v>0</v>
      </c>
      <c r="L394" t="s">
        <v>164</v>
      </c>
    </row>
    <row r="395" spans="9:12" x14ac:dyDescent="0.45">
      <c r="I395" t="s">
        <v>207</v>
      </c>
      <c r="J395" t="s">
        <v>163</v>
      </c>
      <c r="K395">
        <v>7.9441981284197622E-3</v>
      </c>
      <c r="L395" t="s">
        <v>164</v>
      </c>
    </row>
    <row r="396" spans="9:12" x14ac:dyDescent="0.45">
      <c r="I396" t="s">
        <v>207</v>
      </c>
      <c r="J396" t="s">
        <v>165</v>
      </c>
      <c r="K396">
        <v>0.17975413557194556</v>
      </c>
      <c r="L396" t="s">
        <v>164</v>
      </c>
    </row>
    <row r="397" spans="9:12" x14ac:dyDescent="0.45">
      <c r="I397" t="s">
        <v>207</v>
      </c>
      <c r="J397" t="s">
        <v>166</v>
      </c>
      <c r="K397">
        <v>0</v>
      </c>
      <c r="L397" t="s">
        <v>164</v>
      </c>
    </row>
    <row r="398" spans="9:12" x14ac:dyDescent="0.45">
      <c r="I398" t="s">
        <v>207</v>
      </c>
      <c r="J398" t="s">
        <v>167</v>
      </c>
      <c r="K398">
        <v>4.6642744367911462E-3</v>
      </c>
      <c r="L398" t="s">
        <v>164</v>
      </c>
    </row>
    <row r="399" spans="9:12" x14ac:dyDescent="0.45">
      <c r="I399" t="s">
        <v>207</v>
      </c>
      <c r="J399" t="s">
        <v>168</v>
      </c>
      <c r="K399">
        <v>9.4315538277412056E-2</v>
      </c>
      <c r="L399" t="s">
        <v>164</v>
      </c>
    </row>
    <row r="400" spans="9:12" x14ac:dyDescent="0.45">
      <c r="I400" t="s">
        <v>207</v>
      </c>
      <c r="J400" t="s">
        <v>169</v>
      </c>
      <c r="K400">
        <v>0</v>
      </c>
      <c r="L400" t="s">
        <v>164</v>
      </c>
    </row>
    <row r="401" spans="9:12" x14ac:dyDescent="0.45">
      <c r="I401" t="s">
        <v>207</v>
      </c>
      <c r="J401" t="s">
        <v>170</v>
      </c>
      <c r="K401">
        <v>2.4211273000753236E-2</v>
      </c>
      <c r="L401" t="s">
        <v>164</v>
      </c>
    </row>
    <row r="402" spans="9:12" x14ac:dyDescent="0.45">
      <c r="I402" t="s">
        <v>207</v>
      </c>
      <c r="J402" t="s">
        <v>171</v>
      </c>
      <c r="K402">
        <v>0.32526441093664338</v>
      </c>
      <c r="L402" t="s">
        <v>164</v>
      </c>
    </row>
    <row r="403" spans="9:12" x14ac:dyDescent="0.45">
      <c r="I403" t="s">
        <v>207</v>
      </c>
      <c r="J403" t="s">
        <v>172</v>
      </c>
      <c r="K403">
        <v>0</v>
      </c>
      <c r="L403" t="s">
        <v>164</v>
      </c>
    </row>
    <row r="404" spans="9:12" x14ac:dyDescent="0.45">
      <c r="I404" t="s">
        <v>207</v>
      </c>
      <c r="J404" t="s">
        <v>173</v>
      </c>
      <c r="K404">
        <v>2.9068123968233214E-2</v>
      </c>
      <c r="L404" t="s">
        <v>164</v>
      </c>
    </row>
    <row r="405" spans="9:12" x14ac:dyDescent="0.45">
      <c r="I405" t="s">
        <v>207</v>
      </c>
      <c r="J405" t="s">
        <v>174</v>
      </c>
      <c r="K405">
        <v>0.33477804567979946</v>
      </c>
      <c r="L405" t="s">
        <v>164</v>
      </c>
    </row>
    <row r="406" spans="9:12" x14ac:dyDescent="0.45">
      <c r="I406" t="s">
        <v>207</v>
      </c>
      <c r="J406" t="s">
        <v>175</v>
      </c>
      <c r="K406">
        <v>0</v>
      </c>
      <c r="L406" t="s">
        <v>164</v>
      </c>
    </row>
    <row r="407" spans="9:12" x14ac:dyDescent="0.45">
      <c r="I407" t="s">
        <v>208</v>
      </c>
      <c r="J407" t="s">
        <v>163</v>
      </c>
      <c r="K407">
        <v>7.1653482402419342E-3</v>
      </c>
      <c r="L407" t="s">
        <v>164</v>
      </c>
    </row>
    <row r="408" spans="9:12" x14ac:dyDescent="0.45">
      <c r="I408" t="s">
        <v>208</v>
      </c>
      <c r="J408" t="s">
        <v>165</v>
      </c>
      <c r="K408">
        <v>0.18680726189487457</v>
      </c>
      <c r="L408" t="s">
        <v>164</v>
      </c>
    </row>
    <row r="409" spans="9:12" x14ac:dyDescent="0.45">
      <c r="I409" t="s">
        <v>208</v>
      </c>
      <c r="J409" t="s">
        <v>166</v>
      </c>
      <c r="K409">
        <v>0</v>
      </c>
      <c r="L409" t="s">
        <v>164</v>
      </c>
    </row>
    <row r="410" spans="9:12" x14ac:dyDescent="0.45">
      <c r="I410" t="s">
        <v>208</v>
      </c>
      <c r="J410" t="s">
        <v>167</v>
      </c>
      <c r="K410">
        <v>3.5613732282744146E-3</v>
      </c>
      <c r="L410" t="s">
        <v>164</v>
      </c>
    </row>
    <row r="411" spans="9:12" x14ac:dyDescent="0.45">
      <c r="I411" t="s">
        <v>208</v>
      </c>
      <c r="J411" t="s">
        <v>168</v>
      </c>
      <c r="K411">
        <v>9.4964368629311915E-2</v>
      </c>
      <c r="L411" t="s">
        <v>164</v>
      </c>
    </row>
    <row r="412" spans="9:12" x14ac:dyDescent="0.45">
      <c r="I412" t="s">
        <v>208</v>
      </c>
      <c r="J412" t="s">
        <v>169</v>
      </c>
      <c r="K412">
        <v>0</v>
      </c>
      <c r="L412" t="s">
        <v>164</v>
      </c>
    </row>
    <row r="413" spans="9:12" x14ac:dyDescent="0.45">
      <c r="I413" t="s">
        <v>208</v>
      </c>
      <c r="J413" t="s">
        <v>170</v>
      </c>
      <c r="K413">
        <v>1.8583248877625733E-2</v>
      </c>
      <c r="L413" t="s">
        <v>164</v>
      </c>
    </row>
    <row r="414" spans="9:12" x14ac:dyDescent="0.45">
      <c r="I414" t="s">
        <v>208</v>
      </c>
      <c r="J414" t="s">
        <v>171</v>
      </c>
      <c r="K414">
        <v>0.33545154249395454</v>
      </c>
      <c r="L414" t="s">
        <v>164</v>
      </c>
    </row>
    <row r="415" spans="9:12" x14ac:dyDescent="0.45">
      <c r="I415" t="s">
        <v>208</v>
      </c>
      <c r="J415" t="s">
        <v>172</v>
      </c>
      <c r="K415">
        <v>0</v>
      </c>
      <c r="L415" t="s">
        <v>164</v>
      </c>
    </row>
    <row r="416" spans="9:12" x14ac:dyDescent="0.45">
      <c r="I416" t="s">
        <v>208</v>
      </c>
      <c r="J416" t="s">
        <v>173</v>
      </c>
      <c r="K416">
        <v>1.814395019746395E-2</v>
      </c>
      <c r="L416" t="s">
        <v>164</v>
      </c>
    </row>
    <row r="417" spans="9:12" x14ac:dyDescent="0.45">
      <c r="I417" t="s">
        <v>208</v>
      </c>
      <c r="J417" t="s">
        <v>174</v>
      </c>
      <c r="K417">
        <v>0.33532290643825025</v>
      </c>
      <c r="L417" t="s">
        <v>164</v>
      </c>
    </row>
    <row r="418" spans="9:12" x14ac:dyDescent="0.45">
      <c r="I418" t="s">
        <v>208</v>
      </c>
      <c r="J418" t="s">
        <v>175</v>
      </c>
      <c r="K418">
        <v>0</v>
      </c>
      <c r="L418" t="s">
        <v>164</v>
      </c>
    </row>
    <row r="419" spans="9:12" x14ac:dyDescent="0.45">
      <c r="I419" t="s">
        <v>209</v>
      </c>
      <c r="J419" t="s">
        <v>163</v>
      </c>
      <c r="K419">
        <v>6.1806071416005701E-3</v>
      </c>
      <c r="L419" t="s">
        <v>164</v>
      </c>
    </row>
    <row r="420" spans="9:12" x14ac:dyDescent="0.45">
      <c r="I420" t="s">
        <v>209</v>
      </c>
      <c r="J420" t="s">
        <v>165</v>
      </c>
      <c r="K420">
        <v>0.17926478507113144</v>
      </c>
      <c r="L420" t="s">
        <v>164</v>
      </c>
    </row>
    <row r="421" spans="9:12" x14ac:dyDescent="0.45">
      <c r="I421" t="s">
        <v>209</v>
      </c>
      <c r="J421" t="s">
        <v>166</v>
      </c>
      <c r="K421">
        <v>0</v>
      </c>
      <c r="L421" t="s">
        <v>164</v>
      </c>
    </row>
    <row r="422" spans="9:12" x14ac:dyDescent="0.45">
      <c r="I422" t="s">
        <v>209</v>
      </c>
      <c r="J422" t="s">
        <v>167</v>
      </c>
      <c r="K422">
        <v>3.2906597776044366E-3</v>
      </c>
      <c r="L422" t="s">
        <v>164</v>
      </c>
    </row>
    <row r="423" spans="9:12" x14ac:dyDescent="0.45">
      <c r="I423" t="s">
        <v>209</v>
      </c>
      <c r="J423" t="s">
        <v>168</v>
      </c>
      <c r="K423">
        <v>8.7559951411444834E-2</v>
      </c>
      <c r="L423" t="s">
        <v>164</v>
      </c>
    </row>
    <row r="424" spans="9:12" x14ac:dyDescent="0.45">
      <c r="I424" t="s">
        <v>209</v>
      </c>
      <c r="J424" t="s">
        <v>169</v>
      </c>
      <c r="K424">
        <v>0</v>
      </c>
      <c r="L424" t="s">
        <v>164</v>
      </c>
    </row>
    <row r="425" spans="9:12" x14ac:dyDescent="0.45">
      <c r="I425" t="s">
        <v>209</v>
      </c>
      <c r="J425" t="s">
        <v>170</v>
      </c>
      <c r="K425">
        <v>1.8531798724797918E-2</v>
      </c>
      <c r="L425" t="s">
        <v>164</v>
      </c>
    </row>
    <row r="426" spans="9:12" x14ac:dyDescent="0.45">
      <c r="I426" t="s">
        <v>209</v>
      </c>
      <c r="J426" t="s">
        <v>171</v>
      </c>
      <c r="K426">
        <v>0.35011243326519548</v>
      </c>
      <c r="L426" t="s">
        <v>164</v>
      </c>
    </row>
    <row r="427" spans="9:12" x14ac:dyDescent="0.45">
      <c r="I427" t="s">
        <v>209</v>
      </c>
      <c r="J427" t="s">
        <v>172</v>
      </c>
      <c r="K427">
        <v>0</v>
      </c>
      <c r="L427" t="s">
        <v>164</v>
      </c>
    </row>
    <row r="428" spans="9:12" x14ac:dyDescent="0.45">
      <c r="I428" t="s">
        <v>209</v>
      </c>
      <c r="J428" t="s">
        <v>173</v>
      </c>
      <c r="K428">
        <v>1.7966832457130211E-2</v>
      </c>
      <c r="L428" t="s">
        <v>164</v>
      </c>
    </row>
    <row r="429" spans="9:12" x14ac:dyDescent="0.45">
      <c r="I429" t="s">
        <v>209</v>
      </c>
      <c r="J429" t="s">
        <v>174</v>
      </c>
      <c r="K429">
        <v>0.33709293215109448</v>
      </c>
      <c r="L429" t="s">
        <v>164</v>
      </c>
    </row>
    <row r="430" spans="9:12" x14ac:dyDescent="0.45">
      <c r="I430" t="s">
        <v>209</v>
      </c>
      <c r="J430" t="s">
        <v>175</v>
      </c>
      <c r="K430">
        <v>0</v>
      </c>
      <c r="L430" t="s">
        <v>164</v>
      </c>
    </row>
    <row r="431" spans="9:12" x14ac:dyDescent="0.45">
      <c r="I431" t="s">
        <v>210</v>
      </c>
      <c r="J431" t="s">
        <v>163</v>
      </c>
      <c r="K431">
        <v>6.1948528999153148E-3</v>
      </c>
      <c r="L431" t="s">
        <v>164</v>
      </c>
    </row>
    <row r="432" spans="9:12" x14ac:dyDescent="0.45">
      <c r="I432" t="s">
        <v>210</v>
      </c>
      <c r="J432" t="s">
        <v>165</v>
      </c>
      <c r="K432">
        <v>0.1855850093436123</v>
      </c>
      <c r="L432" t="s">
        <v>164</v>
      </c>
    </row>
    <row r="433" spans="9:12" x14ac:dyDescent="0.45">
      <c r="I433" t="s">
        <v>210</v>
      </c>
      <c r="J433" t="s">
        <v>166</v>
      </c>
      <c r="K433">
        <v>0</v>
      </c>
      <c r="L433" t="s">
        <v>164</v>
      </c>
    </row>
    <row r="434" spans="9:12" x14ac:dyDescent="0.45">
      <c r="I434" t="s">
        <v>210</v>
      </c>
      <c r="J434" t="s">
        <v>167</v>
      </c>
      <c r="K434">
        <v>3.0514550068973904E-3</v>
      </c>
      <c r="L434" t="s">
        <v>164</v>
      </c>
    </row>
    <row r="435" spans="9:12" x14ac:dyDescent="0.45">
      <c r="I435" t="s">
        <v>210</v>
      </c>
      <c r="J435" t="s">
        <v>168</v>
      </c>
      <c r="K435">
        <v>8.969951529174211E-2</v>
      </c>
      <c r="L435" t="s">
        <v>164</v>
      </c>
    </row>
    <row r="436" spans="9:12" x14ac:dyDescent="0.45">
      <c r="I436" t="s">
        <v>210</v>
      </c>
      <c r="J436" t="s">
        <v>169</v>
      </c>
      <c r="K436">
        <v>0</v>
      </c>
      <c r="L436" t="s">
        <v>164</v>
      </c>
    </row>
    <row r="437" spans="9:12" x14ac:dyDescent="0.45">
      <c r="I437" t="s">
        <v>210</v>
      </c>
      <c r="J437" t="s">
        <v>170</v>
      </c>
      <c r="K437">
        <v>1.4702396688018234E-2</v>
      </c>
      <c r="L437" t="s">
        <v>164</v>
      </c>
    </row>
    <row r="438" spans="9:12" x14ac:dyDescent="0.45">
      <c r="I438" t="s">
        <v>210</v>
      </c>
      <c r="J438" t="s">
        <v>171</v>
      </c>
      <c r="K438">
        <v>0.34898964574982855</v>
      </c>
      <c r="L438" t="s">
        <v>164</v>
      </c>
    </row>
    <row r="439" spans="9:12" x14ac:dyDescent="0.45">
      <c r="I439" t="s">
        <v>210</v>
      </c>
      <c r="J439" t="s">
        <v>172</v>
      </c>
      <c r="K439">
        <v>0</v>
      </c>
      <c r="L439" t="s">
        <v>164</v>
      </c>
    </row>
    <row r="440" spans="9:12" x14ac:dyDescent="0.45">
      <c r="I440" t="s">
        <v>210</v>
      </c>
      <c r="J440" t="s">
        <v>173</v>
      </c>
      <c r="K440">
        <v>1.4092801596778321E-2</v>
      </c>
      <c r="L440" t="s">
        <v>164</v>
      </c>
    </row>
    <row r="441" spans="9:12" x14ac:dyDescent="0.45">
      <c r="I441" t="s">
        <v>210</v>
      </c>
      <c r="J441" t="s">
        <v>174</v>
      </c>
      <c r="K441">
        <v>0.33768432342320698</v>
      </c>
      <c r="L441" t="s">
        <v>164</v>
      </c>
    </row>
    <row r="442" spans="9:12" x14ac:dyDescent="0.45">
      <c r="I442" t="s">
        <v>210</v>
      </c>
      <c r="J442" t="s">
        <v>175</v>
      </c>
      <c r="K442">
        <v>0</v>
      </c>
      <c r="L442" t="s">
        <v>164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16E40-EA4E-435E-B47D-2AB9D2A08127}">
  <dimension ref="A9:AN1522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126</v>
      </c>
      <c r="C10" t="s">
        <v>147</v>
      </c>
      <c r="D10" t="s">
        <v>148</v>
      </c>
      <c r="E10" t="s">
        <v>149</v>
      </c>
      <c r="F10" t="s">
        <v>150</v>
      </c>
      <c r="G10" t="s">
        <v>151</v>
      </c>
      <c r="I10" t="s">
        <v>13</v>
      </c>
      <c r="J10" t="s">
        <v>121</v>
      </c>
      <c r="K10" t="s">
        <v>161</v>
      </c>
      <c r="L10" t="s">
        <v>30</v>
      </c>
      <c r="N10" t="s">
        <v>13</v>
      </c>
      <c r="O10" t="s">
        <v>121</v>
      </c>
      <c r="P10" t="s">
        <v>161</v>
      </c>
      <c r="Q10" t="s">
        <v>30</v>
      </c>
      <c r="S10" t="s">
        <v>13</v>
      </c>
      <c r="T10" t="s">
        <v>121</v>
      </c>
      <c r="U10" t="s">
        <v>161</v>
      </c>
      <c r="V10" t="s">
        <v>30</v>
      </c>
      <c r="X10" t="s">
        <v>248</v>
      </c>
      <c r="Y10" t="s">
        <v>161</v>
      </c>
      <c r="Z10" t="s">
        <v>121</v>
      </c>
      <c r="AA10" t="s">
        <v>13</v>
      </c>
      <c r="AC10" t="s">
        <v>13</v>
      </c>
      <c r="AD10" t="s">
        <v>121</v>
      </c>
      <c r="AE10" t="s">
        <v>161</v>
      </c>
      <c r="AG10" t="s">
        <v>13</v>
      </c>
      <c r="AH10" t="s">
        <v>121</v>
      </c>
      <c r="AI10" t="s">
        <v>254</v>
      </c>
      <c r="AK10" t="s">
        <v>47</v>
      </c>
      <c r="AL10" t="s">
        <v>121</v>
      </c>
      <c r="AM10" t="s">
        <v>255</v>
      </c>
      <c r="AN10" t="s">
        <v>256</v>
      </c>
    </row>
    <row r="11" spans="1:40" x14ac:dyDescent="0.45">
      <c r="A11" t="str">
        <f>IFERROR(IF(Veda!D5=A10,"ok","x"),"")</f>
        <v>x</v>
      </c>
      <c r="C11" t="s">
        <v>152</v>
      </c>
      <c r="D11" t="s">
        <v>153</v>
      </c>
      <c r="E11" t="s">
        <v>154</v>
      </c>
      <c r="F11" t="s">
        <v>258</v>
      </c>
      <c r="G11" t="s">
        <v>153</v>
      </c>
      <c r="I11" t="s">
        <v>162</v>
      </c>
      <c r="J11" t="s">
        <v>163</v>
      </c>
      <c r="K11">
        <v>4.6722121837419819E-3</v>
      </c>
      <c r="L11" t="s">
        <v>164</v>
      </c>
      <c r="N11" t="s">
        <v>211</v>
      </c>
      <c r="O11" t="s">
        <v>163</v>
      </c>
      <c r="P11">
        <v>8.5646132017407353E-2</v>
      </c>
      <c r="Q11" t="s">
        <v>164</v>
      </c>
      <c r="S11" t="s">
        <v>238</v>
      </c>
      <c r="T11" t="s">
        <v>163</v>
      </c>
      <c r="U11">
        <v>3.3195622765722861E-2</v>
      </c>
      <c r="V11" t="s">
        <v>164</v>
      </c>
      <c r="X11">
        <v>5.3881278538812784E-2</v>
      </c>
      <c r="Y11">
        <v>2.9864505382492607E-2</v>
      </c>
      <c r="Z11" t="s">
        <v>163</v>
      </c>
      <c r="AA11" t="s">
        <v>25</v>
      </c>
      <c r="AC11" t="s">
        <v>22</v>
      </c>
      <c r="AD11" t="s">
        <v>163</v>
      </c>
      <c r="AE11">
        <v>4.3063403215144194E-2</v>
      </c>
      <c r="AG11" t="s">
        <v>96</v>
      </c>
      <c r="AH11" t="s">
        <v>163</v>
      </c>
      <c r="AI11">
        <v>0.31726468829417898</v>
      </c>
      <c r="AK11">
        <v>2020</v>
      </c>
      <c r="AL11" t="s">
        <v>152</v>
      </c>
      <c r="AM11">
        <v>0.37175242086383653</v>
      </c>
      <c r="AN11" t="s">
        <v>257</v>
      </c>
    </row>
    <row r="12" spans="1:40" x14ac:dyDescent="0.45">
      <c r="C12" t="s">
        <v>156</v>
      </c>
      <c r="E12" t="s">
        <v>157</v>
      </c>
      <c r="G12" t="s">
        <v>153</v>
      </c>
      <c r="I12" t="s">
        <v>162</v>
      </c>
      <c r="J12" t="s">
        <v>165</v>
      </c>
      <c r="K12">
        <v>0.18403569549029283</v>
      </c>
      <c r="L12" t="s">
        <v>164</v>
      </c>
      <c r="N12" t="s">
        <v>211</v>
      </c>
      <c r="O12" t="s">
        <v>165</v>
      </c>
      <c r="P12">
        <v>3.7233539709597994E-2</v>
      </c>
      <c r="Q12" t="s">
        <v>164</v>
      </c>
      <c r="S12" t="s">
        <v>238</v>
      </c>
      <c r="T12" t="s">
        <v>165</v>
      </c>
      <c r="U12">
        <v>3.7120587619797099E-2</v>
      </c>
      <c r="V12" t="s">
        <v>164</v>
      </c>
      <c r="X12">
        <v>6.0616438356164384E-2</v>
      </c>
      <c r="Y12">
        <v>8.3080824403947998E-2</v>
      </c>
      <c r="Z12" t="s">
        <v>165</v>
      </c>
      <c r="AA12" t="s">
        <v>25</v>
      </c>
      <c r="AC12" t="s">
        <v>22</v>
      </c>
      <c r="AD12" t="s">
        <v>165</v>
      </c>
      <c r="AE12">
        <v>7.3060702327796795E-2</v>
      </c>
      <c r="AG12" t="s">
        <v>96</v>
      </c>
      <c r="AH12" t="s">
        <v>165</v>
      </c>
      <c r="AI12">
        <v>5.1433298642015624E-2</v>
      </c>
      <c r="AK12">
        <v>2020</v>
      </c>
      <c r="AL12" t="s">
        <v>156</v>
      </c>
      <c r="AM12">
        <v>0.22505626406601639</v>
      </c>
      <c r="AN12" t="s">
        <v>257</v>
      </c>
    </row>
    <row r="13" spans="1:40" x14ac:dyDescent="0.45">
      <c r="C13" t="s">
        <v>158</v>
      </c>
      <c r="E13" t="s">
        <v>159</v>
      </c>
      <c r="G13" t="s">
        <v>153</v>
      </c>
      <c r="I13" t="s">
        <v>162</v>
      </c>
      <c r="J13" t="s">
        <v>166</v>
      </c>
      <c r="K13">
        <v>1.1556817613477705E-2</v>
      </c>
      <c r="L13" t="s">
        <v>164</v>
      </c>
      <c r="N13" t="s">
        <v>211</v>
      </c>
      <c r="O13" t="s">
        <v>166</v>
      </c>
      <c r="P13">
        <v>4.2387456911259372E-3</v>
      </c>
      <c r="Q13" t="s">
        <v>164</v>
      </c>
      <c r="S13" t="s">
        <v>238</v>
      </c>
      <c r="T13" t="s">
        <v>166</v>
      </c>
      <c r="U13">
        <v>1.2587327398092558E-2</v>
      </c>
      <c r="V13" t="s">
        <v>164</v>
      </c>
      <c r="X13">
        <v>6.735159817351598E-3</v>
      </c>
      <c r="Y13">
        <v>1.3103614018513452E-2</v>
      </c>
      <c r="Z13" t="s">
        <v>166</v>
      </c>
      <c r="AA13" t="s">
        <v>25</v>
      </c>
      <c r="AC13" t="s">
        <v>22</v>
      </c>
      <c r="AD13" t="s">
        <v>166</v>
      </c>
      <c r="AE13">
        <v>9.2877212572749397E-3</v>
      </c>
      <c r="AG13" t="s">
        <v>96</v>
      </c>
      <c r="AH13" t="s">
        <v>166</v>
      </c>
      <c r="AI13">
        <v>6.0882913297993113E-2</v>
      </c>
      <c r="AK13">
        <v>2020</v>
      </c>
      <c r="AL13" t="s">
        <v>158</v>
      </c>
      <c r="AM13">
        <v>0.2842377260981912</v>
      </c>
      <c r="AN13" t="s">
        <v>257</v>
      </c>
    </row>
    <row r="14" spans="1:40" x14ac:dyDescent="0.45">
      <c r="C14" t="s">
        <v>160</v>
      </c>
      <c r="E14" t="s">
        <v>259</v>
      </c>
      <c r="G14" t="s">
        <v>153</v>
      </c>
      <c r="I14" t="s">
        <v>162</v>
      </c>
      <c r="J14" t="s">
        <v>265</v>
      </c>
      <c r="K14">
        <v>4.9041499376328247E-3</v>
      </c>
      <c r="L14" t="s">
        <v>164</v>
      </c>
      <c r="N14" t="s">
        <v>211</v>
      </c>
      <c r="O14" t="s">
        <v>265</v>
      </c>
      <c r="P14">
        <v>2.4187913490049454E-2</v>
      </c>
      <c r="Q14" t="s">
        <v>164</v>
      </c>
      <c r="S14" t="s">
        <v>238</v>
      </c>
      <c r="T14" t="s">
        <v>265</v>
      </c>
      <c r="U14">
        <v>5.1791871609995481E-2</v>
      </c>
      <c r="V14" t="s">
        <v>164</v>
      </c>
      <c r="X14">
        <v>2.0205479452054795E-2</v>
      </c>
      <c r="Y14">
        <v>2.5816075379757854E-2</v>
      </c>
      <c r="Z14" t="s">
        <v>265</v>
      </c>
      <c r="AA14" t="s">
        <v>25</v>
      </c>
      <c r="AC14" t="s">
        <v>22</v>
      </c>
      <c r="AD14" t="s">
        <v>265</v>
      </c>
      <c r="AE14">
        <v>2.608279615065064E-2</v>
      </c>
      <c r="AG14" t="s">
        <v>96</v>
      </c>
      <c r="AH14" t="s">
        <v>265</v>
      </c>
      <c r="AI14">
        <v>0.12593013466916525</v>
      </c>
      <c r="AK14">
        <v>2020</v>
      </c>
      <c r="AL14" t="s">
        <v>160</v>
      </c>
      <c r="AM14">
        <v>0.247249312328082</v>
      </c>
      <c r="AN14" t="s">
        <v>257</v>
      </c>
    </row>
    <row r="15" spans="1:40" x14ac:dyDescent="0.45">
      <c r="C15" t="s">
        <v>260</v>
      </c>
      <c r="E15" t="s">
        <v>261</v>
      </c>
      <c r="G15" t="s">
        <v>153</v>
      </c>
      <c r="I15" t="s">
        <v>162</v>
      </c>
      <c r="J15" t="s">
        <v>266</v>
      </c>
      <c r="K15">
        <v>0</v>
      </c>
      <c r="L15" t="s">
        <v>164</v>
      </c>
      <c r="N15" t="s">
        <v>211</v>
      </c>
      <c r="O15" t="s">
        <v>266</v>
      </c>
      <c r="P15">
        <v>2.081329883021631E-2</v>
      </c>
      <c r="Q15" t="s">
        <v>164</v>
      </c>
      <c r="S15" t="s">
        <v>238</v>
      </c>
      <c r="T15" t="s">
        <v>266</v>
      </c>
      <c r="U15">
        <v>2.1226138584253328E-2</v>
      </c>
      <c r="V15" t="s">
        <v>164</v>
      </c>
      <c r="X15">
        <v>1.3470319634703196E-2</v>
      </c>
      <c r="Y15">
        <v>8.0186294740156976E-3</v>
      </c>
      <c r="Z15" t="s">
        <v>266</v>
      </c>
      <c r="AA15" t="s">
        <v>25</v>
      </c>
      <c r="AC15" t="s">
        <v>22</v>
      </c>
      <c r="AD15" t="s">
        <v>266</v>
      </c>
      <c r="AE15">
        <v>1.1241603998471494E-2</v>
      </c>
      <c r="AG15" t="s">
        <v>96</v>
      </c>
      <c r="AH15" t="s">
        <v>266</v>
      </c>
      <c r="AI15">
        <v>0.17560016898407516</v>
      </c>
      <c r="AK15">
        <v>2020</v>
      </c>
      <c r="AL15" t="s">
        <v>260</v>
      </c>
      <c r="AM15">
        <v>0.29382345586396591</v>
      </c>
      <c r="AN15" t="s">
        <v>257</v>
      </c>
    </row>
    <row r="16" spans="1:40" x14ac:dyDescent="0.45">
      <c r="C16" t="s">
        <v>262</v>
      </c>
      <c r="E16" t="s">
        <v>263</v>
      </c>
      <c r="G16" t="s">
        <v>153</v>
      </c>
      <c r="I16" t="s">
        <v>162</v>
      </c>
      <c r="J16" t="s">
        <v>267</v>
      </c>
      <c r="K16">
        <v>0</v>
      </c>
      <c r="L16" t="s">
        <v>164</v>
      </c>
      <c r="N16" t="s">
        <v>211</v>
      </c>
      <c r="O16" t="s">
        <v>267</v>
      </c>
      <c r="P16">
        <v>1.077601088599405E-2</v>
      </c>
      <c r="Q16" t="s">
        <v>164</v>
      </c>
      <c r="S16" t="s">
        <v>238</v>
      </c>
      <c r="T16" t="s">
        <v>267</v>
      </c>
      <c r="U16">
        <v>5.8398969883341539E-3</v>
      </c>
      <c r="V16" t="s">
        <v>164</v>
      </c>
      <c r="X16">
        <v>6.735159817351598E-3</v>
      </c>
      <c r="Y16">
        <v>1.7601869577107631E-3</v>
      </c>
      <c r="Z16" t="s">
        <v>267</v>
      </c>
      <c r="AA16" t="s">
        <v>25</v>
      </c>
      <c r="AC16" t="s">
        <v>22</v>
      </c>
      <c r="AD16" t="s">
        <v>267</v>
      </c>
      <c r="AE16">
        <v>4.2741041258635712E-3</v>
      </c>
      <c r="AG16" t="s">
        <v>96</v>
      </c>
      <c r="AH16" t="s">
        <v>267</v>
      </c>
      <c r="AI16">
        <v>5.3882725832012701E-2</v>
      </c>
      <c r="AK16">
        <v>2020</v>
      </c>
      <c r="AL16" t="s">
        <v>262</v>
      </c>
      <c r="AM16">
        <v>0.40010002500625153</v>
      </c>
      <c r="AN16" t="s">
        <v>257</v>
      </c>
    </row>
    <row r="17" spans="3:40" x14ac:dyDescent="0.45">
      <c r="C17" t="s">
        <v>264</v>
      </c>
      <c r="I17" t="s">
        <v>162</v>
      </c>
      <c r="J17" t="s">
        <v>167</v>
      </c>
      <c r="K17">
        <v>1.695668289459049E-3</v>
      </c>
      <c r="L17" t="s">
        <v>164</v>
      </c>
      <c r="N17" t="s">
        <v>211</v>
      </c>
      <c r="O17" t="s">
        <v>167</v>
      </c>
      <c r="P17">
        <v>6.3034791545868593E-2</v>
      </c>
      <c r="Q17" t="s">
        <v>164</v>
      </c>
      <c r="S17" t="s">
        <v>238</v>
      </c>
      <c r="T17" t="s">
        <v>167</v>
      </c>
      <c r="U17">
        <v>3.8821695062950946E-2</v>
      </c>
      <c r="V17" t="s">
        <v>164</v>
      </c>
      <c r="X17">
        <v>2.8310502283105023E-2</v>
      </c>
      <c r="Y17">
        <v>1.5691519777241876E-2</v>
      </c>
      <c r="Z17" t="s">
        <v>167</v>
      </c>
      <c r="AA17" t="s">
        <v>25</v>
      </c>
      <c r="AC17" t="s">
        <v>22</v>
      </c>
      <c r="AD17" t="s">
        <v>167</v>
      </c>
      <c r="AE17">
        <v>2.3214014900256031E-2</v>
      </c>
      <c r="AG17" t="s">
        <v>96</v>
      </c>
      <c r="AH17" t="s">
        <v>167</v>
      </c>
      <c r="AI17">
        <v>0.34456891333957795</v>
      </c>
      <c r="AK17">
        <v>2020</v>
      </c>
      <c r="AL17" t="s">
        <v>264</v>
      </c>
      <c r="AM17">
        <v>0.43047220138367914</v>
      </c>
      <c r="AN17" t="s">
        <v>257</v>
      </c>
    </row>
    <row r="18" spans="3:40" x14ac:dyDescent="0.45">
      <c r="I18" t="s">
        <v>162</v>
      </c>
      <c r="J18" t="s">
        <v>168</v>
      </c>
      <c r="K18">
        <v>8.5914547962527801E-2</v>
      </c>
      <c r="L18" t="s">
        <v>164</v>
      </c>
      <c r="N18" t="s">
        <v>211</v>
      </c>
      <c r="O18" t="s">
        <v>168</v>
      </c>
      <c r="P18">
        <v>2.4947763661221596E-2</v>
      </c>
      <c r="Q18" t="s">
        <v>164</v>
      </c>
      <c r="S18" t="s">
        <v>238</v>
      </c>
      <c r="T18" t="s">
        <v>168</v>
      </c>
      <c r="U18">
        <v>4.5325942651054239E-2</v>
      </c>
      <c r="V18" t="s">
        <v>164</v>
      </c>
      <c r="X18">
        <v>3.1849315068493152E-2</v>
      </c>
      <c r="Y18">
        <v>4.365263655122692E-2</v>
      </c>
      <c r="Z18" t="s">
        <v>168</v>
      </c>
      <c r="AA18" t="s">
        <v>25</v>
      </c>
      <c r="AC18" t="s">
        <v>22</v>
      </c>
      <c r="AD18" t="s">
        <v>168</v>
      </c>
      <c r="AE18">
        <v>3.995774312995496E-2</v>
      </c>
      <c r="AG18" t="s">
        <v>96</v>
      </c>
      <c r="AH18" t="s">
        <v>168</v>
      </c>
      <c r="AI18">
        <v>3.0636114849303286E-2</v>
      </c>
      <c r="AK18">
        <v>2021</v>
      </c>
      <c r="AL18" t="s">
        <v>152</v>
      </c>
      <c r="AM18">
        <v>0.4337021755438859</v>
      </c>
      <c r="AN18" t="s">
        <v>257</v>
      </c>
    </row>
    <row r="19" spans="3:40" x14ac:dyDescent="0.45">
      <c r="I19" t="s">
        <v>162</v>
      </c>
      <c r="J19" t="s">
        <v>169</v>
      </c>
      <c r="K19">
        <v>4.6202615714356658E-3</v>
      </c>
      <c r="L19" t="s">
        <v>164</v>
      </c>
      <c r="N19" t="s">
        <v>211</v>
      </c>
      <c r="O19" t="s">
        <v>169</v>
      </c>
      <c r="P19">
        <v>8.1471704798994021E-4</v>
      </c>
      <c r="Q19" t="s">
        <v>164</v>
      </c>
      <c r="S19" t="s">
        <v>238</v>
      </c>
      <c r="T19" t="s">
        <v>169</v>
      </c>
      <c r="U19">
        <v>8.4535811169421955E-3</v>
      </c>
      <c r="V19" t="s">
        <v>164</v>
      </c>
      <c r="X19">
        <v>3.5388127853881279E-3</v>
      </c>
      <c r="Y19">
        <v>6.8849497385409693E-3</v>
      </c>
      <c r="Z19" t="s">
        <v>169</v>
      </c>
      <c r="AA19" t="s">
        <v>25</v>
      </c>
      <c r="AC19" t="s">
        <v>22</v>
      </c>
      <c r="AD19" t="s">
        <v>169</v>
      </c>
      <c r="AE19">
        <v>5.0189835171252761E-3</v>
      </c>
      <c r="AG19" t="s">
        <v>96</v>
      </c>
      <c r="AH19" t="s">
        <v>169</v>
      </c>
      <c r="AI19">
        <v>5.334624795148768E-2</v>
      </c>
      <c r="AK19">
        <v>2021</v>
      </c>
      <c r="AL19" t="s">
        <v>156</v>
      </c>
      <c r="AM19">
        <v>0.35633908477119269</v>
      </c>
      <c r="AN19" t="s">
        <v>257</v>
      </c>
    </row>
    <row r="20" spans="3:40" x14ac:dyDescent="0.45">
      <c r="I20" t="s">
        <v>162</v>
      </c>
      <c r="J20" t="s">
        <v>268</v>
      </c>
      <c r="K20">
        <v>2.1626389864538025E-3</v>
      </c>
      <c r="L20" t="s">
        <v>164</v>
      </c>
      <c r="N20" t="s">
        <v>211</v>
      </c>
      <c r="O20" t="s">
        <v>268</v>
      </c>
      <c r="P20">
        <v>8.1559904159342906E-3</v>
      </c>
      <c r="Q20" t="s">
        <v>164</v>
      </c>
      <c r="S20" t="s">
        <v>238</v>
      </c>
      <c r="T20" t="s">
        <v>268</v>
      </c>
      <c r="U20">
        <v>2.3327793107280639E-2</v>
      </c>
      <c r="V20" t="s">
        <v>164</v>
      </c>
      <c r="X20">
        <v>1.0616438356164383E-2</v>
      </c>
      <c r="Y20">
        <v>1.3564378589364297E-2</v>
      </c>
      <c r="Z20" t="s">
        <v>268</v>
      </c>
      <c r="AA20" t="s">
        <v>25</v>
      </c>
      <c r="AC20" t="s">
        <v>22</v>
      </c>
      <c r="AD20" t="s">
        <v>268</v>
      </c>
      <c r="AE20">
        <v>1.4102948796276549E-2</v>
      </c>
      <c r="AG20" t="s">
        <v>96</v>
      </c>
      <c r="AH20" t="s">
        <v>268</v>
      </c>
      <c r="AI20">
        <v>0.11027686759602151</v>
      </c>
      <c r="AK20">
        <v>2021</v>
      </c>
      <c r="AL20" t="s">
        <v>158</v>
      </c>
      <c r="AM20">
        <v>0.36821705426356582</v>
      </c>
      <c r="AN20" t="s">
        <v>257</v>
      </c>
    </row>
    <row r="21" spans="3:40" x14ac:dyDescent="0.45">
      <c r="I21" t="s">
        <v>162</v>
      </c>
      <c r="J21" t="s">
        <v>269</v>
      </c>
      <c r="K21">
        <v>0</v>
      </c>
      <c r="L21" t="s">
        <v>164</v>
      </c>
      <c r="N21" t="s">
        <v>211</v>
      </c>
      <c r="O21" t="s">
        <v>269</v>
      </c>
      <c r="P21">
        <v>9.5984891013264073E-3</v>
      </c>
      <c r="Q21" t="s">
        <v>164</v>
      </c>
      <c r="S21" t="s">
        <v>238</v>
      </c>
      <c r="T21" t="s">
        <v>269</v>
      </c>
      <c r="U21">
        <v>1.1043830166319105E-2</v>
      </c>
      <c r="V21" t="s">
        <v>164</v>
      </c>
      <c r="X21">
        <v>7.0776255707762558E-3</v>
      </c>
      <c r="Y21">
        <v>4.2131781982116369E-3</v>
      </c>
      <c r="Z21" t="s">
        <v>269</v>
      </c>
      <c r="AA21" t="s">
        <v>25</v>
      </c>
      <c r="AC21" t="s">
        <v>22</v>
      </c>
      <c r="AD21" t="s">
        <v>269</v>
      </c>
      <c r="AE21">
        <v>6.3691176590733797E-3</v>
      </c>
      <c r="AG21" t="s">
        <v>96</v>
      </c>
      <c r="AH21" t="s">
        <v>269</v>
      </c>
      <c r="AI21">
        <v>0.10940014473453763</v>
      </c>
      <c r="AK21">
        <v>2021</v>
      </c>
      <c r="AL21" t="s">
        <v>160</v>
      </c>
      <c r="AM21">
        <v>0.25693923480870218</v>
      </c>
      <c r="AN21" t="s">
        <v>257</v>
      </c>
    </row>
    <row r="22" spans="3:40" x14ac:dyDescent="0.45">
      <c r="I22" t="s">
        <v>162</v>
      </c>
      <c r="J22" t="s">
        <v>270</v>
      </c>
      <c r="K22">
        <v>0</v>
      </c>
      <c r="L22" t="s">
        <v>164</v>
      </c>
      <c r="N22" t="s">
        <v>211</v>
      </c>
      <c r="O22" t="s">
        <v>270</v>
      </c>
      <c r="P22">
        <v>6.4933782873261405E-3</v>
      </c>
      <c r="Q22" t="s">
        <v>164</v>
      </c>
      <c r="S22" t="s">
        <v>238</v>
      </c>
      <c r="T22" t="s">
        <v>270</v>
      </c>
      <c r="U22">
        <v>4.4036894344861308E-3</v>
      </c>
      <c r="V22" t="s">
        <v>164</v>
      </c>
      <c r="X22">
        <v>3.5388127853881279E-3</v>
      </c>
      <c r="Y22">
        <v>9.2484399472938378E-4</v>
      </c>
      <c r="Z22" t="s">
        <v>270</v>
      </c>
      <c r="AA22" t="s">
        <v>25</v>
      </c>
      <c r="AC22" t="s">
        <v>22</v>
      </c>
      <c r="AD22" t="s">
        <v>270</v>
      </c>
      <c r="AE22">
        <v>2.2901287612460464E-3</v>
      </c>
      <c r="AG22" t="s">
        <v>96</v>
      </c>
      <c r="AH22" t="s">
        <v>270</v>
      </c>
      <c r="AI22">
        <v>2.7743894744811648E-2</v>
      </c>
      <c r="AK22">
        <v>2021</v>
      </c>
      <c r="AL22" t="s">
        <v>260</v>
      </c>
      <c r="AM22">
        <v>0.18754688672168041</v>
      </c>
      <c r="AN22" t="s">
        <v>257</v>
      </c>
    </row>
    <row r="23" spans="3:40" x14ac:dyDescent="0.45">
      <c r="I23" t="s">
        <v>162</v>
      </c>
      <c r="J23" t="s">
        <v>170</v>
      </c>
      <c r="K23">
        <v>1.9178872065960266E-3</v>
      </c>
      <c r="L23" t="s">
        <v>164</v>
      </c>
      <c r="N23" t="s">
        <v>211</v>
      </c>
      <c r="O23" t="s">
        <v>170</v>
      </c>
      <c r="P23">
        <v>5.1364093776657946E-2</v>
      </c>
      <c r="Q23" t="s">
        <v>164</v>
      </c>
      <c r="S23" t="s">
        <v>238</v>
      </c>
      <c r="T23" t="s">
        <v>170</v>
      </c>
      <c r="U23">
        <v>1.8124871667410964E-2</v>
      </c>
      <c r="V23" t="s">
        <v>164</v>
      </c>
      <c r="X23">
        <v>2.7397260273972601E-2</v>
      </c>
      <c r="Y23">
        <v>1.5185341719911493E-2</v>
      </c>
      <c r="Z23" t="s">
        <v>170</v>
      </c>
      <c r="AA23" t="s">
        <v>25</v>
      </c>
      <c r="AC23" t="s">
        <v>22</v>
      </c>
      <c r="AD23" t="s">
        <v>170</v>
      </c>
      <c r="AE23">
        <v>2.1970166156837199E-2</v>
      </c>
      <c r="AG23" t="s">
        <v>96</v>
      </c>
      <c r="AH23" t="s">
        <v>170</v>
      </c>
      <c r="AI23">
        <v>0.32123491691566697</v>
      </c>
      <c r="AK23">
        <v>2021</v>
      </c>
      <c r="AL23" t="s">
        <v>262</v>
      </c>
      <c r="AM23">
        <v>0.32508127031757938</v>
      </c>
      <c r="AN23" t="s">
        <v>257</v>
      </c>
    </row>
    <row r="24" spans="3:40" x14ac:dyDescent="0.45">
      <c r="I24" t="s">
        <v>162</v>
      </c>
      <c r="J24" t="s">
        <v>171</v>
      </c>
      <c r="K24">
        <v>7.5524177168340756E-2</v>
      </c>
      <c r="L24" t="s">
        <v>164</v>
      </c>
      <c r="N24" t="s">
        <v>211</v>
      </c>
      <c r="O24" t="s">
        <v>171</v>
      </c>
      <c r="P24">
        <v>2.9675756405802653E-2</v>
      </c>
      <c r="Q24" t="s">
        <v>164</v>
      </c>
      <c r="S24" t="s">
        <v>238</v>
      </c>
      <c r="T24" t="s">
        <v>171</v>
      </c>
      <c r="U24">
        <v>2.2158579262698454E-2</v>
      </c>
      <c r="V24" t="s">
        <v>164</v>
      </c>
      <c r="X24">
        <v>3.0821917808219176E-2</v>
      </c>
      <c r="Y24">
        <v>4.2244486985058304E-2</v>
      </c>
      <c r="Z24" t="s">
        <v>171</v>
      </c>
      <c r="AA24" t="s">
        <v>25</v>
      </c>
      <c r="AC24" t="s">
        <v>22</v>
      </c>
      <c r="AD24" t="s">
        <v>171</v>
      </c>
      <c r="AE24">
        <v>3.7788324128656958E-2</v>
      </c>
      <c r="AG24" t="s">
        <v>96</v>
      </c>
      <c r="AH24" t="s">
        <v>171</v>
      </c>
      <c r="AI24">
        <v>2.318363010764446E-2</v>
      </c>
      <c r="AK24">
        <v>2021</v>
      </c>
      <c r="AL24" t="s">
        <v>264</v>
      </c>
      <c r="AM24">
        <v>0.4890285071267817</v>
      </c>
      <c r="AN24" t="s">
        <v>257</v>
      </c>
    </row>
    <row r="25" spans="3:40" x14ac:dyDescent="0.45">
      <c r="I25" t="s">
        <v>162</v>
      </c>
      <c r="J25" t="s">
        <v>172</v>
      </c>
      <c r="K25">
        <v>3.3834234500221194E-3</v>
      </c>
      <c r="L25" t="s">
        <v>164</v>
      </c>
      <c r="N25" t="s">
        <v>211</v>
      </c>
      <c r="O25" t="s">
        <v>172</v>
      </c>
      <c r="P25">
        <v>1.7537992965686183E-3</v>
      </c>
      <c r="Q25" t="s">
        <v>164</v>
      </c>
      <c r="S25" t="s">
        <v>238</v>
      </c>
      <c r="T25" t="s">
        <v>172</v>
      </c>
      <c r="U25">
        <v>4.4625315950349654E-3</v>
      </c>
      <c r="V25" t="s">
        <v>164</v>
      </c>
      <c r="X25">
        <v>3.4246575342465752E-3</v>
      </c>
      <c r="Y25">
        <v>6.662854585684809E-3</v>
      </c>
      <c r="Z25" t="s">
        <v>172</v>
      </c>
      <c r="AA25" t="s">
        <v>25</v>
      </c>
      <c r="AC25" t="s">
        <v>22</v>
      </c>
      <c r="AD25" t="s">
        <v>172</v>
      </c>
      <c r="AE25">
        <v>4.7344878800749841E-3</v>
      </c>
      <c r="AG25" t="s">
        <v>96</v>
      </c>
      <c r="AH25" t="s">
        <v>172</v>
      </c>
      <c r="AI25">
        <v>3.1796779631459549E-2</v>
      </c>
      <c r="AK25">
        <v>2022</v>
      </c>
      <c r="AL25" t="s">
        <v>152</v>
      </c>
      <c r="AM25">
        <v>0.44933108277069267</v>
      </c>
      <c r="AN25" t="s">
        <v>257</v>
      </c>
    </row>
    <row r="26" spans="3:40" x14ac:dyDescent="0.45">
      <c r="I26" t="s">
        <v>162</v>
      </c>
      <c r="J26" t="s">
        <v>271</v>
      </c>
      <c r="K26">
        <v>1.5911067933667281E-3</v>
      </c>
      <c r="L26" t="s">
        <v>164</v>
      </c>
      <c r="N26" t="s">
        <v>211</v>
      </c>
      <c r="O26" t="s">
        <v>271</v>
      </c>
      <c r="P26">
        <v>1.0710494611071063E-2</v>
      </c>
      <c r="Q26" t="s">
        <v>164</v>
      </c>
      <c r="S26" t="s">
        <v>238</v>
      </c>
      <c r="T26" t="s">
        <v>271</v>
      </c>
      <c r="U26">
        <v>1.3856315793614451E-2</v>
      </c>
      <c r="V26" t="s">
        <v>164</v>
      </c>
      <c r="X26">
        <v>1.0273972602739725E-2</v>
      </c>
      <c r="Y26">
        <v>1.3126817989707384E-2</v>
      </c>
      <c r="Z26" t="s">
        <v>271</v>
      </c>
      <c r="AA26" t="s">
        <v>25</v>
      </c>
      <c r="AC26" t="s">
        <v>22</v>
      </c>
      <c r="AD26" t="s">
        <v>271</v>
      </c>
      <c r="AE26">
        <v>1.3364248708631506E-2</v>
      </c>
      <c r="AG26" t="s">
        <v>96</v>
      </c>
      <c r="AH26" t="s">
        <v>271</v>
      </c>
      <c r="AI26">
        <v>8.4819791058158733E-2</v>
      </c>
      <c r="AK26">
        <v>2022</v>
      </c>
      <c r="AL26" t="s">
        <v>156</v>
      </c>
      <c r="AM26">
        <v>0.41885471367841959</v>
      </c>
      <c r="AN26" t="s">
        <v>257</v>
      </c>
    </row>
    <row r="27" spans="3:40" x14ac:dyDescent="0.45">
      <c r="I27" t="s">
        <v>162</v>
      </c>
      <c r="J27" t="s">
        <v>272</v>
      </c>
      <c r="K27">
        <v>0</v>
      </c>
      <c r="L27" t="s">
        <v>164</v>
      </c>
      <c r="N27" t="s">
        <v>211</v>
      </c>
      <c r="O27" t="s">
        <v>272</v>
      </c>
      <c r="P27">
        <v>9.7738512678512985E-3</v>
      </c>
      <c r="Q27" t="s">
        <v>164</v>
      </c>
      <c r="S27" t="s">
        <v>238</v>
      </c>
      <c r="T27" t="s">
        <v>272</v>
      </c>
      <c r="U27">
        <v>5.8944808659451035E-3</v>
      </c>
      <c r="V27" t="s">
        <v>164</v>
      </c>
      <c r="X27">
        <v>6.8493150684931503E-3</v>
      </c>
      <c r="Y27">
        <v>4.0772692240757785E-3</v>
      </c>
      <c r="Z27" t="s">
        <v>272</v>
      </c>
      <c r="AA27" t="s">
        <v>25</v>
      </c>
      <c r="AC27" t="s">
        <v>22</v>
      </c>
      <c r="AD27" t="s">
        <v>272</v>
      </c>
      <c r="AE27">
        <v>5.9119353134657465E-3</v>
      </c>
      <c r="AG27" t="s">
        <v>96</v>
      </c>
      <c r="AH27" t="s">
        <v>272</v>
      </c>
      <c r="AI27">
        <v>0.11727986247128941</v>
      </c>
      <c r="AK27">
        <v>2022</v>
      </c>
      <c r="AL27" t="s">
        <v>158</v>
      </c>
      <c r="AM27">
        <v>0.355297157622739</v>
      </c>
      <c r="AN27" t="s">
        <v>257</v>
      </c>
    </row>
    <row r="28" spans="3:40" x14ac:dyDescent="0.45">
      <c r="I28" t="s">
        <v>162</v>
      </c>
      <c r="J28" t="s">
        <v>273</v>
      </c>
      <c r="K28">
        <v>0</v>
      </c>
      <c r="L28" t="s">
        <v>164</v>
      </c>
      <c r="N28" t="s">
        <v>211</v>
      </c>
      <c r="O28" t="s">
        <v>273</v>
      </c>
      <c r="P28">
        <v>5.8041291091568501E-3</v>
      </c>
      <c r="Q28" t="s">
        <v>164</v>
      </c>
      <c r="S28" t="s">
        <v>238</v>
      </c>
      <c r="T28" t="s">
        <v>273</v>
      </c>
      <c r="U28">
        <v>2.2664156716005477E-3</v>
      </c>
      <c r="V28" t="s">
        <v>164</v>
      </c>
      <c r="X28">
        <v>3.4246575342465752E-3</v>
      </c>
      <c r="Y28">
        <v>8.9501031748004888E-4</v>
      </c>
      <c r="Z28" t="s">
        <v>273</v>
      </c>
      <c r="AA28" t="s">
        <v>25</v>
      </c>
      <c r="AC28" t="s">
        <v>22</v>
      </c>
      <c r="AD28" t="s">
        <v>273</v>
      </c>
      <c r="AE28">
        <v>2.1438019381731094E-3</v>
      </c>
      <c r="AG28" t="s">
        <v>96</v>
      </c>
      <c r="AH28" t="s">
        <v>273</v>
      </c>
      <c r="AI28">
        <v>5.7530739071293358E-2</v>
      </c>
      <c r="AK28">
        <v>2022</v>
      </c>
      <c r="AL28" t="s">
        <v>160</v>
      </c>
      <c r="AM28">
        <v>0.20838542969075602</v>
      </c>
      <c r="AN28" t="s">
        <v>257</v>
      </c>
    </row>
    <row r="29" spans="3:40" x14ac:dyDescent="0.45">
      <c r="I29" t="s">
        <v>162</v>
      </c>
      <c r="J29" t="s">
        <v>173</v>
      </c>
      <c r="K29">
        <v>4.3475702998718056E-3</v>
      </c>
      <c r="L29" t="s">
        <v>164</v>
      </c>
      <c r="N29" t="s">
        <v>211</v>
      </c>
      <c r="O29" t="s">
        <v>173</v>
      </c>
      <c r="P29">
        <v>9.0586875017577687E-2</v>
      </c>
      <c r="Q29" t="s">
        <v>164</v>
      </c>
      <c r="S29" t="s">
        <v>238</v>
      </c>
      <c r="T29" t="s">
        <v>173</v>
      </c>
      <c r="U29">
        <v>3.1955670316375341E-2</v>
      </c>
      <c r="V29" t="s">
        <v>164</v>
      </c>
      <c r="X29">
        <v>5.5707762557077628E-2</v>
      </c>
      <c r="Y29">
        <v>3.0876861497153366E-2</v>
      </c>
      <c r="Z29" t="s">
        <v>173</v>
      </c>
      <c r="AA29" t="s">
        <v>25</v>
      </c>
      <c r="AC29" t="s">
        <v>22</v>
      </c>
      <c r="AD29" t="s">
        <v>173</v>
      </c>
      <c r="AE29">
        <v>4.4715549625070267E-2</v>
      </c>
      <c r="AG29" t="s">
        <v>96</v>
      </c>
      <c r="AH29" t="s">
        <v>173</v>
      </c>
      <c r="AI29">
        <v>0.33941888161829636</v>
      </c>
      <c r="AK29">
        <v>2022</v>
      </c>
      <c r="AL29" t="s">
        <v>260</v>
      </c>
      <c r="AM29">
        <v>0.30007501875468862</v>
      </c>
      <c r="AN29" t="s">
        <v>257</v>
      </c>
    </row>
    <row r="30" spans="3:40" x14ac:dyDescent="0.45">
      <c r="I30" t="s">
        <v>162</v>
      </c>
      <c r="J30" t="s">
        <v>174</v>
      </c>
      <c r="K30">
        <v>0.13362021759458376</v>
      </c>
      <c r="L30" t="s">
        <v>164</v>
      </c>
      <c r="N30" t="s">
        <v>211</v>
      </c>
      <c r="O30" t="s">
        <v>174</v>
      </c>
      <c r="P30">
        <v>6.5616538873025099E-2</v>
      </c>
      <c r="Q30" t="s">
        <v>164</v>
      </c>
      <c r="S30" t="s">
        <v>238</v>
      </c>
      <c r="T30" t="s">
        <v>174</v>
      </c>
      <c r="U30">
        <v>5.1312850896605998E-2</v>
      </c>
      <c r="V30" t="s">
        <v>164</v>
      </c>
      <c r="X30">
        <v>6.2671232876712335E-2</v>
      </c>
      <c r="Y30">
        <v>8.589712353628523E-2</v>
      </c>
      <c r="Z30" t="s">
        <v>174</v>
      </c>
      <c r="AA30" t="s">
        <v>25</v>
      </c>
      <c r="AC30" t="s">
        <v>22</v>
      </c>
      <c r="AD30" t="s">
        <v>174</v>
      </c>
      <c r="AE30">
        <v>7.162353348052744E-2</v>
      </c>
      <c r="AG30" t="s">
        <v>96</v>
      </c>
      <c r="AH30" t="s">
        <v>174</v>
      </c>
      <c r="AI30">
        <v>7.0744710937965971E-2</v>
      </c>
      <c r="AK30">
        <v>2022</v>
      </c>
      <c r="AL30" t="s">
        <v>262</v>
      </c>
      <c r="AM30">
        <v>0.49387346836709167</v>
      </c>
      <c r="AN30" t="s">
        <v>257</v>
      </c>
    </row>
    <row r="31" spans="3:40" x14ac:dyDescent="0.45">
      <c r="I31" t="s">
        <v>162</v>
      </c>
      <c r="J31" t="s">
        <v>175</v>
      </c>
      <c r="K31">
        <v>5.6718695853226458E-3</v>
      </c>
      <c r="L31" t="s">
        <v>164</v>
      </c>
      <c r="N31" t="s">
        <v>211</v>
      </c>
      <c r="O31" t="s">
        <v>175</v>
      </c>
      <c r="P31">
        <v>5.4371286719322167E-3</v>
      </c>
      <c r="Q31" t="s">
        <v>164</v>
      </c>
      <c r="S31" t="s">
        <v>238</v>
      </c>
      <c r="T31" t="s">
        <v>175</v>
      </c>
      <c r="U31">
        <v>8.7036759346277876E-3</v>
      </c>
      <c r="V31" t="s">
        <v>164</v>
      </c>
      <c r="X31">
        <v>6.9634703196347035E-3</v>
      </c>
      <c r="Y31">
        <v>1.354780432422577E-2</v>
      </c>
      <c r="Z31" t="s">
        <v>175</v>
      </c>
      <c r="AA31" t="s">
        <v>25</v>
      </c>
      <c r="AC31" t="s">
        <v>22</v>
      </c>
      <c r="AD31" t="s">
        <v>175</v>
      </c>
      <c r="AE31">
        <v>9.2525682130141992E-3</v>
      </c>
      <c r="AG31" t="s">
        <v>96</v>
      </c>
      <c r="AH31" t="s">
        <v>175</v>
      </c>
      <c r="AI31">
        <v>5.1379966192858229E-2</v>
      </c>
      <c r="AK31">
        <v>2022</v>
      </c>
      <c r="AL31" t="s">
        <v>264</v>
      </c>
      <c r="AM31">
        <v>0.54169792448112031</v>
      </c>
      <c r="AN31" t="s">
        <v>257</v>
      </c>
    </row>
    <row r="32" spans="3:40" x14ac:dyDescent="0.45">
      <c r="I32" t="s">
        <v>162</v>
      </c>
      <c r="J32" t="s">
        <v>274</v>
      </c>
      <c r="K32">
        <v>2.8239749081209703E-3</v>
      </c>
      <c r="L32" t="s">
        <v>164</v>
      </c>
      <c r="N32" t="s">
        <v>211</v>
      </c>
      <c r="O32" t="s">
        <v>274</v>
      </c>
      <c r="P32">
        <v>2.6309203999837674E-2</v>
      </c>
      <c r="Q32" t="s">
        <v>164</v>
      </c>
      <c r="S32" t="s">
        <v>238</v>
      </c>
      <c r="T32" t="s">
        <v>274</v>
      </c>
      <c r="U32">
        <v>2.6575591653019027E-2</v>
      </c>
      <c r="V32" t="s">
        <v>164</v>
      </c>
      <c r="X32">
        <v>2.0890410958904111E-2</v>
      </c>
      <c r="Y32">
        <v>2.669119657907168E-2</v>
      </c>
      <c r="Z32" t="s">
        <v>274</v>
      </c>
      <c r="AA32" t="s">
        <v>25</v>
      </c>
      <c r="AC32" t="s">
        <v>22</v>
      </c>
      <c r="AD32" t="s">
        <v>274</v>
      </c>
      <c r="AE32">
        <v>2.5912926251663849E-2</v>
      </c>
      <c r="AG32" t="s">
        <v>96</v>
      </c>
      <c r="AH32" t="s">
        <v>274</v>
      </c>
      <c r="AI32">
        <v>0.115756826835965</v>
      </c>
      <c r="AK32">
        <v>2025</v>
      </c>
      <c r="AL32" t="s">
        <v>152</v>
      </c>
      <c r="AM32">
        <v>0.34260000000000002</v>
      </c>
      <c r="AN32" t="s">
        <v>257</v>
      </c>
    </row>
    <row r="33" spans="9:40" x14ac:dyDescent="0.45">
      <c r="I33" t="s">
        <v>162</v>
      </c>
      <c r="J33" t="s">
        <v>275</v>
      </c>
      <c r="K33">
        <v>0</v>
      </c>
      <c r="L33" t="s">
        <v>164</v>
      </c>
      <c r="N33" t="s">
        <v>211</v>
      </c>
      <c r="O33" t="s">
        <v>275</v>
      </c>
      <c r="P33">
        <v>2.1907127156539162E-2</v>
      </c>
      <c r="Q33" t="s">
        <v>164</v>
      </c>
      <c r="S33" t="s">
        <v>238</v>
      </c>
      <c r="T33" t="s">
        <v>275</v>
      </c>
      <c r="U33">
        <v>1.0308292459735795E-2</v>
      </c>
      <c r="V33" t="s">
        <v>164</v>
      </c>
      <c r="X33">
        <v>1.3926940639269407E-2</v>
      </c>
      <c r="Y33">
        <v>8.2904474222874145E-3</v>
      </c>
      <c r="Z33" t="s">
        <v>275</v>
      </c>
      <c r="AA33" t="s">
        <v>25</v>
      </c>
      <c r="AC33" t="s">
        <v>22</v>
      </c>
      <c r="AD33" t="s">
        <v>275</v>
      </c>
      <c r="AE33">
        <v>1.1350964242393924E-2</v>
      </c>
      <c r="AG33" t="s">
        <v>96</v>
      </c>
      <c r="AH33" t="s">
        <v>275</v>
      </c>
      <c r="AI33">
        <v>0.15896737166235386</v>
      </c>
      <c r="AK33">
        <v>2025</v>
      </c>
      <c r="AL33" t="s">
        <v>156</v>
      </c>
      <c r="AM33">
        <v>0.2681</v>
      </c>
      <c r="AN33" t="s">
        <v>257</v>
      </c>
    </row>
    <row r="34" spans="9:40" x14ac:dyDescent="0.45">
      <c r="I34" t="s">
        <v>162</v>
      </c>
      <c r="J34" t="s">
        <v>276</v>
      </c>
      <c r="K34">
        <v>0</v>
      </c>
      <c r="L34" t="s">
        <v>164</v>
      </c>
      <c r="N34" t="s">
        <v>211</v>
      </c>
      <c r="O34" t="s">
        <v>276</v>
      </c>
      <c r="P34">
        <v>1.1176313932140221E-2</v>
      </c>
      <c r="Q34" t="s">
        <v>164</v>
      </c>
      <c r="S34" t="s">
        <v>238</v>
      </c>
      <c r="T34" t="s">
        <v>276</v>
      </c>
      <c r="U34">
        <v>4.1907332292159755E-3</v>
      </c>
      <c r="V34" t="s">
        <v>164</v>
      </c>
      <c r="X34">
        <v>6.9634703196347035E-3</v>
      </c>
      <c r="Y34">
        <v>1.8198543122094333E-3</v>
      </c>
      <c r="Z34" t="s">
        <v>276</v>
      </c>
      <c r="AA34" t="s">
        <v>25</v>
      </c>
      <c r="AC34" t="s">
        <v>22</v>
      </c>
      <c r="AD34" t="s">
        <v>276</v>
      </c>
      <c r="AE34">
        <v>4.3693994270282682E-3</v>
      </c>
      <c r="AG34" t="s">
        <v>96</v>
      </c>
      <c r="AH34" t="s">
        <v>276</v>
      </c>
      <c r="AI34">
        <v>0.11400463972370956</v>
      </c>
      <c r="AK34">
        <v>2025</v>
      </c>
      <c r="AL34" t="s">
        <v>158</v>
      </c>
      <c r="AM34">
        <v>0.26750000000000002</v>
      </c>
      <c r="AN34" t="s">
        <v>257</v>
      </c>
    </row>
    <row r="35" spans="9:40" x14ac:dyDescent="0.45">
      <c r="I35" t="s">
        <v>162</v>
      </c>
      <c r="J35" t="s">
        <v>277</v>
      </c>
      <c r="K35">
        <v>1.0422459186045373E-3</v>
      </c>
      <c r="L35" t="s">
        <v>164</v>
      </c>
      <c r="N35" t="s">
        <v>211</v>
      </c>
      <c r="O35" t="s">
        <v>277</v>
      </c>
      <c r="P35">
        <v>3.5071545332965817E-2</v>
      </c>
      <c r="Q35" t="s">
        <v>164</v>
      </c>
      <c r="S35" t="s">
        <v>238</v>
      </c>
      <c r="T35" t="s">
        <v>277</v>
      </c>
      <c r="U35">
        <v>3.3641166445093712E-2</v>
      </c>
      <c r="V35" t="s">
        <v>164</v>
      </c>
      <c r="X35">
        <v>2.8310502283105023E-2</v>
      </c>
      <c r="Y35">
        <v>1.5691519777241876E-2</v>
      </c>
      <c r="Z35" t="s">
        <v>277</v>
      </c>
      <c r="AA35" t="s">
        <v>25</v>
      </c>
      <c r="AC35" t="s">
        <v>22</v>
      </c>
      <c r="AD35" t="s">
        <v>277</v>
      </c>
      <c r="AE35">
        <v>2.2014090894812655E-2</v>
      </c>
      <c r="AG35" t="s">
        <v>96</v>
      </c>
      <c r="AH35" t="s">
        <v>277</v>
      </c>
      <c r="AI35">
        <v>0.26325585843741917</v>
      </c>
      <c r="AK35">
        <v>2025</v>
      </c>
      <c r="AL35" t="s">
        <v>160</v>
      </c>
      <c r="AM35">
        <v>0.21739999999999998</v>
      </c>
      <c r="AN35" t="s">
        <v>257</v>
      </c>
    </row>
    <row r="36" spans="9:40" x14ac:dyDescent="0.45">
      <c r="I36" t="s">
        <v>162</v>
      </c>
      <c r="J36" t="s">
        <v>278</v>
      </c>
      <c r="K36">
        <v>5.9440460492553422E-2</v>
      </c>
      <c r="L36" t="s">
        <v>164</v>
      </c>
      <c r="N36" t="s">
        <v>211</v>
      </c>
      <c r="O36" t="s">
        <v>278</v>
      </c>
      <c r="P36">
        <v>3.2357748073220102E-2</v>
      </c>
      <c r="Q36" t="s">
        <v>164</v>
      </c>
      <c r="S36" t="s">
        <v>238</v>
      </c>
      <c r="T36" t="s">
        <v>278</v>
      </c>
      <c r="U36">
        <v>3.8376733082788939E-2</v>
      </c>
      <c r="V36" t="s">
        <v>164</v>
      </c>
      <c r="X36">
        <v>3.1849315068493152E-2</v>
      </c>
      <c r="Y36">
        <v>4.365263655122692E-2</v>
      </c>
      <c r="Z36" t="s">
        <v>278</v>
      </c>
      <c r="AA36" t="s">
        <v>25</v>
      </c>
      <c r="AC36" t="s">
        <v>22</v>
      </c>
      <c r="AD36" t="s">
        <v>278</v>
      </c>
      <c r="AE36">
        <v>3.4721375774535546E-2</v>
      </c>
      <c r="AG36" t="s">
        <v>96</v>
      </c>
      <c r="AH36" t="s">
        <v>278</v>
      </c>
      <c r="AI36">
        <v>2.8910792853531708E-2</v>
      </c>
      <c r="AK36">
        <v>2025</v>
      </c>
      <c r="AL36" t="s">
        <v>260</v>
      </c>
      <c r="AM36">
        <v>0.2167</v>
      </c>
      <c r="AN36" t="s">
        <v>257</v>
      </c>
    </row>
    <row r="37" spans="9:40" x14ac:dyDescent="0.45">
      <c r="I37" t="s">
        <v>162</v>
      </c>
      <c r="J37" t="s">
        <v>279</v>
      </c>
      <c r="K37">
        <v>3.502730673218519E-3</v>
      </c>
      <c r="L37" t="s">
        <v>164</v>
      </c>
      <c r="N37" t="s">
        <v>211</v>
      </c>
      <c r="O37" t="s">
        <v>279</v>
      </c>
      <c r="P37">
        <v>1.2551722164486302E-3</v>
      </c>
      <c r="Q37" t="s">
        <v>164</v>
      </c>
      <c r="S37" t="s">
        <v>238</v>
      </c>
      <c r="T37" t="s">
        <v>279</v>
      </c>
      <c r="U37">
        <v>7.0538866008021213E-3</v>
      </c>
      <c r="V37" t="s">
        <v>164</v>
      </c>
      <c r="X37">
        <v>3.5388127853881279E-3</v>
      </c>
      <c r="Y37">
        <v>6.8849497385409693E-3</v>
      </c>
      <c r="Z37" t="s">
        <v>279</v>
      </c>
      <c r="AA37" t="s">
        <v>25</v>
      </c>
      <c r="AC37" t="s">
        <v>22</v>
      </c>
      <c r="AD37" t="s">
        <v>279</v>
      </c>
      <c r="AE37">
        <v>4.6622257714010644E-3</v>
      </c>
      <c r="AG37" t="s">
        <v>96</v>
      </c>
      <c r="AH37" t="s">
        <v>279</v>
      </c>
      <c r="AI37">
        <v>4.0518875509836016E-2</v>
      </c>
      <c r="AK37">
        <v>2025</v>
      </c>
      <c r="AL37" t="s">
        <v>262</v>
      </c>
      <c r="AM37">
        <v>0.28960000000000002</v>
      </c>
      <c r="AN37" t="s">
        <v>257</v>
      </c>
    </row>
    <row r="38" spans="9:40" x14ac:dyDescent="0.45">
      <c r="I38" t="s">
        <v>162</v>
      </c>
      <c r="J38" t="s">
        <v>280</v>
      </c>
      <c r="K38">
        <v>1.8799340159643347E-3</v>
      </c>
      <c r="L38" t="s">
        <v>164</v>
      </c>
      <c r="N38" t="s">
        <v>211</v>
      </c>
      <c r="O38" t="s">
        <v>280</v>
      </c>
      <c r="P38">
        <v>7.0846824228391328E-3</v>
      </c>
      <c r="Q38" t="s">
        <v>164</v>
      </c>
      <c r="S38" t="s">
        <v>238</v>
      </c>
      <c r="T38" t="s">
        <v>280</v>
      </c>
      <c r="U38">
        <v>2.2021833431831925E-2</v>
      </c>
      <c r="V38" t="s">
        <v>164</v>
      </c>
      <c r="X38">
        <v>1.0616438356164383E-2</v>
      </c>
      <c r="Y38">
        <v>1.3564378589364297E-2</v>
      </c>
      <c r="Z38" t="s">
        <v>280</v>
      </c>
      <c r="AA38" t="s">
        <v>25</v>
      </c>
      <c r="AC38" t="s">
        <v>22</v>
      </c>
      <c r="AD38" t="s">
        <v>280</v>
      </c>
      <c r="AE38">
        <v>1.2582461950119229E-2</v>
      </c>
      <c r="AG38" t="s">
        <v>96</v>
      </c>
      <c r="AH38" t="s">
        <v>280</v>
      </c>
      <c r="AI38">
        <v>0.111957953788834</v>
      </c>
      <c r="AK38">
        <v>2025</v>
      </c>
      <c r="AL38" t="s">
        <v>264</v>
      </c>
      <c r="AM38">
        <v>0.39317500000000005</v>
      </c>
      <c r="AN38" t="s">
        <v>257</v>
      </c>
    </row>
    <row r="39" spans="9:40" x14ac:dyDescent="0.45">
      <c r="I39" t="s">
        <v>162</v>
      </c>
      <c r="J39" t="s">
        <v>281</v>
      </c>
      <c r="K39">
        <v>0</v>
      </c>
      <c r="L39" t="s">
        <v>164</v>
      </c>
      <c r="N39" t="s">
        <v>211</v>
      </c>
      <c r="O39" t="s">
        <v>281</v>
      </c>
      <c r="P39">
        <v>6.296416931551853E-3</v>
      </c>
      <c r="Q39" t="s">
        <v>164</v>
      </c>
      <c r="S39" t="s">
        <v>238</v>
      </c>
      <c r="T39" t="s">
        <v>281</v>
      </c>
      <c r="U39">
        <v>1.0186551117162922E-2</v>
      </c>
      <c r="V39" t="s">
        <v>164</v>
      </c>
      <c r="X39">
        <v>7.0776255707762558E-3</v>
      </c>
      <c r="Y39">
        <v>4.2131781982116369E-3</v>
      </c>
      <c r="Z39" t="s">
        <v>281</v>
      </c>
      <c r="AA39" t="s">
        <v>25</v>
      </c>
      <c r="AC39" t="s">
        <v>22</v>
      </c>
      <c r="AD39" t="s">
        <v>281</v>
      </c>
      <c r="AE39">
        <v>5.3117104398409673E-3</v>
      </c>
      <c r="AG39" t="s">
        <v>96</v>
      </c>
      <c r="AH39" t="s">
        <v>281</v>
      </c>
      <c r="AI39">
        <v>0.12042129900526621</v>
      </c>
      <c r="AK39">
        <v>2026</v>
      </c>
      <c r="AL39" t="s">
        <v>152</v>
      </c>
      <c r="AM39">
        <v>0.33565</v>
      </c>
      <c r="AN39" t="s">
        <v>257</v>
      </c>
    </row>
    <row r="40" spans="9:40" x14ac:dyDescent="0.45">
      <c r="I40" t="s">
        <v>162</v>
      </c>
      <c r="J40" t="s">
        <v>282</v>
      </c>
      <c r="K40">
        <v>0</v>
      </c>
      <c r="L40" t="s">
        <v>164</v>
      </c>
      <c r="N40" t="s">
        <v>211</v>
      </c>
      <c r="O40" t="s">
        <v>282</v>
      </c>
      <c r="P40">
        <v>3.706066078922053E-3</v>
      </c>
      <c r="Q40" t="s">
        <v>164</v>
      </c>
      <c r="S40" t="s">
        <v>238</v>
      </c>
      <c r="T40" t="s">
        <v>282</v>
      </c>
      <c r="U40">
        <v>4.1929654044312792E-3</v>
      </c>
      <c r="V40" t="s">
        <v>164</v>
      </c>
      <c r="X40">
        <v>3.5388127853881279E-3</v>
      </c>
      <c r="Y40">
        <v>9.2484399472938378E-4</v>
      </c>
      <c r="Z40" t="s">
        <v>282</v>
      </c>
      <c r="AA40" t="s">
        <v>25</v>
      </c>
      <c r="AC40" t="s">
        <v>22</v>
      </c>
      <c r="AD40" t="s">
        <v>282</v>
      </c>
      <c r="AE40">
        <v>2.0742971396963024E-3</v>
      </c>
      <c r="AG40" t="s">
        <v>96</v>
      </c>
      <c r="AH40" t="s">
        <v>282</v>
      </c>
      <c r="AI40">
        <v>3.304716405043262E-3</v>
      </c>
      <c r="AK40">
        <v>2026</v>
      </c>
      <c r="AL40" t="s">
        <v>156</v>
      </c>
      <c r="AM40">
        <v>0.26719999999999999</v>
      </c>
      <c r="AN40" t="s">
        <v>257</v>
      </c>
    </row>
    <row r="41" spans="9:40" x14ac:dyDescent="0.45">
      <c r="I41" t="s">
        <v>162</v>
      </c>
      <c r="J41" t="s">
        <v>283</v>
      </c>
      <c r="K41">
        <v>1.1622446296361262E-3</v>
      </c>
      <c r="L41" t="s">
        <v>164</v>
      </c>
      <c r="N41" t="s">
        <v>211</v>
      </c>
      <c r="O41" t="s">
        <v>283</v>
      </c>
      <c r="P41">
        <v>1.9494723662377228E-2</v>
      </c>
      <c r="Q41" t="s">
        <v>164</v>
      </c>
      <c r="S41" t="s">
        <v>238</v>
      </c>
      <c r="T41" t="s">
        <v>283</v>
      </c>
      <c r="U41">
        <v>4.6315671193921028E-2</v>
      </c>
      <c r="V41" t="s">
        <v>164</v>
      </c>
      <c r="X41">
        <v>2.8310502283105023E-2</v>
      </c>
      <c r="Y41">
        <v>1.5691519777241876E-2</v>
      </c>
      <c r="Z41" t="s">
        <v>283</v>
      </c>
      <c r="AA41" t="s">
        <v>25</v>
      </c>
      <c r="AC41" t="s">
        <v>22</v>
      </c>
      <c r="AD41" t="s">
        <v>283</v>
      </c>
      <c r="AE41">
        <v>2.1989502506221444E-2</v>
      </c>
      <c r="AG41" t="s">
        <v>96</v>
      </c>
      <c r="AH41" t="s">
        <v>283</v>
      </c>
      <c r="AI41">
        <v>0.25480524117773728</v>
      </c>
      <c r="AK41">
        <v>2026</v>
      </c>
      <c r="AL41" t="s">
        <v>158</v>
      </c>
      <c r="AM41">
        <v>0.26200000000000001</v>
      </c>
      <c r="AN41" t="s">
        <v>257</v>
      </c>
    </row>
    <row r="42" spans="9:40" x14ac:dyDescent="0.45">
      <c r="I42" t="s">
        <v>162</v>
      </c>
      <c r="J42" t="s">
        <v>284</v>
      </c>
      <c r="K42">
        <v>5.9311502794254997E-2</v>
      </c>
      <c r="L42" t="s">
        <v>164</v>
      </c>
      <c r="N42" t="s">
        <v>211</v>
      </c>
      <c r="O42" t="s">
        <v>284</v>
      </c>
      <c r="P42">
        <v>2.7410536780697312E-2</v>
      </c>
      <c r="Q42" t="s">
        <v>164</v>
      </c>
      <c r="S42" t="s">
        <v>238</v>
      </c>
      <c r="T42" t="s">
        <v>284</v>
      </c>
      <c r="U42">
        <v>6.2743997535691376E-2</v>
      </c>
      <c r="V42" t="s">
        <v>164</v>
      </c>
      <c r="X42">
        <v>3.1849315068493152E-2</v>
      </c>
      <c r="Y42">
        <v>4.365263655122692E-2</v>
      </c>
      <c r="Z42" t="s">
        <v>284</v>
      </c>
      <c r="AA42" t="s">
        <v>25</v>
      </c>
      <c r="AC42" t="s">
        <v>22</v>
      </c>
      <c r="AD42" t="s">
        <v>284</v>
      </c>
      <c r="AE42">
        <v>3.4550292347467579E-2</v>
      </c>
      <c r="AG42" t="s">
        <v>96</v>
      </c>
      <c r="AH42" t="s">
        <v>284</v>
      </c>
      <c r="AI42">
        <v>3.039893253045034E-2</v>
      </c>
      <c r="AK42">
        <v>2026</v>
      </c>
      <c r="AL42" t="s">
        <v>160</v>
      </c>
      <c r="AM42">
        <v>0.22910000000000003</v>
      </c>
      <c r="AN42" t="s">
        <v>257</v>
      </c>
    </row>
    <row r="43" spans="9:40" x14ac:dyDescent="0.45">
      <c r="I43" t="s">
        <v>162</v>
      </c>
      <c r="J43" t="s">
        <v>285</v>
      </c>
      <c r="K43">
        <v>3.5579050586378256E-3</v>
      </c>
      <c r="L43" t="s">
        <v>164</v>
      </c>
      <c r="N43" t="s">
        <v>211</v>
      </c>
      <c r="O43" t="s">
        <v>285</v>
      </c>
      <c r="P43">
        <v>1.5909743123636874E-3</v>
      </c>
      <c r="Q43" t="s">
        <v>164</v>
      </c>
      <c r="S43" t="s">
        <v>238</v>
      </c>
      <c r="T43" t="s">
        <v>285</v>
      </c>
      <c r="U43">
        <v>8.611273801597482E-3</v>
      </c>
      <c r="V43" t="s">
        <v>164</v>
      </c>
      <c r="X43">
        <v>3.5388127853881279E-3</v>
      </c>
      <c r="Y43">
        <v>6.8849497385409693E-3</v>
      </c>
      <c r="Z43" t="s">
        <v>285</v>
      </c>
      <c r="AA43" t="s">
        <v>25</v>
      </c>
      <c r="AC43" t="s">
        <v>22</v>
      </c>
      <c r="AD43" t="s">
        <v>285</v>
      </c>
      <c r="AE43">
        <v>4.598560331245595E-3</v>
      </c>
      <c r="AG43" t="s">
        <v>96</v>
      </c>
      <c r="AH43" t="s">
        <v>285</v>
      </c>
      <c r="AI43">
        <v>2.876038596871644E-2</v>
      </c>
      <c r="AK43">
        <v>2026</v>
      </c>
      <c r="AL43" t="s">
        <v>260</v>
      </c>
      <c r="AM43">
        <v>0.23150000000000001</v>
      </c>
      <c r="AN43" t="s">
        <v>257</v>
      </c>
    </row>
    <row r="44" spans="9:40" x14ac:dyDescent="0.45">
      <c r="I44" t="s">
        <v>162</v>
      </c>
      <c r="J44" t="s">
        <v>286</v>
      </c>
      <c r="K44">
        <v>2.1176046418920529E-3</v>
      </c>
      <c r="L44" t="s">
        <v>164</v>
      </c>
      <c r="N44" t="s">
        <v>211</v>
      </c>
      <c r="O44" t="s">
        <v>286</v>
      </c>
      <c r="P44">
        <v>5.4369269244968991E-3</v>
      </c>
      <c r="Q44" t="s">
        <v>164</v>
      </c>
      <c r="S44" t="s">
        <v>238</v>
      </c>
      <c r="T44" t="s">
        <v>286</v>
      </c>
      <c r="U44">
        <v>2.5996809565109493E-2</v>
      </c>
      <c r="V44" t="s">
        <v>164</v>
      </c>
      <c r="X44">
        <v>1.0616438356164383E-2</v>
      </c>
      <c r="Y44">
        <v>1.3564378589364297E-2</v>
      </c>
      <c r="Z44" t="s">
        <v>286</v>
      </c>
      <c r="AA44" t="s">
        <v>25</v>
      </c>
      <c r="AC44" t="s">
        <v>22</v>
      </c>
      <c r="AD44" t="s">
        <v>286</v>
      </c>
      <c r="AE44">
        <v>1.2437374844434761E-2</v>
      </c>
      <c r="AG44" t="s">
        <v>96</v>
      </c>
      <c r="AH44" t="s">
        <v>286</v>
      </c>
      <c r="AI44">
        <v>0.11269151301537828</v>
      </c>
      <c r="AK44">
        <v>2026</v>
      </c>
      <c r="AL44" t="s">
        <v>262</v>
      </c>
      <c r="AM44">
        <v>0.32140000000000002</v>
      </c>
      <c r="AN44" t="s">
        <v>257</v>
      </c>
    </row>
    <row r="45" spans="9:40" x14ac:dyDescent="0.45">
      <c r="I45" t="s">
        <v>162</v>
      </c>
      <c r="J45" t="s">
        <v>287</v>
      </c>
      <c r="K45">
        <v>0</v>
      </c>
      <c r="L45" t="s">
        <v>164</v>
      </c>
      <c r="N45" t="s">
        <v>211</v>
      </c>
      <c r="O45" t="s">
        <v>287</v>
      </c>
      <c r="P45">
        <v>4.0951720255048658E-3</v>
      </c>
      <c r="Q45" t="s">
        <v>164</v>
      </c>
      <c r="S45" t="s">
        <v>238</v>
      </c>
      <c r="T45" t="s">
        <v>287</v>
      </c>
      <c r="U45">
        <v>1.2781346477999353E-2</v>
      </c>
      <c r="V45" t="s">
        <v>164</v>
      </c>
      <c r="X45">
        <v>7.0776255707762558E-3</v>
      </c>
      <c r="Y45">
        <v>4.2131781982116369E-3</v>
      </c>
      <c r="Z45" t="s">
        <v>287</v>
      </c>
      <c r="AA45" t="s">
        <v>25</v>
      </c>
      <c r="AC45" t="s">
        <v>22</v>
      </c>
      <c r="AD45" t="s">
        <v>287</v>
      </c>
      <c r="AE45">
        <v>5.2966848038584601E-3</v>
      </c>
      <c r="AG45" t="s">
        <v>96</v>
      </c>
      <c r="AH45" t="s">
        <v>287</v>
      </c>
      <c r="AI45">
        <v>0.11862560424846236</v>
      </c>
      <c r="AK45">
        <v>2026</v>
      </c>
      <c r="AL45" t="s">
        <v>264</v>
      </c>
      <c r="AM45">
        <v>0.37219999999999998</v>
      </c>
      <c r="AN45" t="s">
        <v>257</v>
      </c>
    </row>
    <row r="46" spans="9:40" x14ac:dyDescent="0.45">
      <c r="I46" t="s">
        <v>162</v>
      </c>
      <c r="J46" t="s">
        <v>288</v>
      </c>
      <c r="K46">
        <v>0</v>
      </c>
      <c r="L46" t="s">
        <v>164</v>
      </c>
      <c r="N46" t="s">
        <v>211</v>
      </c>
      <c r="O46" t="s">
        <v>288</v>
      </c>
      <c r="P46">
        <v>2.1027167925670612E-3</v>
      </c>
      <c r="Q46" t="s">
        <v>164</v>
      </c>
      <c r="S46" t="s">
        <v>238</v>
      </c>
      <c r="T46" t="s">
        <v>288</v>
      </c>
      <c r="U46">
        <v>5.8695799260282799E-3</v>
      </c>
      <c r="V46" t="s">
        <v>164</v>
      </c>
      <c r="X46">
        <v>3.5388127853881279E-3</v>
      </c>
      <c r="Y46">
        <v>9.2484399472938378E-4</v>
      </c>
      <c r="Z46" t="s">
        <v>288</v>
      </c>
      <c r="AA46" t="s">
        <v>25</v>
      </c>
      <c r="AC46" t="s">
        <v>22</v>
      </c>
      <c r="AD46" t="s">
        <v>288</v>
      </c>
      <c r="AE46">
        <v>2.062606996756422E-3</v>
      </c>
      <c r="AG46" t="s">
        <v>96</v>
      </c>
      <c r="AH46" t="s">
        <v>288</v>
      </c>
      <c r="AI46">
        <v>7.0124204567987292E-3</v>
      </c>
      <c r="AK46">
        <v>2027</v>
      </c>
      <c r="AL46" t="s">
        <v>152</v>
      </c>
      <c r="AM46">
        <v>0.40549999999999997</v>
      </c>
      <c r="AN46" t="s">
        <v>257</v>
      </c>
    </row>
    <row r="47" spans="9:40" x14ac:dyDescent="0.45">
      <c r="I47" t="s">
        <v>162</v>
      </c>
      <c r="J47" t="s">
        <v>289</v>
      </c>
      <c r="K47">
        <v>6.9602265075502856E-3</v>
      </c>
      <c r="L47" t="s">
        <v>164</v>
      </c>
      <c r="N47" t="s">
        <v>211</v>
      </c>
      <c r="O47" t="s">
        <v>289</v>
      </c>
      <c r="P47">
        <v>0.10448401785408493</v>
      </c>
      <c r="Q47" t="s">
        <v>164</v>
      </c>
      <c r="S47" t="s">
        <v>238</v>
      </c>
      <c r="T47" t="s">
        <v>289</v>
      </c>
      <c r="U47">
        <v>5.4699457108262108E-2</v>
      </c>
      <c r="V47" t="s">
        <v>164</v>
      </c>
      <c r="X47">
        <v>0.11141552511415526</v>
      </c>
      <c r="Y47">
        <v>6.1753722994306731E-2</v>
      </c>
      <c r="Z47" t="s">
        <v>289</v>
      </c>
      <c r="AA47" t="s">
        <v>25</v>
      </c>
      <c r="AC47" t="s">
        <v>22</v>
      </c>
      <c r="AD47" t="s">
        <v>289</v>
      </c>
      <c r="AE47">
        <v>8.6336809290063973E-2</v>
      </c>
      <c r="AG47" t="s">
        <v>96</v>
      </c>
      <c r="AH47" t="s">
        <v>289</v>
      </c>
      <c r="AI47">
        <v>0.34770234546374912</v>
      </c>
      <c r="AK47">
        <v>2027</v>
      </c>
      <c r="AL47" t="s">
        <v>156</v>
      </c>
      <c r="AM47">
        <v>0.34289999999999998</v>
      </c>
      <c r="AN47" t="s">
        <v>257</v>
      </c>
    </row>
    <row r="48" spans="9:40" x14ac:dyDescent="0.45">
      <c r="I48" t="s">
        <v>162</v>
      </c>
      <c r="J48" t="s">
        <v>290</v>
      </c>
      <c r="K48">
        <v>0.31577959290810093</v>
      </c>
      <c r="L48" t="s">
        <v>164</v>
      </c>
      <c r="N48" t="s">
        <v>211</v>
      </c>
      <c r="O48" t="s">
        <v>290</v>
      </c>
      <c r="P48">
        <v>4.9972119500427507E-2</v>
      </c>
      <c r="Q48" t="s">
        <v>164</v>
      </c>
      <c r="S48" t="s">
        <v>238</v>
      </c>
      <c r="T48" t="s">
        <v>290</v>
      </c>
      <c r="U48">
        <v>6.0441778919725547E-2</v>
      </c>
      <c r="V48" t="s">
        <v>164</v>
      </c>
      <c r="X48">
        <v>0.12534246575342467</v>
      </c>
      <c r="Y48">
        <v>0.17179424707257046</v>
      </c>
      <c r="Z48" t="s">
        <v>290</v>
      </c>
      <c r="AA48" t="s">
        <v>25</v>
      </c>
      <c r="AC48" t="s">
        <v>22</v>
      </c>
      <c r="AD48" t="s">
        <v>290</v>
      </c>
      <c r="AE48">
        <v>0.14061709658778729</v>
      </c>
      <c r="AG48" t="s">
        <v>96</v>
      </c>
      <c r="AH48" t="s">
        <v>290</v>
      </c>
      <c r="AI48">
        <v>6.726370068895049E-2</v>
      </c>
      <c r="AK48">
        <v>2027</v>
      </c>
      <c r="AL48" t="s">
        <v>158</v>
      </c>
      <c r="AM48">
        <v>0.27600000000000002</v>
      </c>
      <c r="AN48" t="s">
        <v>257</v>
      </c>
    </row>
    <row r="49" spans="9:40" x14ac:dyDescent="0.45">
      <c r="I49" t="s">
        <v>162</v>
      </c>
      <c r="J49" t="s">
        <v>291</v>
      </c>
      <c r="K49">
        <v>1.5482083441402134E-2</v>
      </c>
      <c r="L49" t="s">
        <v>164</v>
      </c>
      <c r="N49" t="s">
        <v>211</v>
      </c>
      <c r="O49" t="s">
        <v>291</v>
      </c>
      <c r="P49">
        <v>3.7315746235771392E-3</v>
      </c>
      <c r="Q49" t="s">
        <v>164</v>
      </c>
      <c r="S49" t="s">
        <v>238</v>
      </c>
      <c r="T49" t="s">
        <v>291</v>
      </c>
      <c r="U49">
        <v>1.7245807689260113E-2</v>
      </c>
      <c r="V49" t="s">
        <v>164</v>
      </c>
      <c r="X49">
        <v>1.3926940639269407E-2</v>
      </c>
      <c r="Y49">
        <v>2.7095608648451557E-2</v>
      </c>
      <c r="Z49" t="s">
        <v>291</v>
      </c>
      <c r="AA49" t="s">
        <v>25</v>
      </c>
      <c r="AC49" t="s">
        <v>22</v>
      </c>
      <c r="AD49" t="s">
        <v>291</v>
      </c>
      <c r="AE49">
        <v>1.8899971795870069E-2</v>
      </c>
      <c r="AG49" t="s">
        <v>96</v>
      </c>
      <c r="AH49" t="s">
        <v>291</v>
      </c>
      <c r="AI49">
        <v>5.851683546445563E-2</v>
      </c>
      <c r="AK49">
        <v>2027</v>
      </c>
      <c r="AL49" t="s">
        <v>160</v>
      </c>
      <c r="AM49">
        <v>0.24734999999999999</v>
      </c>
      <c r="AN49" t="s">
        <v>257</v>
      </c>
    </row>
    <row r="50" spans="9:40" x14ac:dyDescent="0.45">
      <c r="I50" t="s">
        <v>162</v>
      </c>
      <c r="J50" t="s">
        <v>292</v>
      </c>
      <c r="K50">
        <v>1.3212498769414253E-3</v>
      </c>
      <c r="L50" t="s">
        <v>164</v>
      </c>
      <c r="N50" t="s">
        <v>211</v>
      </c>
      <c r="O50" t="s">
        <v>292</v>
      </c>
      <c r="P50">
        <v>2.7845042721343791E-2</v>
      </c>
      <c r="Q50" t="s">
        <v>164</v>
      </c>
      <c r="S50" t="s">
        <v>238</v>
      </c>
      <c r="T50" t="s">
        <v>292</v>
      </c>
      <c r="U50">
        <v>5.9521947550743283E-2</v>
      </c>
      <c r="V50" t="s">
        <v>164</v>
      </c>
      <c r="X50">
        <v>4.1780821917808221E-2</v>
      </c>
      <c r="Y50">
        <v>5.338239315814336E-2</v>
      </c>
      <c r="Z50" t="s">
        <v>292</v>
      </c>
      <c r="AA50" t="s">
        <v>25</v>
      </c>
      <c r="AC50" t="s">
        <v>22</v>
      </c>
      <c r="AD50" t="s">
        <v>292</v>
      </c>
      <c r="AE50">
        <v>5.1337002200428507E-2</v>
      </c>
      <c r="AG50" t="s">
        <v>96</v>
      </c>
      <c r="AH50" t="s">
        <v>292</v>
      </c>
      <c r="AI50">
        <v>0.15650753880866985</v>
      </c>
      <c r="AK50">
        <v>2027</v>
      </c>
      <c r="AL50" t="s">
        <v>260</v>
      </c>
      <c r="AM50">
        <v>0.27800000000000002</v>
      </c>
      <c r="AN50" t="s">
        <v>257</v>
      </c>
    </row>
    <row r="51" spans="9:40" x14ac:dyDescent="0.45">
      <c r="I51" t="s">
        <v>162</v>
      </c>
      <c r="J51" t="s">
        <v>293</v>
      </c>
      <c r="K51">
        <v>0</v>
      </c>
      <c r="L51" t="s">
        <v>164</v>
      </c>
      <c r="N51" t="s">
        <v>211</v>
      </c>
      <c r="O51" t="s">
        <v>293</v>
      </c>
      <c r="P51">
        <v>2.742046629504831E-2</v>
      </c>
      <c r="Q51" t="s">
        <v>164</v>
      </c>
      <c r="S51" t="s">
        <v>238</v>
      </c>
      <c r="T51" t="s">
        <v>293</v>
      </c>
      <c r="U51">
        <v>2.789889799499751E-2</v>
      </c>
      <c r="V51" t="s">
        <v>164</v>
      </c>
      <c r="X51">
        <v>2.7853881278538814E-2</v>
      </c>
      <c r="Y51">
        <v>1.6580894844574829E-2</v>
      </c>
      <c r="Z51" t="s">
        <v>293</v>
      </c>
      <c r="AA51" t="s">
        <v>25</v>
      </c>
      <c r="AC51" t="s">
        <v>22</v>
      </c>
      <c r="AD51" t="s">
        <v>293</v>
      </c>
      <c r="AE51">
        <v>2.1120863916993055E-2</v>
      </c>
      <c r="AG51" t="s">
        <v>96</v>
      </c>
      <c r="AH51" t="s">
        <v>293</v>
      </c>
      <c r="AI51">
        <v>0.1143345880129838</v>
      </c>
      <c r="AK51">
        <v>2027</v>
      </c>
      <c r="AL51" t="s">
        <v>262</v>
      </c>
      <c r="AM51">
        <v>0.34399999999999997</v>
      </c>
      <c r="AN51" t="s">
        <v>257</v>
      </c>
    </row>
    <row r="52" spans="9:40" x14ac:dyDescent="0.45">
      <c r="I52" t="s">
        <v>162</v>
      </c>
      <c r="J52" t="s">
        <v>294</v>
      </c>
      <c r="K52">
        <v>0</v>
      </c>
      <c r="L52" t="s">
        <v>164</v>
      </c>
      <c r="N52" t="s">
        <v>211</v>
      </c>
      <c r="O52" t="s">
        <v>294</v>
      </c>
      <c r="P52">
        <v>1.4588014649345782E-2</v>
      </c>
      <c r="Q52" t="s">
        <v>164</v>
      </c>
      <c r="S52" t="s">
        <v>238</v>
      </c>
      <c r="T52" t="s">
        <v>294</v>
      </c>
      <c r="U52">
        <v>9.4523103034411422E-3</v>
      </c>
      <c r="V52" t="s">
        <v>164</v>
      </c>
      <c r="X52">
        <v>1.3926940639269407E-2</v>
      </c>
      <c r="Y52">
        <v>3.6397086244188658E-3</v>
      </c>
      <c r="Z52" t="s">
        <v>294</v>
      </c>
      <c r="AA52" t="s">
        <v>25</v>
      </c>
      <c r="AC52" t="s">
        <v>22</v>
      </c>
      <c r="AD52" t="s">
        <v>294</v>
      </c>
      <c r="AE52">
        <v>8.2858992037956793E-3</v>
      </c>
      <c r="AG52" t="s">
        <v>96</v>
      </c>
      <c r="AH52" t="s">
        <v>294</v>
      </c>
      <c r="AI52">
        <v>2.8989077398373198E-2</v>
      </c>
      <c r="AK52">
        <v>2027</v>
      </c>
      <c r="AL52" t="s">
        <v>264</v>
      </c>
      <c r="AM52">
        <v>0.44157500000000005</v>
      </c>
      <c r="AN52" t="s">
        <v>257</v>
      </c>
    </row>
    <row r="53" spans="9:40" x14ac:dyDescent="0.45">
      <c r="I53" t="s">
        <v>176</v>
      </c>
      <c r="J53" t="s">
        <v>163</v>
      </c>
      <c r="K53">
        <v>5.5422295922009706E-3</v>
      </c>
      <c r="L53" t="s">
        <v>164</v>
      </c>
      <c r="N53" t="s">
        <v>212</v>
      </c>
      <c r="O53" t="s">
        <v>163</v>
      </c>
      <c r="P53">
        <v>3.3575887449018488E-2</v>
      </c>
      <c r="Q53" t="s">
        <v>164</v>
      </c>
      <c r="S53" t="s">
        <v>239</v>
      </c>
      <c r="T53" t="s">
        <v>163</v>
      </c>
      <c r="U53">
        <v>4.923967835338354E-2</v>
      </c>
      <c r="V53" t="s">
        <v>164</v>
      </c>
      <c r="AC53" t="s">
        <v>19</v>
      </c>
      <c r="AD53" t="s">
        <v>163</v>
      </c>
      <c r="AE53">
        <v>5.2910501012878454E-2</v>
      </c>
      <c r="AK53">
        <v>2028</v>
      </c>
      <c r="AL53" t="s">
        <v>152</v>
      </c>
      <c r="AM53">
        <v>0.39395000000000002</v>
      </c>
      <c r="AN53" t="s">
        <v>257</v>
      </c>
    </row>
    <row r="54" spans="9:40" x14ac:dyDescent="0.45">
      <c r="I54" t="s">
        <v>176</v>
      </c>
      <c r="J54" t="s">
        <v>165</v>
      </c>
      <c r="K54">
        <v>0.17685239946218245</v>
      </c>
      <c r="L54" t="s">
        <v>164</v>
      </c>
      <c r="N54" t="s">
        <v>212</v>
      </c>
      <c r="O54" t="s">
        <v>165</v>
      </c>
      <c r="P54">
        <v>1.3782351200640027E-2</v>
      </c>
      <c r="Q54" t="s">
        <v>164</v>
      </c>
      <c r="S54" t="s">
        <v>239</v>
      </c>
      <c r="T54" t="s">
        <v>165</v>
      </c>
      <c r="U54">
        <v>3.5016587256419887E-2</v>
      </c>
      <c r="V54" t="s">
        <v>164</v>
      </c>
      <c r="AC54" t="s">
        <v>19</v>
      </c>
      <c r="AD54" t="s">
        <v>165</v>
      </c>
      <c r="AE54">
        <v>6.1446428783405241E-2</v>
      </c>
      <c r="AK54">
        <v>2028</v>
      </c>
      <c r="AL54" t="s">
        <v>156</v>
      </c>
      <c r="AM54">
        <v>0.32229999999999998</v>
      </c>
      <c r="AN54" t="s">
        <v>257</v>
      </c>
    </row>
    <row r="55" spans="9:40" x14ac:dyDescent="0.45">
      <c r="I55" t="s">
        <v>176</v>
      </c>
      <c r="J55" t="s">
        <v>166</v>
      </c>
      <c r="K55">
        <v>1.1357942168438443E-2</v>
      </c>
      <c r="L55" t="s">
        <v>164</v>
      </c>
      <c r="N55" t="s">
        <v>212</v>
      </c>
      <c r="O55" t="s">
        <v>166</v>
      </c>
      <c r="P55">
        <v>2.066906118027931E-3</v>
      </c>
      <c r="Q55" t="s">
        <v>164</v>
      </c>
      <c r="S55" t="s">
        <v>239</v>
      </c>
      <c r="T55" t="s">
        <v>166</v>
      </c>
      <c r="U55">
        <v>6.6346069907145802E-3</v>
      </c>
      <c r="V55" t="s">
        <v>164</v>
      </c>
      <c r="AC55" t="s">
        <v>19</v>
      </c>
      <c r="AD55" t="s">
        <v>166</v>
      </c>
      <c r="AE55">
        <v>6.9187347560830011E-3</v>
      </c>
      <c r="AK55">
        <v>2028</v>
      </c>
      <c r="AL55" t="s">
        <v>158</v>
      </c>
      <c r="AM55">
        <v>0.29670000000000002</v>
      </c>
      <c r="AN55" t="s">
        <v>257</v>
      </c>
    </row>
    <row r="56" spans="9:40" x14ac:dyDescent="0.45">
      <c r="I56" t="s">
        <v>176</v>
      </c>
      <c r="J56" t="s">
        <v>265</v>
      </c>
      <c r="K56">
        <v>4.757748260320987E-3</v>
      </c>
      <c r="L56" t="s">
        <v>164</v>
      </c>
      <c r="N56" t="s">
        <v>212</v>
      </c>
      <c r="O56" t="s">
        <v>265</v>
      </c>
      <c r="P56">
        <v>1.0444338901627199E-2</v>
      </c>
      <c r="Q56" t="s">
        <v>164</v>
      </c>
      <c r="S56" t="s">
        <v>239</v>
      </c>
      <c r="T56" t="s">
        <v>265</v>
      </c>
      <c r="U56">
        <v>2.4531222328616577E-2</v>
      </c>
      <c r="V56" t="s">
        <v>164</v>
      </c>
      <c r="AC56" t="s">
        <v>19</v>
      </c>
      <c r="AD56" t="s">
        <v>265</v>
      </c>
      <c r="AE56">
        <v>2.0617176901288111E-2</v>
      </c>
      <c r="AK56">
        <v>2028</v>
      </c>
      <c r="AL56" t="s">
        <v>160</v>
      </c>
      <c r="AM56">
        <v>0.26090000000000002</v>
      </c>
      <c r="AN56" t="s">
        <v>257</v>
      </c>
    </row>
    <row r="57" spans="9:40" x14ac:dyDescent="0.45">
      <c r="I57" t="s">
        <v>176</v>
      </c>
      <c r="J57" t="s">
        <v>266</v>
      </c>
      <c r="K57">
        <v>0</v>
      </c>
      <c r="L57" t="s">
        <v>164</v>
      </c>
      <c r="N57" t="s">
        <v>212</v>
      </c>
      <c r="O57" t="s">
        <v>266</v>
      </c>
      <c r="P57">
        <v>1.1403545649506613E-2</v>
      </c>
      <c r="Q57" t="s">
        <v>164</v>
      </c>
      <c r="S57" t="s">
        <v>239</v>
      </c>
      <c r="T57" t="s">
        <v>266</v>
      </c>
      <c r="U57">
        <v>1.7272537344962344E-2</v>
      </c>
      <c r="V57" t="s">
        <v>164</v>
      </c>
      <c r="AC57" t="s">
        <v>19</v>
      </c>
      <c r="AD57" t="s">
        <v>266</v>
      </c>
      <c r="AE57">
        <v>1.3264776408516817E-2</v>
      </c>
      <c r="AK57">
        <v>2028</v>
      </c>
      <c r="AL57" t="s">
        <v>260</v>
      </c>
      <c r="AM57">
        <v>0.24909999999999999</v>
      </c>
      <c r="AN57" t="s">
        <v>257</v>
      </c>
    </row>
    <row r="58" spans="9:40" x14ac:dyDescent="0.45">
      <c r="I58" t="s">
        <v>176</v>
      </c>
      <c r="J58" t="s">
        <v>267</v>
      </c>
      <c r="K58">
        <v>0</v>
      </c>
      <c r="L58" t="s">
        <v>164</v>
      </c>
      <c r="N58" t="s">
        <v>212</v>
      </c>
      <c r="O58" t="s">
        <v>267</v>
      </c>
      <c r="P58">
        <v>6.5813346755353953E-3</v>
      </c>
      <c r="Q58" t="s">
        <v>164</v>
      </c>
      <c r="S58" t="s">
        <v>239</v>
      </c>
      <c r="T58" t="s">
        <v>267</v>
      </c>
      <c r="U58">
        <v>7.494105555744768E-3</v>
      </c>
      <c r="V58" t="s">
        <v>164</v>
      </c>
      <c r="AC58" t="s">
        <v>19</v>
      </c>
      <c r="AD58" t="s">
        <v>267</v>
      </c>
      <c r="AE58">
        <v>6.5272257326429734E-3</v>
      </c>
      <c r="AK58">
        <v>2028</v>
      </c>
      <c r="AL58" t="s">
        <v>262</v>
      </c>
      <c r="AM58">
        <v>0.36620000000000003</v>
      </c>
      <c r="AN58" t="s">
        <v>257</v>
      </c>
    </row>
    <row r="59" spans="9:40" x14ac:dyDescent="0.45">
      <c r="I59" t="s">
        <v>176</v>
      </c>
      <c r="J59" t="s">
        <v>167</v>
      </c>
      <c r="K59">
        <v>2.2097795716355872E-3</v>
      </c>
      <c r="L59" t="s">
        <v>164</v>
      </c>
      <c r="N59" t="s">
        <v>212</v>
      </c>
      <c r="O59" t="s">
        <v>167</v>
      </c>
      <c r="P59">
        <v>6.0869121762705113E-2</v>
      </c>
      <c r="Q59" t="s">
        <v>164</v>
      </c>
      <c r="S59" t="s">
        <v>239</v>
      </c>
      <c r="T59" t="s">
        <v>167</v>
      </c>
      <c r="U59">
        <v>4.7029513047656207E-2</v>
      </c>
      <c r="V59" t="s">
        <v>164</v>
      </c>
      <c r="AC59" t="s">
        <v>19</v>
      </c>
      <c r="AD59" t="s">
        <v>167</v>
      </c>
      <c r="AE59">
        <v>2.7771123458977798E-2</v>
      </c>
      <c r="AK59">
        <v>2028</v>
      </c>
      <c r="AL59" t="s">
        <v>264</v>
      </c>
      <c r="AM59">
        <v>0.424425</v>
      </c>
      <c r="AN59" t="s">
        <v>257</v>
      </c>
    </row>
    <row r="60" spans="9:40" x14ac:dyDescent="0.45">
      <c r="I60" t="s">
        <v>176</v>
      </c>
      <c r="J60" t="s">
        <v>168</v>
      </c>
      <c r="K60">
        <v>8.5971967035761002E-2</v>
      </c>
      <c r="L60" t="s">
        <v>164</v>
      </c>
      <c r="N60" t="s">
        <v>212</v>
      </c>
      <c r="O60" t="s">
        <v>168</v>
      </c>
      <c r="P60">
        <v>3.7990019715063807E-2</v>
      </c>
      <c r="Q60" t="s">
        <v>164</v>
      </c>
      <c r="S60" t="s">
        <v>239</v>
      </c>
      <c r="T60" t="s">
        <v>168</v>
      </c>
      <c r="U60">
        <v>3.2721682341159672E-2</v>
      </c>
      <c r="V60" t="s">
        <v>164</v>
      </c>
      <c r="AC60" t="s">
        <v>19</v>
      </c>
      <c r="AD60" t="s">
        <v>168</v>
      </c>
      <c r="AE60">
        <v>3.2323421848209487E-2</v>
      </c>
      <c r="AK60">
        <v>2029</v>
      </c>
      <c r="AL60" t="s">
        <v>152</v>
      </c>
      <c r="AM60">
        <v>0.3836</v>
      </c>
      <c r="AN60" t="s">
        <v>257</v>
      </c>
    </row>
    <row r="61" spans="9:40" x14ac:dyDescent="0.45">
      <c r="I61" t="s">
        <v>176</v>
      </c>
      <c r="J61" t="s">
        <v>169</v>
      </c>
      <c r="K61">
        <v>4.6115077333860497E-3</v>
      </c>
      <c r="L61" t="s">
        <v>164</v>
      </c>
      <c r="N61" t="s">
        <v>212</v>
      </c>
      <c r="O61" t="s">
        <v>169</v>
      </c>
      <c r="P61">
        <v>6.0468579214027415E-4</v>
      </c>
      <c r="Q61" t="s">
        <v>164</v>
      </c>
      <c r="S61" t="s">
        <v>239</v>
      </c>
      <c r="T61" t="s">
        <v>169</v>
      </c>
      <c r="U61">
        <v>5.0529337669823942E-3</v>
      </c>
      <c r="V61" t="s">
        <v>164</v>
      </c>
      <c r="AC61" t="s">
        <v>19</v>
      </c>
      <c r="AD61" t="s">
        <v>169</v>
      </c>
      <c r="AE61">
        <v>3.6367232202097321E-3</v>
      </c>
      <c r="AK61">
        <v>2029</v>
      </c>
      <c r="AL61" t="s">
        <v>156</v>
      </c>
      <c r="AM61">
        <v>0.36020000000000002</v>
      </c>
      <c r="AN61" t="s">
        <v>257</v>
      </c>
    </row>
    <row r="62" spans="9:40" x14ac:dyDescent="0.45">
      <c r="I62" t="s">
        <v>176</v>
      </c>
      <c r="J62" t="s">
        <v>268</v>
      </c>
      <c r="K62">
        <v>2.1381189466609389E-3</v>
      </c>
      <c r="L62" t="s">
        <v>164</v>
      </c>
      <c r="N62" t="s">
        <v>212</v>
      </c>
      <c r="O62" t="s">
        <v>268</v>
      </c>
      <c r="P62">
        <v>5.8437859622000772E-3</v>
      </c>
      <c r="Q62" t="s">
        <v>164</v>
      </c>
      <c r="S62" t="s">
        <v>239</v>
      </c>
      <c r="T62" t="s">
        <v>268</v>
      </c>
      <c r="U62">
        <v>1.4060426144476787E-2</v>
      </c>
      <c r="V62" t="s">
        <v>164</v>
      </c>
      <c r="AC62" t="s">
        <v>19</v>
      </c>
      <c r="AD62" t="s">
        <v>268</v>
      </c>
      <c r="AE62">
        <v>1.0835672489084337E-2</v>
      </c>
      <c r="AK62">
        <v>2029</v>
      </c>
      <c r="AL62" t="s">
        <v>158</v>
      </c>
      <c r="AM62">
        <v>0.28499999999999998</v>
      </c>
      <c r="AN62" t="s">
        <v>257</v>
      </c>
    </row>
    <row r="63" spans="9:40" x14ac:dyDescent="0.45">
      <c r="I63" t="s">
        <v>176</v>
      </c>
      <c r="J63" t="s">
        <v>269</v>
      </c>
      <c r="K63">
        <v>0</v>
      </c>
      <c r="L63" t="s">
        <v>164</v>
      </c>
      <c r="N63" t="s">
        <v>212</v>
      </c>
      <c r="O63" t="s">
        <v>269</v>
      </c>
      <c r="P63">
        <v>6.1622400221799994E-3</v>
      </c>
      <c r="Q63" t="s">
        <v>164</v>
      </c>
      <c r="S63" t="s">
        <v>239</v>
      </c>
      <c r="T63" t="s">
        <v>269</v>
      </c>
      <c r="U63">
        <v>7.6544907911913805E-3</v>
      </c>
      <c r="V63" t="s">
        <v>164</v>
      </c>
      <c r="AC63" t="s">
        <v>19</v>
      </c>
      <c r="AD63" t="s">
        <v>269</v>
      </c>
      <c r="AE63">
        <v>6.9869491674177222E-3</v>
      </c>
      <c r="AK63">
        <v>2029</v>
      </c>
      <c r="AL63" t="s">
        <v>160</v>
      </c>
      <c r="AM63">
        <v>0.25314999999999999</v>
      </c>
      <c r="AN63" t="s">
        <v>257</v>
      </c>
    </row>
    <row r="64" spans="9:40" x14ac:dyDescent="0.45">
      <c r="I64" t="s">
        <v>176</v>
      </c>
      <c r="J64" t="s">
        <v>270</v>
      </c>
      <c r="K64">
        <v>0</v>
      </c>
      <c r="L64" t="s">
        <v>164</v>
      </c>
      <c r="N64" t="s">
        <v>212</v>
      </c>
      <c r="O64" t="s">
        <v>270</v>
      </c>
      <c r="P64">
        <v>3.547632461076779E-3</v>
      </c>
      <c r="Q64" t="s">
        <v>164</v>
      </c>
      <c r="S64" t="s">
        <v>239</v>
      </c>
      <c r="T64" t="s">
        <v>270</v>
      </c>
      <c r="U64">
        <v>3.7319235805782871E-3</v>
      </c>
      <c r="V64" t="s">
        <v>164</v>
      </c>
      <c r="AC64" t="s">
        <v>19</v>
      </c>
      <c r="AD64" t="s">
        <v>270</v>
      </c>
      <c r="AE64">
        <v>3.4236293136386885E-3</v>
      </c>
      <c r="AK64">
        <v>2029</v>
      </c>
      <c r="AL64" t="s">
        <v>260</v>
      </c>
      <c r="AM64">
        <v>0.27989999999999998</v>
      </c>
      <c r="AN64" t="s">
        <v>257</v>
      </c>
    </row>
    <row r="65" spans="9:40" x14ac:dyDescent="0.45">
      <c r="I65" t="s">
        <v>176</v>
      </c>
      <c r="J65" t="s">
        <v>170</v>
      </c>
      <c r="K65">
        <v>2.424379898524392E-3</v>
      </c>
      <c r="L65" t="s">
        <v>164</v>
      </c>
      <c r="N65" t="s">
        <v>212</v>
      </c>
      <c r="O65" t="s">
        <v>170</v>
      </c>
      <c r="P65">
        <v>7.2990595983974352E-2</v>
      </c>
      <c r="Q65" t="s">
        <v>164</v>
      </c>
      <c r="S65" t="s">
        <v>239</v>
      </c>
      <c r="T65" t="s">
        <v>170</v>
      </c>
      <c r="U65">
        <v>2.034283009585177E-2</v>
      </c>
      <c r="V65" t="s">
        <v>164</v>
      </c>
      <c r="AC65" t="s">
        <v>19</v>
      </c>
      <c r="AD65" t="s">
        <v>170</v>
      </c>
      <c r="AE65">
        <v>2.6886080314161877E-2</v>
      </c>
      <c r="AK65">
        <v>2029</v>
      </c>
      <c r="AL65" t="s">
        <v>262</v>
      </c>
      <c r="AM65">
        <v>0.3831</v>
      </c>
      <c r="AN65" t="s">
        <v>257</v>
      </c>
    </row>
    <row r="66" spans="9:40" x14ac:dyDescent="0.45">
      <c r="I66" t="s">
        <v>176</v>
      </c>
      <c r="J66" t="s">
        <v>171</v>
      </c>
      <c r="K66">
        <v>7.5003980651016863E-2</v>
      </c>
      <c r="L66" t="s">
        <v>164</v>
      </c>
      <c r="N66" t="s">
        <v>212</v>
      </c>
      <c r="O66" t="s">
        <v>171</v>
      </c>
      <c r="P66">
        <v>4.6592959245434544E-2</v>
      </c>
      <c r="Q66" t="s">
        <v>164</v>
      </c>
      <c r="S66" t="s">
        <v>239</v>
      </c>
      <c r="T66" t="s">
        <v>171</v>
      </c>
      <c r="U66">
        <v>1.9336548155707466E-2</v>
      </c>
      <c r="V66" t="s">
        <v>164</v>
      </c>
      <c r="AC66" t="s">
        <v>19</v>
      </c>
      <c r="AD66" t="s">
        <v>171</v>
      </c>
      <c r="AE66">
        <v>3.1267612713769238E-2</v>
      </c>
      <c r="AK66">
        <v>2029</v>
      </c>
      <c r="AL66" t="s">
        <v>264</v>
      </c>
      <c r="AM66">
        <v>0.44437500000000002</v>
      </c>
      <c r="AN66" t="s">
        <v>257</v>
      </c>
    </row>
    <row r="67" spans="9:40" x14ac:dyDescent="0.45">
      <c r="I67" t="s">
        <v>176</v>
      </c>
      <c r="J67" t="s">
        <v>172</v>
      </c>
      <c r="K67">
        <v>3.3143215670418638E-3</v>
      </c>
      <c r="L67" t="s">
        <v>164</v>
      </c>
      <c r="N67" t="s">
        <v>212</v>
      </c>
      <c r="O67" t="s">
        <v>172</v>
      </c>
      <c r="P67">
        <v>1.1820760126373567E-3</v>
      </c>
      <c r="Q67" t="s">
        <v>164</v>
      </c>
      <c r="S67" t="s">
        <v>239</v>
      </c>
      <c r="T67" t="s">
        <v>172</v>
      </c>
      <c r="U67">
        <v>3.1302567908854952E-3</v>
      </c>
      <c r="V67" t="s">
        <v>164</v>
      </c>
      <c r="AC67" t="s">
        <v>19</v>
      </c>
      <c r="AD67" t="s">
        <v>172</v>
      </c>
      <c r="AE67">
        <v>3.5160181929952414E-3</v>
      </c>
      <c r="AK67">
        <v>2030</v>
      </c>
      <c r="AL67" t="s">
        <v>152</v>
      </c>
      <c r="AM67">
        <v>0.35420000000000001</v>
      </c>
      <c r="AN67" t="s">
        <v>257</v>
      </c>
    </row>
    <row r="68" spans="9:40" x14ac:dyDescent="0.45">
      <c r="I68" t="s">
        <v>176</v>
      </c>
      <c r="J68" t="s">
        <v>271</v>
      </c>
      <c r="K68">
        <v>1.4518809028809356E-3</v>
      </c>
      <c r="L68" t="s">
        <v>164</v>
      </c>
      <c r="N68" t="s">
        <v>212</v>
      </c>
      <c r="O68" t="s">
        <v>271</v>
      </c>
      <c r="P68">
        <v>8.6032763088044958E-3</v>
      </c>
      <c r="Q68" t="s">
        <v>164</v>
      </c>
      <c r="S68" t="s">
        <v>239</v>
      </c>
      <c r="T68" t="s">
        <v>271</v>
      </c>
      <c r="U68">
        <v>1.0246141060680315E-2</v>
      </c>
      <c r="V68" t="s">
        <v>164</v>
      </c>
      <c r="AC68" t="s">
        <v>19</v>
      </c>
      <c r="AD68" t="s">
        <v>271</v>
      </c>
      <c r="AE68">
        <v>1.048252101116182E-2</v>
      </c>
      <c r="AK68">
        <v>2030</v>
      </c>
      <c r="AL68" t="s">
        <v>156</v>
      </c>
      <c r="AM68">
        <v>0.31769999999999998</v>
      </c>
      <c r="AN68" t="s">
        <v>257</v>
      </c>
    </row>
    <row r="69" spans="9:40" x14ac:dyDescent="0.45">
      <c r="I69" t="s">
        <v>176</v>
      </c>
      <c r="J69" t="s">
        <v>272</v>
      </c>
      <c r="K69">
        <v>0</v>
      </c>
      <c r="L69" t="s">
        <v>164</v>
      </c>
      <c r="N69" t="s">
        <v>212</v>
      </c>
      <c r="O69" t="s">
        <v>272</v>
      </c>
      <c r="P69">
        <v>1.1577445126989652E-2</v>
      </c>
      <c r="Q69" t="s">
        <v>164</v>
      </c>
      <c r="S69" t="s">
        <v>239</v>
      </c>
      <c r="T69" t="s">
        <v>272</v>
      </c>
      <c r="U69">
        <v>5.1941365796008094E-3</v>
      </c>
      <c r="V69" t="s">
        <v>164</v>
      </c>
      <c r="AC69" t="s">
        <v>19</v>
      </c>
      <c r="AD69" t="s">
        <v>272</v>
      </c>
      <c r="AE69">
        <v>6.7542701754649513E-3</v>
      </c>
      <c r="AK69">
        <v>2030</v>
      </c>
      <c r="AL69" t="s">
        <v>158</v>
      </c>
      <c r="AM69">
        <v>0.2722</v>
      </c>
      <c r="AN69" t="s">
        <v>257</v>
      </c>
    </row>
    <row r="70" spans="9:40" x14ac:dyDescent="0.45">
      <c r="I70" t="s">
        <v>176</v>
      </c>
      <c r="J70" t="s">
        <v>273</v>
      </c>
      <c r="K70">
        <v>0</v>
      </c>
      <c r="L70" t="s">
        <v>164</v>
      </c>
      <c r="N70" t="s">
        <v>212</v>
      </c>
      <c r="O70" t="s">
        <v>273</v>
      </c>
      <c r="P70">
        <v>6.6338141191470247E-3</v>
      </c>
      <c r="Q70" t="s">
        <v>164</v>
      </c>
      <c r="S70" t="s">
        <v>239</v>
      </c>
      <c r="T70" t="s">
        <v>273</v>
      </c>
      <c r="U70">
        <v>2.0854808999532571E-3</v>
      </c>
      <c r="V70" t="s">
        <v>164</v>
      </c>
      <c r="AC70" t="s">
        <v>19</v>
      </c>
      <c r="AD70" t="s">
        <v>273</v>
      </c>
      <c r="AE70">
        <v>3.3137137695483146E-3</v>
      </c>
      <c r="AK70">
        <v>2030</v>
      </c>
      <c r="AL70" t="s">
        <v>160</v>
      </c>
      <c r="AM70">
        <v>0.26429999999999998</v>
      </c>
      <c r="AN70" t="s">
        <v>257</v>
      </c>
    </row>
    <row r="71" spans="9:40" x14ac:dyDescent="0.45">
      <c r="I71" t="s">
        <v>176</v>
      </c>
      <c r="J71" t="s">
        <v>173</v>
      </c>
      <c r="K71">
        <v>5.2532051846798464E-3</v>
      </c>
      <c r="L71" t="s">
        <v>164</v>
      </c>
      <c r="N71" t="s">
        <v>212</v>
      </c>
      <c r="O71" t="s">
        <v>173</v>
      </c>
      <c r="P71">
        <v>0.12150761488297926</v>
      </c>
      <c r="Q71" t="s">
        <v>164</v>
      </c>
      <c r="S71" t="s">
        <v>239</v>
      </c>
      <c r="T71" t="s">
        <v>173</v>
      </c>
      <c r="U71">
        <v>3.9820200929333249E-2</v>
      </c>
      <c r="V71" t="s">
        <v>164</v>
      </c>
      <c r="AC71" t="s">
        <v>19</v>
      </c>
      <c r="AD71" t="s">
        <v>173</v>
      </c>
      <c r="AE71">
        <v>5.4847003075834601E-2</v>
      </c>
      <c r="AK71">
        <v>2030</v>
      </c>
      <c r="AL71" t="s">
        <v>260</v>
      </c>
      <c r="AM71">
        <v>0.25190000000000001</v>
      </c>
      <c r="AN71" t="s">
        <v>257</v>
      </c>
    </row>
    <row r="72" spans="9:40" x14ac:dyDescent="0.45">
      <c r="I72" t="s">
        <v>176</v>
      </c>
      <c r="J72" t="s">
        <v>174</v>
      </c>
      <c r="K72">
        <v>0.1342246178123048</v>
      </c>
      <c r="L72" t="s">
        <v>164</v>
      </c>
      <c r="N72" t="s">
        <v>212</v>
      </c>
      <c r="O72" t="s">
        <v>174</v>
      </c>
      <c r="P72">
        <v>9.1719098338688868E-2</v>
      </c>
      <c r="Q72" t="s">
        <v>164</v>
      </c>
      <c r="S72" t="s">
        <v>239</v>
      </c>
      <c r="T72" t="s">
        <v>174</v>
      </c>
      <c r="U72">
        <v>4.454731144510158E-2</v>
      </c>
      <c r="V72" t="s">
        <v>164</v>
      </c>
      <c r="AC72" t="s">
        <v>19</v>
      </c>
      <c r="AD72" t="s">
        <v>174</v>
      </c>
      <c r="AE72">
        <v>6.3367624813582754E-2</v>
      </c>
      <c r="AK72">
        <v>2030</v>
      </c>
      <c r="AL72" t="s">
        <v>262</v>
      </c>
      <c r="AM72">
        <v>0.38379999999999997</v>
      </c>
      <c r="AN72" t="s">
        <v>257</v>
      </c>
    </row>
    <row r="73" spans="9:40" x14ac:dyDescent="0.45">
      <c r="I73" t="s">
        <v>176</v>
      </c>
      <c r="J73" t="s">
        <v>175</v>
      </c>
      <c r="K73">
        <v>6.7521681191202885E-3</v>
      </c>
      <c r="L73" t="s">
        <v>164</v>
      </c>
      <c r="N73" t="s">
        <v>212</v>
      </c>
      <c r="O73" t="s">
        <v>175</v>
      </c>
      <c r="P73">
        <v>4.1104768887054366E-3</v>
      </c>
      <c r="Q73" t="s">
        <v>164</v>
      </c>
      <c r="S73" t="s">
        <v>239</v>
      </c>
      <c r="T73" t="s">
        <v>175</v>
      </c>
      <c r="U73">
        <v>7.0650477254327326E-3</v>
      </c>
      <c r="V73" t="s">
        <v>164</v>
      </c>
      <c r="AC73" t="s">
        <v>19</v>
      </c>
      <c r="AD73" t="s">
        <v>175</v>
      </c>
      <c r="AE73">
        <v>7.1419256077038477E-3</v>
      </c>
      <c r="AK73">
        <v>2030</v>
      </c>
      <c r="AL73" t="s">
        <v>264</v>
      </c>
      <c r="AM73">
        <v>0.45515</v>
      </c>
      <c r="AN73" t="s">
        <v>257</v>
      </c>
    </row>
    <row r="74" spans="9:40" x14ac:dyDescent="0.45">
      <c r="I74" t="s">
        <v>176</v>
      </c>
      <c r="J74" t="s">
        <v>274</v>
      </c>
      <c r="K74">
        <v>3.3520880046427888E-3</v>
      </c>
      <c r="L74" t="s">
        <v>164</v>
      </c>
      <c r="N74" t="s">
        <v>212</v>
      </c>
      <c r="O74" t="s">
        <v>274</v>
      </c>
      <c r="P74">
        <v>2.1495384220646452E-2</v>
      </c>
      <c r="Q74" t="s">
        <v>164</v>
      </c>
      <c r="S74" t="s">
        <v>239</v>
      </c>
      <c r="T74" t="s">
        <v>274</v>
      </c>
      <c r="U74">
        <v>2.2561944637931722E-2</v>
      </c>
      <c r="V74" t="s">
        <v>164</v>
      </c>
      <c r="AC74" t="s">
        <v>19</v>
      </c>
      <c r="AD74" t="s">
        <v>274</v>
      </c>
      <c r="AE74">
        <v>2.1281719675153261E-2</v>
      </c>
      <c r="AK74">
        <v>2031</v>
      </c>
      <c r="AL74" t="s">
        <v>152</v>
      </c>
      <c r="AM74">
        <v>0.35089999999999999</v>
      </c>
      <c r="AN74" t="s">
        <v>257</v>
      </c>
    </row>
    <row r="75" spans="9:40" x14ac:dyDescent="0.45">
      <c r="I75" t="s">
        <v>176</v>
      </c>
      <c r="J75" t="s">
        <v>275</v>
      </c>
      <c r="K75">
        <v>0</v>
      </c>
      <c r="L75" t="s">
        <v>164</v>
      </c>
      <c r="N75" t="s">
        <v>212</v>
      </c>
      <c r="O75" t="s">
        <v>275</v>
      </c>
      <c r="P75">
        <v>2.4913075472834778E-2</v>
      </c>
      <c r="Q75" t="s">
        <v>164</v>
      </c>
      <c r="S75" t="s">
        <v>239</v>
      </c>
      <c r="T75" t="s">
        <v>275</v>
      </c>
      <c r="U75">
        <v>1.1937947932542351E-2</v>
      </c>
      <c r="V75" t="s">
        <v>164</v>
      </c>
      <c r="AC75" t="s">
        <v>19</v>
      </c>
      <c r="AD75" t="s">
        <v>275</v>
      </c>
      <c r="AE75">
        <v>1.3725188100191304E-2</v>
      </c>
      <c r="AK75">
        <v>2031</v>
      </c>
      <c r="AL75" t="s">
        <v>156</v>
      </c>
      <c r="AM75">
        <v>0.31830000000000003</v>
      </c>
      <c r="AN75" t="s">
        <v>257</v>
      </c>
    </row>
    <row r="76" spans="9:40" x14ac:dyDescent="0.45">
      <c r="I76" t="s">
        <v>176</v>
      </c>
      <c r="J76" t="s">
        <v>276</v>
      </c>
      <c r="K76">
        <v>0</v>
      </c>
      <c r="L76" t="s">
        <v>164</v>
      </c>
      <c r="N76" t="s">
        <v>212</v>
      </c>
      <c r="O76" t="s">
        <v>276</v>
      </c>
      <c r="P76">
        <v>1.3273774406722293E-2</v>
      </c>
      <c r="Q76" t="s">
        <v>164</v>
      </c>
      <c r="S76" t="s">
        <v>239</v>
      </c>
      <c r="T76" t="s">
        <v>276</v>
      </c>
      <c r="U76">
        <v>5.6049687070885137E-3</v>
      </c>
      <c r="V76" t="s">
        <v>164</v>
      </c>
      <c r="AC76" t="s">
        <v>19</v>
      </c>
      <c r="AD76" t="s">
        <v>276</v>
      </c>
      <c r="AE76">
        <v>6.7606031826793443E-3</v>
      </c>
      <c r="AK76">
        <v>2031</v>
      </c>
      <c r="AL76" t="s">
        <v>158</v>
      </c>
      <c r="AM76">
        <v>0.3029</v>
      </c>
      <c r="AN76" t="s">
        <v>257</v>
      </c>
    </row>
    <row r="77" spans="9:40" x14ac:dyDescent="0.45">
      <c r="I77" t="s">
        <v>176</v>
      </c>
      <c r="J77" t="s">
        <v>277</v>
      </c>
      <c r="K77">
        <v>1.3894798898116502E-3</v>
      </c>
      <c r="L77" t="s">
        <v>164</v>
      </c>
      <c r="N77" t="s">
        <v>212</v>
      </c>
      <c r="O77" t="s">
        <v>277</v>
      </c>
      <c r="P77">
        <v>4.5131589926122193E-2</v>
      </c>
      <c r="Q77" t="s">
        <v>164</v>
      </c>
      <c r="S77" t="s">
        <v>239</v>
      </c>
      <c r="T77" t="s">
        <v>277</v>
      </c>
      <c r="U77">
        <v>4.2007058142863325E-2</v>
      </c>
      <c r="V77" t="s">
        <v>164</v>
      </c>
      <c r="AC77" t="s">
        <v>19</v>
      </c>
      <c r="AD77" t="s">
        <v>277</v>
      </c>
      <c r="AE77">
        <v>2.7902544358759971E-2</v>
      </c>
      <c r="AK77">
        <v>2031</v>
      </c>
      <c r="AL77" t="s">
        <v>160</v>
      </c>
      <c r="AM77">
        <v>0.23435</v>
      </c>
      <c r="AN77" t="s">
        <v>257</v>
      </c>
    </row>
    <row r="78" spans="9:40" x14ac:dyDescent="0.45">
      <c r="I78" t="s">
        <v>176</v>
      </c>
      <c r="J78" t="s">
        <v>278</v>
      </c>
      <c r="K78">
        <v>5.764689560174905E-2</v>
      </c>
      <c r="L78" t="s">
        <v>164</v>
      </c>
      <c r="N78" t="s">
        <v>212</v>
      </c>
      <c r="O78" t="s">
        <v>278</v>
      </c>
      <c r="P78">
        <v>5.4715907443069929E-2</v>
      </c>
      <c r="Q78" t="s">
        <v>164</v>
      </c>
      <c r="S78" t="s">
        <v>239</v>
      </c>
      <c r="T78" t="s">
        <v>278</v>
      </c>
      <c r="U78">
        <v>4.4272898137872073E-2</v>
      </c>
      <c r="V78" t="s">
        <v>164</v>
      </c>
      <c r="AC78" t="s">
        <v>19</v>
      </c>
      <c r="AD78" t="s">
        <v>278</v>
      </c>
      <c r="AE78">
        <v>3.2167780620464062E-2</v>
      </c>
      <c r="AK78">
        <v>2031</v>
      </c>
      <c r="AL78" t="s">
        <v>260</v>
      </c>
      <c r="AM78">
        <v>0.26769999999999999</v>
      </c>
      <c r="AN78" t="s">
        <v>257</v>
      </c>
    </row>
    <row r="79" spans="9:40" x14ac:dyDescent="0.45">
      <c r="I79" t="s">
        <v>176</v>
      </c>
      <c r="J79" t="s">
        <v>279</v>
      </c>
      <c r="K79">
        <v>3.6543083098789903E-3</v>
      </c>
      <c r="L79" t="s">
        <v>164</v>
      </c>
      <c r="N79" t="s">
        <v>212</v>
      </c>
      <c r="O79" t="s">
        <v>279</v>
      </c>
      <c r="P79">
        <v>2.3541920822288606E-3</v>
      </c>
      <c r="Q79" t="s">
        <v>164</v>
      </c>
      <c r="S79" t="s">
        <v>239</v>
      </c>
      <c r="T79" t="s">
        <v>279</v>
      </c>
      <c r="U79">
        <v>6.5458765074957433E-3</v>
      </c>
      <c r="V79" t="s">
        <v>164</v>
      </c>
      <c r="AC79" t="s">
        <v>19</v>
      </c>
      <c r="AD79" t="s">
        <v>279</v>
      </c>
      <c r="AE79">
        <v>3.6370045574355761E-3</v>
      </c>
      <c r="AK79">
        <v>2031</v>
      </c>
      <c r="AL79" t="s">
        <v>262</v>
      </c>
      <c r="AM79">
        <v>0.41099999999999998</v>
      </c>
      <c r="AN79" t="s">
        <v>257</v>
      </c>
    </row>
    <row r="80" spans="9:40" x14ac:dyDescent="0.45">
      <c r="I80" t="s">
        <v>176</v>
      </c>
      <c r="J80" t="s">
        <v>280</v>
      </c>
      <c r="K80">
        <v>2.0262037397008976E-3</v>
      </c>
      <c r="L80" t="s">
        <v>164</v>
      </c>
      <c r="N80" t="s">
        <v>212</v>
      </c>
      <c r="O80" t="s">
        <v>280</v>
      </c>
      <c r="P80">
        <v>7.8561379954476644E-3</v>
      </c>
      <c r="Q80" t="s">
        <v>164</v>
      </c>
      <c r="S80" t="s">
        <v>239</v>
      </c>
      <c r="T80" t="s">
        <v>280</v>
      </c>
      <c r="U80">
        <v>2.0818460919031074E-2</v>
      </c>
      <c r="V80" t="s">
        <v>164</v>
      </c>
      <c r="AC80" t="s">
        <v>19</v>
      </c>
      <c r="AD80" t="s">
        <v>280</v>
      </c>
      <c r="AE80">
        <v>1.0801359709612287E-2</v>
      </c>
      <c r="AK80">
        <v>2031</v>
      </c>
      <c r="AL80" t="s">
        <v>264</v>
      </c>
      <c r="AM80">
        <v>0.44527499999999998</v>
      </c>
      <c r="AN80" t="s">
        <v>257</v>
      </c>
    </row>
    <row r="81" spans="9:40" x14ac:dyDescent="0.45">
      <c r="I81" t="s">
        <v>176</v>
      </c>
      <c r="J81" t="s">
        <v>281</v>
      </c>
      <c r="K81">
        <v>0</v>
      </c>
      <c r="L81" t="s">
        <v>164</v>
      </c>
      <c r="N81" t="s">
        <v>212</v>
      </c>
      <c r="O81" t="s">
        <v>281</v>
      </c>
      <c r="P81">
        <v>6.7214699918777118E-3</v>
      </c>
      <c r="Q81" t="s">
        <v>164</v>
      </c>
      <c r="S81" t="s">
        <v>239</v>
      </c>
      <c r="T81" t="s">
        <v>281</v>
      </c>
      <c r="U81">
        <v>1.2870967406711864E-2</v>
      </c>
      <c r="V81" t="s">
        <v>164</v>
      </c>
      <c r="AC81" t="s">
        <v>19</v>
      </c>
      <c r="AD81" t="s">
        <v>281</v>
      </c>
      <c r="AE81">
        <v>6.9606576344210013E-3</v>
      </c>
      <c r="AK81">
        <v>2032</v>
      </c>
      <c r="AL81" t="s">
        <v>152</v>
      </c>
      <c r="AM81">
        <v>0.39710000000000001</v>
      </c>
      <c r="AN81" t="s">
        <v>257</v>
      </c>
    </row>
    <row r="82" spans="9:40" x14ac:dyDescent="0.45">
      <c r="I82" t="s">
        <v>176</v>
      </c>
      <c r="J82" t="s">
        <v>282</v>
      </c>
      <c r="K82">
        <v>0</v>
      </c>
      <c r="L82" t="s">
        <v>164</v>
      </c>
      <c r="N82" t="s">
        <v>212</v>
      </c>
      <c r="O82" t="s">
        <v>282</v>
      </c>
      <c r="P82">
        <v>3.6404947745960737E-3</v>
      </c>
      <c r="Q82" t="s">
        <v>164</v>
      </c>
      <c r="S82" t="s">
        <v>239</v>
      </c>
      <c r="T82" t="s">
        <v>282</v>
      </c>
      <c r="U82">
        <v>6.0700615982182474E-3</v>
      </c>
      <c r="V82" t="s">
        <v>164</v>
      </c>
      <c r="AC82" t="s">
        <v>19</v>
      </c>
      <c r="AD82" t="s">
        <v>282</v>
      </c>
      <c r="AE82">
        <v>3.4349154499560032E-3</v>
      </c>
      <c r="AK82">
        <v>2032</v>
      </c>
      <c r="AL82" t="s">
        <v>156</v>
      </c>
      <c r="AM82">
        <v>0.34639999999999999</v>
      </c>
      <c r="AN82" t="s">
        <v>257</v>
      </c>
    </row>
    <row r="83" spans="9:40" x14ac:dyDescent="0.45">
      <c r="I83" t="s">
        <v>176</v>
      </c>
      <c r="J83" t="s">
        <v>283</v>
      </c>
      <c r="K83">
        <v>1.5172052882638037E-3</v>
      </c>
      <c r="L83" t="s">
        <v>164</v>
      </c>
      <c r="N83" t="s">
        <v>212</v>
      </c>
      <c r="O83" t="s">
        <v>283</v>
      </c>
      <c r="P83">
        <v>2.3022426329569443E-2</v>
      </c>
      <c r="Q83" t="s">
        <v>164</v>
      </c>
      <c r="S83" t="s">
        <v>239</v>
      </c>
      <c r="T83" t="s">
        <v>283</v>
      </c>
      <c r="U83">
        <v>6.1024906242650091E-2</v>
      </c>
      <c r="V83" t="s">
        <v>164</v>
      </c>
      <c r="AC83" t="s">
        <v>19</v>
      </c>
      <c r="AD83" t="s">
        <v>283</v>
      </c>
      <c r="AE83">
        <v>2.7910748543064062E-2</v>
      </c>
      <c r="AK83">
        <v>2032</v>
      </c>
      <c r="AL83" t="s">
        <v>158</v>
      </c>
      <c r="AM83">
        <v>0.28489999999999999</v>
      </c>
      <c r="AN83" t="s">
        <v>257</v>
      </c>
    </row>
    <row r="84" spans="9:40" x14ac:dyDescent="0.45">
      <c r="I84" t="s">
        <v>176</v>
      </c>
      <c r="J84" t="s">
        <v>284</v>
      </c>
      <c r="K84">
        <v>5.6682725211364082E-2</v>
      </c>
      <c r="L84" t="s">
        <v>164</v>
      </c>
      <c r="N84" t="s">
        <v>212</v>
      </c>
      <c r="O84" t="s">
        <v>284</v>
      </c>
      <c r="P84">
        <v>4.0804955957020203E-2</v>
      </c>
      <c r="Q84" t="s">
        <v>164</v>
      </c>
      <c r="S84" t="s">
        <v>239</v>
      </c>
      <c r="T84" t="s">
        <v>284</v>
      </c>
      <c r="U84">
        <v>6.2944161808765775E-2</v>
      </c>
      <c r="V84" t="s">
        <v>164</v>
      </c>
      <c r="AC84" t="s">
        <v>19</v>
      </c>
      <c r="AD84" t="s">
        <v>284</v>
      </c>
      <c r="AE84">
        <v>3.2165810667764236E-2</v>
      </c>
      <c r="AK84">
        <v>2032</v>
      </c>
      <c r="AL84" t="s">
        <v>160</v>
      </c>
      <c r="AM84">
        <v>0.26900000000000002</v>
      </c>
      <c r="AN84" t="s">
        <v>257</v>
      </c>
    </row>
    <row r="85" spans="9:40" x14ac:dyDescent="0.45">
      <c r="I85" t="s">
        <v>176</v>
      </c>
      <c r="J85" t="s">
        <v>285</v>
      </c>
      <c r="K85">
        <v>3.509918689953389E-3</v>
      </c>
      <c r="L85" t="s">
        <v>164</v>
      </c>
      <c r="N85" t="s">
        <v>212</v>
      </c>
      <c r="O85" t="s">
        <v>285</v>
      </c>
      <c r="P85">
        <v>2.6414827353882977E-3</v>
      </c>
      <c r="Q85" t="s">
        <v>164</v>
      </c>
      <c r="S85" t="s">
        <v>239</v>
      </c>
      <c r="T85" t="s">
        <v>285</v>
      </c>
      <c r="U85">
        <v>7.7753074569743182E-3</v>
      </c>
      <c r="V85" t="s">
        <v>164</v>
      </c>
      <c r="AC85" t="s">
        <v>19</v>
      </c>
      <c r="AD85" t="s">
        <v>285</v>
      </c>
      <c r="AE85">
        <v>3.6332985120909799E-3</v>
      </c>
      <c r="AK85">
        <v>2032</v>
      </c>
      <c r="AL85" t="s">
        <v>260</v>
      </c>
      <c r="AM85">
        <v>0.29499999999999998</v>
      </c>
      <c r="AN85" t="s">
        <v>257</v>
      </c>
    </row>
    <row r="86" spans="9:40" x14ac:dyDescent="0.45">
      <c r="I86" t="s">
        <v>176</v>
      </c>
      <c r="J86" t="s">
        <v>286</v>
      </c>
      <c r="K86">
        <v>2.0408124272537375E-3</v>
      </c>
      <c r="L86" t="s">
        <v>164</v>
      </c>
      <c r="N86" t="s">
        <v>212</v>
      </c>
      <c r="O86" t="s">
        <v>286</v>
      </c>
      <c r="P86">
        <v>6.7254110103364224E-3</v>
      </c>
      <c r="Q86" t="s">
        <v>164</v>
      </c>
      <c r="S86" t="s">
        <v>239</v>
      </c>
      <c r="T86" t="s">
        <v>286</v>
      </c>
      <c r="U86">
        <v>2.2353557046613577E-2</v>
      </c>
      <c r="V86" t="s">
        <v>164</v>
      </c>
      <c r="AC86" t="s">
        <v>19</v>
      </c>
      <c r="AD86" t="s">
        <v>286</v>
      </c>
      <c r="AE86">
        <v>1.0793826584434946E-2</v>
      </c>
      <c r="AK86">
        <v>2032</v>
      </c>
      <c r="AL86" t="s">
        <v>262</v>
      </c>
      <c r="AM86">
        <v>0.3397</v>
      </c>
      <c r="AN86" t="s">
        <v>257</v>
      </c>
    </row>
    <row r="87" spans="9:40" x14ac:dyDescent="0.45">
      <c r="I87" t="s">
        <v>176</v>
      </c>
      <c r="J87" t="s">
        <v>287</v>
      </c>
      <c r="K87">
        <v>0</v>
      </c>
      <c r="L87" t="s">
        <v>164</v>
      </c>
      <c r="N87" t="s">
        <v>212</v>
      </c>
      <c r="O87" t="s">
        <v>287</v>
      </c>
      <c r="P87">
        <v>4.6559710522566375E-3</v>
      </c>
      <c r="Q87" t="s">
        <v>164</v>
      </c>
      <c r="S87" t="s">
        <v>239</v>
      </c>
      <c r="T87" t="s">
        <v>287</v>
      </c>
      <c r="U87">
        <v>1.277584899122715E-2</v>
      </c>
      <c r="V87" t="s">
        <v>164</v>
      </c>
      <c r="AC87" t="s">
        <v>19</v>
      </c>
      <c r="AD87" t="s">
        <v>287</v>
      </c>
      <c r="AE87">
        <v>6.9620153630821453E-3</v>
      </c>
      <c r="AK87">
        <v>2032</v>
      </c>
      <c r="AL87" t="s">
        <v>264</v>
      </c>
      <c r="AM87">
        <v>0.45067500000000005</v>
      </c>
      <c r="AN87" t="s">
        <v>257</v>
      </c>
    </row>
    <row r="88" spans="9:40" x14ac:dyDescent="0.45">
      <c r="I88" t="s">
        <v>176</v>
      </c>
      <c r="J88" t="s">
        <v>288</v>
      </c>
      <c r="K88">
        <v>0</v>
      </c>
      <c r="L88" t="s">
        <v>164</v>
      </c>
      <c r="N88" t="s">
        <v>212</v>
      </c>
      <c r="O88" t="s">
        <v>288</v>
      </c>
      <c r="P88">
        <v>2.6409725418925873E-3</v>
      </c>
      <c r="Q88" t="s">
        <v>164</v>
      </c>
      <c r="S88" t="s">
        <v>239</v>
      </c>
      <c r="T88" t="s">
        <v>288</v>
      </c>
      <c r="U88">
        <v>6.2671734675964416E-3</v>
      </c>
      <c r="V88" t="s">
        <v>164</v>
      </c>
      <c r="AC88" t="s">
        <v>19</v>
      </c>
      <c r="AD88" t="s">
        <v>288</v>
      </c>
      <c r="AE88">
        <v>3.4352681105960328E-3</v>
      </c>
      <c r="AK88">
        <v>2033</v>
      </c>
      <c r="AL88" t="s">
        <v>152</v>
      </c>
      <c r="AM88">
        <v>0.37354999999999999</v>
      </c>
      <c r="AN88" t="s">
        <v>257</v>
      </c>
    </row>
    <row r="89" spans="9:40" x14ac:dyDescent="0.45">
      <c r="I89" t="s">
        <v>176</v>
      </c>
      <c r="J89" t="s">
        <v>289</v>
      </c>
      <c r="K89">
        <v>8.9748108941943606E-3</v>
      </c>
      <c r="L89" t="s">
        <v>164</v>
      </c>
      <c r="N89" t="s">
        <v>212</v>
      </c>
      <c r="O89" t="s">
        <v>289</v>
      </c>
      <c r="P89">
        <v>8.3046389587045438E-2</v>
      </c>
      <c r="Q89" t="s">
        <v>164</v>
      </c>
      <c r="S89" t="s">
        <v>239</v>
      </c>
      <c r="T89" t="s">
        <v>289</v>
      </c>
      <c r="U89">
        <v>8.7066802604510329E-2</v>
      </c>
      <c r="V89" t="s">
        <v>164</v>
      </c>
      <c r="AC89" t="s">
        <v>19</v>
      </c>
      <c r="AD89" t="s">
        <v>289</v>
      </c>
      <c r="AE89">
        <v>0.10963676633959181</v>
      </c>
      <c r="AK89">
        <v>2033</v>
      </c>
      <c r="AL89" t="s">
        <v>156</v>
      </c>
      <c r="AM89">
        <v>0.30869999999999997</v>
      </c>
      <c r="AN89" t="s">
        <v>257</v>
      </c>
    </row>
    <row r="90" spans="9:40" x14ac:dyDescent="0.45">
      <c r="I90" t="s">
        <v>176</v>
      </c>
      <c r="J90" t="s">
        <v>290</v>
      </c>
      <c r="K90">
        <v>0.31896953256443716</v>
      </c>
      <c r="L90" t="s">
        <v>164</v>
      </c>
      <c r="N90" t="s">
        <v>212</v>
      </c>
      <c r="O90" t="s">
        <v>290</v>
      </c>
      <c r="P90">
        <v>5.5990870776422709E-2</v>
      </c>
      <c r="Q90" t="s">
        <v>164</v>
      </c>
      <c r="S90" t="s">
        <v>239</v>
      </c>
      <c r="T90" t="s">
        <v>290</v>
      </c>
      <c r="U90">
        <v>7.4299916717563738E-2</v>
      </c>
      <c r="V90" t="s">
        <v>164</v>
      </c>
      <c r="AC90" t="s">
        <v>19</v>
      </c>
      <c r="AD90" t="s">
        <v>290</v>
      </c>
      <c r="AE90">
        <v>0.12673731695651155</v>
      </c>
      <c r="AK90">
        <v>2033</v>
      </c>
      <c r="AL90" t="s">
        <v>158</v>
      </c>
      <c r="AM90">
        <v>0.31519999999999998</v>
      </c>
      <c r="AN90" t="s">
        <v>257</v>
      </c>
    </row>
    <row r="91" spans="9:40" x14ac:dyDescent="0.45">
      <c r="I91" t="s">
        <v>176</v>
      </c>
      <c r="J91" t="s">
        <v>291</v>
      </c>
      <c r="K91">
        <v>1.6723010779591735E-2</v>
      </c>
      <c r="L91" t="s">
        <v>164</v>
      </c>
      <c r="N91" t="s">
        <v>212</v>
      </c>
      <c r="O91" t="s">
        <v>291</v>
      </c>
      <c r="P91">
        <v>3.2718857567137637E-3</v>
      </c>
      <c r="Q91" t="s">
        <v>164</v>
      </c>
      <c r="S91" t="s">
        <v>239</v>
      </c>
      <c r="T91" t="s">
        <v>291</v>
      </c>
      <c r="U91">
        <v>1.3807115833570067E-2</v>
      </c>
      <c r="V91" t="s">
        <v>164</v>
      </c>
      <c r="AC91" t="s">
        <v>19</v>
      </c>
      <c r="AD91" t="s">
        <v>291</v>
      </c>
      <c r="AE91">
        <v>1.4337732394453819E-2</v>
      </c>
      <c r="AK91">
        <v>2033</v>
      </c>
      <c r="AL91" t="s">
        <v>160</v>
      </c>
      <c r="AM91">
        <v>0.26819999999999999</v>
      </c>
      <c r="AN91" t="s">
        <v>257</v>
      </c>
    </row>
    <row r="92" spans="9:40" x14ac:dyDescent="0.45">
      <c r="I92" t="s">
        <v>176</v>
      </c>
      <c r="J92" t="s">
        <v>292</v>
      </c>
      <c r="K92">
        <v>1.6467616930017589E-3</v>
      </c>
      <c r="L92" t="s">
        <v>164</v>
      </c>
      <c r="N92" t="s">
        <v>212</v>
      </c>
      <c r="O92" t="s">
        <v>292</v>
      </c>
      <c r="P92">
        <v>1.3033511589896511E-2</v>
      </c>
      <c r="Q92" t="s">
        <v>164</v>
      </c>
      <c r="S92" t="s">
        <v>239</v>
      </c>
      <c r="T92" t="s">
        <v>292</v>
      </c>
      <c r="U92">
        <v>4.0677908226144581E-2</v>
      </c>
      <c r="V92" t="s">
        <v>164</v>
      </c>
      <c r="AC92" t="s">
        <v>19</v>
      </c>
      <c r="AD92" t="s">
        <v>292</v>
      </c>
      <c r="AE92">
        <v>4.2594411933177007E-2</v>
      </c>
      <c r="AK92">
        <v>2033</v>
      </c>
      <c r="AL92" t="s">
        <v>260</v>
      </c>
      <c r="AM92">
        <v>0.25600000000000001</v>
      </c>
      <c r="AN92" t="s">
        <v>257</v>
      </c>
    </row>
    <row r="93" spans="9:40" x14ac:dyDescent="0.45">
      <c r="I93" t="s">
        <v>176</v>
      </c>
      <c r="J93" t="s">
        <v>293</v>
      </c>
      <c r="K93">
        <v>0</v>
      </c>
      <c r="L93" t="s">
        <v>164</v>
      </c>
      <c r="N93" t="s">
        <v>212</v>
      </c>
      <c r="O93" t="s">
        <v>293</v>
      </c>
      <c r="P93">
        <v>1.6018701724811048E-2</v>
      </c>
      <c r="Q93" t="s">
        <v>164</v>
      </c>
      <c r="S93" t="s">
        <v>239</v>
      </c>
      <c r="T93" t="s">
        <v>293</v>
      </c>
      <c r="U93">
        <v>2.4306153458000267E-2</v>
      </c>
      <c r="V93" t="s">
        <v>164</v>
      </c>
      <c r="AC93" t="s">
        <v>19</v>
      </c>
      <c r="AD93" t="s">
        <v>293</v>
      </c>
      <c r="AE93">
        <v>2.7373009889743765E-2</v>
      </c>
      <c r="AK93">
        <v>2033</v>
      </c>
      <c r="AL93" t="s">
        <v>262</v>
      </c>
      <c r="AM93">
        <v>0.36559999999999998</v>
      </c>
      <c r="AN93" t="s">
        <v>257</v>
      </c>
    </row>
    <row r="94" spans="9:40" x14ac:dyDescent="0.45">
      <c r="I94" t="s">
        <v>176</v>
      </c>
      <c r="J94" t="s">
        <v>294</v>
      </c>
      <c r="K94">
        <v>0</v>
      </c>
      <c r="L94" t="s">
        <v>164</v>
      </c>
      <c r="N94" t="s">
        <v>212</v>
      </c>
      <c r="O94" t="s">
        <v>294</v>
      </c>
      <c r="P94">
        <v>1.025618800802033E-2</v>
      </c>
      <c r="Q94" t="s">
        <v>164</v>
      </c>
      <c r="S94" t="s">
        <v>239</v>
      </c>
      <c r="T94" t="s">
        <v>294</v>
      </c>
      <c r="U94">
        <v>1.1803302972198226E-2</v>
      </c>
      <c r="V94" t="s">
        <v>164</v>
      </c>
      <c r="AC94" t="s">
        <v>19</v>
      </c>
      <c r="AD94" t="s">
        <v>294</v>
      </c>
      <c r="AE94">
        <v>1.3508888650241779E-2</v>
      </c>
      <c r="AK94">
        <v>2033</v>
      </c>
      <c r="AL94" t="s">
        <v>264</v>
      </c>
      <c r="AM94">
        <v>0.43354999999999999</v>
      </c>
      <c r="AN94" t="s">
        <v>257</v>
      </c>
    </row>
    <row r="95" spans="9:40" x14ac:dyDescent="0.45">
      <c r="I95" t="s">
        <v>177</v>
      </c>
      <c r="J95" t="s">
        <v>163</v>
      </c>
      <c r="K95">
        <v>4.9790496912992307E-3</v>
      </c>
      <c r="L95" t="s">
        <v>164</v>
      </c>
      <c r="N95" t="s">
        <v>213</v>
      </c>
      <c r="O95" t="s">
        <v>163</v>
      </c>
      <c r="P95">
        <v>8.4879168285292378E-2</v>
      </c>
      <c r="Q95" t="s">
        <v>164</v>
      </c>
      <c r="S95" t="s">
        <v>240</v>
      </c>
      <c r="T95" t="s">
        <v>163</v>
      </c>
      <c r="U95">
        <v>5.4521322411855262E-2</v>
      </c>
      <c r="V95" t="s">
        <v>164</v>
      </c>
      <c r="AK95">
        <v>2034</v>
      </c>
      <c r="AL95" t="s">
        <v>152</v>
      </c>
      <c r="AM95">
        <v>0.40260000000000001</v>
      </c>
      <c r="AN95" t="s">
        <v>257</v>
      </c>
    </row>
    <row r="96" spans="9:40" x14ac:dyDescent="0.45">
      <c r="I96" t="s">
        <v>177</v>
      </c>
      <c r="J96" t="s">
        <v>165</v>
      </c>
      <c r="K96">
        <v>0.17927863568437907</v>
      </c>
      <c r="L96" t="s">
        <v>164</v>
      </c>
      <c r="N96" t="s">
        <v>213</v>
      </c>
      <c r="O96" t="s">
        <v>165</v>
      </c>
      <c r="P96">
        <v>9.7657916268015441E-3</v>
      </c>
      <c r="Q96" t="s">
        <v>164</v>
      </c>
      <c r="S96" t="s">
        <v>240</v>
      </c>
      <c r="T96" t="s">
        <v>165</v>
      </c>
      <c r="U96">
        <v>2.7409878806664064E-2</v>
      </c>
      <c r="V96" t="s">
        <v>164</v>
      </c>
      <c r="AK96">
        <v>2034</v>
      </c>
      <c r="AL96" t="s">
        <v>156</v>
      </c>
      <c r="AM96">
        <v>0.31369999999999998</v>
      </c>
      <c r="AN96" t="s">
        <v>257</v>
      </c>
    </row>
    <row r="97" spans="9:40" x14ac:dyDescent="0.45">
      <c r="I97" t="s">
        <v>177</v>
      </c>
      <c r="J97" t="s">
        <v>166</v>
      </c>
      <c r="K97">
        <v>1.2406375725626679E-2</v>
      </c>
      <c r="L97" t="s">
        <v>164</v>
      </c>
      <c r="N97" t="s">
        <v>213</v>
      </c>
      <c r="O97" t="s">
        <v>166</v>
      </c>
      <c r="P97">
        <v>1.1458346308602344E-3</v>
      </c>
      <c r="Q97" t="s">
        <v>164</v>
      </c>
      <c r="S97" t="s">
        <v>240</v>
      </c>
      <c r="T97" t="s">
        <v>166</v>
      </c>
      <c r="U97">
        <v>2.9200045119209404E-3</v>
      </c>
      <c r="V97" t="s">
        <v>164</v>
      </c>
      <c r="AK97">
        <v>2034</v>
      </c>
      <c r="AL97" t="s">
        <v>158</v>
      </c>
      <c r="AM97">
        <v>0.30080000000000001</v>
      </c>
      <c r="AN97" t="s">
        <v>257</v>
      </c>
    </row>
    <row r="98" spans="9:40" x14ac:dyDescent="0.45">
      <c r="I98" t="s">
        <v>177</v>
      </c>
      <c r="J98" t="s">
        <v>265</v>
      </c>
      <c r="K98">
        <v>6.0520762194082346E-3</v>
      </c>
      <c r="L98" t="s">
        <v>164</v>
      </c>
      <c r="N98" t="s">
        <v>213</v>
      </c>
      <c r="O98" t="s">
        <v>265</v>
      </c>
      <c r="P98">
        <v>1.5273577383913927E-2</v>
      </c>
      <c r="Q98" t="s">
        <v>164</v>
      </c>
      <c r="S98" t="s">
        <v>240</v>
      </c>
      <c r="T98" t="s">
        <v>265</v>
      </c>
      <c r="U98">
        <v>1.1888061119674675E-2</v>
      </c>
      <c r="V98" t="s">
        <v>164</v>
      </c>
      <c r="AK98">
        <v>2034</v>
      </c>
      <c r="AL98" t="s">
        <v>160</v>
      </c>
      <c r="AM98">
        <v>0.26069999999999999</v>
      </c>
      <c r="AN98" t="s">
        <v>257</v>
      </c>
    </row>
    <row r="99" spans="9:40" x14ac:dyDescent="0.45">
      <c r="I99" t="s">
        <v>177</v>
      </c>
      <c r="J99" t="s">
        <v>266</v>
      </c>
      <c r="K99">
        <v>0</v>
      </c>
      <c r="L99" t="s">
        <v>164</v>
      </c>
      <c r="N99" t="s">
        <v>213</v>
      </c>
      <c r="O99" t="s">
        <v>266</v>
      </c>
      <c r="P99">
        <v>2.7455878473593584E-2</v>
      </c>
      <c r="Q99" t="s">
        <v>164</v>
      </c>
      <c r="S99" t="s">
        <v>240</v>
      </c>
      <c r="T99" t="s">
        <v>266</v>
      </c>
      <c r="U99">
        <v>9.7752211343069585E-3</v>
      </c>
      <c r="V99" t="s">
        <v>164</v>
      </c>
      <c r="AK99">
        <v>2034</v>
      </c>
      <c r="AL99" t="s">
        <v>260</v>
      </c>
      <c r="AM99">
        <v>0.30280000000000001</v>
      </c>
      <c r="AN99" t="s">
        <v>257</v>
      </c>
    </row>
    <row r="100" spans="9:40" x14ac:dyDescent="0.45">
      <c r="I100" t="s">
        <v>177</v>
      </c>
      <c r="J100" t="s">
        <v>267</v>
      </c>
      <c r="K100">
        <v>0</v>
      </c>
      <c r="L100" t="s">
        <v>164</v>
      </c>
      <c r="N100" t="s">
        <v>213</v>
      </c>
      <c r="O100" t="s">
        <v>267</v>
      </c>
      <c r="P100">
        <v>1.7128765106907692E-2</v>
      </c>
      <c r="Q100" t="s">
        <v>164</v>
      </c>
      <c r="S100" t="s">
        <v>240</v>
      </c>
      <c r="T100" t="s">
        <v>267</v>
      </c>
      <c r="U100">
        <v>5.692704993627516E-3</v>
      </c>
      <c r="V100" t="s">
        <v>164</v>
      </c>
      <c r="AK100">
        <v>2034</v>
      </c>
      <c r="AL100" t="s">
        <v>262</v>
      </c>
      <c r="AM100">
        <v>0.34200000000000003</v>
      </c>
      <c r="AN100" t="s">
        <v>257</v>
      </c>
    </row>
    <row r="101" spans="9:40" x14ac:dyDescent="0.45">
      <c r="I101" t="s">
        <v>177</v>
      </c>
      <c r="J101" t="s">
        <v>167</v>
      </c>
      <c r="K101">
        <v>2.2054123241093833E-3</v>
      </c>
      <c r="L101" t="s">
        <v>164</v>
      </c>
      <c r="N101" t="s">
        <v>213</v>
      </c>
      <c r="O101" t="s">
        <v>167</v>
      </c>
      <c r="P101">
        <v>4.2721353671618903E-2</v>
      </c>
      <c r="Q101" t="s">
        <v>164</v>
      </c>
      <c r="S101" t="s">
        <v>240</v>
      </c>
      <c r="T101" t="s">
        <v>167</v>
      </c>
      <c r="U101">
        <v>3.5422783367655239E-2</v>
      </c>
      <c r="V101" t="s">
        <v>164</v>
      </c>
      <c r="AK101">
        <v>2034</v>
      </c>
      <c r="AL101" t="s">
        <v>264</v>
      </c>
      <c r="AM101">
        <v>0.44155</v>
      </c>
      <c r="AN101" t="s">
        <v>257</v>
      </c>
    </row>
    <row r="102" spans="9:40" x14ac:dyDescent="0.45">
      <c r="I102" t="s">
        <v>177</v>
      </c>
      <c r="J102" t="s">
        <v>168</v>
      </c>
      <c r="K102">
        <v>8.4254207236630366E-2</v>
      </c>
      <c r="L102" t="s">
        <v>164</v>
      </c>
      <c r="N102" t="s">
        <v>213</v>
      </c>
      <c r="O102" t="s">
        <v>168</v>
      </c>
      <c r="P102">
        <v>3.2890439231629348E-2</v>
      </c>
      <c r="Q102" t="s">
        <v>164</v>
      </c>
      <c r="S102" t="s">
        <v>240</v>
      </c>
      <c r="T102" t="s">
        <v>168</v>
      </c>
      <c r="U102">
        <v>1.9871523511332041E-2</v>
      </c>
      <c r="V102" t="s">
        <v>164</v>
      </c>
      <c r="AK102">
        <v>2035</v>
      </c>
      <c r="AL102" t="s">
        <v>152</v>
      </c>
      <c r="AM102">
        <v>0.38644999999999996</v>
      </c>
      <c r="AN102" t="s">
        <v>257</v>
      </c>
    </row>
    <row r="103" spans="9:40" x14ac:dyDescent="0.45">
      <c r="I103" t="s">
        <v>177</v>
      </c>
      <c r="J103" t="s">
        <v>169</v>
      </c>
      <c r="K103">
        <v>4.8839438442141022E-3</v>
      </c>
      <c r="L103" t="s">
        <v>164</v>
      </c>
      <c r="N103" t="s">
        <v>213</v>
      </c>
      <c r="O103" t="s">
        <v>169</v>
      </c>
      <c r="P103">
        <v>6.9639059331684777E-4</v>
      </c>
      <c r="Q103" t="s">
        <v>164</v>
      </c>
      <c r="S103" t="s">
        <v>240</v>
      </c>
      <c r="T103" t="s">
        <v>169</v>
      </c>
      <c r="U103">
        <v>2.0343450852936158E-3</v>
      </c>
      <c r="V103" t="s">
        <v>164</v>
      </c>
      <c r="AK103">
        <v>2035</v>
      </c>
      <c r="AL103" t="s">
        <v>156</v>
      </c>
      <c r="AM103">
        <v>0.30730000000000002</v>
      </c>
      <c r="AN103" t="s">
        <v>257</v>
      </c>
    </row>
    <row r="104" spans="9:40" x14ac:dyDescent="0.45">
      <c r="I104" t="s">
        <v>177</v>
      </c>
      <c r="J104" t="s">
        <v>268</v>
      </c>
      <c r="K104">
        <v>2.3049694527941685E-3</v>
      </c>
      <c r="L104" t="s">
        <v>164</v>
      </c>
      <c r="N104" t="s">
        <v>213</v>
      </c>
      <c r="O104" t="s">
        <v>268</v>
      </c>
      <c r="P104">
        <v>7.4504375592751035E-3</v>
      </c>
      <c r="Q104" t="s">
        <v>164</v>
      </c>
      <c r="S104" t="s">
        <v>240</v>
      </c>
      <c r="T104" t="s">
        <v>268</v>
      </c>
      <c r="U104">
        <v>7.4477733092496064E-3</v>
      </c>
      <c r="V104" t="s">
        <v>164</v>
      </c>
      <c r="AK104">
        <v>2035</v>
      </c>
      <c r="AL104" t="s">
        <v>158</v>
      </c>
      <c r="AM104">
        <v>0.27510000000000001</v>
      </c>
      <c r="AN104" t="s">
        <v>257</v>
      </c>
    </row>
    <row r="105" spans="9:40" x14ac:dyDescent="0.45">
      <c r="I105" t="s">
        <v>177</v>
      </c>
      <c r="J105" t="s">
        <v>269</v>
      </c>
      <c r="K105">
        <v>0</v>
      </c>
      <c r="L105" t="s">
        <v>164</v>
      </c>
      <c r="N105" t="s">
        <v>213</v>
      </c>
      <c r="O105" t="s">
        <v>269</v>
      </c>
      <c r="P105">
        <v>9.28342960817591E-3</v>
      </c>
      <c r="Q105" t="s">
        <v>164</v>
      </c>
      <c r="S105" t="s">
        <v>240</v>
      </c>
      <c r="T105" t="s">
        <v>269</v>
      </c>
      <c r="U105">
        <v>4.8371021059619435E-3</v>
      </c>
      <c r="V105" t="s">
        <v>164</v>
      </c>
      <c r="AK105">
        <v>2035</v>
      </c>
      <c r="AL105" t="s">
        <v>160</v>
      </c>
      <c r="AM105">
        <v>0.23875000000000002</v>
      </c>
      <c r="AN105" t="s">
        <v>257</v>
      </c>
    </row>
    <row r="106" spans="9:40" x14ac:dyDescent="0.45">
      <c r="I106" t="s">
        <v>177</v>
      </c>
      <c r="J106" t="s">
        <v>270</v>
      </c>
      <c r="K106">
        <v>0</v>
      </c>
      <c r="L106" t="s">
        <v>164</v>
      </c>
      <c r="N106" t="s">
        <v>213</v>
      </c>
      <c r="O106" t="s">
        <v>270</v>
      </c>
      <c r="P106">
        <v>5.9443216458595991E-3</v>
      </c>
      <c r="Q106" t="s">
        <v>164</v>
      </c>
      <c r="S106" t="s">
        <v>240</v>
      </c>
      <c r="T106" t="s">
        <v>270</v>
      </c>
      <c r="U106">
        <v>2.0510508728592402E-3</v>
      </c>
      <c r="V106" t="s">
        <v>164</v>
      </c>
      <c r="AK106">
        <v>2035</v>
      </c>
      <c r="AL106" t="s">
        <v>260</v>
      </c>
      <c r="AM106">
        <v>0.27589999999999998</v>
      </c>
      <c r="AN106" t="s">
        <v>257</v>
      </c>
    </row>
    <row r="107" spans="9:40" x14ac:dyDescent="0.45">
      <c r="I107" t="s">
        <v>177</v>
      </c>
      <c r="J107" t="s">
        <v>170</v>
      </c>
      <c r="K107">
        <v>2.6093852620665812E-3</v>
      </c>
      <c r="L107" t="s">
        <v>164</v>
      </c>
      <c r="N107" t="s">
        <v>213</v>
      </c>
      <c r="O107" t="s">
        <v>170</v>
      </c>
      <c r="P107">
        <v>6.8157135800750265E-2</v>
      </c>
      <c r="Q107" t="s">
        <v>164</v>
      </c>
      <c r="S107" t="s">
        <v>240</v>
      </c>
      <c r="T107" t="s">
        <v>170</v>
      </c>
      <c r="U107">
        <v>1.5583385428038683E-2</v>
      </c>
      <c r="V107" t="s">
        <v>164</v>
      </c>
      <c r="AK107">
        <v>2035</v>
      </c>
      <c r="AL107" t="s">
        <v>262</v>
      </c>
      <c r="AM107">
        <v>0.39079999999999998</v>
      </c>
      <c r="AN107" t="s">
        <v>257</v>
      </c>
    </row>
    <row r="108" spans="9:40" x14ac:dyDescent="0.45">
      <c r="I108" t="s">
        <v>177</v>
      </c>
      <c r="J108" t="s">
        <v>171</v>
      </c>
      <c r="K108">
        <v>7.7458723697029788E-2</v>
      </c>
      <c r="L108" t="s">
        <v>164</v>
      </c>
      <c r="N108" t="s">
        <v>213</v>
      </c>
      <c r="O108" t="s">
        <v>171</v>
      </c>
      <c r="P108">
        <v>4.4429916122307414E-2</v>
      </c>
      <c r="Q108" t="s">
        <v>164</v>
      </c>
      <c r="S108" t="s">
        <v>240</v>
      </c>
      <c r="T108" t="s">
        <v>171</v>
      </c>
      <c r="U108">
        <v>1.0972024838376438E-2</v>
      </c>
      <c r="V108" t="s">
        <v>164</v>
      </c>
      <c r="AK108">
        <v>2035</v>
      </c>
      <c r="AL108" t="s">
        <v>264</v>
      </c>
      <c r="AM108">
        <v>0.45425000000000004</v>
      </c>
      <c r="AN108" t="s">
        <v>257</v>
      </c>
    </row>
    <row r="109" spans="9:40" x14ac:dyDescent="0.45">
      <c r="I109" t="s">
        <v>177</v>
      </c>
      <c r="J109" t="s">
        <v>172</v>
      </c>
      <c r="K109">
        <v>4.2644053397774932E-3</v>
      </c>
      <c r="L109" t="s">
        <v>164</v>
      </c>
      <c r="N109" t="s">
        <v>213</v>
      </c>
      <c r="O109" t="s">
        <v>172</v>
      </c>
      <c r="P109">
        <v>1.9707890854790498E-3</v>
      </c>
      <c r="Q109" t="s">
        <v>164</v>
      </c>
      <c r="S109" t="s">
        <v>240</v>
      </c>
      <c r="T109" t="s">
        <v>172</v>
      </c>
      <c r="U109">
        <v>1.5360870985422306E-3</v>
      </c>
      <c r="V109" t="s">
        <v>164</v>
      </c>
      <c r="AK109">
        <v>2036</v>
      </c>
      <c r="AL109" t="s">
        <v>152</v>
      </c>
      <c r="AM109">
        <v>0.36380000000000001</v>
      </c>
      <c r="AN109" t="s">
        <v>257</v>
      </c>
    </row>
    <row r="110" spans="9:40" x14ac:dyDescent="0.45">
      <c r="I110" t="s">
        <v>177</v>
      </c>
      <c r="J110" t="s">
        <v>271</v>
      </c>
      <c r="K110">
        <v>1.9464819882530691E-3</v>
      </c>
      <c r="L110" t="s">
        <v>164</v>
      </c>
      <c r="N110" t="s">
        <v>213</v>
      </c>
      <c r="O110" t="s">
        <v>271</v>
      </c>
      <c r="P110">
        <v>1.1004098352689418E-2</v>
      </c>
      <c r="Q110" t="s">
        <v>164</v>
      </c>
      <c r="S110" t="s">
        <v>240</v>
      </c>
      <c r="T110" t="s">
        <v>271</v>
      </c>
      <c r="U110">
        <v>5.0235865543468297E-3</v>
      </c>
      <c r="V110" t="s">
        <v>164</v>
      </c>
      <c r="AK110">
        <v>2036</v>
      </c>
      <c r="AL110" t="s">
        <v>156</v>
      </c>
      <c r="AM110">
        <v>0.35470000000000002</v>
      </c>
      <c r="AN110" t="s">
        <v>257</v>
      </c>
    </row>
    <row r="111" spans="9:40" x14ac:dyDescent="0.45">
      <c r="I111" t="s">
        <v>177</v>
      </c>
      <c r="J111" t="s">
        <v>272</v>
      </c>
      <c r="K111">
        <v>0</v>
      </c>
      <c r="L111" t="s">
        <v>164</v>
      </c>
      <c r="N111" t="s">
        <v>213</v>
      </c>
      <c r="O111" t="s">
        <v>272</v>
      </c>
      <c r="P111">
        <v>1.3838206617654527E-2</v>
      </c>
      <c r="Q111" t="s">
        <v>164</v>
      </c>
      <c r="S111" t="s">
        <v>240</v>
      </c>
      <c r="T111" t="s">
        <v>272</v>
      </c>
      <c r="U111">
        <v>3.7544055410541409E-3</v>
      </c>
      <c r="V111" t="s">
        <v>164</v>
      </c>
      <c r="AK111">
        <v>2036</v>
      </c>
      <c r="AL111" t="s">
        <v>158</v>
      </c>
      <c r="AM111">
        <v>0.3004</v>
      </c>
      <c r="AN111" t="s">
        <v>257</v>
      </c>
    </row>
    <row r="112" spans="9:40" x14ac:dyDescent="0.45">
      <c r="I112" t="s">
        <v>177</v>
      </c>
      <c r="J112" t="s">
        <v>273</v>
      </c>
      <c r="K112">
        <v>0</v>
      </c>
      <c r="L112" t="s">
        <v>164</v>
      </c>
      <c r="N112" t="s">
        <v>213</v>
      </c>
      <c r="O112" t="s">
        <v>273</v>
      </c>
      <c r="P112">
        <v>8.0674099916121615E-3</v>
      </c>
      <c r="Q112" t="s">
        <v>164</v>
      </c>
      <c r="S112" t="s">
        <v>240</v>
      </c>
      <c r="T112" t="s">
        <v>273</v>
      </c>
      <c r="U112">
        <v>2.1963960702803781E-3</v>
      </c>
      <c r="V112" t="s">
        <v>164</v>
      </c>
      <c r="AK112">
        <v>2036</v>
      </c>
      <c r="AL112" t="s">
        <v>160</v>
      </c>
      <c r="AM112">
        <v>0.24525000000000002</v>
      </c>
      <c r="AN112" t="s">
        <v>257</v>
      </c>
    </row>
    <row r="113" spans="9:40" x14ac:dyDescent="0.45">
      <c r="I113" t="s">
        <v>177</v>
      </c>
      <c r="J113" t="s">
        <v>173</v>
      </c>
      <c r="K113">
        <v>4.3770211601372377E-3</v>
      </c>
      <c r="L113" t="s">
        <v>164</v>
      </c>
      <c r="N113" t="s">
        <v>213</v>
      </c>
      <c r="O113" t="s">
        <v>173</v>
      </c>
      <c r="P113">
        <v>7.274545334738336E-2</v>
      </c>
      <c r="Q113" t="s">
        <v>164</v>
      </c>
      <c r="S113" t="s">
        <v>240</v>
      </c>
      <c r="T113" t="s">
        <v>173</v>
      </c>
      <c r="U113">
        <v>5.0132983237593944E-2</v>
      </c>
      <c r="V113" t="s">
        <v>164</v>
      </c>
      <c r="AK113">
        <v>2036</v>
      </c>
      <c r="AL113" t="s">
        <v>260</v>
      </c>
      <c r="AM113">
        <v>0.27439999999999998</v>
      </c>
      <c r="AN113" t="s">
        <v>257</v>
      </c>
    </row>
    <row r="114" spans="9:40" x14ac:dyDescent="0.45">
      <c r="I114" t="s">
        <v>177</v>
      </c>
      <c r="J114" t="s">
        <v>174</v>
      </c>
      <c r="K114">
        <v>0.13424424462661247</v>
      </c>
      <c r="L114" t="s">
        <v>164</v>
      </c>
      <c r="N114" t="s">
        <v>213</v>
      </c>
      <c r="O114" t="s">
        <v>174</v>
      </c>
      <c r="P114">
        <v>6.8353305748055759E-2</v>
      </c>
      <c r="Q114" t="s">
        <v>164</v>
      </c>
      <c r="S114" t="s">
        <v>240</v>
      </c>
      <c r="T114" t="s">
        <v>174</v>
      </c>
      <c r="U114">
        <v>4.4690251352003434E-2</v>
      </c>
      <c r="V114" t="s">
        <v>164</v>
      </c>
      <c r="AK114">
        <v>2036</v>
      </c>
      <c r="AL114" t="s">
        <v>262</v>
      </c>
      <c r="AM114">
        <v>0.39079999999999998</v>
      </c>
      <c r="AN114" t="s">
        <v>257</v>
      </c>
    </row>
    <row r="115" spans="9:40" x14ac:dyDescent="0.45">
      <c r="I115" t="s">
        <v>177</v>
      </c>
      <c r="J115" t="s">
        <v>175</v>
      </c>
      <c r="K115">
        <v>7.2000318495699439E-3</v>
      </c>
      <c r="L115" t="s">
        <v>164</v>
      </c>
      <c r="N115" t="s">
        <v>213</v>
      </c>
      <c r="O115" t="s">
        <v>175</v>
      </c>
      <c r="P115">
        <v>3.3901619739911898E-3</v>
      </c>
      <c r="Q115" t="s">
        <v>164</v>
      </c>
      <c r="S115" t="s">
        <v>240</v>
      </c>
      <c r="T115" t="s">
        <v>175</v>
      </c>
      <c r="U115">
        <v>5.8243097055147826E-3</v>
      </c>
      <c r="V115" t="s">
        <v>164</v>
      </c>
      <c r="AK115">
        <v>2036</v>
      </c>
      <c r="AL115" t="s">
        <v>264</v>
      </c>
      <c r="AM115">
        <v>0.45215</v>
      </c>
      <c r="AN115" t="s">
        <v>257</v>
      </c>
    </row>
    <row r="116" spans="9:40" x14ac:dyDescent="0.45">
      <c r="I116" t="s">
        <v>177</v>
      </c>
      <c r="J116" t="s">
        <v>274</v>
      </c>
      <c r="K116">
        <v>3.7610027652328903E-3</v>
      </c>
      <c r="L116" t="s">
        <v>164</v>
      </c>
      <c r="N116" t="s">
        <v>213</v>
      </c>
      <c r="O116" t="s">
        <v>274</v>
      </c>
      <c r="P116">
        <v>1.5651246310399838E-2</v>
      </c>
      <c r="Q116" t="s">
        <v>164</v>
      </c>
      <c r="S116" t="s">
        <v>240</v>
      </c>
      <c r="T116" t="s">
        <v>274</v>
      </c>
      <c r="U116">
        <v>1.7822096605457818E-2</v>
      </c>
      <c r="V116" t="s">
        <v>164</v>
      </c>
      <c r="AK116">
        <v>2037</v>
      </c>
      <c r="AL116" t="s">
        <v>152</v>
      </c>
      <c r="AM116">
        <v>0.38009999999999999</v>
      </c>
      <c r="AN116" t="s">
        <v>257</v>
      </c>
    </row>
    <row r="117" spans="9:40" x14ac:dyDescent="0.45">
      <c r="I117" t="s">
        <v>177</v>
      </c>
      <c r="J117" t="s">
        <v>275</v>
      </c>
      <c r="K117">
        <v>0</v>
      </c>
      <c r="L117" t="s">
        <v>164</v>
      </c>
      <c r="N117" t="s">
        <v>213</v>
      </c>
      <c r="O117" t="s">
        <v>275</v>
      </c>
      <c r="P117">
        <v>1.8715768328972933E-2</v>
      </c>
      <c r="Q117" t="s">
        <v>164</v>
      </c>
      <c r="S117" t="s">
        <v>240</v>
      </c>
      <c r="T117" t="s">
        <v>275</v>
      </c>
      <c r="U117">
        <v>1.4073772772328469E-2</v>
      </c>
      <c r="V117" t="s">
        <v>164</v>
      </c>
      <c r="AK117">
        <v>2037</v>
      </c>
      <c r="AL117" t="s">
        <v>156</v>
      </c>
      <c r="AM117">
        <v>0.31530000000000002</v>
      </c>
      <c r="AN117" t="s">
        <v>257</v>
      </c>
    </row>
    <row r="118" spans="9:40" x14ac:dyDescent="0.45">
      <c r="I118" t="s">
        <v>177</v>
      </c>
      <c r="J118" t="s">
        <v>276</v>
      </c>
      <c r="K118">
        <v>0</v>
      </c>
      <c r="L118" t="s">
        <v>164</v>
      </c>
      <c r="N118" t="s">
        <v>213</v>
      </c>
      <c r="O118" t="s">
        <v>276</v>
      </c>
      <c r="P118">
        <v>9.970905896564292E-3</v>
      </c>
      <c r="Q118" t="s">
        <v>164</v>
      </c>
      <c r="S118" t="s">
        <v>240</v>
      </c>
      <c r="T118" t="s">
        <v>276</v>
      </c>
      <c r="U118">
        <v>7.4766136375181303E-3</v>
      </c>
      <c r="V118" t="s">
        <v>164</v>
      </c>
      <c r="AK118">
        <v>2037</v>
      </c>
      <c r="AL118" t="s">
        <v>158</v>
      </c>
      <c r="AM118">
        <v>0.31890000000000002</v>
      </c>
      <c r="AN118" t="s">
        <v>257</v>
      </c>
    </row>
    <row r="119" spans="9:40" x14ac:dyDescent="0.45">
      <c r="I119" t="s">
        <v>177</v>
      </c>
      <c r="J119" t="s">
        <v>277</v>
      </c>
      <c r="K119">
        <v>1.0556193352513766E-3</v>
      </c>
      <c r="L119" t="s">
        <v>164</v>
      </c>
      <c r="N119" t="s">
        <v>213</v>
      </c>
      <c r="O119" t="s">
        <v>277</v>
      </c>
      <c r="P119">
        <v>3.8686400672338687E-2</v>
      </c>
      <c r="Q119" t="s">
        <v>164</v>
      </c>
      <c r="S119" t="s">
        <v>240</v>
      </c>
      <c r="T119" t="s">
        <v>277</v>
      </c>
      <c r="U119">
        <v>6.613498550525386E-2</v>
      </c>
      <c r="V119" t="s">
        <v>164</v>
      </c>
      <c r="AK119">
        <v>2037</v>
      </c>
      <c r="AL119" t="s">
        <v>160</v>
      </c>
      <c r="AM119">
        <v>0.2445</v>
      </c>
      <c r="AN119" t="s">
        <v>257</v>
      </c>
    </row>
    <row r="120" spans="9:40" x14ac:dyDescent="0.45">
      <c r="I120" t="s">
        <v>177</v>
      </c>
      <c r="J120" t="s">
        <v>278</v>
      </c>
      <c r="K120">
        <v>5.7183849450305989E-2</v>
      </c>
      <c r="L120" t="s">
        <v>164</v>
      </c>
      <c r="N120" t="s">
        <v>213</v>
      </c>
      <c r="O120" t="s">
        <v>278</v>
      </c>
      <c r="P120">
        <v>5.1587684702290165E-2</v>
      </c>
      <c r="Q120" t="s">
        <v>164</v>
      </c>
      <c r="S120" t="s">
        <v>240</v>
      </c>
      <c r="T120" t="s">
        <v>278</v>
      </c>
      <c r="U120">
        <v>6.4226637666023434E-2</v>
      </c>
      <c r="V120" t="s">
        <v>164</v>
      </c>
      <c r="AK120">
        <v>2037</v>
      </c>
      <c r="AL120" t="s">
        <v>260</v>
      </c>
      <c r="AM120">
        <v>0.29730000000000001</v>
      </c>
      <c r="AN120" t="s">
        <v>257</v>
      </c>
    </row>
    <row r="121" spans="9:40" x14ac:dyDescent="0.45">
      <c r="I121" t="s">
        <v>177</v>
      </c>
      <c r="J121" t="s">
        <v>279</v>
      </c>
      <c r="K121">
        <v>3.9703005527391118E-3</v>
      </c>
      <c r="L121" t="s">
        <v>164</v>
      </c>
      <c r="N121" t="s">
        <v>213</v>
      </c>
      <c r="O121" t="s">
        <v>279</v>
      </c>
      <c r="P121">
        <v>2.3589428287283938E-3</v>
      </c>
      <c r="Q121" t="s">
        <v>164</v>
      </c>
      <c r="S121" t="s">
        <v>240</v>
      </c>
      <c r="T121" t="s">
        <v>279</v>
      </c>
      <c r="U121">
        <v>6.3135567909720549E-3</v>
      </c>
      <c r="V121" t="s">
        <v>164</v>
      </c>
      <c r="AK121">
        <v>2037</v>
      </c>
      <c r="AL121" t="s">
        <v>262</v>
      </c>
      <c r="AM121">
        <v>0.34129999999999999</v>
      </c>
      <c r="AN121" t="s">
        <v>257</v>
      </c>
    </row>
    <row r="122" spans="9:40" x14ac:dyDescent="0.45">
      <c r="I122" t="s">
        <v>177</v>
      </c>
      <c r="J122" t="s">
        <v>280</v>
      </c>
      <c r="K122">
        <v>2.1655772471782767E-3</v>
      </c>
      <c r="L122" t="s">
        <v>164</v>
      </c>
      <c r="N122" t="s">
        <v>213</v>
      </c>
      <c r="O122" t="s">
        <v>280</v>
      </c>
      <c r="P122">
        <v>5.4442002614246568E-3</v>
      </c>
      <c r="Q122" t="s">
        <v>164</v>
      </c>
      <c r="S122" t="s">
        <v>240</v>
      </c>
      <c r="T122" t="s">
        <v>280</v>
      </c>
      <c r="U122">
        <v>2.1206682617194061E-2</v>
      </c>
      <c r="V122" t="s">
        <v>164</v>
      </c>
      <c r="AK122">
        <v>2037</v>
      </c>
      <c r="AL122" t="s">
        <v>264</v>
      </c>
      <c r="AM122">
        <v>0.44895000000000007</v>
      </c>
      <c r="AN122" t="s">
        <v>257</v>
      </c>
    </row>
    <row r="123" spans="9:40" x14ac:dyDescent="0.45">
      <c r="I123" t="s">
        <v>177</v>
      </c>
      <c r="J123" t="s">
        <v>281</v>
      </c>
      <c r="K123">
        <v>0</v>
      </c>
      <c r="L123" t="s">
        <v>164</v>
      </c>
      <c r="N123" t="s">
        <v>213</v>
      </c>
      <c r="O123" t="s">
        <v>281</v>
      </c>
      <c r="P123">
        <v>5.7157369693168081E-3</v>
      </c>
      <c r="Q123" t="s">
        <v>164</v>
      </c>
      <c r="S123" t="s">
        <v>240</v>
      </c>
      <c r="T123" t="s">
        <v>281</v>
      </c>
      <c r="U123">
        <v>1.6018576851738148E-2</v>
      </c>
      <c r="V123" t="s">
        <v>164</v>
      </c>
      <c r="AK123">
        <v>2038</v>
      </c>
      <c r="AL123" t="s">
        <v>152</v>
      </c>
      <c r="AM123">
        <v>0.37434999999999996</v>
      </c>
      <c r="AN123" t="s">
        <v>257</v>
      </c>
    </row>
    <row r="124" spans="9:40" x14ac:dyDescent="0.45">
      <c r="I124" t="s">
        <v>177</v>
      </c>
      <c r="J124" t="s">
        <v>282</v>
      </c>
      <c r="K124">
        <v>0</v>
      </c>
      <c r="L124" t="s">
        <v>164</v>
      </c>
      <c r="N124" t="s">
        <v>213</v>
      </c>
      <c r="O124" t="s">
        <v>282</v>
      </c>
      <c r="P124">
        <v>3.7934699241370219E-3</v>
      </c>
      <c r="Q124" t="s">
        <v>164</v>
      </c>
      <c r="S124" t="s">
        <v>240</v>
      </c>
      <c r="T124" t="s">
        <v>282</v>
      </c>
      <c r="U124">
        <v>8.6309218328303374E-3</v>
      </c>
      <c r="V124" t="s">
        <v>164</v>
      </c>
      <c r="AK124">
        <v>2038</v>
      </c>
      <c r="AL124" t="s">
        <v>156</v>
      </c>
      <c r="AM124">
        <v>0.33410000000000001</v>
      </c>
      <c r="AN124" t="s">
        <v>257</v>
      </c>
    </row>
    <row r="125" spans="9:40" x14ac:dyDescent="0.45">
      <c r="I125" t="s">
        <v>177</v>
      </c>
      <c r="J125" t="s">
        <v>283</v>
      </c>
      <c r="K125">
        <v>1.5118726934172833E-3</v>
      </c>
      <c r="L125" t="s">
        <v>164</v>
      </c>
      <c r="N125" t="s">
        <v>213</v>
      </c>
      <c r="O125" t="s">
        <v>283</v>
      </c>
      <c r="P125">
        <v>2.4030018568744056E-2</v>
      </c>
      <c r="Q125" t="s">
        <v>164</v>
      </c>
      <c r="S125" t="s">
        <v>240</v>
      </c>
      <c r="T125" t="s">
        <v>283</v>
      </c>
      <c r="U125">
        <v>7.9222029584694389E-2</v>
      </c>
      <c r="V125" t="s">
        <v>164</v>
      </c>
      <c r="AK125">
        <v>2038</v>
      </c>
      <c r="AL125" t="s">
        <v>158</v>
      </c>
      <c r="AM125">
        <v>0.31140000000000001</v>
      </c>
      <c r="AN125" t="s">
        <v>257</v>
      </c>
    </row>
    <row r="126" spans="9:40" x14ac:dyDescent="0.45">
      <c r="I126" t="s">
        <v>177</v>
      </c>
      <c r="J126" t="s">
        <v>284</v>
      </c>
      <c r="K126">
        <v>5.7456934212029423E-2</v>
      </c>
      <c r="L126" t="s">
        <v>164</v>
      </c>
      <c r="N126" t="s">
        <v>213</v>
      </c>
      <c r="O126" t="s">
        <v>284</v>
      </c>
      <c r="P126">
        <v>4.1557308249865539E-2</v>
      </c>
      <c r="Q126" t="s">
        <v>164</v>
      </c>
      <c r="S126" t="s">
        <v>240</v>
      </c>
      <c r="T126" t="s">
        <v>284</v>
      </c>
      <c r="U126">
        <v>7.0457762874646682E-2</v>
      </c>
      <c r="V126" t="s">
        <v>164</v>
      </c>
      <c r="AK126">
        <v>2038</v>
      </c>
      <c r="AL126" t="s">
        <v>160</v>
      </c>
      <c r="AM126">
        <v>0.2374</v>
      </c>
      <c r="AN126" t="s">
        <v>257</v>
      </c>
    </row>
    <row r="127" spans="9:40" x14ac:dyDescent="0.45">
      <c r="I127" t="s">
        <v>177</v>
      </c>
      <c r="J127" t="s">
        <v>285</v>
      </c>
      <c r="K127">
        <v>3.9408255943622003E-3</v>
      </c>
      <c r="L127" t="s">
        <v>164</v>
      </c>
      <c r="N127" t="s">
        <v>213</v>
      </c>
      <c r="O127" t="s">
        <v>285</v>
      </c>
      <c r="P127">
        <v>3.2117662699100032E-3</v>
      </c>
      <c r="Q127" t="s">
        <v>164</v>
      </c>
      <c r="S127" t="s">
        <v>240</v>
      </c>
      <c r="T127" t="s">
        <v>285</v>
      </c>
      <c r="U127">
        <v>7.3767759776720366E-3</v>
      </c>
      <c r="V127" t="s">
        <v>164</v>
      </c>
      <c r="AK127">
        <v>2038</v>
      </c>
      <c r="AL127" t="s">
        <v>260</v>
      </c>
      <c r="AM127">
        <v>0.30280000000000001</v>
      </c>
      <c r="AN127" t="s">
        <v>257</v>
      </c>
    </row>
    <row r="128" spans="9:40" x14ac:dyDescent="0.45">
      <c r="I128" t="s">
        <v>177</v>
      </c>
      <c r="J128" t="s">
        <v>286</v>
      </c>
      <c r="K128">
        <v>2.4424950053074787E-3</v>
      </c>
      <c r="L128" t="s">
        <v>164</v>
      </c>
      <c r="N128" t="s">
        <v>213</v>
      </c>
      <c r="O128" t="s">
        <v>286</v>
      </c>
      <c r="P128">
        <v>8.0676613901721275E-3</v>
      </c>
      <c r="Q128" t="s">
        <v>164</v>
      </c>
      <c r="S128" t="s">
        <v>240</v>
      </c>
      <c r="T128" t="s">
        <v>286</v>
      </c>
      <c r="U128">
        <v>2.2143472947678718E-2</v>
      </c>
      <c r="V128" t="s">
        <v>164</v>
      </c>
      <c r="AK128">
        <v>2038</v>
      </c>
      <c r="AL128" t="s">
        <v>262</v>
      </c>
      <c r="AM128">
        <v>0.36599999999999999</v>
      </c>
      <c r="AN128" t="s">
        <v>257</v>
      </c>
    </row>
    <row r="129" spans="9:40" x14ac:dyDescent="0.45">
      <c r="I129" t="s">
        <v>177</v>
      </c>
      <c r="J129" t="s">
        <v>287</v>
      </c>
      <c r="K129">
        <v>0</v>
      </c>
      <c r="L129" t="s">
        <v>164</v>
      </c>
      <c r="N129" t="s">
        <v>213</v>
      </c>
      <c r="O129" t="s">
        <v>287</v>
      </c>
      <c r="P129">
        <v>5.4349006314384591E-3</v>
      </c>
      <c r="Q129" t="s">
        <v>164</v>
      </c>
      <c r="S129" t="s">
        <v>240</v>
      </c>
      <c r="T129" t="s">
        <v>287</v>
      </c>
      <c r="U129">
        <v>1.5288127050770286E-2</v>
      </c>
      <c r="V129" t="s">
        <v>164</v>
      </c>
      <c r="AK129">
        <v>2038</v>
      </c>
      <c r="AL129" t="s">
        <v>264</v>
      </c>
      <c r="AM129">
        <v>0.44550000000000001</v>
      </c>
      <c r="AN129" t="s">
        <v>257</v>
      </c>
    </row>
    <row r="130" spans="9:40" x14ac:dyDescent="0.45">
      <c r="I130" t="s">
        <v>177</v>
      </c>
      <c r="J130" t="s">
        <v>288</v>
      </c>
      <c r="K130">
        <v>0</v>
      </c>
      <c r="L130" t="s">
        <v>164</v>
      </c>
      <c r="N130" t="s">
        <v>213</v>
      </c>
      <c r="O130" t="s">
        <v>288</v>
      </c>
      <c r="P130">
        <v>3.4541242890823711E-3</v>
      </c>
      <c r="Q130" t="s">
        <v>164</v>
      </c>
      <c r="S130" t="s">
        <v>240</v>
      </c>
      <c r="T130" t="s">
        <v>288</v>
      </c>
      <c r="U130">
        <v>8.2429502950515827E-3</v>
      </c>
      <c r="V130" t="s">
        <v>164</v>
      </c>
      <c r="AK130">
        <v>2039</v>
      </c>
      <c r="AL130" t="s">
        <v>152</v>
      </c>
      <c r="AM130">
        <v>0.36645</v>
      </c>
      <c r="AN130" t="s">
        <v>257</v>
      </c>
    </row>
    <row r="131" spans="9:40" x14ac:dyDescent="0.45">
      <c r="I131" t="s">
        <v>177</v>
      </c>
      <c r="J131" t="s">
        <v>289</v>
      </c>
      <c r="K131">
        <v>7.0919234820674658E-3</v>
      </c>
      <c r="L131" t="s">
        <v>164</v>
      </c>
      <c r="N131" t="s">
        <v>213</v>
      </c>
      <c r="O131" t="s">
        <v>289</v>
      </c>
      <c r="P131">
        <v>9.8715850182867548E-2</v>
      </c>
      <c r="Q131" t="s">
        <v>164</v>
      </c>
      <c r="S131" t="s">
        <v>240</v>
      </c>
      <c r="T131" t="s">
        <v>289</v>
      </c>
      <c r="U131">
        <v>0.10133161241395108</v>
      </c>
      <c r="V131" t="s">
        <v>164</v>
      </c>
      <c r="AK131">
        <v>2039</v>
      </c>
      <c r="AL131" t="s">
        <v>156</v>
      </c>
      <c r="AM131">
        <v>0.33500000000000002</v>
      </c>
      <c r="AN131" t="s">
        <v>257</v>
      </c>
    </row>
    <row r="132" spans="9:40" x14ac:dyDescent="0.45">
      <c r="I132" t="s">
        <v>177</v>
      </c>
      <c r="J132" t="s">
        <v>290</v>
      </c>
      <c r="K132">
        <v>0.30957619766499223</v>
      </c>
      <c r="L132" t="s">
        <v>164</v>
      </c>
      <c r="N132" t="s">
        <v>213</v>
      </c>
      <c r="O132" t="s">
        <v>290</v>
      </c>
      <c r="P132">
        <v>5.1797939197831086E-2</v>
      </c>
      <c r="Q132" t="s">
        <v>164</v>
      </c>
      <c r="S132" t="s">
        <v>240</v>
      </c>
      <c r="T132" t="s">
        <v>290</v>
      </c>
      <c r="U132">
        <v>7.8980619142182809E-2</v>
      </c>
      <c r="V132" t="s">
        <v>164</v>
      </c>
      <c r="AK132">
        <v>2039</v>
      </c>
      <c r="AL132" t="s">
        <v>158</v>
      </c>
      <c r="AM132">
        <v>0.28799999999999998</v>
      </c>
      <c r="AN132" t="s">
        <v>257</v>
      </c>
    </row>
    <row r="133" spans="9:40" x14ac:dyDescent="0.45">
      <c r="I133" t="s">
        <v>177</v>
      </c>
      <c r="J133" t="s">
        <v>291</v>
      </c>
      <c r="K133">
        <v>1.8212296899281388E-2</v>
      </c>
      <c r="L133" t="s">
        <v>164</v>
      </c>
      <c r="N133" t="s">
        <v>213</v>
      </c>
      <c r="O133" t="s">
        <v>291</v>
      </c>
      <c r="P133">
        <v>4.2360604344428374E-3</v>
      </c>
      <c r="Q133" t="s">
        <v>164</v>
      </c>
      <c r="S133" t="s">
        <v>240</v>
      </c>
      <c r="T133" t="s">
        <v>291</v>
      </c>
      <c r="U133">
        <v>1.0626795453197597E-2</v>
      </c>
      <c r="V133" t="s">
        <v>164</v>
      </c>
      <c r="AK133">
        <v>2039</v>
      </c>
      <c r="AL133" t="s">
        <v>160</v>
      </c>
      <c r="AM133">
        <v>0.254</v>
      </c>
      <c r="AN133" t="s">
        <v>257</v>
      </c>
    </row>
    <row r="134" spans="9:40" x14ac:dyDescent="0.45">
      <c r="I134" t="s">
        <v>177</v>
      </c>
      <c r="J134" t="s">
        <v>292</v>
      </c>
      <c r="K134">
        <v>3.1661409959265236E-3</v>
      </c>
      <c r="L134" t="s">
        <v>164</v>
      </c>
      <c r="N134" t="s">
        <v>213</v>
      </c>
      <c r="O134" t="s">
        <v>292</v>
      </c>
      <c r="P134">
        <v>2.1873313873635645E-2</v>
      </c>
      <c r="Q134" t="s">
        <v>164</v>
      </c>
      <c r="S134" t="s">
        <v>240</v>
      </c>
      <c r="T134" t="s">
        <v>292</v>
      </c>
      <c r="U134">
        <v>2.9683476691214353E-2</v>
      </c>
      <c r="V134" t="s">
        <v>164</v>
      </c>
      <c r="AK134">
        <v>2039</v>
      </c>
      <c r="AL134" t="s">
        <v>260</v>
      </c>
      <c r="AM134">
        <v>0.28100000000000003</v>
      </c>
      <c r="AN134" t="s">
        <v>257</v>
      </c>
    </row>
    <row r="135" spans="9:40" x14ac:dyDescent="0.45">
      <c r="I135" t="s">
        <v>177</v>
      </c>
      <c r="J135" t="s">
        <v>293</v>
      </c>
      <c r="K135">
        <v>0</v>
      </c>
      <c r="L135" t="s">
        <v>164</v>
      </c>
      <c r="N135" t="s">
        <v>213</v>
      </c>
      <c r="O135" t="s">
        <v>293</v>
      </c>
      <c r="P135">
        <v>2.3802092325931761E-2</v>
      </c>
      <c r="Q135" t="s">
        <v>164</v>
      </c>
      <c r="S135" t="s">
        <v>240</v>
      </c>
      <c r="T135" t="s">
        <v>293</v>
      </c>
      <c r="U135">
        <v>1.9914329545178598E-2</v>
      </c>
      <c r="V135" t="s">
        <v>164</v>
      </c>
      <c r="AK135">
        <v>2039</v>
      </c>
      <c r="AL135" t="s">
        <v>262</v>
      </c>
      <c r="AM135">
        <v>0.39660000000000001</v>
      </c>
      <c r="AN135" t="s">
        <v>257</v>
      </c>
    </row>
    <row r="136" spans="9:40" x14ac:dyDescent="0.45">
      <c r="I136" t="s">
        <v>177</v>
      </c>
      <c r="J136" t="s">
        <v>294</v>
      </c>
      <c r="K136">
        <v>0</v>
      </c>
      <c r="L136" t="s">
        <v>164</v>
      </c>
      <c r="N136" t="s">
        <v>213</v>
      </c>
      <c r="O136" t="s">
        <v>294</v>
      </c>
      <c r="P136">
        <v>1.5302743834739259E-2</v>
      </c>
      <c r="Q136" t="s">
        <v>164</v>
      </c>
      <c r="S136" t="s">
        <v>240</v>
      </c>
      <c r="T136" t="s">
        <v>294</v>
      </c>
      <c r="U136">
        <v>1.1243002688294208E-2</v>
      </c>
      <c r="V136" t="s">
        <v>164</v>
      </c>
      <c r="AK136">
        <v>2039</v>
      </c>
      <c r="AL136" t="s">
        <v>264</v>
      </c>
      <c r="AM136">
        <v>0.45582500000000004</v>
      </c>
      <c r="AN136" t="s">
        <v>257</v>
      </c>
    </row>
    <row r="137" spans="9:40" x14ac:dyDescent="0.45">
      <c r="I137" t="s">
        <v>178</v>
      </c>
      <c r="J137" t="s">
        <v>163</v>
      </c>
      <c r="K137">
        <v>4.7155132082866676E-3</v>
      </c>
      <c r="L137" t="s">
        <v>164</v>
      </c>
      <c r="N137" t="s">
        <v>214</v>
      </c>
      <c r="O137" t="s">
        <v>163</v>
      </c>
      <c r="P137">
        <v>0.10118837471315829</v>
      </c>
      <c r="Q137" t="s">
        <v>164</v>
      </c>
      <c r="S137" t="s">
        <v>241</v>
      </c>
      <c r="T137" t="s">
        <v>163</v>
      </c>
      <c r="U137">
        <v>5.8126529368040226E-2</v>
      </c>
      <c r="V137" t="s">
        <v>164</v>
      </c>
      <c r="AK137">
        <v>2040</v>
      </c>
      <c r="AL137" t="s">
        <v>152</v>
      </c>
      <c r="AM137">
        <v>0.38009999999999999</v>
      </c>
      <c r="AN137" t="s">
        <v>257</v>
      </c>
    </row>
    <row r="138" spans="9:40" x14ac:dyDescent="0.45">
      <c r="I138" t="s">
        <v>178</v>
      </c>
      <c r="J138" t="s">
        <v>165</v>
      </c>
      <c r="K138">
        <v>0.17274114380413799</v>
      </c>
      <c r="L138" t="s">
        <v>164</v>
      </c>
      <c r="N138" t="s">
        <v>214</v>
      </c>
      <c r="O138" t="s">
        <v>165</v>
      </c>
      <c r="P138">
        <v>4.5181072312511721E-2</v>
      </c>
      <c r="Q138" t="s">
        <v>164</v>
      </c>
      <c r="S138" t="s">
        <v>241</v>
      </c>
      <c r="T138" t="s">
        <v>165</v>
      </c>
      <c r="U138">
        <v>2.8746000980078391E-2</v>
      </c>
      <c r="V138" t="s">
        <v>164</v>
      </c>
      <c r="AK138">
        <v>2040</v>
      </c>
      <c r="AL138" t="s">
        <v>156</v>
      </c>
      <c r="AM138">
        <v>0.3306</v>
      </c>
      <c r="AN138" t="s">
        <v>257</v>
      </c>
    </row>
    <row r="139" spans="9:40" x14ac:dyDescent="0.45">
      <c r="I139" t="s">
        <v>178</v>
      </c>
      <c r="J139" t="s">
        <v>166</v>
      </c>
      <c r="K139">
        <v>1.195730414230667E-2</v>
      </c>
      <c r="L139" t="s">
        <v>164</v>
      </c>
      <c r="N139" t="s">
        <v>214</v>
      </c>
      <c r="O139" t="s">
        <v>166</v>
      </c>
      <c r="P139">
        <v>3.3403302589048839E-3</v>
      </c>
      <c r="Q139" t="s">
        <v>164</v>
      </c>
      <c r="S139" t="s">
        <v>241</v>
      </c>
      <c r="T139" t="s">
        <v>166</v>
      </c>
      <c r="U139">
        <v>3.7531838820741288E-3</v>
      </c>
      <c r="V139" t="s">
        <v>164</v>
      </c>
      <c r="AK139">
        <v>2040</v>
      </c>
      <c r="AL139" t="s">
        <v>158</v>
      </c>
      <c r="AM139">
        <v>0.29299999999999998</v>
      </c>
      <c r="AN139" t="s">
        <v>257</v>
      </c>
    </row>
    <row r="140" spans="9:40" x14ac:dyDescent="0.45">
      <c r="I140" t="s">
        <v>178</v>
      </c>
      <c r="J140" t="s">
        <v>265</v>
      </c>
      <c r="K140">
        <v>6.054679147301581E-3</v>
      </c>
      <c r="L140" t="s">
        <v>164</v>
      </c>
      <c r="N140" t="s">
        <v>214</v>
      </c>
      <c r="O140" t="s">
        <v>265</v>
      </c>
      <c r="P140">
        <v>1.9423346040067454E-2</v>
      </c>
      <c r="Q140" t="s">
        <v>164</v>
      </c>
      <c r="S140" t="s">
        <v>241</v>
      </c>
      <c r="T140" t="s">
        <v>265</v>
      </c>
      <c r="U140">
        <v>1.5725492765765132E-2</v>
      </c>
      <c r="V140" t="s">
        <v>164</v>
      </c>
      <c r="AK140">
        <v>2040</v>
      </c>
      <c r="AL140" t="s">
        <v>160</v>
      </c>
      <c r="AM140">
        <v>0.25455</v>
      </c>
      <c r="AN140" t="s">
        <v>257</v>
      </c>
    </row>
    <row r="141" spans="9:40" x14ac:dyDescent="0.45">
      <c r="I141" t="s">
        <v>178</v>
      </c>
      <c r="J141" t="s">
        <v>266</v>
      </c>
      <c r="K141">
        <v>0</v>
      </c>
      <c r="L141" t="s">
        <v>164</v>
      </c>
      <c r="N141" t="s">
        <v>214</v>
      </c>
      <c r="O141" t="s">
        <v>266</v>
      </c>
      <c r="P141">
        <v>1.7908346268669072E-2</v>
      </c>
      <c r="Q141" t="s">
        <v>164</v>
      </c>
      <c r="S141" t="s">
        <v>241</v>
      </c>
      <c r="T141" t="s">
        <v>266</v>
      </c>
      <c r="U141">
        <v>1.4412035241446739E-2</v>
      </c>
      <c r="V141" t="s">
        <v>164</v>
      </c>
      <c r="AK141">
        <v>2040</v>
      </c>
      <c r="AL141" t="s">
        <v>260</v>
      </c>
      <c r="AM141">
        <v>0.25879999999999997</v>
      </c>
      <c r="AN141" t="s">
        <v>257</v>
      </c>
    </row>
    <row r="142" spans="9:40" x14ac:dyDescent="0.45">
      <c r="I142" t="s">
        <v>178</v>
      </c>
      <c r="J142" t="s">
        <v>267</v>
      </c>
      <c r="K142">
        <v>0</v>
      </c>
      <c r="L142" t="s">
        <v>164</v>
      </c>
      <c r="N142" t="s">
        <v>214</v>
      </c>
      <c r="O142" t="s">
        <v>267</v>
      </c>
      <c r="P142">
        <v>1.0568309761042192E-2</v>
      </c>
      <c r="Q142" t="s">
        <v>164</v>
      </c>
      <c r="S142" t="s">
        <v>241</v>
      </c>
      <c r="T142" t="s">
        <v>267</v>
      </c>
      <c r="U142">
        <v>7.7412648562343303E-3</v>
      </c>
      <c r="V142" t="s">
        <v>164</v>
      </c>
      <c r="AK142">
        <v>2040</v>
      </c>
      <c r="AL142" t="s">
        <v>262</v>
      </c>
      <c r="AM142">
        <v>0.41099999999999998</v>
      </c>
      <c r="AN142" t="s">
        <v>257</v>
      </c>
    </row>
    <row r="143" spans="9:40" x14ac:dyDescent="0.45">
      <c r="I143" t="s">
        <v>178</v>
      </c>
      <c r="J143" t="s">
        <v>167</v>
      </c>
      <c r="K143">
        <v>2.8443536023968737E-3</v>
      </c>
      <c r="L143" t="s">
        <v>164</v>
      </c>
      <c r="N143" t="s">
        <v>214</v>
      </c>
      <c r="O143" t="s">
        <v>167</v>
      </c>
      <c r="P143">
        <v>6.9151474049985076E-2</v>
      </c>
      <c r="Q143" t="s">
        <v>164</v>
      </c>
      <c r="S143" t="s">
        <v>241</v>
      </c>
      <c r="T143" t="s">
        <v>167</v>
      </c>
      <c r="U143">
        <v>4.4499336500407161E-2</v>
      </c>
      <c r="V143" t="s">
        <v>164</v>
      </c>
      <c r="AK143">
        <v>2040</v>
      </c>
      <c r="AL143" t="s">
        <v>264</v>
      </c>
      <c r="AM143">
        <v>0.45477499999999998</v>
      </c>
      <c r="AN143" t="s">
        <v>257</v>
      </c>
    </row>
    <row r="144" spans="9:40" x14ac:dyDescent="0.45">
      <c r="I144" t="s">
        <v>178</v>
      </c>
      <c r="J144" t="s">
        <v>168</v>
      </c>
      <c r="K144">
        <v>8.4232867912224563E-2</v>
      </c>
      <c r="L144" t="s">
        <v>164</v>
      </c>
      <c r="N144" t="s">
        <v>214</v>
      </c>
      <c r="O144" t="s">
        <v>168</v>
      </c>
      <c r="P144">
        <v>2.5966305377508197E-2</v>
      </c>
      <c r="Q144" t="s">
        <v>164</v>
      </c>
      <c r="S144" t="s">
        <v>241</v>
      </c>
      <c r="T144" t="s">
        <v>168</v>
      </c>
      <c r="U144">
        <v>2.2265190238089778E-2</v>
      </c>
      <c r="V144" t="s">
        <v>164</v>
      </c>
      <c r="AK144">
        <v>2041</v>
      </c>
      <c r="AL144" t="s">
        <v>152</v>
      </c>
      <c r="AM144">
        <v>0.37490000000000001</v>
      </c>
      <c r="AN144" t="s">
        <v>257</v>
      </c>
    </row>
    <row r="145" spans="9:40" x14ac:dyDescent="0.45">
      <c r="I145" t="s">
        <v>178</v>
      </c>
      <c r="J145" t="s">
        <v>169</v>
      </c>
      <c r="K145">
        <v>5.706949658241465E-3</v>
      </c>
      <c r="L145" t="s">
        <v>164</v>
      </c>
      <c r="N145" t="s">
        <v>214</v>
      </c>
      <c r="O145" t="s">
        <v>169</v>
      </c>
      <c r="P145">
        <v>1.0549073595908331E-3</v>
      </c>
      <c r="Q145" t="s">
        <v>164</v>
      </c>
      <c r="S145" t="s">
        <v>241</v>
      </c>
      <c r="T145" t="s">
        <v>169</v>
      </c>
      <c r="U145">
        <v>3.1660020060823137E-3</v>
      </c>
      <c r="V145" t="s">
        <v>164</v>
      </c>
      <c r="AK145">
        <v>2041</v>
      </c>
      <c r="AL145" t="s">
        <v>156</v>
      </c>
      <c r="AM145">
        <v>0.31409999999999999</v>
      </c>
      <c r="AN145" t="s">
        <v>257</v>
      </c>
    </row>
    <row r="146" spans="9:40" x14ac:dyDescent="0.45">
      <c r="I146" t="s">
        <v>178</v>
      </c>
      <c r="J146" t="s">
        <v>268</v>
      </c>
      <c r="K146">
        <v>2.906101250235593E-3</v>
      </c>
      <c r="L146" t="s">
        <v>164</v>
      </c>
      <c r="N146" t="s">
        <v>214</v>
      </c>
      <c r="O146" t="s">
        <v>268</v>
      </c>
      <c r="P146">
        <v>1.2976719032251722E-2</v>
      </c>
      <c r="Q146" t="s">
        <v>164</v>
      </c>
      <c r="S146" t="s">
        <v>241</v>
      </c>
      <c r="T146" t="s">
        <v>268</v>
      </c>
      <c r="U146">
        <v>1.0161176699407606E-2</v>
      </c>
      <c r="V146" t="s">
        <v>164</v>
      </c>
      <c r="AK146">
        <v>2041</v>
      </c>
      <c r="AL146" t="s">
        <v>158</v>
      </c>
      <c r="AM146">
        <v>0.2702</v>
      </c>
      <c r="AN146" t="s">
        <v>257</v>
      </c>
    </row>
    <row r="147" spans="9:40" x14ac:dyDescent="0.45">
      <c r="I147" t="s">
        <v>178</v>
      </c>
      <c r="J147" t="s">
        <v>269</v>
      </c>
      <c r="K147">
        <v>0</v>
      </c>
      <c r="L147" t="s">
        <v>164</v>
      </c>
      <c r="N147" t="s">
        <v>214</v>
      </c>
      <c r="O147" t="s">
        <v>269</v>
      </c>
      <c r="P147">
        <v>1.8001077193994752E-2</v>
      </c>
      <c r="Q147" t="s">
        <v>164</v>
      </c>
      <c r="S147" t="s">
        <v>241</v>
      </c>
      <c r="T147" t="s">
        <v>269</v>
      </c>
      <c r="U147">
        <v>6.3525795874035526E-3</v>
      </c>
      <c r="V147" t="s">
        <v>164</v>
      </c>
      <c r="AK147">
        <v>2041</v>
      </c>
      <c r="AL147" t="s">
        <v>160</v>
      </c>
      <c r="AM147">
        <v>0.25434999999999997</v>
      </c>
      <c r="AN147" t="s">
        <v>257</v>
      </c>
    </row>
    <row r="148" spans="9:40" x14ac:dyDescent="0.45">
      <c r="I148" t="s">
        <v>178</v>
      </c>
      <c r="J148" t="s">
        <v>270</v>
      </c>
      <c r="K148">
        <v>0</v>
      </c>
      <c r="L148" t="s">
        <v>164</v>
      </c>
      <c r="N148" t="s">
        <v>214</v>
      </c>
      <c r="O148" t="s">
        <v>270</v>
      </c>
      <c r="P148">
        <v>1.0180286932024782E-2</v>
      </c>
      <c r="Q148" t="s">
        <v>164</v>
      </c>
      <c r="S148" t="s">
        <v>241</v>
      </c>
      <c r="T148" t="s">
        <v>270</v>
      </c>
      <c r="U148">
        <v>2.8999972947099948E-3</v>
      </c>
      <c r="V148" t="s">
        <v>164</v>
      </c>
      <c r="AK148">
        <v>2041</v>
      </c>
      <c r="AL148" t="s">
        <v>260</v>
      </c>
      <c r="AM148">
        <v>0.25409999999999999</v>
      </c>
      <c r="AN148" t="s">
        <v>257</v>
      </c>
    </row>
    <row r="149" spans="9:40" x14ac:dyDescent="0.45">
      <c r="I149" t="s">
        <v>178</v>
      </c>
      <c r="J149" t="s">
        <v>170</v>
      </c>
      <c r="K149">
        <v>3.2873117187946972E-3</v>
      </c>
      <c r="L149" t="s">
        <v>164</v>
      </c>
      <c r="N149" t="s">
        <v>214</v>
      </c>
      <c r="O149" t="s">
        <v>170</v>
      </c>
      <c r="P149">
        <v>4.7547268412561253E-2</v>
      </c>
      <c r="Q149" t="s">
        <v>164</v>
      </c>
      <c r="S149" t="s">
        <v>241</v>
      </c>
      <c r="T149" t="s">
        <v>170</v>
      </c>
      <c r="U149">
        <v>1.8624229323015197E-2</v>
      </c>
      <c r="V149" t="s">
        <v>164</v>
      </c>
      <c r="AK149">
        <v>2041</v>
      </c>
      <c r="AL149" t="s">
        <v>262</v>
      </c>
      <c r="AM149">
        <v>0.37040000000000001</v>
      </c>
      <c r="AN149" t="s">
        <v>257</v>
      </c>
    </row>
    <row r="150" spans="9:40" x14ac:dyDescent="0.45">
      <c r="I150" t="s">
        <v>178</v>
      </c>
      <c r="J150" t="s">
        <v>171</v>
      </c>
      <c r="K150">
        <v>7.4809523500279404E-2</v>
      </c>
      <c r="L150" t="s">
        <v>164</v>
      </c>
      <c r="N150" t="s">
        <v>214</v>
      </c>
      <c r="O150" t="s">
        <v>171</v>
      </c>
      <c r="P150">
        <v>2.2937108587581825E-2</v>
      </c>
      <c r="Q150" t="s">
        <v>164</v>
      </c>
      <c r="S150" t="s">
        <v>241</v>
      </c>
      <c r="T150" t="s">
        <v>171</v>
      </c>
      <c r="U150">
        <v>1.4660078003089926E-2</v>
      </c>
      <c r="V150" t="s">
        <v>164</v>
      </c>
      <c r="AK150">
        <v>2041</v>
      </c>
      <c r="AL150" t="s">
        <v>264</v>
      </c>
      <c r="AM150">
        <v>0.45904999999999996</v>
      </c>
      <c r="AN150" t="s">
        <v>257</v>
      </c>
    </row>
    <row r="151" spans="9:40" x14ac:dyDescent="0.45">
      <c r="I151" t="s">
        <v>178</v>
      </c>
      <c r="J151" t="s">
        <v>172</v>
      </c>
      <c r="K151">
        <v>4.3520320066248582E-3</v>
      </c>
      <c r="L151" t="s">
        <v>164</v>
      </c>
      <c r="N151" t="s">
        <v>214</v>
      </c>
      <c r="O151" t="s">
        <v>172</v>
      </c>
      <c r="P151">
        <v>1.5582298969783145E-3</v>
      </c>
      <c r="Q151" t="s">
        <v>164</v>
      </c>
      <c r="S151" t="s">
        <v>241</v>
      </c>
      <c r="T151" t="s">
        <v>172</v>
      </c>
      <c r="U151">
        <v>2.1157912721679268E-3</v>
      </c>
      <c r="V151" t="s">
        <v>164</v>
      </c>
      <c r="AK151">
        <v>2042</v>
      </c>
      <c r="AL151" t="s">
        <v>152</v>
      </c>
      <c r="AM151">
        <v>0.38300000000000001</v>
      </c>
      <c r="AN151" t="s">
        <v>257</v>
      </c>
    </row>
    <row r="152" spans="9:40" x14ac:dyDescent="0.45">
      <c r="I152" t="s">
        <v>178</v>
      </c>
      <c r="J152" t="s">
        <v>271</v>
      </c>
      <c r="K152">
        <v>2.2588752821303287E-3</v>
      </c>
      <c r="L152" t="s">
        <v>164</v>
      </c>
      <c r="N152" t="s">
        <v>214</v>
      </c>
      <c r="O152" t="s">
        <v>271</v>
      </c>
      <c r="P152">
        <v>1.0089919186130319E-2</v>
      </c>
      <c r="Q152" t="s">
        <v>164</v>
      </c>
      <c r="S152" t="s">
        <v>241</v>
      </c>
      <c r="T152" t="s">
        <v>271</v>
      </c>
      <c r="U152">
        <v>7.1644953992714387E-3</v>
      </c>
      <c r="V152" t="s">
        <v>164</v>
      </c>
      <c r="AK152">
        <v>2042</v>
      </c>
      <c r="AL152" t="s">
        <v>156</v>
      </c>
      <c r="AM152">
        <v>0.34610000000000002</v>
      </c>
      <c r="AN152" t="s">
        <v>257</v>
      </c>
    </row>
    <row r="153" spans="9:40" x14ac:dyDescent="0.45">
      <c r="I153" t="s">
        <v>178</v>
      </c>
      <c r="J153" t="s">
        <v>272</v>
      </c>
      <c r="K153">
        <v>0</v>
      </c>
      <c r="L153" t="s">
        <v>164</v>
      </c>
      <c r="N153" t="s">
        <v>214</v>
      </c>
      <c r="O153" t="s">
        <v>272</v>
      </c>
      <c r="P153">
        <v>1.0510099317388926E-2</v>
      </c>
      <c r="Q153" t="s">
        <v>164</v>
      </c>
      <c r="S153" t="s">
        <v>241</v>
      </c>
      <c r="T153" t="s">
        <v>272</v>
      </c>
      <c r="U153">
        <v>4.5519272273180159E-3</v>
      </c>
      <c r="V153" t="s">
        <v>164</v>
      </c>
      <c r="AK153">
        <v>2042</v>
      </c>
      <c r="AL153" t="s">
        <v>158</v>
      </c>
      <c r="AM153">
        <v>0.30630000000000002</v>
      </c>
      <c r="AN153" t="s">
        <v>257</v>
      </c>
    </row>
    <row r="154" spans="9:40" x14ac:dyDescent="0.45">
      <c r="I154" t="s">
        <v>178</v>
      </c>
      <c r="J154" t="s">
        <v>273</v>
      </c>
      <c r="K154">
        <v>0</v>
      </c>
      <c r="L154" t="s">
        <v>164</v>
      </c>
      <c r="N154" t="s">
        <v>214</v>
      </c>
      <c r="O154" t="s">
        <v>273</v>
      </c>
      <c r="P154">
        <v>5.9631665680279031E-3</v>
      </c>
      <c r="Q154" t="s">
        <v>164</v>
      </c>
      <c r="S154" t="s">
        <v>241</v>
      </c>
      <c r="T154" t="s">
        <v>273</v>
      </c>
      <c r="U154">
        <v>2.1409585429359034E-3</v>
      </c>
      <c r="V154" t="s">
        <v>164</v>
      </c>
      <c r="AK154">
        <v>2042</v>
      </c>
      <c r="AL154" t="s">
        <v>160</v>
      </c>
      <c r="AM154">
        <v>0.26174999999999998</v>
      </c>
      <c r="AN154" t="s">
        <v>257</v>
      </c>
    </row>
    <row r="155" spans="9:40" x14ac:dyDescent="0.45">
      <c r="I155" t="s">
        <v>178</v>
      </c>
      <c r="J155" t="s">
        <v>173</v>
      </c>
      <c r="K155">
        <v>5.43410663606238E-3</v>
      </c>
      <c r="L155" t="s">
        <v>164</v>
      </c>
      <c r="N155" t="s">
        <v>214</v>
      </c>
      <c r="O155" t="s">
        <v>173</v>
      </c>
      <c r="P155">
        <v>7.257319962653519E-2</v>
      </c>
      <c r="Q155" t="s">
        <v>164</v>
      </c>
      <c r="S155" t="s">
        <v>241</v>
      </c>
      <c r="T155" t="s">
        <v>173</v>
      </c>
      <c r="U155">
        <v>4.6551879004037226E-2</v>
      </c>
      <c r="V155" t="s">
        <v>164</v>
      </c>
      <c r="AK155">
        <v>2042</v>
      </c>
      <c r="AL155" t="s">
        <v>260</v>
      </c>
      <c r="AM155">
        <v>0.2797</v>
      </c>
      <c r="AN155" t="s">
        <v>257</v>
      </c>
    </row>
    <row r="156" spans="9:40" x14ac:dyDescent="0.45">
      <c r="I156" t="s">
        <v>178</v>
      </c>
      <c r="J156" t="s">
        <v>174</v>
      </c>
      <c r="K156">
        <v>0.13017124407125152</v>
      </c>
      <c r="L156" t="s">
        <v>164</v>
      </c>
      <c r="N156" t="s">
        <v>214</v>
      </c>
      <c r="O156" t="s">
        <v>174</v>
      </c>
      <c r="P156">
        <v>4.3708319991864697E-2</v>
      </c>
      <c r="Q156" t="s">
        <v>164</v>
      </c>
      <c r="S156" t="s">
        <v>241</v>
      </c>
      <c r="T156" t="s">
        <v>174</v>
      </c>
      <c r="U156">
        <v>4.3938339636088987E-2</v>
      </c>
      <c r="V156" t="s">
        <v>164</v>
      </c>
      <c r="AK156">
        <v>2042</v>
      </c>
      <c r="AL156" t="s">
        <v>262</v>
      </c>
      <c r="AM156">
        <v>0.3851</v>
      </c>
      <c r="AN156" t="s">
        <v>257</v>
      </c>
    </row>
    <row r="157" spans="9:40" x14ac:dyDescent="0.45">
      <c r="I157" t="s">
        <v>178</v>
      </c>
      <c r="J157" t="s">
        <v>175</v>
      </c>
      <c r="K157">
        <v>6.5097182792502603E-3</v>
      </c>
      <c r="L157" t="s">
        <v>164</v>
      </c>
      <c r="N157" t="s">
        <v>214</v>
      </c>
      <c r="O157" t="s">
        <v>175</v>
      </c>
      <c r="P157">
        <v>3.6399893816871586E-3</v>
      </c>
      <c r="Q157" t="s">
        <v>164</v>
      </c>
      <c r="S157" t="s">
        <v>241</v>
      </c>
      <c r="T157" t="s">
        <v>175</v>
      </c>
      <c r="U157">
        <v>6.7225669407914197E-3</v>
      </c>
      <c r="V157" t="s">
        <v>164</v>
      </c>
      <c r="AK157">
        <v>2042</v>
      </c>
      <c r="AL157" t="s">
        <v>264</v>
      </c>
      <c r="AM157">
        <v>0.45840000000000003</v>
      </c>
      <c r="AN157" t="s">
        <v>257</v>
      </c>
    </row>
    <row r="158" spans="9:40" x14ac:dyDescent="0.45">
      <c r="I158" t="s">
        <v>178</v>
      </c>
      <c r="J158" t="s">
        <v>274</v>
      </c>
      <c r="K158">
        <v>3.2138583358801232E-3</v>
      </c>
      <c r="L158" t="s">
        <v>164</v>
      </c>
      <c r="N158" t="s">
        <v>214</v>
      </c>
      <c r="O158" t="s">
        <v>274</v>
      </c>
      <c r="P158">
        <v>2.396685946568947E-2</v>
      </c>
      <c r="Q158" t="s">
        <v>164</v>
      </c>
      <c r="S158" t="s">
        <v>241</v>
      </c>
      <c r="T158" t="s">
        <v>274</v>
      </c>
      <c r="U158">
        <v>2.0505100426207255E-2</v>
      </c>
      <c r="V158" t="s">
        <v>164</v>
      </c>
      <c r="AK158">
        <v>2043</v>
      </c>
      <c r="AL158" t="s">
        <v>152</v>
      </c>
      <c r="AM158">
        <v>0.39039999999999997</v>
      </c>
      <c r="AN158" t="s">
        <v>257</v>
      </c>
    </row>
    <row r="159" spans="9:40" x14ac:dyDescent="0.45">
      <c r="I159" t="s">
        <v>178</v>
      </c>
      <c r="J159" t="s">
        <v>275</v>
      </c>
      <c r="K159">
        <v>0</v>
      </c>
      <c r="L159" t="s">
        <v>164</v>
      </c>
      <c r="N159" t="s">
        <v>214</v>
      </c>
      <c r="O159" t="s">
        <v>275</v>
      </c>
      <c r="P159">
        <v>1.6716345916466813E-2</v>
      </c>
      <c r="Q159" t="s">
        <v>164</v>
      </c>
      <c r="S159" t="s">
        <v>241</v>
      </c>
      <c r="T159" t="s">
        <v>275</v>
      </c>
      <c r="U159">
        <v>1.3176683148474108E-2</v>
      </c>
      <c r="V159" t="s">
        <v>164</v>
      </c>
      <c r="AK159">
        <v>2043</v>
      </c>
      <c r="AL159" t="s">
        <v>156</v>
      </c>
      <c r="AM159">
        <v>0.33900000000000002</v>
      </c>
      <c r="AN159" t="s">
        <v>257</v>
      </c>
    </row>
    <row r="160" spans="9:40" x14ac:dyDescent="0.45">
      <c r="I160" t="s">
        <v>178</v>
      </c>
      <c r="J160" t="s">
        <v>276</v>
      </c>
      <c r="K160">
        <v>0</v>
      </c>
      <c r="L160" t="s">
        <v>164</v>
      </c>
      <c r="N160" t="s">
        <v>214</v>
      </c>
      <c r="O160" t="s">
        <v>276</v>
      </c>
      <c r="P160">
        <v>8.9476992415988277E-3</v>
      </c>
      <c r="Q160" t="s">
        <v>164</v>
      </c>
      <c r="S160" t="s">
        <v>241</v>
      </c>
      <c r="T160" t="s">
        <v>276</v>
      </c>
      <c r="U160">
        <v>6.9558226665196437E-3</v>
      </c>
      <c r="V160" t="s">
        <v>164</v>
      </c>
      <c r="AK160">
        <v>2043</v>
      </c>
      <c r="AL160" t="s">
        <v>158</v>
      </c>
      <c r="AM160">
        <v>0.31319999999999998</v>
      </c>
      <c r="AN160" t="s">
        <v>257</v>
      </c>
    </row>
    <row r="161" spans="9:40" x14ac:dyDescent="0.45">
      <c r="I161" t="s">
        <v>178</v>
      </c>
      <c r="J161" t="s">
        <v>277</v>
      </c>
      <c r="K161">
        <v>2.0955406680033374E-3</v>
      </c>
      <c r="L161" t="s">
        <v>164</v>
      </c>
      <c r="N161" t="s">
        <v>214</v>
      </c>
      <c r="O161" t="s">
        <v>277</v>
      </c>
      <c r="P161">
        <v>3.400740845375283E-2</v>
      </c>
      <c r="Q161" t="s">
        <v>164</v>
      </c>
      <c r="S161" t="s">
        <v>241</v>
      </c>
      <c r="T161" t="s">
        <v>277</v>
      </c>
      <c r="U161">
        <v>5.3792690153018949E-2</v>
      </c>
      <c r="V161" t="s">
        <v>164</v>
      </c>
      <c r="AK161">
        <v>2043</v>
      </c>
      <c r="AL161" t="s">
        <v>160</v>
      </c>
      <c r="AM161">
        <v>0.25434999999999997</v>
      </c>
      <c r="AN161" t="s">
        <v>257</v>
      </c>
    </row>
    <row r="162" spans="9:40" x14ac:dyDescent="0.45">
      <c r="I162" t="s">
        <v>178</v>
      </c>
      <c r="J162" t="s">
        <v>278</v>
      </c>
      <c r="K162">
        <v>5.9857104249845965E-2</v>
      </c>
      <c r="L162" t="s">
        <v>164</v>
      </c>
      <c r="N162" t="s">
        <v>214</v>
      </c>
      <c r="O162" t="s">
        <v>278</v>
      </c>
      <c r="P162">
        <v>2.3609799368113842E-2</v>
      </c>
      <c r="Q162" t="s">
        <v>164</v>
      </c>
      <c r="S162" t="s">
        <v>241</v>
      </c>
      <c r="T162" t="s">
        <v>278</v>
      </c>
      <c r="U162">
        <v>5.066014013727093E-2</v>
      </c>
      <c r="V162" t="s">
        <v>164</v>
      </c>
      <c r="AK162">
        <v>2043</v>
      </c>
      <c r="AL162" t="s">
        <v>260</v>
      </c>
      <c r="AM162">
        <v>0.30030000000000001</v>
      </c>
      <c r="AN162" t="s">
        <v>257</v>
      </c>
    </row>
    <row r="163" spans="9:40" x14ac:dyDescent="0.45">
      <c r="I163" t="s">
        <v>178</v>
      </c>
      <c r="J163" t="s">
        <v>279</v>
      </c>
      <c r="K163">
        <v>3.3431928248361135E-3</v>
      </c>
      <c r="L163" t="s">
        <v>164</v>
      </c>
      <c r="N163" t="s">
        <v>214</v>
      </c>
      <c r="O163" t="s">
        <v>279</v>
      </c>
      <c r="P163">
        <v>1.1858316167399181E-3</v>
      </c>
      <c r="Q163" t="s">
        <v>164</v>
      </c>
      <c r="S163" t="s">
        <v>241</v>
      </c>
      <c r="T163" t="s">
        <v>279</v>
      </c>
      <c r="U163">
        <v>6.2782300863560639E-3</v>
      </c>
      <c r="V163" t="s">
        <v>164</v>
      </c>
      <c r="AK163">
        <v>2043</v>
      </c>
      <c r="AL163" t="s">
        <v>262</v>
      </c>
      <c r="AM163">
        <v>0.40300000000000002</v>
      </c>
      <c r="AN163" t="s">
        <v>257</v>
      </c>
    </row>
    <row r="164" spans="9:40" x14ac:dyDescent="0.45">
      <c r="I164" t="s">
        <v>178</v>
      </c>
      <c r="J164" t="s">
        <v>280</v>
      </c>
      <c r="K164">
        <v>1.9534623739474724E-3</v>
      </c>
      <c r="L164" t="s">
        <v>164</v>
      </c>
      <c r="N164" t="s">
        <v>214</v>
      </c>
      <c r="O164" t="s">
        <v>280</v>
      </c>
      <c r="P164">
        <v>7.7808514451433329E-3</v>
      </c>
      <c r="Q164" t="s">
        <v>164</v>
      </c>
      <c r="S164" t="s">
        <v>241</v>
      </c>
      <c r="T164" t="s">
        <v>280</v>
      </c>
      <c r="U164">
        <v>2.0941470807302315E-2</v>
      </c>
      <c r="V164" t="s">
        <v>164</v>
      </c>
      <c r="AK164">
        <v>2043</v>
      </c>
      <c r="AL164" t="s">
        <v>264</v>
      </c>
      <c r="AM164">
        <v>0.42627499999999996</v>
      </c>
      <c r="AN164" t="s">
        <v>257</v>
      </c>
    </row>
    <row r="165" spans="9:40" x14ac:dyDescent="0.45">
      <c r="I165" t="s">
        <v>178</v>
      </c>
      <c r="J165" t="s">
        <v>281</v>
      </c>
      <c r="K165">
        <v>0</v>
      </c>
      <c r="L165" t="s">
        <v>164</v>
      </c>
      <c r="N165" t="s">
        <v>214</v>
      </c>
      <c r="O165" t="s">
        <v>281</v>
      </c>
      <c r="P165">
        <v>6.9311817538755217E-3</v>
      </c>
      <c r="Q165" t="s">
        <v>164</v>
      </c>
      <c r="S165" t="s">
        <v>241</v>
      </c>
      <c r="T165" t="s">
        <v>281</v>
      </c>
      <c r="U165">
        <v>1.456541695014664E-2</v>
      </c>
      <c r="V165" t="s">
        <v>164</v>
      </c>
      <c r="AK165">
        <v>2044</v>
      </c>
      <c r="AL165" t="s">
        <v>152</v>
      </c>
      <c r="AM165">
        <v>0.38159999999999999</v>
      </c>
      <c r="AN165" t="s">
        <v>257</v>
      </c>
    </row>
    <row r="166" spans="9:40" x14ac:dyDescent="0.45">
      <c r="I166" t="s">
        <v>178</v>
      </c>
      <c r="J166" t="s">
        <v>282</v>
      </c>
      <c r="K166">
        <v>0</v>
      </c>
      <c r="L166" t="s">
        <v>164</v>
      </c>
      <c r="N166" t="s">
        <v>214</v>
      </c>
      <c r="O166" t="s">
        <v>282</v>
      </c>
      <c r="P166">
        <v>3.9838765023893566E-3</v>
      </c>
      <c r="Q166" t="s">
        <v>164</v>
      </c>
      <c r="S166" t="s">
        <v>241</v>
      </c>
      <c r="T166" t="s">
        <v>282</v>
      </c>
      <c r="U166">
        <v>7.3796482363120124E-3</v>
      </c>
      <c r="V166" t="s">
        <v>164</v>
      </c>
      <c r="AK166">
        <v>2044</v>
      </c>
      <c r="AL166" t="s">
        <v>156</v>
      </c>
      <c r="AM166">
        <v>0.32140000000000002</v>
      </c>
      <c r="AN166" t="s">
        <v>257</v>
      </c>
    </row>
    <row r="167" spans="9:40" x14ac:dyDescent="0.45">
      <c r="I167" t="s">
        <v>178</v>
      </c>
      <c r="J167" t="s">
        <v>283</v>
      </c>
      <c r="K167">
        <v>2.5444460388937894E-3</v>
      </c>
      <c r="L167" t="s">
        <v>164</v>
      </c>
      <c r="N167" t="s">
        <v>214</v>
      </c>
      <c r="O167" t="s">
        <v>283</v>
      </c>
      <c r="P167">
        <v>2.4442954185480512E-2</v>
      </c>
      <c r="Q167" t="s">
        <v>164</v>
      </c>
      <c r="S167" t="s">
        <v>241</v>
      </c>
      <c r="T167" t="s">
        <v>283</v>
      </c>
      <c r="U167">
        <v>7.3575778563329586E-2</v>
      </c>
      <c r="V167" t="s">
        <v>164</v>
      </c>
      <c r="AK167">
        <v>2044</v>
      </c>
      <c r="AL167" t="s">
        <v>158</v>
      </c>
      <c r="AM167">
        <v>0.31009999999999999</v>
      </c>
      <c r="AN167" t="s">
        <v>257</v>
      </c>
    </row>
    <row r="168" spans="9:40" x14ac:dyDescent="0.45">
      <c r="I168" t="s">
        <v>178</v>
      </c>
      <c r="J168" t="s">
        <v>284</v>
      </c>
      <c r="K168">
        <v>6.6058163253141206E-2</v>
      </c>
      <c r="L168" t="s">
        <v>164</v>
      </c>
      <c r="N168" t="s">
        <v>214</v>
      </c>
      <c r="O168" t="s">
        <v>284</v>
      </c>
      <c r="P168">
        <v>2.3247526206558278E-2</v>
      </c>
      <c r="Q168" t="s">
        <v>164</v>
      </c>
      <c r="S168" t="s">
        <v>241</v>
      </c>
      <c r="T168" t="s">
        <v>284</v>
      </c>
      <c r="U168">
        <v>6.5576461733317923E-2</v>
      </c>
      <c r="V168" t="s">
        <v>164</v>
      </c>
      <c r="AK168">
        <v>2044</v>
      </c>
      <c r="AL168" t="s">
        <v>160</v>
      </c>
      <c r="AM168">
        <v>0.25045000000000001</v>
      </c>
      <c r="AN168" t="s">
        <v>257</v>
      </c>
    </row>
    <row r="169" spans="9:40" x14ac:dyDescent="0.45">
      <c r="I169" t="s">
        <v>178</v>
      </c>
      <c r="J169" t="s">
        <v>285</v>
      </c>
      <c r="K169">
        <v>4.5340092175693127E-3</v>
      </c>
      <c r="L169" t="s">
        <v>164</v>
      </c>
      <c r="N169" t="s">
        <v>214</v>
      </c>
      <c r="O169" t="s">
        <v>285</v>
      </c>
      <c r="P169">
        <v>1.4763324026844931E-3</v>
      </c>
      <c r="Q169" t="s">
        <v>164</v>
      </c>
      <c r="S169" t="s">
        <v>241</v>
      </c>
      <c r="T169" t="s">
        <v>285</v>
      </c>
      <c r="U169">
        <v>7.8257031562370353E-3</v>
      </c>
      <c r="V169" t="s">
        <v>164</v>
      </c>
      <c r="AK169">
        <v>2044</v>
      </c>
      <c r="AL169" t="s">
        <v>260</v>
      </c>
      <c r="AM169">
        <v>0.29360000000000003</v>
      </c>
      <c r="AN169" t="s">
        <v>257</v>
      </c>
    </row>
    <row r="170" spans="9:40" x14ac:dyDescent="0.45">
      <c r="I170" t="s">
        <v>178</v>
      </c>
      <c r="J170" t="s">
        <v>286</v>
      </c>
      <c r="K170">
        <v>2.8743762227311535E-3</v>
      </c>
      <c r="L170" t="s">
        <v>164</v>
      </c>
      <c r="N170" t="s">
        <v>214</v>
      </c>
      <c r="O170" t="s">
        <v>286</v>
      </c>
      <c r="P170">
        <v>6.0012063083782945E-3</v>
      </c>
      <c r="Q170" t="s">
        <v>164</v>
      </c>
      <c r="S170" t="s">
        <v>241</v>
      </c>
      <c r="T170" t="s">
        <v>286</v>
      </c>
      <c r="U170">
        <v>2.2789920638178699E-2</v>
      </c>
      <c r="V170" t="s">
        <v>164</v>
      </c>
      <c r="AK170">
        <v>2044</v>
      </c>
      <c r="AL170" t="s">
        <v>262</v>
      </c>
      <c r="AM170">
        <v>0.37480000000000002</v>
      </c>
      <c r="AN170" t="s">
        <v>257</v>
      </c>
    </row>
    <row r="171" spans="9:40" x14ac:dyDescent="0.45">
      <c r="I171" t="s">
        <v>178</v>
      </c>
      <c r="J171" t="s">
        <v>287</v>
      </c>
      <c r="K171">
        <v>0</v>
      </c>
      <c r="L171" t="s">
        <v>164</v>
      </c>
      <c r="N171" t="s">
        <v>214</v>
      </c>
      <c r="O171" t="s">
        <v>287</v>
      </c>
      <c r="P171">
        <v>5.0392016168860432E-3</v>
      </c>
      <c r="Q171" t="s">
        <v>164</v>
      </c>
      <c r="S171" t="s">
        <v>241</v>
      </c>
      <c r="T171" t="s">
        <v>287</v>
      </c>
      <c r="U171">
        <v>1.5110712170037162E-2</v>
      </c>
      <c r="V171" t="s">
        <v>164</v>
      </c>
      <c r="AK171">
        <v>2044</v>
      </c>
      <c r="AL171" t="s">
        <v>264</v>
      </c>
      <c r="AM171">
        <v>0.42782500000000001</v>
      </c>
      <c r="AN171" t="s">
        <v>257</v>
      </c>
    </row>
    <row r="172" spans="9:40" x14ac:dyDescent="0.45">
      <c r="I172" t="s">
        <v>178</v>
      </c>
      <c r="J172" t="s">
        <v>288</v>
      </c>
      <c r="K172">
        <v>0</v>
      </c>
      <c r="L172" t="s">
        <v>164</v>
      </c>
      <c r="N172" t="s">
        <v>214</v>
      </c>
      <c r="O172" t="s">
        <v>288</v>
      </c>
      <c r="P172">
        <v>2.7351492901188617E-3</v>
      </c>
      <c r="Q172" t="s">
        <v>164</v>
      </c>
      <c r="S172" t="s">
        <v>241</v>
      </c>
      <c r="T172" t="s">
        <v>288</v>
      </c>
      <c r="U172">
        <v>8.0789110934806688E-3</v>
      </c>
      <c r="V172" t="s">
        <v>164</v>
      </c>
      <c r="AK172">
        <v>2045</v>
      </c>
      <c r="AL172" t="s">
        <v>152</v>
      </c>
      <c r="AM172">
        <v>0.40949999999999998</v>
      </c>
      <c r="AN172" t="s">
        <v>257</v>
      </c>
    </row>
    <row r="173" spans="9:40" x14ac:dyDescent="0.45">
      <c r="I173" t="s">
        <v>178</v>
      </c>
      <c r="J173" t="s">
        <v>289</v>
      </c>
      <c r="K173">
        <v>1.2312286385736802E-2</v>
      </c>
      <c r="L173" t="s">
        <v>164</v>
      </c>
      <c r="N173" t="s">
        <v>214</v>
      </c>
      <c r="O173" t="s">
        <v>289</v>
      </c>
      <c r="P173">
        <v>0.12209618834733392</v>
      </c>
      <c r="Q173" t="s">
        <v>164</v>
      </c>
      <c r="S173" t="s">
        <v>241</v>
      </c>
      <c r="T173" t="s">
        <v>289</v>
      </c>
      <c r="U173">
        <v>9.6778144827107948E-2</v>
      </c>
      <c r="V173" t="s">
        <v>164</v>
      </c>
      <c r="AK173">
        <v>2045</v>
      </c>
      <c r="AL173" t="s">
        <v>156</v>
      </c>
      <c r="AM173">
        <v>0.3377</v>
      </c>
      <c r="AN173" t="s">
        <v>257</v>
      </c>
    </row>
    <row r="174" spans="9:40" x14ac:dyDescent="0.45">
      <c r="I174" t="s">
        <v>178</v>
      </c>
      <c r="J174" t="s">
        <v>290</v>
      </c>
      <c r="K174">
        <v>0.30344177898500052</v>
      </c>
      <c r="L174" t="s">
        <v>164</v>
      </c>
      <c r="N174" t="s">
        <v>214</v>
      </c>
      <c r="O174" t="s">
        <v>290</v>
      </c>
      <c r="P174">
        <v>5.0578695325591512E-2</v>
      </c>
      <c r="Q174" t="s">
        <v>164</v>
      </c>
      <c r="S174" t="s">
        <v>241</v>
      </c>
      <c r="T174" t="s">
        <v>290</v>
      </c>
      <c r="U174">
        <v>7.3994674443493003E-2</v>
      </c>
      <c r="V174" t="s">
        <v>164</v>
      </c>
      <c r="AK174">
        <v>2045</v>
      </c>
      <c r="AL174" t="s">
        <v>158</v>
      </c>
      <c r="AM174">
        <v>0.26190000000000002</v>
      </c>
      <c r="AN174" t="s">
        <v>257</v>
      </c>
    </row>
    <row r="175" spans="9:40" x14ac:dyDescent="0.45">
      <c r="I175" t="s">
        <v>178</v>
      </c>
      <c r="J175" t="s">
        <v>291</v>
      </c>
      <c r="K175">
        <v>1.6673298510124938E-2</v>
      </c>
      <c r="L175" t="s">
        <v>164</v>
      </c>
      <c r="N175" t="s">
        <v>214</v>
      </c>
      <c r="O175" t="s">
        <v>291</v>
      </c>
      <c r="P175">
        <v>3.5195690038209494E-3</v>
      </c>
      <c r="Q175" t="s">
        <v>164</v>
      </c>
      <c r="S175" t="s">
        <v>241</v>
      </c>
      <c r="T175" t="s">
        <v>291</v>
      </c>
      <c r="U175">
        <v>1.1781468861204895E-2</v>
      </c>
      <c r="V175" t="s">
        <v>164</v>
      </c>
      <c r="AK175">
        <v>2045</v>
      </c>
      <c r="AL175" t="s">
        <v>160</v>
      </c>
      <c r="AM175">
        <v>0.25469999999999998</v>
      </c>
      <c r="AN175" t="s">
        <v>257</v>
      </c>
    </row>
    <row r="176" spans="9:40" x14ac:dyDescent="0.45">
      <c r="I176" t="s">
        <v>178</v>
      </c>
      <c r="J176" t="s">
        <v>292</v>
      </c>
      <c r="K176">
        <v>3.1167587147652069E-3</v>
      </c>
      <c r="L176" t="s">
        <v>164</v>
      </c>
      <c r="N176" t="s">
        <v>214</v>
      </c>
      <c r="O176" t="s">
        <v>292</v>
      </c>
      <c r="P176">
        <v>3.1539156209264396E-2</v>
      </c>
      <c r="Q176" t="s">
        <v>164</v>
      </c>
      <c r="S176" t="s">
        <v>241</v>
      </c>
      <c r="T176" t="s">
        <v>292</v>
      </c>
      <c r="U176">
        <v>3.3035201594247186E-2</v>
      </c>
      <c r="V176" t="s">
        <v>164</v>
      </c>
      <c r="AK176">
        <v>2045</v>
      </c>
      <c r="AL176" t="s">
        <v>260</v>
      </c>
      <c r="AM176">
        <v>0.2792</v>
      </c>
      <c r="AN176" t="s">
        <v>257</v>
      </c>
    </row>
    <row r="177" spans="9:40" x14ac:dyDescent="0.45">
      <c r="I177" t="s">
        <v>178</v>
      </c>
      <c r="J177" t="s">
        <v>293</v>
      </c>
      <c r="K177">
        <v>0</v>
      </c>
      <c r="L177" t="s">
        <v>164</v>
      </c>
      <c r="N177" t="s">
        <v>214</v>
      </c>
      <c r="O177" t="s">
        <v>293</v>
      </c>
      <c r="P177">
        <v>3.2192584523995614E-2</v>
      </c>
      <c r="Q177" t="s">
        <v>164</v>
      </c>
      <c r="S177" t="s">
        <v>241</v>
      </c>
      <c r="T177" t="s">
        <v>293</v>
      </c>
      <c r="U177">
        <v>2.1205185454714011E-2</v>
      </c>
      <c r="V177" t="s">
        <v>164</v>
      </c>
      <c r="AK177">
        <v>2045</v>
      </c>
      <c r="AL177" t="s">
        <v>262</v>
      </c>
      <c r="AM177">
        <v>0.36430000000000001</v>
      </c>
      <c r="AN177" t="s">
        <v>257</v>
      </c>
    </row>
    <row r="178" spans="9:40" x14ac:dyDescent="0.45">
      <c r="I178" t="s">
        <v>178</v>
      </c>
      <c r="J178" t="s">
        <v>294</v>
      </c>
      <c r="K178">
        <v>0</v>
      </c>
      <c r="L178" t="s">
        <v>164</v>
      </c>
      <c r="N178" t="s">
        <v>214</v>
      </c>
      <c r="O178" t="s">
        <v>294</v>
      </c>
      <c r="P178">
        <v>1.6533732547654632E-2</v>
      </c>
      <c r="Q178" t="s">
        <v>164</v>
      </c>
      <c r="S178" t="s">
        <v>241</v>
      </c>
      <c r="T178" t="s">
        <v>294</v>
      </c>
      <c r="U178">
        <v>1.1673580084588138E-2</v>
      </c>
      <c r="V178" t="s">
        <v>164</v>
      </c>
      <c r="AK178">
        <v>2045</v>
      </c>
      <c r="AL178" t="s">
        <v>264</v>
      </c>
      <c r="AM178">
        <v>0.44902500000000001</v>
      </c>
      <c r="AN178" t="s">
        <v>257</v>
      </c>
    </row>
    <row r="179" spans="9:40" x14ac:dyDescent="0.45">
      <c r="I179" t="s">
        <v>179</v>
      </c>
      <c r="J179" t="s">
        <v>163</v>
      </c>
      <c r="K179">
        <v>4.1223388385484691E-3</v>
      </c>
      <c r="L179" t="s">
        <v>164</v>
      </c>
      <c r="N179" t="s">
        <v>215</v>
      </c>
      <c r="O179" t="s">
        <v>163</v>
      </c>
      <c r="P179">
        <v>0.10174759476578912</v>
      </c>
      <c r="Q179" t="s">
        <v>164</v>
      </c>
      <c r="S179" t="s">
        <v>242</v>
      </c>
      <c r="T179" t="s">
        <v>163</v>
      </c>
      <c r="U179">
        <v>4.4053277781467261E-2</v>
      </c>
      <c r="V179" t="s">
        <v>164</v>
      </c>
      <c r="AK179">
        <v>2046</v>
      </c>
      <c r="AL179" t="s">
        <v>152</v>
      </c>
      <c r="AM179">
        <v>0.38124999999999998</v>
      </c>
      <c r="AN179" t="s">
        <v>257</v>
      </c>
    </row>
    <row r="180" spans="9:40" x14ac:dyDescent="0.45">
      <c r="I180" t="s">
        <v>179</v>
      </c>
      <c r="J180" t="s">
        <v>165</v>
      </c>
      <c r="K180">
        <v>0.18102159689173461</v>
      </c>
      <c r="L180" t="s">
        <v>164</v>
      </c>
      <c r="N180" t="s">
        <v>215</v>
      </c>
      <c r="O180" t="s">
        <v>165</v>
      </c>
      <c r="P180">
        <v>3.2148820992138949E-2</v>
      </c>
      <c r="Q180" t="s">
        <v>164</v>
      </c>
      <c r="S180" t="s">
        <v>242</v>
      </c>
      <c r="T180" t="s">
        <v>165</v>
      </c>
      <c r="U180">
        <v>2.544877074154835E-2</v>
      </c>
      <c r="V180" t="s">
        <v>164</v>
      </c>
      <c r="AK180">
        <v>2046</v>
      </c>
      <c r="AL180" t="s">
        <v>156</v>
      </c>
      <c r="AM180">
        <v>0.31180000000000002</v>
      </c>
      <c r="AN180" t="s">
        <v>257</v>
      </c>
    </row>
    <row r="181" spans="9:40" x14ac:dyDescent="0.45">
      <c r="I181" t="s">
        <v>179</v>
      </c>
      <c r="J181" t="s">
        <v>166</v>
      </c>
      <c r="K181">
        <v>1.1215797129941666E-2</v>
      </c>
      <c r="L181" t="s">
        <v>164</v>
      </c>
      <c r="N181" t="s">
        <v>215</v>
      </c>
      <c r="O181" t="s">
        <v>166</v>
      </c>
      <c r="P181">
        <v>1.8738315365225437E-3</v>
      </c>
      <c r="Q181" t="s">
        <v>164</v>
      </c>
      <c r="S181" t="s">
        <v>242</v>
      </c>
      <c r="T181" t="s">
        <v>166</v>
      </c>
      <c r="U181">
        <v>2.6040773029383478E-3</v>
      </c>
      <c r="V181" t="s">
        <v>164</v>
      </c>
      <c r="AK181">
        <v>2046</v>
      </c>
      <c r="AL181" t="s">
        <v>158</v>
      </c>
      <c r="AM181">
        <v>0.28100000000000003</v>
      </c>
      <c r="AN181" t="s">
        <v>257</v>
      </c>
    </row>
    <row r="182" spans="9:40" x14ac:dyDescent="0.45">
      <c r="I182" t="s">
        <v>179</v>
      </c>
      <c r="J182" t="s">
        <v>265</v>
      </c>
      <c r="K182">
        <v>4.853819088959991E-3</v>
      </c>
      <c r="L182" t="s">
        <v>164</v>
      </c>
      <c r="N182" t="s">
        <v>215</v>
      </c>
      <c r="O182" t="s">
        <v>265</v>
      </c>
      <c r="P182">
        <v>1.6844602606936467E-2</v>
      </c>
      <c r="Q182" t="s">
        <v>164</v>
      </c>
      <c r="S182" t="s">
        <v>242</v>
      </c>
      <c r="T182" t="s">
        <v>265</v>
      </c>
      <c r="U182">
        <v>9.1626060969547379E-3</v>
      </c>
      <c r="V182" t="s">
        <v>164</v>
      </c>
      <c r="AK182">
        <v>2046</v>
      </c>
      <c r="AL182" t="s">
        <v>160</v>
      </c>
      <c r="AM182">
        <v>0.26434999999999997</v>
      </c>
      <c r="AN182" t="s">
        <v>257</v>
      </c>
    </row>
    <row r="183" spans="9:40" x14ac:dyDescent="0.45">
      <c r="I183" t="s">
        <v>179</v>
      </c>
      <c r="J183" t="s">
        <v>266</v>
      </c>
      <c r="K183">
        <v>0</v>
      </c>
      <c r="L183" t="s">
        <v>164</v>
      </c>
      <c r="N183" t="s">
        <v>215</v>
      </c>
      <c r="O183" t="s">
        <v>266</v>
      </c>
      <c r="P183">
        <v>2.1489438214617792E-2</v>
      </c>
      <c r="Q183" t="s">
        <v>164</v>
      </c>
      <c r="S183" t="s">
        <v>242</v>
      </c>
      <c r="T183" t="s">
        <v>266</v>
      </c>
      <c r="U183">
        <v>7.1583349145998816E-3</v>
      </c>
      <c r="V183" t="s">
        <v>164</v>
      </c>
      <c r="AK183">
        <v>2046</v>
      </c>
      <c r="AL183" t="s">
        <v>260</v>
      </c>
      <c r="AM183">
        <v>0.29659999999999997</v>
      </c>
      <c r="AN183" t="s">
        <v>257</v>
      </c>
    </row>
    <row r="184" spans="9:40" x14ac:dyDescent="0.45">
      <c r="I184" t="s">
        <v>179</v>
      </c>
      <c r="J184" t="s">
        <v>267</v>
      </c>
      <c r="K184">
        <v>0</v>
      </c>
      <c r="L184" t="s">
        <v>164</v>
      </c>
      <c r="N184" t="s">
        <v>215</v>
      </c>
      <c r="O184" t="s">
        <v>267</v>
      </c>
      <c r="P184">
        <v>1.3384972781525591E-2</v>
      </c>
      <c r="Q184" t="s">
        <v>164</v>
      </c>
      <c r="S184" t="s">
        <v>242</v>
      </c>
      <c r="T184" t="s">
        <v>267</v>
      </c>
      <c r="U184">
        <v>4.3156805574462581E-3</v>
      </c>
      <c r="V184" t="s">
        <v>164</v>
      </c>
      <c r="AK184">
        <v>2046</v>
      </c>
      <c r="AL184" t="s">
        <v>262</v>
      </c>
      <c r="AM184">
        <v>0.33939999999999998</v>
      </c>
      <c r="AN184" t="s">
        <v>257</v>
      </c>
    </row>
    <row r="185" spans="9:40" x14ac:dyDescent="0.45">
      <c r="I185" t="s">
        <v>179</v>
      </c>
      <c r="J185" t="s">
        <v>167</v>
      </c>
      <c r="K185">
        <v>2.113043769676139E-3</v>
      </c>
      <c r="L185" t="s">
        <v>164</v>
      </c>
      <c r="N185" t="s">
        <v>215</v>
      </c>
      <c r="O185" t="s">
        <v>167</v>
      </c>
      <c r="P185">
        <v>6.7465808164216545E-2</v>
      </c>
      <c r="Q185" t="s">
        <v>164</v>
      </c>
      <c r="S185" t="s">
        <v>242</v>
      </c>
      <c r="T185" t="s">
        <v>167</v>
      </c>
      <c r="U185">
        <v>2.5455414868153944E-2</v>
      </c>
      <c r="V185" t="s">
        <v>164</v>
      </c>
      <c r="AK185">
        <v>2046</v>
      </c>
      <c r="AL185" t="s">
        <v>264</v>
      </c>
      <c r="AM185">
        <v>0.44600000000000001</v>
      </c>
      <c r="AN185" t="s">
        <v>257</v>
      </c>
    </row>
    <row r="186" spans="9:40" x14ac:dyDescent="0.45">
      <c r="I186" t="s">
        <v>179</v>
      </c>
      <c r="J186" t="s">
        <v>168</v>
      </c>
      <c r="K186">
        <v>8.6986014076124607E-2</v>
      </c>
      <c r="L186" t="s">
        <v>164</v>
      </c>
      <c r="N186" t="s">
        <v>215</v>
      </c>
      <c r="O186" t="s">
        <v>168</v>
      </c>
      <c r="P186">
        <v>2.2132280205460087E-2</v>
      </c>
      <c r="Q186" t="s">
        <v>164</v>
      </c>
      <c r="S186" t="s">
        <v>242</v>
      </c>
      <c r="T186" t="s">
        <v>168</v>
      </c>
      <c r="U186">
        <v>1.7574429232234082E-2</v>
      </c>
      <c r="V186" t="s">
        <v>164</v>
      </c>
      <c r="AK186">
        <v>2047</v>
      </c>
      <c r="AL186" t="s">
        <v>152</v>
      </c>
      <c r="AM186">
        <v>0.46650000000000003</v>
      </c>
      <c r="AN186" t="s">
        <v>257</v>
      </c>
    </row>
    <row r="187" spans="9:40" x14ac:dyDescent="0.45">
      <c r="I187" t="s">
        <v>179</v>
      </c>
      <c r="J187" t="s">
        <v>169</v>
      </c>
      <c r="K187">
        <v>4.3931838539696443E-3</v>
      </c>
      <c r="L187" t="s">
        <v>164</v>
      </c>
      <c r="N187" t="s">
        <v>215</v>
      </c>
      <c r="O187" t="s">
        <v>169</v>
      </c>
      <c r="P187">
        <v>2.2937542768616107E-3</v>
      </c>
      <c r="Q187" t="s">
        <v>164</v>
      </c>
      <c r="S187" t="s">
        <v>242</v>
      </c>
      <c r="T187" t="s">
        <v>169</v>
      </c>
      <c r="U187">
        <v>1.6355623645750927E-3</v>
      </c>
      <c r="V187" t="s">
        <v>164</v>
      </c>
      <c r="AK187">
        <v>2047</v>
      </c>
      <c r="AL187" t="s">
        <v>156</v>
      </c>
      <c r="AM187">
        <v>0.37409999999999999</v>
      </c>
      <c r="AN187" t="s">
        <v>257</v>
      </c>
    </row>
    <row r="188" spans="9:40" x14ac:dyDescent="0.45">
      <c r="I188" t="s">
        <v>179</v>
      </c>
      <c r="J188" t="s">
        <v>268</v>
      </c>
      <c r="K188">
        <v>1.9785969024032337E-3</v>
      </c>
      <c r="L188" t="s">
        <v>164</v>
      </c>
      <c r="N188" t="s">
        <v>215</v>
      </c>
      <c r="O188" t="s">
        <v>268</v>
      </c>
      <c r="P188">
        <v>2.3379247914228851E-2</v>
      </c>
      <c r="Q188" t="s">
        <v>164</v>
      </c>
      <c r="S188" t="s">
        <v>242</v>
      </c>
      <c r="T188" t="s">
        <v>268</v>
      </c>
      <c r="U188">
        <v>5.4389323409006337E-3</v>
      </c>
      <c r="V188" t="s">
        <v>164</v>
      </c>
      <c r="AK188">
        <v>2047</v>
      </c>
      <c r="AL188" t="s">
        <v>158</v>
      </c>
      <c r="AM188">
        <v>0.3281</v>
      </c>
      <c r="AN188" t="s">
        <v>257</v>
      </c>
    </row>
    <row r="189" spans="9:40" x14ac:dyDescent="0.45">
      <c r="I189" t="s">
        <v>179</v>
      </c>
      <c r="J189" t="s">
        <v>269</v>
      </c>
      <c r="K189">
        <v>0</v>
      </c>
      <c r="L189" t="s">
        <v>164</v>
      </c>
      <c r="N189" t="s">
        <v>215</v>
      </c>
      <c r="O189" t="s">
        <v>269</v>
      </c>
      <c r="P189">
        <v>2.449212575802685E-2</v>
      </c>
      <c r="Q189" t="s">
        <v>164</v>
      </c>
      <c r="S189" t="s">
        <v>242</v>
      </c>
      <c r="T189" t="s">
        <v>269</v>
      </c>
      <c r="U189">
        <v>3.6858226989352964E-3</v>
      </c>
      <c r="V189" t="s">
        <v>164</v>
      </c>
      <c r="AK189">
        <v>2047</v>
      </c>
      <c r="AL189" t="s">
        <v>160</v>
      </c>
      <c r="AM189">
        <v>0.29510000000000003</v>
      </c>
      <c r="AN189" t="s">
        <v>257</v>
      </c>
    </row>
    <row r="190" spans="9:40" x14ac:dyDescent="0.45">
      <c r="I190" t="s">
        <v>179</v>
      </c>
      <c r="J190" t="s">
        <v>270</v>
      </c>
      <c r="K190">
        <v>0</v>
      </c>
      <c r="L190" t="s">
        <v>164</v>
      </c>
      <c r="N190" t="s">
        <v>215</v>
      </c>
      <c r="O190" t="s">
        <v>270</v>
      </c>
      <c r="P190">
        <v>1.1982957046726148E-2</v>
      </c>
      <c r="Q190" t="s">
        <v>164</v>
      </c>
      <c r="S190" t="s">
        <v>242</v>
      </c>
      <c r="T190" t="s">
        <v>270</v>
      </c>
      <c r="U190">
        <v>1.6938667070921557E-3</v>
      </c>
      <c r="V190" t="s">
        <v>164</v>
      </c>
      <c r="AK190">
        <v>2047</v>
      </c>
      <c r="AL190" t="s">
        <v>260</v>
      </c>
      <c r="AM190">
        <v>0.34499999999999997</v>
      </c>
      <c r="AN190" t="s">
        <v>257</v>
      </c>
    </row>
    <row r="191" spans="9:40" x14ac:dyDescent="0.45">
      <c r="I191" t="s">
        <v>179</v>
      </c>
      <c r="J191" t="s">
        <v>170</v>
      </c>
      <c r="K191">
        <v>2.5778566753092151E-3</v>
      </c>
      <c r="L191" t="s">
        <v>164</v>
      </c>
      <c r="N191" t="s">
        <v>215</v>
      </c>
      <c r="O191" t="s">
        <v>170</v>
      </c>
      <c r="P191">
        <v>4.536098690203666E-2</v>
      </c>
      <c r="Q191" t="s">
        <v>164</v>
      </c>
      <c r="S191" t="s">
        <v>242</v>
      </c>
      <c r="T191" t="s">
        <v>170</v>
      </c>
      <c r="U191">
        <v>1.3260008139437177E-2</v>
      </c>
      <c r="V191" t="s">
        <v>164</v>
      </c>
      <c r="AK191">
        <v>2047</v>
      </c>
      <c r="AL191" t="s">
        <v>262</v>
      </c>
      <c r="AM191">
        <v>0.46260000000000001</v>
      </c>
      <c r="AN191" t="s">
        <v>257</v>
      </c>
    </row>
    <row r="192" spans="9:40" x14ac:dyDescent="0.45">
      <c r="I192" t="s">
        <v>179</v>
      </c>
      <c r="J192" t="s">
        <v>171</v>
      </c>
      <c r="K192">
        <v>7.5489185628996328E-2</v>
      </c>
      <c r="L192" t="s">
        <v>164</v>
      </c>
      <c r="N192" t="s">
        <v>215</v>
      </c>
      <c r="O192" t="s">
        <v>171</v>
      </c>
      <c r="P192">
        <v>1.6402859623102874E-2</v>
      </c>
      <c r="Q192" t="s">
        <v>164</v>
      </c>
      <c r="S192" t="s">
        <v>242</v>
      </c>
      <c r="T192" t="s">
        <v>171</v>
      </c>
      <c r="U192">
        <v>8.6895888334731254E-3</v>
      </c>
      <c r="V192" t="s">
        <v>164</v>
      </c>
      <c r="AK192">
        <v>2047</v>
      </c>
      <c r="AL192" t="s">
        <v>264</v>
      </c>
      <c r="AM192">
        <v>0.51912500000000006</v>
      </c>
      <c r="AN192" t="s">
        <v>257</v>
      </c>
    </row>
    <row r="193" spans="9:40" x14ac:dyDescent="0.45">
      <c r="I193" t="s">
        <v>179</v>
      </c>
      <c r="J193" t="s">
        <v>172</v>
      </c>
      <c r="K193">
        <v>3.2068936109658202E-3</v>
      </c>
      <c r="L193" t="s">
        <v>164</v>
      </c>
      <c r="N193" t="s">
        <v>215</v>
      </c>
      <c r="O193" t="s">
        <v>172</v>
      </c>
      <c r="P193">
        <v>1.891698409847825E-3</v>
      </c>
      <c r="Q193" t="s">
        <v>164</v>
      </c>
      <c r="S193" t="s">
        <v>242</v>
      </c>
      <c r="T193" t="s">
        <v>172</v>
      </c>
      <c r="U193">
        <v>1.4729735562656822E-3</v>
      </c>
      <c r="V193" t="s">
        <v>164</v>
      </c>
      <c r="AK193">
        <v>2048</v>
      </c>
      <c r="AL193" t="s">
        <v>152</v>
      </c>
      <c r="AM193">
        <v>0.43184999999999996</v>
      </c>
      <c r="AN193" t="s">
        <v>257</v>
      </c>
    </row>
    <row r="194" spans="9:40" x14ac:dyDescent="0.45">
      <c r="I194" t="s">
        <v>179</v>
      </c>
      <c r="J194" t="s">
        <v>271</v>
      </c>
      <c r="K194">
        <v>1.6050624574572301E-3</v>
      </c>
      <c r="L194" t="s">
        <v>164</v>
      </c>
      <c r="N194" t="s">
        <v>215</v>
      </c>
      <c r="O194" t="s">
        <v>271</v>
      </c>
      <c r="P194">
        <v>1.2461893658353394E-2</v>
      </c>
      <c r="Q194" t="s">
        <v>164</v>
      </c>
      <c r="S194" t="s">
        <v>242</v>
      </c>
      <c r="T194" t="s">
        <v>271</v>
      </c>
      <c r="U194">
        <v>4.0647696808748975E-3</v>
      </c>
      <c r="V194" t="s">
        <v>164</v>
      </c>
      <c r="AK194">
        <v>2048</v>
      </c>
      <c r="AL194" t="s">
        <v>156</v>
      </c>
      <c r="AM194">
        <v>0.3639</v>
      </c>
      <c r="AN194" t="s">
        <v>257</v>
      </c>
    </row>
    <row r="195" spans="9:40" x14ac:dyDescent="0.45">
      <c r="I195" t="s">
        <v>179</v>
      </c>
      <c r="J195" t="s">
        <v>272</v>
      </c>
      <c r="K195">
        <v>0</v>
      </c>
      <c r="L195" t="s">
        <v>164</v>
      </c>
      <c r="N195" t="s">
        <v>215</v>
      </c>
      <c r="O195" t="s">
        <v>272</v>
      </c>
      <c r="P195">
        <v>1.2180662537672556E-2</v>
      </c>
      <c r="Q195" t="s">
        <v>164</v>
      </c>
      <c r="S195" t="s">
        <v>242</v>
      </c>
      <c r="T195" t="s">
        <v>272</v>
      </c>
      <c r="U195">
        <v>2.9361867798549427E-3</v>
      </c>
      <c r="V195" t="s">
        <v>164</v>
      </c>
      <c r="AK195">
        <v>2048</v>
      </c>
      <c r="AL195" t="s">
        <v>158</v>
      </c>
      <c r="AM195">
        <v>0.31540000000000001</v>
      </c>
      <c r="AN195" t="s">
        <v>257</v>
      </c>
    </row>
    <row r="196" spans="9:40" x14ac:dyDescent="0.45">
      <c r="I196" t="s">
        <v>179</v>
      </c>
      <c r="J196" t="s">
        <v>273</v>
      </c>
      <c r="K196">
        <v>0</v>
      </c>
      <c r="L196" t="s">
        <v>164</v>
      </c>
      <c r="N196" t="s">
        <v>215</v>
      </c>
      <c r="O196" t="s">
        <v>273</v>
      </c>
      <c r="P196">
        <v>5.9709922027335353E-3</v>
      </c>
      <c r="Q196" t="s">
        <v>164</v>
      </c>
      <c r="S196" t="s">
        <v>242</v>
      </c>
      <c r="T196" t="s">
        <v>273</v>
      </c>
      <c r="U196">
        <v>1.8241178376121143E-3</v>
      </c>
      <c r="V196" t="s">
        <v>164</v>
      </c>
      <c r="AK196">
        <v>2048</v>
      </c>
      <c r="AL196" t="s">
        <v>160</v>
      </c>
      <c r="AM196">
        <v>0.26865</v>
      </c>
      <c r="AN196" t="s">
        <v>257</v>
      </c>
    </row>
    <row r="197" spans="9:40" x14ac:dyDescent="0.45">
      <c r="I197" t="s">
        <v>179</v>
      </c>
      <c r="J197" t="s">
        <v>173</v>
      </c>
      <c r="K197">
        <v>5.1748673300092644E-3</v>
      </c>
      <c r="L197" t="s">
        <v>164</v>
      </c>
      <c r="N197" t="s">
        <v>215</v>
      </c>
      <c r="O197" t="s">
        <v>173</v>
      </c>
      <c r="P197">
        <v>6.9957257997041486E-2</v>
      </c>
      <c r="Q197" t="s">
        <v>164</v>
      </c>
      <c r="S197" t="s">
        <v>242</v>
      </c>
      <c r="T197" t="s">
        <v>173</v>
      </c>
      <c r="U197">
        <v>5.6064305238306411E-2</v>
      </c>
      <c r="V197" t="s">
        <v>164</v>
      </c>
      <c r="AK197">
        <v>2048</v>
      </c>
      <c r="AL197" t="s">
        <v>260</v>
      </c>
      <c r="AM197">
        <v>0.32879999999999998</v>
      </c>
      <c r="AN197" t="s">
        <v>257</v>
      </c>
    </row>
    <row r="198" spans="9:40" x14ac:dyDescent="0.45">
      <c r="I198" t="s">
        <v>179</v>
      </c>
      <c r="J198" t="s">
        <v>174</v>
      </c>
      <c r="K198">
        <v>0.13535524924777576</v>
      </c>
      <c r="L198" t="s">
        <v>164</v>
      </c>
      <c r="N198" t="s">
        <v>215</v>
      </c>
      <c r="O198" t="s">
        <v>174</v>
      </c>
      <c r="P198">
        <v>3.2150614254196408E-2</v>
      </c>
      <c r="Q198" t="s">
        <v>164</v>
      </c>
      <c r="S198" t="s">
        <v>242</v>
      </c>
      <c r="T198" t="s">
        <v>174</v>
      </c>
      <c r="U198">
        <v>4.8726046689193621E-2</v>
      </c>
      <c r="V198" t="s">
        <v>164</v>
      </c>
      <c r="AK198">
        <v>2048</v>
      </c>
      <c r="AL198" t="s">
        <v>262</v>
      </c>
      <c r="AM198">
        <v>0.46510000000000001</v>
      </c>
      <c r="AN198" t="s">
        <v>257</v>
      </c>
    </row>
    <row r="199" spans="9:40" x14ac:dyDescent="0.45">
      <c r="I199" t="s">
        <v>179</v>
      </c>
      <c r="J199" t="s">
        <v>175</v>
      </c>
      <c r="K199">
        <v>5.1573708585950584E-3</v>
      </c>
      <c r="L199" t="s">
        <v>164</v>
      </c>
      <c r="N199" t="s">
        <v>215</v>
      </c>
      <c r="O199" t="s">
        <v>175</v>
      </c>
      <c r="P199">
        <v>4.3029328391861917E-3</v>
      </c>
      <c r="Q199" t="s">
        <v>164</v>
      </c>
      <c r="S199" t="s">
        <v>242</v>
      </c>
      <c r="T199" t="s">
        <v>175</v>
      </c>
      <c r="U199">
        <v>5.7302421683000926E-3</v>
      </c>
      <c r="V199" t="s">
        <v>164</v>
      </c>
      <c r="AK199">
        <v>2048</v>
      </c>
      <c r="AL199" t="s">
        <v>264</v>
      </c>
      <c r="AM199">
        <v>0.49807500000000005</v>
      </c>
      <c r="AN199" t="s">
        <v>257</v>
      </c>
    </row>
    <row r="200" spans="9:40" x14ac:dyDescent="0.45">
      <c r="I200" t="s">
        <v>179</v>
      </c>
      <c r="J200" t="s">
        <v>274</v>
      </c>
      <c r="K200">
        <v>2.478902796943861E-3</v>
      </c>
      <c r="L200" t="s">
        <v>164</v>
      </c>
      <c r="N200" t="s">
        <v>215</v>
      </c>
      <c r="O200" t="s">
        <v>274</v>
      </c>
      <c r="P200">
        <v>2.2804867031301853E-2</v>
      </c>
      <c r="Q200" t="s">
        <v>164</v>
      </c>
      <c r="S200" t="s">
        <v>242</v>
      </c>
      <c r="T200" t="s">
        <v>274</v>
      </c>
      <c r="U200">
        <v>1.7148139874505884E-2</v>
      </c>
      <c r="V200" t="s">
        <v>164</v>
      </c>
      <c r="AK200">
        <v>2049</v>
      </c>
      <c r="AL200" t="s">
        <v>152</v>
      </c>
      <c r="AM200">
        <v>0.42675000000000002</v>
      </c>
      <c r="AN200" t="s">
        <v>257</v>
      </c>
    </row>
    <row r="201" spans="9:40" x14ac:dyDescent="0.45">
      <c r="I201" t="s">
        <v>179</v>
      </c>
      <c r="J201" t="s">
        <v>275</v>
      </c>
      <c r="K201">
        <v>0</v>
      </c>
      <c r="L201" t="s">
        <v>164</v>
      </c>
      <c r="N201" t="s">
        <v>215</v>
      </c>
      <c r="O201" t="s">
        <v>275</v>
      </c>
      <c r="P201">
        <v>1.6542937055770653E-2</v>
      </c>
      <c r="Q201" t="s">
        <v>164</v>
      </c>
      <c r="S201" t="s">
        <v>242</v>
      </c>
      <c r="T201" t="s">
        <v>275</v>
      </c>
      <c r="U201">
        <v>1.4843500173204849E-2</v>
      </c>
      <c r="V201" t="s">
        <v>164</v>
      </c>
      <c r="AK201">
        <v>2049</v>
      </c>
      <c r="AL201" t="s">
        <v>156</v>
      </c>
      <c r="AM201">
        <v>0.38140000000000002</v>
      </c>
      <c r="AN201" t="s">
        <v>257</v>
      </c>
    </row>
    <row r="202" spans="9:40" x14ac:dyDescent="0.45">
      <c r="I202" t="s">
        <v>179</v>
      </c>
      <c r="J202" t="s">
        <v>276</v>
      </c>
      <c r="K202">
        <v>0</v>
      </c>
      <c r="L202" t="s">
        <v>164</v>
      </c>
      <c r="N202" t="s">
        <v>215</v>
      </c>
      <c r="O202" t="s">
        <v>276</v>
      </c>
      <c r="P202">
        <v>8.6455207652389749E-3</v>
      </c>
      <c r="Q202" t="s">
        <v>164</v>
      </c>
      <c r="S202" t="s">
        <v>242</v>
      </c>
      <c r="T202" t="s">
        <v>276</v>
      </c>
      <c r="U202">
        <v>8.5032671286570417E-3</v>
      </c>
      <c r="V202" t="s">
        <v>164</v>
      </c>
      <c r="AK202">
        <v>2049</v>
      </c>
      <c r="AL202" t="s">
        <v>158</v>
      </c>
      <c r="AM202">
        <v>0.34520000000000001</v>
      </c>
      <c r="AN202" t="s">
        <v>257</v>
      </c>
    </row>
    <row r="203" spans="9:40" x14ac:dyDescent="0.45">
      <c r="I203" t="s">
        <v>179</v>
      </c>
      <c r="J203" t="s">
        <v>277</v>
      </c>
      <c r="K203">
        <v>1.2887351577471316E-3</v>
      </c>
      <c r="L203" t="s">
        <v>164</v>
      </c>
      <c r="N203" t="s">
        <v>215</v>
      </c>
      <c r="O203" t="s">
        <v>277</v>
      </c>
      <c r="P203">
        <v>3.3782285150292302E-2</v>
      </c>
      <c r="Q203" t="s">
        <v>164</v>
      </c>
      <c r="S203" t="s">
        <v>242</v>
      </c>
      <c r="T203" t="s">
        <v>277</v>
      </c>
      <c r="U203">
        <v>7.6909551950669813E-2</v>
      </c>
      <c r="V203" t="s">
        <v>164</v>
      </c>
      <c r="AK203">
        <v>2049</v>
      </c>
      <c r="AL203" t="s">
        <v>160</v>
      </c>
      <c r="AM203">
        <v>0.27549999999999997</v>
      </c>
      <c r="AN203" t="s">
        <v>257</v>
      </c>
    </row>
    <row r="204" spans="9:40" x14ac:dyDescent="0.45">
      <c r="I204" t="s">
        <v>179</v>
      </c>
      <c r="J204" t="s">
        <v>278</v>
      </c>
      <c r="K204">
        <v>6.0164841387443962E-2</v>
      </c>
      <c r="L204" t="s">
        <v>164</v>
      </c>
      <c r="N204" t="s">
        <v>215</v>
      </c>
      <c r="O204" t="s">
        <v>278</v>
      </c>
      <c r="P204">
        <v>1.6290327921404359E-2</v>
      </c>
      <c r="Q204" t="s">
        <v>164</v>
      </c>
      <c r="S204" t="s">
        <v>242</v>
      </c>
      <c r="T204" t="s">
        <v>278</v>
      </c>
      <c r="U204">
        <v>7.1152690203941257E-2</v>
      </c>
      <c r="V204" t="s">
        <v>164</v>
      </c>
      <c r="AK204">
        <v>2049</v>
      </c>
      <c r="AL204" t="s">
        <v>260</v>
      </c>
      <c r="AM204">
        <v>0.34</v>
      </c>
      <c r="AN204" t="s">
        <v>257</v>
      </c>
    </row>
    <row r="205" spans="9:40" x14ac:dyDescent="0.45">
      <c r="I205" t="s">
        <v>179</v>
      </c>
      <c r="J205" t="s">
        <v>279</v>
      </c>
      <c r="K205">
        <v>3.5875895888096234E-3</v>
      </c>
      <c r="L205" t="s">
        <v>164</v>
      </c>
      <c r="N205" t="s">
        <v>215</v>
      </c>
      <c r="O205" t="s">
        <v>279</v>
      </c>
      <c r="P205">
        <v>1.7097131212720845E-3</v>
      </c>
      <c r="Q205" t="s">
        <v>164</v>
      </c>
      <c r="S205" t="s">
        <v>242</v>
      </c>
      <c r="T205" t="s">
        <v>279</v>
      </c>
      <c r="U205">
        <v>6.8826971006903676E-3</v>
      </c>
      <c r="V205" t="s">
        <v>164</v>
      </c>
      <c r="AK205">
        <v>2049</v>
      </c>
      <c r="AL205" t="s">
        <v>262</v>
      </c>
      <c r="AM205">
        <v>0.38750000000000001</v>
      </c>
      <c r="AN205" t="s">
        <v>257</v>
      </c>
    </row>
    <row r="206" spans="9:40" x14ac:dyDescent="0.45">
      <c r="I206" t="s">
        <v>179</v>
      </c>
      <c r="J206" t="s">
        <v>280</v>
      </c>
      <c r="K206">
        <v>1.8966235116754098E-3</v>
      </c>
      <c r="L206" t="s">
        <v>164</v>
      </c>
      <c r="N206" t="s">
        <v>215</v>
      </c>
      <c r="O206" t="s">
        <v>280</v>
      </c>
      <c r="P206">
        <v>8.7392218863828839E-3</v>
      </c>
      <c r="Q206" t="s">
        <v>164</v>
      </c>
      <c r="S206" t="s">
        <v>242</v>
      </c>
      <c r="T206" t="s">
        <v>280</v>
      </c>
      <c r="U206">
        <v>2.2019467253002419E-2</v>
      </c>
      <c r="V206" t="s">
        <v>164</v>
      </c>
      <c r="AK206">
        <v>2049</v>
      </c>
      <c r="AL206" t="s">
        <v>264</v>
      </c>
      <c r="AM206">
        <v>0.51842500000000002</v>
      </c>
      <c r="AN206" t="s">
        <v>257</v>
      </c>
    </row>
    <row r="207" spans="9:40" x14ac:dyDescent="0.45">
      <c r="I207" t="s">
        <v>179</v>
      </c>
      <c r="J207" t="s">
        <v>281</v>
      </c>
      <c r="K207">
        <v>0</v>
      </c>
      <c r="L207" t="s">
        <v>164</v>
      </c>
      <c r="N207" t="s">
        <v>215</v>
      </c>
      <c r="O207" t="s">
        <v>281</v>
      </c>
      <c r="P207">
        <v>7.7456849154975719E-3</v>
      </c>
      <c r="Q207" t="s">
        <v>164</v>
      </c>
      <c r="S207" t="s">
        <v>242</v>
      </c>
      <c r="T207" t="s">
        <v>281</v>
      </c>
      <c r="U207">
        <v>1.6513996769283522E-2</v>
      </c>
      <c r="V207" t="s">
        <v>164</v>
      </c>
      <c r="AK207">
        <v>2050</v>
      </c>
      <c r="AL207" t="s">
        <v>152</v>
      </c>
      <c r="AM207">
        <v>0.42564999999999997</v>
      </c>
      <c r="AN207" t="s">
        <v>257</v>
      </c>
    </row>
    <row r="208" spans="9:40" x14ac:dyDescent="0.45">
      <c r="I208" t="s">
        <v>179</v>
      </c>
      <c r="J208" t="s">
        <v>282</v>
      </c>
      <c r="K208">
        <v>0</v>
      </c>
      <c r="L208" t="s">
        <v>164</v>
      </c>
      <c r="N208" t="s">
        <v>215</v>
      </c>
      <c r="O208" t="s">
        <v>282</v>
      </c>
      <c r="P208">
        <v>4.4871425106244849E-3</v>
      </c>
      <c r="Q208" t="s">
        <v>164</v>
      </c>
      <c r="S208" t="s">
        <v>242</v>
      </c>
      <c r="T208" t="s">
        <v>282</v>
      </c>
      <c r="U208">
        <v>9.2978207079475114E-3</v>
      </c>
      <c r="V208" t="s">
        <v>164</v>
      </c>
      <c r="AK208">
        <v>2050</v>
      </c>
      <c r="AL208" t="s">
        <v>156</v>
      </c>
      <c r="AM208">
        <v>0.41110000000000002</v>
      </c>
      <c r="AN208" t="s">
        <v>257</v>
      </c>
    </row>
    <row r="209" spans="9:40" x14ac:dyDescent="0.45">
      <c r="I209" t="s">
        <v>179</v>
      </c>
      <c r="J209" t="s">
        <v>283</v>
      </c>
      <c r="K209">
        <v>1.7969341669421646E-3</v>
      </c>
      <c r="L209" t="s">
        <v>164</v>
      </c>
      <c r="N209" t="s">
        <v>215</v>
      </c>
      <c r="O209" t="s">
        <v>283</v>
      </c>
      <c r="P209">
        <v>3.1350754580523811E-2</v>
      </c>
      <c r="Q209" t="s">
        <v>164</v>
      </c>
      <c r="S209" t="s">
        <v>242</v>
      </c>
      <c r="T209" t="s">
        <v>283</v>
      </c>
      <c r="U209">
        <v>8.014269158117264E-2</v>
      </c>
      <c r="V209" t="s">
        <v>164</v>
      </c>
      <c r="AK209">
        <v>2050</v>
      </c>
      <c r="AL209" t="s">
        <v>158</v>
      </c>
      <c r="AM209">
        <v>0.31440000000000001</v>
      </c>
      <c r="AN209" t="s">
        <v>257</v>
      </c>
    </row>
    <row r="210" spans="9:40" x14ac:dyDescent="0.45">
      <c r="I210" t="s">
        <v>179</v>
      </c>
      <c r="J210" t="s">
        <v>284</v>
      </c>
      <c r="K210">
        <v>6.1693613265023657E-2</v>
      </c>
      <c r="L210" t="s">
        <v>164</v>
      </c>
      <c r="N210" t="s">
        <v>215</v>
      </c>
      <c r="O210" t="s">
        <v>284</v>
      </c>
      <c r="P210">
        <v>1.9392819830221054E-2</v>
      </c>
      <c r="Q210" t="s">
        <v>164</v>
      </c>
      <c r="S210" t="s">
        <v>242</v>
      </c>
      <c r="T210" t="s">
        <v>284</v>
      </c>
      <c r="U210">
        <v>7.206374433214835E-2</v>
      </c>
      <c r="V210" t="s">
        <v>164</v>
      </c>
      <c r="AK210">
        <v>2050</v>
      </c>
      <c r="AL210" t="s">
        <v>160</v>
      </c>
      <c r="AM210">
        <v>0.2898</v>
      </c>
      <c r="AN210" t="s">
        <v>257</v>
      </c>
    </row>
    <row r="211" spans="9:40" x14ac:dyDescent="0.45">
      <c r="I211" t="s">
        <v>179</v>
      </c>
      <c r="J211" t="s">
        <v>285</v>
      </c>
      <c r="K211">
        <v>3.6050179697154241E-3</v>
      </c>
      <c r="L211" t="s">
        <v>164</v>
      </c>
      <c r="N211" t="s">
        <v>215</v>
      </c>
      <c r="O211" t="s">
        <v>285</v>
      </c>
      <c r="P211">
        <v>1.5238573479822812E-3</v>
      </c>
      <c r="Q211" t="s">
        <v>164</v>
      </c>
      <c r="S211" t="s">
        <v>242</v>
      </c>
      <c r="T211" t="s">
        <v>285</v>
      </c>
      <c r="U211">
        <v>7.2300934917195738E-3</v>
      </c>
      <c r="V211" t="s">
        <v>164</v>
      </c>
      <c r="AK211">
        <v>2050</v>
      </c>
      <c r="AL211" t="s">
        <v>260</v>
      </c>
      <c r="AM211">
        <v>0.30890000000000001</v>
      </c>
      <c r="AN211" t="s">
        <v>257</v>
      </c>
    </row>
    <row r="212" spans="9:40" x14ac:dyDescent="0.45">
      <c r="I212" t="s">
        <v>179</v>
      </c>
      <c r="J212" t="s">
        <v>286</v>
      </c>
      <c r="K212">
        <v>2.1657416117135263E-3</v>
      </c>
      <c r="L212" t="s">
        <v>164</v>
      </c>
      <c r="N212" t="s">
        <v>215</v>
      </c>
      <c r="O212" t="s">
        <v>286</v>
      </c>
      <c r="P212">
        <v>7.3699103473176498E-3</v>
      </c>
      <c r="Q212" t="s">
        <v>164</v>
      </c>
      <c r="S212" t="s">
        <v>242</v>
      </c>
      <c r="T212" t="s">
        <v>286</v>
      </c>
      <c r="U212">
        <v>2.1964957626411073E-2</v>
      </c>
      <c r="V212" t="s">
        <v>164</v>
      </c>
      <c r="AK212">
        <v>2050</v>
      </c>
      <c r="AL212" t="s">
        <v>262</v>
      </c>
      <c r="AM212">
        <v>0.38779999999999998</v>
      </c>
      <c r="AN212" t="s">
        <v>257</v>
      </c>
    </row>
    <row r="213" spans="9:40" x14ac:dyDescent="0.45">
      <c r="I213" t="s">
        <v>179</v>
      </c>
      <c r="J213" t="s">
        <v>287</v>
      </c>
      <c r="K213">
        <v>0</v>
      </c>
      <c r="L213" t="s">
        <v>164</v>
      </c>
      <c r="N213" t="s">
        <v>215</v>
      </c>
      <c r="O213" t="s">
        <v>287</v>
      </c>
      <c r="P213">
        <v>6.6764263476799578E-3</v>
      </c>
      <c r="Q213" t="s">
        <v>164</v>
      </c>
      <c r="S213" t="s">
        <v>242</v>
      </c>
      <c r="T213" t="s">
        <v>287</v>
      </c>
      <c r="U213">
        <v>1.5510122975418773E-2</v>
      </c>
      <c r="V213" t="s">
        <v>164</v>
      </c>
      <c r="AK213">
        <v>2050</v>
      </c>
      <c r="AL213" t="s">
        <v>264</v>
      </c>
      <c r="AM213">
        <v>0.48444999999999999</v>
      </c>
      <c r="AN213" t="s">
        <v>257</v>
      </c>
    </row>
    <row r="214" spans="9:40" x14ac:dyDescent="0.45">
      <c r="I214" t="s">
        <v>179</v>
      </c>
      <c r="J214" t="s">
        <v>288</v>
      </c>
      <c r="K214">
        <v>0</v>
      </c>
      <c r="L214" t="s">
        <v>164</v>
      </c>
      <c r="N214" t="s">
        <v>215</v>
      </c>
      <c r="O214" t="s">
        <v>288</v>
      </c>
      <c r="P214">
        <v>3.7901211760362542E-3</v>
      </c>
      <c r="Q214" t="s">
        <v>164</v>
      </c>
      <c r="S214" t="s">
        <v>242</v>
      </c>
      <c r="T214" t="s">
        <v>288</v>
      </c>
      <c r="U214">
        <v>8.5284867380242164E-3</v>
      </c>
      <c r="V214" t="s">
        <v>164</v>
      </c>
    </row>
    <row r="215" spans="9:40" x14ac:dyDescent="0.45">
      <c r="I215" t="s">
        <v>179</v>
      </c>
      <c r="J215" t="s">
        <v>289</v>
      </c>
      <c r="K215">
        <v>8.4937118395030427E-3</v>
      </c>
      <c r="L215" t="s">
        <v>164</v>
      </c>
      <c r="N215" t="s">
        <v>215</v>
      </c>
      <c r="O215" t="s">
        <v>289</v>
      </c>
      <c r="P215">
        <v>0.13500019028882251</v>
      </c>
      <c r="Q215" t="s">
        <v>164</v>
      </c>
      <c r="S215" t="s">
        <v>242</v>
      </c>
      <c r="T215" t="s">
        <v>289</v>
      </c>
      <c r="U215">
        <v>0.10003403048089853</v>
      </c>
      <c r="V215" t="s">
        <v>164</v>
      </c>
    </row>
    <row r="216" spans="9:40" x14ac:dyDescent="0.45">
      <c r="I216" t="s">
        <v>179</v>
      </c>
      <c r="J216" t="s">
        <v>290</v>
      </c>
      <c r="K216">
        <v>0.31250826589505615</v>
      </c>
      <c r="L216" t="s">
        <v>164</v>
      </c>
      <c r="N216" t="s">
        <v>215</v>
      </c>
      <c r="O216" t="s">
        <v>290</v>
      </c>
      <c r="P216">
        <v>4.0387319868742125E-2</v>
      </c>
      <c r="Q216" t="s">
        <v>164</v>
      </c>
      <c r="S216" t="s">
        <v>242</v>
      </c>
      <c r="T216" t="s">
        <v>290</v>
      </c>
      <c r="U216">
        <v>8.9021220223075181E-2</v>
      </c>
      <c r="V216" t="s">
        <v>164</v>
      </c>
    </row>
    <row r="217" spans="9:40" x14ac:dyDescent="0.45">
      <c r="I217" t="s">
        <v>179</v>
      </c>
      <c r="J217" t="s">
        <v>291</v>
      </c>
      <c r="K217">
        <v>1.385358398238873E-2</v>
      </c>
      <c r="L217" t="s">
        <v>164</v>
      </c>
      <c r="N217" t="s">
        <v>215</v>
      </c>
      <c r="O217" t="s">
        <v>291</v>
      </c>
      <c r="P217">
        <v>4.3526301403640465E-3</v>
      </c>
      <c r="Q217" t="s">
        <v>164</v>
      </c>
      <c r="S217" t="s">
        <v>242</v>
      </c>
      <c r="T217" t="s">
        <v>291</v>
      </c>
      <c r="U217">
        <v>1.0668981315344959E-2</v>
      </c>
      <c r="V217" t="s">
        <v>164</v>
      </c>
    </row>
    <row r="218" spans="9:40" x14ac:dyDescent="0.45">
      <c r="I218" t="s">
        <v>179</v>
      </c>
      <c r="J218" t="s">
        <v>292</v>
      </c>
      <c r="K218">
        <v>1.2155624665689639E-3</v>
      </c>
      <c r="L218" t="s">
        <v>164</v>
      </c>
      <c r="N218" t="s">
        <v>215</v>
      </c>
      <c r="O218" t="s">
        <v>292</v>
      </c>
      <c r="P218">
        <v>3.5485617401619651E-2</v>
      </c>
      <c r="Q218" t="s">
        <v>164</v>
      </c>
      <c r="S218" t="s">
        <v>242</v>
      </c>
      <c r="T218" t="s">
        <v>292</v>
      </c>
      <c r="U218">
        <v>2.9374522623716575E-2</v>
      </c>
      <c r="V218" t="s">
        <v>164</v>
      </c>
    </row>
    <row r="219" spans="9:40" x14ac:dyDescent="0.45">
      <c r="I219" t="s">
        <v>179</v>
      </c>
      <c r="J219" t="s">
        <v>293</v>
      </c>
      <c r="K219">
        <v>0</v>
      </c>
      <c r="L219" t="s">
        <v>164</v>
      </c>
      <c r="N219" t="s">
        <v>215</v>
      </c>
      <c r="O219" t="s">
        <v>293</v>
      </c>
      <c r="P219">
        <v>3.5088853395591167E-2</v>
      </c>
      <c r="Q219" t="s">
        <v>164</v>
      </c>
      <c r="S219" t="s">
        <v>242</v>
      </c>
      <c r="T219" t="s">
        <v>293</v>
      </c>
      <c r="U219">
        <v>1.9853875163469939E-2</v>
      </c>
      <c r="V219" t="s">
        <v>164</v>
      </c>
    </row>
    <row r="220" spans="9:40" x14ac:dyDescent="0.45">
      <c r="I220" t="s">
        <v>179</v>
      </c>
      <c r="J220" t="s">
        <v>294</v>
      </c>
      <c r="K220">
        <v>0</v>
      </c>
      <c r="L220" t="s">
        <v>164</v>
      </c>
      <c r="N220" t="s">
        <v>215</v>
      </c>
      <c r="O220" t="s">
        <v>294</v>
      </c>
      <c r="P220">
        <v>1.8918466230089616E-2</v>
      </c>
      <c r="Q220" t="s">
        <v>164</v>
      </c>
      <c r="S220" t="s">
        <v>242</v>
      </c>
      <c r="T220" t="s">
        <v>294</v>
      </c>
      <c r="U220">
        <v>1.1341127756533185E-2</v>
      </c>
      <c r="V220" t="s">
        <v>164</v>
      </c>
    </row>
    <row r="221" spans="9:40" x14ac:dyDescent="0.45">
      <c r="I221" t="s">
        <v>180</v>
      </c>
      <c r="J221" t="s">
        <v>163</v>
      </c>
      <c r="K221">
        <v>5.5852465524363062E-3</v>
      </c>
      <c r="L221" t="s">
        <v>164</v>
      </c>
      <c r="N221" t="s">
        <v>216</v>
      </c>
      <c r="O221" t="s">
        <v>163</v>
      </c>
      <c r="P221">
        <v>0.10612576838151612</v>
      </c>
      <c r="Q221" t="s">
        <v>164</v>
      </c>
      <c r="S221" t="s">
        <v>243</v>
      </c>
      <c r="T221" t="s">
        <v>163</v>
      </c>
      <c r="U221">
        <v>4.1387098875048163E-2</v>
      </c>
      <c r="V221" t="s">
        <v>164</v>
      </c>
    </row>
    <row r="222" spans="9:40" x14ac:dyDescent="0.45">
      <c r="I222" t="s">
        <v>180</v>
      </c>
      <c r="J222" t="s">
        <v>165</v>
      </c>
      <c r="K222">
        <v>0.17352784227542997</v>
      </c>
      <c r="L222" t="s">
        <v>164</v>
      </c>
      <c r="N222" t="s">
        <v>216</v>
      </c>
      <c r="O222" t="s">
        <v>165</v>
      </c>
      <c r="P222">
        <v>2.0299206749754623E-2</v>
      </c>
      <c r="Q222" t="s">
        <v>164</v>
      </c>
      <c r="S222" t="s">
        <v>243</v>
      </c>
      <c r="T222" t="s">
        <v>165</v>
      </c>
      <c r="U222">
        <v>2.2147106309721887E-2</v>
      </c>
      <c r="V222" t="s">
        <v>164</v>
      </c>
    </row>
    <row r="223" spans="9:40" x14ac:dyDescent="0.45">
      <c r="I223" t="s">
        <v>180</v>
      </c>
      <c r="J223" t="s">
        <v>166</v>
      </c>
      <c r="K223">
        <v>1.0867456422728296E-2</v>
      </c>
      <c r="L223" t="s">
        <v>164</v>
      </c>
      <c r="N223" t="s">
        <v>216</v>
      </c>
      <c r="O223" t="s">
        <v>166</v>
      </c>
      <c r="P223">
        <v>3.2993839401393625E-3</v>
      </c>
      <c r="Q223" t="s">
        <v>164</v>
      </c>
      <c r="S223" t="s">
        <v>243</v>
      </c>
      <c r="T223" t="s">
        <v>166</v>
      </c>
      <c r="U223">
        <v>3.6774241280974986E-3</v>
      </c>
      <c r="V223" t="s">
        <v>164</v>
      </c>
    </row>
    <row r="224" spans="9:40" x14ac:dyDescent="0.45">
      <c r="I224" t="s">
        <v>180</v>
      </c>
      <c r="J224" t="s">
        <v>265</v>
      </c>
      <c r="K224">
        <v>5.2438925198000398E-3</v>
      </c>
      <c r="L224" t="s">
        <v>164</v>
      </c>
      <c r="N224" t="s">
        <v>216</v>
      </c>
      <c r="O224" t="s">
        <v>265</v>
      </c>
      <c r="P224">
        <v>3.6656624611662976E-2</v>
      </c>
      <c r="Q224" t="s">
        <v>164</v>
      </c>
      <c r="S224" t="s">
        <v>243</v>
      </c>
      <c r="T224" t="s">
        <v>265</v>
      </c>
      <c r="U224">
        <v>1.271942088730499E-2</v>
      </c>
      <c r="V224" t="s">
        <v>164</v>
      </c>
    </row>
    <row r="225" spans="9:22" x14ac:dyDescent="0.45">
      <c r="I225" t="s">
        <v>180</v>
      </c>
      <c r="J225" t="s">
        <v>266</v>
      </c>
      <c r="K225">
        <v>0</v>
      </c>
      <c r="L225" t="s">
        <v>164</v>
      </c>
      <c r="N225" t="s">
        <v>216</v>
      </c>
      <c r="O225" t="s">
        <v>266</v>
      </c>
      <c r="P225">
        <v>3.1531515111700999E-2</v>
      </c>
      <c r="Q225" t="s">
        <v>164</v>
      </c>
      <c r="S225" t="s">
        <v>243</v>
      </c>
      <c r="T225" t="s">
        <v>266</v>
      </c>
      <c r="U225">
        <v>9.8409966233083714E-3</v>
      </c>
      <c r="V225" t="s">
        <v>164</v>
      </c>
    </row>
    <row r="226" spans="9:22" x14ac:dyDescent="0.45">
      <c r="I226" t="s">
        <v>180</v>
      </c>
      <c r="J226" t="s">
        <v>267</v>
      </c>
      <c r="K226">
        <v>0</v>
      </c>
      <c r="L226" t="s">
        <v>164</v>
      </c>
      <c r="N226" t="s">
        <v>216</v>
      </c>
      <c r="O226" t="s">
        <v>267</v>
      </c>
      <c r="P226">
        <v>1.6295224046728445E-2</v>
      </c>
      <c r="Q226" t="s">
        <v>164</v>
      </c>
      <c r="S226" t="s">
        <v>243</v>
      </c>
      <c r="T226" t="s">
        <v>267</v>
      </c>
      <c r="U226">
        <v>5.3191689461521011E-3</v>
      </c>
      <c r="V226" t="s">
        <v>164</v>
      </c>
    </row>
    <row r="227" spans="9:22" x14ac:dyDescent="0.45">
      <c r="I227" t="s">
        <v>180</v>
      </c>
      <c r="J227" t="s">
        <v>167</v>
      </c>
      <c r="K227">
        <v>3.395602451126837E-3</v>
      </c>
      <c r="L227" t="s">
        <v>164</v>
      </c>
      <c r="N227" t="s">
        <v>216</v>
      </c>
      <c r="O227" t="s">
        <v>167</v>
      </c>
      <c r="P227">
        <v>7.9700539591740227E-2</v>
      </c>
      <c r="Q227" t="s">
        <v>164</v>
      </c>
      <c r="S227" t="s">
        <v>243</v>
      </c>
      <c r="T227" t="s">
        <v>167</v>
      </c>
      <c r="U227">
        <v>1.8939455354792488E-2</v>
      </c>
      <c r="V227" t="s">
        <v>164</v>
      </c>
    </row>
    <row r="228" spans="9:22" x14ac:dyDescent="0.45">
      <c r="I228" t="s">
        <v>180</v>
      </c>
      <c r="J228" t="s">
        <v>168</v>
      </c>
      <c r="K228">
        <v>8.818829675635903E-2</v>
      </c>
      <c r="L228" t="s">
        <v>164</v>
      </c>
      <c r="N228" t="s">
        <v>216</v>
      </c>
      <c r="O228" t="s">
        <v>168</v>
      </c>
      <c r="P228">
        <v>1.4323893636182469E-2</v>
      </c>
      <c r="Q228" t="s">
        <v>164</v>
      </c>
      <c r="S228" t="s">
        <v>243</v>
      </c>
      <c r="T228" t="s">
        <v>168</v>
      </c>
      <c r="U228">
        <v>1.9338571863511411E-2</v>
      </c>
      <c r="V228" t="s">
        <v>164</v>
      </c>
    </row>
    <row r="229" spans="9:22" x14ac:dyDescent="0.45">
      <c r="I229" t="s">
        <v>180</v>
      </c>
      <c r="J229" t="s">
        <v>169</v>
      </c>
      <c r="K229">
        <v>5.0919602462311982E-3</v>
      </c>
      <c r="L229" t="s">
        <v>164</v>
      </c>
      <c r="N229" t="s">
        <v>216</v>
      </c>
      <c r="O229" t="s">
        <v>169</v>
      </c>
      <c r="P229">
        <v>8.2127937921790627E-4</v>
      </c>
      <c r="Q229" t="s">
        <v>164</v>
      </c>
      <c r="S229" t="s">
        <v>243</v>
      </c>
      <c r="T229" t="s">
        <v>169</v>
      </c>
      <c r="U229">
        <v>1.7307624514996595E-3</v>
      </c>
      <c r="V229" t="s">
        <v>164</v>
      </c>
    </row>
    <row r="230" spans="9:22" x14ac:dyDescent="0.45">
      <c r="I230" t="s">
        <v>180</v>
      </c>
      <c r="J230" t="s">
        <v>268</v>
      </c>
      <c r="K230">
        <v>2.4669383342647145E-3</v>
      </c>
      <c r="L230" t="s">
        <v>164</v>
      </c>
      <c r="N230" t="s">
        <v>216</v>
      </c>
      <c r="O230" t="s">
        <v>268</v>
      </c>
      <c r="P230">
        <v>1.3548168585100093E-2</v>
      </c>
      <c r="Q230" t="s">
        <v>164</v>
      </c>
      <c r="S230" t="s">
        <v>243</v>
      </c>
      <c r="T230" t="s">
        <v>268</v>
      </c>
      <c r="U230">
        <v>5.382063943056588E-3</v>
      </c>
      <c r="V230" t="s">
        <v>164</v>
      </c>
    </row>
    <row r="231" spans="9:22" x14ac:dyDescent="0.45">
      <c r="I231" t="s">
        <v>180</v>
      </c>
      <c r="J231" t="s">
        <v>269</v>
      </c>
      <c r="K231">
        <v>0</v>
      </c>
      <c r="L231" t="s">
        <v>164</v>
      </c>
      <c r="N231" t="s">
        <v>216</v>
      </c>
      <c r="O231" t="s">
        <v>269</v>
      </c>
      <c r="P231">
        <v>1.5568919072719154E-2</v>
      </c>
      <c r="Q231" t="s">
        <v>164</v>
      </c>
      <c r="S231" t="s">
        <v>243</v>
      </c>
      <c r="T231" t="s">
        <v>269</v>
      </c>
      <c r="U231">
        <v>3.8812772808862854E-3</v>
      </c>
      <c r="V231" t="s">
        <v>164</v>
      </c>
    </row>
    <row r="232" spans="9:22" x14ac:dyDescent="0.45">
      <c r="I232" t="s">
        <v>180</v>
      </c>
      <c r="J232" t="s">
        <v>270</v>
      </c>
      <c r="K232">
        <v>0</v>
      </c>
      <c r="L232" t="s">
        <v>164</v>
      </c>
      <c r="N232" t="s">
        <v>216</v>
      </c>
      <c r="O232" t="s">
        <v>270</v>
      </c>
      <c r="P232">
        <v>9.6806049752153536E-3</v>
      </c>
      <c r="Q232" t="s">
        <v>164</v>
      </c>
      <c r="S232" t="s">
        <v>243</v>
      </c>
      <c r="T232" t="s">
        <v>270</v>
      </c>
      <c r="U232">
        <v>1.8049907396059952E-3</v>
      </c>
      <c r="V232" t="s">
        <v>164</v>
      </c>
    </row>
    <row r="233" spans="9:22" x14ac:dyDescent="0.45">
      <c r="I233" t="s">
        <v>180</v>
      </c>
      <c r="J233" t="s">
        <v>170</v>
      </c>
      <c r="K233">
        <v>3.7931751255241056E-3</v>
      </c>
      <c r="L233" t="s">
        <v>164</v>
      </c>
      <c r="N233" t="s">
        <v>216</v>
      </c>
      <c r="O233" t="s">
        <v>170</v>
      </c>
      <c r="P233">
        <v>4.7329285684486036E-2</v>
      </c>
      <c r="Q233" t="s">
        <v>164</v>
      </c>
      <c r="S233" t="s">
        <v>243</v>
      </c>
      <c r="T233" t="s">
        <v>170</v>
      </c>
      <c r="U233">
        <v>1.0223317036149468E-2</v>
      </c>
      <c r="V233" t="s">
        <v>164</v>
      </c>
    </row>
    <row r="234" spans="9:22" x14ac:dyDescent="0.45">
      <c r="I234" t="s">
        <v>180</v>
      </c>
      <c r="J234" t="s">
        <v>171</v>
      </c>
      <c r="K234">
        <v>7.4400914004657967E-2</v>
      </c>
      <c r="L234" t="s">
        <v>164</v>
      </c>
      <c r="N234" t="s">
        <v>216</v>
      </c>
      <c r="O234" t="s">
        <v>171</v>
      </c>
      <c r="P234">
        <v>1.0241146194151727E-2</v>
      </c>
      <c r="Q234" t="s">
        <v>164</v>
      </c>
      <c r="S234" t="s">
        <v>243</v>
      </c>
      <c r="T234" t="s">
        <v>171</v>
      </c>
      <c r="U234">
        <v>9.9499247432248902E-3</v>
      </c>
      <c r="V234" t="s">
        <v>164</v>
      </c>
    </row>
    <row r="235" spans="9:22" x14ac:dyDescent="0.45">
      <c r="I235" t="s">
        <v>180</v>
      </c>
      <c r="J235" t="s">
        <v>172</v>
      </c>
      <c r="K235">
        <v>3.4607630727918762E-3</v>
      </c>
      <c r="L235" t="s">
        <v>164</v>
      </c>
      <c r="N235" t="s">
        <v>216</v>
      </c>
      <c r="O235" t="s">
        <v>172</v>
      </c>
      <c r="P235">
        <v>1.1376870511840391E-3</v>
      </c>
      <c r="Q235" t="s">
        <v>164</v>
      </c>
      <c r="S235" t="s">
        <v>243</v>
      </c>
      <c r="T235" t="s">
        <v>172</v>
      </c>
      <c r="U235">
        <v>1.8193596579075262E-3</v>
      </c>
      <c r="V235" t="s">
        <v>164</v>
      </c>
    </row>
    <row r="236" spans="9:22" x14ac:dyDescent="0.45">
      <c r="I236" t="s">
        <v>180</v>
      </c>
      <c r="J236" t="s">
        <v>271</v>
      </c>
      <c r="K236">
        <v>1.7466119403731744E-3</v>
      </c>
      <c r="L236" t="s">
        <v>164</v>
      </c>
      <c r="N236" t="s">
        <v>216</v>
      </c>
      <c r="O236" t="s">
        <v>271</v>
      </c>
      <c r="P236">
        <v>1.4663849185710377E-2</v>
      </c>
      <c r="Q236" t="s">
        <v>164</v>
      </c>
      <c r="S236" t="s">
        <v>243</v>
      </c>
      <c r="T236" t="s">
        <v>271</v>
      </c>
      <c r="U236">
        <v>4.7911417667382047E-3</v>
      </c>
      <c r="V236" t="s">
        <v>164</v>
      </c>
    </row>
    <row r="237" spans="9:22" x14ac:dyDescent="0.45">
      <c r="I237" t="s">
        <v>180</v>
      </c>
      <c r="J237" t="s">
        <v>272</v>
      </c>
      <c r="K237">
        <v>0</v>
      </c>
      <c r="L237" t="s">
        <v>164</v>
      </c>
      <c r="N237" t="s">
        <v>216</v>
      </c>
      <c r="O237" t="s">
        <v>272</v>
      </c>
      <c r="P237">
        <v>1.2299958771780252E-2</v>
      </c>
      <c r="Q237" t="s">
        <v>164</v>
      </c>
      <c r="S237" t="s">
        <v>243</v>
      </c>
      <c r="T237" t="s">
        <v>272</v>
      </c>
      <c r="U237">
        <v>3.2500097048669572E-3</v>
      </c>
      <c r="V237" t="s">
        <v>164</v>
      </c>
    </row>
    <row r="238" spans="9:22" x14ac:dyDescent="0.45">
      <c r="I238" t="s">
        <v>180</v>
      </c>
      <c r="J238" t="s">
        <v>273</v>
      </c>
      <c r="K238">
        <v>0</v>
      </c>
      <c r="L238" t="s">
        <v>164</v>
      </c>
      <c r="N238" t="s">
        <v>216</v>
      </c>
      <c r="O238" t="s">
        <v>273</v>
      </c>
      <c r="P238">
        <v>5.5639975238612003E-3</v>
      </c>
      <c r="Q238" t="s">
        <v>164</v>
      </c>
      <c r="S238" t="s">
        <v>243</v>
      </c>
      <c r="T238" t="s">
        <v>273</v>
      </c>
      <c r="U238">
        <v>1.8833793238861173E-3</v>
      </c>
      <c r="V238" t="s">
        <v>164</v>
      </c>
    </row>
    <row r="239" spans="9:22" x14ac:dyDescent="0.45">
      <c r="I239" t="s">
        <v>180</v>
      </c>
      <c r="J239" t="s">
        <v>173</v>
      </c>
      <c r="K239">
        <v>5.6605503313665786E-3</v>
      </c>
      <c r="L239" t="s">
        <v>164</v>
      </c>
      <c r="N239" t="s">
        <v>216</v>
      </c>
      <c r="O239" t="s">
        <v>173</v>
      </c>
      <c r="P239">
        <v>9.7169559260658664E-2</v>
      </c>
      <c r="Q239" t="s">
        <v>164</v>
      </c>
      <c r="S239" t="s">
        <v>243</v>
      </c>
      <c r="T239" t="s">
        <v>173</v>
      </c>
      <c r="U239">
        <v>5.3239896959334967E-2</v>
      </c>
      <c r="V239" t="s">
        <v>164</v>
      </c>
    </row>
    <row r="240" spans="9:22" x14ac:dyDescent="0.45">
      <c r="I240" t="s">
        <v>180</v>
      </c>
      <c r="J240" t="s">
        <v>174</v>
      </c>
      <c r="K240">
        <v>0.13195945499590506</v>
      </c>
      <c r="L240" t="s">
        <v>164</v>
      </c>
      <c r="N240" t="s">
        <v>216</v>
      </c>
      <c r="O240" t="s">
        <v>174</v>
      </c>
      <c r="P240">
        <v>3.4875040600759188E-2</v>
      </c>
      <c r="Q240" t="s">
        <v>164</v>
      </c>
      <c r="S240" t="s">
        <v>243</v>
      </c>
      <c r="T240" t="s">
        <v>174</v>
      </c>
      <c r="U240">
        <v>4.8422033350140871E-2</v>
      </c>
      <c r="V240" t="s">
        <v>164</v>
      </c>
    </row>
    <row r="241" spans="9:22" x14ac:dyDescent="0.45">
      <c r="I241" t="s">
        <v>180</v>
      </c>
      <c r="J241" t="s">
        <v>175</v>
      </c>
      <c r="K241">
        <v>5.4149426141164997E-3</v>
      </c>
      <c r="L241" t="s">
        <v>164</v>
      </c>
      <c r="N241" t="s">
        <v>216</v>
      </c>
      <c r="O241" t="s">
        <v>175</v>
      </c>
      <c r="P241">
        <v>2.8694147830409214E-3</v>
      </c>
      <c r="Q241" t="s">
        <v>164</v>
      </c>
      <c r="S241" t="s">
        <v>243</v>
      </c>
      <c r="T241" t="s">
        <v>175</v>
      </c>
      <c r="U241">
        <v>5.8573823283025192E-3</v>
      </c>
      <c r="V241" t="s">
        <v>164</v>
      </c>
    </row>
    <row r="242" spans="9:22" x14ac:dyDescent="0.45">
      <c r="I242" t="s">
        <v>180</v>
      </c>
      <c r="J242" t="s">
        <v>274</v>
      </c>
      <c r="K242">
        <v>2.5616194341540146E-3</v>
      </c>
      <c r="L242" t="s">
        <v>164</v>
      </c>
      <c r="N242" t="s">
        <v>216</v>
      </c>
      <c r="O242" t="s">
        <v>274</v>
      </c>
      <c r="P242">
        <v>2.2482040306573886E-2</v>
      </c>
      <c r="Q242" t="s">
        <v>164</v>
      </c>
      <c r="S242" t="s">
        <v>243</v>
      </c>
      <c r="T242" t="s">
        <v>274</v>
      </c>
      <c r="U242">
        <v>1.8818243882768218E-2</v>
      </c>
      <c r="V242" t="s">
        <v>164</v>
      </c>
    </row>
    <row r="243" spans="9:22" x14ac:dyDescent="0.45">
      <c r="I243" t="s">
        <v>180</v>
      </c>
      <c r="J243" t="s">
        <v>275</v>
      </c>
      <c r="K243">
        <v>0</v>
      </c>
      <c r="L243" t="s">
        <v>164</v>
      </c>
      <c r="N243" t="s">
        <v>216</v>
      </c>
      <c r="O243" t="s">
        <v>275</v>
      </c>
      <c r="P243">
        <v>1.8272935284916112E-2</v>
      </c>
      <c r="Q243" t="s">
        <v>164</v>
      </c>
      <c r="S243" t="s">
        <v>243</v>
      </c>
      <c r="T243" t="s">
        <v>275</v>
      </c>
      <c r="U243">
        <v>1.5610797646071775E-2</v>
      </c>
      <c r="V243" t="s">
        <v>164</v>
      </c>
    </row>
    <row r="244" spans="9:22" x14ac:dyDescent="0.45">
      <c r="I244" t="s">
        <v>180</v>
      </c>
      <c r="J244" t="s">
        <v>276</v>
      </c>
      <c r="K244">
        <v>0</v>
      </c>
      <c r="L244" t="s">
        <v>164</v>
      </c>
      <c r="N244" t="s">
        <v>216</v>
      </c>
      <c r="O244" t="s">
        <v>276</v>
      </c>
      <c r="P244">
        <v>8.1524689605972454E-3</v>
      </c>
      <c r="Q244" t="s">
        <v>164</v>
      </c>
      <c r="S244" t="s">
        <v>243</v>
      </c>
      <c r="T244" t="s">
        <v>276</v>
      </c>
      <c r="U244">
        <v>8.6785529015368339E-3</v>
      </c>
      <c r="V244" t="s">
        <v>164</v>
      </c>
    </row>
    <row r="245" spans="9:22" x14ac:dyDescent="0.45">
      <c r="I245" t="s">
        <v>180</v>
      </c>
      <c r="J245" t="s">
        <v>277</v>
      </c>
      <c r="K245">
        <v>2.0188395304514377E-3</v>
      </c>
      <c r="L245" t="s">
        <v>164</v>
      </c>
      <c r="N245" t="s">
        <v>216</v>
      </c>
      <c r="O245" t="s">
        <v>277</v>
      </c>
      <c r="P245">
        <v>3.563817409520309E-2</v>
      </c>
      <c r="Q245" t="s">
        <v>164</v>
      </c>
      <c r="S245" t="s">
        <v>243</v>
      </c>
      <c r="T245" t="s">
        <v>277</v>
      </c>
      <c r="U245">
        <v>7.3066468435575099E-2</v>
      </c>
      <c r="V245" t="s">
        <v>164</v>
      </c>
    </row>
    <row r="246" spans="9:22" x14ac:dyDescent="0.45">
      <c r="I246" t="s">
        <v>180</v>
      </c>
      <c r="J246" t="s">
        <v>278</v>
      </c>
      <c r="K246">
        <v>5.6958983712467388E-2</v>
      </c>
      <c r="L246" t="s">
        <v>164</v>
      </c>
      <c r="N246" t="s">
        <v>216</v>
      </c>
      <c r="O246" t="s">
        <v>278</v>
      </c>
      <c r="P246">
        <v>1.516903986740176E-2</v>
      </c>
      <c r="Q246" t="s">
        <v>164</v>
      </c>
      <c r="S246" t="s">
        <v>243</v>
      </c>
      <c r="T246" t="s">
        <v>278</v>
      </c>
      <c r="U246">
        <v>7.1631687508866643E-2</v>
      </c>
      <c r="V246" t="s">
        <v>164</v>
      </c>
    </row>
    <row r="247" spans="9:22" x14ac:dyDescent="0.45">
      <c r="I247" t="s">
        <v>180</v>
      </c>
      <c r="J247" t="s">
        <v>279</v>
      </c>
      <c r="K247">
        <v>3.2009625818023519E-3</v>
      </c>
      <c r="L247" t="s">
        <v>164</v>
      </c>
      <c r="N247" t="s">
        <v>216</v>
      </c>
      <c r="O247" t="s">
        <v>279</v>
      </c>
      <c r="P247">
        <v>6.3233916953350669E-4</v>
      </c>
      <c r="Q247" t="s">
        <v>164</v>
      </c>
      <c r="S247" t="s">
        <v>243</v>
      </c>
      <c r="T247" t="s">
        <v>279</v>
      </c>
      <c r="U247">
        <v>7.8754422368309714E-3</v>
      </c>
      <c r="V247" t="s">
        <v>164</v>
      </c>
    </row>
    <row r="248" spans="9:22" x14ac:dyDescent="0.45">
      <c r="I248" t="s">
        <v>180</v>
      </c>
      <c r="J248" t="s">
        <v>280</v>
      </c>
      <c r="K248">
        <v>1.784198673426796E-3</v>
      </c>
      <c r="L248" t="s">
        <v>164</v>
      </c>
      <c r="N248" t="s">
        <v>216</v>
      </c>
      <c r="O248" t="s">
        <v>280</v>
      </c>
      <c r="P248">
        <v>7.1833087115295803E-3</v>
      </c>
      <c r="Q248" t="s">
        <v>164</v>
      </c>
      <c r="S248" t="s">
        <v>243</v>
      </c>
      <c r="T248" t="s">
        <v>280</v>
      </c>
      <c r="U248">
        <v>2.3205749749524999E-2</v>
      </c>
      <c r="V248" t="s">
        <v>164</v>
      </c>
    </row>
    <row r="249" spans="9:22" x14ac:dyDescent="0.45">
      <c r="I249" t="s">
        <v>180</v>
      </c>
      <c r="J249" t="s">
        <v>281</v>
      </c>
      <c r="K249">
        <v>0</v>
      </c>
      <c r="L249" t="s">
        <v>164</v>
      </c>
      <c r="N249" t="s">
        <v>216</v>
      </c>
      <c r="O249" t="s">
        <v>281</v>
      </c>
      <c r="P249">
        <v>6.8713780975685895E-3</v>
      </c>
      <c r="Q249" t="s">
        <v>164</v>
      </c>
      <c r="S249" t="s">
        <v>243</v>
      </c>
      <c r="T249" t="s">
        <v>281</v>
      </c>
      <c r="U249">
        <v>1.5726348455540804E-2</v>
      </c>
      <c r="V249" t="s">
        <v>164</v>
      </c>
    </row>
    <row r="250" spans="9:22" x14ac:dyDescent="0.45">
      <c r="I250" t="s">
        <v>180</v>
      </c>
      <c r="J250" t="s">
        <v>282</v>
      </c>
      <c r="K250">
        <v>0</v>
      </c>
      <c r="L250" t="s">
        <v>164</v>
      </c>
      <c r="N250" t="s">
        <v>216</v>
      </c>
      <c r="O250" t="s">
        <v>282</v>
      </c>
      <c r="P250">
        <v>3.4010958481526013E-3</v>
      </c>
      <c r="Q250" t="s">
        <v>164</v>
      </c>
      <c r="S250" t="s">
        <v>243</v>
      </c>
      <c r="T250" t="s">
        <v>282</v>
      </c>
      <c r="U250">
        <v>8.7430551207413488E-3</v>
      </c>
      <c r="V250" t="s">
        <v>164</v>
      </c>
    </row>
    <row r="251" spans="9:22" x14ac:dyDescent="0.45">
      <c r="I251" t="s">
        <v>180</v>
      </c>
      <c r="J251" t="s">
        <v>283</v>
      </c>
      <c r="K251">
        <v>2.9497594220699447E-3</v>
      </c>
      <c r="L251" t="s">
        <v>164</v>
      </c>
      <c r="N251" t="s">
        <v>216</v>
      </c>
      <c r="O251" t="s">
        <v>283</v>
      </c>
      <c r="P251">
        <v>2.7684112926744556E-2</v>
      </c>
      <c r="Q251" t="s">
        <v>164</v>
      </c>
      <c r="S251" t="s">
        <v>243</v>
      </c>
      <c r="T251" t="s">
        <v>283</v>
      </c>
      <c r="U251">
        <v>7.9440796869129249E-2</v>
      </c>
      <c r="V251" t="s">
        <v>164</v>
      </c>
    </row>
    <row r="252" spans="9:22" x14ac:dyDescent="0.45">
      <c r="I252" t="s">
        <v>180</v>
      </c>
      <c r="J252" t="s">
        <v>284</v>
      </c>
      <c r="K252">
        <v>6.7054599640917395E-2</v>
      </c>
      <c r="L252" t="s">
        <v>164</v>
      </c>
      <c r="N252" t="s">
        <v>216</v>
      </c>
      <c r="O252" t="s">
        <v>284</v>
      </c>
      <c r="P252">
        <v>1.9167559452069379E-2</v>
      </c>
      <c r="Q252" t="s">
        <v>164</v>
      </c>
      <c r="S252" t="s">
        <v>243</v>
      </c>
      <c r="T252" t="s">
        <v>284</v>
      </c>
      <c r="U252">
        <v>7.4562172392535736E-2</v>
      </c>
      <c r="V252" t="s">
        <v>164</v>
      </c>
    </row>
    <row r="253" spans="9:22" x14ac:dyDescent="0.45">
      <c r="I253" t="s">
        <v>180</v>
      </c>
      <c r="J253" t="s">
        <v>285</v>
      </c>
      <c r="K253">
        <v>4.2005653368138007E-3</v>
      </c>
      <c r="L253" t="s">
        <v>164</v>
      </c>
      <c r="N253" t="s">
        <v>216</v>
      </c>
      <c r="O253" t="s">
        <v>285</v>
      </c>
      <c r="P253">
        <v>1.0132184023775343E-3</v>
      </c>
      <c r="Q253" t="s">
        <v>164</v>
      </c>
      <c r="S253" t="s">
        <v>243</v>
      </c>
      <c r="T253" t="s">
        <v>285</v>
      </c>
      <c r="U253">
        <v>7.3854106310584176E-3</v>
      </c>
      <c r="V253" t="s">
        <v>164</v>
      </c>
    </row>
    <row r="254" spans="9:22" x14ac:dyDescent="0.45">
      <c r="I254" t="s">
        <v>180</v>
      </c>
      <c r="J254" t="s">
        <v>286</v>
      </c>
      <c r="K254">
        <v>2.4659222365516027E-3</v>
      </c>
      <c r="L254" t="s">
        <v>164</v>
      </c>
      <c r="N254" t="s">
        <v>216</v>
      </c>
      <c r="O254" t="s">
        <v>286</v>
      </c>
      <c r="P254">
        <v>5.1628777325386632E-3</v>
      </c>
      <c r="Q254" t="s">
        <v>164</v>
      </c>
      <c r="S254" t="s">
        <v>243</v>
      </c>
      <c r="T254" t="s">
        <v>286</v>
      </c>
      <c r="U254">
        <v>2.3275404276520365E-2</v>
      </c>
      <c r="V254" t="s">
        <v>164</v>
      </c>
    </row>
    <row r="255" spans="9:22" x14ac:dyDescent="0.45">
      <c r="I255" t="s">
        <v>180</v>
      </c>
      <c r="J255" t="s">
        <v>287</v>
      </c>
      <c r="K255">
        <v>0</v>
      </c>
      <c r="L255" t="s">
        <v>164</v>
      </c>
      <c r="N255" t="s">
        <v>216</v>
      </c>
      <c r="O255" t="s">
        <v>287</v>
      </c>
      <c r="P255">
        <v>4.4039046807811122E-3</v>
      </c>
      <c r="Q255" t="s">
        <v>164</v>
      </c>
      <c r="S255" t="s">
        <v>243</v>
      </c>
      <c r="T255" t="s">
        <v>287</v>
      </c>
      <c r="U255">
        <v>1.6079680042094046E-2</v>
      </c>
      <c r="V255" t="s">
        <v>164</v>
      </c>
    </row>
    <row r="256" spans="9:22" x14ac:dyDescent="0.45">
      <c r="I256" t="s">
        <v>180</v>
      </c>
      <c r="J256" t="s">
        <v>288</v>
      </c>
      <c r="K256">
        <v>0</v>
      </c>
      <c r="L256" t="s">
        <v>164</v>
      </c>
      <c r="N256" t="s">
        <v>216</v>
      </c>
      <c r="O256" t="s">
        <v>288</v>
      </c>
      <c r="P256">
        <v>2.4761452906446207E-3</v>
      </c>
      <c r="Q256" t="s">
        <v>164</v>
      </c>
      <c r="S256" t="s">
        <v>243</v>
      </c>
      <c r="T256" t="s">
        <v>288</v>
      </c>
      <c r="U256">
        <v>9.0010725712459105E-3</v>
      </c>
      <c r="V256" t="s">
        <v>164</v>
      </c>
    </row>
    <row r="257" spans="9:22" x14ac:dyDescent="0.45">
      <c r="I257" t="s">
        <v>180</v>
      </c>
      <c r="J257" t="s">
        <v>289</v>
      </c>
      <c r="K257">
        <v>1.3701379540802253E-2</v>
      </c>
      <c r="L257" t="s">
        <v>164</v>
      </c>
      <c r="N257" t="s">
        <v>216</v>
      </c>
      <c r="O257" t="s">
        <v>289</v>
      </c>
      <c r="P257">
        <v>0.12327308002990621</v>
      </c>
      <c r="Q257" t="s">
        <v>164</v>
      </c>
      <c r="S257" t="s">
        <v>243</v>
      </c>
      <c r="T257" t="s">
        <v>289</v>
      </c>
      <c r="U257">
        <v>9.2874650210361634E-2</v>
      </c>
      <c r="V257" t="s">
        <v>164</v>
      </c>
    </row>
    <row r="258" spans="9:22" x14ac:dyDescent="0.45">
      <c r="I258" t="s">
        <v>180</v>
      </c>
      <c r="J258" t="s">
        <v>290</v>
      </c>
      <c r="K258">
        <v>0.30698475921683782</v>
      </c>
      <c r="L258" t="s">
        <v>164</v>
      </c>
      <c r="N258" t="s">
        <v>216</v>
      </c>
      <c r="O258" t="s">
        <v>290</v>
      </c>
      <c r="P258">
        <v>2.8890224315881549E-2</v>
      </c>
      <c r="Q258" t="s">
        <v>164</v>
      </c>
      <c r="S258" t="s">
        <v>243</v>
      </c>
      <c r="T258" t="s">
        <v>290</v>
      </c>
      <c r="U258">
        <v>8.5786648823515832E-2</v>
      </c>
      <c r="V258" t="s">
        <v>164</v>
      </c>
    </row>
    <row r="259" spans="9:22" x14ac:dyDescent="0.45">
      <c r="I259" t="s">
        <v>180</v>
      </c>
      <c r="J259" t="s">
        <v>291</v>
      </c>
      <c r="K259">
        <v>1.38962217049097E-2</v>
      </c>
      <c r="L259" t="s">
        <v>164</v>
      </c>
      <c r="N259" t="s">
        <v>216</v>
      </c>
      <c r="O259" t="s">
        <v>291</v>
      </c>
      <c r="P259">
        <v>5.6856841301298157E-3</v>
      </c>
      <c r="Q259" t="s">
        <v>164</v>
      </c>
      <c r="S259" t="s">
        <v>243</v>
      </c>
      <c r="T259" t="s">
        <v>291</v>
      </c>
      <c r="U259">
        <v>1.1705496119233719E-2</v>
      </c>
      <c r="V259" t="s">
        <v>164</v>
      </c>
    </row>
    <row r="260" spans="9:22" x14ac:dyDescent="0.45">
      <c r="I260" t="s">
        <v>180</v>
      </c>
      <c r="J260" t="s">
        <v>292</v>
      </c>
      <c r="K260">
        <v>1.4185413256867113E-3</v>
      </c>
      <c r="L260" t="s">
        <v>164</v>
      </c>
      <c r="N260" t="s">
        <v>216</v>
      </c>
      <c r="O260" t="s">
        <v>292</v>
      </c>
      <c r="P260">
        <v>4.4604667702165826E-2</v>
      </c>
      <c r="Q260" t="s">
        <v>164</v>
      </c>
      <c r="S260" t="s">
        <v>243</v>
      </c>
      <c r="T260" t="s">
        <v>292</v>
      </c>
      <c r="U260">
        <v>3.335640724478766E-2</v>
      </c>
      <c r="V260" t="s">
        <v>164</v>
      </c>
    </row>
    <row r="261" spans="9:22" x14ac:dyDescent="0.45">
      <c r="I261" t="s">
        <v>180</v>
      </c>
      <c r="J261" t="s">
        <v>293</v>
      </c>
      <c r="K261">
        <v>0</v>
      </c>
      <c r="L261" t="s">
        <v>164</v>
      </c>
      <c r="N261" t="s">
        <v>216</v>
      </c>
      <c r="O261" t="s">
        <v>293</v>
      </c>
      <c r="P261">
        <v>3.1268353448812236E-2</v>
      </c>
      <c r="Q261" t="s">
        <v>164</v>
      </c>
      <c r="S261" t="s">
        <v>243</v>
      </c>
      <c r="T261" t="s">
        <v>293</v>
      </c>
      <c r="U261">
        <v>2.3746014317723486E-2</v>
      </c>
      <c r="V261" t="s">
        <v>164</v>
      </c>
    </row>
    <row r="262" spans="9:22" x14ac:dyDescent="0.45">
      <c r="I262" t="s">
        <v>180</v>
      </c>
      <c r="J262" t="s">
        <v>294</v>
      </c>
      <c r="K262">
        <v>0</v>
      </c>
      <c r="L262" t="s">
        <v>164</v>
      </c>
      <c r="N262" t="s">
        <v>216</v>
      </c>
      <c r="O262" t="s">
        <v>294</v>
      </c>
      <c r="P262">
        <v>1.4566324409162435E-2</v>
      </c>
      <c r="Q262" t="s">
        <v>164</v>
      </c>
      <c r="S262" t="s">
        <v>243</v>
      </c>
      <c r="T262" t="s">
        <v>294</v>
      </c>
      <c r="U262">
        <v>1.3825118290799326E-2</v>
      </c>
      <c r="V262" t="s">
        <v>164</v>
      </c>
    </row>
    <row r="263" spans="9:22" x14ac:dyDescent="0.45">
      <c r="I263" t="s">
        <v>181</v>
      </c>
      <c r="J263" t="s">
        <v>163</v>
      </c>
      <c r="K263">
        <v>6.6719160696868448E-3</v>
      </c>
      <c r="L263" t="s">
        <v>164</v>
      </c>
      <c r="N263" t="s">
        <v>217</v>
      </c>
      <c r="O263" t="s">
        <v>163</v>
      </c>
      <c r="P263">
        <v>8.2583092100686845E-2</v>
      </c>
      <c r="Q263" t="s">
        <v>164</v>
      </c>
      <c r="S263" t="s">
        <v>244</v>
      </c>
      <c r="T263" t="s">
        <v>163</v>
      </c>
      <c r="U263">
        <v>4.0611809088904334E-2</v>
      </c>
      <c r="V263" t="s">
        <v>164</v>
      </c>
    </row>
    <row r="264" spans="9:22" x14ac:dyDescent="0.45">
      <c r="I264" t="s">
        <v>181</v>
      </c>
      <c r="J264" t="s">
        <v>165</v>
      </c>
      <c r="K264">
        <v>0.18704972302064071</v>
      </c>
      <c r="L264" t="s">
        <v>164</v>
      </c>
      <c r="N264" t="s">
        <v>217</v>
      </c>
      <c r="O264" t="s">
        <v>165</v>
      </c>
      <c r="P264">
        <v>1.3030203708415395E-2</v>
      </c>
      <c r="Q264" t="s">
        <v>164</v>
      </c>
      <c r="S264" t="s">
        <v>244</v>
      </c>
      <c r="T264" t="s">
        <v>165</v>
      </c>
      <c r="U264">
        <v>2.1573046004156722E-2</v>
      </c>
      <c r="V264" t="s">
        <v>164</v>
      </c>
    </row>
    <row r="265" spans="9:22" x14ac:dyDescent="0.45">
      <c r="I265" t="s">
        <v>181</v>
      </c>
      <c r="J265" t="s">
        <v>166</v>
      </c>
      <c r="K265">
        <v>1.1082056663669156E-2</v>
      </c>
      <c r="L265" t="s">
        <v>164</v>
      </c>
      <c r="N265" t="s">
        <v>217</v>
      </c>
      <c r="O265" t="s">
        <v>166</v>
      </c>
      <c r="P265">
        <v>2.63707972761793E-3</v>
      </c>
      <c r="Q265" t="s">
        <v>164</v>
      </c>
      <c r="S265" t="s">
        <v>244</v>
      </c>
      <c r="T265" t="s">
        <v>166</v>
      </c>
      <c r="U265">
        <v>7.1166822190759692E-3</v>
      </c>
      <c r="V265" t="s">
        <v>164</v>
      </c>
    </row>
    <row r="266" spans="9:22" x14ac:dyDescent="0.45">
      <c r="I266" t="s">
        <v>181</v>
      </c>
      <c r="J266" t="s">
        <v>265</v>
      </c>
      <c r="K266">
        <v>3.4716533150145165E-3</v>
      </c>
      <c r="L266" t="s">
        <v>164</v>
      </c>
      <c r="N266" t="s">
        <v>217</v>
      </c>
      <c r="O266" t="s">
        <v>265</v>
      </c>
      <c r="P266">
        <v>2.9518289404518748E-2</v>
      </c>
      <c r="Q266" t="s">
        <v>164</v>
      </c>
      <c r="S266" t="s">
        <v>244</v>
      </c>
      <c r="T266" t="s">
        <v>265</v>
      </c>
      <c r="U266">
        <v>2.6738806899259018E-2</v>
      </c>
      <c r="V266" t="s">
        <v>164</v>
      </c>
    </row>
    <row r="267" spans="9:22" x14ac:dyDescent="0.45">
      <c r="I267" t="s">
        <v>181</v>
      </c>
      <c r="J267" t="s">
        <v>266</v>
      </c>
      <c r="K267">
        <v>0</v>
      </c>
      <c r="L267" t="s">
        <v>164</v>
      </c>
      <c r="N267" t="s">
        <v>217</v>
      </c>
      <c r="O267" t="s">
        <v>266</v>
      </c>
      <c r="P267">
        <v>2.3024055131720036E-2</v>
      </c>
      <c r="Q267" t="s">
        <v>164</v>
      </c>
      <c r="S267" t="s">
        <v>244</v>
      </c>
      <c r="T267" t="s">
        <v>266</v>
      </c>
      <c r="U267">
        <v>1.6237979614869277E-2</v>
      </c>
      <c r="V267" t="s">
        <v>164</v>
      </c>
    </row>
    <row r="268" spans="9:22" x14ac:dyDescent="0.45">
      <c r="I268" t="s">
        <v>181</v>
      </c>
      <c r="J268" t="s">
        <v>267</v>
      </c>
      <c r="K268">
        <v>0</v>
      </c>
      <c r="L268" t="s">
        <v>164</v>
      </c>
      <c r="N268" t="s">
        <v>217</v>
      </c>
      <c r="O268" t="s">
        <v>267</v>
      </c>
      <c r="P268">
        <v>1.1387685736693697E-2</v>
      </c>
      <c r="Q268" t="s">
        <v>164</v>
      </c>
      <c r="S268" t="s">
        <v>244</v>
      </c>
      <c r="T268" t="s">
        <v>267</v>
      </c>
      <c r="U268">
        <v>7.4485471130354306E-3</v>
      </c>
      <c r="V268" t="s">
        <v>164</v>
      </c>
    </row>
    <row r="269" spans="9:22" x14ac:dyDescent="0.45">
      <c r="I269" t="s">
        <v>181</v>
      </c>
      <c r="J269" t="s">
        <v>167</v>
      </c>
      <c r="K269">
        <v>3.30210071240074E-3</v>
      </c>
      <c r="L269" t="s">
        <v>164</v>
      </c>
      <c r="N269" t="s">
        <v>217</v>
      </c>
      <c r="O269" t="s">
        <v>167</v>
      </c>
      <c r="P269">
        <v>7.7969033651726596E-2</v>
      </c>
      <c r="Q269" t="s">
        <v>164</v>
      </c>
      <c r="S269" t="s">
        <v>244</v>
      </c>
      <c r="T269" t="s">
        <v>167</v>
      </c>
      <c r="U269">
        <v>2.272043136330875E-2</v>
      </c>
      <c r="V269" t="s">
        <v>164</v>
      </c>
    </row>
    <row r="270" spans="9:22" x14ac:dyDescent="0.45">
      <c r="I270" t="s">
        <v>181</v>
      </c>
      <c r="J270" t="s">
        <v>168</v>
      </c>
      <c r="K270">
        <v>8.3189644478269334E-2</v>
      </c>
      <c r="L270" t="s">
        <v>164</v>
      </c>
      <c r="N270" t="s">
        <v>217</v>
      </c>
      <c r="O270" t="s">
        <v>168</v>
      </c>
      <c r="P270">
        <v>1.8701562969316611E-2</v>
      </c>
      <c r="Q270" t="s">
        <v>164</v>
      </c>
      <c r="S270" t="s">
        <v>244</v>
      </c>
      <c r="T270" t="s">
        <v>168</v>
      </c>
      <c r="U270">
        <v>2.1087729775378847E-2</v>
      </c>
      <c r="V270" t="s">
        <v>164</v>
      </c>
    </row>
    <row r="271" spans="9:22" x14ac:dyDescent="0.45">
      <c r="I271" t="s">
        <v>181</v>
      </c>
      <c r="J271" t="s">
        <v>169</v>
      </c>
      <c r="K271">
        <v>3.8944747779504768E-3</v>
      </c>
      <c r="L271" t="s">
        <v>164</v>
      </c>
      <c r="N271" t="s">
        <v>217</v>
      </c>
      <c r="O271" t="s">
        <v>169</v>
      </c>
      <c r="P271">
        <v>2.5230544613255748E-3</v>
      </c>
      <c r="Q271" t="s">
        <v>164</v>
      </c>
      <c r="S271" t="s">
        <v>244</v>
      </c>
      <c r="T271" t="s">
        <v>169</v>
      </c>
      <c r="U271">
        <v>2.7572205409894814E-3</v>
      </c>
      <c r="V271" t="s">
        <v>164</v>
      </c>
    </row>
    <row r="272" spans="9:22" x14ac:dyDescent="0.45">
      <c r="I272" t="s">
        <v>181</v>
      </c>
      <c r="J272" t="s">
        <v>268</v>
      </c>
      <c r="K272">
        <v>1.8062338290593303E-3</v>
      </c>
      <c r="L272" t="s">
        <v>164</v>
      </c>
      <c r="N272" t="s">
        <v>217</v>
      </c>
      <c r="O272" t="s">
        <v>268</v>
      </c>
      <c r="P272">
        <v>2.2421415727232021E-2</v>
      </c>
      <c r="Q272" t="s">
        <v>164</v>
      </c>
      <c r="S272" t="s">
        <v>244</v>
      </c>
      <c r="T272" t="s">
        <v>268</v>
      </c>
      <c r="U272">
        <v>8.8031346477863478E-3</v>
      </c>
      <c r="V272" t="s">
        <v>164</v>
      </c>
    </row>
    <row r="273" spans="9:22" x14ac:dyDescent="0.45">
      <c r="I273" t="s">
        <v>181</v>
      </c>
      <c r="J273" t="s">
        <v>269</v>
      </c>
      <c r="K273">
        <v>0</v>
      </c>
      <c r="L273" t="s">
        <v>164</v>
      </c>
      <c r="N273" t="s">
        <v>217</v>
      </c>
      <c r="O273" t="s">
        <v>269</v>
      </c>
      <c r="P273">
        <v>1.9142387584093309E-2</v>
      </c>
      <c r="Q273" t="s">
        <v>164</v>
      </c>
      <c r="S273" t="s">
        <v>244</v>
      </c>
      <c r="T273" t="s">
        <v>269</v>
      </c>
      <c r="U273">
        <v>5.4772841932184515E-3</v>
      </c>
      <c r="V273" t="s">
        <v>164</v>
      </c>
    </row>
    <row r="274" spans="9:22" x14ac:dyDescent="0.45">
      <c r="I274" t="s">
        <v>181</v>
      </c>
      <c r="J274" t="s">
        <v>270</v>
      </c>
      <c r="K274">
        <v>0</v>
      </c>
      <c r="L274" t="s">
        <v>164</v>
      </c>
      <c r="N274" t="s">
        <v>217</v>
      </c>
      <c r="O274" t="s">
        <v>270</v>
      </c>
      <c r="P274">
        <v>1.0196908312606254E-2</v>
      </c>
      <c r="Q274" t="s">
        <v>164</v>
      </c>
      <c r="S274" t="s">
        <v>244</v>
      </c>
      <c r="T274" t="s">
        <v>270</v>
      </c>
      <c r="U274">
        <v>2.3879103746184717E-3</v>
      </c>
      <c r="V274" t="s">
        <v>164</v>
      </c>
    </row>
    <row r="275" spans="9:22" x14ac:dyDescent="0.45">
      <c r="I275" t="s">
        <v>181</v>
      </c>
      <c r="J275" t="s">
        <v>170</v>
      </c>
      <c r="K275">
        <v>4.8886861301601515E-3</v>
      </c>
      <c r="L275" t="s">
        <v>164</v>
      </c>
      <c r="N275" t="s">
        <v>217</v>
      </c>
      <c r="O275" t="s">
        <v>170</v>
      </c>
      <c r="P275">
        <v>4.8120916425839662E-2</v>
      </c>
      <c r="Q275" t="s">
        <v>164</v>
      </c>
      <c r="S275" t="s">
        <v>244</v>
      </c>
      <c r="T275" t="s">
        <v>170</v>
      </c>
      <c r="U275">
        <v>1.0388670839464813E-2</v>
      </c>
      <c r="V275" t="s">
        <v>164</v>
      </c>
    </row>
    <row r="276" spans="9:22" x14ac:dyDescent="0.45">
      <c r="I276" t="s">
        <v>181</v>
      </c>
      <c r="J276" t="s">
        <v>171</v>
      </c>
      <c r="K276">
        <v>8.1499887948763089E-2</v>
      </c>
      <c r="L276" t="s">
        <v>164</v>
      </c>
      <c r="N276" t="s">
        <v>217</v>
      </c>
      <c r="O276" t="s">
        <v>171</v>
      </c>
      <c r="P276">
        <v>1.1488905882522245E-2</v>
      </c>
      <c r="Q276" t="s">
        <v>164</v>
      </c>
      <c r="S276" t="s">
        <v>244</v>
      </c>
      <c r="T276" t="s">
        <v>171</v>
      </c>
      <c r="U276">
        <v>1.2289075204326169E-2</v>
      </c>
      <c r="V276" t="s">
        <v>164</v>
      </c>
    </row>
    <row r="277" spans="9:22" x14ac:dyDescent="0.45">
      <c r="I277" t="s">
        <v>181</v>
      </c>
      <c r="J277" t="s">
        <v>172</v>
      </c>
      <c r="K277">
        <v>3.2802399593436418E-3</v>
      </c>
      <c r="L277" t="s">
        <v>164</v>
      </c>
      <c r="N277" t="s">
        <v>217</v>
      </c>
      <c r="O277" t="s">
        <v>172</v>
      </c>
      <c r="P277">
        <v>2.3429002090616055E-3</v>
      </c>
      <c r="Q277" t="s">
        <v>164</v>
      </c>
      <c r="S277" t="s">
        <v>244</v>
      </c>
      <c r="T277" t="s">
        <v>172</v>
      </c>
      <c r="U277">
        <v>2.5658415676182598E-3</v>
      </c>
      <c r="V277" t="s">
        <v>164</v>
      </c>
    </row>
    <row r="278" spans="9:22" x14ac:dyDescent="0.45">
      <c r="I278" t="s">
        <v>181</v>
      </c>
      <c r="J278" t="s">
        <v>271</v>
      </c>
      <c r="K278">
        <v>0</v>
      </c>
      <c r="L278" t="s">
        <v>164</v>
      </c>
      <c r="N278" t="s">
        <v>217</v>
      </c>
      <c r="O278" t="s">
        <v>271</v>
      </c>
      <c r="P278">
        <v>1.6444788719980806E-2</v>
      </c>
      <c r="Q278" t="s">
        <v>164</v>
      </c>
      <c r="S278" t="s">
        <v>244</v>
      </c>
      <c r="T278" t="s">
        <v>271</v>
      </c>
      <c r="U278">
        <v>7.6071680479776367E-3</v>
      </c>
      <c r="V278" t="s">
        <v>164</v>
      </c>
    </row>
    <row r="279" spans="9:22" x14ac:dyDescent="0.45">
      <c r="I279" t="s">
        <v>181</v>
      </c>
      <c r="J279" t="s">
        <v>272</v>
      </c>
      <c r="K279">
        <v>0</v>
      </c>
      <c r="L279" t="s">
        <v>164</v>
      </c>
      <c r="N279" t="s">
        <v>217</v>
      </c>
      <c r="O279" t="s">
        <v>272</v>
      </c>
      <c r="P279">
        <v>1.1445448284116798E-2</v>
      </c>
      <c r="Q279" t="s">
        <v>164</v>
      </c>
      <c r="S279" t="s">
        <v>244</v>
      </c>
      <c r="T279" t="s">
        <v>272</v>
      </c>
      <c r="U279">
        <v>5.199482833446829E-3</v>
      </c>
      <c r="V279" t="s">
        <v>164</v>
      </c>
    </row>
    <row r="280" spans="9:22" x14ac:dyDescent="0.45">
      <c r="I280" t="s">
        <v>181</v>
      </c>
      <c r="J280" t="s">
        <v>273</v>
      </c>
      <c r="K280">
        <v>0</v>
      </c>
      <c r="L280" t="s">
        <v>164</v>
      </c>
      <c r="N280" t="s">
        <v>217</v>
      </c>
      <c r="O280" t="s">
        <v>273</v>
      </c>
      <c r="P280">
        <v>5.2704796582917178E-3</v>
      </c>
      <c r="Q280" t="s">
        <v>164</v>
      </c>
      <c r="S280" t="s">
        <v>244</v>
      </c>
      <c r="T280" t="s">
        <v>273</v>
      </c>
      <c r="U280">
        <v>2.3647932723643043E-3</v>
      </c>
      <c r="V280" t="s">
        <v>164</v>
      </c>
    </row>
    <row r="281" spans="9:22" x14ac:dyDescent="0.45">
      <c r="I281" t="s">
        <v>181</v>
      </c>
      <c r="J281" t="s">
        <v>173</v>
      </c>
      <c r="K281">
        <v>6.5892657700089841E-3</v>
      </c>
      <c r="L281" t="s">
        <v>164</v>
      </c>
      <c r="N281" t="s">
        <v>217</v>
      </c>
      <c r="O281" t="s">
        <v>173</v>
      </c>
      <c r="P281">
        <v>9.4901110387653115E-2</v>
      </c>
      <c r="Q281" t="s">
        <v>164</v>
      </c>
      <c r="S281" t="s">
        <v>244</v>
      </c>
      <c r="T281" t="s">
        <v>173</v>
      </c>
      <c r="U281">
        <v>3.6692981268769562E-2</v>
      </c>
      <c r="V281" t="s">
        <v>164</v>
      </c>
    </row>
    <row r="282" spans="9:22" x14ac:dyDescent="0.45">
      <c r="I282" t="s">
        <v>181</v>
      </c>
      <c r="J282" t="s">
        <v>174</v>
      </c>
      <c r="K282">
        <v>0.12675927416747373</v>
      </c>
      <c r="L282" t="s">
        <v>164</v>
      </c>
      <c r="N282" t="s">
        <v>217</v>
      </c>
      <c r="O282" t="s">
        <v>174</v>
      </c>
      <c r="P282">
        <v>3.6059387750337228E-2</v>
      </c>
      <c r="Q282" t="s">
        <v>164</v>
      </c>
      <c r="S282" t="s">
        <v>244</v>
      </c>
      <c r="T282" t="s">
        <v>174</v>
      </c>
      <c r="U282">
        <v>4.4467815203053547E-2</v>
      </c>
      <c r="V282" t="s">
        <v>164</v>
      </c>
    </row>
    <row r="283" spans="9:22" x14ac:dyDescent="0.45">
      <c r="I283" t="s">
        <v>181</v>
      </c>
      <c r="J283" t="s">
        <v>175</v>
      </c>
      <c r="K283">
        <v>4.4347642158897426E-3</v>
      </c>
      <c r="L283" t="s">
        <v>164</v>
      </c>
      <c r="N283" t="s">
        <v>217</v>
      </c>
      <c r="O283" t="s">
        <v>175</v>
      </c>
      <c r="P283">
        <v>4.9699546587700684E-3</v>
      </c>
      <c r="Q283" t="s">
        <v>164</v>
      </c>
      <c r="S283" t="s">
        <v>244</v>
      </c>
      <c r="T283" t="s">
        <v>175</v>
      </c>
      <c r="U283">
        <v>7.8051651459603274E-3</v>
      </c>
      <c r="V283" t="s">
        <v>164</v>
      </c>
    </row>
    <row r="284" spans="9:22" x14ac:dyDescent="0.45">
      <c r="I284" t="s">
        <v>181</v>
      </c>
      <c r="J284" t="s">
        <v>274</v>
      </c>
      <c r="K284">
        <v>6.7763085677525906E-4</v>
      </c>
      <c r="L284" t="s">
        <v>164</v>
      </c>
      <c r="N284" t="s">
        <v>217</v>
      </c>
      <c r="O284" t="s">
        <v>274</v>
      </c>
      <c r="P284">
        <v>2.8138164768982388E-2</v>
      </c>
      <c r="Q284" t="s">
        <v>164</v>
      </c>
      <c r="S284" t="s">
        <v>244</v>
      </c>
      <c r="T284" t="s">
        <v>274</v>
      </c>
      <c r="U284">
        <v>2.4950197360189275E-2</v>
      </c>
      <c r="V284" t="s">
        <v>164</v>
      </c>
    </row>
    <row r="285" spans="9:22" x14ac:dyDescent="0.45">
      <c r="I285" t="s">
        <v>181</v>
      </c>
      <c r="J285" t="s">
        <v>275</v>
      </c>
      <c r="K285">
        <v>0</v>
      </c>
      <c r="L285" t="s">
        <v>164</v>
      </c>
      <c r="N285" t="s">
        <v>217</v>
      </c>
      <c r="O285" t="s">
        <v>275</v>
      </c>
      <c r="P285">
        <v>1.9039272082735526E-2</v>
      </c>
      <c r="Q285" t="s">
        <v>164</v>
      </c>
      <c r="S285" t="s">
        <v>244</v>
      </c>
      <c r="T285" t="s">
        <v>275</v>
      </c>
      <c r="U285">
        <v>1.5769931662950615E-2</v>
      </c>
      <c r="V285" t="s">
        <v>164</v>
      </c>
    </row>
    <row r="286" spans="9:22" x14ac:dyDescent="0.45">
      <c r="I286" t="s">
        <v>181</v>
      </c>
      <c r="J286" t="s">
        <v>276</v>
      </c>
      <c r="K286">
        <v>0</v>
      </c>
      <c r="L286" t="s">
        <v>164</v>
      </c>
      <c r="N286" t="s">
        <v>217</v>
      </c>
      <c r="O286" t="s">
        <v>276</v>
      </c>
      <c r="P286">
        <v>8.7692976878179455E-3</v>
      </c>
      <c r="Q286" t="s">
        <v>164</v>
      </c>
      <c r="S286" t="s">
        <v>244</v>
      </c>
      <c r="T286" t="s">
        <v>276</v>
      </c>
      <c r="U286">
        <v>7.6596798149226207E-3</v>
      </c>
      <c r="V286" t="s">
        <v>164</v>
      </c>
    </row>
    <row r="287" spans="9:22" x14ac:dyDescent="0.45">
      <c r="I287" t="s">
        <v>181</v>
      </c>
      <c r="J287" t="s">
        <v>277</v>
      </c>
      <c r="K287">
        <v>2.0449268740256573E-3</v>
      </c>
      <c r="L287" t="s">
        <v>164</v>
      </c>
      <c r="N287" t="s">
        <v>217</v>
      </c>
      <c r="O287" t="s">
        <v>277</v>
      </c>
      <c r="P287">
        <v>4.3738028683758784E-2</v>
      </c>
      <c r="Q287" t="s">
        <v>164</v>
      </c>
      <c r="S287" t="s">
        <v>244</v>
      </c>
      <c r="T287" t="s">
        <v>277</v>
      </c>
      <c r="U287">
        <v>6.2232334795253856E-2</v>
      </c>
      <c r="V287" t="s">
        <v>164</v>
      </c>
    </row>
    <row r="288" spans="9:22" x14ac:dyDescent="0.45">
      <c r="I288" t="s">
        <v>181</v>
      </c>
      <c r="J288" t="s">
        <v>278</v>
      </c>
      <c r="K288">
        <v>5.5888235576797653E-2</v>
      </c>
      <c r="L288" t="s">
        <v>164</v>
      </c>
      <c r="N288" t="s">
        <v>217</v>
      </c>
      <c r="O288" t="s">
        <v>278</v>
      </c>
      <c r="P288">
        <v>1.7645122869327325E-2</v>
      </c>
      <c r="Q288" t="s">
        <v>164</v>
      </c>
      <c r="S288" t="s">
        <v>244</v>
      </c>
      <c r="T288" t="s">
        <v>278</v>
      </c>
      <c r="U288">
        <v>6.1886603628838598E-2</v>
      </c>
      <c r="V288" t="s">
        <v>164</v>
      </c>
    </row>
    <row r="289" spans="9:22" x14ac:dyDescent="0.45">
      <c r="I289" t="s">
        <v>181</v>
      </c>
      <c r="J289" t="s">
        <v>279</v>
      </c>
      <c r="K289">
        <v>2.496391476269988E-3</v>
      </c>
      <c r="L289" t="s">
        <v>164</v>
      </c>
      <c r="N289" t="s">
        <v>217</v>
      </c>
      <c r="O289" t="s">
        <v>279</v>
      </c>
      <c r="P289">
        <v>1.7067043050286363E-3</v>
      </c>
      <c r="Q289" t="s">
        <v>164</v>
      </c>
      <c r="S289" t="s">
        <v>244</v>
      </c>
      <c r="T289" t="s">
        <v>279</v>
      </c>
      <c r="U289">
        <v>8.6075345790910338E-3</v>
      </c>
      <c r="V289" t="s">
        <v>164</v>
      </c>
    </row>
    <row r="290" spans="9:22" x14ac:dyDescent="0.45">
      <c r="I290" t="s">
        <v>181</v>
      </c>
      <c r="J290" t="s">
        <v>280</v>
      </c>
      <c r="K290">
        <v>1.2219489878197366E-3</v>
      </c>
      <c r="L290" t="s">
        <v>164</v>
      </c>
      <c r="N290" t="s">
        <v>217</v>
      </c>
      <c r="O290" t="s">
        <v>280</v>
      </c>
      <c r="P290">
        <v>1.0277706787930082E-2</v>
      </c>
      <c r="Q290" t="s">
        <v>164</v>
      </c>
      <c r="S290" t="s">
        <v>244</v>
      </c>
      <c r="T290" t="s">
        <v>280</v>
      </c>
      <c r="U290">
        <v>2.5891297903542179E-2</v>
      </c>
      <c r="V290" t="s">
        <v>164</v>
      </c>
    </row>
    <row r="291" spans="9:22" x14ac:dyDescent="0.45">
      <c r="I291" t="s">
        <v>181</v>
      </c>
      <c r="J291" t="s">
        <v>281</v>
      </c>
      <c r="K291">
        <v>0</v>
      </c>
      <c r="L291" t="s">
        <v>164</v>
      </c>
      <c r="N291" t="s">
        <v>217</v>
      </c>
      <c r="O291" t="s">
        <v>281</v>
      </c>
      <c r="P291">
        <v>8.5274153114112752E-3</v>
      </c>
      <c r="Q291" t="s">
        <v>164</v>
      </c>
      <c r="S291" t="s">
        <v>244</v>
      </c>
      <c r="T291" t="s">
        <v>281</v>
      </c>
      <c r="U291">
        <v>1.5820232926702531E-2</v>
      </c>
      <c r="V291" t="s">
        <v>164</v>
      </c>
    </row>
    <row r="292" spans="9:22" x14ac:dyDescent="0.45">
      <c r="I292" t="s">
        <v>181</v>
      </c>
      <c r="J292" t="s">
        <v>282</v>
      </c>
      <c r="K292">
        <v>0</v>
      </c>
      <c r="L292" t="s">
        <v>164</v>
      </c>
      <c r="N292" t="s">
        <v>217</v>
      </c>
      <c r="O292" t="s">
        <v>282</v>
      </c>
      <c r="P292">
        <v>4.3106725953398276E-3</v>
      </c>
      <c r="Q292" t="s">
        <v>164</v>
      </c>
      <c r="S292" t="s">
        <v>244</v>
      </c>
      <c r="T292" t="s">
        <v>282</v>
      </c>
      <c r="U292">
        <v>8.3511531406447511E-3</v>
      </c>
      <c r="V292" t="s">
        <v>164</v>
      </c>
    </row>
    <row r="293" spans="9:22" x14ac:dyDescent="0.45">
      <c r="I293" t="s">
        <v>181</v>
      </c>
      <c r="J293" t="s">
        <v>283</v>
      </c>
      <c r="K293">
        <v>2.2005394588644287E-3</v>
      </c>
      <c r="L293" t="s">
        <v>164</v>
      </c>
      <c r="N293" t="s">
        <v>217</v>
      </c>
      <c r="O293" t="s">
        <v>283</v>
      </c>
      <c r="P293">
        <v>3.5874102333261951E-2</v>
      </c>
      <c r="Q293" t="s">
        <v>164</v>
      </c>
      <c r="S293" t="s">
        <v>244</v>
      </c>
      <c r="T293" t="s">
        <v>283</v>
      </c>
      <c r="U293">
        <v>7.9130110435101625E-2</v>
      </c>
      <c r="V293" t="s">
        <v>164</v>
      </c>
    </row>
    <row r="294" spans="9:22" x14ac:dyDescent="0.45">
      <c r="I294" t="s">
        <v>181</v>
      </c>
      <c r="J294" t="s">
        <v>284</v>
      </c>
      <c r="K294">
        <v>6.0034104305950804E-2</v>
      </c>
      <c r="L294" t="s">
        <v>164</v>
      </c>
      <c r="N294" t="s">
        <v>217</v>
      </c>
      <c r="O294" t="s">
        <v>284</v>
      </c>
      <c r="P294">
        <v>2.2573103502227118E-2</v>
      </c>
      <c r="Q294" t="s">
        <v>164</v>
      </c>
      <c r="S294" t="s">
        <v>244</v>
      </c>
      <c r="T294" t="s">
        <v>284</v>
      </c>
      <c r="U294">
        <v>8.1898828526178608E-2</v>
      </c>
      <c r="V294" t="s">
        <v>164</v>
      </c>
    </row>
    <row r="295" spans="9:22" x14ac:dyDescent="0.45">
      <c r="I295" t="s">
        <v>181</v>
      </c>
      <c r="J295" t="s">
        <v>285</v>
      </c>
      <c r="K295">
        <v>3.0111936972485216E-3</v>
      </c>
      <c r="L295" t="s">
        <v>164</v>
      </c>
      <c r="N295" t="s">
        <v>217</v>
      </c>
      <c r="O295" t="s">
        <v>285</v>
      </c>
      <c r="P295">
        <v>1.7732765209146886E-3</v>
      </c>
      <c r="Q295" t="s">
        <v>164</v>
      </c>
      <c r="S295" t="s">
        <v>244</v>
      </c>
      <c r="T295" t="s">
        <v>285</v>
      </c>
      <c r="U295">
        <v>9.2418443425340419E-3</v>
      </c>
      <c r="V295" t="s">
        <v>164</v>
      </c>
    </row>
    <row r="296" spans="9:22" x14ac:dyDescent="0.45">
      <c r="I296" t="s">
        <v>181</v>
      </c>
      <c r="J296" t="s">
        <v>286</v>
      </c>
      <c r="K296">
        <v>1.6131295963821984E-3</v>
      </c>
      <c r="L296" t="s">
        <v>164</v>
      </c>
      <c r="N296" t="s">
        <v>217</v>
      </c>
      <c r="O296" t="s">
        <v>286</v>
      </c>
      <c r="P296">
        <v>8.3472150959622397E-3</v>
      </c>
      <c r="Q296" t="s">
        <v>164</v>
      </c>
      <c r="S296" t="s">
        <v>244</v>
      </c>
      <c r="T296" t="s">
        <v>286</v>
      </c>
      <c r="U296">
        <v>2.6553390011330589E-2</v>
      </c>
      <c r="V296" t="s">
        <v>164</v>
      </c>
    </row>
    <row r="297" spans="9:22" x14ac:dyDescent="0.45">
      <c r="I297" t="s">
        <v>181</v>
      </c>
      <c r="J297" t="s">
        <v>287</v>
      </c>
      <c r="K297">
        <v>0</v>
      </c>
      <c r="L297" t="s">
        <v>164</v>
      </c>
      <c r="N297" t="s">
        <v>217</v>
      </c>
      <c r="O297" t="s">
        <v>287</v>
      </c>
      <c r="P297">
        <v>7.5689494507155623E-3</v>
      </c>
      <c r="Q297" t="s">
        <v>164</v>
      </c>
      <c r="S297" t="s">
        <v>244</v>
      </c>
      <c r="T297" t="s">
        <v>287</v>
      </c>
      <c r="U297">
        <v>1.6278476472191585E-2</v>
      </c>
      <c r="V297" t="s">
        <v>164</v>
      </c>
    </row>
    <row r="298" spans="9:22" x14ac:dyDescent="0.45">
      <c r="I298" t="s">
        <v>181</v>
      </c>
      <c r="J298" t="s">
        <v>288</v>
      </c>
      <c r="K298">
        <v>0</v>
      </c>
      <c r="L298" t="s">
        <v>164</v>
      </c>
      <c r="N298" t="s">
        <v>217</v>
      </c>
      <c r="O298" t="s">
        <v>288</v>
      </c>
      <c r="P298">
        <v>3.9313233729158766E-3</v>
      </c>
      <c r="Q298" t="s">
        <v>164</v>
      </c>
      <c r="S298" t="s">
        <v>244</v>
      </c>
      <c r="T298" t="s">
        <v>288</v>
      </c>
      <c r="U298">
        <v>8.7639545803724975E-3</v>
      </c>
      <c r="V298" t="s">
        <v>164</v>
      </c>
    </row>
    <row r="299" spans="9:22" x14ac:dyDescent="0.45">
      <c r="I299" t="s">
        <v>181</v>
      </c>
      <c r="J299" t="s">
        <v>289</v>
      </c>
      <c r="K299">
        <v>1.8866468061661583E-2</v>
      </c>
      <c r="L299" t="s">
        <v>164</v>
      </c>
      <c r="N299" t="s">
        <v>217</v>
      </c>
      <c r="O299" t="s">
        <v>289</v>
      </c>
      <c r="P299">
        <v>0.11569509084230499</v>
      </c>
      <c r="Q299" t="s">
        <v>164</v>
      </c>
      <c r="S299" t="s">
        <v>244</v>
      </c>
      <c r="T299" t="s">
        <v>289</v>
      </c>
      <c r="U299">
        <v>6.5691563912202572E-2</v>
      </c>
      <c r="V299" t="s">
        <v>164</v>
      </c>
    </row>
    <row r="300" spans="9:22" x14ac:dyDescent="0.45">
      <c r="I300" t="s">
        <v>181</v>
      </c>
      <c r="J300" t="s">
        <v>290</v>
      </c>
      <c r="K300">
        <v>0.31174965008838568</v>
      </c>
      <c r="L300" t="s">
        <v>164</v>
      </c>
      <c r="N300" t="s">
        <v>217</v>
      </c>
      <c r="O300" t="s">
        <v>290</v>
      </c>
      <c r="P300">
        <v>2.4573308461008154E-2</v>
      </c>
      <c r="Q300" t="s">
        <v>164</v>
      </c>
      <c r="S300" t="s">
        <v>244</v>
      </c>
      <c r="T300" t="s">
        <v>290</v>
      </c>
      <c r="U300">
        <v>7.3777986763437636E-2</v>
      </c>
      <c r="V300" t="s">
        <v>164</v>
      </c>
    </row>
    <row r="301" spans="9:22" x14ac:dyDescent="0.45">
      <c r="I301" t="s">
        <v>181</v>
      </c>
      <c r="J301" t="s">
        <v>291</v>
      </c>
      <c r="K301">
        <v>1.2275859961486049E-2</v>
      </c>
      <c r="L301" t="s">
        <v>164</v>
      </c>
      <c r="N301" t="s">
        <v>217</v>
      </c>
      <c r="O301" t="s">
        <v>291</v>
      </c>
      <c r="P301">
        <v>6.4579802943120585E-3</v>
      </c>
      <c r="Q301" t="s">
        <v>164</v>
      </c>
      <c r="S301" t="s">
        <v>244</v>
      </c>
      <c r="T301" t="s">
        <v>291</v>
      </c>
      <c r="U301">
        <v>1.5553594144439714E-2</v>
      </c>
      <c r="V301" t="s">
        <v>164</v>
      </c>
    </row>
    <row r="302" spans="9:22" x14ac:dyDescent="0.45">
      <c r="I302" t="s">
        <v>181</v>
      </c>
      <c r="J302" t="s">
        <v>292</v>
      </c>
      <c r="K302">
        <v>0</v>
      </c>
      <c r="L302" t="s">
        <v>164</v>
      </c>
      <c r="N302" t="s">
        <v>217</v>
      </c>
      <c r="O302" t="s">
        <v>292</v>
      </c>
      <c r="P302">
        <v>4.0989235932108473E-2</v>
      </c>
      <c r="Q302" t="s">
        <v>164</v>
      </c>
      <c r="S302" t="s">
        <v>244</v>
      </c>
      <c r="T302" t="s">
        <v>292</v>
      </c>
      <c r="U302">
        <v>4.1091999809497085E-2</v>
      </c>
      <c r="V302" t="s">
        <v>164</v>
      </c>
    </row>
    <row r="303" spans="9:22" x14ac:dyDescent="0.45">
      <c r="I303" t="s">
        <v>181</v>
      </c>
      <c r="J303" t="s">
        <v>293</v>
      </c>
      <c r="K303">
        <v>0</v>
      </c>
      <c r="L303" t="s">
        <v>164</v>
      </c>
      <c r="N303" t="s">
        <v>217</v>
      </c>
      <c r="O303" t="s">
        <v>293</v>
      </c>
      <c r="P303">
        <v>3.0367850329897937E-2</v>
      </c>
      <c r="Q303" t="s">
        <v>164</v>
      </c>
      <c r="S303" t="s">
        <v>244</v>
      </c>
      <c r="T303" t="s">
        <v>293</v>
      </c>
      <c r="U303">
        <v>2.559512240899825E-2</v>
      </c>
      <c r="V303" t="s">
        <v>164</v>
      </c>
    </row>
    <row r="304" spans="9:22" x14ac:dyDescent="0.45">
      <c r="I304" t="s">
        <v>181</v>
      </c>
      <c r="J304" t="s">
        <v>294</v>
      </c>
      <c r="K304">
        <v>0</v>
      </c>
      <c r="L304" t="s">
        <v>164</v>
      </c>
      <c r="N304" t="s">
        <v>217</v>
      </c>
      <c r="O304" t="s">
        <v>294</v>
      </c>
      <c r="P304">
        <v>1.5517518279515592E-2</v>
      </c>
      <c r="Q304" t="s">
        <v>164</v>
      </c>
      <c r="S304" t="s">
        <v>244</v>
      </c>
      <c r="T304" t="s">
        <v>294</v>
      </c>
      <c r="U304">
        <v>1.2912587563996061E-2</v>
      </c>
      <c r="V304" t="s">
        <v>164</v>
      </c>
    </row>
    <row r="305" spans="9:22" x14ac:dyDescent="0.45">
      <c r="I305" t="s">
        <v>182</v>
      </c>
      <c r="J305" t="s">
        <v>163</v>
      </c>
      <c r="K305">
        <v>6.395523396956827E-3</v>
      </c>
      <c r="L305" t="s">
        <v>164</v>
      </c>
      <c r="N305" t="s">
        <v>218</v>
      </c>
      <c r="O305" t="s">
        <v>163</v>
      </c>
      <c r="P305">
        <v>4.6116174369213191E-2</v>
      </c>
      <c r="Q305" t="s">
        <v>164</v>
      </c>
      <c r="S305" t="s">
        <v>245</v>
      </c>
      <c r="T305" t="s">
        <v>163</v>
      </c>
      <c r="U305">
        <v>3.977989875247584E-2</v>
      </c>
      <c r="V305" t="s">
        <v>164</v>
      </c>
    </row>
    <row r="306" spans="9:22" x14ac:dyDescent="0.45">
      <c r="I306" t="s">
        <v>182</v>
      </c>
      <c r="J306" t="s">
        <v>165</v>
      </c>
      <c r="K306">
        <v>0.18714505573136767</v>
      </c>
      <c r="L306" t="s">
        <v>164</v>
      </c>
      <c r="N306" t="s">
        <v>218</v>
      </c>
      <c r="O306" t="s">
        <v>165</v>
      </c>
      <c r="P306">
        <v>3.7880100714528152E-2</v>
      </c>
      <c r="Q306" t="s">
        <v>164</v>
      </c>
      <c r="S306" t="s">
        <v>245</v>
      </c>
      <c r="T306" t="s">
        <v>165</v>
      </c>
      <c r="U306">
        <v>2.5112072746379763E-2</v>
      </c>
      <c r="V306" t="s">
        <v>164</v>
      </c>
    </row>
    <row r="307" spans="9:22" x14ac:dyDescent="0.45">
      <c r="I307" t="s">
        <v>182</v>
      </c>
      <c r="J307" t="s">
        <v>166</v>
      </c>
      <c r="K307">
        <v>1.083793981764221E-2</v>
      </c>
      <c r="L307" t="s">
        <v>164</v>
      </c>
      <c r="N307" t="s">
        <v>218</v>
      </c>
      <c r="O307" t="s">
        <v>166</v>
      </c>
      <c r="P307">
        <v>8.9695039794986057E-3</v>
      </c>
      <c r="Q307" t="s">
        <v>164</v>
      </c>
      <c r="S307" t="s">
        <v>245</v>
      </c>
      <c r="T307" t="s">
        <v>166</v>
      </c>
      <c r="U307">
        <v>9.4673258663285145E-3</v>
      </c>
      <c r="V307" t="s">
        <v>164</v>
      </c>
    </row>
    <row r="308" spans="9:22" x14ac:dyDescent="0.45">
      <c r="I308" t="s">
        <v>182</v>
      </c>
      <c r="J308" t="s">
        <v>265</v>
      </c>
      <c r="K308">
        <v>3.7186389565141914E-3</v>
      </c>
      <c r="L308" t="s">
        <v>164</v>
      </c>
      <c r="N308" t="s">
        <v>218</v>
      </c>
      <c r="O308" t="s">
        <v>265</v>
      </c>
      <c r="P308">
        <v>2.8430664097616593E-2</v>
      </c>
      <c r="Q308" t="s">
        <v>164</v>
      </c>
      <c r="S308" t="s">
        <v>245</v>
      </c>
      <c r="T308" t="s">
        <v>265</v>
      </c>
      <c r="U308">
        <v>3.339653308734513E-2</v>
      </c>
      <c r="V308" t="s">
        <v>164</v>
      </c>
    </row>
    <row r="309" spans="9:22" x14ac:dyDescent="0.45">
      <c r="I309" t="s">
        <v>182</v>
      </c>
      <c r="J309" t="s">
        <v>266</v>
      </c>
      <c r="K309">
        <v>0</v>
      </c>
      <c r="L309" t="s">
        <v>164</v>
      </c>
      <c r="N309" t="s">
        <v>218</v>
      </c>
      <c r="O309" t="s">
        <v>266</v>
      </c>
      <c r="P309">
        <v>1.6872259004641017E-2</v>
      </c>
      <c r="Q309" t="s">
        <v>164</v>
      </c>
      <c r="S309" t="s">
        <v>245</v>
      </c>
      <c r="T309" t="s">
        <v>266</v>
      </c>
      <c r="U309">
        <v>1.9580037069793998E-2</v>
      </c>
      <c r="V309" t="s">
        <v>164</v>
      </c>
    </row>
    <row r="310" spans="9:22" x14ac:dyDescent="0.45">
      <c r="I310" t="s">
        <v>182</v>
      </c>
      <c r="J310" t="s">
        <v>267</v>
      </c>
      <c r="K310">
        <v>0</v>
      </c>
      <c r="L310" t="s">
        <v>164</v>
      </c>
      <c r="N310" t="s">
        <v>218</v>
      </c>
      <c r="O310" t="s">
        <v>267</v>
      </c>
      <c r="P310">
        <v>7.5303230127543291E-3</v>
      </c>
      <c r="Q310" t="s">
        <v>164</v>
      </c>
      <c r="S310" t="s">
        <v>245</v>
      </c>
      <c r="T310" t="s">
        <v>267</v>
      </c>
      <c r="U310">
        <v>9.1553916000113224E-3</v>
      </c>
      <c r="V310" t="s">
        <v>164</v>
      </c>
    </row>
    <row r="311" spans="9:22" x14ac:dyDescent="0.45">
      <c r="I311" t="s">
        <v>182</v>
      </c>
      <c r="J311" t="s">
        <v>167</v>
      </c>
      <c r="K311">
        <v>3.5283503288531535E-3</v>
      </c>
      <c r="L311" t="s">
        <v>164</v>
      </c>
      <c r="N311" t="s">
        <v>218</v>
      </c>
      <c r="O311" t="s">
        <v>167</v>
      </c>
      <c r="P311">
        <v>4.3472546664883788E-2</v>
      </c>
      <c r="Q311" t="s">
        <v>164</v>
      </c>
      <c r="S311" t="s">
        <v>245</v>
      </c>
      <c r="T311" t="s">
        <v>167</v>
      </c>
      <c r="U311">
        <v>1.7595108024006909E-2</v>
      </c>
      <c r="V311" t="s">
        <v>164</v>
      </c>
    </row>
    <row r="312" spans="9:22" x14ac:dyDescent="0.45">
      <c r="I312" t="s">
        <v>182</v>
      </c>
      <c r="J312" t="s">
        <v>168</v>
      </c>
      <c r="K312">
        <v>8.688906770592561E-2</v>
      </c>
      <c r="L312" t="s">
        <v>164</v>
      </c>
      <c r="N312" t="s">
        <v>218</v>
      </c>
      <c r="O312" t="s">
        <v>168</v>
      </c>
      <c r="P312">
        <v>3.9259227428313163E-2</v>
      </c>
      <c r="Q312" t="s">
        <v>164</v>
      </c>
      <c r="S312" t="s">
        <v>245</v>
      </c>
      <c r="T312" t="s">
        <v>168</v>
      </c>
      <c r="U312">
        <v>1.4926846919676507E-2</v>
      </c>
      <c r="V312" t="s">
        <v>164</v>
      </c>
    </row>
    <row r="313" spans="9:22" x14ac:dyDescent="0.45">
      <c r="I313" t="s">
        <v>182</v>
      </c>
      <c r="J313" t="s">
        <v>169</v>
      </c>
      <c r="K313">
        <v>3.3852423191330309E-3</v>
      </c>
      <c r="L313" t="s">
        <v>164</v>
      </c>
      <c r="N313" t="s">
        <v>218</v>
      </c>
      <c r="O313" t="s">
        <v>169</v>
      </c>
      <c r="P313">
        <v>6.0006189790364787E-3</v>
      </c>
      <c r="Q313" t="s">
        <v>164</v>
      </c>
      <c r="S313" t="s">
        <v>245</v>
      </c>
      <c r="T313" t="s">
        <v>169</v>
      </c>
      <c r="U313">
        <v>3.5140134952999628E-3</v>
      </c>
      <c r="V313" t="s">
        <v>164</v>
      </c>
    </row>
    <row r="314" spans="9:22" x14ac:dyDescent="0.45">
      <c r="I314" t="s">
        <v>182</v>
      </c>
      <c r="J314" t="s">
        <v>268</v>
      </c>
      <c r="K314">
        <v>1.6766190031696541E-3</v>
      </c>
      <c r="L314" t="s">
        <v>164</v>
      </c>
      <c r="N314" t="s">
        <v>218</v>
      </c>
      <c r="O314" t="s">
        <v>268</v>
      </c>
      <c r="P314">
        <v>1.5182912401770077E-2</v>
      </c>
      <c r="Q314" t="s">
        <v>164</v>
      </c>
      <c r="S314" t="s">
        <v>245</v>
      </c>
      <c r="T314" t="s">
        <v>268</v>
      </c>
      <c r="U314">
        <v>1.0043891121551423E-2</v>
      </c>
      <c r="V314" t="s">
        <v>164</v>
      </c>
    </row>
    <row r="315" spans="9:22" x14ac:dyDescent="0.45">
      <c r="I315" t="s">
        <v>182</v>
      </c>
      <c r="J315" t="s">
        <v>269</v>
      </c>
      <c r="K315">
        <v>0</v>
      </c>
      <c r="L315" t="s">
        <v>164</v>
      </c>
      <c r="N315" t="s">
        <v>218</v>
      </c>
      <c r="O315" t="s">
        <v>269</v>
      </c>
      <c r="P315">
        <v>7.2259931459977243E-3</v>
      </c>
      <c r="Q315" t="s">
        <v>164</v>
      </c>
      <c r="S315" t="s">
        <v>245</v>
      </c>
      <c r="T315" t="s">
        <v>269</v>
      </c>
      <c r="U315">
        <v>5.7002568946982156E-3</v>
      </c>
      <c r="V315" t="s">
        <v>164</v>
      </c>
    </row>
    <row r="316" spans="9:22" x14ac:dyDescent="0.45">
      <c r="I316" t="s">
        <v>182</v>
      </c>
      <c r="J316" t="s">
        <v>270</v>
      </c>
      <c r="K316">
        <v>0</v>
      </c>
      <c r="L316" t="s">
        <v>164</v>
      </c>
      <c r="N316" t="s">
        <v>218</v>
      </c>
      <c r="O316" t="s">
        <v>270</v>
      </c>
      <c r="P316">
        <v>3.8729505368817162E-3</v>
      </c>
      <c r="Q316" t="s">
        <v>164</v>
      </c>
      <c r="S316" t="s">
        <v>245</v>
      </c>
      <c r="T316" t="s">
        <v>270</v>
      </c>
      <c r="U316">
        <v>2.4551881513204168E-3</v>
      </c>
      <c r="V316" t="s">
        <v>164</v>
      </c>
    </row>
    <row r="317" spans="9:22" x14ac:dyDescent="0.45">
      <c r="I317" t="s">
        <v>182</v>
      </c>
      <c r="J317" t="s">
        <v>170</v>
      </c>
      <c r="K317">
        <v>4.7451245061008078E-3</v>
      </c>
      <c r="L317" t="s">
        <v>164</v>
      </c>
      <c r="N317" t="s">
        <v>218</v>
      </c>
      <c r="O317" t="s">
        <v>170</v>
      </c>
      <c r="P317">
        <v>1.9657021356172151E-2</v>
      </c>
      <c r="Q317" t="s">
        <v>164</v>
      </c>
      <c r="S317" t="s">
        <v>245</v>
      </c>
      <c r="T317" t="s">
        <v>170</v>
      </c>
      <c r="U317">
        <v>8.6510990056703208E-3</v>
      </c>
      <c r="V317" t="s">
        <v>164</v>
      </c>
    </row>
    <row r="318" spans="9:22" x14ac:dyDescent="0.45">
      <c r="I318" t="s">
        <v>182</v>
      </c>
      <c r="J318" t="s">
        <v>171</v>
      </c>
      <c r="K318">
        <v>7.5974604901596174E-2</v>
      </c>
      <c r="L318" t="s">
        <v>164</v>
      </c>
      <c r="N318" t="s">
        <v>218</v>
      </c>
      <c r="O318" t="s">
        <v>171</v>
      </c>
      <c r="P318">
        <v>2.0578764180672629E-2</v>
      </c>
      <c r="Q318" t="s">
        <v>164</v>
      </c>
      <c r="S318" t="s">
        <v>245</v>
      </c>
      <c r="T318" t="s">
        <v>171</v>
      </c>
      <c r="U318">
        <v>9.8686340306135614E-3</v>
      </c>
      <c r="V318" t="s">
        <v>164</v>
      </c>
    </row>
    <row r="319" spans="9:22" x14ac:dyDescent="0.45">
      <c r="I319" t="s">
        <v>182</v>
      </c>
      <c r="J319" t="s">
        <v>172</v>
      </c>
      <c r="K319">
        <v>2.7605437063371956E-3</v>
      </c>
      <c r="L319" t="s">
        <v>164</v>
      </c>
      <c r="N319" t="s">
        <v>218</v>
      </c>
      <c r="O319" t="s">
        <v>172</v>
      </c>
      <c r="P319">
        <v>3.4529026430268417E-3</v>
      </c>
      <c r="Q319" t="s">
        <v>164</v>
      </c>
      <c r="S319" t="s">
        <v>245</v>
      </c>
      <c r="T319" t="s">
        <v>172</v>
      </c>
      <c r="U319">
        <v>2.6528324782668098E-3</v>
      </c>
      <c r="V319" t="s">
        <v>164</v>
      </c>
    </row>
    <row r="320" spans="9:22" x14ac:dyDescent="0.45">
      <c r="I320" t="s">
        <v>182</v>
      </c>
      <c r="J320" t="s">
        <v>271</v>
      </c>
      <c r="K320">
        <v>1.0453958820801194E-3</v>
      </c>
      <c r="L320" t="s">
        <v>164</v>
      </c>
      <c r="N320" t="s">
        <v>218</v>
      </c>
      <c r="O320" t="s">
        <v>271</v>
      </c>
      <c r="P320">
        <v>1.1027844527032036E-2</v>
      </c>
      <c r="Q320" t="s">
        <v>164</v>
      </c>
      <c r="S320" t="s">
        <v>245</v>
      </c>
      <c r="T320" t="s">
        <v>271</v>
      </c>
      <c r="U320">
        <v>8.9157488687986505E-3</v>
      </c>
      <c r="V320" t="s">
        <v>164</v>
      </c>
    </row>
    <row r="321" spans="9:22" x14ac:dyDescent="0.45">
      <c r="I321" t="s">
        <v>182</v>
      </c>
      <c r="J321" t="s">
        <v>272</v>
      </c>
      <c r="K321">
        <v>0</v>
      </c>
      <c r="L321" t="s">
        <v>164</v>
      </c>
      <c r="N321" t="s">
        <v>218</v>
      </c>
      <c r="O321" t="s">
        <v>272</v>
      </c>
      <c r="P321">
        <v>5.3760196994134283E-3</v>
      </c>
      <c r="Q321" t="s">
        <v>164</v>
      </c>
      <c r="S321" t="s">
        <v>245</v>
      </c>
      <c r="T321" t="s">
        <v>272</v>
      </c>
      <c r="U321">
        <v>5.390801071973113E-3</v>
      </c>
      <c r="V321" t="s">
        <v>164</v>
      </c>
    </row>
    <row r="322" spans="9:22" x14ac:dyDescent="0.45">
      <c r="I322" t="s">
        <v>182</v>
      </c>
      <c r="J322" t="s">
        <v>273</v>
      </c>
      <c r="K322">
        <v>0</v>
      </c>
      <c r="L322" t="s">
        <v>164</v>
      </c>
      <c r="N322" t="s">
        <v>218</v>
      </c>
      <c r="O322" t="s">
        <v>273</v>
      </c>
      <c r="P322">
        <v>2.2215528834296202E-3</v>
      </c>
      <c r="Q322" t="s">
        <v>164</v>
      </c>
      <c r="S322" t="s">
        <v>245</v>
      </c>
      <c r="T322" t="s">
        <v>273</v>
      </c>
      <c r="U322">
        <v>2.3301226965198965E-3</v>
      </c>
      <c r="V322" t="s">
        <v>164</v>
      </c>
    </row>
    <row r="323" spans="9:22" x14ac:dyDescent="0.45">
      <c r="I323" t="s">
        <v>182</v>
      </c>
      <c r="J323" t="s">
        <v>173</v>
      </c>
      <c r="K323">
        <v>7.9759025264433802E-3</v>
      </c>
      <c r="L323" t="s">
        <v>164</v>
      </c>
      <c r="N323" t="s">
        <v>218</v>
      </c>
      <c r="O323" t="s">
        <v>173</v>
      </c>
      <c r="P323">
        <v>3.6530059841869682E-2</v>
      </c>
      <c r="Q323" t="s">
        <v>164</v>
      </c>
      <c r="S323" t="s">
        <v>245</v>
      </c>
      <c r="T323" t="s">
        <v>173</v>
      </c>
      <c r="U323">
        <v>3.0108520509800892E-2</v>
      </c>
      <c r="V323" t="s">
        <v>164</v>
      </c>
    </row>
    <row r="324" spans="9:22" x14ac:dyDescent="0.45">
      <c r="I324" t="s">
        <v>182</v>
      </c>
      <c r="J324" t="s">
        <v>174</v>
      </c>
      <c r="K324">
        <v>0.1291829317293301</v>
      </c>
      <c r="L324" t="s">
        <v>164</v>
      </c>
      <c r="N324" t="s">
        <v>218</v>
      </c>
      <c r="O324" t="s">
        <v>174</v>
      </c>
      <c r="P324">
        <v>4.9042710276478552E-2</v>
      </c>
      <c r="Q324" t="s">
        <v>164</v>
      </c>
      <c r="S324" t="s">
        <v>245</v>
      </c>
      <c r="T324" t="s">
        <v>174</v>
      </c>
      <c r="U324">
        <v>2.9616755936390439E-2</v>
      </c>
      <c r="V324" t="s">
        <v>164</v>
      </c>
    </row>
    <row r="325" spans="9:22" x14ac:dyDescent="0.45">
      <c r="I325" t="s">
        <v>182</v>
      </c>
      <c r="J325" t="s">
        <v>175</v>
      </c>
      <c r="K325">
        <v>4.2659052011991315E-3</v>
      </c>
      <c r="L325" t="s">
        <v>164</v>
      </c>
      <c r="N325" t="s">
        <v>218</v>
      </c>
      <c r="O325" t="s">
        <v>175</v>
      </c>
      <c r="P325">
        <v>7.5894339304539747E-3</v>
      </c>
      <c r="Q325" t="s">
        <v>164</v>
      </c>
      <c r="S325" t="s">
        <v>245</v>
      </c>
      <c r="T325" t="s">
        <v>175</v>
      </c>
      <c r="U325">
        <v>8.2420754257775796E-3</v>
      </c>
      <c r="V325" t="s">
        <v>164</v>
      </c>
    </row>
    <row r="326" spans="9:22" x14ac:dyDescent="0.45">
      <c r="I326" t="s">
        <v>182</v>
      </c>
      <c r="J326" t="s">
        <v>274</v>
      </c>
      <c r="K326">
        <v>1.5574203727918704E-3</v>
      </c>
      <c r="L326" t="s">
        <v>164</v>
      </c>
      <c r="N326" t="s">
        <v>218</v>
      </c>
      <c r="O326" t="s">
        <v>274</v>
      </c>
      <c r="P326">
        <v>2.3805754250179348E-2</v>
      </c>
      <c r="Q326" t="s">
        <v>164</v>
      </c>
      <c r="S326" t="s">
        <v>245</v>
      </c>
      <c r="T326" t="s">
        <v>274</v>
      </c>
      <c r="U326">
        <v>2.6608344496113098E-2</v>
      </c>
      <c r="V326" t="s">
        <v>164</v>
      </c>
    </row>
    <row r="327" spans="9:22" x14ac:dyDescent="0.45">
      <c r="I327" t="s">
        <v>182</v>
      </c>
      <c r="J327" t="s">
        <v>275</v>
      </c>
      <c r="K327">
        <v>0</v>
      </c>
      <c r="L327" t="s">
        <v>164</v>
      </c>
      <c r="N327" t="s">
        <v>218</v>
      </c>
      <c r="O327" t="s">
        <v>275</v>
      </c>
      <c r="P327">
        <v>1.1601218346199187E-2</v>
      </c>
      <c r="Q327" t="s">
        <v>164</v>
      </c>
      <c r="S327" t="s">
        <v>245</v>
      </c>
      <c r="T327" t="s">
        <v>275</v>
      </c>
      <c r="U327">
        <v>1.5127854879250216E-2</v>
      </c>
      <c r="V327" t="s">
        <v>164</v>
      </c>
    </row>
    <row r="328" spans="9:22" x14ac:dyDescent="0.45">
      <c r="I328" t="s">
        <v>182</v>
      </c>
      <c r="J328" t="s">
        <v>276</v>
      </c>
      <c r="K328">
        <v>0</v>
      </c>
      <c r="L328" t="s">
        <v>164</v>
      </c>
      <c r="N328" t="s">
        <v>218</v>
      </c>
      <c r="O328" t="s">
        <v>276</v>
      </c>
      <c r="P328">
        <v>5.3270024197501868E-3</v>
      </c>
      <c r="Q328" t="s">
        <v>164</v>
      </c>
      <c r="S328" t="s">
        <v>245</v>
      </c>
      <c r="T328" t="s">
        <v>276</v>
      </c>
      <c r="U328">
        <v>6.5594648480029379E-3</v>
      </c>
      <c r="V328" t="s">
        <v>164</v>
      </c>
    </row>
    <row r="329" spans="9:22" x14ac:dyDescent="0.45">
      <c r="I329" t="s">
        <v>182</v>
      </c>
      <c r="J329" t="s">
        <v>277</v>
      </c>
      <c r="K329">
        <v>1.9949241160806914E-3</v>
      </c>
      <c r="L329" t="s">
        <v>164</v>
      </c>
      <c r="N329" t="s">
        <v>218</v>
      </c>
      <c r="O329" t="s">
        <v>277</v>
      </c>
      <c r="P329">
        <v>3.6478382525192518E-2</v>
      </c>
      <c r="Q329" t="s">
        <v>164</v>
      </c>
      <c r="S329" t="s">
        <v>245</v>
      </c>
      <c r="T329" t="s">
        <v>277</v>
      </c>
      <c r="U329">
        <v>6.0285115481763969E-2</v>
      </c>
      <c r="V329" t="s">
        <v>164</v>
      </c>
    </row>
    <row r="330" spans="9:22" x14ac:dyDescent="0.45">
      <c r="I330" t="s">
        <v>182</v>
      </c>
      <c r="J330" t="s">
        <v>278</v>
      </c>
      <c r="K330">
        <v>5.7418297969944854E-2</v>
      </c>
      <c r="L330" t="s">
        <v>164</v>
      </c>
      <c r="N330" t="s">
        <v>218</v>
      </c>
      <c r="O330" t="s">
        <v>278</v>
      </c>
      <c r="P330">
        <v>4.4259526549215271E-2</v>
      </c>
      <c r="Q330" t="s">
        <v>164</v>
      </c>
      <c r="S330" t="s">
        <v>245</v>
      </c>
      <c r="T330" t="s">
        <v>278</v>
      </c>
      <c r="U330">
        <v>5.9903213279787669E-2</v>
      </c>
      <c r="V330" t="s">
        <v>164</v>
      </c>
    </row>
    <row r="331" spans="9:22" x14ac:dyDescent="0.45">
      <c r="I331" t="s">
        <v>182</v>
      </c>
      <c r="J331" t="s">
        <v>279</v>
      </c>
      <c r="K331">
        <v>2.576102818331608E-3</v>
      </c>
      <c r="L331" t="s">
        <v>164</v>
      </c>
      <c r="N331" t="s">
        <v>218</v>
      </c>
      <c r="O331" t="s">
        <v>279</v>
      </c>
      <c r="P331">
        <v>6.5933100866339836E-3</v>
      </c>
      <c r="Q331" t="s">
        <v>164</v>
      </c>
      <c r="S331" t="s">
        <v>245</v>
      </c>
      <c r="T331" t="s">
        <v>279</v>
      </c>
      <c r="U331">
        <v>9.5569124609919259E-3</v>
      </c>
      <c r="V331" t="s">
        <v>164</v>
      </c>
    </row>
    <row r="332" spans="9:22" x14ac:dyDescent="0.45">
      <c r="I332" t="s">
        <v>182</v>
      </c>
      <c r="J332" t="s">
        <v>280</v>
      </c>
      <c r="K332">
        <v>1.1751339462345457E-3</v>
      </c>
      <c r="L332" t="s">
        <v>164</v>
      </c>
      <c r="N332" t="s">
        <v>218</v>
      </c>
      <c r="O332" t="s">
        <v>280</v>
      </c>
      <c r="P332">
        <v>1.9896589570747206E-2</v>
      </c>
      <c r="Q332" t="s">
        <v>164</v>
      </c>
      <c r="S332" t="s">
        <v>245</v>
      </c>
      <c r="T332" t="s">
        <v>280</v>
      </c>
      <c r="U332">
        <v>2.6998814747422238E-2</v>
      </c>
      <c r="V332" t="s">
        <v>164</v>
      </c>
    </row>
    <row r="333" spans="9:22" x14ac:dyDescent="0.45">
      <c r="I333" t="s">
        <v>182</v>
      </c>
      <c r="J333" t="s">
        <v>281</v>
      </c>
      <c r="K333">
        <v>0</v>
      </c>
      <c r="L333" t="s">
        <v>164</v>
      </c>
      <c r="N333" t="s">
        <v>218</v>
      </c>
      <c r="O333" t="s">
        <v>281</v>
      </c>
      <c r="P333">
        <v>1.167568184352352E-2</v>
      </c>
      <c r="Q333" t="s">
        <v>164</v>
      </c>
      <c r="S333" t="s">
        <v>245</v>
      </c>
      <c r="T333" t="s">
        <v>281</v>
      </c>
      <c r="U333">
        <v>1.5570231129931965E-2</v>
      </c>
      <c r="V333" t="s">
        <v>164</v>
      </c>
    </row>
    <row r="334" spans="9:22" x14ac:dyDescent="0.45">
      <c r="I334" t="s">
        <v>182</v>
      </c>
      <c r="J334" t="s">
        <v>282</v>
      </c>
      <c r="K334">
        <v>0</v>
      </c>
      <c r="L334" t="s">
        <v>164</v>
      </c>
      <c r="N334" t="s">
        <v>218</v>
      </c>
      <c r="O334" t="s">
        <v>282</v>
      </c>
      <c r="P334">
        <v>5.3906945775634525E-3</v>
      </c>
      <c r="Q334" t="s">
        <v>164</v>
      </c>
      <c r="S334" t="s">
        <v>245</v>
      </c>
      <c r="T334" t="s">
        <v>282</v>
      </c>
      <c r="U334">
        <v>8.2863359237119946E-3</v>
      </c>
      <c r="V334" t="s">
        <v>164</v>
      </c>
    </row>
    <row r="335" spans="9:22" x14ac:dyDescent="0.45">
      <c r="I335" t="s">
        <v>182</v>
      </c>
      <c r="J335" t="s">
        <v>283</v>
      </c>
      <c r="K335">
        <v>2.0452864301567985E-3</v>
      </c>
      <c r="L335" t="s">
        <v>164</v>
      </c>
      <c r="N335" t="s">
        <v>218</v>
      </c>
      <c r="O335" t="s">
        <v>283</v>
      </c>
      <c r="P335">
        <v>5.2932077101829365E-2</v>
      </c>
      <c r="Q335" t="s">
        <v>164</v>
      </c>
      <c r="S335" t="s">
        <v>245</v>
      </c>
      <c r="T335" t="s">
        <v>283</v>
      </c>
      <c r="U335">
        <v>8.1217718034934799E-2</v>
      </c>
      <c r="V335" t="s">
        <v>164</v>
      </c>
    </row>
    <row r="336" spans="9:22" x14ac:dyDescent="0.45">
      <c r="I336" t="s">
        <v>182</v>
      </c>
      <c r="J336" t="s">
        <v>284</v>
      </c>
      <c r="K336">
        <v>6.048095289735618E-2</v>
      </c>
      <c r="L336" t="s">
        <v>164</v>
      </c>
      <c r="N336" t="s">
        <v>218</v>
      </c>
      <c r="O336" t="s">
        <v>284</v>
      </c>
      <c r="P336">
        <v>6.0471030908603708E-2</v>
      </c>
      <c r="Q336" t="s">
        <v>164</v>
      </c>
      <c r="S336" t="s">
        <v>245</v>
      </c>
      <c r="T336" t="s">
        <v>284</v>
      </c>
      <c r="U336">
        <v>9.0845272271870961E-2</v>
      </c>
      <c r="V336" t="s">
        <v>164</v>
      </c>
    </row>
    <row r="337" spans="9:22" x14ac:dyDescent="0.45">
      <c r="I337" t="s">
        <v>182</v>
      </c>
      <c r="J337" t="s">
        <v>285</v>
      </c>
      <c r="K337">
        <v>2.8777257448056948E-3</v>
      </c>
      <c r="L337" t="s">
        <v>164</v>
      </c>
      <c r="N337" t="s">
        <v>218</v>
      </c>
      <c r="O337" t="s">
        <v>285</v>
      </c>
      <c r="P337">
        <v>7.0292294395614503E-3</v>
      </c>
      <c r="Q337" t="s">
        <v>164</v>
      </c>
      <c r="S337" t="s">
        <v>245</v>
      </c>
      <c r="T337" t="s">
        <v>285</v>
      </c>
      <c r="U337">
        <v>1.1936476185824798E-2</v>
      </c>
      <c r="V337" t="s">
        <v>164</v>
      </c>
    </row>
    <row r="338" spans="9:22" x14ac:dyDescent="0.45">
      <c r="I338" t="s">
        <v>182</v>
      </c>
      <c r="J338" t="s">
        <v>286</v>
      </c>
      <c r="K338">
        <v>1.6168463664209428E-3</v>
      </c>
      <c r="L338" t="s">
        <v>164</v>
      </c>
      <c r="N338" t="s">
        <v>218</v>
      </c>
      <c r="O338" t="s">
        <v>286</v>
      </c>
      <c r="P338">
        <v>2.0525870504312111E-2</v>
      </c>
      <c r="Q338" t="s">
        <v>164</v>
      </c>
      <c r="S338" t="s">
        <v>245</v>
      </c>
      <c r="T338" t="s">
        <v>286</v>
      </c>
      <c r="U338">
        <v>3.1542226570900687E-2</v>
      </c>
      <c r="V338" t="s">
        <v>164</v>
      </c>
    </row>
    <row r="339" spans="9:22" x14ac:dyDescent="0.45">
      <c r="I339" t="s">
        <v>182</v>
      </c>
      <c r="J339" t="s">
        <v>287</v>
      </c>
      <c r="K339">
        <v>0</v>
      </c>
      <c r="L339" t="s">
        <v>164</v>
      </c>
      <c r="N339" t="s">
        <v>218</v>
      </c>
      <c r="O339" t="s">
        <v>287</v>
      </c>
      <c r="P339">
        <v>1.1001357453072244E-2</v>
      </c>
      <c r="Q339" t="s">
        <v>164</v>
      </c>
      <c r="S339" t="s">
        <v>245</v>
      </c>
      <c r="T339" t="s">
        <v>287</v>
      </c>
      <c r="U339">
        <v>1.798871193251653E-2</v>
      </c>
      <c r="V339" t="s">
        <v>164</v>
      </c>
    </row>
    <row r="340" spans="9:22" x14ac:dyDescent="0.45">
      <c r="I340" t="s">
        <v>182</v>
      </c>
      <c r="J340" t="s">
        <v>288</v>
      </c>
      <c r="K340">
        <v>0</v>
      </c>
      <c r="L340" t="s">
        <v>164</v>
      </c>
      <c r="N340" t="s">
        <v>218</v>
      </c>
      <c r="O340" t="s">
        <v>288</v>
      </c>
      <c r="P340">
        <v>5.5017964229084771E-3</v>
      </c>
      <c r="Q340" t="s">
        <v>164</v>
      </c>
      <c r="S340" t="s">
        <v>245</v>
      </c>
      <c r="T340" t="s">
        <v>288</v>
      </c>
      <c r="U340">
        <v>9.6711528219466849E-3</v>
      </c>
      <c r="V340" t="s">
        <v>164</v>
      </c>
    </row>
    <row r="341" spans="9:22" x14ac:dyDescent="0.45">
      <c r="I341" t="s">
        <v>182</v>
      </c>
      <c r="J341" t="s">
        <v>289</v>
      </c>
      <c r="K341">
        <v>1.898598795085012E-2</v>
      </c>
      <c r="L341" t="s">
        <v>164</v>
      </c>
      <c r="N341" t="s">
        <v>218</v>
      </c>
      <c r="O341" t="s">
        <v>289</v>
      </c>
      <c r="P341">
        <v>8.6525537757852475E-2</v>
      </c>
      <c r="Q341" t="s">
        <v>164</v>
      </c>
      <c r="S341" t="s">
        <v>245</v>
      </c>
      <c r="T341" t="s">
        <v>289</v>
      </c>
      <c r="U341">
        <v>5.6079693367897476E-2</v>
      </c>
      <c r="V341" t="s">
        <v>164</v>
      </c>
    </row>
    <row r="342" spans="9:22" x14ac:dyDescent="0.45">
      <c r="I342" t="s">
        <v>182</v>
      </c>
      <c r="J342" t="s">
        <v>290</v>
      </c>
      <c r="K342">
        <v>0.30883281949456548</v>
      </c>
      <c r="L342" t="s">
        <v>164</v>
      </c>
      <c r="N342" t="s">
        <v>218</v>
      </c>
      <c r="O342" t="s">
        <v>290</v>
      </c>
      <c r="P342">
        <v>7.4476576569734845E-2</v>
      </c>
      <c r="Q342" t="s">
        <v>164</v>
      </c>
      <c r="S342" t="s">
        <v>245</v>
      </c>
      <c r="T342" t="s">
        <v>290</v>
      </c>
      <c r="U342">
        <v>7.0420741360779915E-2</v>
      </c>
      <c r="V342" t="s">
        <v>164</v>
      </c>
    </row>
    <row r="343" spans="9:22" x14ac:dyDescent="0.45">
      <c r="I343" t="s">
        <v>182</v>
      </c>
      <c r="J343" t="s">
        <v>291</v>
      </c>
      <c r="K343">
        <v>1.0866950844646214E-2</v>
      </c>
      <c r="L343" t="s">
        <v>164</v>
      </c>
      <c r="N343" t="s">
        <v>218</v>
      </c>
      <c r="O343" t="s">
        <v>291</v>
      </c>
      <c r="P343">
        <v>1.4688993710928973E-2</v>
      </c>
      <c r="Q343" t="s">
        <v>164</v>
      </c>
      <c r="S343" t="s">
        <v>245</v>
      </c>
      <c r="T343" t="s">
        <v>291</v>
      </c>
      <c r="U343">
        <v>2.0008276195819106E-2</v>
      </c>
      <c r="V343" t="s">
        <v>164</v>
      </c>
    </row>
    <row r="344" spans="9:22" x14ac:dyDescent="0.45">
      <c r="I344" t="s">
        <v>182</v>
      </c>
      <c r="J344" t="s">
        <v>292</v>
      </c>
      <c r="K344">
        <v>4.4705335164518541E-5</v>
      </c>
      <c r="L344" t="s">
        <v>164</v>
      </c>
      <c r="N344" t="s">
        <v>218</v>
      </c>
      <c r="O344" t="s">
        <v>292</v>
      </c>
      <c r="P344">
        <v>4.6445419336533962E-2</v>
      </c>
      <c r="Q344" t="s">
        <v>164</v>
      </c>
      <c r="S344" t="s">
        <v>245</v>
      </c>
      <c r="T344" t="s">
        <v>292</v>
      </c>
      <c r="U344">
        <v>4.7281701670912918E-2</v>
      </c>
      <c r="V344" t="s">
        <v>164</v>
      </c>
    </row>
    <row r="345" spans="9:22" x14ac:dyDescent="0.45">
      <c r="I345" t="s">
        <v>182</v>
      </c>
      <c r="J345" t="s">
        <v>293</v>
      </c>
      <c r="K345">
        <v>0</v>
      </c>
      <c r="L345" t="s">
        <v>164</v>
      </c>
      <c r="N345" t="s">
        <v>218</v>
      </c>
      <c r="O345" t="s">
        <v>293</v>
      </c>
      <c r="P345">
        <v>2.6529957807459637E-2</v>
      </c>
      <c r="Q345" t="s">
        <v>164</v>
      </c>
      <c r="S345" t="s">
        <v>245</v>
      </c>
      <c r="T345" t="s">
        <v>293</v>
      </c>
      <c r="U345">
        <v>2.4933017571935119E-2</v>
      </c>
      <c r="V345" t="s">
        <v>164</v>
      </c>
    </row>
    <row r="346" spans="9:22" x14ac:dyDescent="0.45">
      <c r="I346" t="s">
        <v>182</v>
      </c>
      <c r="J346" t="s">
        <v>294</v>
      </c>
      <c r="K346">
        <v>0</v>
      </c>
      <c r="L346" t="s">
        <v>164</v>
      </c>
      <c r="N346" t="s">
        <v>218</v>
      </c>
      <c r="O346" t="s">
        <v>294</v>
      </c>
      <c r="P346">
        <v>1.2554409144516802E-2</v>
      </c>
      <c r="Q346" t="s">
        <v>164</v>
      </c>
      <c r="S346" t="s">
        <v>245</v>
      </c>
      <c r="T346" t="s">
        <v>294</v>
      </c>
      <c r="U346">
        <v>1.2675571014984342E-2</v>
      </c>
      <c r="V346" t="s">
        <v>164</v>
      </c>
    </row>
    <row r="347" spans="9:22" x14ac:dyDescent="0.45">
      <c r="I347" t="s">
        <v>183</v>
      </c>
      <c r="J347" t="s">
        <v>163</v>
      </c>
      <c r="K347">
        <v>6.640640282673943E-3</v>
      </c>
      <c r="L347" t="s">
        <v>164</v>
      </c>
      <c r="N347" t="s">
        <v>219</v>
      </c>
      <c r="O347" t="s">
        <v>163</v>
      </c>
      <c r="P347">
        <v>0.19234844576178581</v>
      </c>
      <c r="Q347" t="s">
        <v>164</v>
      </c>
      <c r="S347" t="s">
        <v>246</v>
      </c>
      <c r="T347" t="s">
        <v>163</v>
      </c>
      <c r="U347">
        <v>4.3232759399486891E-2</v>
      </c>
      <c r="V347" t="s">
        <v>164</v>
      </c>
    </row>
    <row r="348" spans="9:22" x14ac:dyDescent="0.45">
      <c r="I348" t="s">
        <v>183</v>
      </c>
      <c r="J348" t="s">
        <v>165</v>
      </c>
      <c r="K348">
        <v>0.17774361997185342</v>
      </c>
      <c r="L348" t="s">
        <v>164</v>
      </c>
      <c r="N348" t="s">
        <v>219</v>
      </c>
      <c r="O348" t="s">
        <v>165</v>
      </c>
      <c r="P348">
        <v>5.3412563174476319E-2</v>
      </c>
      <c r="Q348" t="s">
        <v>164</v>
      </c>
      <c r="S348" t="s">
        <v>246</v>
      </c>
      <c r="T348" t="s">
        <v>165</v>
      </c>
      <c r="U348">
        <v>3.7288423222231935E-2</v>
      </c>
      <c r="V348" t="s">
        <v>164</v>
      </c>
    </row>
    <row r="349" spans="9:22" x14ac:dyDescent="0.45">
      <c r="I349" t="s">
        <v>183</v>
      </c>
      <c r="J349" t="s">
        <v>166</v>
      </c>
      <c r="K349">
        <v>1.0218010778537776E-2</v>
      </c>
      <c r="L349" t="s">
        <v>164</v>
      </c>
      <c r="N349" t="s">
        <v>219</v>
      </c>
      <c r="O349" t="s">
        <v>166</v>
      </c>
      <c r="P349">
        <v>3.8262978733738192E-3</v>
      </c>
      <c r="Q349" t="s">
        <v>164</v>
      </c>
      <c r="S349" t="s">
        <v>246</v>
      </c>
      <c r="T349" t="s">
        <v>166</v>
      </c>
      <c r="U349">
        <v>1.0103806903680391E-2</v>
      </c>
      <c r="V349" t="s">
        <v>164</v>
      </c>
    </row>
    <row r="350" spans="9:22" x14ac:dyDescent="0.45">
      <c r="I350" t="s">
        <v>183</v>
      </c>
      <c r="J350" t="s">
        <v>265</v>
      </c>
      <c r="K350">
        <v>4.7125656762277762E-3</v>
      </c>
      <c r="L350" t="s">
        <v>164</v>
      </c>
      <c r="N350" t="s">
        <v>219</v>
      </c>
      <c r="O350" t="s">
        <v>265</v>
      </c>
      <c r="P350">
        <v>4.2562056225920505E-2</v>
      </c>
      <c r="Q350" t="s">
        <v>164</v>
      </c>
      <c r="S350" t="s">
        <v>246</v>
      </c>
      <c r="T350" t="s">
        <v>265</v>
      </c>
      <c r="U350">
        <v>3.5409420268415974E-2</v>
      </c>
      <c r="V350" t="s">
        <v>164</v>
      </c>
    </row>
    <row r="351" spans="9:22" x14ac:dyDescent="0.45">
      <c r="I351" t="s">
        <v>183</v>
      </c>
      <c r="J351" t="s">
        <v>266</v>
      </c>
      <c r="K351">
        <v>0</v>
      </c>
      <c r="L351" t="s">
        <v>164</v>
      </c>
      <c r="N351" t="s">
        <v>219</v>
      </c>
      <c r="O351" t="s">
        <v>266</v>
      </c>
      <c r="P351">
        <v>4.2333892168580863E-2</v>
      </c>
      <c r="Q351" t="s">
        <v>164</v>
      </c>
      <c r="S351" t="s">
        <v>246</v>
      </c>
      <c r="T351" t="s">
        <v>266</v>
      </c>
      <c r="U351">
        <v>1.9205523843505431E-2</v>
      </c>
      <c r="V351" t="s">
        <v>164</v>
      </c>
    </row>
    <row r="352" spans="9:22" x14ac:dyDescent="0.45">
      <c r="I352" t="s">
        <v>183</v>
      </c>
      <c r="J352" t="s">
        <v>267</v>
      </c>
      <c r="K352">
        <v>0</v>
      </c>
      <c r="L352" t="s">
        <v>164</v>
      </c>
      <c r="N352" t="s">
        <v>219</v>
      </c>
      <c r="O352" t="s">
        <v>267</v>
      </c>
      <c r="P352">
        <v>2.0889313953301816E-2</v>
      </c>
      <c r="Q352" t="s">
        <v>164</v>
      </c>
      <c r="S352" t="s">
        <v>246</v>
      </c>
      <c r="T352" t="s">
        <v>267</v>
      </c>
      <c r="U352">
        <v>7.4982738281095546E-3</v>
      </c>
      <c r="V352" t="s">
        <v>164</v>
      </c>
    </row>
    <row r="353" spans="9:22" x14ac:dyDescent="0.45">
      <c r="I353" t="s">
        <v>183</v>
      </c>
      <c r="J353" t="s">
        <v>167</v>
      </c>
      <c r="K353">
        <v>3.9477588791024532E-3</v>
      </c>
      <c r="L353" t="s">
        <v>164</v>
      </c>
      <c r="N353" t="s">
        <v>219</v>
      </c>
      <c r="O353" t="s">
        <v>167</v>
      </c>
      <c r="P353">
        <v>3.5989728061612672E-2</v>
      </c>
      <c r="Q353" t="s">
        <v>164</v>
      </c>
      <c r="S353" t="s">
        <v>246</v>
      </c>
      <c r="T353" t="s">
        <v>167</v>
      </c>
      <c r="U353">
        <v>2.68178860603304E-2</v>
      </c>
      <c r="V353" t="s">
        <v>164</v>
      </c>
    </row>
    <row r="354" spans="9:22" x14ac:dyDescent="0.45">
      <c r="I354" t="s">
        <v>183</v>
      </c>
      <c r="J354" t="s">
        <v>168</v>
      </c>
      <c r="K354">
        <v>8.8447442370351126E-2</v>
      </c>
      <c r="L354" t="s">
        <v>164</v>
      </c>
      <c r="N354" t="s">
        <v>219</v>
      </c>
      <c r="O354" t="s">
        <v>168</v>
      </c>
      <c r="P354">
        <v>9.8345769962487114E-3</v>
      </c>
      <c r="Q354" t="s">
        <v>164</v>
      </c>
      <c r="S354" t="s">
        <v>246</v>
      </c>
      <c r="T354" t="s">
        <v>168</v>
      </c>
      <c r="U354">
        <v>2.8216002829847701E-2</v>
      </c>
      <c r="V354" t="s">
        <v>164</v>
      </c>
    </row>
    <row r="355" spans="9:22" x14ac:dyDescent="0.45">
      <c r="I355" t="s">
        <v>183</v>
      </c>
      <c r="J355" t="s">
        <v>169</v>
      </c>
      <c r="K355">
        <v>4.3425718989295089E-3</v>
      </c>
      <c r="L355" t="s">
        <v>164</v>
      </c>
      <c r="N355" t="s">
        <v>219</v>
      </c>
      <c r="O355" t="s">
        <v>169</v>
      </c>
      <c r="P355">
        <v>5.1132498871085609E-4</v>
      </c>
      <c r="Q355" t="s">
        <v>164</v>
      </c>
      <c r="S355" t="s">
        <v>246</v>
      </c>
      <c r="T355" t="s">
        <v>169</v>
      </c>
      <c r="U355">
        <v>3.5654534217697755E-3</v>
      </c>
      <c r="V355" t="s">
        <v>164</v>
      </c>
    </row>
    <row r="356" spans="9:22" x14ac:dyDescent="0.45">
      <c r="I356" t="s">
        <v>183</v>
      </c>
      <c r="J356" t="s">
        <v>268</v>
      </c>
      <c r="K356">
        <v>2.2062950389569423E-3</v>
      </c>
      <c r="L356" t="s">
        <v>164</v>
      </c>
      <c r="N356" t="s">
        <v>219</v>
      </c>
      <c r="O356" t="s">
        <v>268</v>
      </c>
      <c r="P356">
        <v>8.2431886469236226E-3</v>
      </c>
      <c r="Q356" t="s">
        <v>164</v>
      </c>
      <c r="S356" t="s">
        <v>246</v>
      </c>
      <c r="T356" t="s">
        <v>268</v>
      </c>
      <c r="U356">
        <v>1.1617053790536836E-2</v>
      </c>
      <c r="V356" t="s">
        <v>164</v>
      </c>
    </row>
    <row r="357" spans="9:22" x14ac:dyDescent="0.45">
      <c r="I357" t="s">
        <v>183</v>
      </c>
      <c r="J357" t="s">
        <v>269</v>
      </c>
      <c r="K357">
        <v>0</v>
      </c>
      <c r="L357" t="s">
        <v>164</v>
      </c>
      <c r="N357" t="s">
        <v>219</v>
      </c>
      <c r="O357" t="s">
        <v>269</v>
      </c>
      <c r="P357">
        <v>6.9175718244987444E-3</v>
      </c>
      <c r="Q357" t="s">
        <v>164</v>
      </c>
      <c r="S357" t="s">
        <v>246</v>
      </c>
      <c r="T357" t="s">
        <v>269</v>
      </c>
      <c r="U357">
        <v>6.2560010478571867E-3</v>
      </c>
      <c r="V357" t="s">
        <v>164</v>
      </c>
    </row>
    <row r="358" spans="9:22" x14ac:dyDescent="0.45">
      <c r="I358" t="s">
        <v>183</v>
      </c>
      <c r="J358" t="s">
        <v>270</v>
      </c>
      <c r="K358">
        <v>0</v>
      </c>
      <c r="L358" t="s">
        <v>164</v>
      </c>
      <c r="N358" t="s">
        <v>219</v>
      </c>
      <c r="O358" t="s">
        <v>270</v>
      </c>
      <c r="P358">
        <v>2.984692879341493E-3</v>
      </c>
      <c r="Q358" t="s">
        <v>164</v>
      </c>
      <c r="S358" t="s">
        <v>246</v>
      </c>
      <c r="T358" t="s">
        <v>270</v>
      </c>
      <c r="U358">
        <v>2.6425550986021247E-3</v>
      </c>
      <c r="V358" t="s">
        <v>164</v>
      </c>
    </row>
    <row r="359" spans="9:22" x14ac:dyDescent="0.45">
      <c r="I359" t="s">
        <v>183</v>
      </c>
      <c r="J359" t="s">
        <v>170</v>
      </c>
      <c r="K359">
        <v>4.5005001570914095E-3</v>
      </c>
      <c r="L359" t="s">
        <v>164</v>
      </c>
      <c r="N359" t="s">
        <v>219</v>
      </c>
      <c r="O359" t="s">
        <v>170</v>
      </c>
      <c r="P359">
        <v>2.7338351735882147E-2</v>
      </c>
      <c r="Q359" t="s">
        <v>164</v>
      </c>
      <c r="S359" t="s">
        <v>246</v>
      </c>
      <c r="T359" t="s">
        <v>170</v>
      </c>
      <c r="U359">
        <v>1.0445989839431683E-2</v>
      </c>
      <c r="V359" t="s">
        <v>164</v>
      </c>
    </row>
    <row r="360" spans="9:22" x14ac:dyDescent="0.45">
      <c r="I360" t="s">
        <v>183</v>
      </c>
      <c r="J360" t="s">
        <v>171</v>
      </c>
      <c r="K360">
        <v>7.5234291764603847E-2</v>
      </c>
      <c r="L360" t="s">
        <v>164</v>
      </c>
      <c r="N360" t="s">
        <v>219</v>
      </c>
      <c r="O360" t="s">
        <v>171</v>
      </c>
      <c r="P360">
        <v>6.7902395359978442E-3</v>
      </c>
      <c r="Q360" t="s">
        <v>164</v>
      </c>
      <c r="S360" t="s">
        <v>246</v>
      </c>
      <c r="T360" t="s">
        <v>171</v>
      </c>
      <c r="U360">
        <v>1.5673804772981415E-2</v>
      </c>
      <c r="V360" t="s">
        <v>164</v>
      </c>
    </row>
    <row r="361" spans="9:22" x14ac:dyDescent="0.45">
      <c r="I361" t="s">
        <v>183</v>
      </c>
      <c r="J361" t="s">
        <v>172</v>
      </c>
      <c r="K361">
        <v>2.7313118800298812E-3</v>
      </c>
      <c r="L361" t="s">
        <v>164</v>
      </c>
      <c r="N361" t="s">
        <v>219</v>
      </c>
      <c r="O361" t="s">
        <v>172</v>
      </c>
      <c r="P361">
        <v>6.596118464557893E-4</v>
      </c>
      <c r="Q361" t="s">
        <v>164</v>
      </c>
      <c r="S361" t="s">
        <v>246</v>
      </c>
      <c r="T361" t="s">
        <v>172</v>
      </c>
      <c r="U361">
        <v>2.2089497221605245E-3</v>
      </c>
      <c r="V361" t="s">
        <v>164</v>
      </c>
    </row>
    <row r="362" spans="9:22" x14ac:dyDescent="0.45">
      <c r="I362" t="s">
        <v>183</v>
      </c>
      <c r="J362" t="s">
        <v>271</v>
      </c>
      <c r="K362">
        <v>1.514302088186151E-3</v>
      </c>
      <c r="L362" t="s">
        <v>164</v>
      </c>
      <c r="N362" t="s">
        <v>219</v>
      </c>
      <c r="O362" t="s">
        <v>271</v>
      </c>
      <c r="P362">
        <v>8.2525230022479513E-3</v>
      </c>
      <c r="Q362" t="s">
        <v>164</v>
      </c>
      <c r="S362" t="s">
        <v>246</v>
      </c>
      <c r="T362" t="s">
        <v>271</v>
      </c>
      <c r="U362">
        <v>6.7105018967905964E-3</v>
      </c>
      <c r="V362" t="s">
        <v>164</v>
      </c>
    </row>
    <row r="363" spans="9:22" x14ac:dyDescent="0.45">
      <c r="I363" t="s">
        <v>183</v>
      </c>
      <c r="J363" t="s">
        <v>272</v>
      </c>
      <c r="K363">
        <v>0</v>
      </c>
      <c r="L363" t="s">
        <v>164</v>
      </c>
      <c r="N363" t="s">
        <v>219</v>
      </c>
      <c r="O363" t="s">
        <v>272</v>
      </c>
      <c r="P363">
        <v>8.0447801702021923E-3</v>
      </c>
      <c r="Q363" t="s">
        <v>164</v>
      </c>
      <c r="S363" t="s">
        <v>246</v>
      </c>
      <c r="T363" t="s">
        <v>272</v>
      </c>
      <c r="U363">
        <v>4.5278361602120063E-3</v>
      </c>
      <c r="V363" t="s">
        <v>164</v>
      </c>
    </row>
    <row r="364" spans="9:22" x14ac:dyDescent="0.45">
      <c r="I364" t="s">
        <v>183</v>
      </c>
      <c r="J364" t="s">
        <v>273</v>
      </c>
      <c r="K364">
        <v>0</v>
      </c>
      <c r="L364" t="s">
        <v>164</v>
      </c>
      <c r="N364" t="s">
        <v>219</v>
      </c>
      <c r="O364" t="s">
        <v>273</v>
      </c>
      <c r="P364">
        <v>4.4421422807280533E-3</v>
      </c>
      <c r="Q364" t="s">
        <v>164</v>
      </c>
      <c r="S364" t="s">
        <v>246</v>
      </c>
      <c r="T364" t="s">
        <v>273</v>
      </c>
      <c r="U364">
        <v>2.516369275604165E-3</v>
      </c>
      <c r="V364" t="s">
        <v>164</v>
      </c>
    </row>
    <row r="365" spans="9:22" x14ac:dyDescent="0.45">
      <c r="I365" t="s">
        <v>183</v>
      </c>
      <c r="J365" t="s">
        <v>173</v>
      </c>
      <c r="K365">
        <v>6.554062893652123E-3</v>
      </c>
      <c r="L365" t="s">
        <v>164</v>
      </c>
      <c r="N365" t="s">
        <v>219</v>
      </c>
      <c r="O365" t="s">
        <v>173</v>
      </c>
      <c r="P365">
        <v>6.2852339526454859E-2</v>
      </c>
      <c r="Q365" t="s">
        <v>164</v>
      </c>
      <c r="S365" t="s">
        <v>246</v>
      </c>
      <c r="T365" t="s">
        <v>173</v>
      </c>
      <c r="U365">
        <v>2.923936210346588E-2</v>
      </c>
      <c r="V365" t="s">
        <v>164</v>
      </c>
    </row>
    <row r="366" spans="9:22" x14ac:dyDescent="0.45">
      <c r="I366" t="s">
        <v>183</v>
      </c>
      <c r="J366" t="s">
        <v>174</v>
      </c>
      <c r="K366">
        <v>0.13016612972770533</v>
      </c>
      <c r="L366" t="s">
        <v>164</v>
      </c>
      <c r="N366" t="s">
        <v>219</v>
      </c>
      <c r="O366" t="s">
        <v>174</v>
      </c>
      <c r="P366">
        <v>2.9557488990349108E-2</v>
      </c>
      <c r="Q366" t="s">
        <v>164</v>
      </c>
      <c r="S366" t="s">
        <v>246</v>
      </c>
      <c r="T366" t="s">
        <v>174</v>
      </c>
      <c r="U366">
        <v>4.7335943056306007E-2</v>
      </c>
      <c r="V366" t="s">
        <v>164</v>
      </c>
    </row>
    <row r="367" spans="9:22" x14ac:dyDescent="0.45">
      <c r="I367" t="s">
        <v>183</v>
      </c>
      <c r="J367" t="s">
        <v>175</v>
      </c>
      <c r="K367">
        <v>4.6783942219741073E-3</v>
      </c>
      <c r="L367" t="s">
        <v>164</v>
      </c>
      <c r="N367" t="s">
        <v>219</v>
      </c>
      <c r="O367" t="s">
        <v>175</v>
      </c>
      <c r="P367">
        <v>1.506551952825253E-3</v>
      </c>
      <c r="Q367" t="s">
        <v>164</v>
      </c>
      <c r="S367" t="s">
        <v>246</v>
      </c>
      <c r="T367" t="s">
        <v>175</v>
      </c>
      <c r="U367">
        <v>7.484711723921629E-3</v>
      </c>
      <c r="V367" t="s">
        <v>164</v>
      </c>
    </row>
    <row r="368" spans="9:22" x14ac:dyDescent="0.45">
      <c r="I368" t="s">
        <v>183</v>
      </c>
      <c r="J368" t="s">
        <v>274</v>
      </c>
      <c r="K368">
        <v>2.1378950441521861E-3</v>
      </c>
      <c r="L368" t="s">
        <v>164</v>
      </c>
      <c r="N368" t="s">
        <v>219</v>
      </c>
      <c r="O368" t="s">
        <v>274</v>
      </c>
      <c r="P368">
        <v>1.4594551647877353E-2</v>
      </c>
      <c r="Q368" t="s">
        <v>164</v>
      </c>
      <c r="S368" t="s">
        <v>246</v>
      </c>
      <c r="T368" t="s">
        <v>274</v>
      </c>
      <c r="U368">
        <v>2.1654616523125152E-2</v>
      </c>
      <c r="V368" t="s">
        <v>164</v>
      </c>
    </row>
    <row r="369" spans="9:22" x14ac:dyDescent="0.45">
      <c r="I369" t="s">
        <v>183</v>
      </c>
      <c r="J369" t="s">
        <v>275</v>
      </c>
      <c r="K369">
        <v>0</v>
      </c>
      <c r="L369" t="s">
        <v>164</v>
      </c>
      <c r="N369" t="s">
        <v>219</v>
      </c>
      <c r="O369" t="s">
        <v>275</v>
      </c>
      <c r="P369">
        <v>1.5142745742223867E-2</v>
      </c>
      <c r="Q369" t="s">
        <v>164</v>
      </c>
      <c r="S369" t="s">
        <v>246</v>
      </c>
      <c r="T369" t="s">
        <v>275</v>
      </c>
      <c r="U369">
        <v>1.3249159663265144E-2</v>
      </c>
      <c r="V369" t="s">
        <v>164</v>
      </c>
    </row>
    <row r="370" spans="9:22" x14ac:dyDescent="0.45">
      <c r="I370" t="s">
        <v>183</v>
      </c>
      <c r="J370" t="s">
        <v>276</v>
      </c>
      <c r="K370">
        <v>0</v>
      </c>
      <c r="L370" t="s">
        <v>164</v>
      </c>
      <c r="N370" t="s">
        <v>219</v>
      </c>
      <c r="O370" t="s">
        <v>276</v>
      </c>
      <c r="P370">
        <v>7.5254765727157591E-3</v>
      </c>
      <c r="Q370" t="s">
        <v>164</v>
      </c>
      <c r="S370" t="s">
        <v>246</v>
      </c>
      <c r="T370" t="s">
        <v>276</v>
      </c>
      <c r="U370">
        <v>6.3859342213463347E-3</v>
      </c>
      <c r="V370" t="s">
        <v>164</v>
      </c>
    </row>
    <row r="371" spans="9:22" x14ac:dyDescent="0.45">
      <c r="I371" t="s">
        <v>183</v>
      </c>
      <c r="J371" t="s">
        <v>277</v>
      </c>
      <c r="K371">
        <v>1.8086608114819946E-3</v>
      </c>
      <c r="L371" t="s">
        <v>164</v>
      </c>
      <c r="N371" t="s">
        <v>219</v>
      </c>
      <c r="O371" t="s">
        <v>277</v>
      </c>
      <c r="P371">
        <v>1.9616213164374573E-2</v>
      </c>
      <c r="Q371" t="s">
        <v>164</v>
      </c>
      <c r="S371" t="s">
        <v>246</v>
      </c>
      <c r="T371" t="s">
        <v>277</v>
      </c>
      <c r="U371">
        <v>4.4032751888369047E-2</v>
      </c>
      <c r="V371" t="s">
        <v>164</v>
      </c>
    </row>
    <row r="372" spans="9:22" x14ac:dyDescent="0.45">
      <c r="I372" t="s">
        <v>183</v>
      </c>
      <c r="J372" t="s">
        <v>278</v>
      </c>
      <c r="K372">
        <v>5.3199362692418067E-2</v>
      </c>
      <c r="L372" t="s">
        <v>164</v>
      </c>
      <c r="N372" t="s">
        <v>219</v>
      </c>
      <c r="O372" t="s">
        <v>278</v>
      </c>
      <c r="P372">
        <v>1.4981937326579715E-2</v>
      </c>
      <c r="Q372" t="s">
        <v>164</v>
      </c>
      <c r="S372" t="s">
        <v>246</v>
      </c>
      <c r="T372" t="s">
        <v>278</v>
      </c>
      <c r="U372">
        <v>5.7046075188724385E-2</v>
      </c>
      <c r="V372" t="s">
        <v>164</v>
      </c>
    </row>
    <row r="373" spans="9:22" x14ac:dyDescent="0.45">
      <c r="I373" t="s">
        <v>183</v>
      </c>
      <c r="J373" t="s">
        <v>279</v>
      </c>
      <c r="K373">
        <v>2.5719221503648572E-3</v>
      </c>
      <c r="L373" t="s">
        <v>164</v>
      </c>
      <c r="N373" t="s">
        <v>219</v>
      </c>
      <c r="O373" t="s">
        <v>279</v>
      </c>
      <c r="P373">
        <v>4.1180493359374158E-4</v>
      </c>
      <c r="Q373" t="s">
        <v>164</v>
      </c>
      <c r="S373" t="s">
        <v>246</v>
      </c>
      <c r="T373" t="s">
        <v>279</v>
      </c>
      <c r="U373">
        <v>8.121889067274006E-3</v>
      </c>
      <c r="V373" t="s">
        <v>164</v>
      </c>
    </row>
    <row r="374" spans="9:22" x14ac:dyDescent="0.45">
      <c r="I374" t="s">
        <v>183</v>
      </c>
      <c r="J374" t="s">
        <v>280</v>
      </c>
      <c r="K374">
        <v>1.2661406814632381E-3</v>
      </c>
      <c r="L374" t="s">
        <v>164</v>
      </c>
      <c r="N374" t="s">
        <v>219</v>
      </c>
      <c r="O374" t="s">
        <v>280</v>
      </c>
      <c r="P374">
        <v>3.9818840528868882E-3</v>
      </c>
      <c r="Q374" t="s">
        <v>164</v>
      </c>
      <c r="S374" t="s">
        <v>246</v>
      </c>
      <c r="T374" t="s">
        <v>280</v>
      </c>
      <c r="U374">
        <v>2.3039922878476869E-2</v>
      </c>
      <c r="V374" t="s">
        <v>164</v>
      </c>
    </row>
    <row r="375" spans="9:22" x14ac:dyDescent="0.45">
      <c r="I375" t="s">
        <v>183</v>
      </c>
      <c r="J375" t="s">
        <v>281</v>
      </c>
      <c r="K375">
        <v>0</v>
      </c>
      <c r="L375" t="s">
        <v>164</v>
      </c>
      <c r="N375" t="s">
        <v>219</v>
      </c>
      <c r="O375" t="s">
        <v>281</v>
      </c>
      <c r="P375">
        <v>3.0186623197032644E-3</v>
      </c>
      <c r="Q375" t="s">
        <v>164</v>
      </c>
      <c r="S375" t="s">
        <v>246</v>
      </c>
      <c r="T375" t="s">
        <v>281</v>
      </c>
      <c r="U375">
        <v>1.356930719149213E-2</v>
      </c>
      <c r="V375" t="s">
        <v>164</v>
      </c>
    </row>
    <row r="376" spans="9:22" x14ac:dyDescent="0.45">
      <c r="I376" t="s">
        <v>183</v>
      </c>
      <c r="J376" t="s">
        <v>282</v>
      </c>
      <c r="K376">
        <v>0</v>
      </c>
      <c r="L376" t="s">
        <v>164</v>
      </c>
      <c r="N376" t="s">
        <v>219</v>
      </c>
      <c r="O376" t="s">
        <v>282</v>
      </c>
      <c r="P376">
        <v>1.8838170494255228E-3</v>
      </c>
      <c r="Q376" t="s">
        <v>164</v>
      </c>
      <c r="S376" t="s">
        <v>246</v>
      </c>
      <c r="T376" t="s">
        <v>282</v>
      </c>
      <c r="U376">
        <v>6.6858266049286416E-3</v>
      </c>
      <c r="V376" t="s">
        <v>164</v>
      </c>
    </row>
    <row r="377" spans="9:22" x14ac:dyDescent="0.45">
      <c r="I377" t="s">
        <v>183</v>
      </c>
      <c r="J377" t="s">
        <v>283</v>
      </c>
      <c r="K377">
        <v>2.7225348667864503E-3</v>
      </c>
      <c r="L377" t="s">
        <v>164</v>
      </c>
      <c r="N377" t="s">
        <v>219</v>
      </c>
      <c r="O377" t="s">
        <v>283</v>
      </c>
      <c r="P377">
        <v>9.3866583006911621E-3</v>
      </c>
      <c r="Q377" t="s">
        <v>164</v>
      </c>
      <c r="S377" t="s">
        <v>246</v>
      </c>
      <c r="T377" t="s">
        <v>283</v>
      </c>
      <c r="U377">
        <v>6.5864397759606536E-2</v>
      </c>
      <c r="V377" t="s">
        <v>164</v>
      </c>
    </row>
    <row r="378" spans="9:22" x14ac:dyDescent="0.45">
      <c r="I378" t="s">
        <v>183</v>
      </c>
      <c r="J378" t="s">
        <v>284</v>
      </c>
      <c r="K378">
        <v>6.5973251340514086E-2</v>
      </c>
      <c r="L378" t="s">
        <v>164</v>
      </c>
      <c r="N378" t="s">
        <v>219</v>
      </c>
      <c r="O378" t="s">
        <v>284</v>
      </c>
      <c r="P378">
        <v>1.4519185961504713E-2</v>
      </c>
      <c r="Q378" t="s">
        <v>164</v>
      </c>
      <c r="S378" t="s">
        <v>246</v>
      </c>
      <c r="T378" t="s">
        <v>284</v>
      </c>
      <c r="U378">
        <v>8.0027437403425578E-2</v>
      </c>
      <c r="V378" t="s">
        <v>164</v>
      </c>
    </row>
    <row r="379" spans="9:22" x14ac:dyDescent="0.45">
      <c r="I379" t="s">
        <v>183</v>
      </c>
      <c r="J379" t="s">
        <v>285</v>
      </c>
      <c r="K379">
        <v>3.1900149918416901E-3</v>
      </c>
      <c r="L379" t="s">
        <v>164</v>
      </c>
      <c r="N379" t="s">
        <v>219</v>
      </c>
      <c r="O379" t="s">
        <v>285</v>
      </c>
      <c r="P379">
        <v>7.5058440455434022E-4</v>
      </c>
      <c r="Q379" t="s">
        <v>164</v>
      </c>
      <c r="S379" t="s">
        <v>246</v>
      </c>
      <c r="T379" t="s">
        <v>285</v>
      </c>
      <c r="U379">
        <v>1.0627315111248634E-2</v>
      </c>
      <c r="V379" t="s">
        <v>164</v>
      </c>
    </row>
    <row r="380" spans="9:22" x14ac:dyDescent="0.45">
      <c r="I380" t="s">
        <v>183</v>
      </c>
      <c r="J380" t="s">
        <v>286</v>
      </c>
      <c r="K380">
        <v>1.7541609622709353E-3</v>
      </c>
      <c r="L380" t="s">
        <v>164</v>
      </c>
      <c r="N380" t="s">
        <v>219</v>
      </c>
      <c r="O380" t="s">
        <v>286</v>
      </c>
      <c r="P380">
        <v>2.1702426827660162E-3</v>
      </c>
      <c r="Q380" t="s">
        <v>164</v>
      </c>
      <c r="S380" t="s">
        <v>246</v>
      </c>
      <c r="T380" t="s">
        <v>286</v>
      </c>
      <c r="U380">
        <v>2.7947191886223851E-2</v>
      </c>
      <c r="V380" t="s">
        <v>164</v>
      </c>
    </row>
    <row r="381" spans="9:22" x14ac:dyDescent="0.45">
      <c r="I381" t="s">
        <v>183</v>
      </c>
      <c r="J381" t="s">
        <v>287</v>
      </c>
      <c r="K381">
        <v>0</v>
      </c>
      <c r="L381" t="s">
        <v>164</v>
      </c>
      <c r="N381" t="s">
        <v>219</v>
      </c>
      <c r="O381" t="s">
        <v>287</v>
      </c>
      <c r="P381">
        <v>1.4031731138816682E-3</v>
      </c>
      <c r="Q381" t="s">
        <v>164</v>
      </c>
      <c r="S381" t="s">
        <v>246</v>
      </c>
      <c r="T381" t="s">
        <v>287</v>
      </c>
      <c r="U381">
        <v>1.6135485500553014E-2</v>
      </c>
      <c r="V381" t="s">
        <v>164</v>
      </c>
    </row>
    <row r="382" spans="9:22" x14ac:dyDescent="0.45">
      <c r="I382" t="s">
        <v>183</v>
      </c>
      <c r="J382" t="s">
        <v>288</v>
      </c>
      <c r="K382">
        <v>0</v>
      </c>
      <c r="L382" t="s">
        <v>164</v>
      </c>
      <c r="N382" t="s">
        <v>219</v>
      </c>
      <c r="O382" t="s">
        <v>288</v>
      </c>
      <c r="P382">
        <v>9.2529012195256008E-4</v>
      </c>
      <c r="Q382" t="s">
        <v>164</v>
      </c>
      <c r="S382" t="s">
        <v>246</v>
      </c>
      <c r="T382" t="s">
        <v>288</v>
      </c>
      <c r="U382">
        <v>8.1988020515686155E-3</v>
      </c>
      <c r="V382" t="s">
        <v>164</v>
      </c>
    </row>
    <row r="383" spans="9:22" x14ac:dyDescent="0.45">
      <c r="I383" t="s">
        <v>183</v>
      </c>
      <c r="J383" t="s">
        <v>289</v>
      </c>
      <c r="K383">
        <v>1.9288715181770805E-2</v>
      </c>
      <c r="L383" t="s">
        <v>164</v>
      </c>
      <c r="N383" t="s">
        <v>219</v>
      </c>
      <c r="O383" t="s">
        <v>289</v>
      </c>
      <c r="P383">
        <v>0.15778084856075242</v>
      </c>
      <c r="Q383" t="s">
        <v>164</v>
      </c>
      <c r="S383" t="s">
        <v>246</v>
      </c>
      <c r="T383" t="s">
        <v>289</v>
      </c>
      <c r="U383">
        <v>6.5977278886122828E-2</v>
      </c>
      <c r="V383" t="s">
        <v>164</v>
      </c>
    </row>
    <row r="384" spans="9:22" x14ac:dyDescent="0.45">
      <c r="I384" t="s">
        <v>183</v>
      </c>
      <c r="J384" t="s">
        <v>290</v>
      </c>
      <c r="K384">
        <v>0.30989701210296627</v>
      </c>
      <c r="L384" t="s">
        <v>164</v>
      </c>
      <c r="N384" t="s">
        <v>219</v>
      </c>
      <c r="O384" t="s">
        <v>290</v>
      </c>
      <c r="P384">
        <v>5.3368738696332838E-2</v>
      </c>
      <c r="Q384" t="s">
        <v>164</v>
      </c>
      <c r="S384" t="s">
        <v>246</v>
      </c>
      <c r="T384" t="s">
        <v>290</v>
      </c>
      <c r="U384">
        <v>8.2716713966744557E-2</v>
      </c>
      <c r="V384" t="s">
        <v>164</v>
      </c>
    </row>
    <row r="385" spans="9:22" x14ac:dyDescent="0.45">
      <c r="I385" t="s">
        <v>183</v>
      </c>
      <c r="J385" t="s">
        <v>291</v>
      </c>
      <c r="K385">
        <v>1.1871033371393429E-2</v>
      </c>
      <c r="L385" t="s">
        <v>164</v>
      </c>
      <c r="N385" t="s">
        <v>219</v>
      </c>
      <c r="O385" t="s">
        <v>291</v>
      </c>
      <c r="P385">
        <v>5.5914192284214617E-3</v>
      </c>
      <c r="Q385" t="s">
        <v>164</v>
      </c>
      <c r="S385" t="s">
        <v>246</v>
      </c>
      <c r="T385" t="s">
        <v>291</v>
      </c>
      <c r="U385">
        <v>1.4269545440778519E-2</v>
      </c>
      <c r="V385" t="s">
        <v>164</v>
      </c>
    </row>
    <row r="386" spans="9:22" x14ac:dyDescent="0.45">
      <c r="I386" t="s">
        <v>183</v>
      </c>
      <c r="J386" t="s">
        <v>292</v>
      </c>
      <c r="K386">
        <v>6.8139817270160285E-4</v>
      </c>
      <c r="L386" t="s">
        <v>164</v>
      </c>
      <c r="N386" t="s">
        <v>219</v>
      </c>
      <c r="O386" t="s">
        <v>292</v>
      </c>
      <c r="P386">
        <v>4.5676219536240618E-2</v>
      </c>
      <c r="Q386" t="s">
        <v>164</v>
      </c>
      <c r="S386" t="s">
        <v>246</v>
      </c>
      <c r="T386" t="s">
        <v>292</v>
      </c>
      <c r="U386">
        <v>3.9226013810963745E-2</v>
      </c>
      <c r="V386" t="s">
        <v>164</v>
      </c>
    </row>
    <row r="387" spans="9:22" x14ac:dyDescent="0.45">
      <c r="I387" t="s">
        <v>183</v>
      </c>
      <c r="J387" t="s">
        <v>293</v>
      </c>
      <c r="K387">
        <v>0</v>
      </c>
      <c r="L387" t="s">
        <v>164</v>
      </c>
      <c r="N387" t="s">
        <v>219</v>
      </c>
      <c r="O387" t="s">
        <v>293</v>
      </c>
      <c r="P387">
        <v>3.9306684671128883E-2</v>
      </c>
      <c r="Q387" t="s">
        <v>164</v>
      </c>
      <c r="S387" t="s">
        <v>246</v>
      </c>
      <c r="T387" t="s">
        <v>293</v>
      </c>
      <c r="U387">
        <v>2.4582238216624547E-2</v>
      </c>
      <c r="V387" t="s">
        <v>164</v>
      </c>
    </row>
    <row r="388" spans="9:22" x14ac:dyDescent="0.45">
      <c r="I388" t="s">
        <v>183</v>
      </c>
      <c r="J388" t="s">
        <v>294</v>
      </c>
      <c r="K388">
        <v>0</v>
      </c>
      <c r="L388" t="s">
        <v>164</v>
      </c>
      <c r="N388" t="s">
        <v>219</v>
      </c>
      <c r="O388" t="s">
        <v>294</v>
      </c>
      <c r="P388">
        <v>1.8666180316478102E-2</v>
      </c>
      <c r="Q388" t="s">
        <v>164</v>
      </c>
      <c r="S388" t="s">
        <v>246</v>
      </c>
      <c r="T388" t="s">
        <v>294</v>
      </c>
      <c r="U388">
        <v>1.264546847389008E-2</v>
      </c>
      <c r="V388" t="s">
        <v>164</v>
      </c>
    </row>
    <row r="389" spans="9:22" x14ac:dyDescent="0.45">
      <c r="I389" t="s">
        <v>184</v>
      </c>
      <c r="J389" t="s">
        <v>163</v>
      </c>
      <c r="K389">
        <v>4.9032759497633039E-3</v>
      </c>
      <c r="L389" t="s">
        <v>164</v>
      </c>
      <c r="N389" t="s">
        <v>220</v>
      </c>
      <c r="O389" t="s">
        <v>163</v>
      </c>
      <c r="P389">
        <v>0.14433286697448536</v>
      </c>
      <c r="Q389" t="s">
        <v>164</v>
      </c>
      <c r="S389" t="s">
        <v>247</v>
      </c>
      <c r="T389" t="s">
        <v>163</v>
      </c>
      <c r="U389">
        <v>4.6765835590589118E-2</v>
      </c>
      <c r="V389" t="s">
        <v>164</v>
      </c>
    </row>
    <row r="390" spans="9:22" x14ac:dyDescent="0.45">
      <c r="I390" t="s">
        <v>184</v>
      </c>
      <c r="J390" t="s">
        <v>165</v>
      </c>
      <c r="K390">
        <v>0.18133838945384517</v>
      </c>
      <c r="L390" t="s">
        <v>164</v>
      </c>
      <c r="N390" t="s">
        <v>220</v>
      </c>
      <c r="O390" t="s">
        <v>165</v>
      </c>
      <c r="P390">
        <v>5.7106314970261252E-2</v>
      </c>
      <c r="Q390" t="s">
        <v>164</v>
      </c>
      <c r="S390" t="s">
        <v>247</v>
      </c>
      <c r="T390" t="s">
        <v>165</v>
      </c>
      <c r="U390">
        <v>2.8360533539207762E-2</v>
      </c>
      <c r="V390" t="s">
        <v>164</v>
      </c>
    </row>
    <row r="391" spans="9:22" x14ac:dyDescent="0.45">
      <c r="I391" t="s">
        <v>184</v>
      </c>
      <c r="J391" t="s">
        <v>166</v>
      </c>
      <c r="K391">
        <v>1.0776862629427812E-2</v>
      </c>
      <c r="L391" t="s">
        <v>164</v>
      </c>
      <c r="N391" t="s">
        <v>220</v>
      </c>
      <c r="O391" t="s">
        <v>166</v>
      </c>
      <c r="P391">
        <v>6.1489536060721954E-3</v>
      </c>
      <c r="Q391" t="s">
        <v>164</v>
      </c>
      <c r="S391" t="s">
        <v>247</v>
      </c>
      <c r="T391" t="s">
        <v>166</v>
      </c>
      <c r="U391">
        <v>5.7376240870957562E-3</v>
      </c>
      <c r="V391" t="s">
        <v>164</v>
      </c>
    </row>
    <row r="392" spans="9:22" x14ac:dyDescent="0.45">
      <c r="I392" t="s">
        <v>184</v>
      </c>
      <c r="J392" t="s">
        <v>265</v>
      </c>
      <c r="K392">
        <v>4.3878974232201256E-3</v>
      </c>
      <c r="L392" t="s">
        <v>164</v>
      </c>
      <c r="N392" t="s">
        <v>220</v>
      </c>
      <c r="O392" t="s">
        <v>265</v>
      </c>
      <c r="P392">
        <v>4.1391808630429495E-2</v>
      </c>
      <c r="Q392" t="s">
        <v>164</v>
      </c>
      <c r="S392" t="s">
        <v>247</v>
      </c>
      <c r="T392" t="s">
        <v>265</v>
      </c>
      <c r="U392">
        <v>1.9126558796238567E-2</v>
      </c>
      <c r="V392" t="s">
        <v>164</v>
      </c>
    </row>
    <row r="393" spans="9:22" x14ac:dyDescent="0.45">
      <c r="I393" t="s">
        <v>184</v>
      </c>
      <c r="J393" t="s">
        <v>266</v>
      </c>
      <c r="K393">
        <v>0</v>
      </c>
      <c r="L393" t="s">
        <v>164</v>
      </c>
      <c r="N393" t="s">
        <v>220</v>
      </c>
      <c r="O393" t="s">
        <v>266</v>
      </c>
      <c r="P393">
        <v>3.1185455518086182E-2</v>
      </c>
      <c r="Q393" t="s">
        <v>164</v>
      </c>
      <c r="S393" t="s">
        <v>247</v>
      </c>
      <c r="T393" t="s">
        <v>266</v>
      </c>
      <c r="U393">
        <v>1.2897119785192779E-2</v>
      </c>
      <c r="V393" t="s">
        <v>164</v>
      </c>
    </row>
    <row r="394" spans="9:22" x14ac:dyDescent="0.45">
      <c r="I394" t="s">
        <v>184</v>
      </c>
      <c r="J394" t="s">
        <v>267</v>
      </c>
      <c r="K394">
        <v>0</v>
      </c>
      <c r="L394" t="s">
        <v>164</v>
      </c>
      <c r="N394" t="s">
        <v>220</v>
      </c>
      <c r="O394" t="s">
        <v>267</v>
      </c>
      <c r="P394">
        <v>1.4679959950298442E-2</v>
      </c>
      <c r="Q394" t="s">
        <v>164</v>
      </c>
      <c r="S394" t="s">
        <v>247</v>
      </c>
      <c r="T394" t="s">
        <v>267</v>
      </c>
      <c r="U394">
        <v>6.2047230041915088E-3</v>
      </c>
      <c r="V394" t="s">
        <v>164</v>
      </c>
    </row>
    <row r="395" spans="9:22" x14ac:dyDescent="0.45">
      <c r="I395" t="s">
        <v>184</v>
      </c>
      <c r="J395" t="s">
        <v>167</v>
      </c>
      <c r="K395">
        <v>3.371919512580587E-3</v>
      </c>
      <c r="L395" t="s">
        <v>164</v>
      </c>
      <c r="N395" t="s">
        <v>220</v>
      </c>
      <c r="O395" t="s">
        <v>167</v>
      </c>
      <c r="P395">
        <v>3.4055562835019246E-2</v>
      </c>
      <c r="Q395" t="s">
        <v>164</v>
      </c>
      <c r="S395" t="s">
        <v>247</v>
      </c>
      <c r="T395" t="s">
        <v>167</v>
      </c>
      <c r="U395">
        <v>2.5435019286805065E-2</v>
      </c>
      <c r="V395" t="s">
        <v>164</v>
      </c>
    </row>
    <row r="396" spans="9:22" x14ac:dyDescent="0.45">
      <c r="I396" t="s">
        <v>184</v>
      </c>
      <c r="J396" t="s">
        <v>168</v>
      </c>
      <c r="K396">
        <v>8.9076253423962096E-2</v>
      </c>
      <c r="L396" t="s">
        <v>164</v>
      </c>
      <c r="N396" t="s">
        <v>220</v>
      </c>
      <c r="O396" t="s">
        <v>168</v>
      </c>
      <c r="P396">
        <v>1.5103152629287724E-2</v>
      </c>
      <c r="Q396" t="s">
        <v>164</v>
      </c>
      <c r="S396" t="s">
        <v>247</v>
      </c>
      <c r="T396" t="s">
        <v>168</v>
      </c>
      <c r="U396">
        <v>2.1229933681537139E-2</v>
      </c>
      <c r="V396" t="s">
        <v>164</v>
      </c>
    </row>
    <row r="397" spans="9:22" x14ac:dyDescent="0.45">
      <c r="I397" t="s">
        <v>184</v>
      </c>
      <c r="J397" t="s">
        <v>169</v>
      </c>
      <c r="K397">
        <v>3.6055181948702279E-3</v>
      </c>
      <c r="L397" t="s">
        <v>164</v>
      </c>
      <c r="N397" t="s">
        <v>220</v>
      </c>
      <c r="O397" t="s">
        <v>169</v>
      </c>
      <c r="P397">
        <v>1.7071066346235899E-3</v>
      </c>
      <c r="Q397" t="s">
        <v>164</v>
      </c>
      <c r="S397" t="s">
        <v>247</v>
      </c>
      <c r="T397" t="s">
        <v>169</v>
      </c>
      <c r="U397">
        <v>2.6400784136015338E-3</v>
      </c>
      <c r="V397" t="s">
        <v>164</v>
      </c>
    </row>
    <row r="398" spans="9:22" x14ac:dyDescent="0.45">
      <c r="I398" t="s">
        <v>184</v>
      </c>
      <c r="J398" t="s">
        <v>268</v>
      </c>
      <c r="K398">
        <v>1.6264822094671867E-3</v>
      </c>
      <c r="L398" t="s">
        <v>164</v>
      </c>
      <c r="N398" t="s">
        <v>220</v>
      </c>
      <c r="O398" t="s">
        <v>268</v>
      </c>
      <c r="P398">
        <v>1.1446022509168029E-2</v>
      </c>
      <c r="Q398" t="s">
        <v>164</v>
      </c>
      <c r="S398" t="s">
        <v>247</v>
      </c>
      <c r="T398" t="s">
        <v>268</v>
      </c>
      <c r="U398">
        <v>8.2266990482819241E-3</v>
      </c>
      <c r="V398" t="s">
        <v>164</v>
      </c>
    </row>
    <row r="399" spans="9:22" x14ac:dyDescent="0.45">
      <c r="I399" t="s">
        <v>184</v>
      </c>
      <c r="J399" t="s">
        <v>269</v>
      </c>
      <c r="K399">
        <v>0</v>
      </c>
      <c r="L399" t="s">
        <v>164</v>
      </c>
      <c r="N399" t="s">
        <v>220</v>
      </c>
      <c r="O399" t="s">
        <v>269</v>
      </c>
      <c r="P399">
        <v>8.2168718408872615E-3</v>
      </c>
      <c r="Q399" t="s">
        <v>164</v>
      </c>
      <c r="S399" t="s">
        <v>247</v>
      </c>
      <c r="T399" t="s">
        <v>269</v>
      </c>
      <c r="U399">
        <v>5.0212051602191912E-3</v>
      </c>
      <c r="V399" t="s">
        <v>164</v>
      </c>
    </row>
    <row r="400" spans="9:22" x14ac:dyDescent="0.45">
      <c r="I400" t="s">
        <v>184</v>
      </c>
      <c r="J400" t="s">
        <v>270</v>
      </c>
      <c r="K400">
        <v>0</v>
      </c>
      <c r="L400" t="s">
        <v>164</v>
      </c>
      <c r="N400" t="s">
        <v>220</v>
      </c>
      <c r="O400" t="s">
        <v>270</v>
      </c>
      <c r="P400">
        <v>3.4846619993697198E-3</v>
      </c>
      <c r="Q400" t="s">
        <v>164</v>
      </c>
      <c r="S400" t="s">
        <v>247</v>
      </c>
      <c r="T400" t="s">
        <v>270</v>
      </c>
      <c r="U400">
        <v>2.1340503511335651E-3</v>
      </c>
      <c r="V400" t="s">
        <v>164</v>
      </c>
    </row>
    <row r="401" spans="9:22" x14ac:dyDescent="0.45">
      <c r="I401" t="s">
        <v>184</v>
      </c>
      <c r="J401" t="s">
        <v>170</v>
      </c>
      <c r="K401">
        <v>4.2295341967085167E-3</v>
      </c>
      <c r="L401" t="s">
        <v>164</v>
      </c>
      <c r="N401" t="s">
        <v>220</v>
      </c>
      <c r="O401" t="s">
        <v>170</v>
      </c>
      <c r="P401">
        <v>3.2528109328620373E-2</v>
      </c>
      <c r="Q401" t="s">
        <v>164</v>
      </c>
      <c r="S401" t="s">
        <v>247</v>
      </c>
      <c r="T401" t="s">
        <v>170</v>
      </c>
      <c r="U401">
        <v>1.2624844587808924E-2</v>
      </c>
      <c r="V401" t="s">
        <v>164</v>
      </c>
    </row>
    <row r="402" spans="9:22" x14ac:dyDescent="0.45">
      <c r="I402" t="s">
        <v>184</v>
      </c>
      <c r="J402" t="s">
        <v>171</v>
      </c>
      <c r="K402">
        <v>7.4187673193738937E-2</v>
      </c>
      <c r="L402" t="s">
        <v>164</v>
      </c>
      <c r="N402" t="s">
        <v>220</v>
      </c>
      <c r="O402" t="s">
        <v>171</v>
      </c>
      <c r="P402">
        <v>8.5666666663450977E-3</v>
      </c>
      <c r="Q402" t="s">
        <v>164</v>
      </c>
      <c r="S402" t="s">
        <v>247</v>
      </c>
      <c r="T402" t="s">
        <v>171</v>
      </c>
      <c r="U402">
        <v>1.1007158723412203E-2</v>
      </c>
      <c r="V402" t="s">
        <v>164</v>
      </c>
    </row>
    <row r="403" spans="9:22" x14ac:dyDescent="0.45">
      <c r="I403" t="s">
        <v>184</v>
      </c>
      <c r="J403" t="s">
        <v>172</v>
      </c>
      <c r="K403">
        <v>2.2601604970271805E-3</v>
      </c>
      <c r="L403" t="s">
        <v>164</v>
      </c>
      <c r="N403" t="s">
        <v>220</v>
      </c>
      <c r="O403" t="s">
        <v>172</v>
      </c>
      <c r="P403">
        <v>7.7425616651311891E-4</v>
      </c>
      <c r="Q403" t="s">
        <v>164</v>
      </c>
      <c r="S403" t="s">
        <v>247</v>
      </c>
      <c r="T403" t="s">
        <v>172</v>
      </c>
      <c r="U403">
        <v>2.0444663947478481E-3</v>
      </c>
      <c r="V403" t="s">
        <v>164</v>
      </c>
    </row>
    <row r="404" spans="9:22" x14ac:dyDescent="0.45">
      <c r="I404" t="s">
        <v>184</v>
      </c>
      <c r="J404" t="s">
        <v>271</v>
      </c>
      <c r="K404">
        <v>1.2471490317324172E-3</v>
      </c>
      <c r="L404" t="s">
        <v>164</v>
      </c>
      <c r="N404" t="s">
        <v>220</v>
      </c>
      <c r="O404" t="s">
        <v>271</v>
      </c>
      <c r="P404">
        <v>6.7629915343100705E-3</v>
      </c>
      <c r="Q404" t="s">
        <v>164</v>
      </c>
      <c r="S404" t="s">
        <v>247</v>
      </c>
      <c r="T404" t="s">
        <v>271</v>
      </c>
      <c r="U404">
        <v>5.3362956962766505E-3</v>
      </c>
      <c r="V404" t="s">
        <v>164</v>
      </c>
    </row>
    <row r="405" spans="9:22" x14ac:dyDescent="0.45">
      <c r="I405" t="s">
        <v>184</v>
      </c>
      <c r="J405" t="s">
        <v>272</v>
      </c>
      <c r="K405">
        <v>0</v>
      </c>
      <c r="L405" t="s">
        <v>164</v>
      </c>
      <c r="N405" t="s">
        <v>220</v>
      </c>
      <c r="O405" t="s">
        <v>272</v>
      </c>
      <c r="P405">
        <v>6.5343073302173288E-3</v>
      </c>
      <c r="Q405" t="s">
        <v>164</v>
      </c>
      <c r="S405" t="s">
        <v>247</v>
      </c>
      <c r="T405" t="s">
        <v>272</v>
      </c>
      <c r="U405">
        <v>3.727813137884263E-3</v>
      </c>
      <c r="V405" t="s">
        <v>164</v>
      </c>
    </row>
    <row r="406" spans="9:22" x14ac:dyDescent="0.45">
      <c r="I406" t="s">
        <v>184</v>
      </c>
      <c r="J406" t="s">
        <v>273</v>
      </c>
      <c r="K406">
        <v>0</v>
      </c>
      <c r="L406" t="s">
        <v>164</v>
      </c>
      <c r="N406" t="s">
        <v>220</v>
      </c>
      <c r="O406" t="s">
        <v>273</v>
      </c>
      <c r="P406">
        <v>3.9750954223766836E-3</v>
      </c>
      <c r="Q406" t="s">
        <v>164</v>
      </c>
      <c r="S406" t="s">
        <v>247</v>
      </c>
      <c r="T406" t="s">
        <v>273</v>
      </c>
      <c r="U406">
        <v>2.3320052993137988E-3</v>
      </c>
      <c r="V406" t="s">
        <v>164</v>
      </c>
    </row>
    <row r="407" spans="9:22" x14ac:dyDescent="0.45">
      <c r="I407" t="s">
        <v>184</v>
      </c>
      <c r="J407" t="s">
        <v>173</v>
      </c>
      <c r="K407">
        <v>8.2537865167824249E-3</v>
      </c>
      <c r="L407" t="s">
        <v>164</v>
      </c>
      <c r="N407" t="s">
        <v>220</v>
      </c>
      <c r="O407" t="s">
        <v>173</v>
      </c>
      <c r="P407">
        <v>8.9721187173089648E-2</v>
      </c>
      <c r="Q407" t="s">
        <v>164</v>
      </c>
      <c r="S407" t="s">
        <v>247</v>
      </c>
      <c r="T407" t="s">
        <v>173</v>
      </c>
      <c r="U407">
        <v>4.0186288377228749E-2</v>
      </c>
      <c r="V407" t="s">
        <v>164</v>
      </c>
    </row>
    <row r="408" spans="9:22" x14ac:dyDescent="0.45">
      <c r="I408" t="s">
        <v>184</v>
      </c>
      <c r="J408" t="s">
        <v>174</v>
      </c>
      <c r="K408">
        <v>0.13345185351626698</v>
      </c>
      <c r="L408" t="s">
        <v>164</v>
      </c>
      <c r="N408" t="s">
        <v>220</v>
      </c>
      <c r="O408" t="s">
        <v>174</v>
      </c>
      <c r="P408">
        <v>3.4721698818347947E-2</v>
      </c>
      <c r="Q408" t="s">
        <v>164</v>
      </c>
      <c r="S408" t="s">
        <v>247</v>
      </c>
      <c r="T408" t="s">
        <v>174</v>
      </c>
      <c r="U408">
        <v>4.3605042574609051E-2</v>
      </c>
      <c r="V408" t="s">
        <v>164</v>
      </c>
    </row>
    <row r="409" spans="9:22" x14ac:dyDescent="0.45">
      <c r="I409" t="s">
        <v>184</v>
      </c>
      <c r="J409" t="s">
        <v>175</v>
      </c>
      <c r="K409">
        <v>4.3298167498070786E-3</v>
      </c>
      <c r="L409" t="s">
        <v>164</v>
      </c>
      <c r="N409" t="s">
        <v>220</v>
      </c>
      <c r="O409" t="s">
        <v>175</v>
      </c>
      <c r="P409">
        <v>1.8981049996898917E-3</v>
      </c>
      <c r="Q409" t="s">
        <v>164</v>
      </c>
      <c r="S409" t="s">
        <v>247</v>
      </c>
      <c r="T409" t="s">
        <v>175</v>
      </c>
      <c r="U409">
        <v>6.4874216748569708E-3</v>
      </c>
      <c r="V409" t="s">
        <v>164</v>
      </c>
    </row>
    <row r="410" spans="9:22" x14ac:dyDescent="0.45">
      <c r="I410" t="s">
        <v>184</v>
      </c>
      <c r="J410" t="s">
        <v>274</v>
      </c>
      <c r="K410">
        <v>1.8878661023539356E-3</v>
      </c>
      <c r="L410" t="s">
        <v>164</v>
      </c>
      <c r="N410" t="s">
        <v>220</v>
      </c>
      <c r="O410" t="s">
        <v>274</v>
      </c>
      <c r="P410">
        <v>1.7685889199714633E-2</v>
      </c>
      <c r="Q410" t="s">
        <v>164</v>
      </c>
      <c r="S410" t="s">
        <v>247</v>
      </c>
      <c r="T410" t="s">
        <v>274</v>
      </c>
      <c r="U410">
        <v>1.9324887652993498E-2</v>
      </c>
      <c r="V410" t="s">
        <v>164</v>
      </c>
    </row>
    <row r="411" spans="9:22" x14ac:dyDescent="0.45">
      <c r="I411" t="s">
        <v>184</v>
      </c>
      <c r="J411" t="s">
        <v>275</v>
      </c>
      <c r="K411">
        <v>0</v>
      </c>
      <c r="L411" t="s">
        <v>164</v>
      </c>
      <c r="N411" t="s">
        <v>220</v>
      </c>
      <c r="O411" t="s">
        <v>275</v>
      </c>
      <c r="P411">
        <v>1.8787860723795125E-2</v>
      </c>
      <c r="Q411" t="s">
        <v>164</v>
      </c>
      <c r="S411" t="s">
        <v>247</v>
      </c>
      <c r="T411" t="s">
        <v>275</v>
      </c>
      <c r="U411">
        <v>1.4266681349538634E-2</v>
      </c>
      <c r="V411" t="s">
        <v>164</v>
      </c>
    </row>
    <row r="412" spans="9:22" x14ac:dyDescent="0.45">
      <c r="I412" t="s">
        <v>184</v>
      </c>
      <c r="J412" t="s">
        <v>276</v>
      </c>
      <c r="K412">
        <v>0</v>
      </c>
      <c r="L412" t="s">
        <v>164</v>
      </c>
      <c r="N412" t="s">
        <v>220</v>
      </c>
      <c r="O412" t="s">
        <v>276</v>
      </c>
      <c r="P412">
        <v>1.0399712803448138E-2</v>
      </c>
      <c r="Q412" t="s">
        <v>164</v>
      </c>
      <c r="S412" t="s">
        <v>247</v>
      </c>
      <c r="T412" t="s">
        <v>276</v>
      </c>
      <c r="U412">
        <v>7.4811053567999802E-3</v>
      </c>
      <c r="V412" t="s">
        <v>164</v>
      </c>
    </row>
    <row r="413" spans="9:22" x14ac:dyDescent="0.45">
      <c r="I413" t="s">
        <v>184</v>
      </c>
      <c r="J413" t="s">
        <v>277</v>
      </c>
      <c r="K413">
        <v>1.8773835056808848E-3</v>
      </c>
      <c r="L413" t="s">
        <v>164</v>
      </c>
      <c r="N413" t="s">
        <v>220</v>
      </c>
      <c r="O413" t="s">
        <v>277</v>
      </c>
      <c r="P413">
        <v>2.9396273162196885E-2</v>
      </c>
      <c r="Q413" t="s">
        <v>164</v>
      </c>
      <c r="S413" t="s">
        <v>247</v>
      </c>
      <c r="T413" t="s">
        <v>277</v>
      </c>
      <c r="U413">
        <v>6.3774470161424499E-2</v>
      </c>
      <c r="V413" t="s">
        <v>164</v>
      </c>
    </row>
    <row r="414" spans="9:22" x14ac:dyDescent="0.45">
      <c r="I414" t="s">
        <v>184</v>
      </c>
      <c r="J414" t="s">
        <v>278</v>
      </c>
      <c r="K414">
        <v>5.8710697842678509E-2</v>
      </c>
      <c r="L414" t="s">
        <v>164</v>
      </c>
      <c r="N414" t="s">
        <v>220</v>
      </c>
      <c r="O414" t="s">
        <v>278</v>
      </c>
      <c r="P414">
        <v>1.7130936502821135E-2</v>
      </c>
      <c r="Q414" t="s">
        <v>164</v>
      </c>
      <c r="S414" t="s">
        <v>247</v>
      </c>
      <c r="T414" t="s">
        <v>278</v>
      </c>
      <c r="U414">
        <v>6.3987343321100704E-2</v>
      </c>
      <c r="V414" t="s">
        <v>164</v>
      </c>
    </row>
    <row r="415" spans="9:22" x14ac:dyDescent="0.45">
      <c r="I415" t="s">
        <v>184</v>
      </c>
      <c r="J415" t="s">
        <v>279</v>
      </c>
      <c r="K415">
        <v>2.9129279837913058E-3</v>
      </c>
      <c r="L415" t="s">
        <v>164</v>
      </c>
      <c r="N415" t="s">
        <v>220</v>
      </c>
      <c r="O415" t="s">
        <v>279</v>
      </c>
      <c r="P415">
        <v>5.4463574062157689E-4</v>
      </c>
      <c r="Q415" t="s">
        <v>164</v>
      </c>
      <c r="S415" t="s">
        <v>247</v>
      </c>
      <c r="T415" t="s">
        <v>279</v>
      </c>
      <c r="U415">
        <v>7.8044193169097475E-3</v>
      </c>
      <c r="V415" t="s">
        <v>164</v>
      </c>
    </row>
    <row r="416" spans="9:22" x14ac:dyDescent="0.45">
      <c r="I416" t="s">
        <v>184</v>
      </c>
      <c r="J416" t="s">
        <v>280</v>
      </c>
      <c r="K416">
        <v>1.5186887853982805E-3</v>
      </c>
      <c r="L416" t="s">
        <v>164</v>
      </c>
      <c r="N416" t="s">
        <v>220</v>
      </c>
      <c r="O416" t="s">
        <v>280</v>
      </c>
      <c r="P416">
        <v>4.1626846327121438E-3</v>
      </c>
      <c r="Q416" t="s">
        <v>164</v>
      </c>
      <c r="S416" t="s">
        <v>247</v>
      </c>
      <c r="T416" t="s">
        <v>280</v>
      </c>
      <c r="U416">
        <v>2.2970448209583823E-2</v>
      </c>
      <c r="V416" t="s">
        <v>164</v>
      </c>
    </row>
    <row r="417" spans="9:22" x14ac:dyDescent="0.45">
      <c r="I417" t="s">
        <v>184</v>
      </c>
      <c r="J417" t="s">
        <v>281</v>
      </c>
      <c r="K417">
        <v>0</v>
      </c>
      <c r="L417" t="s">
        <v>164</v>
      </c>
      <c r="N417" t="s">
        <v>220</v>
      </c>
      <c r="O417" t="s">
        <v>281</v>
      </c>
      <c r="P417">
        <v>4.4582432490644841E-3</v>
      </c>
      <c r="Q417" t="s">
        <v>164</v>
      </c>
      <c r="S417" t="s">
        <v>247</v>
      </c>
      <c r="T417" t="s">
        <v>281</v>
      </c>
      <c r="U417">
        <v>1.5102322919615399E-2</v>
      </c>
      <c r="V417" t="s">
        <v>164</v>
      </c>
    </row>
    <row r="418" spans="9:22" x14ac:dyDescent="0.45">
      <c r="I418" t="s">
        <v>184</v>
      </c>
      <c r="J418" t="s">
        <v>282</v>
      </c>
      <c r="K418">
        <v>0</v>
      </c>
      <c r="L418" t="s">
        <v>164</v>
      </c>
      <c r="N418" t="s">
        <v>220</v>
      </c>
      <c r="O418" t="s">
        <v>282</v>
      </c>
      <c r="P418">
        <v>2.6865821675090568E-3</v>
      </c>
      <c r="Q418" t="s">
        <v>164</v>
      </c>
      <c r="S418" t="s">
        <v>247</v>
      </c>
      <c r="T418" t="s">
        <v>282</v>
      </c>
      <c r="U418">
        <v>8.1589777219038921E-3</v>
      </c>
      <c r="V418" t="s">
        <v>164</v>
      </c>
    </row>
    <row r="419" spans="9:22" x14ac:dyDescent="0.45">
      <c r="I419" t="s">
        <v>184</v>
      </c>
      <c r="J419" t="s">
        <v>283</v>
      </c>
      <c r="K419">
        <v>2.1384416858381003E-3</v>
      </c>
      <c r="L419" t="s">
        <v>164</v>
      </c>
      <c r="N419" t="s">
        <v>220</v>
      </c>
      <c r="O419" t="s">
        <v>283</v>
      </c>
      <c r="P419">
        <v>1.7069644754988202E-2</v>
      </c>
      <c r="Q419" t="s">
        <v>164</v>
      </c>
      <c r="S419" t="s">
        <v>247</v>
      </c>
      <c r="T419" t="s">
        <v>283</v>
      </c>
      <c r="U419">
        <v>7.7016734187125402E-2</v>
      </c>
      <c r="V419" t="s">
        <v>164</v>
      </c>
    </row>
    <row r="420" spans="9:22" x14ac:dyDescent="0.45">
      <c r="I420" t="s">
        <v>184</v>
      </c>
      <c r="J420" t="s">
        <v>284</v>
      </c>
      <c r="K420">
        <v>6.1635170538728093E-2</v>
      </c>
      <c r="L420" t="s">
        <v>164</v>
      </c>
      <c r="N420" t="s">
        <v>220</v>
      </c>
      <c r="O420" t="s">
        <v>284</v>
      </c>
      <c r="P420">
        <v>1.8421504482199449E-2</v>
      </c>
      <c r="Q420" t="s">
        <v>164</v>
      </c>
      <c r="S420" t="s">
        <v>247</v>
      </c>
      <c r="T420" t="s">
        <v>284</v>
      </c>
      <c r="U420">
        <v>7.6013004874411691E-2</v>
      </c>
      <c r="V420" t="s">
        <v>164</v>
      </c>
    </row>
    <row r="421" spans="9:22" x14ac:dyDescent="0.45">
      <c r="I421" t="s">
        <v>184</v>
      </c>
      <c r="J421" t="s">
        <v>285</v>
      </c>
      <c r="K421">
        <v>3.1075862908577488E-3</v>
      </c>
      <c r="L421" t="s">
        <v>164</v>
      </c>
      <c r="N421" t="s">
        <v>220</v>
      </c>
      <c r="O421" t="s">
        <v>285</v>
      </c>
      <c r="P421">
        <v>9.2944754903610349E-4</v>
      </c>
      <c r="Q421" t="s">
        <v>164</v>
      </c>
      <c r="S421" t="s">
        <v>247</v>
      </c>
      <c r="T421" t="s">
        <v>285</v>
      </c>
      <c r="U421">
        <v>8.8562690380845199E-3</v>
      </c>
      <c r="V421" t="s">
        <v>164</v>
      </c>
    </row>
    <row r="422" spans="9:22" x14ac:dyDescent="0.45">
      <c r="I422" t="s">
        <v>184</v>
      </c>
      <c r="J422" t="s">
        <v>286</v>
      </c>
      <c r="K422">
        <v>1.7585128106188735E-3</v>
      </c>
      <c r="L422" t="s">
        <v>164</v>
      </c>
      <c r="N422" t="s">
        <v>220</v>
      </c>
      <c r="O422" t="s">
        <v>286</v>
      </c>
      <c r="P422">
        <v>2.8176567748044432E-3</v>
      </c>
      <c r="Q422" t="s">
        <v>164</v>
      </c>
      <c r="S422" t="s">
        <v>247</v>
      </c>
      <c r="T422" t="s">
        <v>286</v>
      </c>
      <c r="U422">
        <v>2.584612303194829E-2</v>
      </c>
      <c r="V422" t="s">
        <v>164</v>
      </c>
    </row>
    <row r="423" spans="9:22" x14ac:dyDescent="0.45">
      <c r="I423" t="s">
        <v>184</v>
      </c>
      <c r="J423" t="s">
        <v>287</v>
      </c>
      <c r="K423">
        <v>0</v>
      </c>
      <c r="L423" t="s">
        <v>164</v>
      </c>
      <c r="N423" t="s">
        <v>220</v>
      </c>
      <c r="O423" t="s">
        <v>287</v>
      </c>
      <c r="P423">
        <v>2.5614672150850296E-3</v>
      </c>
      <c r="Q423" t="s">
        <v>164</v>
      </c>
      <c r="S423" t="s">
        <v>247</v>
      </c>
      <c r="T423" t="s">
        <v>287</v>
      </c>
      <c r="U423">
        <v>1.7005371422633506E-2</v>
      </c>
      <c r="V423" t="s">
        <v>164</v>
      </c>
    </row>
    <row r="424" spans="9:22" x14ac:dyDescent="0.45">
      <c r="I424" t="s">
        <v>184</v>
      </c>
      <c r="J424" t="s">
        <v>288</v>
      </c>
      <c r="K424">
        <v>0</v>
      </c>
      <c r="L424" t="s">
        <v>164</v>
      </c>
      <c r="N424" t="s">
        <v>220</v>
      </c>
      <c r="O424" t="s">
        <v>288</v>
      </c>
      <c r="P424">
        <v>1.5280722288226324E-3</v>
      </c>
      <c r="Q424" t="s">
        <v>164</v>
      </c>
      <c r="S424" t="s">
        <v>247</v>
      </c>
      <c r="T424" t="s">
        <v>288</v>
      </c>
      <c r="U424">
        <v>9.161730775869634E-3</v>
      </c>
      <c r="V424" t="s">
        <v>164</v>
      </c>
    </row>
    <row r="425" spans="9:22" x14ac:dyDescent="0.45">
      <c r="I425" t="s">
        <v>184</v>
      </c>
      <c r="J425" t="s">
        <v>289</v>
      </c>
      <c r="K425">
        <v>1.4835604059114495E-2</v>
      </c>
      <c r="L425" t="s">
        <v>164</v>
      </c>
      <c r="N425" t="s">
        <v>220</v>
      </c>
      <c r="O425" t="s">
        <v>289</v>
      </c>
      <c r="P425">
        <v>0.13642244932616485</v>
      </c>
      <c r="Q425" t="s">
        <v>164</v>
      </c>
      <c r="S425" t="s">
        <v>247</v>
      </c>
      <c r="T425" t="s">
        <v>289</v>
      </c>
      <c r="U425">
        <v>8.386887870318141E-2</v>
      </c>
      <c r="V425" t="s">
        <v>164</v>
      </c>
    </row>
    <row r="426" spans="9:22" x14ac:dyDescent="0.45">
      <c r="I426" t="s">
        <v>184</v>
      </c>
      <c r="J426" t="s">
        <v>290</v>
      </c>
      <c r="K426">
        <v>0.31085024134391159</v>
      </c>
      <c r="L426" t="s">
        <v>164</v>
      </c>
      <c r="N426" t="s">
        <v>220</v>
      </c>
      <c r="O426" t="s">
        <v>290</v>
      </c>
      <c r="P426">
        <v>6.7159790454013296E-2</v>
      </c>
      <c r="Q426" t="s">
        <v>164</v>
      </c>
      <c r="S426" t="s">
        <v>247</v>
      </c>
      <c r="T426" t="s">
        <v>290</v>
      </c>
      <c r="U426">
        <v>8.4159966138492207E-2</v>
      </c>
      <c r="V426" t="s">
        <v>164</v>
      </c>
    </row>
    <row r="427" spans="9:22" x14ac:dyDescent="0.45">
      <c r="I427" t="s">
        <v>184</v>
      </c>
      <c r="J427" t="s">
        <v>291</v>
      </c>
      <c r="K427">
        <v>1.1053565735092712E-2</v>
      </c>
      <c r="L427" t="s">
        <v>164</v>
      </c>
      <c r="N427" t="s">
        <v>220</v>
      </c>
      <c r="O427" t="s">
        <v>291</v>
      </c>
      <c r="P427">
        <v>7.7517761028464216E-3</v>
      </c>
      <c r="Q427" t="s">
        <v>164</v>
      </c>
      <c r="S427" t="s">
        <v>247</v>
      </c>
      <c r="T427" t="s">
        <v>291</v>
      </c>
      <c r="U427">
        <v>1.310834583215665E-2</v>
      </c>
      <c r="V427" t="s">
        <v>164</v>
      </c>
    </row>
    <row r="428" spans="9:22" x14ac:dyDescent="0.45">
      <c r="I428" t="s">
        <v>184</v>
      </c>
      <c r="J428" t="s">
        <v>292</v>
      </c>
      <c r="K428">
        <v>6.667408167326202E-4</v>
      </c>
      <c r="L428" t="s">
        <v>164</v>
      </c>
      <c r="N428" t="s">
        <v>220</v>
      </c>
      <c r="O428" t="s">
        <v>292</v>
      </c>
      <c r="P428">
        <v>4.1140727065188197E-2</v>
      </c>
      <c r="Q428" t="s">
        <v>164</v>
      </c>
      <c r="S428" t="s">
        <v>247</v>
      </c>
      <c r="T428" t="s">
        <v>292</v>
      </c>
      <c r="U428">
        <v>3.4870159991475358E-2</v>
      </c>
      <c r="V428" t="s">
        <v>164</v>
      </c>
    </row>
    <row r="429" spans="9:22" x14ac:dyDescent="0.45">
      <c r="I429" t="s">
        <v>184</v>
      </c>
      <c r="J429" t="s">
        <v>293</v>
      </c>
      <c r="K429">
        <v>0</v>
      </c>
      <c r="L429" t="s">
        <v>164</v>
      </c>
      <c r="N429" t="s">
        <v>220</v>
      </c>
      <c r="O429" t="s">
        <v>293</v>
      </c>
      <c r="P429">
        <v>2.9985049993280916E-2</v>
      </c>
      <c r="Q429" t="s">
        <v>164</v>
      </c>
      <c r="S429" t="s">
        <v>247</v>
      </c>
      <c r="T429" t="s">
        <v>293</v>
      </c>
      <c r="U429">
        <v>2.3225435163196653E-2</v>
      </c>
      <c r="V429" t="s">
        <v>164</v>
      </c>
    </row>
    <row r="430" spans="9:22" x14ac:dyDescent="0.45">
      <c r="I430" t="s">
        <v>184</v>
      </c>
      <c r="J430" t="s">
        <v>294</v>
      </c>
      <c r="K430">
        <v>0</v>
      </c>
      <c r="L430" t="s">
        <v>164</v>
      </c>
      <c r="N430" t="s">
        <v>220</v>
      </c>
      <c r="O430" t="s">
        <v>294</v>
      </c>
      <c r="P430">
        <v>1.4618440334188184E-2</v>
      </c>
      <c r="Q430" t="s">
        <v>164</v>
      </c>
      <c r="S430" t="s">
        <v>247</v>
      </c>
      <c r="T430" t="s">
        <v>294</v>
      </c>
      <c r="U430">
        <v>1.2866607621322875E-2</v>
      </c>
      <c r="V430" t="s">
        <v>164</v>
      </c>
    </row>
    <row r="431" spans="9:22" x14ac:dyDescent="0.45">
      <c r="I431" t="s">
        <v>185</v>
      </c>
      <c r="J431" t="s">
        <v>163</v>
      </c>
      <c r="K431">
        <v>4.9936871820386846E-3</v>
      </c>
      <c r="L431" t="s">
        <v>164</v>
      </c>
      <c r="N431" t="s">
        <v>221</v>
      </c>
      <c r="O431" t="s">
        <v>163</v>
      </c>
      <c r="P431">
        <v>0.12544560043291134</v>
      </c>
      <c r="Q431" t="s">
        <v>164</v>
      </c>
    </row>
    <row r="432" spans="9:22" x14ac:dyDescent="0.45">
      <c r="I432" t="s">
        <v>185</v>
      </c>
      <c r="J432" t="s">
        <v>165</v>
      </c>
      <c r="K432">
        <v>0.18572144616118683</v>
      </c>
      <c r="L432" t="s">
        <v>164</v>
      </c>
      <c r="N432" t="s">
        <v>221</v>
      </c>
      <c r="O432" t="s">
        <v>165</v>
      </c>
      <c r="P432">
        <v>3.377142977444364E-2</v>
      </c>
      <c r="Q432" t="s">
        <v>164</v>
      </c>
    </row>
    <row r="433" spans="9:17" x14ac:dyDescent="0.45">
      <c r="I433" t="s">
        <v>185</v>
      </c>
      <c r="J433" t="s">
        <v>166</v>
      </c>
      <c r="K433">
        <v>1.1749123364340549E-2</v>
      </c>
      <c r="L433" t="s">
        <v>164</v>
      </c>
      <c r="N433" t="s">
        <v>221</v>
      </c>
      <c r="O433" t="s">
        <v>166</v>
      </c>
      <c r="P433">
        <v>3.8317550919479441E-3</v>
      </c>
      <c r="Q433" t="s">
        <v>164</v>
      </c>
    </row>
    <row r="434" spans="9:17" x14ac:dyDescent="0.45">
      <c r="I434" t="s">
        <v>185</v>
      </c>
      <c r="J434" t="s">
        <v>265</v>
      </c>
      <c r="K434">
        <v>3.8662042060323698E-3</v>
      </c>
      <c r="L434" t="s">
        <v>164</v>
      </c>
      <c r="N434" t="s">
        <v>221</v>
      </c>
      <c r="O434" t="s">
        <v>265</v>
      </c>
      <c r="P434">
        <v>2.925608087461912E-2</v>
      </c>
      <c r="Q434" t="s">
        <v>164</v>
      </c>
    </row>
    <row r="435" spans="9:17" x14ac:dyDescent="0.45">
      <c r="I435" t="s">
        <v>185</v>
      </c>
      <c r="J435" t="s">
        <v>266</v>
      </c>
      <c r="K435">
        <v>0</v>
      </c>
      <c r="L435" t="s">
        <v>164</v>
      </c>
      <c r="N435" t="s">
        <v>221</v>
      </c>
      <c r="O435" t="s">
        <v>266</v>
      </c>
      <c r="P435">
        <v>2.901700575864883E-2</v>
      </c>
      <c r="Q435" t="s">
        <v>164</v>
      </c>
    </row>
    <row r="436" spans="9:17" x14ac:dyDescent="0.45">
      <c r="I436" t="s">
        <v>185</v>
      </c>
      <c r="J436" t="s">
        <v>267</v>
      </c>
      <c r="K436">
        <v>0</v>
      </c>
      <c r="L436" t="s">
        <v>164</v>
      </c>
      <c r="N436" t="s">
        <v>221</v>
      </c>
      <c r="O436" t="s">
        <v>267</v>
      </c>
      <c r="P436">
        <v>1.5104367162723871E-2</v>
      </c>
      <c r="Q436" t="s">
        <v>164</v>
      </c>
    </row>
    <row r="437" spans="9:17" x14ac:dyDescent="0.45">
      <c r="I437" t="s">
        <v>185</v>
      </c>
      <c r="J437" t="s">
        <v>167</v>
      </c>
      <c r="K437">
        <v>2.6642790795335779E-3</v>
      </c>
      <c r="L437" t="s">
        <v>164</v>
      </c>
      <c r="N437" t="s">
        <v>221</v>
      </c>
      <c r="O437" t="s">
        <v>167</v>
      </c>
      <c r="P437">
        <v>6.949578776706547E-2</v>
      </c>
      <c r="Q437" t="s">
        <v>164</v>
      </c>
    </row>
    <row r="438" spans="9:17" x14ac:dyDescent="0.45">
      <c r="I438" t="s">
        <v>185</v>
      </c>
      <c r="J438" t="s">
        <v>168</v>
      </c>
      <c r="K438">
        <v>8.8297351834851559E-2</v>
      </c>
      <c r="L438" t="s">
        <v>164</v>
      </c>
      <c r="N438" t="s">
        <v>221</v>
      </c>
      <c r="O438" t="s">
        <v>168</v>
      </c>
      <c r="P438">
        <v>1.4132575412925379E-2</v>
      </c>
      <c r="Q438" t="s">
        <v>164</v>
      </c>
    </row>
    <row r="439" spans="9:17" x14ac:dyDescent="0.45">
      <c r="I439" t="s">
        <v>185</v>
      </c>
      <c r="J439" t="s">
        <v>169</v>
      </c>
      <c r="K439">
        <v>4.513404448059523E-3</v>
      </c>
      <c r="L439" t="s">
        <v>164</v>
      </c>
      <c r="N439" t="s">
        <v>221</v>
      </c>
      <c r="O439" t="s">
        <v>169</v>
      </c>
      <c r="P439">
        <v>1.1603003209041634E-3</v>
      </c>
      <c r="Q439" t="s">
        <v>164</v>
      </c>
    </row>
    <row r="440" spans="9:17" x14ac:dyDescent="0.45">
      <c r="I440" t="s">
        <v>185</v>
      </c>
      <c r="J440" t="s">
        <v>268</v>
      </c>
      <c r="K440">
        <v>2.0455531668759817E-3</v>
      </c>
      <c r="L440" t="s">
        <v>164</v>
      </c>
      <c r="N440" t="s">
        <v>221</v>
      </c>
      <c r="O440" t="s">
        <v>268</v>
      </c>
      <c r="P440">
        <v>1.0166541122311778E-2</v>
      </c>
      <c r="Q440" t="s">
        <v>164</v>
      </c>
    </row>
    <row r="441" spans="9:17" x14ac:dyDescent="0.45">
      <c r="I441" t="s">
        <v>185</v>
      </c>
      <c r="J441" t="s">
        <v>269</v>
      </c>
      <c r="K441">
        <v>0</v>
      </c>
      <c r="L441" t="s">
        <v>164</v>
      </c>
      <c r="N441" t="s">
        <v>221</v>
      </c>
      <c r="O441" t="s">
        <v>269</v>
      </c>
      <c r="P441">
        <v>9.6242212132371611E-3</v>
      </c>
      <c r="Q441" t="s">
        <v>164</v>
      </c>
    </row>
    <row r="442" spans="9:17" x14ac:dyDescent="0.45">
      <c r="I442" t="s">
        <v>185</v>
      </c>
      <c r="J442" t="s">
        <v>270</v>
      </c>
      <c r="K442">
        <v>0</v>
      </c>
      <c r="L442" t="s">
        <v>164</v>
      </c>
      <c r="N442" t="s">
        <v>221</v>
      </c>
      <c r="O442" t="s">
        <v>270</v>
      </c>
      <c r="P442">
        <v>5.0600572861895449E-3</v>
      </c>
      <c r="Q442" t="s">
        <v>164</v>
      </c>
    </row>
    <row r="443" spans="9:17" x14ac:dyDescent="0.45">
      <c r="I443" t="s">
        <v>185</v>
      </c>
      <c r="J443" t="s">
        <v>170</v>
      </c>
      <c r="K443">
        <v>4.0822632881966575E-3</v>
      </c>
      <c r="L443" t="s">
        <v>164</v>
      </c>
      <c r="N443" t="s">
        <v>221</v>
      </c>
      <c r="O443" t="s">
        <v>170</v>
      </c>
      <c r="P443">
        <v>6.1102175546875644E-2</v>
      </c>
      <c r="Q443" t="s">
        <v>164</v>
      </c>
    </row>
    <row r="444" spans="9:17" x14ac:dyDescent="0.45">
      <c r="I444" t="s">
        <v>185</v>
      </c>
      <c r="J444" t="s">
        <v>171</v>
      </c>
      <c r="K444">
        <v>7.470821267222201E-2</v>
      </c>
      <c r="L444" t="s">
        <v>164</v>
      </c>
      <c r="N444" t="s">
        <v>221</v>
      </c>
      <c r="O444" t="s">
        <v>171</v>
      </c>
      <c r="P444">
        <v>1.1733323563112505E-2</v>
      </c>
      <c r="Q444" t="s">
        <v>164</v>
      </c>
    </row>
    <row r="445" spans="9:17" x14ac:dyDescent="0.45">
      <c r="I445" t="s">
        <v>185</v>
      </c>
      <c r="J445" t="s">
        <v>172</v>
      </c>
      <c r="K445">
        <v>2.74429172778587E-3</v>
      </c>
      <c r="L445" t="s">
        <v>164</v>
      </c>
      <c r="N445" t="s">
        <v>221</v>
      </c>
      <c r="O445" t="s">
        <v>172</v>
      </c>
      <c r="P445">
        <v>5.8651140586404567E-4</v>
      </c>
      <c r="Q445" t="s">
        <v>164</v>
      </c>
    </row>
    <row r="446" spans="9:17" x14ac:dyDescent="0.45">
      <c r="I446" t="s">
        <v>185</v>
      </c>
      <c r="J446" t="s">
        <v>271</v>
      </c>
      <c r="K446">
        <v>1.3084382551219187E-3</v>
      </c>
      <c r="L446" t="s">
        <v>164</v>
      </c>
      <c r="N446" t="s">
        <v>221</v>
      </c>
      <c r="O446" t="s">
        <v>271</v>
      </c>
      <c r="P446">
        <v>7.2428448515273478E-3</v>
      </c>
      <c r="Q446" t="s">
        <v>164</v>
      </c>
    </row>
    <row r="447" spans="9:17" x14ac:dyDescent="0.45">
      <c r="I447" t="s">
        <v>185</v>
      </c>
      <c r="J447" t="s">
        <v>272</v>
      </c>
      <c r="K447">
        <v>0</v>
      </c>
      <c r="L447" t="s">
        <v>164</v>
      </c>
      <c r="N447" t="s">
        <v>221</v>
      </c>
      <c r="O447" t="s">
        <v>272</v>
      </c>
      <c r="P447">
        <v>9.4156603444478393E-3</v>
      </c>
      <c r="Q447" t="s">
        <v>164</v>
      </c>
    </row>
    <row r="448" spans="9:17" x14ac:dyDescent="0.45">
      <c r="I448" t="s">
        <v>185</v>
      </c>
      <c r="J448" t="s">
        <v>273</v>
      </c>
      <c r="K448">
        <v>0</v>
      </c>
      <c r="L448" t="s">
        <v>164</v>
      </c>
      <c r="N448" t="s">
        <v>221</v>
      </c>
      <c r="O448" t="s">
        <v>273</v>
      </c>
      <c r="P448">
        <v>6.3856747249304655E-3</v>
      </c>
      <c r="Q448" t="s">
        <v>164</v>
      </c>
    </row>
    <row r="449" spans="9:17" x14ac:dyDescent="0.45">
      <c r="I449" t="s">
        <v>185</v>
      </c>
      <c r="J449" t="s">
        <v>173</v>
      </c>
      <c r="K449">
        <v>7.4465973027467011E-3</v>
      </c>
      <c r="L449" t="s">
        <v>164</v>
      </c>
      <c r="N449" t="s">
        <v>221</v>
      </c>
      <c r="O449" t="s">
        <v>173</v>
      </c>
      <c r="P449">
        <v>0.11534647057978341</v>
      </c>
      <c r="Q449" t="s">
        <v>164</v>
      </c>
    </row>
    <row r="450" spans="9:17" x14ac:dyDescent="0.45">
      <c r="I450" t="s">
        <v>185</v>
      </c>
      <c r="J450" t="s">
        <v>174</v>
      </c>
      <c r="K450">
        <v>0.1331434111279958</v>
      </c>
      <c r="L450" t="s">
        <v>164</v>
      </c>
      <c r="N450" t="s">
        <v>221</v>
      </c>
      <c r="O450" t="s">
        <v>174</v>
      </c>
      <c r="P450">
        <v>3.175979277899707E-2</v>
      </c>
      <c r="Q450" t="s">
        <v>164</v>
      </c>
    </row>
    <row r="451" spans="9:17" x14ac:dyDescent="0.45">
      <c r="I451" t="s">
        <v>185</v>
      </c>
      <c r="J451" t="s">
        <v>175</v>
      </c>
      <c r="K451">
        <v>4.7663841250885994E-3</v>
      </c>
      <c r="L451" t="s">
        <v>164</v>
      </c>
      <c r="N451" t="s">
        <v>221</v>
      </c>
      <c r="O451" t="s">
        <v>175</v>
      </c>
      <c r="P451">
        <v>1.4643941480889807E-3</v>
      </c>
      <c r="Q451" t="s">
        <v>164</v>
      </c>
    </row>
    <row r="452" spans="9:17" x14ac:dyDescent="0.45">
      <c r="I452" t="s">
        <v>185</v>
      </c>
      <c r="J452" t="s">
        <v>274</v>
      </c>
      <c r="K452">
        <v>1.9359804682922948E-3</v>
      </c>
      <c r="L452" t="s">
        <v>164</v>
      </c>
      <c r="N452" t="s">
        <v>221</v>
      </c>
      <c r="O452" t="s">
        <v>274</v>
      </c>
      <c r="P452">
        <v>1.9242585940421587E-2</v>
      </c>
      <c r="Q452" t="s">
        <v>164</v>
      </c>
    </row>
    <row r="453" spans="9:17" x14ac:dyDescent="0.45">
      <c r="I453" t="s">
        <v>185</v>
      </c>
      <c r="J453" t="s">
        <v>275</v>
      </c>
      <c r="K453">
        <v>0</v>
      </c>
      <c r="L453" t="s">
        <v>164</v>
      </c>
      <c r="N453" t="s">
        <v>221</v>
      </c>
      <c r="O453" t="s">
        <v>275</v>
      </c>
      <c r="P453">
        <v>2.2093189835818771E-2</v>
      </c>
      <c r="Q453" t="s">
        <v>164</v>
      </c>
    </row>
    <row r="454" spans="9:17" x14ac:dyDescent="0.45">
      <c r="I454" t="s">
        <v>185</v>
      </c>
      <c r="J454" t="s">
        <v>276</v>
      </c>
      <c r="K454">
        <v>0</v>
      </c>
      <c r="L454" t="s">
        <v>164</v>
      </c>
      <c r="N454" t="s">
        <v>221</v>
      </c>
      <c r="O454" t="s">
        <v>276</v>
      </c>
      <c r="P454">
        <v>1.1292449378272148E-2</v>
      </c>
      <c r="Q454" t="s">
        <v>164</v>
      </c>
    </row>
    <row r="455" spans="9:17" x14ac:dyDescent="0.45">
      <c r="I455" t="s">
        <v>185</v>
      </c>
      <c r="J455" t="s">
        <v>277</v>
      </c>
      <c r="K455">
        <v>2.0340977876468483E-3</v>
      </c>
      <c r="L455" t="s">
        <v>164</v>
      </c>
      <c r="N455" t="s">
        <v>221</v>
      </c>
      <c r="O455" t="s">
        <v>277</v>
      </c>
      <c r="P455">
        <v>3.6506951715961182E-2</v>
      </c>
      <c r="Q455" t="s">
        <v>164</v>
      </c>
    </row>
    <row r="456" spans="9:17" x14ac:dyDescent="0.45">
      <c r="I456" t="s">
        <v>185</v>
      </c>
      <c r="J456" t="s">
        <v>278</v>
      </c>
      <c r="K456">
        <v>6.3628762785878951E-2</v>
      </c>
      <c r="L456" t="s">
        <v>164</v>
      </c>
      <c r="N456" t="s">
        <v>221</v>
      </c>
      <c r="O456" t="s">
        <v>278</v>
      </c>
      <c r="P456">
        <v>1.7008059310783669E-2</v>
      </c>
      <c r="Q456" t="s">
        <v>164</v>
      </c>
    </row>
    <row r="457" spans="9:17" x14ac:dyDescent="0.45">
      <c r="I457" t="s">
        <v>185</v>
      </c>
      <c r="J457" t="s">
        <v>279</v>
      </c>
      <c r="K457">
        <v>3.0975333180082794E-3</v>
      </c>
      <c r="L457" t="s">
        <v>164</v>
      </c>
      <c r="N457" t="s">
        <v>221</v>
      </c>
      <c r="O457" t="s">
        <v>279</v>
      </c>
      <c r="P457">
        <v>3.2119828787475363E-4</v>
      </c>
      <c r="Q457" t="s">
        <v>164</v>
      </c>
    </row>
    <row r="458" spans="9:17" x14ac:dyDescent="0.45">
      <c r="I458" t="s">
        <v>185</v>
      </c>
      <c r="J458" t="s">
        <v>280</v>
      </c>
      <c r="K458">
        <v>1.5286588829946646E-3</v>
      </c>
      <c r="L458" t="s">
        <v>164</v>
      </c>
      <c r="N458" t="s">
        <v>221</v>
      </c>
      <c r="O458" t="s">
        <v>280</v>
      </c>
      <c r="P458">
        <v>3.5910932448836213E-3</v>
      </c>
      <c r="Q458" t="s">
        <v>164</v>
      </c>
    </row>
    <row r="459" spans="9:17" x14ac:dyDescent="0.45">
      <c r="I459" t="s">
        <v>185</v>
      </c>
      <c r="J459" t="s">
        <v>281</v>
      </c>
      <c r="K459">
        <v>0</v>
      </c>
      <c r="L459" t="s">
        <v>164</v>
      </c>
      <c r="N459" t="s">
        <v>221</v>
      </c>
      <c r="O459" t="s">
        <v>281</v>
      </c>
      <c r="P459">
        <v>4.4604652958460059E-3</v>
      </c>
      <c r="Q459" t="s">
        <v>164</v>
      </c>
    </row>
    <row r="460" spans="9:17" x14ac:dyDescent="0.45">
      <c r="I460" t="s">
        <v>185</v>
      </c>
      <c r="J460" t="s">
        <v>282</v>
      </c>
      <c r="K460">
        <v>0</v>
      </c>
      <c r="L460" t="s">
        <v>164</v>
      </c>
      <c r="N460" t="s">
        <v>221</v>
      </c>
      <c r="O460" t="s">
        <v>282</v>
      </c>
      <c r="P460">
        <v>2.7585239401028976E-3</v>
      </c>
      <c r="Q460" t="s">
        <v>164</v>
      </c>
    </row>
    <row r="461" spans="9:17" x14ac:dyDescent="0.45">
      <c r="I461" t="s">
        <v>185</v>
      </c>
      <c r="J461" t="s">
        <v>283</v>
      </c>
      <c r="K461">
        <v>1.4246893871636434E-3</v>
      </c>
      <c r="L461" t="s">
        <v>164</v>
      </c>
      <c r="N461" t="s">
        <v>221</v>
      </c>
      <c r="O461" t="s">
        <v>283</v>
      </c>
      <c r="P461">
        <v>1.947208814471383E-2</v>
      </c>
      <c r="Q461" t="s">
        <v>164</v>
      </c>
    </row>
    <row r="462" spans="9:17" x14ac:dyDescent="0.45">
      <c r="I462" t="s">
        <v>185</v>
      </c>
      <c r="J462" t="s">
        <v>284</v>
      </c>
      <c r="K462">
        <v>5.7579883928790321E-2</v>
      </c>
      <c r="L462" t="s">
        <v>164</v>
      </c>
      <c r="N462" t="s">
        <v>221</v>
      </c>
      <c r="O462" t="s">
        <v>284</v>
      </c>
      <c r="P462">
        <v>1.3793464202374275E-2</v>
      </c>
      <c r="Q462" t="s">
        <v>164</v>
      </c>
    </row>
    <row r="463" spans="9:17" x14ac:dyDescent="0.45">
      <c r="I463" t="s">
        <v>185</v>
      </c>
      <c r="J463" t="s">
        <v>285</v>
      </c>
      <c r="K463">
        <v>3.0257123071777978E-3</v>
      </c>
      <c r="L463" t="s">
        <v>164</v>
      </c>
      <c r="N463" t="s">
        <v>221</v>
      </c>
      <c r="O463" t="s">
        <v>285</v>
      </c>
      <c r="P463">
        <v>4.0942265834792939E-4</v>
      </c>
      <c r="Q463" t="s">
        <v>164</v>
      </c>
    </row>
    <row r="464" spans="9:17" x14ac:dyDescent="0.45">
      <c r="I464" t="s">
        <v>185</v>
      </c>
      <c r="J464" t="s">
        <v>286</v>
      </c>
      <c r="K464">
        <v>1.571184827574832E-3</v>
      </c>
      <c r="L464" t="s">
        <v>164</v>
      </c>
      <c r="N464" t="s">
        <v>221</v>
      </c>
      <c r="O464" t="s">
        <v>286</v>
      </c>
      <c r="P464">
        <v>2.6387260052303328E-3</v>
      </c>
      <c r="Q464" t="s">
        <v>164</v>
      </c>
    </row>
    <row r="465" spans="9:17" x14ac:dyDescent="0.45">
      <c r="I465" t="s">
        <v>185</v>
      </c>
      <c r="J465" t="s">
        <v>287</v>
      </c>
      <c r="K465">
        <v>0</v>
      </c>
      <c r="L465" t="s">
        <v>164</v>
      </c>
      <c r="N465" t="s">
        <v>221</v>
      </c>
      <c r="O465" t="s">
        <v>287</v>
      </c>
      <c r="P465">
        <v>3.2034083571056272E-3</v>
      </c>
      <c r="Q465" t="s">
        <v>164</v>
      </c>
    </row>
    <row r="466" spans="9:17" x14ac:dyDescent="0.45">
      <c r="I466" t="s">
        <v>185</v>
      </c>
      <c r="J466" t="s">
        <v>288</v>
      </c>
      <c r="K466">
        <v>0</v>
      </c>
      <c r="L466" t="s">
        <v>164</v>
      </c>
      <c r="N466" t="s">
        <v>221</v>
      </c>
      <c r="O466" t="s">
        <v>288</v>
      </c>
      <c r="P466">
        <v>1.8195391521385455E-3</v>
      </c>
      <c r="Q466" t="s">
        <v>164</v>
      </c>
    </row>
    <row r="467" spans="9:17" x14ac:dyDescent="0.45">
      <c r="I467" t="s">
        <v>185</v>
      </c>
      <c r="J467" t="s">
        <v>289</v>
      </c>
      <c r="K467">
        <v>1.1821646236858056E-2</v>
      </c>
      <c r="L467" t="s">
        <v>164</v>
      </c>
      <c r="N467" t="s">
        <v>221</v>
      </c>
      <c r="O467" t="s">
        <v>289</v>
      </c>
      <c r="P467">
        <v>0.13440050183535335</v>
      </c>
      <c r="Q467" t="s">
        <v>164</v>
      </c>
    </row>
    <row r="468" spans="9:17" x14ac:dyDescent="0.45">
      <c r="I468" t="s">
        <v>185</v>
      </c>
      <c r="J468" t="s">
        <v>290</v>
      </c>
      <c r="K468">
        <v>0.30634809755745335</v>
      </c>
      <c r="L468" t="s">
        <v>164</v>
      </c>
      <c r="N468" t="s">
        <v>221</v>
      </c>
      <c r="O468" t="s">
        <v>290</v>
      </c>
      <c r="P468">
        <v>3.9420934961798229E-2</v>
      </c>
      <c r="Q468" t="s">
        <v>164</v>
      </c>
    </row>
    <row r="469" spans="9:17" x14ac:dyDescent="0.45">
      <c r="I469" t="s">
        <v>185</v>
      </c>
      <c r="J469" t="s">
        <v>291</v>
      </c>
      <c r="K469">
        <v>1.367529968895697E-2</v>
      </c>
      <c r="L469" t="s">
        <v>164</v>
      </c>
      <c r="N469" t="s">
        <v>221</v>
      </c>
      <c r="O469" t="s">
        <v>291</v>
      </c>
      <c r="P469">
        <v>5.2884640446337547E-3</v>
      </c>
      <c r="Q469" t="s">
        <v>164</v>
      </c>
    </row>
    <row r="470" spans="9:17" x14ac:dyDescent="0.45">
      <c r="I470" t="s">
        <v>185</v>
      </c>
      <c r="J470" t="s">
        <v>292</v>
      </c>
      <c r="K470">
        <v>2.7780488112679852E-4</v>
      </c>
      <c r="L470" t="s">
        <v>164</v>
      </c>
      <c r="N470" t="s">
        <v>221</v>
      </c>
      <c r="O470" t="s">
        <v>292</v>
      </c>
      <c r="P470">
        <v>3.1288444457755811E-2</v>
      </c>
      <c r="Q470" t="s">
        <v>164</v>
      </c>
    </row>
    <row r="471" spans="9:17" x14ac:dyDescent="0.45">
      <c r="I471" t="s">
        <v>185</v>
      </c>
      <c r="J471" t="s">
        <v>293</v>
      </c>
      <c r="K471">
        <v>0</v>
      </c>
      <c r="L471" t="s">
        <v>164</v>
      </c>
      <c r="N471" t="s">
        <v>221</v>
      </c>
      <c r="O471" t="s">
        <v>293</v>
      </c>
      <c r="P471">
        <v>2.6149615361710829E-2</v>
      </c>
      <c r="Q471" t="s">
        <v>164</v>
      </c>
    </row>
    <row r="472" spans="9:17" x14ac:dyDescent="0.45">
      <c r="I472" t="s">
        <v>185</v>
      </c>
      <c r="J472" t="s">
        <v>294</v>
      </c>
      <c r="K472">
        <v>0</v>
      </c>
      <c r="L472" t="s">
        <v>164</v>
      </c>
      <c r="N472" t="s">
        <v>221</v>
      </c>
      <c r="O472" t="s">
        <v>294</v>
      </c>
      <c r="P472">
        <v>1.373830370731309E-2</v>
      </c>
      <c r="Q472" t="s">
        <v>164</v>
      </c>
    </row>
    <row r="473" spans="9:17" x14ac:dyDescent="0.45">
      <c r="I473" t="s">
        <v>186</v>
      </c>
      <c r="J473" t="s">
        <v>163</v>
      </c>
      <c r="K473">
        <v>5.7222903376971633E-3</v>
      </c>
      <c r="L473" t="s">
        <v>164</v>
      </c>
      <c r="N473" t="s">
        <v>222</v>
      </c>
      <c r="O473" t="s">
        <v>163</v>
      </c>
      <c r="P473">
        <v>0.15305752267165462</v>
      </c>
      <c r="Q473" t="s">
        <v>164</v>
      </c>
    </row>
    <row r="474" spans="9:17" x14ac:dyDescent="0.45">
      <c r="I474" t="s">
        <v>186</v>
      </c>
      <c r="J474" t="s">
        <v>165</v>
      </c>
      <c r="K474">
        <v>0.20453298221989374</v>
      </c>
      <c r="L474" t="s">
        <v>164</v>
      </c>
      <c r="N474" t="s">
        <v>222</v>
      </c>
      <c r="O474" t="s">
        <v>165</v>
      </c>
      <c r="P474">
        <v>3.7844576239094117E-2</v>
      </c>
      <c r="Q474" t="s">
        <v>164</v>
      </c>
    </row>
    <row r="475" spans="9:17" x14ac:dyDescent="0.45">
      <c r="I475" t="s">
        <v>186</v>
      </c>
      <c r="J475" t="s">
        <v>166</v>
      </c>
      <c r="K475">
        <v>1.102096390434815E-2</v>
      </c>
      <c r="L475" t="s">
        <v>164</v>
      </c>
      <c r="N475" t="s">
        <v>222</v>
      </c>
      <c r="O475" t="s">
        <v>166</v>
      </c>
      <c r="P475">
        <v>3.0395733641063361E-3</v>
      </c>
      <c r="Q475" t="s">
        <v>164</v>
      </c>
    </row>
    <row r="476" spans="9:17" x14ac:dyDescent="0.45">
      <c r="I476" t="s">
        <v>186</v>
      </c>
      <c r="J476" t="s">
        <v>265</v>
      </c>
      <c r="K476">
        <v>1.7679478213353667E-3</v>
      </c>
      <c r="L476" t="s">
        <v>164</v>
      </c>
      <c r="N476" t="s">
        <v>222</v>
      </c>
      <c r="O476" t="s">
        <v>265</v>
      </c>
      <c r="P476">
        <v>3.3519486776436611E-2</v>
      </c>
      <c r="Q476" t="s">
        <v>164</v>
      </c>
    </row>
    <row r="477" spans="9:17" x14ac:dyDescent="0.45">
      <c r="I477" t="s">
        <v>186</v>
      </c>
      <c r="J477" t="s">
        <v>266</v>
      </c>
      <c r="K477">
        <v>0</v>
      </c>
      <c r="L477" t="s">
        <v>164</v>
      </c>
      <c r="N477" t="s">
        <v>222</v>
      </c>
      <c r="O477" t="s">
        <v>266</v>
      </c>
      <c r="P477">
        <v>3.6578868559059709E-2</v>
      </c>
      <c r="Q477" t="s">
        <v>164</v>
      </c>
    </row>
    <row r="478" spans="9:17" x14ac:dyDescent="0.45">
      <c r="I478" t="s">
        <v>186</v>
      </c>
      <c r="J478" t="s">
        <v>267</v>
      </c>
      <c r="K478">
        <v>0</v>
      </c>
      <c r="L478" t="s">
        <v>164</v>
      </c>
      <c r="N478" t="s">
        <v>222</v>
      </c>
      <c r="O478" t="s">
        <v>267</v>
      </c>
      <c r="P478">
        <v>1.831011370840677E-2</v>
      </c>
      <c r="Q478" t="s">
        <v>164</v>
      </c>
    </row>
    <row r="479" spans="9:17" x14ac:dyDescent="0.45">
      <c r="I479" t="s">
        <v>186</v>
      </c>
      <c r="J479" t="s">
        <v>167</v>
      </c>
      <c r="K479">
        <v>2.9430406604963157E-3</v>
      </c>
      <c r="L479" t="s">
        <v>164</v>
      </c>
      <c r="N479" t="s">
        <v>222</v>
      </c>
      <c r="O479" t="s">
        <v>167</v>
      </c>
      <c r="P479">
        <v>4.6477198940329777E-2</v>
      </c>
      <c r="Q479" t="s">
        <v>164</v>
      </c>
    </row>
    <row r="480" spans="9:17" x14ac:dyDescent="0.45">
      <c r="I480" t="s">
        <v>186</v>
      </c>
      <c r="J480" t="s">
        <v>168</v>
      </c>
      <c r="K480">
        <v>8.437021225678977E-2</v>
      </c>
      <c r="L480" t="s">
        <v>164</v>
      </c>
      <c r="N480" t="s">
        <v>222</v>
      </c>
      <c r="O480" t="s">
        <v>168</v>
      </c>
      <c r="P480">
        <v>1.1865509331955564E-2</v>
      </c>
      <c r="Q480" t="s">
        <v>164</v>
      </c>
    </row>
    <row r="481" spans="9:17" x14ac:dyDescent="0.45">
      <c r="I481" t="s">
        <v>186</v>
      </c>
      <c r="J481" t="s">
        <v>169</v>
      </c>
      <c r="K481">
        <v>2.8591479669566478E-3</v>
      </c>
      <c r="L481" t="s">
        <v>164</v>
      </c>
      <c r="N481" t="s">
        <v>222</v>
      </c>
      <c r="O481" t="s">
        <v>169</v>
      </c>
      <c r="P481">
        <v>1.7071594490497853E-4</v>
      </c>
      <c r="Q481" t="s">
        <v>164</v>
      </c>
    </row>
    <row r="482" spans="9:17" x14ac:dyDescent="0.45">
      <c r="I482" t="s">
        <v>186</v>
      </c>
      <c r="J482" t="s">
        <v>268</v>
      </c>
      <c r="K482">
        <v>7.2416257694377702E-4</v>
      </c>
      <c r="L482" t="s">
        <v>164</v>
      </c>
      <c r="N482" t="s">
        <v>222</v>
      </c>
      <c r="O482" t="s">
        <v>268</v>
      </c>
      <c r="P482">
        <v>3.2956726051645586E-3</v>
      </c>
      <c r="Q482" t="s">
        <v>164</v>
      </c>
    </row>
    <row r="483" spans="9:17" x14ac:dyDescent="0.45">
      <c r="I483" t="s">
        <v>186</v>
      </c>
      <c r="J483" t="s">
        <v>269</v>
      </c>
      <c r="K483">
        <v>0</v>
      </c>
      <c r="L483" t="s">
        <v>164</v>
      </c>
      <c r="N483" t="s">
        <v>222</v>
      </c>
      <c r="O483" t="s">
        <v>269</v>
      </c>
      <c r="P483">
        <v>5.988754399436534E-3</v>
      </c>
      <c r="Q483" t="s">
        <v>164</v>
      </c>
    </row>
    <row r="484" spans="9:17" x14ac:dyDescent="0.45">
      <c r="I484" t="s">
        <v>186</v>
      </c>
      <c r="J484" t="s">
        <v>270</v>
      </c>
      <c r="K484">
        <v>0</v>
      </c>
      <c r="L484" t="s">
        <v>164</v>
      </c>
      <c r="N484" t="s">
        <v>222</v>
      </c>
      <c r="O484" t="s">
        <v>270</v>
      </c>
      <c r="P484">
        <v>3.5979028512689404E-3</v>
      </c>
      <c r="Q484" t="s">
        <v>164</v>
      </c>
    </row>
    <row r="485" spans="9:17" x14ac:dyDescent="0.45">
      <c r="I485" t="s">
        <v>186</v>
      </c>
      <c r="J485" t="s">
        <v>170</v>
      </c>
      <c r="K485">
        <v>5.1325002832487377E-3</v>
      </c>
      <c r="L485" t="s">
        <v>164</v>
      </c>
      <c r="N485" t="s">
        <v>222</v>
      </c>
      <c r="O485" t="s">
        <v>170</v>
      </c>
      <c r="P485">
        <v>4.9864131592770686E-2</v>
      </c>
      <c r="Q485" t="s">
        <v>164</v>
      </c>
    </row>
    <row r="486" spans="9:17" x14ac:dyDescent="0.45">
      <c r="I486" t="s">
        <v>186</v>
      </c>
      <c r="J486" t="s">
        <v>171</v>
      </c>
      <c r="K486">
        <v>7.7296606943194748E-2</v>
      </c>
      <c r="L486" t="s">
        <v>164</v>
      </c>
      <c r="N486" t="s">
        <v>222</v>
      </c>
      <c r="O486" t="s">
        <v>171</v>
      </c>
      <c r="P486">
        <v>9.7310396998163597E-3</v>
      </c>
      <c r="Q486" t="s">
        <v>164</v>
      </c>
    </row>
    <row r="487" spans="9:17" x14ac:dyDescent="0.45">
      <c r="I487" t="s">
        <v>186</v>
      </c>
      <c r="J487" t="s">
        <v>172</v>
      </c>
      <c r="K487">
        <v>2.0612873116498094E-3</v>
      </c>
      <c r="L487" t="s">
        <v>164</v>
      </c>
      <c r="N487" t="s">
        <v>222</v>
      </c>
      <c r="O487" t="s">
        <v>172</v>
      </c>
      <c r="P487">
        <v>4.5514682447127307E-4</v>
      </c>
      <c r="Q487" t="s">
        <v>164</v>
      </c>
    </row>
    <row r="488" spans="9:17" x14ac:dyDescent="0.45">
      <c r="I488" t="s">
        <v>186</v>
      </c>
      <c r="J488" t="s">
        <v>271</v>
      </c>
      <c r="K488">
        <v>0</v>
      </c>
      <c r="L488" t="s">
        <v>164</v>
      </c>
      <c r="N488" t="s">
        <v>222</v>
      </c>
      <c r="O488" t="s">
        <v>271</v>
      </c>
      <c r="P488">
        <v>5.9786838136801426E-3</v>
      </c>
      <c r="Q488" t="s">
        <v>164</v>
      </c>
    </row>
    <row r="489" spans="9:17" x14ac:dyDescent="0.45">
      <c r="I489" t="s">
        <v>186</v>
      </c>
      <c r="J489" t="s">
        <v>272</v>
      </c>
      <c r="K489">
        <v>0</v>
      </c>
      <c r="L489" t="s">
        <v>164</v>
      </c>
      <c r="N489" t="s">
        <v>222</v>
      </c>
      <c r="O489" t="s">
        <v>272</v>
      </c>
      <c r="P489">
        <v>1.0436194487698506E-2</v>
      </c>
      <c r="Q489" t="s">
        <v>164</v>
      </c>
    </row>
    <row r="490" spans="9:17" x14ac:dyDescent="0.45">
      <c r="I490" t="s">
        <v>186</v>
      </c>
      <c r="J490" t="s">
        <v>273</v>
      </c>
      <c r="K490">
        <v>0</v>
      </c>
      <c r="L490" t="s">
        <v>164</v>
      </c>
      <c r="N490" t="s">
        <v>222</v>
      </c>
      <c r="O490" t="s">
        <v>273</v>
      </c>
      <c r="P490">
        <v>7.1049917943035558E-3</v>
      </c>
      <c r="Q490" t="s">
        <v>164</v>
      </c>
    </row>
    <row r="491" spans="9:17" x14ac:dyDescent="0.45">
      <c r="I491" t="s">
        <v>186</v>
      </c>
      <c r="J491" t="s">
        <v>173</v>
      </c>
      <c r="K491">
        <v>6.9179904993044248E-3</v>
      </c>
      <c r="L491" t="s">
        <v>164</v>
      </c>
      <c r="N491" t="s">
        <v>222</v>
      </c>
      <c r="O491" t="s">
        <v>173</v>
      </c>
      <c r="P491">
        <v>0.10103179823932033</v>
      </c>
      <c r="Q491" t="s">
        <v>164</v>
      </c>
    </row>
    <row r="492" spans="9:17" x14ac:dyDescent="0.45">
      <c r="I492" t="s">
        <v>186</v>
      </c>
      <c r="J492" t="s">
        <v>174</v>
      </c>
      <c r="K492">
        <v>0.13361346228085116</v>
      </c>
      <c r="L492" t="s">
        <v>164</v>
      </c>
      <c r="N492" t="s">
        <v>222</v>
      </c>
      <c r="O492" t="s">
        <v>174</v>
      </c>
      <c r="P492">
        <v>3.1731555716215748E-2</v>
      </c>
      <c r="Q492" t="s">
        <v>164</v>
      </c>
    </row>
    <row r="493" spans="9:17" x14ac:dyDescent="0.45">
      <c r="I493" t="s">
        <v>186</v>
      </c>
      <c r="J493" t="s">
        <v>175</v>
      </c>
      <c r="K493">
        <v>2.5994305615986836E-3</v>
      </c>
      <c r="L493" t="s">
        <v>164</v>
      </c>
      <c r="N493" t="s">
        <v>222</v>
      </c>
      <c r="O493" t="s">
        <v>175</v>
      </c>
      <c r="P493">
        <v>1.5747064509647882E-3</v>
      </c>
      <c r="Q493" t="s">
        <v>164</v>
      </c>
    </row>
    <row r="494" spans="9:17" x14ac:dyDescent="0.45">
      <c r="I494" t="s">
        <v>186</v>
      </c>
      <c r="J494" t="s">
        <v>274</v>
      </c>
      <c r="K494">
        <v>4.4596441744691241E-4</v>
      </c>
      <c r="L494" t="s">
        <v>164</v>
      </c>
      <c r="N494" t="s">
        <v>222</v>
      </c>
      <c r="O494" t="s">
        <v>274</v>
      </c>
      <c r="P494">
        <v>2.1137421550825833E-2</v>
      </c>
      <c r="Q494" t="s">
        <v>164</v>
      </c>
    </row>
    <row r="495" spans="9:17" x14ac:dyDescent="0.45">
      <c r="I495" t="s">
        <v>186</v>
      </c>
      <c r="J495" t="s">
        <v>275</v>
      </c>
      <c r="K495">
        <v>0</v>
      </c>
      <c r="L495" t="s">
        <v>164</v>
      </c>
      <c r="N495" t="s">
        <v>222</v>
      </c>
      <c r="O495" t="s">
        <v>275</v>
      </c>
      <c r="P495">
        <v>2.3370320789765454E-2</v>
      </c>
      <c r="Q495" t="s">
        <v>164</v>
      </c>
    </row>
    <row r="496" spans="9:17" x14ac:dyDescent="0.45">
      <c r="I496" t="s">
        <v>186</v>
      </c>
      <c r="J496" t="s">
        <v>276</v>
      </c>
      <c r="K496">
        <v>0</v>
      </c>
      <c r="L496" t="s">
        <v>164</v>
      </c>
      <c r="N496" t="s">
        <v>222</v>
      </c>
      <c r="O496" t="s">
        <v>276</v>
      </c>
      <c r="P496">
        <v>1.3099568486323912E-2</v>
      </c>
      <c r="Q496" t="s">
        <v>164</v>
      </c>
    </row>
    <row r="497" spans="9:17" x14ac:dyDescent="0.45">
      <c r="I497" t="s">
        <v>186</v>
      </c>
      <c r="J497" t="s">
        <v>277</v>
      </c>
      <c r="K497">
        <v>1.9944678555394186E-3</v>
      </c>
      <c r="L497" t="s">
        <v>164</v>
      </c>
      <c r="N497" t="s">
        <v>222</v>
      </c>
      <c r="O497" t="s">
        <v>277</v>
      </c>
      <c r="P497">
        <v>3.1163049725367192E-2</v>
      </c>
      <c r="Q497" t="s">
        <v>164</v>
      </c>
    </row>
    <row r="498" spans="9:17" x14ac:dyDescent="0.45">
      <c r="I498" t="s">
        <v>186</v>
      </c>
      <c r="J498" t="s">
        <v>278</v>
      </c>
      <c r="K498">
        <v>5.8656887165563554E-2</v>
      </c>
      <c r="L498" t="s">
        <v>164</v>
      </c>
      <c r="N498" t="s">
        <v>222</v>
      </c>
      <c r="O498" t="s">
        <v>278</v>
      </c>
      <c r="P498">
        <v>1.7681353512354891E-2</v>
      </c>
      <c r="Q498" t="s">
        <v>164</v>
      </c>
    </row>
    <row r="499" spans="9:17" x14ac:dyDescent="0.45">
      <c r="I499" t="s">
        <v>186</v>
      </c>
      <c r="J499" t="s">
        <v>279</v>
      </c>
      <c r="K499">
        <v>2.1029752150885906E-3</v>
      </c>
      <c r="L499" t="s">
        <v>164</v>
      </c>
      <c r="N499" t="s">
        <v>222</v>
      </c>
      <c r="O499" t="s">
        <v>279</v>
      </c>
      <c r="P499">
        <v>3.1287052974160543E-4</v>
      </c>
      <c r="Q499" t="s">
        <v>164</v>
      </c>
    </row>
    <row r="500" spans="9:17" x14ac:dyDescent="0.45">
      <c r="I500" t="s">
        <v>186</v>
      </c>
      <c r="J500" t="s">
        <v>280</v>
      </c>
      <c r="K500">
        <v>9.3964364057516777E-4</v>
      </c>
      <c r="L500" t="s">
        <v>164</v>
      </c>
      <c r="N500" t="s">
        <v>222</v>
      </c>
      <c r="O500" t="s">
        <v>280</v>
      </c>
      <c r="P500">
        <v>4.1490163467986924E-3</v>
      </c>
      <c r="Q500" t="s">
        <v>164</v>
      </c>
    </row>
    <row r="501" spans="9:17" x14ac:dyDescent="0.45">
      <c r="I501" t="s">
        <v>186</v>
      </c>
      <c r="J501" t="s">
        <v>281</v>
      </c>
      <c r="K501">
        <v>0</v>
      </c>
      <c r="L501" t="s">
        <v>164</v>
      </c>
      <c r="N501" t="s">
        <v>222</v>
      </c>
      <c r="O501" t="s">
        <v>281</v>
      </c>
      <c r="P501">
        <v>4.6455768379815863E-3</v>
      </c>
      <c r="Q501" t="s">
        <v>164</v>
      </c>
    </row>
    <row r="502" spans="9:17" x14ac:dyDescent="0.45">
      <c r="I502" t="s">
        <v>186</v>
      </c>
      <c r="J502" t="s">
        <v>282</v>
      </c>
      <c r="K502">
        <v>0</v>
      </c>
      <c r="L502" t="s">
        <v>164</v>
      </c>
      <c r="N502" t="s">
        <v>222</v>
      </c>
      <c r="O502" t="s">
        <v>282</v>
      </c>
      <c r="P502">
        <v>2.9605953318318098E-3</v>
      </c>
      <c r="Q502" t="s">
        <v>164</v>
      </c>
    </row>
    <row r="503" spans="9:17" x14ac:dyDescent="0.45">
      <c r="I503" t="s">
        <v>186</v>
      </c>
      <c r="J503" t="s">
        <v>283</v>
      </c>
      <c r="K503">
        <v>1.7089659986407779E-3</v>
      </c>
      <c r="L503" t="s">
        <v>164</v>
      </c>
      <c r="N503" t="s">
        <v>222</v>
      </c>
      <c r="O503" t="s">
        <v>283</v>
      </c>
      <c r="P503">
        <v>1.5044925078971436E-2</v>
      </c>
      <c r="Q503" t="s">
        <v>164</v>
      </c>
    </row>
    <row r="504" spans="9:17" x14ac:dyDescent="0.45">
      <c r="I504" t="s">
        <v>186</v>
      </c>
      <c r="J504" t="s">
        <v>284</v>
      </c>
      <c r="K504">
        <v>5.2769704123560482E-2</v>
      </c>
      <c r="L504" t="s">
        <v>164</v>
      </c>
      <c r="N504" t="s">
        <v>222</v>
      </c>
      <c r="O504" t="s">
        <v>284</v>
      </c>
      <c r="P504">
        <v>1.4320494390875746E-2</v>
      </c>
      <c r="Q504" t="s">
        <v>164</v>
      </c>
    </row>
    <row r="505" spans="9:17" x14ac:dyDescent="0.45">
      <c r="I505" t="s">
        <v>186</v>
      </c>
      <c r="J505" t="s">
        <v>285</v>
      </c>
      <c r="K505">
        <v>1.998481302233979E-3</v>
      </c>
      <c r="L505" t="s">
        <v>164</v>
      </c>
      <c r="N505" t="s">
        <v>222</v>
      </c>
      <c r="O505" t="s">
        <v>285</v>
      </c>
      <c r="P505">
        <v>3.908015038560286E-4</v>
      </c>
      <c r="Q505" t="s">
        <v>164</v>
      </c>
    </row>
    <row r="506" spans="9:17" x14ac:dyDescent="0.45">
      <c r="I506" t="s">
        <v>186</v>
      </c>
      <c r="J506" t="s">
        <v>286</v>
      </c>
      <c r="K506">
        <v>9.1563560234292211E-4</v>
      </c>
      <c r="L506" t="s">
        <v>164</v>
      </c>
      <c r="N506" t="s">
        <v>222</v>
      </c>
      <c r="O506" t="s">
        <v>286</v>
      </c>
      <c r="P506">
        <v>2.2921412675245439E-3</v>
      </c>
      <c r="Q506" t="s">
        <v>164</v>
      </c>
    </row>
    <row r="507" spans="9:17" x14ac:dyDescent="0.45">
      <c r="I507" t="s">
        <v>186</v>
      </c>
      <c r="J507" t="s">
        <v>287</v>
      </c>
      <c r="K507">
        <v>0</v>
      </c>
      <c r="L507" t="s">
        <v>164</v>
      </c>
      <c r="N507" t="s">
        <v>222</v>
      </c>
      <c r="O507" t="s">
        <v>287</v>
      </c>
      <c r="P507">
        <v>2.4280215872334874E-3</v>
      </c>
      <c r="Q507" t="s">
        <v>164</v>
      </c>
    </row>
    <row r="508" spans="9:17" x14ac:dyDescent="0.45">
      <c r="I508" t="s">
        <v>186</v>
      </c>
      <c r="J508" t="s">
        <v>288</v>
      </c>
      <c r="K508">
        <v>0</v>
      </c>
      <c r="L508" t="s">
        <v>164</v>
      </c>
      <c r="N508" t="s">
        <v>222</v>
      </c>
      <c r="O508" t="s">
        <v>288</v>
      </c>
      <c r="P508">
        <v>1.5040422279266998E-3</v>
      </c>
      <c r="Q508" t="s">
        <v>164</v>
      </c>
    </row>
    <row r="509" spans="9:17" x14ac:dyDescent="0.45">
      <c r="I509" t="s">
        <v>186</v>
      </c>
      <c r="J509" t="s">
        <v>289</v>
      </c>
      <c r="K509">
        <v>1.4728437551535346E-2</v>
      </c>
      <c r="L509" t="s">
        <v>164</v>
      </c>
      <c r="N509" t="s">
        <v>222</v>
      </c>
      <c r="O509" t="s">
        <v>289</v>
      </c>
      <c r="P509">
        <v>0.15139430993019148</v>
      </c>
      <c r="Q509" t="s">
        <v>164</v>
      </c>
    </row>
    <row r="510" spans="9:17" x14ac:dyDescent="0.45">
      <c r="I510" t="s">
        <v>186</v>
      </c>
      <c r="J510" t="s">
        <v>290</v>
      </c>
      <c r="K510">
        <v>0.3128276904575909</v>
      </c>
      <c r="L510" t="s">
        <v>164</v>
      </c>
      <c r="N510" t="s">
        <v>222</v>
      </c>
      <c r="O510" t="s">
        <v>290</v>
      </c>
      <c r="P510">
        <v>4.1877238974040727E-2</v>
      </c>
      <c r="Q510" t="s">
        <v>164</v>
      </c>
    </row>
    <row r="511" spans="9:17" x14ac:dyDescent="0.45">
      <c r="I511" t="s">
        <v>186</v>
      </c>
      <c r="J511" t="s">
        <v>291</v>
      </c>
      <c r="K511">
        <v>9.3491210455748167E-3</v>
      </c>
      <c r="L511" t="s">
        <v>164</v>
      </c>
      <c r="N511" t="s">
        <v>222</v>
      </c>
      <c r="O511" t="s">
        <v>291</v>
      </c>
      <c r="P511">
        <v>3.2509999344310248E-3</v>
      </c>
      <c r="Q511" t="s">
        <v>164</v>
      </c>
    </row>
    <row r="512" spans="9:17" x14ac:dyDescent="0.45">
      <c r="I512" t="s">
        <v>186</v>
      </c>
      <c r="J512" t="s">
        <v>292</v>
      </c>
      <c r="K512">
        <v>0</v>
      </c>
      <c r="L512" t="s">
        <v>164</v>
      </c>
      <c r="N512" t="s">
        <v>222</v>
      </c>
      <c r="O512" t="s">
        <v>292</v>
      </c>
      <c r="P512">
        <v>2.9503300937675392E-2</v>
      </c>
      <c r="Q512" t="s">
        <v>164</v>
      </c>
    </row>
    <row r="513" spans="9:17" x14ac:dyDescent="0.45">
      <c r="I513" t="s">
        <v>186</v>
      </c>
      <c r="J513" t="s">
        <v>293</v>
      </c>
      <c r="K513">
        <v>0</v>
      </c>
      <c r="L513" t="s">
        <v>164</v>
      </c>
      <c r="N513" t="s">
        <v>222</v>
      </c>
      <c r="O513" t="s">
        <v>293</v>
      </c>
      <c r="P513">
        <v>3.1188008484622318E-2</v>
      </c>
      <c r="Q513" t="s">
        <v>164</v>
      </c>
    </row>
    <row r="514" spans="9:17" x14ac:dyDescent="0.45">
      <c r="I514" t="s">
        <v>186</v>
      </c>
      <c r="J514" t="s">
        <v>294</v>
      </c>
      <c r="K514">
        <v>0</v>
      </c>
      <c r="L514" t="s">
        <v>164</v>
      </c>
      <c r="N514" t="s">
        <v>222</v>
      </c>
      <c r="O514" t="s">
        <v>294</v>
      </c>
      <c r="P514">
        <v>1.6631798560601881E-2</v>
      </c>
      <c r="Q514" t="s">
        <v>164</v>
      </c>
    </row>
    <row r="515" spans="9:17" x14ac:dyDescent="0.45">
      <c r="I515" t="s">
        <v>187</v>
      </c>
      <c r="J515" t="s">
        <v>163</v>
      </c>
      <c r="K515">
        <v>5.5782025210571531E-3</v>
      </c>
      <c r="L515" t="s">
        <v>164</v>
      </c>
      <c r="N515" t="s">
        <v>223</v>
      </c>
      <c r="O515" t="s">
        <v>163</v>
      </c>
      <c r="P515">
        <v>0.13775690145044486</v>
      </c>
      <c r="Q515" t="s">
        <v>164</v>
      </c>
    </row>
    <row r="516" spans="9:17" x14ac:dyDescent="0.45">
      <c r="I516" t="s">
        <v>187</v>
      </c>
      <c r="J516" t="s">
        <v>165</v>
      </c>
      <c r="K516">
        <v>0.19507427928705967</v>
      </c>
      <c r="L516" t="s">
        <v>164</v>
      </c>
      <c r="N516" t="s">
        <v>223</v>
      </c>
      <c r="O516" t="s">
        <v>165</v>
      </c>
      <c r="P516">
        <v>5.6906354632376838E-2</v>
      </c>
      <c r="Q516" t="s">
        <v>164</v>
      </c>
    </row>
    <row r="517" spans="9:17" x14ac:dyDescent="0.45">
      <c r="I517" t="s">
        <v>187</v>
      </c>
      <c r="J517" t="s">
        <v>166</v>
      </c>
      <c r="K517">
        <v>1.1985275521284823E-2</v>
      </c>
      <c r="L517" t="s">
        <v>164</v>
      </c>
      <c r="N517" t="s">
        <v>223</v>
      </c>
      <c r="O517" t="s">
        <v>166</v>
      </c>
      <c r="P517">
        <v>3.9077507404472614E-3</v>
      </c>
      <c r="Q517" t="s">
        <v>164</v>
      </c>
    </row>
    <row r="518" spans="9:17" x14ac:dyDescent="0.45">
      <c r="I518" t="s">
        <v>187</v>
      </c>
      <c r="J518" t="s">
        <v>265</v>
      </c>
      <c r="K518">
        <v>3.3550900693047787E-3</v>
      </c>
      <c r="L518" t="s">
        <v>164</v>
      </c>
      <c r="N518" t="s">
        <v>223</v>
      </c>
      <c r="O518" t="s">
        <v>265</v>
      </c>
      <c r="P518">
        <v>2.8516364276394011E-2</v>
      </c>
      <c r="Q518" t="s">
        <v>164</v>
      </c>
    </row>
    <row r="519" spans="9:17" x14ac:dyDescent="0.45">
      <c r="I519" t="s">
        <v>187</v>
      </c>
      <c r="J519" t="s">
        <v>266</v>
      </c>
      <c r="K519">
        <v>0</v>
      </c>
      <c r="L519" t="s">
        <v>164</v>
      </c>
      <c r="N519" t="s">
        <v>223</v>
      </c>
      <c r="O519" t="s">
        <v>266</v>
      </c>
      <c r="P519">
        <v>2.7708519448902021E-2</v>
      </c>
      <c r="Q519" t="s">
        <v>164</v>
      </c>
    </row>
    <row r="520" spans="9:17" x14ac:dyDescent="0.45">
      <c r="I520" t="s">
        <v>187</v>
      </c>
      <c r="J520" t="s">
        <v>267</v>
      </c>
      <c r="K520">
        <v>0</v>
      </c>
      <c r="L520" t="s">
        <v>164</v>
      </c>
      <c r="N520" t="s">
        <v>223</v>
      </c>
      <c r="O520" t="s">
        <v>267</v>
      </c>
      <c r="P520">
        <v>1.4263953686354221E-2</v>
      </c>
      <c r="Q520" t="s">
        <v>164</v>
      </c>
    </row>
    <row r="521" spans="9:17" x14ac:dyDescent="0.45">
      <c r="I521" t="s">
        <v>187</v>
      </c>
      <c r="J521" t="s">
        <v>167</v>
      </c>
      <c r="K521">
        <v>2.8452828094220738E-3</v>
      </c>
      <c r="L521" t="s">
        <v>164</v>
      </c>
      <c r="N521" t="s">
        <v>223</v>
      </c>
      <c r="O521" t="s">
        <v>167</v>
      </c>
      <c r="P521">
        <v>3.2053034151243449E-2</v>
      </c>
      <c r="Q521" t="s">
        <v>164</v>
      </c>
    </row>
    <row r="522" spans="9:17" x14ac:dyDescent="0.45">
      <c r="I522" t="s">
        <v>187</v>
      </c>
      <c r="J522" t="s">
        <v>168</v>
      </c>
      <c r="K522">
        <v>8.6791397840741344E-2</v>
      </c>
      <c r="L522" t="s">
        <v>164</v>
      </c>
      <c r="N522" t="s">
        <v>223</v>
      </c>
      <c r="O522" t="s">
        <v>168</v>
      </c>
      <c r="P522">
        <v>1.5775842205190453E-2</v>
      </c>
      <c r="Q522" t="s">
        <v>164</v>
      </c>
    </row>
    <row r="523" spans="9:17" x14ac:dyDescent="0.45">
      <c r="I523" t="s">
        <v>187</v>
      </c>
      <c r="J523" t="s">
        <v>169</v>
      </c>
      <c r="K523">
        <v>3.8611369108136253E-3</v>
      </c>
      <c r="L523" t="s">
        <v>164</v>
      </c>
      <c r="N523" t="s">
        <v>223</v>
      </c>
      <c r="O523" t="s">
        <v>169</v>
      </c>
      <c r="P523">
        <v>7.3899950928158257E-4</v>
      </c>
      <c r="Q523" t="s">
        <v>164</v>
      </c>
    </row>
    <row r="524" spans="9:17" x14ac:dyDescent="0.45">
      <c r="I524" t="s">
        <v>187</v>
      </c>
      <c r="J524" t="s">
        <v>268</v>
      </c>
      <c r="K524">
        <v>1.7342435722972082E-3</v>
      </c>
      <c r="L524" t="s">
        <v>164</v>
      </c>
      <c r="N524" t="s">
        <v>223</v>
      </c>
      <c r="O524" t="s">
        <v>268</v>
      </c>
      <c r="P524">
        <v>5.1606655373616752E-3</v>
      </c>
      <c r="Q524" t="s">
        <v>164</v>
      </c>
    </row>
    <row r="525" spans="9:17" x14ac:dyDescent="0.45">
      <c r="I525" t="s">
        <v>187</v>
      </c>
      <c r="J525" t="s">
        <v>269</v>
      </c>
      <c r="K525">
        <v>0</v>
      </c>
      <c r="L525" t="s">
        <v>164</v>
      </c>
      <c r="N525" t="s">
        <v>223</v>
      </c>
      <c r="O525" t="s">
        <v>269</v>
      </c>
      <c r="P525">
        <v>6.2945457938158424E-3</v>
      </c>
      <c r="Q525" t="s">
        <v>164</v>
      </c>
    </row>
    <row r="526" spans="9:17" x14ac:dyDescent="0.45">
      <c r="I526" t="s">
        <v>187</v>
      </c>
      <c r="J526" t="s">
        <v>270</v>
      </c>
      <c r="K526">
        <v>0</v>
      </c>
      <c r="L526" t="s">
        <v>164</v>
      </c>
      <c r="N526" t="s">
        <v>223</v>
      </c>
      <c r="O526" t="s">
        <v>270</v>
      </c>
      <c r="P526">
        <v>3.5601537529528072E-3</v>
      </c>
      <c r="Q526" t="s">
        <v>164</v>
      </c>
    </row>
    <row r="527" spans="9:17" x14ac:dyDescent="0.45">
      <c r="I527" t="s">
        <v>187</v>
      </c>
      <c r="J527" t="s">
        <v>170</v>
      </c>
      <c r="K527">
        <v>5.3311902940706406E-3</v>
      </c>
      <c r="L527" t="s">
        <v>164</v>
      </c>
      <c r="N527" t="s">
        <v>223</v>
      </c>
      <c r="O527" t="s">
        <v>170</v>
      </c>
      <c r="P527">
        <v>3.6648868349165392E-2</v>
      </c>
      <c r="Q527" t="s">
        <v>164</v>
      </c>
    </row>
    <row r="528" spans="9:17" x14ac:dyDescent="0.45">
      <c r="I528" t="s">
        <v>187</v>
      </c>
      <c r="J528" t="s">
        <v>171</v>
      </c>
      <c r="K528">
        <v>7.26485046969889E-2</v>
      </c>
      <c r="L528" t="s">
        <v>164</v>
      </c>
      <c r="N528" t="s">
        <v>223</v>
      </c>
      <c r="O528" t="s">
        <v>171</v>
      </c>
      <c r="P528">
        <v>9.5726876550591526E-3</v>
      </c>
      <c r="Q528" t="s">
        <v>164</v>
      </c>
    </row>
    <row r="529" spans="9:17" x14ac:dyDescent="0.45">
      <c r="I529" t="s">
        <v>187</v>
      </c>
      <c r="J529" t="s">
        <v>172</v>
      </c>
      <c r="K529">
        <v>2.465863953812496E-3</v>
      </c>
      <c r="L529" t="s">
        <v>164</v>
      </c>
      <c r="N529" t="s">
        <v>223</v>
      </c>
      <c r="O529" t="s">
        <v>172</v>
      </c>
      <c r="P529">
        <v>5.632693520812521E-4</v>
      </c>
      <c r="Q529" t="s">
        <v>164</v>
      </c>
    </row>
    <row r="530" spans="9:17" x14ac:dyDescent="0.45">
      <c r="I530" t="s">
        <v>187</v>
      </c>
      <c r="J530" t="s">
        <v>271</v>
      </c>
      <c r="K530">
        <v>0</v>
      </c>
      <c r="L530" t="s">
        <v>164</v>
      </c>
      <c r="N530" t="s">
        <v>223</v>
      </c>
      <c r="O530" t="s">
        <v>271</v>
      </c>
      <c r="P530">
        <v>4.5368677999097686E-3</v>
      </c>
      <c r="Q530" t="s">
        <v>164</v>
      </c>
    </row>
    <row r="531" spans="9:17" x14ac:dyDescent="0.45">
      <c r="I531" t="s">
        <v>187</v>
      </c>
      <c r="J531" t="s">
        <v>272</v>
      </c>
      <c r="K531">
        <v>0</v>
      </c>
      <c r="L531" t="s">
        <v>164</v>
      </c>
      <c r="N531" t="s">
        <v>223</v>
      </c>
      <c r="O531" t="s">
        <v>272</v>
      </c>
      <c r="P531">
        <v>6.2436326583433727E-3</v>
      </c>
      <c r="Q531" t="s">
        <v>164</v>
      </c>
    </row>
    <row r="532" spans="9:17" x14ac:dyDescent="0.45">
      <c r="I532" t="s">
        <v>187</v>
      </c>
      <c r="J532" t="s">
        <v>273</v>
      </c>
      <c r="K532">
        <v>0</v>
      </c>
      <c r="L532" t="s">
        <v>164</v>
      </c>
      <c r="N532" t="s">
        <v>223</v>
      </c>
      <c r="O532" t="s">
        <v>273</v>
      </c>
      <c r="P532">
        <v>3.8962900831168673E-3</v>
      </c>
      <c r="Q532" t="s">
        <v>164</v>
      </c>
    </row>
    <row r="533" spans="9:17" x14ac:dyDescent="0.45">
      <c r="I533" t="s">
        <v>187</v>
      </c>
      <c r="J533" t="s">
        <v>173</v>
      </c>
      <c r="K533">
        <v>7.607894824373752E-3</v>
      </c>
      <c r="L533" t="s">
        <v>164</v>
      </c>
      <c r="N533" t="s">
        <v>223</v>
      </c>
      <c r="O533" t="s">
        <v>173</v>
      </c>
      <c r="P533">
        <v>0.11063958926819976</v>
      </c>
      <c r="Q533" t="s">
        <v>164</v>
      </c>
    </row>
    <row r="534" spans="9:17" x14ac:dyDescent="0.45">
      <c r="I534" t="s">
        <v>187</v>
      </c>
      <c r="J534" t="s">
        <v>174</v>
      </c>
      <c r="K534">
        <v>0.133151340343275</v>
      </c>
      <c r="L534" t="s">
        <v>164</v>
      </c>
      <c r="N534" t="s">
        <v>223</v>
      </c>
      <c r="O534" t="s">
        <v>174</v>
      </c>
      <c r="P534">
        <v>3.3925676933121443E-2</v>
      </c>
      <c r="Q534" t="s">
        <v>164</v>
      </c>
    </row>
    <row r="535" spans="9:17" x14ac:dyDescent="0.45">
      <c r="I535" t="s">
        <v>187</v>
      </c>
      <c r="J535" t="s">
        <v>175</v>
      </c>
      <c r="K535">
        <v>3.4705266308969022E-3</v>
      </c>
      <c r="L535" t="s">
        <v>164</v>
      </c>
      <c r="N535" t="s">
        <v>223</v>
      </c>
      <c r="O535" t="s">
        <v>175</v>
      </c>
      <c r="P535">
        <v>1.4814587211136841E-3</v>
      </c>
      <c r="Q535" t="s">
        <v>164</v>
      </c>
    </row>
    <row r="536" spans="9:17" x14ac:dyDescent="0.45">
      <c r="I536" t="s">
        <v>187</v>
      </c>
      <c r="J536" t="s">
        <v>274</v>
      </c>
      <c r="K536">
        <v>7.7690238686157966E-4</v>
      </c>
      <c r="L536" t="s">
        <v>164</v>
      </c>
      <c r="N536" t="s">
        <v>223</v>
      </c>
      <c r="O536" t="s">
        <v>274</v>
      </c>
      <c r="P536">
        <v>1.7338565224975223E-2</v>
      </c>
      <c r="Q536" t="s">
        <v>164</v>
      </c>
    </row>
    <row r="537" spans="9:17" x14ac:dyDescent="0.45">
      <c r="I537" t="s">
        <v>187</v>
      </c>
      <c r="J537" t="s">
        <v>275</v>
      </c>
      <c r="K537">
        <v>0</v>
      </c>
      <c r="L537" t="s">
        <v>164</v>
      </c>
      <c r="N537" t="s">
        <v>223</v>
      </c>
      <c r="O537" t="s">
        <v>275</v>
      </c>
      <c r="P537">
        <v>2.6302627741377867E-2</v>
      </c>
      <c r="Q537" t="s">
        <v>164</v>
      </c>
    </row>
    <row r="538" spans="9:17" x14ac:dyDescent="0.45">
      <c r="I538" t="s">
        <v>187</v>
      </c>
      <c r="J538" t="s">
        <v>276</v>
      </c>
      <c r="K538">
        <v>0</v>
      </c>
      <c r="L538" t="s">
        <v>164</v>
      </c>
      <c r="N538" t="s">
        <v>223</v>
      </c>
      <c r="O538" t="s">
        <v>276</v>
      </c>
      <c r="P538">
        <v>1.5929262366790268E-2</v>
      </c>
      <c r="Q538" t="s">
        <v>164</v>
      </c>
    </row>
    <row r="539" spans="9:17" x14ac:dyDescent="0.45">
      <c r="I539" t="s">
        <v>187</v>
      </c>
      <c r="J539" t="s">
        <v>277</v>
      </c>
      <c r="K539">
        <v>2.8831500984895257E-3</v>
      </c>
      <c r="L539" t="s">
        <v>164</v>
      </c>
      <c r="N539" t="s">
        <v>223</v>
      </c>
      <c r="O539" t="s">
        <v>277</v>
      </c>
      <c r="P539">
        <v>3.7666388117777345E-2</v>
      </c>
      <c r="Q539" t="s">
        <v>164</v>
      </c>
    </row>
    <row r="540" spans="9:17" x14ac:dyDescent="0.45">
      <c r="I540" t="s">
        <v>187</v>
      </c>
      <c r="J540" t="s">
        <v>278</v>
      </c>
      <c r="K540">
        <v>6.2301952614931218E-2</v>
      </c>
      <c r="L540" t="s">
        <v>164</v>
      </c>
      <c r="N540" t="s">
        <v>223</v>
      </c>
      <c r="O540" t="s">
        <v>278</v>
      </c>
      <c r="P540">
        <v>1.9677756207412151E-2</v>
      </c>
      <c r="Q540" t="s">
        <v>164</v>
      </c>
    </row>
    <row r="541" spans="9:17" x14ac:dyDescent="0.45">
      <c r="I541" t="s">
        <v>187</v>
      </c>
      <c r="J541" t="s">
        <v>279</v>
      </c>
      <c r="K541">
        <v>2.4204649012119998E-3</v>
      </c>
      <c r="L541" t="s">
        <v>164</v>
      </c>
      <c r="N541" t="s">
        <v>223</v>
      </c>
      <c r="O541" t="s">
        <v>279</v>
      </c>
      <c r="P541">
        <v>9.0316273022098155E-4</v>
      </c>
      <c r="Q541" t="s">
        <v>164</v>
      </c>
    </row>
    <row r="542" spans="9:17" x14ac:dyDescent="0.45">
      <c r="I542" t="s">
        <v>187</v>
      </c>
      <c r="J542" t="s">
        <v>280</v>
      </c>
      <c r="K542">
        <v>9.9827134285927722E-4</v>
      </c>
      <c r="L542" t="s">
        <v>164</v>
      </c>
      <c r="N542" t="s">
        <v>223</v>
      </c>
      <c r="O542" t="s">
        <v>280</v>
      </c>
      <c r="P542">
        <v>5.4820384311576051E-3</v>
      </c>
      <c r="Q542" t="s">
        <v>164</v>
      </c>
    </row>
    <row r="543" spans="9:17" x14ac:dyDescent="0.45">
      <c r="I543" t="s">
        <v>187</v>
      </c>
      <c r="J543" t="s">
        <v>281</v>
      </c>
      <c r="K543">
        <v>0</v>
      </c>
      <c r="L543" t="s">
        <v>164</v>
      </c>
      <c r="N543" t="s">
        <v>223</v>
      </c>
      <c r="O543" t="s">
        <v>281</v>
      </c>
      <c r="P543">
        <v>6.3824460856070691E-3</v>
      </c>
      <c r="Q543" t="s">
        <v>164</v>
      </c>
    </row>
    <row r="544" spans="9:17" x14ac:dyDescent="0.45">
      <c r="I544" t="s">
        <v>187</v>
      </c>
      <c r="J544" t="s">
        <v>282</v>
      </c>
      <c r="K544">
        <v>0</v>
      </c>
      <c r="L544" t="s">
        <v>164</v>
      </c>
      <c r="N544" t="s">
        <v>223</v>
      </c>
      <c r="O544" t="s">
        <v>282</v>
      </c>
      <c r="P544">
        <v>3.7555968956657121E-3</v>
      </c>
      <c r="Q544" t="s">
        <v>164</v>
      </c>
    </row>
    <row r="545" spans="9:17" x14ac:dyDescent="0.45">
      <c r="I545" t="s">
        <v>187</v>
      </c>
      <c r="J545" t="s">
        <v>283</v>
      </c>
      <c r="K545">
        <v>1.8007468072748208E-3</v>
      </c>
      <c r="L545" t="s">
        <v>164</v>
      </c>
      <c r="N545" t="s">
        <v>223</v>
      </c>
      <c r="O545" t="s">
        <v>283</v>
      </c>
      <c r="P545">
        <v>1.995499974251953E-2</v>
      </c>
      <c r="Q545" t="s">
        <v>164</v>
      </c>
    </row>
    <row r="546" spans="9:17" x14ac:dyDescent="0.45">
      <c r="I546" t="s">
        <v>187</v>
      </c>
      <c r="J546" t="s">
        <v>284</v>
      </c>
      <c r="K546">
        <v>5.5151290717410907E-2</v>
      </c>
      <c r="L546" t="s">
        <v>164</v>
      </c>
      <c r="N546" t="s">
        <v>223</v>
      </c>
      <c r="O546" t="s">
        <v>284</v>
      </c>
      <c r="P546">
        <v>1.5322816024207287E-2</v>
      </c>
      <c r="Q546" t="s">
        <v>164</v>
      </c>
    </row>
    <row r="547" spans="9:17" x14ac:dyDescent="0.45">
      <c r="I547" t="s">
        <v>187</v>
      </c>
      <c r="J547" t="s">
        <v>285</v>
      </c>
      <c r="K547">
        <v>2.3245390975539667E-3</v>
      </c>
      <c r="L547" t="s">
        <v>164</v>
      </c>
      <c r="N547" t="s">
        <v>223</v>
      </c>
      <c r="O547" t="s">
        <v>285</v>
      </c>
      <c r="P547">
        <v>6.2268438871676665E-4</v>
      </c>
      <c r="Q547" t="s">
        <v>164</v>
      </c>
    </row>
    <row r="548" spans="9:17" x14ac:dyDescent="0.45">
      <c r="I548" t="s">
        <v>187</v>
      </c>
      <c r="J548" t="s">
        <v>286</v>
      </c>
      <c r="K548">
        <v>1.177591146697445E-3</v>
      </c>
      <c r="L548" t="s">
        <v>164</v>
      </c>
      <c r="N548" t="s">
        <v>223</v>
      </c>
      <c r="O548" t="s">
        <v>286</v>
      </c>
      <c r="P548">
        <v>2.9049051845059324E-3</v>
      </c>
      <c r="Q548" t="s">
        <v>164</v>
      </c>
    </row>
    <row r="549" spans="9:17" x14ac:dyDescent="0.45">
      <c r="I549" t="s">
        <v>187</v>
      </c>
      <c r="J549" t="s">
        <v>287</v>
      </c>
      <c r="K549">
        <v>0</v>
      </c>
      <c r="L549" t="s">
        <v>164</v>
      </c>
      <c r="N549" t="s">
        <v>223</v>
      </c>
      <c r="O549" t="s">
        <v>287</v>
      </c>
      <c r="P549">
        <v>3.2072189442022038E-3</v>
      </c>
      <c r="Q549" t="s">
        <v>164</v>
      </c>
    </row>
    <row r="550" spans="9:17" x14ac:dyDescent="0.45">
      <c r="I550" t="s">
        <v>187</v>
      </c>
      <c r="J550" t="s">
        <v>288</v>
      </c>
      <c r="K550">
        <v>0</v>
      </c>
      <c r="L550" t="s">
        <v>164</v>
      </c>
      <c r="N550" t="s">
        <v>223</v>
      </c>
      <c r="O550" t="s">
        <v>288</v>
      </c>
      <c r="P550">
        <v>1.8039865838404827E-3</v>
      </c>
      <c r="Q550" t="s">
        <v>164</v>
      </c>
    </row>
    <row r="551" spans="9:17" x14ac:dyDescent="0.45">
      <c r="I551" t="s">
        <v>187</v>
      </c>
      <c r="J551" t="s">
        <v>289</v>
      </c>
      <c r="K551">
        <v>1.4576447772778854E-2</v>
      </c>
      <c r="L551" t="s">
        <v>164</v>
      </c>
      <c r="N551" t="s">
        <v>223</v>
      </c>
      <c r="O551" t="s">
        <v>289</v>
      </c>
      <c r="P551">
        <v>0.1449010178751515</v>
      </c>
      <c r="Q551" t="s">
        <v>164</v>
      </c>
    </row>
    <row r="552" spans="9:17" x14ac:dyDescent="0.45">
      <c r="I552" t="s">
        <v>187</v>
      </c>
      <c r="J552" t="s">
        <v>290</v>
      </c>
      <c r="K552">
        <v>0.30876760524433383</v>
      </c>
      <c r="L552" t="s">
        <v>164</v>
      </c>
      <c r="N552" t="s">
        <v>223</v>
      </c>
      <c r="O552" t="s">
        <v>290</v>
      </c>
      <c r="P552">
        <v>6.4036156612460177E-2</v>
      </c>
      <c r="Q552" t="s">
        <v>164</v>
      </c>
    </row>
    <row r="553" spans="9:17" x14ac:dyDescent="0.45">
      <c r="I553" t="s">
        <v>187</v>
      </c>
      <c r="J553" t="s">
        <v>291</v>
      </c>
      <c r="K553">
        <v>1.0920808594197176E-2</v>
      </c>
      <c r="L553" t="s">
        <v>164</v>
      </c>
      <c r="N553" t="s">
        <v>223</v>
      </c>
      <c r="O553" t="s">
        <v>291</v>
      </c>
      <c r="P553">
        <v>4.1795771453013346E-3</v>
      </c>
      <c r="Q553" t="s">
        <v>164</v>
      </c>
    </row>
    <row r="554" spans="9:17" x14ac:dyDescent="0.45">
      <c r="I554" t="s">
        <v>187</v>
      </c>
      <c r="J554" t="s">
        <v>292</v>
      </c>
      <c r="K554">
        <v>0</v>
      </c>
      <c r="L554" t="s">
        <v>164</v>
      </c>
      <c r="N554" t="s">
        <v>223</v>
      </c>
      <c r="O554" t="s">
        <v>292</v>
      </c>
      <c r="P554">
        <v>2.6968063753961338E-2</v>
      </c>
      <c r="Q554" t="s">
        <v>164</v>
      </c>
    </row>
    <row r="555" spans="9:17" x14ac:dyDescent="0.45">
      <c r="I555" t="s">
        <v>187</v>
      </c>
      <c r="J555" t="s">
        <v>293</v>
      </c>
      <c r="K555">
        <v>0</v>
      </c>
      <c r="L555" t="s">
        <v>164</v>
      </c>
      <c r="N555" t="s">
        <v>223</v>
      </c>
      <c r="O555" t="s">
        <v>293</v>
      </c>
      <c r="P555">
        <v>2.7145500547830673E-2</v>
      </c>
      <c r="Q555" t="s">
        <v>164</v>
      </c>
    </row>
    <row r="556" spans="9:17" x14ac:dyDescent="0.45">
      <c r="I556" t="s">
        <v>187</v>
      </c>
      <c r="J556" t="s">
        <v>294</v>
      </c>
      <c r="K556">
        <v>0</v>
      </c>
      <c r="L556" t="s">
        <v>164</v>
      </c>
      <c r="N556" t="s">
        <v>223</v>
      </c>
      <c r="O556" t="s">
        <v>294</v>
      </c>
      <c r="P556">
        <v>1.5363803391444509E-2</v>
      </c>
      <c r="Q556" t="s">
        <v>164</v>
      </c>
    </row>
    <row r="557" spans="9:17" x14ac:dyDescent="0.45">
      <c r="I557" t="s">
        <v>188</v>
      </c>
      <c r="J557" t="s">
        <v>163</v>
      </c>
      <c r="K557">
        <v>7.3924769958940576E-3</v>
      </c>
      <c r="L557" t="s">
        <v>164</v>
      </c>
      <c r="N557" t="s">
        <v>224</v>
      </c>
      <c r="O557" t="s">
        <v>163</v>
      </c>
      <c r="P557">
        <v>0.14388985133019938</v>
      </c>
      <c r="Q557" t="s">
        <v>164</v>
      </c>
    </row>
    <row r="558" spans="9:17" x14ac:dyDescent="0.45">
      <c r="I558" t="s">
        <v>188</v>
      </c>
      <c r="J558" t="s">
        <v>165</v>
      </c>
      <c r="K558">
        <v>0.2018682672534016</v>
      </c>
      <c r="L558" t="s">
        <v>164</v>
      </c>
      <c r="N558" t="s">
        <v>224</v>
      </c>
      <c r="O558" t="s">
        <v>165</v>
      </c>
      <c r="P558">
        <v>4.4465038155477525E-2</v>
      </c>
      <c r="Q558" t="s">
        <v>164</v>
      </c>
    </row>
    <row r="559" spans="9:17" x14ac:dyDescent="0.45">
      <c r="I559" t="s">
        <v>188</v>
      </c>
      <c r="J559" t="s">
        <v>166</v>
      </c>
      <c r="K559">
        <v>1.2237058402639233E-2</v>
      </c>
      <c r="L559" t="s">
        <v>164</v>
      </c>
      <c r="N559" t="s">
        <v>224</v>
      </c>
      <c r="O559" t="s">
        <v>166</v>
      </c>
      <c r="P559">
        <v>3.1505316933653888E-3</v>
      </c>
      <c r="Q559" t="s">
        <v>164</v>
      </c>
    </row>
    <row r="560" spans="9:17" x14ac:dyDescent="0.45">
      <c r="I560" t="s">
        <v>188</v>
      </c>
      <c r="J560" t="s">
        <v>265</v>
      </c>
      <c r="K560">
        <v>8.4265537866236176E-4</v>
      </c>
      <c r="L560" t="s">
        <v>164</v>
      </c>
      <c r="N560" t="s">
        <v>224</v>
      </c>
      <c r="O560" t="s">
        <v>265</v>
      </c>
      <c r="P560">
        <v>2.6368944211824886E-2</v>
      </c>
      <c r="Q560" t="s">
        <v>164</v>
      </c>
    </row>
    <row r="561" spans="9:17" x14ac:dyDescent="0.45">
      <c r="I561" t="s">
        <v>188</v>
      </c>
      <c r="J561" t="s">
        <v>266</v>
      </c>
      <c r="K561">
        <v>0</v>
      </c>
      <c r="L561" t="s">
        <v>164</v>
      </c>
      <c r="N561" t="s">
        <v>224</v>
      </c>
      <c r="O561" t="s">
        <v>266</v>
      </c>
      <c r="P561">
        <v>3.1375221605889667E-2</v>
      </c>
      <c r="Q561" t="s">
        <v>164</v>
      </c>
    </row>
    <row r="562" spans="9:17" x14ac:dyDescent="0.45">
      <c r="I562" t="s">
        <v>188</v>
      </c>
      <c r="J562" t="s">
        <v>267</v>
      </c>
      <c r="K562">
        <v>0</v>
      </c>
      <c r="L562" t="s">
        <v>164</v>
      </c>
      <c r="N562" t="s">
        <v>224</v>
      </c>
      <c r="O562" t="s">
        <v>267</v>
      </c>
      <c r="P562">
        <v>1.6994422160156532E-2</v>
      </c>
      <c r="Q562" t="s">
        <v>164</v>
      </c>
    </row>
    <row r="563" spans="9:17" x14ac:dyDescent="0.45">
      <c r="I563" t="s">
        <v>188</v>
      </c>
      <c r="J563" t="s">
        <v>167</v>
      </c>
      <c r="K563">
        <v>3.138841402963138E-3</v>
      </c>
      <c r="L563" t="s">
        <v>164</v>
      </c>
      <c r="N563" t="s">
        <v>224</v>
      </c>
      <c r="O563" t="s">
        <v>167</v>
      </c>
      <c r="P563">
        <v>3.4588767481744054E-2</v>
      </c>
      <c r="Q563" t="s">
        <v>164</v>
      </c>
    </row>
    <row r="564" spans="9:17" x14ac:dyDescent="0.45">
      <c r="I564" t="s">
        <v>188</v>
      </c>
      <c r="J564" t="s">
        <v>168</v>
      </c>
      <c r="K564">
        <v>8.7811124469110852E-2</v>
      </c>
      <c r="L564" t="s">
        <v>164</v>
      </c>
      <c r="N564" t="s">
        <v>224</v>
      </c>
      <c r="O564" t="s">
        <v>168</v>
      </c>
      <c r="P564">
        <v>1.0942231036677861E-2</v>
      </c>
      <c r="Q564" t="s">
        <v>164</v>
      </c>
    </row>
    <row r="565" spans="9:17" x14ac:dyDescent="0.45">
      <c r="I565" t="s">
        <v>188</v>
      </c>
      <c r="J565" t="s">
        <v>169</v>
      </c>
      <c r="K565">
        <v>4.3915204773733486E-3</v>
      </c>
      <c r="L565" t="s">
        <v>164</v>
      </c>
      <c r="N565" t="s">
        <v>224</v>
      </c>
      <c r="O565" t="s">
        <v>169</v>
      </c>
      <c r="P565">
        <v>5.4636126042077911E-4</v>
      </c>
      <c r="Q565" t="s">
        <v>164</v>
      </c>
    </row>
    <row r="566" spans="9:17" x14ac:dyDescent="0.45">
      <c r="I566" t="s">
        <v>188</v>
      </c>
      <c r="J566" t="s">
        <v>268</v>
      </c>
      <c r="K566">
        <v>7.0757338778011452E-4</v>
      </c>
      <c r="L566" t="s">
        <v>164</v>
      </c>
      <c r="N566" t="s">
        <v>224</v>
      </c>
      <c r="O566" t="s">
        <v>268</v>
      </c>
      <c r="P566">
        <v>4.7204271476480562E-3</v>
      </c>
      <c r="Q566" t="s">
        <v>164</v>
      </c>
    </row>
    <row r="567" spans="9:17" x14ac:dyDescent="0.45">
      <c r="I567" t="s">
        <v>188</v>
      </c>
      <c r="J567" t="s">
        <v>269</v>
      </c>
      <c r="K567">
        <v>0</v>
      </c>
      <c r="L567" t="s">
        <v>164</v>
      </c>
      <c r="N567" t="s">
        <v>224</v>
      </c>
      <c r="O567" t="s">
        <v>269</v>
      </c>
      <c r="P567">
        <v>5.8428210986306243E-3</v>
      </c>
      <c r="Q567" t="s">
        <v>164</v>
      </c>
    </row>
    <row r="568" spans="9:17" x14ac:dyDescent="0.45">
      <c r="I568" t="s">
        <v>188</v>
      </c>
      <c r="J568" t="s">
        <v>270</v>
      </c>
      <c r="K568">
        <v>0</v>
      </c>
      <c r="L568" t="s">
        <v>164</v>
      </c>
      <c r="N568" t="s">
        <v>224</v>
      </c>
      <c r="O568" t="s">
        <v>270</v>
      </c>
      <c r="P568">
        <v>3.7446642104863965E-3</v>
      </c>
      <c r="Q568" t="s">
        <v>164</v>
      </c>
    </row>
    <row r="569" spans="9:17" x14ac:dyDescent="0.45">
      <c r="I569" t="s">
        <v>188</v>
      </c>
      <c r="J569" t="s">
        <v>170</v>
      </c>
      <c r="K569">
        <v>5.6562107010149562E-3</v>
      </c>
      <c r="L569" t="s">
        <v>164</v>
      </c>
      <c r="N569" t="s">
        <v>224</v>
      </c>
      <c r="O569" t="s">
        <v>170</v>
      </c>
      <c r="P569">
        <v>4.4872856638331404E-2</v>
      </c>
      <c r="Q569" t="s">
        <v>164</v>
      </c>
    </row>
    <row r="570" spans="9:17" x14ac:dyDescent="0.45">
      <c r="I570" t="s">
        <v>188</v>
      </c>
      <c r="J570" t="s">
        <v>171</v>
      </c>
      <c r="K570">
        <v>7.2025571368708505E-2</v>
      </c>
      <c r="L570" t="s">
        <v>164</v>
      </c>
      <c r="N570" t="s">
        <v>224</v>
      </c>
      <c r="O570" t="s">
        <v>171</v>
      </c>
      <c r="P570">
        <v>1.2803186613723051E-2</v>
      </c>
      <c r="Q570" t="s">
        <v>164</v>
      </c>
    </row>
    <row r="571" spans="9:17" x14ac:dyDescent="0.45">
      <c r="I571" t="s">
        <v>188</v>
      </c>
      <c r="J571" t="s">
        <v>172</v>
      </c>
      <c r="K571">
        <v>2.861289054104185E-3</v>
      </c>
      <c r="L571" t="s">
        <v>164</v>
      </c>
      <c r="N571" t="s">
        <v>224</v>
      </c>
      <c r="O571" t="s">
        <v>172</v>
      </c>
      <c r="P571">
        <v>3.246874507581953E-4</v>
      </c>
      <c r="Q571" t="s">
        <v>164</v>
      </c>
    </row>
    <row r="572" spans="9:17" x14ac:dyDescent="0.45">
      <c r="I572" t="s">
        <v>188</v>
      </c>
      <c r="J572" t="s">
        <v>271</v>
      </c>
      <c r="K572">
        <v>2.2540970009072922E-7</v>
      </c>
      <c r="L572" t="s">
        <v>164</v>
      </c>
      <c r="N572" t="s">
        <v>224</v>
      </c>
      <c r="O572" t="s">
        <v>271</v>
      </c>
      <c r="P572">
        <v>3.4134473655033225E-3</v>
      </c>
      <c r="Q572" t="s">
        <v>164</v>
      </c>
    </row>
    <row r="573" spans="9:17" x14ac:dyDescent="0.45">
      <c r="I573" t="s">
        <v>188</v>
      </c>
      <c r="J573" t="s">
        <v>272</v>
      </c>
      <c r="K573">
        <v>0</v>
      </c>
      <c r="L573" t="s">
        <v>164</v>
      </c>
      <c r="N573" t="s">
        <v>224</v>
      </c>
      <c r="O573" t="s">
        <v>272</v>
      </c>
      <c r="P573">
        <v>6.8370515274100091E-3</v>
      </c>
      <c r="Q573" t="s">
        <v>164</v>
      </c>
    </row>
    <row r="574" spans="9:17" x14ac:dyDescent="0.45">
      <c r="I574" t="s">
        <v>188</v>
      </c>
      <c r="J574" t="s">
        <v>273</v>
      </c>
      <c r="K574">
        <v>0</v>
      </c>
      <c r="L574" t="s">
        <v>164</v>
      </c>
      <c r="N574" t="s">
        <v>224</v>
      </c>
      <c r="O574" t="s">
        <v>273</v>
      </c>
      <c r="P574">
        <v>4.5272894224052196E-3</v>
      </c>
      <c r="Q574" t="s">
        <v>164</v>
      </c>
    </row>
    <row r="575" spans="9:17" x14ac:dyDescent="0.45">
      <c r="I575" t="s">
        <v>188</v>
      </c>
      <c r="J575" t="s">
        <v>173</v>
      </c>
      <c r="K575">
        <v>7.7189691737115E-3</v>
      </c>
      <c r="L575" t="s">
        <v>164</v>
      </c>
      <c r="N575" t="s">
        <v>224</v>
      </c>
      <c r="O575" t="s">
        <v>173</v>
      </c>
      <c r="P575">
        <v>0.10913414266483035</v>
      </c>
      <c r="Q575" t="s">
        <v>164</v>
      </c>
    </row>
    <row r="576" spans="9:17" x14ac:dyDescent="0.45">
      <c r="I576" t="s">
        <v>188</v>
      </c>
      <c r="J576" t="s">
        <v>174</v>
      </c>
      <c r="K576">
        <v>0.1302180507502341</v>
      </c>
      <c r="L576" t="s">
        <v>164</v>
      </c>
      <c r="N576" t="s">
        <v>224</v>
      </c>
      <c r="O576" t="s">
        <v>174</v>
      </c>
      <c r="P576">
        <v>3.4323064466304197E-2</v>
      </c>
      <c r="Q576" t="s">
        <v>164</v>
      </c>
    </row>
    <row r="577" spans="9:17" x14ac:dyDescent="0.45">
      <c r="I577" t="s">
        <v>188</v>
      </c>
      <c r="J577" t="s">
        <v>175</v>
      </c>
      <c r="K577">
        <v>3.5808200840365925E-3</v>
      </c>
      <c r="L577" t="s">
        <v>164</v>
      </c>
      <c r="N577" t="s">
        <v>224</v>
      </c>
      <c r="O577" t="s">
        <v>175</v>
      </c>
      <c r="P577">
        <v>1.3257551073254084E-3</v>
      </c>
      <c r="Q577" t="s">
        <v>164</v>
      </c>
    </row>
    <row r="578" spans="9:17" x14ac:dyDescent="0.45">
      <c r="I578" t="s">
        <v>188</v>
      </c>
      <c r="J578" t="s">
        <v>274</v>
      </c>
      <c r="K578">
        <v>6.4624887452907035E-4</v>
      </c>
      <c r="L578" t="s">
        <v>164</v>
      </c>
      <c r="N578" t="s">
        <v>224</v>
      </c>
      <c r="O578" t="s">
        <v>274</v>
      </c>
      <c r="P578">
        <v>1.4556047469944409E-2</v>
      </c>
      <c r="Q578" t="s">
        <v>164</v>
      </c>
    </row>
    <row r="579" spans="9:17" x14ac:dyDescent="0.45">
      <c r="I579" t="s">
        <v>188</v>
      </c>
      <c r="J579" t="s">
        <v>275</v>
      </c>
      <c r="K579">
        <v>0</v>
      </c>
      <c r="L579" t="s">
        <v>164</v>
      </c>
      <c r="N579" t="s">
        <v>224</v>
      </c>
      <c r="O579" t="s">
        <v>275</v>
      </c>
      <c r="P579">
        <v>2.4965912136365724E-2</v>
      </c>
      <c r="Q579" t="s">
        <v>164</v>
      </c>
    </row>
    <row r="580" spans="9:17" x14ac:dyDescent="0.45">
      <c r="I580" t="s">
        <v>188</v>
      </c>
      <c r="J580" t="s">
        <v>276</v>
      </c>
      <c r="K580">
        <v>0</v>
      </c>
      <c r="L580" t="s">
        <v>164</v>
      </c>
      <c r="N580" t="s">
        <v>224</v>
      </c>
      <c r="O580" t="s">
        <v>276</v>
      </c>
      <c r="P580">
        <v>1.672548660019102E-2</v>
      </c>
      <c r="Q580" t="s">
        <v>164</v>
      </c>
    </row>
    <row r="581" spans="9:17" x14ac:dyDescent="0.45">
      <c r="I581" t="s">
        <v>188</v>
      </c>
      <c r="J581" t="s">
        <v>277</v>
      </c>
      <c r="K581">
        <v>2.1436912603180719E-3</v>
      </c>
      <c r="L581" t="s">
        <v>164</v>
      </c>
      <c r="N581" t="s">
        <v>224</v>
      </c>
      <c r="O581" t="s">
        <v>277</v>
      </c>
      <c r="P581">
        <v>3.5655610860919638E-2</v>
      </c>
      <c r="Q581" t="s">
        <v>164</v>
      </c>
    </row>
    <row r="582" spans="9:17" x14ac:dyDescent="0.45">
      <c r="I582" t="s">
        <v>188</v>
      </c>
      <c r="J582" t="s">
        <v>278</v>
      </c>
      <c r="K582">
        <v>5.9770965284133518E-2</v>
      </c>
      <c r="L582" t="s">
        <v>164</v>
      </c>
      <c r="N582" t="s">
        <v>224</v>
      </c>
      <c r="O582" t="s">
        <v>278</v>
      </c>
      <c r="P582">
        <v>1.9896908385125759E-2</v>
      </c>
      <c r="Q582" t="s">
        <v>164</v>
      </c>
    </row>
    <row r="583" spans="9:17" x14ac:dyDescent="0.45">
      <c r="I583" t="s">
        <v>188</v>
      </c>
      <c r="J583" t="s">
        <v>279</v>
      </c>
      <c r="K583">
        <v>2.3553844673194126E-3</v>
      </c>
      <c r="L583" t="s">
        <v>164</v>
      </c>
      <c r="N583" t="s">
        <v>224</v>
      </c>
      <c r="O583" t="s">
        <v>279</v>
      </c>
      <c r="P583">
        <v>8.4868532337842436E-4</v>
      </c>
      <c r="Q583" t="s">
        <v>164</v>
      </c>
    </row>
    <row r="584" spans="9:17" x14ac:dyDescent="0.45">
      <c r="I584" t="s">
        <v>188</v>
      </c>
      <c r="J584" t="s">
        <v>280</v>
      </c>
      <c r="K584">
        <v>9.6062659009932109E-4</v>
      </c>
      <c r="L584" t="s">
        <v>164</v>
      </c>
      <c r="N584" t="s">
        <v>224</v>
      </c>
      <c r="O584" t="s">
        <v>280</v>
      </c>
      <c r="P584">
        <v>5.2493684512741143E-3</v>
      </c>
      <c r="Q584" t="s">
        <v>164</v>
      </c>
    </row>
    <row r="585" spans="9:17" x14ac:dyDescent="0.45">
      <c r="I585" t="s">
        <v>188</v>
      </c>
      <c r="J585" t="s">
        <v>281</v>
      </c>
      <c r="K585">
        <v>0</v>
      </c>
      <c r="L585" t="s">
        <v>164</v>
      </c>
      <c r="N585" t="s">
        <v>224</v>
      </c>
      <c r="O585" t="s">
        <v>281</v>
      </c>
      <c r="P585">
        <v>5.6095691172058301E-3</v>
      </c>
      <c r="Q585" t="s">
        <v>164</v>
      </c>
    </row>
    <row r="586" spans="9:17" x14ac:dyDescent="0.45">
      <c r="I586" t="s">
        <v>188</v>
      </c>
      <c r="J586" t="s">
        <v>282</v>
      </c>
      <c r="K586">
        <v>0</v>
      </c>
      <c r="L586" t="s">
        <v>164</v>
      </c>
      <c r="N586" t="s">
        <v>224</v>
      </c>
      <c r="O586" t="s">
        <v>282</v>
      </c>
      <c r="P586">
        <v>3.4866766568801516E-3</v>
      </c>
      <c r="Q586" t="s">
        <v>164</v>
      </c>
    </row>
    <row r="587" spans="9:17" x14ac:dyDescent="0.45">
      <c r="I587" t="s">
        <v>188</v>
      </c>
      <c r="J587" t="s">
        <v>283</v>
      </c>
      <c r="K587">
        <v>1.6539070355393796E-3</v>
      </c>
      <c r="L587" t="s">
        <v>164</v>
      </c>
      <c r="N587" t="s">
        <v>224</v>
      </c>
      <c r="O587" t="s">
        <v>283</v>
      </c>
      <c r="P587">
        <v>1.8512233891842596E-2</v>
      </c>
      <c r="Q587" t="s">
        <v>164</v>
      </c>
    </row>
    <row r="588" spans="9:17" x14ac:dyDescent="0.45">
      <c r="I588" t="s">
        <v>188</v>
      </c>
      <c r="J588" t="s">
        <v>284</v>
      </c>
      <c r="K588">
        <v>5.0490723286582107E-2</v>
      </c>
      <c r="L588" t="s">
        <v>164</v>
      </c>
      <c r="N588" t="s">
        <v>224</v>
      </c>
      <c r="O588" t="s">
        <v>284</v>
      </c>
      <c r="P588">
        <v>1.4933476183013888E-2</v>
      </c>
      <c r="Q588" t="s">
        <v>164</v>
      </c>
    </row>
    <row r="589" spans="9:17" x14ac:dyDescent="0.45">
      <c r="I589" t="s">
        <v>188</v>
      </c>
      <c r="J589" t="s">
        <v>285</v>
      </c>
      <c r="K589">
        <v>2.1905486780211883E-3</v>
      </c>
      <c r="L589" t="s">
        <v>164</v>
      </c>
      <c r="N589" t="s">
        <v>224</v>
      </c>
      <c r="O589" t="s">
        <v>285</v>
      </c>
      <c r="P589">
        <v>4.1953919154671471E-4</v>
      </c>
      <c r="Q589" t="s">
        <v>164</v>
      </c>
    </row>
    <row r="590" spans="9:17" x14ac:dyDescent="0.45">
      <c r="I590" t="s">
        <v>188</v>
      </c>
      <c r="J590" t="s">
        <v>286</v>
      </c>
      <c r="K590">
        <v>8.1525576704899461E-4</v>
      </c>
      <c r="L590" t="s">
        <v>164</v>
      </c>
      <c r="N590" t="s">
        <v>224</v>
      </c>
      <c r="O590" t="s">
        <v>286</v>
      </c>
      <c r="P590">
        <v>2.6269720262997094E-3</v>
      </c>
      <c r="Q590" t="s">
        <v>164</v>
      </c>
    </row>
    <row r="591" spans="9:17" x14ac:dyDescent="0.45">
      <c r="I591" t="s">
        <v>188</v>
      </c>
      <c r="J591" t="s">
        <v>287</v>
      </c>
      <c r="K591">
        <v>0</v>
      </c>
      <c r="L591" t="s">
        <v>164</v>
      </c>
      <c r="N591" t="s">
        <v>224</v>
      </c>
      <c r="O591" t="s">
        <v>287</v>
      </c>
      <c r="P591">
        <v>3.7324112839437671E-3</v>
      </c>
      <c r="Q591" t="s">
        <v>164</v>
      </c>
    </row>
    <row r="592" spans="9:17" x14ac:dyDescent="0.45">
      <c r="I592" t="s">
        <v>188</v>
      </c>
      <c r="J592" t="s">
        <v>288</v>
      </c>
      <c r="K592">
        <v>0</v>
      </c>
      <c r="L592" t="s">
        <v>164</v>
      </c>
      <c r="N592" t="s">
        <v>224</v>
      </c>
      <c r="O592" t="s">
        <v>288</v>
      </c>
      <c r="P592">
        <v>2.0163888030438281E-3</v>
      </c>
      <c r="Q592" t="s">
        <v>164</v>
      </c>
    </row>
    <row r="593" spans="9:17" x14ac:dyDescent="0.45">
      <c r="I593" t="s">
        <v>188</v>
      </c>
      <c r="J593" t="s">
        <v>289</v>
      </c>
      <c r="K593">
        <v>1.6644826553372471E-2</v>
      </c>
      <c r="L593" t="s">
        <v>164</v>
      </c>
      <c r="N593" t="s">
        <v>224</v>
      </c>
      <c r="O593" t="s">
        <v>289</v>
      </c>
      <c r="P593">
        <v>0.15031448558072769</v>
      </c>
      <c r="Q593" t="s">
        <v>164</v>
      </c>
    </row>
    <row r="594" spans="9:17" x14ac:dyDescent="0.45">
      <c r="I594" t="s">
        <v>188</v>
      </c>
      <c r="J594" t="s">
        <v>290</v>
      </c>
      <c r="K594">
        <v>0.31045079131707093</v>
      </c>
      <c r="L594" t="s">
        <v>164</v>
      </c>
      <c r="N594" t="s">
        <v>224</v>
      </c>
      <c r="O594" t="s">
        <v>290</v>
      </c>
      <c r="P594">
        <v>5.2588872311980651E-2</v>
      </c>
      <c r="Q594" t="s">
        <v>164</v>
      </c>
    </row>
    <row r="595" spans="9:17" x14ac:dyDescent="0.45">
      <c r="I595" t="s">
        <v>188</v>
      </c>
      <c r="J595" t="s">
        <v>291</v>
      </c>
      <c r="K595">
        <v>1.1426376576631788E-2</v>
      </c>
      <c r="L595" t="s">
        <v>164</v>
      </c>
      <c r="N595" t="s">
        <v>224</v>
      </c>
      <c r="O595" t="s">
        <v>291</v>
      </c>
      <c r="P595">
        <v>3.6311920733475274E-3</v>
      </c>
      <c r="Q595" t="s">
        <v>164</v>
      </c>
    </row>
    <row r="596" spans="9:17" x14ac:dyDescent="0.45">
      <c r="I596" t="s">
        <v>188</v>
      </c>
      <c r="J596" t="s">
        <v>292</v>
      </c>
      <c r="K596">
        <v>0</v>
      </c>
      <c r="L596" t="s">
        <v>164</v>
      </c>
      <c r="N596" t="s">
        <v>224</v>
      </c>
      <c r="O596" t="s">
        <v>292</v>
      </c>
      <c r="P596">
        <v>2.9648606559164143E-2</v>
      </c>
      <c r="Q596" t="s">
        <v>164</v>
      </c>
    </row>
    <row r="597" spans="9:17" x14ac:dyDescent="0.45">
      <c r="I597" t="s">
        <v>188</v>
      </c>
      <c r="J597" t="s">
        <v>293</v>
      </c>
      <c r="K597">
        <v>0</v>
      </c>
      <c r="L597" t="s">
        <v>164</v>
      </c>
      <c r="N597" t="s">
        <v>224</v>
      </c>
      <c r="O597" t="s">
        <v>293</v>
      </c>
      <c r="P597">
        <v>3.2991524045999546E-2</v>
      </c>
      <c r="Q597" t="s">
        <v>164</v>
      </c>
    </row>
    <row r="598" spans="9:17" x14ac:dyDescent="0.45">
      <c r="I598" t="s">
        <v>188</v>
      </c>
      <c r="J598" t="s">
        <v>294</v>
      </c>
      <c r="K598">
        <v>0</v>
      </c>
      <c r="L598" t="s">
        <v>164</v>
      </c>
      <c r="N598" t="s">
        <v>224</v>
      </c>
      <c r="O598" t="s">
        <v>294</v>
      </c>
      <c r="P598">
        <v>1.7399270398691935E-2</v>
      </c>
      <c r="Q598" t="s">
        <v>164</v>
      </c>
    </row>
    <row r="599" spans="9:17" x14ac:dyDescent="0.45">
      <c r="I599" t="s">
        <v>189</v>
      </c>
      <c r="J599" t="s">
        <v>163</v>
      </c>
      <c r="K599">
        <v>9.0809283894454317E-7</v>
      </c>
      <c r="L599" t="s">
        <v>164</v>
      </c>
      <c r="N599" t="s">
        <v>225</v>
      </c>
      <c r="O599" t="s">
        <v>163</v>
      </c>
      <c r="P599">
        <v>0.13553554742649071</v>
      </c>
      <c r="Q599" t="s">
        <v>164</v>
      </c>
    </row>
    <row r="600" spans="9:17" x14ac:dyDescent="0.45">
      <c r="I600" t="s">
        <v>189</v>
      </c>
      <c r="J600" t="s">
        <v>165</v>
      </c>
      <c r="K600">
        <v>0.18327847833387736</v>
      </c>
      <c r="L600" t="s">
        <v>164</v>
      </c>
      <c r="N600" t="s">
        <v>225</v>
      </c>
      <c r="O600" t="s">
        <v>165</v>
      </c>
      <c r="P600">
        <v>5.4117601291220306E-2</v>
      </c>
      <c r="Q600" t="s">
        <v>164</v>
      </c>
    </row>
    <row r="601" spans="9:17" x14ac:dyDescent="0.45">
      <c r="I601" t="s">
        <v>189</v>
      </c>
      <c r="J601" t="s">
        <v>166</v>
      </c>
      <c r="K601">
        <v>1.6012603755629538E-2</v>
      </c>
      <c r="L601" t="s">
        <v>164</v>
      </c>
      <c r="N601" t="s">
        <v>225</v>
      </c>
      <c r="O601" t="s">
        <v>166</v>
      </c>
      <c r="P601">
        <v>3.5589766691304001E-3</v>
      </c>
      <c r="Q601" t="s">
        <v>164</v>
      </c>
    </row>
    <row r="602" spans="9:17" x14ac:dyDescent="0.45">
      <c r="I602" t="s">
        <v>189</v>
      </c>
      <c r="J602" t="s">
        <v>265</v>
      </c>
      <c r="K602">
        <v>9.7512594954187164E-3</v>
      </c>
      <c r="L602" t="s">
        <v>164</v>
      </c>
      <c r="N602" t="s">
        <v>225</v>
      </c>
      <c r="O602" t="s">
        <v>265</v>
      </c>
      <c r="P602">
        <v>2.5978882467388022E-2</v>
      </c>
      <c r="Q602" t="s">
        <v>164</v>
      </c>
    </row>
    <row r="603" spans="9:17" x14ac:dyDescent="0.45">
      <c r="I603" t="s">
        <v>189</v>
      </c>
      <c r="J603" t="s">
        <v>266</v>
      </c>
      <c r="K603">
        <v>0</v>
      </c>
      <c r="L603" t="s">
        <v>164</v>
      </c>
      <c r="N603" t="s">
        <v>225</v>
      </c>
      <c r="O603" t="s">
        <v>266</v>
      </c>
      <c r="P603">
        <v>2.8261204917382817E-2</v>
      </c>
      <c r="Q603" t="s">
        <v>164</v>
      </c>
    </row>
    <row r="604" spans="9:17" x14ac:dyDescent="0.45">
      <c r="I604" t="s">
        <v>189</v>
      </c>
      <c r="J604" t="s">
        <v>267</v>
      </c>
      <c r="K604">
        <v>0</v>
      </c>
      <c r="L604" t="s">
        <v>164</v>
      </c>
      <c r="N604" t="s">
        <v>225</v>
      </c>
      <c r="O604" t="s">
        <v>267</v>
      </c>
      <c r="P604">
        <v>1.5166216508224698E-2</v>
      </c>
      <c r="Q604" t="s">
        <v>164</v>
      </c>
    </row>
    <row r="605" spans="9:17" x14ac:dyDescent="0.45">
      <c r="I605" t="s">
        <v>189</v>
      </c>
      <c r="J605" t="s">
        <v>167</v>
      </c>
      <c r="K605">
        <v>1.9330984497686551E-3</v>
      </c>
      <c r="L605" t="s">
        <v>164</v>
      </c>
      <c r="N605" t="s">
        <v>225</v>
      </c>
      <c r="O605" t="s">
        <v>167</v>
      </c>
      <c r="P605">
        <v>3.3083422584942387E-2</v>
      </c>
      <c r="Q605" t="s">
        <v>164</v>
      </c>
    </row>
    <row r="606" spans="9:17" x14ac:dyDescent="0.45">
      <c r="I606" t="s">
        <v>189</v>
      </c>
      <c r="J606" t="s">
        <v>168</v>
      </c>
      <c r="K606">
        <v>7.9765002876032262E-2</v>
      </c>
      <c r="L606" t="s">
        <v>164</v>
      </c>
      <c r="N606" t="s">
        <v>225</v>
      </c>
      <c r="O606" t="s">
        <v>168</v>
      </c>
      <c r="P606">
        <v>1.5792235552253005E-2</v>
      </c>
      <c r="Q606" t="s">
        <v>164</v>
      </c>
    </row>
    <row r="607" spans="9:17" x14ac:dyDescent="0.45">
      <c r="I607" t="s">
        <v>189</v>
      </c>
      <c r="J607" t="s">
        <v>169</v>
      </c>
      <c r="K607">
        <v>5.2358520359464108E-3</v>
      </c>
      <c r="L607" t="s">
        <v>164</v>
      </c>
      <c r="N607" t="s">
        <v>225</v>
      </c>
      <c r="O607" t="s">
        <v>169</v>
      </c>
      <c r="P607">
        <v>7.3975708947633266E-4</v>
      </c>
      <c r="Q607" t="s">
        <v>164</v>
      </c>
    </row>
    <row r="608" spans="9:17" x14ac:dyDescent="0.45">
      <c r="I608" t="s">
        <v>189</v>
      </c>
      <c r="J608" t="s">
        <v>268</v>
      </c>
      <c r="K608">
        <v>2.8457588539172727E-3</v>
      </c>
      <c r="L608" t="s">
        <v>164</v>
      </c>
      <c r="N608" t="s">
        <v>225</v>
      </c>
      <c r="O608" t="s">
        <v>268</v>
      </c>
      <c r="P608">
        <v>5.3692940344822011E-3</v>
      </c>
      <c r="Q608" t="s">
        <v>164</v>
      </c>
    </row>
    <row r="609" spans="9:17" x14ac:dyDescent="0.45">
      <c r="I609" t="s">
        <v>189</v>
      </c>
      <c r="J609" t="s">
        <v>269</v>
      </c>
      <c r="K609">
        <v>0</v>
      </c>
      <c r="L609" t="s">
        <v>164</v>
      </c>
      <c r="N609" t="s">
        <v>225</v>
      </c>
      <c r="O609" t="s">
        <v>269</v>
      </c>
      <c r="P609">
        <v>6.8687797084248502E-3</v>
      </c>
      <c r="Q609" t="s">
        <v>164</v>
      </c>
    </row>
    <row r="610" spans="9:17" x14ac:dyDescent="0.45">
      <c r="I610" t="s">
        <v>189</v>
      </c>
      <c r="J610" t="s">
        <v>270</v>
      </c>
      <c r="K610">
        <v>0</v>
      </c>
      <c r="L610" t="s">
        <v>164</v>
      </c>
      <c r="N610" t="s">
        <v>225</v>
      </c>
      <c r="O610" t="s">
        <v>270</v>
      </c>
      <c r="P610">
        <v>3.8425403015034647E-3</v>
      </c>
      <c r="Q610" t="s">
        <v>164</v>
      </c>
    </row>
    <row r="611" spans="9:17" x14ac:dyDescent="0.45">
      <c r="I611" t="s">
        <v>189</v>
      </c>
      <c r="J611" t="s">
        <v>170</v>
      </c>
      <c r="K611">
        <v>2.0827437264488457E-3</v>
      </c>
      <c r="L611" t="s">
        <v>164</v>
      </c>
      <c r="N611" t="s">
        <v>225</v>
      </c>
      <c r="O611" t="s">
        <v>170</v>
      </c>
      <c r="P611">
        <v>2.9759185465508119E-2</v>
      </c>
      <c r="Q611" t="s">
        <v>164</v>
      </c>
    </row>
    <row r="612" spans="9:17" x14ac:dyDescent="0.45">
      <c r="I612" t="s">
        <v>189</v>
      </c>
      <c r="J612" t="s">
        <v>171</v>
      </c>
      <c r="K612">
        <v>6.8031762304708809E-2</v>
      </c>
      <c r="L612" t="s">
        <v>164</v>
      </c>
      <c r="N612" t="s">
        <v>225</v>
      </c>
      <c r="O612" t="s">
        <v>171</v>
      </c>
      <c r="P612">
        <v>1.1623700657225124E-2</v>
      </c>
      <c r="Q612" t="s">
        <v>164</v>
      </c>
    </row>
    <row r="613" spans="9:17" x14ac:dyDescent="0.45">
      <c r="I613" t="s">
        <v>189</v>
      </c>
      <c r="J613" t="s">
        <v>172</v>
      </c>
      <c r="K613">
        <v>3.6350965603647121E-3</v>
      </c>
      <c r="L613" t="s">
        <v>164</v>
      </c>
      <c r="N613" t="s">
        <v>225</v>
      </c>
      <c r="O613" t="s">
        <v>172</v>
      </c>
      <c r="P613">
        <v>4.8644144031038131E-4</v>
      </c>
      <c r="Q613" t="s">
        <v>164</v>
      </c>
    </row>
    <row r="614" spans="9:17" x14ac:dyDescent="0.45">
      <c r="I614" t="s">
        <v>189</v>
      </c>
      <c r="J614" t="s">
        <v>271</v>
      </c>
      <c r="K614">
        <v>1.9942484559825101E-3</v>
      </c>
      <c r="L614" t="s">
        <v>164</v>
      </c>
      <c r="N614" t="s">
        <v>225</v>
      </c>
      <c r="O614" t="s">
        <v>271</v>
      </c>
      <c r="P614">
        <v>3.3101296067049517E-3</v>
      </c>
      <c r="Q614" t="s">
        <v>164</v>
      </c>
    </row>
    <row r="615" spans="9:17" x14ac:dyDescent="0.45">
      <c r="I615" t="s">
        <v>189</v>
      </c>
      <c r="J615" t="s">
        <v>272</v>
      </c>
      <c r="K615">
        <v>0</v>
      </c>
      <c r="L615" t="s">
        <v>164</v>
      </c>
      <c r="N615" t="s">
        <v>225</v>
      </c>
      <c r="O615" t="s">
        <v>272</v>
      </c>
      <c r="P615">
        <v>5.0192566269978379E-3</v>
      </c>
      <c r="Q615" t="s">
        <v>164</v>
      </c>
    </row>
    <row r="616" spans="9:17" x14ac:dyDescent="0.45">
      <c r="I616" t="s">
        <v>189</v>
      </c>
      <c r="J616" t="s">
        <v>273</v>
      </c>
      <c r="K616">
        <v>0</v>
      </c>
      <c r="L616" t="s">
        <v>164</v>
      </c>
      <c r="N616" t="s">
        <v>225</v>
      </c>
      <c r="O616" t="s">
        <v>273</v>
      </c>
      <c r="P616">
        <v>3.4926720732910486E-3</v>
      </c>
      <c r="Q616" t="s">
        <v>164</v>
      </c>
    </row>
    <row r="617" spans="9:17" x14ac:dyDescent="0.45">
      <c r="I617" t="s">
        <v>189</v>
      </c>
      <c r="J617" t="s">
        <v>173</v>
      </c>
      <c r="K617">
        <v>4.1326905209467368E-3</v>
      </c>
      <c r="L617" t="s">
        <v>164</v>
      </c>
      <c r="N617" t="s">
        <v>225</v>
      </c>
      <c r="O617" t="s">
        <v>173</v>
      </c>
      <c r="P617">
        <v>0.1125160151448233</v>
      </c>
      <c r="Q617" t="s">
        <v>164</v>
      </c>
    </row>
    <row r="618" spans="9:17" x14ac:dyDescent="0.45">
      <c r="I618" t="s">
        <v>189</v>
      </c>
      <c r="J618" t="s">
        <v>174</v>
      </c>
      <c r="K618">
        <v>0.12661088514828259</v>
      </c>
      <c r="L618" t="s">
        <v>164</v>
      </c>
      <c r="N618" t="s">
        <v>225</v>
      </c>
      <c r="O618" t="s">
        <v>174</v>
      </c>
      <c r="P618">
        <v>3.0987110758032756E-2</v>
      </c>
      <c r="Q618" t="s">
        <v>164</v>
      </c>
    </row>
    <row r="619" spans="9:17" x14ac:dyDescent="0.45">
      <c r="I619" t="s">
        <v>189</v>
      </c>
      <c r="J619" t="s">
        <v>175</v>
      </c>
      <c r="K619">
        <v>6.6264631958132215E-3</v>
      </c>
      <c r="L619" t="s">
        <v>164</v>
      </c>
      <c r="N619" t="s">
        <v>225</v>
      </c>
      <c r="O619" t="s">
        <v>175</v>
      </c>
      <c r="P619">
        <v>9.9517764249473827E-4</v>
      </c>
      <c r="Q619" t="s">
        <v>164</v>
      </c>
    </row>
    <row r="620" spans="9:17" x14ac:dyDescent="0.45">
      <c r="I620" t="s">
        <v>189</v>
      </c>
      <c r="J620" t="s">
        <v>274</v>
      </c>
      <c r="K620">
        <v>3.4152194927259409E-3</v>
      </c>
      <c r="L620" t="s">
        <v>164</v>
      </c>
      <c r="N620" t="s">
        <v>225</v>
      </c>
      <c r="O620" t="s">
        <v>274</v>
      </c>
      <c r="P620">
        <v>9.9946049855922248E-3</v>
      </c>
      <c r="Q620" t="s">
        <v>164</v>
      </c>
    </row>
    <row r="621" spans="9:17" x14ac:dyDescent="0.45">
      <c r="I621" t="s">
        <v>189</v>
      </c>
      <c r="J621" t="s">
        <v>275</v>
      </c>
      <c r="K621">
        <v>0</v>
      </c>
      <c r="L621" t="s">
        <v>164</v>
      </c>
      <c r="N621" t="s">
        <v>225</v>
      </c>
      <c r="O621" t="s">
        <v>275</v>
      </c>
      <c r="P621">
        <v>2.0054794154727822E-2</v>
      </c>
      <c r="Q621" t="s">
        <v>164</v>
      </c>
    </row>
    <row r="622" spans="9:17" x14ac:dyDescent="0.45">
      <c r="I622" t="s">
        <v>189</v>
      </c>
      <c r="J622" t="s">
        <v>276</v>
      </c>
      <c r="K622">
        <v>0</v>
      </c>
      <c r="L622" t="s">
        <v>164</v>
      </c>
      <c r="N622" t="s">
        <v>225</v>
      </c>
      <c r="O622" t="s">
        <v>276</v>
      </c>
      <c r="P622">
        <v>1.3945107586232941E-2</v>
      </c>
      <c r="Q622" t="s">
        <v>164</v>
      </c>
    </row>
    <row r="623" spans="9:17" x14ac:dyDescent="0.45">
      <c r="I623" t="s">
        <v>189</v>
      </c>
      <c r="J623" t="s">
        <v>277</v>
      </c>
      <c r="K623">
        <v>1.4976368170066343E-3</v>
      </c>
      <c r="L623" t="s">
        <v>164</v>
      </c>
      <c r="N623" t="s">
        <v>225</v>
      </c>
      <c r="O623" t="s">
        <v>277</v>
      </c>
      <c r="P623">
        <v>3.835841492626537E-2</v>
      </c>
      <c r="Q623" t="s">
        <v>164</v>
      </c>
    </row>
    <row r="624" spans="9:17" x14ac:dyDescent="0.45">
      <c r="I624" t="s">
        <v>189</v>
      </c>
      <c r="J624" t="s">
        <v>278</v>
      </c>
      <c r="K624">
        <v>6.0526197200244491E-2</v>
      </c>
      <c r="L624" t="s">
        <v>164</v>
      </c>
      <c r="N624" t="s">
        <v>225</v>
      </c>
      <c r="O624" t="s">
        <v>278</v>
      </c>
      <c r="P624">
        <v>1.9821907678630978E-2</v>
      </c>
      <c r="Q624" t="s">
        <v>164</v>
      </c>
    </row>
    <row r="625" spans="9:17" x14ac:dyDescent="0.45">
      <c r="I625" t="s">
        <v>189</v>
      </c>
      <c r="J625" t="s">
        <v>279</v>
      </c>
      <c r="K625">
        <v>3.8166230273297764E-3</v>
      </c>
      <c r="L625" t="s">
        <v>164</v>
      </c>
      <c r="N625" t="s">
        <v>225</v>
      </c>
      <c r="O625" t="s">
        <v>279</v>
      </c>
      <c r="P625">
        <v>1.2189396117277362E-3</v>
      </c>
      <c r="Q625" t="s">
        <v>164</v>
      </c>
    </row>
    <row r="626" spans="9:17" x14ac:dyDescent="0.45">
      <c r="I626" t="s">
        <v>189</v>
      </c>
      <c r="J626" t="s">
        <v>280</v>
      </c>
      <c r="K626">
        <v>2.0878359501050373E-3</v>
      </c>
      <c r="L626" t="s">
        <v>164</v>
      </c>
      <c r="N626" t="s">
        <v>225</v>
      </c>
      <c r="O626" t="s">
        <v>280</v>
      </c>
      <c r="P626">
        <v>5.5961302109502724E-3</v>
      </c>
      <c r="Q626" t="s">
        <v>164</v>
      </c>
    </row>
    <row r="627" spans="9:17" x14ac:dyDescent="0.45">
      <c r="I627" t="s">
        <v>189</v>
      </c>
      <c r="J627" t="s">
        <v>281</v>
      </c>
      <c r="K627">
        <v>0</v>
      </c>
      <c r="L627" t="s">
        <v>164</v>
      </c>
      <c r="N627" t="s">
        <v>225</v>
      </c>
      <c r="O627" t="s">
        <v>281</v>
      </c>
      <c r="P627">
        <v>7.2167470537560004E-3</v>
      </c>
      <c r="Q627" t="s">
        <v>164</v>
      </c>
    </row>
    <row r="628" spans="9:17" x14ac:dyDescent="0.45">
      <c r="I628" t="s">
        <v>189</v>
      </c>
      <c r="J628" t="s">
        <v>282</v>
      </c>
      <c r="K628">
        <v>0</v>
      </c>
      <c r="L628" t="s">
        <v>164</v>
      </c>
      <c r="N628" t="s">
        <v>225</v>
      </c>
      <c r="O628" t="s">
        <v>282</v>
      </c>
      <c r="P628">
        <v>4.3441678937564676E-3</v>
      </c>
      <c r="Q628" t="s">
        <v>164</v>
      </c>
    </row>
    <row r="629" spans="9:17" x14ac:dyDescent="0.45">
      <c r="I629" t="s">
        <v>189</v>
      </c>
      <c r="J629" t="s">
        <v>283</v>
      </c>
      <c r="K629">
        <v>1.1054026221742469E-3</v>
      </c>
      <c r="L629" t="s">
        <v>164</v>
      </c>
      <c r="N629" t="s">
        <v>225</v>
      </c>
      <c r="O629" t="s">
        <v>283</v>
      </c>
      <c r="P629">
        <v>2.189561635818997E-2</v>
      </c>
      <c r="Q629" t="s">
        <v>164</v>
      </c>
    </row>
    <row r="630" spans="9:17" x14ac:dyDescent="0.45">
      <c r="I630" t="s">
        <v>189</v>
      </c>
      <c r="J630" t="s">
        <v>284</v>
      </c>
      <c r="K630">
        <v>5.5076080984605896E-2</v>
      </c>
      <c r="L630" t="s">
        <v>164</v>
      </c>
      <c r="N630" t="s">
        <v>225</v>
      </c>
      <c r="O630" t="s">
        <v>284</v>
      </c>
      <c r="P630">
        <v>1.4919680334388594E-2</v>
      </c>
      <c r="Q630" t="s">
        <v>164</v>
      </c>
    </row>
    <row r="631" spans="9:17" x14ac:dyDescent="0.45">
      <c r="I631" t="s">
        <v>189</v>
      </c>
      <c r="J631" t="s">
        <v>285</v>
      </c>
      <c r="K631">
        <v>3.1668670718097793E-3</v>
      </c>
      <c r="L631" t="s">
        <v>164</v>
      </c>
      <c r="N631" t="s">
        <v>225</v>
      </c>
      <c r="O631" t="s">
        <v>285</v>
      </c>
      <c r="P631">
        <v>4.7614940273187154E-4</v>
      </c>
      <c r="Q631" t="s">
        <v>164</v>
      </c>
    </row>
    <row r="632" spans="9:17" x14ac:dyDescent="0.45">
      <c r="I632" t="s">
        <v>189</v>
      </c>
      <c r="J632" t="s">
        <v>286</v>
      </c>
      <c r="K632">
        <v>1.6383111755611827E-3</v>
      </c>
      <c r="L632" t="s">
        <v>164</v>
      </c>
      <c r="N632" t="s">
        <v>225</v>
      </c>
      <c r="O632" t="s">
        <v>286</v>
      </c>
      <c r="P632">
        <v>2.9362295600998205E-3</v>
      </c>
      <c r="Q632" t="s">
        <v>164</v>
      </c>
    </row>
    <row r="633" spans="9:17" x14ac:dyDescent="0.45">
      <c r="I633" t="s">
        <v>189</v>
      </c>
      <c r="J633" t="s">
        <v>287</v>
      </c>
      <c r="K633">
        <v>0</v>
      </c>
      <c r="L633" t="s">
        <v>164</v>
      </c>
      <c r="N633" t="s">
        <v>225</v>
      </c>
      <c r="O633" t="s">
        <v>287</v>
      </c>
      <c r="P633">
        <v>4.2376368698418543E-3</v>
      </c>
      <c r="Q633" t="s">
        <v>164</v>
      </c>
    </row>
    <row r="634" spans="9:17" x14ac:dyDescent="0.45">
      <c r="I634" t="s">
        <v>189</v>
      </c>
      <c r="J634" t="s">
        <v>288</v>
      </c>
      <c r="K634">
        <v>0</v>
      </c>
      <c r="L634" t="s">
        <v>164</v>
      </c>
      <c r="N634" t="s">
        <v>225</v>
      </c>
      <c r="O634" t="s">
        <v>288</v>
      </c>
      <c r="P634">
        <v>2.4871429223590653E-3</v>
      </c>
      <c r="Q634" t="s">
        <v>164</v>
      </c>
    </row>
    <row r="635" spans="9:17" x14ac:dyDescent="0.45">
      <c r="I635" t="s">
        <v>189</v>
      </c>
      <c r="J635" t="s">
        <v>289</v>
      </c>
      <c r="K635">
        <v>1.191293638067816E-2</v>
      </c>
      <c r="L635" t="s">
        <v>164</v>
      </c>
      <c r="N635" t="s">
        <v>225</v>
      </c>
      <c r="O635" t="s">
        <v>289</v>
      </c>
      <c r="P635">
        <v>0.15814609013511502</v>
      </c>
      <c r="Q635" t="s">
        <v>164</v>
      </c>
    </row>
    <row r="636" spans="9:17" x14ac:dyDescent="0.45">
      <c r="I636" t="s">
        <v>189</v>
      </c>
      <c r="J636" t="s">
        <v>290</v>
      </c>
      <c r="K636">
        <v>0.31324877522350186</v>
      </c>
      <c r="L636" t="s">
        <v>164</v>
      </c>
      <c r="N636" t="s">
        <v>225</v>
      </c>
      <c r="O636" t="s">
        <v>290</v>
      </c>
      <c r="P636">
        <v>6.7460673039733909E-2</v>
      </c>
      <c r="Q636" t="s">
        <v>164</v>
      </c>
    </row>
    <row r="637" spans="9:17" x14ac:dyDescent="0.45">
      <c r="I637" t="s">
        <v>189</v>
      </c>
      <c r="J637" t="s">
        <v>291</v>
      </c>
      <c r="K637">
        <v>1.9883742250673173E-2</v>
      </c>
      <c r="L637" t="s">
        <v>164</v>
      </c>
      <c r="N637" t="s">
        <v>225</v>
      </c>
      <c r="O637" t="s">
        <v>291</v>
      </c>
      <c r="P637">
        <v>4.2074400940139154E-3</v>
      </c>
      <c r="Q637" t="s">
        <v>164</v>
      </c>
    </row>
    <row r="638" spans="9:17" x14ac:dyDescent="0.45">
      <c r="I638" t="s">
        <v>189</v>
      </c>
      <c r="J638" t="s">
        <v>292</v>
      </c>
      <c r="K638">
        <v>1.0687519997609007E-2</v>
      </c>
      <c r="L638" t="s">
        <v>164</v>
      </c>
      <c r="N638" t="s">
        <v>225</v>
      </c>
      <c r="O638" t="s">
        <v>292</v>
      </c>
      <c r="P638">
        <v>2.7908990193937295E-2</v>
      </c>
      <c r="Q638" t="s">
        <v>164</v>
      </c>
    </row>
    <row r="639" spans="9:17" x14ac:dyDescent="0.45">
      <c r="I639" t="s">
        <v>189</v>
      </c>
      <c r="J639" t="s">
        <v>293</v>
      </c>
      <c r="K639">
        <v>0</v>
      </c>
      <c r="L639" t="s">
        <v>164</v>
      </c>
      <c r="N639" t="s">
        <v>225</v>
      </c>
      <c r="O639" t="s">
        <v>293</v>
      </c>
      <c r="P639">
        <v>3.0835347867716561E-2</v>
      </c>
      <c r="Q639" t="s">
        <v>164</v>
      </c>
    </row>
    <row r="640" spans="9:17" x14ac:dyDescent="0.45">
      <c r="I640" t="s">
        <v>189</v>
      </c>
      <c r="J640" t="s">
        <v>294</v>
      </c>
      <c r="K640">
        <v>0</v>
      </c>
      <c r="L640" t="s">
        <v>164</v>
      </c>
      <c r="N640" t="s">
        <v>225</v>
      </c>
      <c r="O640" t="s">
        <v>294</v>
      </c>
      <c r="P640">
        <v>1.7434041153924312E-2</v>
      </c>
      <c r="Q640" t="s">
        <v>164</v>
      </c>
    </row>
    <row r="641" spans="9:17" x14ac:dyDescent="0.45">
      <c r="I641" t="s">
        <v>190</v>
      </c>
      <c r="J641" t="s">
        <v>163</v>
      </c>
      <c r="K641">
        <v>8.2613471853050437E-5</v>
      </c>
      <c r="L641" t="s">
        <v>164</v>
      </c>
      <c r="N641" t="s">
        <v>226</v>
      </c>
      <c r="O641" t="s">
        <v>163</v>
      </c>
      <c r="P641">
        <v>0.10261393758005193</v>
      </c>
      <c r="Q641" t="s">
        <v>164</v>
      </c>
    </row>
    <row r="642" spans="9:17" x14ac:dyDescent="0.45">
      <c r="I642" t="s">
        <v>190</v>
      </c>
      <c r="J642" t="s">
        <v>165</v>
      </c>
      <c r="K642">
        <v>0.16608912926877356</v>
      </c>
      <c r="L642" t="s">
        <v>164</v>
      </c>
      <c r="N642" t="s">
        <v>226</v>
      </c>
      <c r="O642" t="s">
        <v>165</v>
      </c>
      <c r="P642">
        <v>4.0890120544953459E-2</v>
      </c>
      <c r="Q642" t="s">
        <v>164</v>
      </c>
    </row>
    <row r="643" spans="9:17" x14ac:dyDescent="0.45">
      <c r="I643" t="s">
        <v>190</v>
      </c>
      <c r="J643" t="s">
        <v>166</v>
      </c>
      <c r="K643">
        <v>1.48211016847538E-2</v>
      </c>
      <c r="L643" t="s">
        <v>164</v>
      </c>
      <c r="N643" t="s">
        <v>226</v>
      </c>
      <c r="O643" t="s">
        <v>166</v>
      </c>
      <c r="P643">
        <v>4.318676957094615E-3</v>
      </c>
      <c r="Q643" t="s">
        <v>164</v>
      </c>
    </row>
    <row r="644" spans="9:17" x14ac:dyDescent="0.45">
      <c r="I644" t="s">
        <v>190</v>
      </c>
      <c r="J644" t="s">
        <v>265</v>
      </c>
      <c r="K644">
        <v>8.7475691053938882E-3</v>
      </c>
      <c r="L644" t="s">
        <v>164</v>
      </c>
      <c r="N644" t="s">
        <v>226</v>
      </c>
      <c r="O644" t="s">
        <v>265</v>
      </c>
      <c r="P644">
        <v>2.3753821907124432E-2</v>
      </c>
      <c r="Q644" t="s">
        <v>164</v>
      </c>
    </row>
    <row r="645" spans="9:17" x14ac:dyDescent="0.45">
      <c r="I645" t="s">
        <v>190</v>
      </c>
      <c r="J645" t="s">
        <v>266</v>
      </c>
      <c r="K645">
        <v>0</v>
      </c>
      <c r="L645" t="s">
        <v>164</v>
      </c>
      <c r="N645" t="s">
        <v>226</v>
      </c>
      <c r="O645" t="s">
        <v>266</v>
      </c>
      <c r="P645">
        <v>2.7223726566679932E-2</v>
      </c>
      <c r="Q645" t="s">
        <v>164</v>
      </c>
    </row>
    <row r="646" spans="9:17" x14ac:dyDescent="0.45">
      <c r="I646" t="s">
        <v>190</v>
      </c>
      <c r="J646" t="s">
        <v>267</v>
      </c>
      <c r="K646">
        <v>0</v>
      </c>
      <c r="L646" t="s">
        <v>164</v>
      </c>
      <c r="N646" t="s">
        <v>226</v>
      </c>
      <c r="O646" t="s">
        <v>267</v>
      </c>
      <c r="P646">
        <v>1.5707758290554534E-2</v>
      </c>
      <c r="Q646" t="s">
        <v>164</v>
      </c>
    </row>
    <row r="647" spans="9:17" x14ac:dyDescent="0.45">
      <c r="I647" t="s">
        <v>190</v>
      </c>
      <c r="J647" t="s">
        <v>167</v>
      </c>
      <c r="K647">
        <v>2.2867556335012551E-3</v>
      </c>
      <c r="L647" t="s">
        <v>164</v>
      </c>
      <c r="N647" t="s">
        <v>226</v>
      </c>
      <c r="O647" t="s">
        <v>167</v>
      </c>
      <c r="P647">
        <v>5.4676567031626565E-2</v>
      </c>
      <c r="Q647" t="s">
        <v>164</v>
      </c>
    </row>
    <row r="648" spans="9:17" x14ac:dyDescent="0.45">
      <c r="I648" t="s">
        <v>190</v>
      </c>
      <c r="J648" t="s">
        <v>168</v>
      </c>
      <c r="K648">
        <v>8.1050021079613468E-2</v>
      </c>
      <c r="L648" t="s">
        <v>164</v>
      </c>
      <c r="N648" t="s">
        <v>226</v>
      </c>
      <c r="O648" t="s">
        <v>168</v>
      </c>
      <c r="P648">
        <v>2.347203647572306E-2</v>
      </c>
      <c r="Q648" t="s">
        <v>164</v>
      </c>
    </row>
    <row r="649" spans="9:17" x14ac:dyDescent="0.45">
      <c r="I649" t="s">
        <v>190</v>
      </c>
      <c r="J649" t="s">
        <v>169</v>
      </c>
      <c r="K649">
        <v>6.7147925690065162E-3</v>
      </c>
      <c r="L649" t="s">
        <v>164</v>
      </c>
      <c r="N649" t="s">
        <v>226</v>
      </c>
      <c r="O649" t="s">
        <v>169</v>
      </c>
      <c r="P649">
        <v>1.5049643743076705E-3</v>
      </c>
      <c r="Q649" t="s">
        <v>164</v>
      </c>
    </row>
    <row r="650" spans="9:17" x14ac:dyDescent="0.45">
      <c r="I650" t="s">
        <v>190</v>
      </c>
      <c r="J650" t="s">
        <v>268</v>
      </c>
      <c r="K650">
        <v>4.1227594710339542E-3</v>
      </c>
      <c r="L650" t="s">
        <v>164</v>
      </c>
      <c r="N650" t="s">
        <v>226</v>
      </c>
      <c r="O650" t="s">
        <v>268</v>
      </c>
      <c r="P650">
        <v>7.875133871914167E-3</v>
      </c>
      <c r="Q650" t="s">
        <v>164</v>
      </c>
    </row>
    <row r="651" spans="9:17" x14ac:dyDescent="0.45">
      <c r="I651" t="s">
        <v>190</v>
      </c>
      <c r="J651" t="s">
        <v>269</v>
      </c>
      <c r="K651">
        <v>0</v>
      </c>
      <c r="L651" t="s">
        <v>164</v>
      </c>
      <c r="N651" t="s">
        <v>226</v>
      </c>
      <c r="O651" t="s">
        <v>269</v>
      </c>
      <c r="P651">
        <v>9.728725219151137E-3</v>
      </c>
      <c r="Q651" t="s">
        <v>164</v>
      </c>
    </row>
    <row r="652" spans="9:17" x14ac:dyDescent="0.45">
      <c r="I652" t="s">
        <v>190</v>
      </c>
      <c r="J652" t="s">
        <v>270</v>
      </c>
      <c r="K652">
        <v>0</v>
      </c>
      <c r="L652" t="s">
        <v>164</v>
      </c>
      <c r="N652" t="s">
        <v>226</v>
      </c>
      <c r="O652" t="s">
        <v>270</v>
      </c>
      <c r="P652">
        <v>6.7804811050745858E-3</v>
      </c>
      <c r="Q652" t="s">
        <v>164</v>
      </c>
    </row>
    <row r="653" spans="9:17" x14ac:dyDescent="0.45">
      <c r="I653" t="s">
        <v>190</v>
      </c>
      <c r="J653" t="s">
        <v>170</v>
      </c>
      <c r="K653">
        <v>2.4255698804438036E-3</v>
      </c>
      <c r="L653" t="s">
        <v>164</v>
      </c>
      <c r="N653" t="s">
        <v>226</v>
      </c>
      <c r="O653" t="s">
        <v>170</v>
      </c>
      <c r="P653">
        <v>3.6362170174454346E-2</v>
      </c>
      <c r="Q653" t="s">
        <v>164</v>
      </c>
    </row>
    <row r="654" spans="9:17" x14ac:dyDescent="0.45">
      <c r="I654" t="s">
        <v>190</v>
      </c>
      <c r="J654" t="s">
        <v>171</v>
      </c>
      <c r="K654">
        <v>7.1207353176064025E-2</v>
      </c>
      <c r="L654" t="s">
        <v>164</v>
      </c>
      <c r="N654" t="s">
        <v>226</v>
      </c>
      <c r="O654" t="s">
        <v>171</v>
      </c>
      <c r="P654">
        <v>1.3165283174572552E-2</v>
      </c>
      <c r="Q654" t="s">
        <v>164</v>
      </c>
    </row>
    <row r="655" spans="9:17" x14ac:dyDescent="0.45">
      <c r="I655" t="s">
        <v>190</v>
      </c>
      <c r="J655" t="s">
        <v>172</v>
      </c>
      <c r="K655">
        <v>5.0397357600727947E-3</v>
      </c>
      <c r="L655" t="s">
        <v>164</v>
      </c>
      <c r="N655" t="s">
        <v>226</v>
      </c>
      <c r="O655" t="s">
        <v>172</v>
      </c>
      <c r="P655">
        <v>1.2976560496431439E-3</v>
      </c>
      <c r="Q655" t="s">
        <v>164</v>
      </c>
    </row>
    <row r="656" spans="9:17" x14ac:dyDescent="0.45">
      <c r="I656" t="s">
        <v>190</v>
      </c>
      <c r="J656" t="s">
        <v>271</v>
      </c>
      <c r="K656">
        <v>2.7763971526875157E-3</v>
      </c>
      <c r="L656" t="s">
        <v>164</v>
      </c>
      <c r="N656" t="s">
        <v>226</v>
      </c>
      <c r="O656" t="s">
        <v>271</v>
      </c>
      <c r="P656">
        <v>6.1587717272189816E-3</v>
      </c>
      <c r="Q656" t="s">
        <v>164</v>
      </c>
    </row>
    <row r="657" spans="9:17" x14ac:dyDescent="0.45">
      <c r="I657" t="s">
        <v>190</v>
      </c>
      <c r="J657" t="s">
        <v>272</v>
      </c>
      <c r="K657">
        <v>0</v>
      </c>
      <c r="L657" t="s">
        <v>164</v>
      </c>
      <c r="N657" t="s">
        <v>226</v>
      </c>
      <c r="O657" t="s">
        <v>272</v>
      </c>
      <c r="P657">
        <v>6.9205332605716549E-3</v>
      </c>
      <c r="Q657" t="s">
        <v>164</v>
      </c>
    </row>
    <row r="658" spans="9:17" x14ac:dyDescent="0.45">
      <c r="I658" t="s">
        <v>190</v>
      </c>
      <c r="J658" t="s">
        <v>273</v>
      </c>
      <c r="K658">
        <v>0</v>
      </c>
      <c r="L658" t="s">
        <v>164</v>
      </c>
      <c r="N658" t="s">
        <v>226</v>
      </c>
      <c r="O658" t="s">
        <v>273</v>
      </c>
      <c r="P658">
        <v>4.7317385675327509E-3</v>
      </c>
      <c r="Q658" t="s">
        <v>164</v>
      </c>
    </row>
    <row r="659" spans="9:17" x14ac:dyDescent="0.45">
      <c r="I659" t="s">
        <v>190</v>
      </c>
      <c r="J659" t="s">
        <v>173</v>
      </c>
      <c r="K659">
        <v>4.856500140828425E-3</v>
      </c>
      <c r="L659" t="s">
        <v>164</v>
      </c>
      <c r="N659" t="s">
        <v>226</v>
      </c>
      <c r="O659" t="s">
        <v>173</v>
      </c>
      <c r="P659">
        <v>0.10563160284014453</v>
      </c>
      <c r="Q659" t="s">
        <v>164</v>
      </c>
    </row>
    <row r="660" spans="9:17" x14ac:dyDescent="0.45">
      <c r="I660" t="s">
        <v>190</v>
      </c>
      <c r="J660" t="s">
        <v>174</v>
      </c>
      <c r="K660">
        <v>0.13014934952657867</v>
      </c>
      <c r="L660" t="s">
        <v>164</v>
      </c>
      <c r="N660" t="s">
        <v>226</v>
      </c>
      <c r="O660" t="s">
        <v>174</v>
      </c>
      <c r="P660">
        <v>4.419252578535144E-2</v>
      </c>
      <c r="Q660" t="s">
        <v>164</v>
      </c>
    </row>
    <row r="661" spans="9:17" x14ac:dyDescent="0.45">
      <c r="I661" t="s">
        <v>190</v>
      </c>
      <c r="J661" t="s">
        <v>175</v>
      </c>
      <c r="K661">
        <v>9.3552122724184714E-3</v>
      </c>
      <c r="L661" t="s">
        <v>164</v>
      </c>
      <c r="N661" t="s">
        <v>226</v>
      </c>
      <c r="O661" t="s">
        <v>175</v>
      </c>
      <c r="P661">
        <v>1.2837193696567393E-3</v>
      </c>
      <c r="Q661" t="s">
        <v>164</v>
      </c>
    </row>
    <row r="662" spans="9:17" x14ac:dyDescent="0.45">
      <c r="I662" t="s">
        <v>190</v>
      </c>
      <c r="J662" t="s">
        <v>274</v>
      </c>
      <c r="K662">
        <v>5.3552790571687924E-3</v>
      </c>
      <c r="L662" t="s">
        <v>164</v>
      </c>
      <c r="N662" t="s">
        <v>226</v>
      </c>
      <c r="O662" t="s">
        <v>274</v>
      </c>
      <c r="P662">
        <v>6.9847092203927886E-3</v>
      </c>
      <c r="Q662" t="s">
        <v>164</v>
      </c>
    </row>
    <row r="663" spans="9:17" x14ac:dyDescent="0.45">
      <c r="I663" t="s">
        <v>190</v>
      </c>
      <c r="J663" t="s">
        <v>275</v>
      </c>
      <c r="K663">
        <v>0</v>
      </c>
      <c r="L663" t="s">
        <v>164</v>
      </c>
      <c r="N663" t="s">
        <v>226</v>
      </c>
      <c r="O663" t="s">
        <v>275</v>
      </c>
      <c r="P663">
        <v>1.1942169518447641E-2</v>
      </c>
      <c r="Q663" t="s">
        <v>164</v>
      </c>
    </row>
    <row r="664" spans="9:17" x14ac:dyDescent="0.45">
      <c r="I664" t="s">
        <v>190</v>
      </c>
      <c r="J664" t="s">
        <v>276</v>
      </c>
      <c r="K664">
        <v>0</v>
      </c>
      <c r="L664" t="s">
        <v>164</v>
      </c>
      <c r="N664" t="s">
        <v>226</v>
      </c>
      <c r="O664" t="s">
        <v>276</v>
      </c>
      <c r="P664">
        <v>8.991998981329857E-3</v>
      </c>
      <c r="Q664" t="s">
        <v>164</v>
      </c>
    </row>
    <row r="665" spans="9:17" x14ac:dyDescent="0.45">
      <c r="I665" t="s">
        <v>190</v>
      </c>
      <c r="J665" t="s">
        <v>277</v>
      </c>
      <c r="K665">
        <v>1.8850362807424682E-3</v>
      </c>
      <c r="L665" t="s">
        <v>164</v>
      </c>
      <c r="N665" t="s">
        <v>226</v>
      </c>
      <c r="O665" t="s">
        <v>277</v>
      </c>
      <c r="P665">
        <v>5.0862076484905983E-2</v>
      </c>
      <c r="Q665" t="s">
        <v>164</v>
      </c>
    </row>
    <row r="666" spans="9:17" x14ac:dyDescent="0.45">
      <c r="I666" t="s">
        <v>190</v>
      </c>
      <c r="J666" t="s">
        <v>278</v>
      </c>
      <c r="K666">
        <v>5.9109829658087677E-2</v>
      </c>
      <c r="L666" t="s">
        <v>164</v>
      </c>
      <c r="N666" t="s">
        <v>226</v>
      </c>
      <c r="O666" t="s">
        <v>278</v>
      </c>
      <c r="P666">
        <v>2.9031097195386022E-2</v>
      </c>
      <c r="Q666" t="s">
        <v>164</v>
      </c>
    </row>
    <row r="667" spans="9:17" x14ac:dyDescent="0.45">
      <c r="I667" t="s">
        <v>190</v>
      </c>
      <c r="J667" t="s">
        <v>279</v>
      </c>
      <c r="K667">
        <v>4.7332213386206152E-3</v>
      </c>
      <c r="L667" t="s">
        <v>164</v>
      </c>
      <c r="N667" t="s">
        <v>226</v>
      </c>
      <c r="O667" t="s">
        <v>279</v>
      </c>
      <c r="P667">
        <v>1.1794212661801048E-3</v>
      </c>
      <c r="Q667" t="s">
        <v>164</v>
      </c>
    </row>
    <row r="668" spans="9:17" x14ac:dyDescent="0.45">
      <c r="I668" t="s">
        <v>190</v>
      </c>
      <c r="J668" t="s">
        <v>280</v>
      </c>
      <c r="K668">
        <v>2.8175787132488795E-3</v>
      </c>
      <c r="L668" t="s">
        <v>164</v>
      </c>
      <c r="N668" t="s">
        <v>226</v>
      </c>
      <c r="O668" t="s">
        <v>280</v>
      </c>
      <c r="P668">
        <v>5.0241081753962654E-3</v>
      </c>
      <c r="Q668" t="s">
        <v>164</v>
      </c>
    </row>
    <row r="669" spans="9:17" x14ac:dyDescent="0.45">
      <c r="I669" t="s">
        <v>190</v>
      </c>
      <c r="J669" t="s">
        <v>281</v>
      </c>
      <c r="K669">
        <v>0</v>
      </c>
      <c r="L669" t="s">
        <v>164</v>
      </c>
      <c r="N669" t="s">
        <v>226</v>
      </c>
      <c r="O669" t="s">
        <v>281</v>
      </c>
      <c r="P669">
        <v>7.8304798648697622E-3</v>
      </c>
      <c r="Q669" t="s">
        <v>164</v>
      </c>
    </row>
    <row r="670" spans="9:17" x14ac:dyDescent="0.45">
      <c r="I670" t="s">
        <v>190</v>
      </c>
      <c r="J670" t="s">
        <v>282</v>
      </c>
      <c r="K670">
        <v>0</v>
      </c>
      <c r="L670" t="s">
        <v>164</v>
      </c>
      <c r="N670" t="s">
        <v>226</v>
      </c>
      <c r="O670" t="s">
        <v>282</v>
      </c>
      <c r="P670">
        <v>4.9756775930148095E-3</v>
      </c>
      <c r="Q670" t="s">
        <v>164</v>
      </c>
    </row>
    <row r="671" spans="9:17" x14ac:dyDescent="0.45">
      <c r="I671" t="s">
        <v>190</v>
      </c>
      <c r="J671" t="s">
        <v>283</v>
      </c>
      <c r="K671">
        <v>1.6904979838000599E-3</v>
      </c>
      <c r="L671" t="s">
        <v>164</v>
      </c>
      <c r="N671" t="s">
        <v>226</v>
      </c>
      <c r="O671" t="s">
        <v>283</v>
      </c>
      <c r="P671">
        <v>2.2855981757580548E-2</v>
      </c>
      <c r="Q671" t="s">
        <v>164</v>
      </c>
    </row>
    <row r="672" spans="9:17" x14ac:dyDescent="0.45">
      <c r="I672" t="s">
        <v>190</v>
      </c>
      <c r="J672" t="s">
        <v>284</v>
      </c>
      <c r="K672">
        <v>5.2036892877814447E-2</v>
      </c>
      <c r="L672" t="s">
        <v>164</v>
      </c>
      <c r="N672" t="s">
        <v>226</v>
      </c>
      <c r="O672" t="s">
        <v>284</v>
      </c>
      <c r="P672">
        <v>1.4936865482068119E-2</v>
      </c>
      <c r="Q672" t="s">
        <v>164</v>
      </c>
    </row>
    <row r="673" spans="9:17" x14ac:dyDescent="0.45">
      <c r="I673" t="s">
        <v>190</v>
      </c>
      <c r="J673" t="s">
        <v>285</v>
      </c>
      <c r="K673">
        <v>3.5339992155477089E-3</v>
      </c>
      <c r="L673" t="s">
        <v>164</v>
      </c>
      <c r="N673" t="s">
        <v>226</v>
      </c>
      <c r="O673" t="s">
        <v>285</v>
      </c>
      <c r="P673">
        <v>7.4126034201998892E-4</v>
      </c>
      <c r="Q673" t="s">
        <v>164</v>
      </c>
    </row>
    <row r="674" spans="9:17" x14ac:dyDescent="0.45">
      <c r="I674" t="s">
        <v>190</v>
      </c>
      <c r="J674" t="s">
        <v>286</v>
      </c>
      <c r="K674">
        <v>1.9970445341349371E-3</v>
      </c>
      <c r="L674" t="s">
        <v>164</v>
      </c>
      <c r="N674" t="s">
        <v>226</v>
      </c>
      <c r="O674" t="s">
        <v>286</v>
      </c>
      <c r="P674">
        <v>2.4171271285811612E-3</v>
      </c>
      <c r="Q674" t="s">
        <v>164</v>
      </c>
    </row>
    <row r="675" spans="9:17" x14ac:dyDescent="0.45">
      <c r="I675" t="s">
        <v>190</v>
      </c>
      <c r="J675" t="s">
        <v>287</v>
      </c>
      <c r="K675">
        <v>0</v>
      </c>
      <c r="L675" t="s">
        <v>164</v>
      </c>
      <c r="N675" t="s">
        <v>226</v>
      </c>
      <c r="O675" t="s">
        <v>287</v>
      </c>
      <c r="P675">
        <v>3.2276101559279256E-3</v>
      </c>
      <c r="Q675" t="s">
        <v>164</v>
      </c>
    </row>
    <row r="676" spans="9:17" x14ac:dyDescent="0.45">
      <c r="I676" t="s">
        <v>190</v>
      </c>
      <c r="J676" t="s">
        <v>288</v>
      </c>
      <c r="K676">
        <v>0</v>
      </c>
      <c r="L676" t="s">
        <v>164</v>
      </c>
      <c r="N676" t="s">
        <v>226</v>
      </c>
      <c r="O676" t="s">
        <v>288</v>
      </c>
      <c r="P676">
        <v>1.9112714842337071E-3</v>
      </c>
      <c r="Q676" t="s">
        <v>164</v>
      </c>
    </row>
    <row r="677" spans="9:17" x14ac:dyDescent="0.45">
      <c r="I677" t="s">
        <v>190</v>
      </c>
      <c r="J677" t="s">
        <v>289</v>
      </c>
      <c r="K677">
        <v>1.2397672764988151E-2</v>
      </c>
      <c r="L677" t="s">
        <v>164</v>
      </c>
      <c r="N677" t="s">
        <v>226</v>
      </c>
      <c r="O677" t="s">
        <v>289</v>
      </c>
      <c r="P677">
        <v>0.14988354170039747</v>
      </c>
      <c r="Q677" t="s">
        <v>164</v>
      </c>
    </row>
    <row r="678" spans="9:17" x14ac:dyDescent="0.45">
      <c r="I678" t="s">
        <v>190</v>
      </c>
      <c r="J678" t="s">
        <v>290</v>
      </c>
      <c r="K678">
        <v>0.30933879503732709</v>
      </c>
      <c r="L678" t="s">
        <v>164</v>
      </c>
      <c r="N678" t="s">
        <v>226</v>
      </c>
      <c r="O678" t="s">
        <v>290</v>
      </c>
      <c r="P678">
        <v>5.4616672909914447E-2</v>
      </c>
      <c r="Q678" t="s">
        <v>164</v>
      </c>
    </row>
    <row r="679" spans="9:17" x14ac:dyDescent="0.45">
      <c r="I679" t="s">
        <v>190</v>
      </c>
      <c r="J679" t="s">
        <v>291</v>
      </c>
      <c r="K679">
        <v>2.2767737165711399E-2</v>
      </c>
      <c r="L679" t="s">
        <v>164</v>
      </c>
      <c r="N679" t="s">
        <v>226</v>
      </c>
      <c r="O679" t="s">
        <v>291</v>
      </c>
      <c r="P679">
        <v>4.1318556133142625E-3</v>
      </c>
      <c r="Q679" t="s">
        <v>164</v>
      </c>
    </row>
    <row r="680" spans="9:17" x14ac:dyDescent="0.45">
      <c r="I680" t="s">
        <v>190</v>
      </c>
      <c r="J680" t="s">
        <v>292</v>
      </c>
      <c r="K680">
        <v>1.2611555179788382E-2</v>
      </c>
      <c r="L680" t="s">
        <v>164</v>
      </c>
      <c r="N680" t="s">
        <v>226</v>
      </c>
      <c r="O680" t="s">
        <v>292</v>
      </c>
      <c r="P680">
        <v>2.7408910490143257E-2</v>
      </c>
      <c r="Q680" t="s">
        <v>164</v>
      </c>
    </row>
    <row r="681" spans="9:17" x14ac:dyDescent="0.45">
      <c r="I681" t="s">
        <v>190</v>
      </c>
      <c r="J681" t="s">
        <v>293</v>
      </c>
      <c r="K681">
        <v>0</v>
      </c>
      <c r="L681" t="s">
        <v>164</v>
      </c>
      <c r="N681" t="s">
        <v>226</v>
      </c>
      <c r="O681" t="s">
        <v>293</v>
      </c>
      <c r="P681">
        <v>3.2693452129092741E-2</v>
      </c>
      <c r="Q681" t="s">
        <v>164</v>
      </c>
    </row>
    <row r="682" spans="9:17" x14ac:dyDescent="0.45">
      <c r="I682" t="s">
        <v>190</v>
      </c>
      <c r="J682" t="s">
        <v>294</v>
      </c>
      <c r="K682">
        <v>0</v>
      </c>
      <c r="L682" t="s">
        <v>164</v>
      </c>
      <c r="N682" t="s">
        <v>226</v>
      </c>
      <c r="O682" t="s">
        <v>294</v>
      </c>
      <c r="P682">
        <v>2.0063761633398194E-2</v>
      </c>
      <c r="Q682" t="s">
        <v>164</v>
      </c>
    </row>
    <row r="683" spans="9:17" x14ac:dyDescent="0.45">
      <c r="I683" t="s">
        <v>191</v>
      </c>
      <c r="J683" t="s">
        <v>163</v>
      </c>
      <c r="K683">
        <v>1.4957346181867663E-4</v>
      </c>
      <c r="L683" t="s">
        <v>164</v>
      </c>
      <c r="N683" t="s">
        <v>227</v>
      </c>
      <c r="O683" t="s">
        <v>163</v>
      </c>
      <c r="P683">
        <v>0.10060179396245392</v>
      </c>
      <c r="Q683" t="s">
        <v>164</v>
      </c>
    </row>
    <row r="684" spans="9:17" x14ac:dyDescent="0.45">
      <c r="I684" t="s">
        <v>191</v>
      </c>
      <c r="J684" t="s">
        <v>165</v>
      </c>
      <c r="K684">
        <v>0.14882556665262114</v>
      </c>
      <c r="L684" t="s">
        <v>164</v>
      </c>
      <c r="N684" t="s">
        <v>227</v>
      </c>
      <c r="O684" t="s">
        <v>165</v>
      </c>
      <c r="P684">
        <v>5.0166177829875133E-2</v>
      </c>
      <c r="Q684" t="s">
        <v>164</v>
      </c>
    </row>
    <row r="685" spans="9:17" x14ac:dyDescent="0.45">
      <c r="I685" t="s">
        <v>191</v>
      </c>
      <c r="J685" t="s">
        <v>166</v>
      </c>
      <c r="K685">
        <v>1.2853333319245128E-2</v>
      </c>
      <c r="L685" t="s">
        <v>164</v>
      </c>
      <c r="N685" t="s">
        <v>227</v>
      </c>
      <c r="O685" t="s">
        <v>166</v>
      </c>
      <c r="P685">
        <v>5.0154917881117568E-3</v>
      </c>
      <c r="Q685" t="s">
        <v>164</v>
      </c>
    </row>
    <row r="686" spans="9:17" x14ac:dyDescent="0.45">
      <c r="I686" t="s">
        <v>191</v>
      </c>
      <c r="J686" t="s">
        <v>265</v>
      </c>
      <c r="K686">
        <v>6.9940502138841568E-3</v>
      </c>
      <c r="L686" t="s">
        <v>164</v>
      </c>
      <c r="N686" t="s">
        <v>227</v>
      </c>
      <c r="O686" t="s">
        <v>265</v>
      </c>
      <c r="P686">
        <v>2.8101371437588559E-2</v>
      </c>
      <c r="Q686" t="s">
        <v>164</v>
      </c>
    </row>
    <row r="687" spans="9:17" x14ac:dyDescent="0.45">
      <c r="I687" t="s">
        <v>191</v>
      </c>
      <c r="J687" t="s">
        <v>266</v>
      </c>
      <c r="K687">
        <v>0</v>
      </c>
      <c r="L687" t="s">
        <v>164</v>
      </c>
      <c r="N687" t="s">
        <v>227</v>
      </c>
      <c r="O687" t="s">
        <v>266</v>
      </c>
      <c r="P687">
        <v>2.7366460067589353E-2</v>
      </c>
      <c r="Q687" t="s">
        <v>164</v>
      </c>
    </row>
    <row r="688" spans="9:17" x14ac:dyDescent="0.45">
      <c r="I688" t="s">
        <v>191</v>
      </c>
      <c r="J688" t="s">
        <v>267</v>
      </c>
      <c r="K688">
        <v>0</v>
      </c>
      <c r="L688" t="s">
        <v>164</v>
      </c>
      <c r="N688" t="s">
        <v>227</v>
      </c>
      <c r="O688" t="s">
        <v>267</v>
      </c>
      <c r="P688">
        <v>1.4429666024821377E-2</v>
      </c>
      <c r="Q688" t="s">
        <v>164</v>
      </c>
    </row>
    <row r="689" spans="9:17" x14ac:dyDescent="0.45">
      <c r="I689" t="s">
        <v>191</v>
      </c>
      <c r="J689" t="s">
        <v>167</v>
      </c>
      <c r="K689">
        <v>2.5261770598350611E-3</v>
      </c>
      <c r="L689" t="s">
        <v>164</v>
      </c>
      <c r="N689" t="s">
        <v>227</v>
      </c>
      <c r="O689" t="s">
        <v>167</v>
      </c>
      <c r="P689">
        <v>4.3400254956290726E-2</v>
      </c>
      <c r="Q689" t="s">
        <v>164</v>
      </c>
    </row>
    <row r="690" spans="9:17" x14ac:dyDescent="0.45">
      <c r="I690" t="s">
        <v>191</v>
      </c>
      <c r="J690" t="s">
        <v>168</v>
      </c>
      <c r="K690">
        <v>8.0706669063965716E-2</v>
      </c>
      <c r="L690" t="s">
        <v>164</v>
      </c>
      <c r="N690" t="s">
        <v>227</v>
      </c>
      <c r="O690" t="s">
        <v>168</v>
      </c>
      <c r="P690">
        <v>2.3869780578891563E-2</v>
      </c>
      <c r="Q690" t="s">
        <v>164</v>
      </c>
    </row>
    <row r="691" spans="9:17" x14ac:dyDescent="0.45">
      <c r="I691" t="s">
        <v>191</v>
      </c>
      <c r="J691" t="s">
        <v>169</v>
      </c>
      <c r="K691">
        <v>6.9674654168887483E-3</v>
      </c>
      <c r="L691" t="s">
        <v>164</v>
      </c>
      <c r="N691" t="s">
        <v>227</v>
      </c>
      <c r="O691" t="s">
        <v>169</v>
      </c>
      <c r="P691">
        <v>1.851982592619706E-3</v>
      </c>
      <c r="Q691" t="s">
        <v>164</v>
      </c>
    </row>
    <row r="692" spans="9:17" x14ac:dyDescent="0.45">
      <c r="I692" t="s">
        <v>191</v>
      </c>
      <c r="J692" t="s">
        <v>268</v>
      </c>
      <c r="K692">
        <v>4.1698211717075429E-3</v>
      </c>
      <c r="L692" t="s">
        <v>164</v>
      </c>
      <c r="N692" t="s">
        <v>227</v>
      </c>
      <c r="O692" t="s">
        <v>268</v>
      </c>
      <c r="P692">
        <v>9.424308706886585E-3</v>
      </c>
      <c r="Q692" t="s">
        <v>164</v>
      </c>
    </row>
    <row r="693" spans="9:17" x14ac:dyDescent="0.45">
      <c r="I693" t="s">
        <v>191</v>
      </c>
      <c r="J693" t="s">
        <v>269</v>
      </c>
      <c r="K693">
        <v>0</v>
      </c>
      <c r="L693" t="s">
        <v>164</v>
      </c>
      <c r="N693" t="s">
        <v>227</v>
      </c>
      <c r="O693" t="s">
        <v>269</v>
      </c>
      <c r="P693">
        <v>9.1373793840924568E-3</v>
      </c>
      <c r="Q693" t="s">
        <v>164</v>
      </c>
    </row>
    <row r="694" spans="9:17" x14ac:dyDescent="0.45">
      <c r="I694" t="s">
        <v>191</v>
      </c>
      <c r="J694" t="s">
        <v>270</v>
      </c>
      <c r="K694">
        <v>0</v>
      </c>
      <c r="L694" t="s">
        <v>164</v>
      </c>
      <c r="N694" t="s">
        <v>227</v>
      </c>
      <c r="O694" t="s">
        <v>270</v>
      </c>
      <c r="P694">
        <v>5.6614505502747313E-3</v>
      </c>
      <c r="Q694" t="s">
        <v>164</v>
      </c>
    </row>
    <row r="695" spans="9:17" x14ac:dyDescent="0.45">
      <c r="I695" t="s">
        <v>191</v>
      </c>
      <c r="J695" t="s">
        <v>170</v>
      </c>
      <c r="K695">
        <v>2.9107767706976337E-3</v>
      </c>
      <c r="L695" t="s">
        <v>164</v>
      </c>
      <c r="N695" t="s">
        <v>227</v>
      </c>
      <c r="O695" t="s">
        <v>170</v>
      </c>
      <c r="P695">
        <v>3.2908826202015629E-2</v>
      </c>
      <c r="Q695" t="s">
        <v>164</v>
      </c>
    </row>
    <row r="696" spans="9:17" x14ac:dyDescent="0.45">
      <c r="I696" t="s">
        <v>191</v>
      </c>
      <c r="J696" t="s">
        <v>171</v>
      </c>
      <c r="K696">
        <v>7.183283347272458E-2</v>
      </c>
      <c r="L696" t="s">
        <v>164</v>
      </c>
      <c r="N696" t="s">
        <v>227</v>
      </c>
      <c r="O696" t="s">
        <v>171</v>
      </c>
      <c r="P696">
        <v>1.5575338387750246E-2</v>
      </c>
      <c r="Q696" t="s">
        <v>164</v>
      </c>
    </row>
    <row r="697" spans="9:17" x14ac:dyDescent="0.45">
      <c r="I697" t="s">
        <v>191</v>
      </c>
      <c r="J697" t="s">
        <v>172</v>
      </c>
      <c r="K697">
        <v>6.0556069802227865E-3</v>
      </c>
      <c r="L697" t="s">
        <v>164</v>
      </c>
      <c r="N697" t="s">
        <v>227</v>
      </c>
      <c r="O697" t="s">
        <v>172</v>
      </c>
      <c r="P697">
        <v>1.4898153449085915E-3</v>
      </c>
      <c r="Q697" t="s">
        <v>164</v>
      </c>
    </row>
    <row r="698" spans="9:17" x14ac:dyDescent="0.45">
      <c r="I698" t="s">
        <v>191</v>
      </c>
      <c r="J698" t="s">
        <v>271</v>
      </c>
      <c r="K698">
        <v>3.7803428871067829E-3</v>
      </c>
      <c r="L698" t="s">
        <v>164</v>
      </c>
      <c r="N698" t="s">
        <v>227</v>
      </c>
      <c r="O698" t="s">
        <v>271</v>
      </c>
      <c r="P698">
        <v>6.6297010492748342E-3</v>
      </c>
      <c r="Q698" t="s">
        <v>164</v>
      </c>
    </row>
    <row r="699" spans="9:17" x14ac:dyDescent="0.45">
      <c r="I699" t="s">
        <v>191</v>
      </c>
      <c r="J699" t="s">
        <v>272</v>
      </c>
      <c r="K699">
        <v>0</v>
      </c>
      <c r="L699" t="s">
        <v>164</v>
      </c>
      <c r="N699" t="s">
        <v>227</v>
      </c>
      <c r="O699" t="s">
        <v>272</v>
      </c>
      <c r="P699">
        <v>6.4338955846537718E-3</v>
      </c>
      <c r="Q699" t="s">
        <v>164</v>
      </c>
    </row>
    <row r="700" spans="9:17" x14ac:dyDescent="0.45">
      <c r="I700" t="s">
        <v>191</v>
      </c>
      <c r="J700" t="s">
        <v>273</v>
      </c>
      <c r="K700">
        <v>0</v>
      </c>
      <c r="L700" t="s">
        <v>164</v>
      </c>
      <c r="N700" t="s">
        <v>227</v>
      </c>
      <c r="O700" t="s">
        <v>273</v>
      </c>
      <c r="P700">
        <v>4.0001286685008705E-3</v>
      </c>
      <c r="Q700" t="s">
        <v>164</v>
      </c>
    </row>
    <row r="701" spans="9:17" x14ac:dyDescent="0.45">
      <c r="I701" t="s">
        <v>191</v>
      </c>
      <c r="J701" t="s">
        <v>173</v>
      </c>
      <c r="K701">
        <v>6.4205373141102435E-3</v>
      </c>
      <c r="L701" t="s">
        <v>164</v>
      </c>
      <c r="N701" t="s">
        <v>227</v>
      </c>
      <c r="O701" t="s">
        <v>173</v>
      </c>
      <c r="P701">
        <v>0.11974297299172795</v>
      </c>
      <c r="Q701" t="s">
        <v>164</v>
      </c>
    </row>
    <row r="702" spans="9:17" x14ac:dyDescent="0.45">
      <c r="I702" t="s">
        <v>191</v>
      </c>
      <c r="J702" t="s">
        <v>174</v>
      </c>
      <c r="K702">
        <v>0.1375923116735929</v>
      </c>
      <c r="L702" t="s">
        <v>164</v>
      </c>
      <c r="N702" t="s">
        <v>227</v>
      </c>
      <c r="O702" t="s">
        <v>174</v>
      </c>
      <c r="P702">
        <v>5.1696832416605866E-2</v>
      </c>
      <c r="Q702" t="s">
        <v>164</v>
      </c>
    </row>
    <row r="703" spans="9:17" x14ac:dyDescent="0.45">
      <c r="I703" t="s">
        <v>191</v>
      </c>
      <c r="J703" t="s">
        <v>175</v>
      </c>
      <c r="K703">
        <v>1.0313029812180845E-2</v>
      </c>
      <c r="L703" t="s">
        <v>164</v>
      </c>
      <c r="N703" t="s">
        <v>227</v>
      </c>
      <c r="O703" t="s">
        <v>175</v>
      </c>
      <c r="P703">
        <v>1.3275887951951246E-3</v>
      </c>
      <c r="Q703" t="s">
        <v>164</v>
      </c>
    </row>
    <row r="704" spans="9:17" x14ac:dyDescent="0.45">
      <c r="I704" t="s">
        <v>191</v>
      </c>
      <c r="J704" t="s">
        <v>274</v>
      </c>
      <c r="K704">
        <v>6.8782803711078385E-3</v>
      </c>
      <c r="L704" t="s">
        <v>164</v>
      </c>
      <c r="N704" t="s">
        <v>227</v>
      </c>
      <c r="O704" t="s">
        <v>274</v>
      </c>
      <c r="P704">
        <v>8.7127363384892839E-3</v>
      </c>
      <c r="Q704" t="s">
        <v>164</v>
      </c>
    </row>
    <row r="705" spans="9:17" x14ac:dyDescent="0.45">
      <c r="I705" t="s">
        <v>191</v>
      </c>
      <c r="J705" t="s">
        <v>275</v>
      </c>
      <c r="K705">
        <v>0</v>
      </c>
      <c r="L705" t="s">
        <v>164</v>
      </c>
      <c r="N705" t="s">
        <v>227</v>
      </c>
      <c r="O705" t="s">
        <v>275</v>
      </c>
      <c r="P705">
        <v>1.5402995390981439E-2</v>
      </c>
      <c r="Q705" t="s">
        <v>164</v>
      </c>
    </row>
    <row r="706" spans="9:17" x14ac:dyDescent="0.45">
      <c r="I706" t="s">
        <v>191</v>
      </c>
      <c r="J706" t="s">
        <v>276</v>
      </c>
      <c r="K706">
        <v>0</v>
      </c>
      <c r="L706" t="s">
        <v>164</v>
      </c>
      <c r="N706" t="s">
        <v>227</v>
      </c>
      <c r="O706" t="s">
        <v>276</v>
      </c>
      <c r="P706">
        <v>1.1380313607409499E-2</v>
      </c>
      <c r="Q706" t="s">
        <v>164</v>
      </c>
    </row>
    <row r="707" spans="9:17" x14ac:dyDescent="0.45">
      <c r="I707" t="s">
        <v>191</v>
      </c>
      <c r="J707" t="s">
        <v>277</v>
      </c>
      <c r="K707">
        <v>2.6396080800906176E-3</v>
      </c>
      <c r="L707" t="s">
        <v>164</v>
      </c>
      <c r="N707" t="s">
        <v>227</v>
      </c>
      <c r="O707" t="s">
        <v>277</v>
      </c>
      <c r="P707">
        <v>5.060080355837937E-2</v>
      </c>
      <c r="Q707" t="s">
        <v>164</v>
      </c>
    </row>
    <row r="708" spans="9:17" x14ac:dyDescent="0.45">
      <c r="I708" t="s">
        <v>191</v>
      </c>
      <c r="J708" t="s">
        <v>278</v>
      </c>
      <c r="K708">
        <v>6.5262181538157646E-2</v>
      </c>
      <c r="L708" t="s">
        <v>164</v>
      </c>
      <c r="N708" t="s">
        <v>227</v>
      </c>
      <c r="O708" t="s">
        <v>278</v>
      </c>
      <c r="P708">
        <v>3.0250120661098424E-2</v>
      </c>
      <c r="Q708" t="s">
        <v>164</v>
      </c>
    </row>
    <row r="709" spans="9:17" x14ac:dyDescent="0.45">
      <c r="I709" t="s">
        <v>191</v>
      </c>
      <c r="J709" t="s">
        <v>279</v>
      </c>
      <c r="K709">
        <v>4.8121572364353028E-3</v>
      </c>
      <c r="L709" t="s">
        <v>164</v>
      </c>
      <c r="N709" t="s">
        <v>227</v>
      </c>
      <c r="O709" t="s">
        <v>279</v>
      </c>
      <c r="P709">
        <v>9.6038929247317531E-4</v>
      </c>
      <c r="Q709" t="s">
        <v>164</v>
      </c>
    </row>
    <row r="710" spans="9:17" x14ac:dyDescent="0.45">
      <c r="I710" t="s">
        <v>191</v>
      </c>
      <c r="J710" t="s">
        <v>280</v>
      </c>
      <c r="K710">
        <v>3.6769329567625684E-3</v>
      </c>
      <c r="L710" t="s">
        <v>164</v>
      </c>
      <c r="N710" t="s">
        <v>227</v>
      </c>
      <c r="O710" t="s">
        <v>280</v>
      </c>
      <c r="P710">
        <v>4.4194204831733749E-3</v>
      </c>
      <c r="Q710" t="s">
        <v>164</v>
      </c>
    </row>
    <row r="711" spans="9:17" x14ac:dyDescent="0.45">
      <c r="I711" t="s">
        <v>191</v>
      </c>
      <c r="J711" t="s">
        <v>281</v>
      </c>
      <c r="K711">
        <v>0</v>
      </c>
      <c r="L711" t="s">
        <v>164</v>
      </c>
      <c r="N711" t="s">
        <v>227</v>
      </c>
      <c r="O711" t="s">
        <v>281</v>
      </c>
      <c r="P711">
        <v>6.0758395637292755E-3</v>
      </c>
      <c r="Q711" t="s">
        <v>164</v>
      </c>
    </row>
    <row r="712" spans="9:17" x14ac:dyDescent="0.45">
      <c r="I712" t="s">
        <v>191</v>
      </c>
      <c r="J712" t="s">
        <v>282</v>
      </c>
      <c r="K712">
        <v>0</v>
      </c>
      <c r="L712" t="s">
        <v>164</v>
      </c>
      <c r="N712" t="s">
        <v>227</v>
      </c>
      <c r="O712" t="s">
        <v>282</v>
      </c>
      <c r="P712">
        <v>3.7144732322479095E-3</v>
      </c>
      <c r="Q712" t="s">
        <v>164</v>
      </c>
    </row>
    <row r="713" spans="9:17" x14ac:dyDescent="0.45">
      <c r="I713" t="s">
        <v>191</v>
      </c>
      <c r="J713" t="s">
        <v>283</v>
      </c>
      <c r="K713">
        <v>2.2586752208133363E-3</v>
      </c>
      <c r="L713" t="s">
        <v>164</v>
      </c>
      <c r="N713" t="s">
        <v>227</v>
      </c>
      <c r="O713" t="s">
        <v>283</v>
      </c>
      <c r="P713">
        <v>2.3251901903480695E-2</v>
      </c>
      <c r="Q713" t="s">
        <v>164</v>
      </c>
    </row>
    <row r="714" spans="9:17" x14ac:dyDescent="0.45">
      <c r="I714" t="s">
        <v>191</v>
      </c>
      <c r="J714" t="s">
        <v>284</v>
      </c>
      <c r="K714">
        <v>5.686791972669647E-2</v>
      </c>
      <c r="L714" t="s">
        <v>164</v>
      </c>
      <c r="N714" t="s">
        <v>227</v>
      </c>
      <c r="O714" t="s">
        <v>284</v>
      </c>
      <c r="P714">
        <v>1.9156128302192699E-2</v>
      </c>
      <c r="Q714" t="s">
        <v>164</v>
      </c>
    </row>
    <row r="715" spans="9:17" x14ac:dyDescent="0.45">
      <c r="I715" t="s">
        <v>191</v>
      </c>
      <c r="J715" t="s">
        <v>285</v>
      </c>
      <c r="K715">
        <v>4.3667121165585051E-3</v>
      </c>
      <c r="L715" t="s">
        <v>164</v>
      </c>
      <c r="N715" t="s">
        <v>227</v>
      </c>
      <c r="O715" t="s">
        <v>285</v>
      </c>
      <c r="P715">
        <v>8.0616152808172322E-4</v>
      </c>
      <c r="Q715" t="s">
        <v>164</v>
      </c>
    </row>
    <row r="716" spans="9:17" x14ac:dyDescent="0.45">
      <c r="I716" t="s">
        <v>191</v>
      </c>
      <c r="J716" t="s">
        <v>286</v>
      </c>
      <c r="K716">
        <v>2.5564945386655213E-3</v>
      </c>
      <c r="L716" t="s">
        <v>164</v>
      </c>
      <c r="N716" t="s">
        <v>227</v>
      </c>
      <c r="O716" t="s">
        <v>286</v>
      </c>
      <c r="P716">
        <v>2.9495245692577059E-3</v>
      </c>
      <c r="Q716" t="s">
        <v>164</v>
      </c>
    </row>
    <row r="717" spans="9:17" x14ac:dyDescent="0.45">
      <c r="I717" t="s">
        <v>191</v>
      </c>
      <c r="J717" t="s">
        <v>287</v>
      </c>
      <c r="K717">
        <v>0</v>
      </c>
      <c r="L717" t="s">
        <v>164</v>
      </c>
      <c r="N717" t="s">
        <v>227</v>
      </c>
      <c r="O717" t="s">
        <v>287</v>
      </c>
      <c r="P717">
        <v>3.2122257135832558E-3</v>
      </c>
      <c r="Q717" t="s">
        <v>164</v>
      </c>
    </row>
    <row r="718" spans="9:17" x14ac:dyDescent="0.45">
      <c r="I718" t="s">
        <v>191</v>
      </c>
      <c r="J718" t="s">
        <v>288</v>
      </c>
      <c r="K718">
        <v>0</v>
      </c>
      <c r="L718" t="s">
        <v>164</v>
      </c>
      <c r="N718" t="s">
        <v>227</v>
      </c>
      <c r="O718" t="s">
        <v>288</v>
      </c>
      <c r="P718">
        <v>1.9201454825157264E-3</v>
      </c>
      <c r="Q718" t="s">
        <v>164</v>
      </c>
    </row>
    <row r="719" spans="9:17" x14ac:dyDescent="0.45">
      <c r="I719" t="s">
        <v>191</v>
      </c>
      <c r="J719" t="s">
        <v>289</v>
      </c>
      <c r="K719">
        <v>1.2002457893321265E-2</v>
      </c>
      <c r="L719" t="s">
        <v>164</v>
      </c>
      <c r="N719" t="s">
        <v>227</v>
      </c>
      <c r="O719" t="s">
        <v>289</v>
      </c>
      <c r="P719">
        <v>0.12585945265568663</v>
      </c>
      <c r="Q719" t="s">
        <v>164</v>
      </c>
    </row>
    <row r="720" spans="9:17" x14ac:dyDescent="0.45">
      <c r="I720" t="s">
        <v>191</v>
      </c>
      <c r="J720" t="s">
        <v>290</v>
      </c>
      <c r="K720">
        <v>0.30248826072665613</v>
      </c>
      <c r="L720" t="s">
        <v>164</v>
      </c>
      <c r="N720" t="s">
        <v>227</v>
      </c>
      <c r="O720" t="s">
        <v>290</v>
      </c>
      <c r="P720">
        <v>5.7682348054188766E-2</v>
      </c>
      <c r="Q720" t="s">
        <v>164</v>
      </c>
    </row>
    <row r="721" spans="9:17" x14ac:dyDescent="0.45">
      <c r="I721" t="s">
        <v>191</v>
      </c>
      <c r="J721" t="s">
        <v>291</v>
      </c>
      <c r="K721">
        <v>2.2578169931648618E-2</v>
      </c>
      <c r="L721" t="s">
        <v>164</v>
      </c>
      <c r="N721" t="s">
        <v>227</v>
      </c>
      <c r="O721" t="s">
        <v>291</v>
      </c>
      <c r="P721">
        <v>4.5423806705060668E-3</v>
      </c>
      <c r="Q721" t="s">
        <v>164</v>
      </c>
    </row>
    <row r="722" spans="9:17" x14ac:dyDescent="0.45">
      <c r="I722" t="s">
        <v>191</v>
      </c>
      <c r="J722" t="s">
        <v>292</v>
      </c>
      <c r="K722">
        <v>1.1514054392484036E-2</v>
      </c>
      <c r="L722" t="s">
        <v>164</v>
      </c>
      <c r="N722" t="s">
        <v>227</v>
      </c>
      <c r="O722" t="s">
        <v>292</v>
      </c>
      <c r="P722">
        <v>2.8656074366026709E-2</v>
      </c>
      <c r="Q722" t="s">
        <v>164</v>
      </c>
    </row>
    <row r="723" spans="9:17" x14ac:dyDescent="0.45">
      <c r="I723" t="s">
        <v>191</v>
      </c>
      <c r="J723" t="s">
        <v>293</v>
      </c>
      <c r="K723">
        <v>0</v>
      </c>
      <c r="L723" t="s">
        <v>164</v>
      </c>
      <c r="N723" t="s">
        <v>227</v>
      </c>
      <c r="O723" t="s">
        <v>293</v>
      </c>
      <c r="P723">
        <v>2.6540895044910827E-2</v>
      </c>
      <c r="Q723" t="s">
        <v>164</v>
      </c>
    </row>
    <row r="724" spans="9:17" x14ac:dyDescent="0.45">
      <c r="I724" t="s">
        <v>191</v>
      </c>
      <c r="J724" t="s">
        <v>294</v>
      </c>
      <c r="K724">
        <v>0</v>
      </c>
      <c r="L724" t="s">
        <v>164</v>
      </c>
      <c r="N724" t="s">
        <v>227</v>
      </c>
      <c r="O724" t="s">
        <v>294</v>
      </c>
      <c r="P724">
        <v>1.5074452261459393E-2</v>
      </c>
      <c r="Q724" t="s">
        <v>164</v>
      </c>
    </row>
    <row r="725" spans="9:17" x14ac:dyDescent="0.45">
      <c r="I725" t="s">
        <v>192</v>
      </c>
      <c r="J725" t="s">
        <v>163</v>
      </c>
      <c r="K725">
        <v>2.3007470499654493E-4</v>
      </c>
      <c r="L725" t="s">
        <v>164</v>
      </c>
      <c r="N725" t="s">
        <v>228</v>
      </c>
      <c r="O725" t="s">
        <v>163</v>
      </c>
      <c r="P725">
        <v>9.9505558798332658E-2</v>
      </c>
      <c r="Q725" t="s">
        <v>164</v>
      </c>
    </row>
    <row r="726" spans="9:17" x14ac:dyDescent="0.45">
      <c r="I726" t="s">
        <v>192</v>
      </c>
      <c r="J726" t="s">
        <v>165</v>
      </c>
      <c r="K726">
        <v>0.1571204738140124</v>
      </c>
      <c r="L726" t="s">
        <v>164</v>
      </c>
      <c r="N726" t="s">
        <v>228</v>
      </c>
      <c r="O726" t="s">
        <v>165</v>
      </c>
      <c r="P726">
        <v>4.6419172378710689E-2</v>
      </c>
      <c r="Q726" t="s">
        <v>164</v>
      </c>
    </row>
    <row r="727" spans="9:17" x14ac:dyDescent="0.45">
      <c r="I727" t="s">
        <v>192</v>
      </c>
      <c r="J727" t="s">
        <v>166</v>
      </c>
      <c r="K727">
        <v>1.3664949963036299E-2</v>
      </c>
      <c r="L727" t="s">
        <v>164</v>
      </c>
      <c r="N727" t="s">
        <v>228</v>
      </c>
      <c r="O727" t="s">
        <v>166</v>
      </c>
      <c r="P727">
        <v>5.7599924925019605E-3</v>
      </c>
      <c r="Q727" t="s">
        <v>164</v>
      </c>
    </row>
    <row r="728" spans="9:17" x14ac:dyDescent="0.45">
      <c r="I728" t="s">
        <v>192</v>
      </c>
      <c r="J728" t="s">
        <v>265</v>
      </c>
      <c r="K728">
        <v>7.6113045699251194E-3</v>
      </c>
      <c r="L728" t="s">
        <v>164</v>
      </c>
      <c r="N728" t="s">
        <v>228</v>
      </c>
      <c r="O728" t="s">
        <v>265</v>
      </c>
      <c r="P728">
        <v>3.4020299240869877E-2</v>
      </c>
      <c r="Q728" t="s">
        <v>164</v>
      </c>
    </row>
    <row r="729" spans="9:17" x14ac:dyDescent="0.45">
      <c r="I729" t="s">
        <v>192</v>
      </c>
      <c r="J729" t="s">
        <v>266</v>
      </c>
      <c r="K729">
        <v>0</v>
      </c>
      <c r="L729" t="s">
        <v>164</v>
      </c>
      <c r="N729" t="s">
        <v>228</v>
      </c>
      <c r="O729" t="s">
        <v>266</v>
      </c>
      <c r="P729">
        <v>2.9433668978904277E-2</v>
      </c>
      <c r="Q729" t="s">
        <v>164</v>
      </c>
    </row>
    <row r="730" spans="9:17" x14ac:dyDescent="0.45">
      <c r="I730" t="s">
        <v>192</v>
      </c>
      <c r="J730" t="s">
        <v>267</v>
      </c>
      <c r="K730">
        <v>0</v>
      </c>
      <c r="L730" t="s">
        <v>164</v>
      </c>
      <c r="N730" t="s">
        <v>228</v>
      </c>
      <c r="O730" t="s">
        <v>267</v>
      </c>
      <c r="P730">
        <v>1.4629945219391398E-2</v>
      </c>
      <c r="Q730" t="s">
        <v>164</v>
      </c>
    </row>
    <row r="731" spans="9:17" x14ac:dyDescent="0.45">
      <c r="I731" t="s">
        <v>192</v>
      </c>
      <c r="J731" t="s">
        <v>167</v>
      </c>
      <c r="K731">
        <v>2.729827561706628E-3</v>
      </c>
      <c r="L731" t="s">
        <v>164</v>
      </c>
      <c r="N731" t="s">
        <v>228</v>
      </c>
      <c r="O731" t="s">
        <v>167</v>
      </c>
      <c r="P731">
        <v>4.3763979213334053E-2</v>
      </c>
      <c r="Q731" t="s">
        <v>164</v>
      </c>
    </row>
    <row r="732" spans="9:17" x14ac:dyDescent="0.45">
      <c r="I732" t="s">
        <v>192</v>
      </c>
      <c r="J732" t="s">
        <v>168</v>
      </c>
      <c r="K732">
        <v>8.2257700023553024E-2</v>
      </c>
      <c r="L732" t="s">
        <v>164</v>
      </c>
      <c r="N732" t="s">
        <v>228</v>
      </c>
      <c r="O732" t="s">
        <v>168</v>
      </c>
      <c r="P732">
        <v>2.2449265055217073E-2</v>
      </c>
      <c r="Q732" t="s">
        <v>164</v>
      </c>
    </row>
    <row r="733" spans="9:17" x14ac:dyDescent="0.45">
      <c r="I733" t="s">
        <v>192</v>
      </c>
      <c r="J733" t="s">
        <v>169</v>
      </c>
      <c r="K733">
        <v>7.0435866028401789E-3</v>
      </c>
      <c r="L733" t="s">
        <v>164</v>
      </c>
      <c r="N733" t="s">
        <v>228</v>
      </c>
      <c r="O733" t="s">
        <v>169</v>
      </c>
      <c r="P733">
        <v>2.1668898866351867E-3</v>
      </c>
      <c r="Q733" t="s">
        <v>164</v>
      </c>
    </row>
    <row r="734" spans="9:17" x14ac:dyDescent="0.45">
      <c r="I734" t="s">
        <v>192</v>
      </c>
      <c r="J734" t="s">
        <v>268</v>
      </c>
      <c r="K734">
        <v>4.2845148744690836E-3</v>
      </c>
      <c r="L734" t="s">
        <v>164</v>
      </c>
      <c r="N734" t="s">
        <v>228</v>
      </c>
      <c r="O734" t="s">
        <v>268</v>
      </c>
      <c r="P734">
        <v>1.2631920295919299E-2</v>
      </c>
      <c r="Q734" t="s">
        <v>164</v>
      </c>
    </row>
    <row r="735" spans="9:17" x14ac:dyDescent="0.45">
      <c r="I735" t="s">
        <v>192</v>
      </c>
      <c r="J735" t="s">
        <v>269</v>
      </c>
      <c r="K735">
        <v>0</v>
      </c>
      <c r="L735" t="s">
        <v>164</v>
      </c>
      <c r="N735" t="s">
        <v>228</v>
      </c>
      <c r="O735" t="s">
        <v>269</v>
      </c>
      <c r="P735">
        <v>1.2000346617348964E-2</v>
      </c>
      <c r="Q735" t="s">
        <v>164</v>
      </c>
    </row>
    <row r="736" spans="9:17" x14ac:dyDescent="0.45">
      <c r="I736" t="s">
        <v>192</v>
      </c>
      <c r="J736" t="s">
        <v>270</v>
      </c>
      <c r="K736">
        <v>0</v>
      </c>
      <c r="L736" t="s">
        <v>164</v>
      </c>
      <c r="N736" t="s">
        <v>228</v>
      </c>
      <c r="O736" t="s">
        <v>270</v>
      </c>
      <c r="P736">
        <v>6.299310857862798E-3</v>
      </c>
      <c r="Q736" t="s">
        <v>164</v>
      </c>
    </row>
    <row r="737" spans="9:17" x14ac:dyDescent="0.45">
      <c r="I737" t="s">
        <v>192</v>
      </c>
      <c r="J737" t="s">
        <v>170</v>
      </c>
      <c r="K737">
        <v>2.791021671209861E-3</v>
      </c>
      <c r="L737" t="s">
        <v>164</v>
      </c>
      <c r="N737" t="s">
        <v>228</v>
      </c>
      <c r="O737" t="s">
        <v>170</v>
      </c>
      <c r="P737">
        <v>3.0222083776175308E-2</v>
      </c>
      <c r="Q737" t="s">
        <v>164</v>
      </c>
    </row>
    <row r="738" spans="9:17" x14ac:dyDescent="0.45">
      <c r="I738" t="s">
        <v>192</v>
      </c>
      <c r="J738" t="s">
        <v>171</v>
      </c>
      <c r="K738">
        <v>7.172200063291212E-2</v>
      </c>
      <c r="L738" t="s">
        <v>164</v>
      </c>
      <c r="N738" t="s">
        <v>228</v>
      </c>
      <c r="O738" t="s">
        <v>171</v>
      </c>
      <c r="P738">
        <v>1.5980792839499641E-2</v>
      </c>
      <c r="Q738" t="s">
        <v>164</v>
      </c>
    </row>
    <row r="739" spans="9:17" x14ac:dyDescent="0.45">
      <c r="I739" t="s">
        <v>192</v>
      </c>
      <c r="J739" t="s">
        <v>172</v>
      </c>
      <c r="K739">
        <v>5.6038375521874958E-3</v>
      </c>
      <c r="L739" t="s">
        <v>164</v>
      </c>
      <c r="N739" t="s">
        <v>228</v>
      </c>
      <c r="O739" t="s">
        <v>172</v>
      </c>
      <c r="P739">
        <v>1.9082739235573231E-3</v>
      </c>
      <c r="Q739" t="s">
        <v>164</v>
      </c>
    </row>
    <row r="740" spans="9:17" x14ac:dyDescent="0.45">
      <c r="I740" t="s">
        <v>192</v>
      </c>
      <c r="J740" t="s">
        <v>271</v>
      </c>
      <c r="K740">
        <v>3.4412019506719219E-3</v>
      </c>
      <c r="L740" t="s">
        <v>164</v>
      </c>
      <c r="N740" t="s">
        <v>228</v>
      </c>
      <c r="O740" t="s">
        <v>271</v>
      </c>
      <c r="P740">
        <v>9.4278674762730743E-3</v>
      </c>
      <c r="Q740" t="s">
        <v>164</v>
      </c>
    </row>
    <row r="741" spans="9:17" x14ac:dyDescent="0.45">
      <c r="I741" t="s">
        <v>192</v>
      </c>
      <c r="J741" t="s">
        <v>272</v>
      </c>
      <c r="K741">
        <v>0</v>
      </c>
      <c r="L741" t="s">
        <v>164</v>
      </c>
      <c r="N741" t="s">
        <v>228</v>
      </c>
      <c r="O741" t="s">
        <v>272</v>
      </c>
      <c r="P741">
        <v>8.3103363628406878E-3</v>
      </c>
      <c r="Q741" t="s">
        <v>164</v>
      </c>
    </row>
    <row r="742" spans="9:17" x14ac:dyDescent="0.45">
      <c r="I742" t="s">
        <v>192</v>
      </c>
      <c r="J742" t="s">
        <v>273</v>
      </c>
      <c r="K742">
        <v>0</v>
      </c>
      <c r="L742" t="s">
        <v>164</v>
      </c>
      <c r="N742" t="s">
        <v>228</v>
      </c>
      <c r="O742" t="s">
        <v>273</v>
      </c>
      <c r="P742">
        <v>4.3197211361619831E-3</v>
      </c>
      <c r="Q742" t="s">
        <v>164</v>
      </c>
    </row>
    <row r="743" spans="9:17" x14ac:dyDescent="0.45">
      <c r="I743" t="s">
        <v>192</v>
      </c>
      <c r="J743" t="s">
        <v>173</v>
      </c>
      <c r="K743">
        <v>6.0184366779861571E-3</v>
      </c>
      <c r="L743" t="s">
        <v>164</v>
      </c>
      <c r="N743" t="s">
        <v>228</v>
      </c>
      <c r="O743" t="s">
        <v>173</v>
      </c>
      <c r="P743">
        <v>7.2029077172586387E-2</v>
      </c>
      <c r="Q743" t="s">
        <v>164</v>
      </c>
    </row>
    <row r="744" spans="9:17" x14ac:dyDescent="0.45">
      <c r="I744" t="s">
        <v>192</v>
      </c>
      <c r="J744" t="s">
        <v>174</v>
      </c>
      <c r="K744">
        <v>0.13546068226219524</v>
      </c>
      <c r="L744" t="s">
        <v>164</v>
      </c>
      <c r="N744" t="s">
        <v>228</v>
      </c>
      <c r="O744" t="s">
        <v>174</v>
      </c>
      <c r="P744">
        <v>2.6555088268199113E-2</v>
      </c>
      <c r="Q744" t="s">
        <v>164</v>
      </c>
    </row>
    <row r="745" spans="9:17" x14ac:dyDescent="0.45">
      <c r="I745" t="s">
        <v>192</v>
      </c>
      <c r="J745" t="s">
        <v>175</v>
      </c>
      <c r="K745">
        <v>9.3197968778647063E-3</v>
      </c>
      <c r="L745" t="s">
        <v>164</v>
      </c>
      <c r="N745" t="s">
        <v>228</v>
      </c>
      <c r="O745" t="s">
        <v>175</v>
      </c>
      <c r="P745">
        <v>1.7517687272646226E-3</v>
      </c>
      <c r="Q745" t="s">
        <v>164</v>
      </c>
    </row>
    <row r="746" spans="9:17" x14ac:dyDescent="0.45">
      <c r="I746" t="s">
        <v>192</v>
      </c>
      <c r="J746" t="s">
        <v>274</v>
      </c>
      <c r="K746">
        <v>5.5178274236810333E-3</v>
      </c>
      <c r="L746" t="s">
        <v>164</v>
      </c>
      <c r="N746" t="s">
        <v>228</v>
      </c>
      <c r="O746" t="s">
        <v>274</v>
      </c>
      <c r="P746">
        <v>1.1347139167318875E-2</v>
      </c>
      <c r="Q746" t="s">
        <v>164</v>
      </c>
    </row>
    <row r="747" spans="9:17" x14ac:dyDescent="0.45">
      <c r="I747" t="s">
        <v>192</v>
      </c>
      <c r="J747" t="s">
        <v>275</v>
      </c>
      <c r="K747">
        <v>0</v>
      </c>
      <c r="L747" t="s">
        <v>164</v>
      </c>
      <c r="N747" t="s">
        <v>228</v>
      </c>
      <c r="O747" t="s">
        <v>275</v>
      </c>
      <c r="P747">
        <v>1.4639471946410741E-2</v>
      </c>
      <c r="Q747" t="s">
        <v>164</v>
      </c>
    </row>
    <row r="748" spans="9:17" x14ac:dyDescent="0.45">
      <c r="I748" t="s">
        <v>192</v>
      </c>
      <c r="J748" t="s">
        <v>276</v>
      </c>
      <c r="K748">
        <v>0</v>
      </c>
      <c r="L748" t="s">
        <v>164</v>
      </c>
      <c r="N748" t="s">
        <v>228</v>
      </c>
      <c r="O748" t="s">
        <v>276</v>
      </c>
      <c r="P748">
        <v>8.9130989754142072E-3</v>
      </c>
      <c r="Q748" t="s">
        <v>164</v>
      </c>
    </row>
    <row r="749" spans="9:17" x14ac:dyDescent="0.45">
      <c r="I749" t="s">
        <v>192</v>
      </c>
      <c r="J749" t="s">
        <v>277</v>
      </c>
      <c r="K749">
        <v>2.4070941397019542E-3</v>
      </c>
      <c r="L749" t="s">
        <v>164</v>
      </c>
      <c r="N749" t="s">
        <v>228</v>
      </c>
      <c r="O749" t="s">
        <v>277</v>
      </c>
      <c r="P749">
        <v>3.9450482399623676E-2</v>
      </c>
      <c r="Q749" t="s">
        <v>164</v>
      </c>
    </row>
    <row r="750" spans="9:17" x14ac:dyDescent="0.45">
      <c r="I750" t="s">
        <v>192</v>
      </c>
      <c r="J750" t="s">
        <v>278</v>
      </c>
      <c r="K750">
        <v>6.1609138981586056E-2</v>
      </c>
      <c r="L750" t="s">
        <v>164</v>
      </c>
      <c r="N750" t="s">
        <v>228</v>
      </c>
      <c r="O750" t="s">
        <v>278</v>
      </c>
      <c r="P750">
        <v>2.0824587122101539E-2</v>
      </c>
      <c r="Q750" t="s">
        <v>164</v>
      </c>
    </row>
    <row r="751" spans="9:17" x14ac:dyDescent="0.45">
      <c r="I751" t="s">
        <v>192</v>
      </c>
      <c r="J751" t="s">
        <v>279</v>
      </c>
      <c r="K751">
        <v>4.2731474359893641E-3</v>
      </c>
      <c r="L751" t="s">
        <v>164</v>
      </c>
      <c r="N751" t="s">
        <v>228</v>
      </c>
      <c r="O751" t="s">
        <v>279</v>
      </c>
      <c r="P751">
        <v>9.087104164511358E-4</v>
      </c>
      <c r="Q751" t="s">
        <v>164</v>
      </c>
    </row>
    <row r="752" spans="9:17" x14ac:dyDescent="0.45">
      <c r="I752" t="s">
        <v>192</v>
      </c>
      <c r="J752" t="s">
        <v>280</v>
      </c>
      <c r="K752">
        <v>2.5595078701912089E-3</v>
      </c>
      <c r="L752" t="s">
        <v>164</v>
      </c>
      <c r="N752" t="s">
        <v>228</v>
      </c>
      <c r="O752" t="s">
        <v>280</v>
      </c>
      <c r="P752">
        <v>8.1883763380646776E-3</v>
      </c>
      <c r="Q752" t="s">
        <v>164</v>
      </c>
    </row>
    <row r="753" spans="9:17" x14ac:dyDescent="0.45">
      <c r="I753" t="s">
        <v>192</v>
      </c>
      <c r="J753" t="s">
        <v>281</v>
      </c>
      <c r="K753">
        <v>0</v>
      </c>
      <c r="L753" t="s">
        <v>164</v>
      </c>
      <c r="N753" t="s">
        <v>228</v>
      </c>
      <c r="O753" t="s">
        <v>281</v>
      </c>
      <c r="P753">
        <v>1.0723979703422336E-2</v>
      </c>
      <c r="Q753" t="s">
        <v>164</v>
      </c>
    </row>
    <row r="754" spans="9:17" x14ac:dyDescent="0.45">
      <c r="I754" t="s">
        <v>192</v>
      </c>
      <c r="J754" t="s">
        <v>282</v>
      </c>
      <c r="K754">
        <v>0</v>
      </c>
      <c r="L754" t="s">
        <v>164</v>
      </c>
      <c r="N754" t="s">
        <v>228</v>
      </c>
      <c r="O754" t="s">
        <v>282</v>
      </c>
      <c r="P754">
        <v>5.9118437962629184E-3</v>
      </c>
      <c r="Q754" t="s">
        <v>164</v>
      </c>
    </row>
    <row r="755" spans="9:17" x14ac:dyDescent="0.45">
      <c r="I755" t="s">
        <v>192</v>
      </c>
      <c r="J755" t="s">
        <v>283</v>
      </c>
      <c r="K755">
        <v>1.8876705660652562E-3</v>
      </c>
      <c r="L755" t="s">
        <v>164</v>
      </c>
      <c r="N755" t="s">
        <v>228</v>
      </c>
      <c r="O755" t="s">
        <v>283</v>
      </c>
      <c r="P755">
        <v>2.055211097179465E-2</v>
      </c>
      <c r="Q755" t="s">
        <v>164</v>
      </c>
    </row>
    <row r="756" spans="9:17" x14ac:dyDescent="0.45">
      <c r="I756" t="s">
        <v>192</v>
      </c>
      <c r="J756" t="s">
        <v>284</v>
      </c>
      <c r="K756">
        <v>5.1115971880498018E-2</v>
      </c>
      <c r="L756" t="s">
        <v>164</v>
      </c>
      <c r="N756" t="s">
        <v>228</v>
      </c>
      <c r="O756" t="s">
        <v>284</v>
      </c>
      <c r="P756">
        <v>1.2262461453194007E-2</v>
      </c>
      <c r="Q756" t="s">
        <v>164</v>
      </c>
    </row>
    <row r="757" spans="9:17" x14ac:dyDescent="0.45">
      <c r="I757" t="s">
        <v>192</v>
      </c>
      <c r="J757" t="s">
        <v>285</v>
      </c>
      <c r="K757">
        <v>3.5121710145457155E-3</v>
      </c>
      <c r="L757" t="s">
        <v>164</v>
      </c>
      <c r="N757" t="s">
        <v>228</v>
      </c>
      <c r="O757" t="s">
        <v>285</v>
      </c>
      <c r="P757">
        <v>5.9789080214756876E-4</v>
      </c>
      <c r="Q757" t="s">
        <v>164</v>
      </c>
    </row>
    <row r="758" spans="9:17" x14ac:dyDescent="0.45">
      <c r="I758" t="s">
        <v>192</v>
      </c>
      <c r="J758" t="s">
        <v>286</v>
      </c>
      <c r="K758">
        <v>1.8656391337863629E-3</v>
      </c>
      <c r="L758" t="s">
        <v>164</v>
      </c>
      <c r="N758" t="s">
        <v>228</v>
      </c>
      <c r="O758" t="s">
        <v>286</v>
      </c>
      <c r="P758">
        <v>4.1984852023078259E-3</v>
      </c>
      <c r="Q758" t="s">
        <v>164</v>
      </c>
    </row>
    <row r="759" spans="9:17" x14ac:dyDescent="0.45">
      <c r="I759" t="s">
        <v>192</v>
      </c>
      <c r="J759" t="s">
        <v>287</v>
      </c>
      <c r="K759">
        <v>0</v>
      </c>
      <c r="L759" t="s">
        <v>164</v>
      </c>
      <c r="N759" t="s">
        <v>228</v>
      </c>
      <c r="O759" t="s">
        <v>287</v>
      </c>
      <c r="P759">
        <v>3.9461184871488458E-3</v>
      </c>
      <c r="Q759" t="s">
        <v>164</v>
      </c>
    </row>
    <row r="760" spans="9:17" x14ac:dyDescent="0.45">
      <c r="I760" t="s">
        <v>192</v>
      </c>
      <c r="J760" t="s">
        <v>288</v>
      </c>
      <c r="K760">
        <v>0</v>
      </c>
      <c r="L760" t="s">
        <v>164</v>
      </c>
      <c r="N760" t="s">
        <v>228</v>
      </c>
      <c r="O760" t="s">
        <v>288</v>
      </c>
      <c r="P760">
        <v>2.32437397896243E-3</v>
      </c>
      <c r="Q760" t="s">
        <v>164</v>
      </c>
    </row>
    <row r="761" spans="9:17" x14ac:dyDescent="0.45">
      <c r="I761" t="s">
        <v>192</v>
      </c>
      <c r="J761" t="s">
        <v>289</v>
      </c>
      <c r="K761">
        <v>1.2983397779430417E-2</v>
      </c>
      <c r="L761" t="s">
        <v>164</v>
      </c>
      <c r="N761" t="s">
        <v>228</v>
      </c>
      <c r="O761" t="s">
        <v>289</v>
      </c>
      <c r="P761">
        <v>0.15068926231022606</v>
      </c>
      <c r="Q761" t="s">
        <v>164</v>
      </c>
    </row>
    <row r="762" spans="9:17" x14ac:dyDescent="0.45">
      <c r="I762" t="s">
        <v>192</v>
      </c>
      <c r="J762" t="s">
        <v>290</v>
      </c>
      <c r="K762">
        <v>0.30796838055561787</v>
      </c>
      <c r="L762" t="s">
        <v>164</v>
      </c>
      <c r="N762" t="s">
        <v>228</v>
      </c>
      <c r="O762" t="s">
        <v>290</v>
      </c>
      <c r="P762">
        <v>6.6166089840990747E-2</v>
      </c>
      <c r="Q762" t="s">
        <v>164</v>
      </c>
    </row>
    <row r="763" spans="9:17" x14ac:dyDescent="0.45">
      <c r="I763" t="s">
        <v>192</v>
      </c>
      <c r="J763" t="s">
        <v>291</v>
      </c>
      <c r="K763">
        <v>2.2737374796890471E-2</v>
      </c>
      <c r="L763" t="s">
        <v>164</v>
      </c>
      <c r="N763" t="s">
        <v>228</v>
      </c>
      <c r="O763" t="s">
        <v>291</v>
      </c>
      <c r="P763">
        <v>7.9766562802913287E-3</v>
      </c>
      <c r="Q763" t="s">
        <v>164</v>
      </c>
    </row>
    <row r="764" spans="9:17" x14ac:dyDescent="0.45">
      <c r="I764" t="s">
        <v>192</v>
      </c>
      <c r="J764" t="s">
        <v>292</v>
      </c>
      <c r="K764">
        <v>1.2263268682446864E-2</v>
      </c>
      <c r="L764" t="s">
        <v>164</v>
      </c>
      <c r="N764" t="s">
        <v>228</v>
      </c>
      <c r="O764" t="s">
        <v>292</v>
      </c>
      <c r="P764">
        <v>4.737695777792901E-2</v>
      </c>
      <c r="Q764" t="s">
        <v>164</v>
      </c>
    </row>
    <row r="765" spans="9:17" x14ac:dyDescent="0.45">
      <c r="I765" t="s">
        <v>192</v>
      </c>
      <c r="J765" t="s">
        <v>293</v>
      </c>
      <c r="K765">
        <v>0</v>
      </c>
      <c r="L765" t="s">
        <v>164</v>
      </c>
      <c r="N765" t="s">
        <v>228</v>
      </c>
      <c r="O765" t="s">
        <v>293</v>
      </c>
      <c r="P765">
        <v>4.1377533529509646E-2</v>
      </c>
      <c r="Q765" t="s">
        <v>164</v>
      </c>
    </row>
    <row r="766" spans="9:17" x14ac:dyDescent="0.45">
      <c r="I766" t="s">
        <v>192</v>
      </c>
      <c r="J766" t="s">
        <v>294</v>
      </c>
      <c r="K766">
        <v>0</v>
      </c>
      <c r="L766" t="s">
        <v>164</v>
      </c>
      <c r="N766" t="s">
        <v>228</v>
      </c>
      <c r="O766" t="s">
        <v>294</v>
      </c>
      <c r="P766">
        <v>2.2039010782842653E-2</v>
      </c>
      <c r="Q766" t="s">
        <v>164</v>
      </c>
    </row>
    <row r="767" spans="9:17" x14ac:dyDescent="0.45">
      <c r="I767" t="s">
        <v>193</v>
      </c>
      <c r="J767" t="s">
        <v>163</v>
      </c>
      <c r="K767">
        <v>1.2216370425020004E-2</v>
      </c>
      <c r="L767" t="s">
        <v>164</v>
      </c>
      <c r="N767" t="s">
        <v>229</v>
      </c>
      <c r="O767" t="s">
        <v>163</v>
      </c>
      <c r="P767">
        <v>9.3717763371453752E-2</v>
      </c>
      <c r="Q767" t="s">
        <v>164</v>
      </c>
    </row>
    <row r="768" spans="9:17" x14ac:dyDescent="0.45">
      <c r="I768" t="s">
        <v>193</v>
      </c>
      <c r="J768" t="s">
        <v>165</v>
      </c>
      <c r="K768">
        <v>0.19384128214138616</v>
      </c>
      <c r="L768" t="s">
        <v>164</v>
      </c>
      <c r="N768" t="s">
        <v>229</v>
      </c>
      <c r="O768" t="s">
        <v>165</v>
      </c>
      <c r="P768">
        <v>4.8293341333234194E-2</v>
      </c>
      <c r="Q768" t="s">
        <v>164</v>
      </c>
    </row>
    <row r="769" spans="9:17" x14ac:dyDescent="0.45">
      <c r="I769" t="s">
        <v>193</v>
      </c>
      <c r="J769" t="s">
        <v>166</v>
      </c>
      <c r="K769">
        <v>1.0217733194321279E-2</v>
      </c>
      <c r="L769" t="s">
        <v>164</v>
      </c>
      <c r="N769" t="s">
        <v>229</v>
      </c>
      <c r="O769" t="s">
        <v>166</v>
      </c>
      <c r="P769">
        <v>5.1044557960674749E-3</v>
      </c>
      <c r="Q769" t="s">
        <v>164</v>
      </c>
    </row>
    <row r="770" spans="9:17" x14ac:dyDescent="0.45">
      <c r="I770" t="s">
        <v>193</v>
      </c>
      <c r="J770" t="s">
        <v>265</v>
      </c>
      <c r="K770">
        <v>0</v>
      </c>
      <c r="L770" t="s">
        <v>164</v>
      </c>
      <c r="N770" t="s">
        <v>229</v>
      </c>
      <c r="O770" t="s">
        <v>265</v>
      </c>
      <c r="P770">
        <v>2.9320873806257541E-2</v>
      </c>
      <c r="Q770" t="s">
        <v>164</v>
      </c>
    </row>
    <row r="771" spans="9:17" x14ac:dyDescent="0.45">
      <c r="I771" t="s">
        <v>193</v>
      </c>
      <c r="J771" t="s">
        <v>266</v>
      </c>
      <c r="K771">
        <v>0</v>
      </c>
      <c r="L771" t="s">
        <v>164</v>
      </c>
      <c r="N771" t="s">
        <v>229</v>
      </c>
      <c r="O771" t="s">
        <v>266</v>
      </c>
      <c r="P771">
        <v>2.9694524326387001E-2</v>
      </c>
      <c r="Q771" t="s">
        <v>164</v>
      </c>
    </row>
    <row r="772" spans="9:17" x14ac:dyDescent="0.45">
      <c r="I772" t="s">
        <v>193</v>
      </c>
      <c r="J772" t="s">
        <v>267</v>
      </c>
      <c r="K772">
        <v>0</v>
      </c>
      <c r="L772" t="s">
        <v>164</v>
      </c>
      <c r="N772" t="s">
        <v>229</v>
      </c>
      <c r="O772" t="s">
        <v>267</v>
      </c>
      <c r="P772">
        <v>1.4829327274691981E-2</v>
      </c>
      <c r="Q772" t="s">
        <v>164</v>
      </c>
    </row>
    <row r="773" spans="9:17" x14ac:dyDescent="0.45">
      <c r="I773" t="s">
        <v>193</v>
      </c>
      <c r="J773" t="s">
        <v>167</v>
      </c>
      <c r="K773">
        <v>5.6435825294831625E-3</v>
      </c>
      <c r="L773" t="s">
        <v>164</v>
      </c>
      <c r="N773" t="s">
        <v>229</v>
      </c>
      <c r="O773" t="s">
        <v>167</v>
      </c>
      <c r="P773">
        <v>5.0601684975352772E-2</v>
      </c>
      <c r="Q773" t="s">
        <v>164</v>
      </c>
    </row>
    <row r="774" spans="9:17" x14ac:dyDescent="0.45">
      <c r="I774" t="s">
        <v>193</v>
      </c>
      <c r="J774" t="s">
        <v>168</v>
      </c>
      <c r="K774">
        <v>8.1988888441061392E-2</v>
      </c>
      <c r="L774" t="s">
        <v>164</v>
      </c>
      <c r="N774" t="s">
        <v>229</v>
      </c>
      <c r="O774" t="s">
        <v>168</v>
      </c>
      <c r="P774">
        <v>2.5851616647710983E-2</v>
      </c>
      <c r="Q774" t="s">
        <v>164</v>
      </c>
    </row>
    <row r="775" spans="9:17" x14ac:dyDescent="0.45">
      <c r="I775" t="s">
        <v>193</v>
      </c>
      <c r="J775" t="s">
        <v>169</v>
      </c>
      <c r="K775">
        <v>2.7361068187199684E-3</v>
      </c>
      <c r="L775" t="s">
        <v>164</v>
      </c>
      <c r="N775" t="s">
        <v>229</v>
      </c>
      <c r="O775" t="s">
        <v>169</v>
      </c>
      <c r="P775">
        <v>2.0470522987739693E-3</v>
      </c>
      <c r="Q775" t="s">
        <v>164</v>
      </c>
    </row>
    <row r="776" spans="9:17" x14ac:dyDescent="0.45">
      <c r="I776" t="s">
        <v>193</v>
      </c>
      <c r="J776" t="s">
        <v>268</v>
      </c>
      <c r="K776">
        <v>0</v>
      </c>
      <c r="L776" t="s">
        <v>164</v>
      </c>
      <c r="N776" t="s">
        <v>229</v>
      </c>
      <c r="O776" t="s">
        <v>268</v>
      </c>
      <c r="P776">
        <v>1.1328847896287454E-2</v>
      </c>
      <c r="Q776" t="s">
        <v>164</v>
      </c>
    </row>
    <row r="777" spans="9:17" x14ac:dyDescent="0.45">
      <c r="I777" t="s">
        <v>193</v>
      </c>
      <c r="J777" t="s">
        <v>269</v>
      </c>
      <c r="K777">
        <v>0</v>
      </c>
      <c r="L777" t="s">
        <v>164</v>
      </c>
      <c r="N777" t="s">
        <v>229</v>
      </c>
      <c r="O777" t="s">
        <v>269</v>
      </c>
      <c r="P777">
        <v>1.295605967342218E-2</v>
      </c>
      <c r="Q777" t="s">
        <v>164</v>
      </c>
    </row>
    <row r="778" spans="9:17" x14ac:dyDescent="0.45">
      <c r="I778" t="s">
        <v>193</v>
      </c>
      <c r="J778" t="s">
        <v>270</v>
      </c>
      <c r="K778">
        <v>0</v>
      </c>
      <c r="L778" t="s">
        <v>164</v>
      </c>
      <c r="N778" t="s">
        <v>229</v>
      </c>
      <c r="O778" t="s">
        <v>270</v>
      </c>
      <c r="P778">
        <v>7.435848630350855E-3</v>
      </c>
      <c r="Q778" t="s">
        <v>164</v>
      </c>
    </row>
    <row r="779" spans="9:17" x14ac:dyDescent="0.45">
      <c r="I779" t="s">
        <v>193</v>
      </c>
      <c r="J779" t="s">
        <v>170</v>
      </c>
      <c r="K779">
        <v>6.4729811886352663E-3</v>
      </c>
      <c r="L779" t="s">
        <v>164</v>
      </c>
      <c r="N779" t="s">
        <v>229</v>
      </c>
      <c r="O779" t="s">
        <v>170</v>
      </c>
      <c r="P779">
        <v>3.8883347439759311E-2</v>
      </c>
      <c r="Q779" t="s">
        <v>164</v>
      </c>
    </row>
    <row r="780" spans="9:17" x14ac:dyDescent="0.45">
      <c r="I780" t="s">
        <v>193</v>
      </c>
      <c r="J780" t="s">
        <v>171</v>
      </c>
      <c r="K780">
        <v>6.8290895804522203E-2</v>
      </c>
      <c r="L780" t="s">
        <v>164</v>
      </c>
      <c r="N780" t="s">
        <v>229</v>
      </c>
      <c r="O780" t="s">
        <v>171</v>
      </c>
      <c r="P780">
        <v>2.1180133270325696E-2</v>
      </c>
      <c r="Q780" t="s">
        <v>164</v>
      </c>
    </row>
    <row r="781" spans="9:17" x14ac:dyDescent="0.45">
      <c r="I781" t="s">
        <v>193</v>
      </c>
      <c r="J781" t="s">
        <v>172</v>
      </c>
      <c r="K781">
        <v>1.917798443235425E-3</v>
      </c>
      <c r="L781" t="s">
        <v>164</v>
      </c>
      <c r="N781" t="s">
        <v>229</v>
      </c>
      <c r="O781" t="s">
        <v>172</v>
      </c>
      <c r="P781">
        <v>2.0918923441909337E-3</v>
      </c>
      <c r="Q781" t="s">
        <v>164</v>
      </c>
    </row>
    <row r="782" spans="9:17" x14ac:dyDescent="0.45">
      <c r="I782" t="s">
        <v>193</v>
      </c>
      <c r="J782" t="s">
        <v>271</v>
      </c>
      <c r="K782">
        <v>0</v>
      </c>
      <c r="L782" t="s">
        <v>164</v>
      </c>
      <c r="N782" t="s">
        <v>229</v>
      </c>
      <c r="O782" t="s">
        <v>271</v>
      </c>
      <c r="P782">
        <v>1.0520234357716795E-2</v>
      </c>
      <c r="Q782" t="s">
        <v>164</v>
      </c>
    </row>
    <row r="783" spans="9:17" x14ac:dyDescent="0.45">
      <c r="I783" t="s">
        <v>193</v>
      </c>
      <c r="J783" t="s">
        <v>272</v>
      </c>
      <c r="K783">
        <v>0</v>
      </c>
      <c r="L783" t="s">
        <v>164</v>
      </c>
      <c r="N783" t="s">
        <v>229</v>
      </c>
      <c r="O783" t="s">
        <v>272</v>
      </c>
      <c r="P783">
        <v>1.0687145823943246E-2</v>
      </c>
      <c r="Q783" t="s">
        <v>164</v>
      </c>
    </row>
    <row r="784" spans="9:17" x14ac:dyDescent="0.45">
      <c r="I784" t="s">
        <v>193</v>
      </c>
      <c r="J784" t="s">
        <v>273</v>
      </c>
      <c r="K784">
        <v>0</v>
      </c>
      <c r="L784" t="s">
        <v>164</v>
      </c>
      <c r="N784" t="s">
        <v>229</v>
      </c>
      <c r="O784" t="s">
        <v>273</v>
      </c>
      <c r="P784">
        <v>6.1241220710900419E-3</v>
      </c>
      <c r="Q784" t="s">
        <v>164</v>
      </c>
    </row>
    <row r="785" spans="9:17" x14ac:dyDescent="0.45">
      <c r="I785" t="s">
        <v>193</v>
      </c>
      <c r="J785" t="s">
        <v>173</v>
      </c>
      <c r="K785">
        <v>1.1357360664897303E-2</v>
      </c>
      <c r="L785" t="s">
        <v>164</v>
      </c>
      <c r="N785" t="s">
        <v>229</v>
      </c>
      <c r="O785" t="s">
        <v>173</v>
      </c>
      <c r="P785">
        <v>6.619266974365548E-2</v>
      </c>
      <c r="Q785" t="s">
        <v>164</v>
      </c>
    </row>
    <row r="786" spans="9:17" x14ac:dyDescent="0.45">
      <c r="I786" t="s">
        <v>193</v>
      </c>
      <c r="J786" t="s">
        <v>174</v>
      </c>
      <c r="K786">
        <v>0.12529603713221524</v>
      </c>
      <c r="L786" t="s">
        <v>164</v>
      </c>
      <c r="N786" t="s">
        <v>229</v>
      </c>
      <c r="O786" t="s">
        <v>174</v>
      </c>
      <c r="P786">
        <v>3.673864360631178E-2</v>
      </c>
      <c r="Q786" t="s">
        <v>164</v>
      </c>
    </row>
    <row r="787" spans="9:17" x14ac:dyDescent="0.45">
      <c r="I787" t="s">
        <v>193</v>
      </c>
      <c r="J787" t="s">
        <v>175</v>
      </c>
      <c r="K787">
        <v>2.5461497210989715E-3</v>
      </c>
      <c r="L787" t="s">
        <v>164</v>
      </c>
      <c r="N787" t="s">
        <v>229</v>
      </c>
      <c r="O787" t="s">
        <v>175</v>
      </c>
      <c r="P787">
        <v>1.5508590100346293E-3</v>
      </c>
      <c r="Q787" t="s">
        <v>164</v>
      </c>
    </row>
    <row r="788" spans="9:17" x14ac:dyDescent="0.45">
      <c r="I788" t="s">
        <v>193</v>
      </c>
      <c r="J788" t="s">
        <v>274</v>
      </c>
      <c r="K788">
        <v>4.4765815155737794E-5</v>
      </c>
      <c r="L788" t="s">
        <v>164</v>
      </c>
      <c r="N788" t="s">
        <v>229</v>
      </c>
      <c r="O788" t="s">
        <v>274</v>
      </c>
      <c r="P788">
        <v>8.6680022981019435E-3</v>
      </c>
      <c r="Q788" t="s">
        <v>164</v>
      </c>
    </row>
    <row r="789" spans="9:17" x14ac:dyDescent="0.45">
      <c r="I789" t="s">
        <v>193</v>
      </c>
      <c r="J789" t="s">
        <v>275</v>
      </c>
      <c r="K789">
        <v>0</v>
      </c>
      <c r="L789" t="s">
        <v>164</v>
      </c>
      <c r="N789" t="s">
        <v>229</v>
      </c>
      <c r="O789" t="s">
        <v>275</v>
      </c>
      <c r="P789">
        <v>1.0241259956837436E-2</v>
      </c>
      <c r="Q789" t="s">
        <v>164</v>
      </c>
    </row>
    <row r="790" spans="9:17" x14ac:dyDescent="0.45">
      <c r="I790" t="s">
        <v>193</v>
      </c>
      <c r="J790" t="s">
        <v>276</v>
      </c>
      <c r="K790">
        <v>0</v>
      </c>
      <c r="L790" t="s">
        <v>164</v>
      </c>
      <c r="N790" t="s">
        <v>229</v>
      </c>
      <c r="O790" t="s">
        <v>276</v>
      </c>
      <c r="P790">
        <v>6.255390458456361E-3</v>
      </c>
      <c r="Q790" t="s">
        <v>164</v>
      </c>
    </row>
    <row r="791" spans="9:17" x14ac:dyDescent="0.45">
      <c r="I791" t="s">
        <v>193</v>
      </c>
      <c r="J791" t="s">
        <v>277</v>
      </c>
      <c r="K791">
        <v>4.3786980647910652E-3</v>
      </c>
      <c r="L791" t="s">
        <v>164</v>
      </c>
      <c r="N791" t="s">
        <v>229</v>
      </c>
      <c r="O791" t="s">
        <v>277</v>
      </c>
      <c r="P791">
        <v>4.6067808601786414E-2</v>
      </c>
      <c r="Q791" t="s">
        <v>164</v>
      </c>
    </row>
    <row r="792" spans="9:17" x14ac:dyDescent="0.45">
      <c r="I792" t="s">
        <v>193</v>
      </c>
      <c r="J792" t="s">
        <v>278</v>
      </c>
      <c r="K792">
        <v>6.0048574898007738E-2</v>
      </c>
      <c r="L792" t="s">
        <v>164</v>
      </c>
      <c r="N792" t="s">
        <v>229</v>
      </c>
      <c r="O792" t="s">
        <v>278</v>
      </c>
      <c r="P792">
        <v>2.6819451248897227E-2</v>
      </c>
      <c r="Q792" t="s">
        <v>164</v>
      </c>
    </row>
    <row r="793" spans="9:17" x14ac:dyDescent="0.45">
      <c r="I793" t="s">
        <v>193</v>
      </c>
      <c r="J793" t="s">
        <v>279</v>
      </c>
      <c r="K793">
        <v>1.8269200246006545E-3</v>
      </c>
      <c r="L793" t="s">
        <v>164</v>
      </c>
      <c r="N793" t="s">
        <v>229</v>
      </c>
      <c r="O793" t="s">
        <v>279</v>
      </c>
      <c r="P793">
        <v>1.232734329496878E-3</v>
      </c>
      <c r="Q793" t="s">
        <v>164</v>
      </c>
    </row>
    <row r="794" spans="9:17" x14ac:dyDescent="0.45">
      <c r="I794" t="s">
        <v>193</v>
      </c>
      <c r="J794" t="s">
        <v>280</v>
      </c>
      <c r="K794">
        <v>4.3441116021598235E-4</v>
      </c>
      <c r="L794" t="s">
        <v>164</v>
      </c>
      <c r="N794" t="s">
        <v>229</v>
      </c>
      <c r="O794" t="s">
        <v>280</v>
      </c>
      <c r="P794">
        <v>5.6941120906779802E-3</v>
      </c>
      <c r="Q794" t="s">
        <v>164</v>
      </c>
    </row>
    <row r="795" spans="9:17" x14ac:dyDescent="0.45">
      <c r="I795" t="s">
        <v>193</v>
      </c>
      <c r="J795" t="s">
        <v>281</v>
      </c>
      <c r="K795">
        <v>0</v>
      </c>
      <c r="L795" t="s">
        <v>164</v>
      </c>
      <c r="N795" t="s">
        <v>229</v>
      </c>
      <c r="O795" t="s">
        <v>281</v>
      </c>
      <c r="P795">
        <v>7.4019227285528847E-3</v>
      </c>
      <c r="Q795" t="s">
        <v>164</v>
      </c>
    </row>
    <row r="796" spans="9:17" x14ac:dyDescent="0.45">
      <c r="I796" t="s">
        <v>193</v>
      </c>
      <c r="J796" t="s">
        <v>282</v>
      </c>
      <c r="K796">
        <v>0</v>
      </c>
      <c r="L796" t="s">
        <v>164</v>
      </c>
      <c r="N796" t="s">
        <v>229</v>
      </c>
      <c r="O796" t="s">
        <v>282</v>
      </c>
      <c r="P796">
        <v>4.9981470732358702E-3</v>
      </c>
      <c r="Q796" t="s">
        <v>164</v>
      </c>
    </row>
    <row r="797" spans="9:17" x14ac:dyDescent="0.45">
      <c r="I797" t="s">
        <v>193</v>
      </c>
      <c r="J797" t="s">
        <v>283</v>
      </c>
      <c r="K797">
        <v>3.6541846356361769E-3</v>
      </c>
      <c r="L797" t="s">
        <v>164</v>
      </c>
      <c r="N797" t="s">
        <v>229</v>
      </c>
      <c r="O797" t="s">
        <v>283</v>
      </c>
      <c r="P797">
        <v>1.9393337145151544E-2</v>
      </c>
      <c r="Q797" t="s">
        <v>164</v>
      </c>
    </row>
    <row r="798" spans="9:17" x14ac:dyDescent="0.45">
      <c r="I798" t="s">
        <v>193</v>
      </c>
      <c r="J798" t="s">
        <v>284</v>
      </c>
      <c r="K798">
        <v>5.4629571029084334E-2</v>
      </c>
      <c r="L798" t="s">
        <v>164</v>
      </c>
      <c r="N798" t="s">
        <v>229</v>
      </c>
      <c r="O798" t="s">
        <v>284</v>
      </c>
      <c r="P798">
        <v>1.3002274306506682E-2</v>
      </c>
      <c r="Q798" t="s">
        <v>164</v>
      </c>
    </row>
    <row r="799" spans="9:17" x14ac:dyDescent="0.45">
      <c r="I799" t="s">
        <v>193</v>
      </c>
      <c r="J799" t="s">
        <v>285</v>
      </c>
      <c r="K799">
        <v>1.5535267688848216E-3</v>
      </c>
      <c r="L799" t="s">
        <v>164</v>
      </c>
      <c r="N799" t="s">
        <v>229</v>
      </c>
      <c r="O799" t="s">
        <v>285</v>
      </c>
      <c r="P799">
        <v>7.4557873677106765E-4</v>
      </c>
      <c r="Q799" t="s">
        <v>164</v>
      </c>
    </row>
    <row r="800" spans="9:17" x14ac:dyDescent="0.45">
      <c r="I800" t="s">
        <v>193</v>
      </c>
      <c r="J800" t="s">
        <v>286</v>
      </c>
      <c r="K800">
        <v>6.0121797826735879E-5</v>
      </c>
      <c r="L800" t="s">
        <v>164</v>
      </c>
      <c r="N800" t="s">
        <v>229</v>
      </c>
      <c r="O800" t="s">
        <v>286</v>
      </c>
      <c r="P800">
        <v>2.8409274303189047E-3</v>
      </c>
      <c r="Q800" t="s">
        <v>164</v>
      </c>
    </row>
    <row r="801" spans="9:17" x14ac:dyDescent="0.45">
      <c r="I801" t="s">
        <v>193</v>
      </c>
      <c r="J801" t="s">
        <v>287</v>
      </c>
      <c r="K801">
        <v>0</v>
      </c>
      <c r="L801" t="s">
        <v>164</v>
      </c>
      <c r="N801" t="s">
        <v>229</v>
      </c>
      <c r="O801" t="s">
        <v>287</v>
      </c>
      <c r="P801">
        <v>3.2999243139752487E-3</v>
      </c>
      <c r="Q801" t="s">
        <v>164</v>
      </c>
    </row>
    <row r="802" spans="9:17" x14ac:dyDescent="0.45">
      <c r="I802" t="s">
        <v>193</v>
      </c>
      <c r="J802" t="s">
        <v>288</v>
      </c>
      <c r="K802">
        <v>0</v>
      </c>
      <c r="L802" t="s">
        <v>164</v>
      </c>
      <c r="N802" t="s">
        <v>229</v>
      </c>
      <c r="O802" t="s">
        <v>288</v>
      </c>
      <c r="P802">
        <v>1.8755128434156765E-3</v>
      </c>
      <c r="Q802" t="s">
        <v>164</v>
      </c>
    </row>
    <row r="803" spans="9:17" x14ac:dyDescent="0.45">
      <c r="I803" t="s">
        <v>193</v>
      </c>
      <c r="J803" t="s">
        <v>289</v>
      </c>
      <c r="K803">
        <v>3.2746494846656253E-2</v>
      </c>
      <c r="L803" t="s">
        <v>164</v>
      </c>
      <c r="N803" t="s">
        <v>229</v>
      </c>
      <c r="O803" t="s">
        <v>289</v>
      </c>
      <c r="P803">
        <v>0.147622276442645</v>
      </c>
      <c r="Q803" t="s">
        <v>164</v>
      </c>
    </row>
    <row r="804" spans="9:17" x14ac:dyDescent="0.45">
      <c r="I804" t="s">
        <v>193</v>
      </c>
      <c r="J804" t="s">
        <v>290</v>
      </c>
      <c r="K804">
        <v>0.30852197027542883</v>
      </c>
      <c r="L804" t="s">
        <v>164</v>
      </c>
      <c r="N804" t="s">
        <v>229</v>
      </c>
      <c r="O804" t="s">
        <v>290</v>
      </c>
      <c r="P804">
        <v>6.6790040785979235E-2</v>
      </c>
      <c r="Q804" t="s">
        <v>164</v>
      </c>
    </row>
    <row r="805" spans="9:17" x14ac:dyDescent="0.45">
      <c r="I805" t="s">
        <v>193</v>
      </c>
      <c r="J805" t="s">
        <v>291</v>
      </c>
      <c r="K805">
        <v>9.5755741791142858E-3</v>
      </c>
      <c r="L805" t="s">
        <v>164</v>
      </c>
      <c r="N805" t="s">
        <v>229</v>
      </c>
      <c r="O805" t="s">
        <v>291</v>
      </c>
      <c r="P805">
        <v>5.2945325532325564E-3</v>
      </c>
      <c r="Q805" t="s">
        <v>164</v>
      </c>
    </row>
    <row r="806" spans="9:17" x14ac:dyDescent="0.45">
      <c r="I806" t="s">
        <v>193</v>
      </c>
      <c r="J806" t="s">
        <v>292</v>
      </c>
      <c r="K806">
        <v>0</v>
      </c>
      <c r="L806" t="s">
        <v>164</v>
      </c>
      <c r="N806" t="s">
        <v>229</v>
      </c>
      <c r="O806" t="s">
        <v>292</v>
      </c>
      <c r="P806">
        <v>3.5619975441139852E-2</v>
      </c>
      <c r="Q806" t="s">
        <v>164</v>
      </c>
    </row>
    <row r="807" spans="9:17" x14ac:dyDescent="0.45">
      <c r="I807" t="s">
        <v>193</v>
      </c>
      <c r="J807" t="s">
        <v>293</v>
      </c>
      <c r="K807">
        <v>0</v>
      </c>
      <c r="L807" t="s">
        <v>164</v>
      </c>
      <c r="N807" t="s">
        <v>229</v>
      </c>
      <c r="O807" t="s">
        <v>293</v>
      </c>
      <c r="P807">
        <v>3.9174053282787558E-2</v>
      </c>
      <c r="Q807" t="s">
        <v>164</v>
      </c>
    </row>
    <row r="808" spans="9:17" x14ac:dyDescent="0.45">
      <c r="I808" t="s">
        <v>193</v>
      </c>
      <c r="J808" t="s">
        <v>294</v>
      </c>
      <c r="K808">
        <v>0</v>
      </c>
      <c r="L808" t="s">
        <v>164</v>
      </c>
      <c r="N808" t="s">
        <v>229</v>
      </c>
      <c r="O808" t="s">
        <v>294</v>
      </c>
      <c r="P808">
        <v>2.181229423501661E-2</v>
      </c>
      <c r="Q808" t="s">
        <v>164</v>
      </c>
    </row>
    <row r="809" spans="9:17" x14ac:dyDescent="0.45">
      <c r="I809" t="s">
        <v>194</v>
      </c>
      <c r="J809" t="s">
        <v>163</v>
      </c>
      <c r="K809">
        <v>1.0720403610901902E-2</v>
      </c>
      <c r="L809" t="s">
        <v>164</v>
      </c>
      <c r="N809" t="s">
        <v>230</v>
      </c>
      <c r="O809" t="s">
        <v>163</v>
      </c>
      <c r="P809">
        <v>0.12296832738869437</v>
      </c>
      <c r="Q809" t="s">
        <v>164</v>
      </c>
    </row>
    <row r="810" spans="9:17" x14ac:dyDescent="0.45">
      <c r="I810" t="s">
        <v>194</v>
      </c>
      <c r="J810" t="s">
        <v>165</v>
      </c>
      <c r="K810">
        <v>0.18462537451414934</v>
      </c>
      <c r="L810" t="s">
        <v>164</v>
      </c>
      <c r="N810" t="s">
        <v>230</v>
      </c>
      <c r="O810" t="s">
        <v>165</v>
      </c>
      <c r="P810">
        <v>3.4867696780961598E-2</v>
      </c>
      <c r="Q810" t="s">
        <v>164</v>
      </c>
    </row>
    <row r="811" spans="9:17" x14ac:dyDescent="0.45">
      <c r="I811" t="s">
        <v>194</v>
      </c>
      <c r="J811" t="s">
        <v>166</v>
      </c>
      <c r="K811">
        <v>1.0401250726374737E-2</v>
      </c>
      <c r="L811" t="s">
        <v>164</v>
      </c>
      <c r="N811" t="s">
        <v>230</v>
      </c>
      <c r="O811" t="s">
        <v>166</v>
      </c>
      <c r="P811">
        <v>4.4927708948816047E-3</v>
      </c>
      <c r="Q811" t="s">
        <v>164</v>
      </c>
    </row>
    <row r="812" spans="9:17" x14ac:dyDescent="0.45">
      <c r="I812" t="s">
        <v>194</v>
      </c>
      <c r="J812" t="s">
        <v>265</v>
      </c>
      <c r="K812">
        <v>0</v>
      </c>
      <c r="L812" t="s">
        <v>164</v>
      </c>
      <c r="N812" t="s">
        <v>230</v>
      </c>
      <c r="O812" t="s">
        <v>265</v>
      </c>
      <c r="P812">
        <v>3.2003724091776181E-2</v>
      </c>
      <c r="Q812" t="s">
        <v>164</v>
      </c>
    </row>
    <row r="813" spans="9:17" x14ac:dyDescent="0.45">
      <c r="I813" t="s">
        <v>194</v>
      </c>
      <c r="J813" t="s">
        <v>266</v>
      </c>
      <c r="K813">
        <v>0</v>
      </c>
      <c r="L813" t="s">
        <v>164</v>
      </c>
      <c r="N813" t="s">
        <v>230</v>
      </c>
      <c r="O813" t="s">
        <v>266</v>
      </c>
      <c r="P813">
        <v>3.2680311588395905E-2</v>
      </c>
      <c r="Q813" t="s">
        <v>164</v>
      </c>
    </row>
    <row r="814" spans="9:17" x14ac:dyDescent="0.45">
      <c r="I814" t="s">
        <v>194</v>
      </c>
      <c r="J814" t="s">
        <v>267</v>
      </c>
      <c r="K814">
        <v>0</v>
      </c>
      <c r="L814" t="s">
        <v>164</v>
      </c>
      <c r="N814" t="s">
        <v>230</v>
      </c>
      <c r="O814" t="s">
        <v>267</v>
      </c>
      <c r="P814">
        <v>1.7285477815150354E-2</v>
      </c>
      <c r="Q814" t="s">
        <v>164</v>
      </c>
    </row>
    <row r="815" spans="9:17" x14ac:dyDescent="0.45">
      <c r="I815" t="s">
        <v>194</v>
      </c>
      <c r="J815" t="s">
        <v>167</v>
      </c>
      <c r="K815">
        <v>5.7632512026970575E-3</v>
      </c>
      <c r="L815" t="s">
        <v>164</v>
      </c>
      <c r="N815" t="s">
        <v>230</v>
      </c>
      <c r="O815" t="s">
        <v>167</v>
      </c>
      <c r="P815">
        <v>5.1970571838106203E-2</v>
      </c>
      <c r="Q815" t="s">
        <v>164</v>
      </c>
    </row>
    <row r="816" spans="9:17" x14ac:dyDescent="0.45">
      <c r="I816" t="s">
        <v>194</v>
      </c>
      <c r="J816" t="s">
        <v>168</v>
      </c>
      <c r="K816">
        <v>8.6892911299760914E-2</v>
      </c>
      <c r="L816" t="s">
        <v>164</v>
      </c>
      <c r="N816" t="s">
        <v>230</v>
      </c>
      <c r="O816" t="s">
        <v>168</v>
      </c>
      <c r="P816">
        <v>1.6005507290557587E-2</v>
      </c>
      <c r="Q816" t="s">
        <v>164</v>
      </c>
    </row>
    <row r="817" spans="9:17" x14ac:dyDescent="0.45">
      <c r="I817" t="s">
        <v>194</v>
      </c>
      <c r="J817" t="s">
        <v>169</v>
      </c>
      <c r="K817">
        <v>4.0299913122461553E-3</v>
      </c>
      <c r="L817" t="s">
        <v>164</v>
      </c>
      <c r="N817" t="s">
        <v>230</v>
      </c>
      <c r="O817" t="s">
        <v>169</v>
      </c>
      <c r="P817">
        <v>1.5278701718576921E-3</v>
      </c>
      <c r="Q817" t="s">
        <v>164</v>
      </c>
    </row>
    <row r="818" spans="9:17" x14ac:dyDescent="0.45">
      <c r="I818" t="s">
        <v>194</v>
      </c>
      <c r="J818" t="s">
        <v>268</v>
      </c>
      <c r="K818">
        <v>0</v>
      </c>
      <c r="L818" t="s">
        <v>164</v>
      </c>
      <c r="N818" t="s">
        <v>230</v>
      </c>
      <c r="O818" t="s">
        <v>268</v>
      </c>
      <c r="P818">
        <v>8.8418058995037418E-3</v>
      </c>
      <c r="Q818" t="s">
        <v>164</v>
      </c>
    </row>
    <row r="819" spans="9:17" x14ac:dyDescent="0.45">
      <c r="I819" t="s">
        <v>194</v>
      </c>
      <c r="J819" t="s">
        <v>269</v>
      </c>
      <c r="K819">
        <v>0</v>
      </c>
      <c r="L819" t="s">
        <v>164</v>
      </c>
      <c r="N819" t="s">
        <v>230</v>
      </c>
      <c r="O819" t="s">
        <v>269</v>
      </c>
      <c r="P819">
        <v>8.9240867729913805E-3</v>
      </c>
      <c r="Q819" t="s">
        <v>164</v>
      </c>
    </row>
    <row r="820" spans="9:17" x14ac:dyDescent="0.45">
      <c r="I820" t="s">
        <v>194</v>
      </c>
      <c r="J820" t="s">
        <v>270</v>
      </c>
      <c r="K820">
        <v>0</v>
      </c>
      <c r="L820" t="s">
        <v>164</v>
      </c>
      <c r="N820" t="s">
        <v>230</v>
      </c>
      <c r="O820" t="s">
        <v>270</v>
      </c>
      <c r="P820">
        <v>5.2514034589023345E-3</v>
      </c>
      <c r="Q820" t="s">
        <v>164</v>
      </c>
    </row>
    <row r="821" spans="9:17" x14ac:dyDescent="0.45">
      <c r="I821" t="s">
        <v>194</v>
      </c>
      <c r="J821" t="s">
        <v>170</v>
      </c>
      <c r="K821">
        <v>6.6087018373003313E-3</v>
      </c>
      <c r="L821" t="s">
        <v>164</v>
      </c>
      <c r="N821" t="s">
        <v>230</v>
      </c>
      <c r="O821" t="s">
        <v>170</v>
      </c>
      <c r="P821">
        <v>3.4031838580395324E-2</v>
      </c>
      <c r="Q821" t="s">
        <v>164</v>
      </c>
    </row>
    <row r="822" spans="9:17" x14ac:dyDescent="0.45">
      <c r="I822" t="s">
        <v>194</v>
      </c>
      <c r="J822" t="s">
        <v>171</v>
      </c>
      <c r="K822">
        <v>7.3724166218987253E-2</v>
      </c>
      <c r="L822" t="s">
        <v>164</v>
      </c>
      <c r="N822" t="s">
        <v>230</v>
      </c>
      <c r="O822" t="s">
        <v>171</v>
      </c>
      <c r="P822">
        <v>1.2687936777931315E-2</v>
      </c>
      <c r="Q822" t="s">
        <v>164</v>
      </c>
    </row>
    <row r="823" spans="9:17" x14ac:dyDescent="0.45">
      <c r="I823" t="s">
        <v>194</v>
      </c>
      <c r="J823" t="s">
        <v>172</v>
      </c>
      <c r="K823">
        <v>2.9994214113819905E-3</v>
      </c>
      <c r="L823" t="s">
        <v>164</v>
      </c>
      <c r="N823" t="s">
        <v>230</v>
      </c>
      <c r="O823" t="s">
        <v>172</v>
      </c>
      <c r="P823">
        <v>1.3382601447817462E-3</v>
      </c>
      <c r="Q823" t="s">
        <v>164</v>
      </c>
    </row>
    <row r="824" spans="9:17" x14ac:dyDescent="0.45">
      <c r="I824" t="s">
        <v>194</v>
      </c>
      <c r="J824" t="s">
        <v>271</v>
      </c>
      <c r="K824">
        <v>0</v>
      </c>
      <c r="L824" t="s">
        <v>164</v>
      </c>
      <c r="N824" t="s">
        <v>230</v>
      </c>
      <c r="O824" t="s">
        <v>271</v>
      </c>
      <c r="P824">
        <v>5.9801173913191265E-3</v>
      </c>
      <c r="Q824" t="s">
        <v>164</v>
      </c>
    </row>
    <row r="825" spans="9:17" x14ac:dyDescent="0.45">
      <c r="I825" t="s">
        <v>194</v>
      </c>
      <c r="J825" t="s">
        <v>272</v>
      </c>
      <c r="K825">
        <v>0</v>
      </c>
      <c r="L825" t="s">
        <v>164</v>
      </c>
      <c r="N825" t="s">
        <v>230</v>
      </c>
      <c r="O825" t="s">
        <v>272</v>
      </c>
      <c r="P825">
        <v>6.131917530729376E-3</v>
      </c>
      <c r="Q825" t="s">
        <v>164</v>
      </c>
    </row>
    <row r="826" spans="9:17" x14ac:dyDescent="0.45">
      <c r="I826" t="s">
        <v>194</v>
      </c>
      <c r="J826" t="s">
        <v>273</v>
      </c>
      <c r="K826">
        <v>0</v>
      </c>
      <c r="L826" t="s">
        <v>164</v>
      </c>
      <c r="N826" t="s">
        <v>230</v>
      </c>
      <c r="O826" t="s">
        <v>273</v>
      </c>
      <c r="P826">
        <v>3.973600193926341E-3</v>
      </c>
      <c r="Q826" t="s">
        <v>164</v>
      </c>
    </row>
    <row r="827" spans="9:17" x14ac:dyDescent="0.45">
      <c r="I827" t="s">
        <v>194</v>
      </c>
      <c r="J827" t="s">
        <v>173</v>
      </c>
      <c r="K827">
        <v>1.0902857560742227E-2</v>
      </c>
      <c r="L827" t="s">
        <v>164</v>
      </c>
      <c r="N827" t="s">
        <v>230</v>
      </c>
      <c r="O827" t="s">
        <v>173</v>
      </c>
      <c r="P827">
        <v>9.3038835735444969E-2</v>
      </c>
      <c r="Q827" t="s">
        <v>164</v>
      </c>
    </row>
    <row r="828" spans="9:17" x14ac:dyDescent="0.45">
      <c r="I828" t="s">
        <v>194</v>
      </c>
      <c r="J828" t="s">
        <v>174</v>
      </c>
      <c r="K828">
        <v>0.12323714747718881</v>
      </c>
      <c r="L828" t="s">
        <v>164</v>
      </c>
      <c r="N828" t="s">
        <v>230</v>
      </c>
      <c r="O828" t="s">
        <v>174</v>
      </c>
      <c r="P828">
        <v>2.379996683994463E-2</v>
      </c>
      <c r="Q828" t="s">
        <v>164</v>
      </c>
    </row>
    <row r="829" spans="9:17" x14ac:dyDescent="0.45">
      <c r="I829" t="s">
        <v>194</v>
      </c>
      <c r="J829" t="s">
        <v>175</v>
      </c>
      <c r="K829">
        <v>3.880744854689594E-3</v>
      </c>
      <c r="L829" t="s">
        <v>164</v>
      </c>
      <c r="N829" t="s">
        <v>230</v>
      </c>
      <c r="O829" t="s">
        <v>175</v>
      </c>
      <c r="P829">
        <v>1.6398924947057677E-3</v>
      </c>
      <c r="Q829" t="s">
        <v>164</v>
      </c>
    </row>
    <row r="830" spans="9:17" x14ac:dyDescent="0.45">
      <c r="I830" t="s">
        <v>194</v>
      </c>
      <c r="J830" t="s">
        <v>274</v>
      </c>
      <c r="K830">
        <v>3.4253673139924E-4</v>
      </c>
      <c r="L830" t="s">
        <v>164</v>
      </c>
      <c r="N830" t="s">
        <v>230</v>
      </c>
      <c r="O830" t="s">
        <v>274</v>
      </c>
      <c r="P830">
        <v>1.6065706269397444E-2</v>
      </c>
      <c r="Q830" t="s">
        <v>164</v>
      </c>
    </row>
    <row r="831" spans="9:17" x14ac:dyDescent="0.45">
      <c r="I831" t="s">
        <v>194</v>
      </c>
      <c r="J831" t="s">
        <v>275</v>
      </c>
      <c r="K831">
        <v>0</v>
      </c>
      <c r="L831" t="s">
        <v>164</v>
      </c>
      <c r="N831" t="s">
        <v>230</v>
      </c>
      <c r="O831" t="s">
        <v>275</v>
      </c>
      <c r="P831">
        <v>2.347466501774681E-2</v>
      </c>
      <c r="Q831" t="s">
        <v>164</v>
      </c>
    </row>
    <row r="832" spans="9:17" x14ac:dyDescent="0.45">
      <c r="I832" t="s">
        <v>194</v>
      </c>
      <c r="J832" t="s">
        <v>276</v>
      </c>
      <c r="K832">
        <v>0</v>
      </c>
      <c r="L832" t="s">
        <v>164</v>
      </c>
      <c r="N832" t="s">
        <v>230</v>
      </c>
      <c r="O832" t="s">
        <v>276</v>
      </c>
      <c r="P832">
        <v>1.371800204909591E-2</v>
      </c>
      <c r="Q832" t="s">
        <v>164</v>
      </c>
    </row>
    <row r="833" spans="9:17" x14ac:dyDescent="0.45">
      <c r="I833" t="s">
        <v>194</v>
      </c>
      <c r="J833" t="s">
        <v>277</v>
      </c>
      <c r="K833">
        <v>4.1637956037061871E-3</v>
      </c>
      <c r="L833" t="s">
        <v>164</v>
      </c>
      <c r="N833" t="s">
        <v>230</v>
      </c>
      <c r="O833" t="s">
        <v>277</v>
      </c>
      <c r="P833">
        <v>3.6910363910393207E-2</v>
      </c>
      <c r="Q833" t="s">
        <v>164</v>
      </c>
    </row>
    <row r="834" spans="9:17" x14ac:dyDescent="0.45">
      <c r="I834" t="s">
        <v>194</v>
      </c>
      <c r="J834" t="s">
        <v>278</v>
      </c>
      <c r="K834">
        <v>5.8089512205439869E-2</v>
      </c>
      <c r="L834" t="s">
        <v>164</v>
      </c>
      <c r="N834" t="s">
        <v>230</v>
      </c>
      <c r="O834" t="s">
        <v>278</v>
      </c>
      <c r="P834">
        <v>1.4792027648858034E-2</v>
      </c>
      <c r="Q834" t="s">
        <v>164</v>
      </c>
    </row>
    <row r="835" spans="9:17" x14ac:dyDescent="0.45">
      <c r="I835" t="s">
        <v>194</v>
      </c>
      <c r="J835" t="s">
        <v>279</v>
      </c>
      <c r="K835">
        <v>2.4271396008990658E-3</v>
      </c>
      <c r="L835" t="s">
        <v>164</v>
      </c>
      <c r="N835" t="s">
        <v>230</v>
      </c>
      <c r="O835" t="s">
        <v>279</v>
      </c>
      <c r="P835">
        <v>6.7374122371536562E-4</v>
      </c>
      <c r="Q835" t="s">
        <v>164</v>
      </c>
    </row>
    <row r="836" spans="9:17" x14ac:dyDescent="0.45">
      <c r="I836" t="s">
        <v>194</v>
      </c>
      <c r="J836" t="s">
        <v>280</v>
      </c>
      <c r="K836">
        <v>1.1557395097276239E-3</v>
      </c>
      <c r="L836" t="s">
        <v>164</v>
      </c>
      <c r="N836" t="s">
        <v>230</v>
      </c>
      <c r="O836" t="s">
        <v>280</v>
      </c>
      <c r="P836">
        <v>8.6000849254670945E-3</v>
      </c>
      <c r="Q836" t="s">
        <v>164</v>
      </c>
    </row>
    <row r="837" spans="9:17" x14ac:dyDescent="0.45">
      <c r="I837" t="s">
        <v>194</v>
      </c>
      <c r="J837" t="s">
        <v>281</v>
      </c>
      <c r="K837">
        <v>0</v>
      </c>
      <c r="L837" t="s">
        <v>164</v>
      </c>
      <c r="N837" t="s">
        <v>230</v>
      </c>
      <c r="O837" t="s">
        <v>281</v>
      </c>
      <c r="P837">
        <v>9.2791129107071789E-3</v>
      </c>
      <c r="Q837" t="s">
        <v>164</v>
      </c>
    </row>
    <row r="838" spans="9:17" x14ac:dyDescent="0.45">
      <c r="I838" t="s">
        <v>194</v>
      </c>
      <c r="J838" t="s">
        <v>282</v>
      </c>
      <c r="K838">
        <v>0</v>
      </c>
      <c r="L838" t="s">
        <v>164</v>
      </c>
      <c r="N838" t="s">
        <v>230</v>
      </c>
      <c r="O838" t="s">
        <v>282</v>
      </c>
      <c r="P838">
        <v>5.1049182902756472E-3</v>
      </c>
      <c r="Q838" t="s">
        <v>164</v>
      </c>
    </row>
    <row r="839" spans="9:17" x14ac:dyDescent="0.45">
      <c r="I839" t="s">
        <v>194</v>
      </c>
      <c r="J839" t="s">
        <v>283</v>
      </c>
      <c r="K839">
        <v>3.1546471288237858E-3</v>
      </c>
      <c r="L839" t="s">
        <v>164</v>
      </c>
      <c r="N839" t="s">
        <v>230</v>
      </c>
      <c r="O839" t="s">
        <v>283</v>
      </c>
      <c r="P839">
        <v>1.999772481436346E-2</v>
      </c>
      <c r="Q839" t="s">
        <v>164</v>
      </c>
    </row>
    <row r="840" spans="9:17" x14ac:dyDescent="0.45">
      <c r="I840" t="s">
        <v>194</v>
      </c>
      <c r="J840" t="s">
        <v>284</v>
      </c>
      <c r="K840">
        <v>5.3400869326217855E-2</v>
      </c>
      <c r="L840" t="s">
        <v>164</v>
      </c>
      <c r="N840" t="s">
        <v>230</v>
      </c>
      <c r="O840" t="s">
        <v>284</v>
      </c>
      <c r="P840">
        <v>1.0785817012601541E-2</v>
      </c>
      <c r="Q840" t="s">
        <v>164</v>
      </c>
    </row>
    <row r="841" spans="9:17" x14ac:dyDescent="0.45">
      <c r="I841" t="s">
        <v>194</v>
      </c>
      <c r="J841" t="s">
        <v>285</v>
      </c>
      <c r="K841">
        <v>1.9354867484640428E-3</v>
      </c>
      <c r="L841" t="s">
        <v>164</v>
      </c>
      <c r="N841" t="s">
        <v>230</v>
      </c>
      <c r="O841" t="s">
        <v>285</v>
      </c>
      <c r="P841">
        <v>7.21196712098078E-4</v>
      </c>
      <c r="Q841" t="s">
        <v>164</v>
      </c>
    </row>
    <row r="842" spans="9:17" x14ac:dyDescent="0.45">
      <c r="I842" t="s">
        <v>194</v>
      </c>
      <c r="J842" t="s">
        <v>286</v>
      </c>
      <c r="K842">
        <v>2.4345634839352076E-4</v>
      </c>
      <c r="L842" t="s">
        <v>164</v>
      </c>
      <c r="N842" t="s">
        <v>230</v>
      </c>
      <c r="O842" t="s">
        <v>286</v>
      </c>
      <c r="P842">
        <v>3.4905630663990706E-3</v>
      </c>
      <c r="Q842" t="s">
        <v>164</v>
      </c>
    </row>
    <row r="843" spans="9:17" x14ac:dyDescent="0.45">
      <c r="I843" t="s">
        <v>194</v>
      </c>
      <c r="J843" t="s">
        <v>287</v>
      </c>
      <c r="K843">
        <v>0</v>
      </c>
      <c r="L843" t="s">
        <v>164</v>
      </c>
      <c r="N843" t="s">
        <v>230</v>
      </c>
      <c r="O843" t="s">
        <v>287</v>
      </c>
      <c r="P843">
        <v>3.5886021596314146E-3</v>
      </c>
      <c r="Q843" t="s">
        <v>164</v>
      </c>
    </row>
    <row r="844" spans="9:17" x14ac:dyDescent="0.45">
      <c r="I844" t="s">
        <v>194</v>
      </c>
      <c r="J844" t="s">
        <v>288</v>
      </c>
      <c r="K844">
        <v>0</v>
      </c>
      <c r="L844" t="s">
        <v>164</v>
      </c>
      <c r="N844" t="s">
        <v>230</v>
      </c>
      <c r="O844" t="s">
        <v>288</v>
      </c>
      <c r="P844">
        <v>2.024411688496965E-3</v>
      </c>
      <c r="Q844" t="s">
        <v>164</v>
      </c>
    </row>
    <row r="845" spans="9:17" x14ac:dyDescent="0.45">
      <c r="I845" t="s">
        <v>194</v>
      </c>
      <c r="J845" t="s">
        <v>289</v>
      </c>
      <c r="K845">
        <v>2.9729509566032049E-2</v>
      </c>
      <c r="L845" t="s">
        <v>164</v>
      </c>
      <c r="N845" t="s">
        <v>230</v>
      </c>
      <c r="O845" t="s">
        <v>289</v>
      </c>
      <c r="P845">
        <v>0.16089889071102292</v>
      </c>
      <c r="Q845" t="s">
        <v>164</v>
      </c>
    </row>
    <row r="846" spans="9:17" x14ac:dyDescent="0.45">
      <c r="I846" t="s">
        <v>194</v>
      </c>
      <c r="J846" t="s">
        <v>290</v>
      </c>
      <c r="K846">
        <v>0.31035309683055556</v>
      </c>
      <c r="L846" t="s">
        <v>164</v>
      </c>
      <c r="N846" t="s">
        <v>230</v>
      </c>
      <c r="O846" t="s">
        <v>290</v>
      </c>
      <c r="P846">
        <v>4.4910937971943531E-2</v>
      </c>
      <c r="Q846" t="s">
        <v>164</v>
      </c>
    </row>
    <row r="847" spans="9:17" x14ac:dyDescent="0.45">
      <c r="I847" t="s">
        <v>194</v>
      </c>
      <c r="J847" t="s">
        <v>291</v>
      </c>
      <c r="K847">
        <v>1.1217988373920639E-2</v>
      </c>
      <c r="L847" t="s">
        <v>164</v>
      </c>
      <c r="N847" t="s">
        <v>230</v>
      </c>
      <c r="O847" t="s">
        <v>291</v>
      </c>
      <c r="P847">
        <v>5.5715474233595536E-3</v>
      </c>
      <c r="Q847" t="s">
        <v>164</v>
      </c>
    </row>
    <row r="848" spans="9:17" x14ac:dyDescent="0.45">
      <c r="I848" t="s">
        <v>194</v>
      </c>
      <c r="J848" t="s">
        <v>292</v>
      </c>
      <c r="K848">
        <v>0</v>
      </c>
      <c r="L848" t="s">
        <v>164</v>
      </c>
      <c r="N848" t="s">
        <v>230</v>
      </c>
      <c r="O848" t="s">
        <v>292</v>
      </c>
      <c r="P848">
        <v>3.9408591130885871E-2</v>
      </c>
      <c r="Q848" t="s">
        <v>164</v>
      </c>
    </row>
    <row r="849" spans="9:17" x14ac:dyDescent="0.45">
      <c r="I849" t="s">
        <v>194</v>
      </c>
      <c r="J849" t="s">
        <v>293</v>
      </c>
      <c r="K849">
        <v>0</v>
      </c>
      <c r="L849" t="s">
        <v>164</v>
      </c>
      <c r="N849" t="s">
        <v>230</v>
      </c>
      <c r="O849" t="s">
        <v>293</v>
      </c>
      <c r="P849">
        <v>3.9152158122201297E-2</v>
      </c>
      <c r="Q849" t="s">
        <v>164</v>
      </c>
    </row>
    <row r="850" spans="9:17" x14ac:dyDescent="0.45">
      <c r="I850" t="s">
        <v>194</v>
      </c>
      <c r="J850" t="s">
        <v>294</v>
      </c>
      <c r="K850">
        <v>0</v>
      </c>
      <c r="L850" t="s">
        <v>164</v>
      </c>
      <c r="N850" t="s">
        <v>230</v>
      </c>
      <c r="O850" t="s">
        <v>294</v>
      </c>
      <c r="P850">
        <v>2.1389017260380859E-2</v>
      </c>
      <c r="Q850" t="s">
        <v>164</v>
      </c>
    </row>
    <row r="851" spans="9:17" x14ac:dyDescent="0.45">
      <c r="I851" t="s">
        <v>195</v>
      </c>
      <c r="J851" t="s">
        <v>163</v>
      </c>
      <c r="K851">
        <v>9.3841796909351505E-3</v>
      </c>
      <c r="L851" t="s">
        <v>164</v>
      </c>
      <c r="N851" t="s">
        <v>231</v>
      </c>
      <c r="O851" t="s">
        <v>163</v>
      </c>
      <c r="P851">
        <v>0.1222768846378198</v>
      </c>
      <c r="Q851" t="s">
        <v>164</v>
      </c>
    </row>
    <row r="852" spans="9:17" x14ac:dyDescent="0.45">
      <c r="I852" t="s">
        <v>195</v>
      </c>
      <c r="J852" t="s">
        <v>165</v>
      </c>
      <c r="K852">
        <v>0.18880850582892725</v>
      </c>
      <c r="L852" t="s">
        <v>164</v>
      </c>
      <c r="N852" t="s">
        <v>231</v>
      </c>
      <c r="O852" t="s">
        <v>165</v>
      </c>
      <c r="P852">
        <v>3.5912662175135612E-2</v>
      </c>
      <c r="Q852" t="s">
        <v>164</v>
      </c>
    </row>
    <row r="853" spans="9:17" x14ac:dyDescent="0.45">
      <c r="I853" t="s">
        <v>195</v>
      </c>
      <c r="J853" t="s">
        <v>166</v>
      </c>
      <c r="K853">
        <v>1.1507993444271881E-2</v>
      </c>
      <c r="L853" t="s">
        <v>164</v>
      </c>
      <c r="N853" t="s">
        <v>231</v>
      </c>
      <c r="O853" t="s">
        <v>166</v>
      </c>
      <c r="P853">
        <v>5.4373326654626099E-3</v>
      </c>
      <c r="Q853" t="s">
        <v>164</v>
      </c>
    </row>
    <row r="854" spans="9:17" x14ac:dyDescent="0.45">
      <c r="I854" t="s">
        <v>195</v>
      </c>
      <c r="J854" t="s">
        <v>265</v>
      </c>
      <c r="K854">
        <v>3.0437992504163527E-4</v>
      </c>
      <c r="L854" t="s">
        <v>164</v>
      </c>
      <c r="N854" t="s">
        <v>231</v>
      </c>
      <c r="O854" t="s">
        <v>265</v>
      </c>
      <c r="P854">
        <v>3.6150871763716827E-2</v>
      </c>
      <c r="Q854" t="s">
        <v>164</v>
      </c>
    </row>
    <row r="855" spans="9:17" x14ac:dyDescent="0.45">
      <c r="I855" t="s">
        <v>195</v>
      </c>
      <c r="J855" t="s">
        <v>266</v>
      </c>
      <c r="K855">
        <v>0</v>
      </c>
      <c r="L855" t="s">
        <v>164</v>
      </c>
      <c r="N855" t="s">
        <v>231</v>
      </c>
      <c r="O855" t="s">
        <v>266</v>
      </c>
      <c r="P855">
        <v>3.3830136720817271E-2</v>
      </c>
      <c r="Q855" t="s">
        <v>164</v>
      </c>
    </row>
    <row r="856" spans="9:17" x14ac:dyDescent="0.45">
      <c r="I856" t="s">
        <v>195</v>
      </c>
      <c r="J856" t="s">
        <v>267</v>
      </c>
      <c r="K856">
        <v>0</v>
      </c>
      <c r="L856" t="s">
        <v>164</v>
      </c>
      <c r="N856" t="s">
        <v>231</v>
      </c>
      <c r="O856" t="s">
        <v>267</v>
      </c>
      <c r="P856">
        <v>1.6867931892404847E-2</v>
      </c>
      <c r="Q856" t="s">
        <v>164</v>
      </c>
    </row>
    <row r="857" spans="9:17" x14ac:dyDescent="0.45">
      <c r="I857" t="s">
        <v>195</v>
      </c>
      <c r="J857" t="s">
        <v>167</v>
      </c>
      <c r="K857">
        <v>4.006518203881395E-3</v>
      </c>
      <c r="L857" t="s">
        <v>164</v>
      </c>
      <c r="N857" t="s">
        <v>231</v>
      </c>
      <c r="O857" t="s">
        <v>167</v>
      </c>
      <c r="P857">
        <v>3.8355693544047227E-2</v>
      </c>
      <c r="Q857" t="s">
        <v>164</v>
      </c>
    </row>
    <row r="858" spans="9:17" x14ac:dyDescent="0.45">
      <c r="I858" t="s">
        <v>195</v>
      </c>
      <c r="J858" t="s">
        <v>168</v>
      </c>
      <c r="K858">
        <v>8.6903844204257827E-2</v>
      </c>
      <c r="L858" t="s">
        <v>164</v>
      </c>
      <c r="N858" t="s">
        <v>231</v>
      </c>
      <c r="O858" t="s">
        <v>168</v>
      </c>
      <c r="P858">
        <v>1.2858662237641568E-2</v>
      </c>
      <c r="Q858" t="s">
        <v>164</v>
      </c>
    </row>
    <row r="859" spans="9:17" x14ac:dyDescent="0.45">
      <c r="I859" t="s">
        <v>195</v>
      </c>
      <c r="J859" t="s">
        <v>169</v>
      </c>
      <c r="K859">
        <v>5.5936065525745799E-3</v>
      </c>
      <c r="L859" t="s">
        <v>164</v>
      </c>
      <c r="N859" t="s">
        <v>231</v>
      </c>
      <c r="O859" t="s">
        <v>169</v>
      </c>
      <c r="P859">
        <v>1.7622990493216494E-3</v>
      </c>
      <c r="Q859" t="s">
        <v>164</v>
      </c>
    </row>
    <row r="860" spans="9:17" x14ac:dyDescent="0.45">
      <c r="I860" t="s">
        <v>195</v>
      </c>
      <c r="J860" t="s">
        <v>268</v>
      </c>
      <c r="K860">
        <v>6.4678298845495215E-4</v>
      </c>
      <c r="L860" t="s">
        <v>164</v>
      </c>
      <c r="N860" t="s">
        <v>231</v>
      </c>
      <c r="O860" t="s">
        <v>268</v>
      </c>
      <c r="P860">
        <v>9.461619188161019E-3</v>
      </c>
      <c r="Q860" t="s">
        <v>164</v>
      </c>
    </row>
    <row r="861" spans="9:17" x14ac:dyDescent="0.45">
      <c r="I861" t="s">
        <v>195</v>
      </c>
      <c r="J861" t="s">
        <v>269</v>
      </c>
      <c r="K861">
        <v>0</v>
      </c>
      <c r="L861" t="s">
        <v>164</v>
      </c>
      <c r="N861" t="s">
        <v>231</v>
      </c>
      <c r="O861" t="s">
        <v>269</v>
      </c>
      <c r="P861">
        <v>8.0976503225626897E-3</v>
      </c>
      <c r="Q861" t="s">
        <v>164</v>
      </c>
    </row>
    <row r="862" spans="9:17" x14ac:dyDescent="0.45">
      <c r="I862" t="s">
        <v>195</v>
      </c>
      <c r="J862" t="s">
        <v>270</v>
      </c>
      <c r="K862">
        <v>0</v>
      </c>
      <c r="L862" t="s">
        <v>164</v>
      </c>
      <c r="N862" t="s">
        <v>231</v>
      </c>
      <c r="O862" t="s">
        <v>270</v>
      </c>
      <c r="P862">
        <v>4.0575320738902611E-3</v>
      </c>
      <c r="Q862" t="s">
        <v>164</v>
      </c>
    </row>
    <row r="863" spans="9:17" x14ac:dyDescent="0.45">
      <c r="I863" t="s">
        <v>195</v>
      </c>
      <c r="J863" t="s">
        <v>170</v>
      </c>
      <c r="K863">
        <v>6.3051427826776203E-3</v>
      </c>
      <c r="L863" t="s">
        <v>164</v>
      </c>
      <c r="N863" t="s">
        <v>231</v>
      </c>
      <c r="O863" t="s">
        <v>170</v>
      </c>
      <c r="P863">
        <v>4.561479925233234E-2</v>
      </c>
      <c r="Q863" t="s">
        <v>164</v>
      </c>
    </row>
    <row r="864" spans="9:17" x14ac:dyDescent="0.45">
      <c r="I864" t="s">
        <v>195</v>
      </c>
      <c r="J864" t="s">
        <v>171</v>
      </c>
      <c r="K864">
        <v>7.175104462461003E-2</v>
      </c>
      <c r="L864" t="s">
        <v>164</v>
      </c>
      <c r="N864" t="s">
        <v>231</v>
      </c>
      <c r="O864" t="s">
        <v>171</v>
      </c>
      <c r="P864">
        <v>1.5381175319005869E-2</v>
      </c>
      <c r="Q864" t="s">
        <v>164</v>
      </c>
    </row>
    <row r="865" spans="9:17" x14ac:dyDescent="0.45">
      <c r="I865" t="s">
        <v>195</v>
      </c>
      <c r="J865" t="s">
        <v>172</v>
      </c>
      <c r="K865">
        <v>4.2737257174847009E-3</v>
      </c>
      <c r="L865" t="s">
        <v>164</v>
      </c>
      <c r="N865" t="s">
        <v>231</v>
      </c>
      <c r="O865" t="s">
        <v>172</v>
      </c>
      <c r="P865">
        <v>1.5293053266406248E-3</v>
      </c>
      <c r="Q865" t="s">
        <v>164</v>
      </c>
    </row>
    <row r="866" spans="9:17" x14ac:dyDescent="0.45">
      <c r="I866" t="s">
        <v>195</v>
      </c>
      <c r="J866" t="s">
        <v>271</v>
      </c>
      <c r="K866">
        <v>1.4143314502572366E-5</v>
      </c>
      <c r="L866" t="s">
        <v>164</v>
      </c>
      <c r="N866" t="s">
        <v>231</v>
      </c>
      <c r="O866" t="s">
        <v>271</v>
      </c>
      <c r="P866">
        <v>7.4905308811378151E-3</v>
      </c>
      <c r="Q866" t="s">
        <v>164</v>
      </c>
    </row>
    <row r="867" spans="9:17" x14ac:dyDescent="0.45">
      <c r="I867" t="s">
        <v>195</v>
      </c>
      <c r="J867" t="s">
        <v>272</v>
      </c>
      <c r="K867">
        <v>0</v>
      </c>
      <c r="L867" t="s">
        <v>164</v>
      </c>
      <c r="N867" t="s">
        <v>231</v>
      </c>
      <c r="O867" t="s">
        <v>272</v>
      </c>
      <c r="P867">
        <v>8.4146910758739046E-3</v>
      </c>
      <c r="Q867" t="s">
        <v>164</v>
      </c>
    </row>
    <row r="868" spans="9:17" x14ac:dyDescent="0.45">
      <c r="I868" t="s">
        <v>195</v>
      </c>
      <c r="J868" t="s">
        <v>273</v>
      </c>
      <c r="K868">
        <v>0</v>
      </c>
      <c r="L868" t="s">
        <v>164</v>
      </c>
      <c r="N868" t="s">
        <v>231</v>
      </c>
      <c r="O868" t="s">
        <v>273</v>
      </c>
      <c r="P868">
        <v>5.7656088432397742E-3</v>
      </c>
      <c r="Q868" t="s">
        <v>164</v>
      </c>
    </row>
    <row r="869" spans="9:17" x14ac:dyDescent="0.45">
      <c r="I869" t="s">
        <v>195</v>
      </c>
      <c r="J869" t="s">
        <v>173</v>
      </c>
      <c r="K869">
        <v>9.1825379359615766E-3</v>
      </c>
      <c r="L869" t="s">
        <v>164</v>
      </c>
      <c r="N869" t="s">
        <v>231</v>
      </c>
      <c r="O869" t="s">
        <v>173</v>
      </c>
      <c r="P869">
        <v>0.10184654199026205</v>
      </c>
      <c r="Q869" t="s">
        <v>164</v>
      </c>
    </row>
    <row r="870" spans="9:17" x14ac:dyDescent="0.45">
      <c r="I870" t="s">
        <v>195</v>
      </c>
      <c r="J870" t="s">
        <v>174</v>
      </c>
      <c r="K870">
        <v>0.1164703768874409</v>
      </c>
      <c r="L870" t="s">
        <v>164</v>
      </c>
      <c r="N870" t="s">
        <v>231</v>
      </c>
      <c r="O870" t="s">
        <v>174</v>
      </c>
      <c r="P870">
        <v>2.1403808405736382E-2</v>
      </c>
      <c r="Q870" t="s">
        <v>164</v>
      </c>
    </row>
    <row r="871" spans="9:17" x14ac:dyDescent="0.45">
      <c r="I871" t="s">
        <v>195</v>
      </c>
      <c r="J871" t="s">
        <v>175</v>
      </c>
      <c r="K871">
        <v>6.3708449962464279E-3</v>
      </c>
      <c r="L871" t="s">
        <v>164</v>
      </c>
      <c r="N871" t="s">
        <v>231</v>
      </c>
      <c r="O871" t="s">
        <v>175</v>
      </c>
      <c r="P871">
        <v>3.1738204345146646E-3</v>
      </c>
      <c r="Q871" t="s">
        <v>164</v>
      </c>
    </row>
    <row r="872" spans="9:17" x14ac:dyDescent="0.45">
      <c r="I872" t="s">
        <v>195</v>
      </c>
      <c r="J872" t="s">
        <v>274</v>
      </c>
      <c r="K872">
        <v>1.9795172807481236E-3</v>
      </c>
      <c r="L872" t="s">
        <v>164</v>
      </c>
      <c r="N872" t="s">
        <v>231</v>
      </c>
      <c r="O872" t="s">
        <v>274</v>
      </c>
      <c r="P872">
        <v>2.5733979685402149E-2</v>
      </c>
      <c r="Q872" t="s">
        <v>164</v>
      </c>
    </row>
    <row r="873" spans="9:17" x14ac:dyDescent="0.45">
      <c r="I873" t="s">
        <v>195</v>
      </c>
      <c r="J873" t="s">
        <v>275</v>
      </c>
      <c r="K873">
        <v>0</v>
      </c>
      <c r="L873" t="s">
        <v>164</v>
      </c>
      <c r="N873" t="s">
        <v>231</v>
      </c>
      <c r="O873" t="s">
        <v>275</v>
      </c>
      <c r="P873">
        <v>3.0381252323515674E-2</v>
      </c>
      <c r="Q873" t="s">
        <v>164</v>
      </c>
    </row>
    <row r="874" spans="9:17" x14ac:dyDescent="0.45">
      <c r="I874" t="s">
        <v>195</v>
      </c>
      <c r="J874" t="s">
        <v>276</v>
      </c>
      <c r="K874">
        <v>0</v>
      </c>
      <c r="L874" t="s">
        <v>164</v>
      </c>
      <c r="N874" t="s">
        <v>231</v>
      </c>
      <c r="O874" t="s">
        <v>276</v>
      </c>
      <c r="P874">
        <v>1.7485248545004391E-2</v>
      </c>
      <c r="Q874" t="s">
        <v>164</v>
      </c>
    </row>
    <row r="875" spans="9:17" x14ac:dyDescent="0.45">
      <c r="I875" t="s">
        <v>195</v>
      </c>
      <c r="J875" t="s">
        <v>277</v>
      </c>
      <c r="K875">
        <v>3.0459213723233796E-3</v>
      </c>
      <c r="L875" t="s">
        <v>164</v>
      </c>
      <c r="N875" t="s">
        <v>231</v>
      </c>
      <c r="O875" t="s">
        <v>277</v>
      </c>
      <c r="P875">
        <v>4.0420568892776232E-2</v>
      </c>
      <c r="Q875" t="s">
        <v>164</v>
      </c>
    </row>
    <row r="876" spans="9:17" x14ac:dyDescent="0.45">
      <c r="I876" t="s">
        <v>195</v>
      </c>
      <c r="J876" t="s">
        <v>278</v>
      </c>
      <c r="K876">
        <v>5.8575377802009929E-2</v>
      </c>
      <c r="L876" t="s">
        <v>164</v>
      </c>
      <c r="N876" t="s">
        <v>231</v>
      </c>
      <c r="O876" t="s">
        <v>278</v>
      </c>
      <c r="P876">
        <v>1.1338558168527612E-2</v>
      </c>
      <c r="Q876" t="s">
        <v>164</v>
      </c>
    </row>
    <row r="877" spans="9:17" x14ac:dyDescent="0.45">
      <c r="I877" t="s">
        <v>195</v>
      </c>
      <c r="J877" t="s">
        <v>279</v>
      </c>
      <c r="K877">
        <v>3.6671341696656022E-3</v>
      </c>
      <c r="L877" t="s">
        <v>164</v>
      </c>
      <c r="N877" t="s">
        <v>231</v>
      </c>
      <c r="O877" t="s">
        <v>279</v>
      </c>
      <c r="P877">
        <v>6.5444519002998288E-4</v>
      </c>
      <c r="Q877" t="s">
        <v>164</v>
      </c>
    </row>
    <row r="878" spans="9:17" x14ac:dyDescent="0.45">
      <c r="I878" t="s">
        <v>195</v>
      </c>
      <c r="J878" t="s">
        <v>280</v>
      </c>
      <c r="K878">
        <v>1.8682821427823668E-3</v>
      </c>
      <c r="L878" t="s">
        <v>164</v>
      </c>
      <c r="N878" t="s">
        <v>231</v>
      </c>
      <c r="O878" t="s">
        <v>280</v>
      </c>
      <c r="P878">
        <v>7.6242816428294244E-3</v>
      </c>
      <c r="Q878" t="s">
        <v>164</v>
      </c>
    </row>
    <row r="879" spans="9:17" x14ac:dyDescent="0.45">
      <c r="I879" t="s">
        <v>195</v>
      </c>
      <c r="J879" t="s">
        <v>281</v>
      </c>
      <c r="K879">
        <v>0</v>
      </c>
      <c r="L879" t="s">
        <v>164</v>
      </c>
      <c r="N879" t="s">
        <v>231</v>
      </c>
      <c r="O879" t="s">
        <v>281</v>
      </c>
      <c r="P879">
        <v>7.8713903792381901E-3</v>
      </c>
      <c r="Q879" t="s">
        <v>164</v>
      </c>
    </row>
    <row r="880" spans="9:17" x14ac:dyDescent="0.45">
      <c r="I880" t="s">
        <v>195</v>
      </c>
      <c r="J880" t="s">
        <v>282</v>
      </c>
      <c r="K880">
        <v>0</v>
      </c>
      <c r="L880" t="s">
        <v>164</v>
      </c>
      <c r="N880" t="s">
        <v>231</v>
      </c>
      <c r="O880" t="s">
        <v>282</v>
      </c>
      <c r="P880">
        <v>4.851741800469914E-3</v>
      </c>
      <c r="Q880" t="s">
        <v>164</v>
      </c>
    </row>
    <row r="881" spans="9:17" x14ac:dyDescent="0.45">
      <c r="I881" t="s">
        <v>195</v>
      </c>
      <c r="J881" t="s">
        <v>283</v>
      </c>
      <c r="K881">
        <v>2.387410456521469E-3</v>
      </c>
      <c r="L881" t="s">
        <v>164</v>
      </c>
      <c r="N881" t="s">
        <v>231</v>
      </c>
      <c r="O881" t="s">
        <v>283</v>
      </c>
      <c r="P881">
        <v>1.9330482882412806E-2</v>
      </c>
      <c r="Q881" t="s">
        <v>164</v>
      </c>
    </row>
    <row r="882" spans="9:17" x14ac:dyDescent="0.45">
      <c r="I882" t="s">
        <v>195</v>
      </c>
      <c r="J882" t="s">
        <v>284</v>
      </c>
      <c r="K882">
        <v>5.3447119689112234E-2</v>
      </c>
      <c r="L882" t="s">
        <v>164</v>
      </c>
      <c r="N882" t="s">
        <v>231</v>
      </c>
      <c r="O882" t="s">
        <v>284</v>
      </c>
      <c r="P882">
        <v>1.2153031609542484E-2</v>
      </c>
      <c r="Q882" t="s">
        <v>164</v>
      </c>
    </row>
    <row r="883" spans="9:17" x14ac:dyDescent="0.45">
      <c r="I883" t="s">
        <v>195</v>
      </c>
      <c r="J883" t="s">
        <v>285</v>
      </c>
      <c r="K883">
        <v>2.8881078345030387E-3</v>
      </c>
      <c r="L883" t="s">
        <v>164</v>
      </c>
      <c r="N883" t="s">
        <v>231</v>
      </c>
      <c r="O883" t="s">
        <v>285</v>
      </c>
      <c r="P883">
        <v>9.0585306188389783E-4</v>
      </c>
      <c r="Q883" t="s">
        <v>164</v>
      </c>
    </row>
    <row r="884" spans="9:17" x14ac:dyDescent="0.45">
      <c r="I884" t="s">
        <v>195</v>
      </c>
      <c r="J884" t="s">
        <v>286</v>
      </c>
      <c r="K884">
        <v>1.1457272129309405E-3</v>
      </c>
      <c r="L884" t="s">
        <v>164</v>
      </c>
      <c r="N884" t="s">
        <v>231</v>
      </c>
      <c r="O884" t="s">
        <v>286</v>
      </c>
      <c r="P884">
        <v>3.9530611403835129E-3</v>
      </c>
      <c r="Q884" t="s">
        <v>164</v>
      </c>
    </row>
    <row r="885" spans="9:17" x14ac:dyDescent="0.45">
      <c r="I885" t="s">
        <v>195</v>
      </c>
      <c r="J885" t="s">
        <v>287</v>
      </c>
      <c r="K885">
        <v>0</v>
      </c>
      <c r="L885" t="s">
        <v>164</v>
      </c>
      <c r="N885" t="s">
        <v>231</v>
      </c>
      <c r="O885" t="s">
        <v>287</v>
      </c>
      <c r="P885">
        <v>3.9226217662388365E-3</v>
      </c>
      <c r="Q885" t="s">
        <v>164</v>
      </c>
    </row>
    <row r="886" spans="9:17" x14ac:dyDescent="0.45">
      <c r="I886" t="s">
        <v>195</v>
      </c>
      <c r="J886" t="s">
        <v>288</v>
      </c>
      <c r="K886">
        <v>0</v>
      </c>
      <c r="L886" t="s">
        <v>164</v>
      </c>
      <c r="N886" t="s">
        <v>231</v>
      </c>
      <c r="O886" t="s">
        <v>288</v>
      </c>
      <c r="P886">
        <v>2.2233731189660599E-3</v>
      </c>
      <c r="Q886" t="s">
        <v>164</v>
      </c>
    </row>
    <row r="887" spans="9:17" x14ac:dyDescent="0.45">
      <c r="I887" t="s">
        <v>195</v>
      </c>
      <c r="J887" t="s">
        <v>289</v>
      </c>
      <c r="K887">
        <v>2.230453850484761E-2</v>
      </c>
      <c r="L887" t="s">
        <v>164</v>
      </c>
      <c r="N887" t="s">
        <v>231</v>
      </c>
      <c r="O887" t="s">
        <v>289</v>
      </c>
      <c r="P887">
        <v>0.14279587325741694</v>
      </c>
      <c r="Q887" t="s">
        <v>164</v>
      </c>
    </row>
    <row r="888" spans="9:17" x14ac:dyDescent="0.45">
      <c r="I888" t="s">
        <v>195</v>
      </c>
      <c r="J888" t="s">
        <v>290</v>
      </c>
      <c r="K888">
        <v>0.31029224304212444</v>
      </c>
      <c r="L888" t="s">
        <v>164</v>
      </c>
      <c r="N888" t="s">
        <v>231</v>
      </c>
      <c r="O888" t="s">
        <v>290</v>
      </c>
      <c r="P888">
        <v>4.2936619308790301E-2</v>
      </c>
      <c r="Q888" t="s">
        <v>164</v>
      </c>
    </row>
    <row r="889" spans="9:17" x14ac:dyDescent="0.45">
      <c r="I889" t="s">
        <v>195</v>
      </c>
      <c r="J889" t="s">
        <v>291</v>
      </c>
      <c r="K889">
        <v>1.6874993395157901E-2</v>
      </c>
      <c r="L889" t="s">
        <v>164</v>
      </c>
      <c r="N889" t="s">
        <v>231</v>
      </c>
      <c r="O889" t="s">
        <v>291</v>
      </c>
      <c r="P889">
        <v>5.2206061903373778E-3</v>
      </c>
      <c r="Q889" t="s">
        <v>164</v>
      </c>
    </row>
    <row r="890" spans="9:17" x14ac:dyDescent="0.45">
      <c r="I890" t="s">
        <v>195</v>
      </c>
      <c r="J890" t="s">
        <v>292</v>
      </c>
      <c r="K890">
        <v>0</v>
      </c>
      <c r="L890" t="s">
        <v>164</v>
      </c>
      <c r="N890" t="s">
        <v>231</v>
      </c>
      <c r="O890" t="s">
        <v>292</v>
      </c>
      <c r="P890">
        <v>3.4010801864165573E-2</v>
      </c>
      <c r="Q890" t="s">
        <v>164</v>
      </c>
    </row>
    <row r="891" spans="9:17" x14ac:dyDescent="0.45">
      <c r="I891" t="s">
        <v>195</v>
      </c>
      <c r="J891" t="s">
        <v>293</v>
      </c>
      <c r="K891">
        <v>0</v>
      </c>
      <c r="L891" t="s">
        <v>164</v>
      </c>
      <c r="N891" t="s">
        <v>231</v>
      </c>
      <c r="O891" t="s">
        <v>293</v>
      </c>
      <c r="P891">
        <v>3.2654052288766118E-2</v>
      </c>
      <c r="Q891" t="s">
        <v>164</v>
      </c>
    </row>
    <row r="892" spans="9:17" x14ac:dyDescent="0.45">
      <c r="I892" t="s">
        <v>195</v>
      </c>
      <c r="J892" t="s">
        <v>294</v>
      </c>
      <c r="K892">
        <v>0</v>
      </c>
      <c r="L892" t="s">
        <v>164</v>
      </c>
      <c r="N892" t="s">
        <v>231</v>
      </c>
      <c r="O892" t="s">
        <v>294</v>
      </c>
      <c r="P892">
        <v>1.7842599083578038E-2</v>
      </c>
      <c r="Q892" t="s">
        <v>164</v>
      </c>
    </row>
    <row r="893" spans="9:17" x14ac:dyDescent="0.45">
      <c r="I893" t="s">
        <v>196</v>
      </c>
      <c r="J893" t="s">
        <v>163</v>
      </c>
      <c r="K893">
        <v>8.2316284440025443E-3</v>
      </c>
      <c r="L893" t="s">
        <v>164</v>
      </c>
      <c r="N893" t="s">
        <v>232</v>
      </c>
      <c r="O893" t="s">
        <v>163</v>
      </c>
      <c r="P893">
        <v>0.10921273823814114</v>
      </c>
      <c r="Q893" t="s">
        <v>164</v>
      </c>
    </row>
    <row r="894" spans="9:17" x14ac:dyDescent="0.45">
      <c r="I894" t="s">
        <v>196</v>
      </c>
      <c r="J894" t="s">
        <v>165</v>
      </c>
      <c r="K894">
        <v>0.18020784124141531</v>
      </c>
      <c r="L894" t="s">
        <v>164</v>
      </c>
      <c r="N894" t="s">
        <v>232</v>
      </c>
      <c r="O894" t="s">
        <v>165</v>
      </c>
      <c r="P894">
        <v>3.987668026906422E-2</v>
      </c>
      <c r="Q894" t="s">
        <v>164</v>
      </c>
    </row>
    <row r="895" spans="9:17" x14ac:dyDescent="0.45">
      <c r="I895" t="s">
        <v>196</v>
      </c>
      <c r="J895" t="s">
        <v>166</v>
      </c>
      <c r="K895">
        <v>1.1106268116043034E-2</v>
      </c>
      <c r="L895" t="s">
        <v>164</v>
      </c>
      <c r="N895" t="s">
        <v>232</v>
      </c>
      <c r="O895" t="s">
        <v>166</v>
      </c>
      <c r="P895">
        <v>3.5249865123429076E-3</v>
      </c>
      <c r="Q895" t="s">
        <v>164</v>
      </c>
    </row>
    <row r="896" spans="9:17" x14ac:dyDescent="0.45">
      <c r="I896" t="s">
        <v>196</v>
      </c>
      <c r="J896" t="s">
        <v>265</v>
      </c>
      <c r="K896">
        <v>2.6651791356799895E-3</v>
      </c>
      <c r="L896" t="s">
        <v>164</v>
      </c>
      <c r="N896" t="s">
        <v>232</v>
      </c>
      <c r="O896" t="s">
        <v>265</v>
      </c>
      <c r="P896">
        <v>2.4514141041882279E-2</v>
      </c>
      <c r="Q896" t="s">
        <v>164</v>
      </c>
    </row>
    <row r="897" spans="9:17" x14ac:dyDescent="0.45">
      <c r="I897" t="s">
        <v>196</v>
      </c>
      <c r="J897" t="s">
        <v>266</v>
      </c>
      <c r="K897">
        <v>0</v>
      </c>
      <c r="L897" t="s">
        <v>164</v>
      </c>
      <c r="N897" t="s">
        <v>232</v>
      </c>
      <c r="O897" t="s">
        <v>266</v>
      </c>
      <c r="P897">
        <v>2.7318319824911216E-2</v>
      </c>
      <c r="Q897" t="s">
        <v>164</v>
      </c>
    </row>
    <row r="898" spans="9:17" x14ac:dyDescent="0.45">
      <c r="I898" t="s">
        <v>196</v>
      </c>
      <c r="J898" t="s">
        <v>267</v>
      </c>
      <c r="K898">
        <v>0</v>
      </c>
      <c r="L898" t="s">
        <v>164</v>
      </c>
      <c r="N898" t="s">
        <v>232</v>
      </c>
      <c r="O898" t="s">
        <v>267</v>
      </c>
      <c r="P898">
        <v>1.4860524456835066E-2</v>
      </c>
      <c r="Q898" t="s">
        <v>164</v>
      </c>
    </row>
    <row r="899" spans="9:17" x14ac:dyDescent="0.45">
      <c r="I899" t="s">
        <v>196</v>
      </c>
      <c r="J899" t="s">
        <v>167</v>
      </c>
      <c r="K899">
        <v>3.6426632548748786E-3</v>
      </c>
      <c r="L899" t="s">
        <v>164</v>
      </c>
      <c r="N899" t="s">
        <v>232</v>
      </c>
      <c r="O899" t="s">
        <v>167</v>
      </c>
      <c r="P899">
        <v>4.2914419573886968E-2</v>
      </c>
      <c r="Q899" t="s">
        <v>164</v>
      </c>
    </row>
    <row r="900" spans="9:17" x14ac:dyDescent="0.45">
      <c r="I900" t="s">
        <v>196</v>
      </c>
      <c r="J900" t="s">
        <v>168</v>
      </c>
      <c r="K900">
        <v>8.634084804147002E-2</v>
      </c>
      <c r="L900" t="s">
        <v>164</v>
      </c>
      <c r="N900" t="s">
        <v>232</v>
      </c>
      <c r="O900" t="s">
        <v>168</v>
      </c>
      <c r="P900">
        <v>1.8639424568636678E-2</v>
      </c>
      <c r="Q900" t="s">
        <v>164</v>
      </c>
    </row>
    <row r="901" spans="9:17" x14ac:dyDescent="0.45">
      <c r="I901" t="s">
        <v>196</v>
      </c>
      <c r="J901" t="s">
        <v>169</v>
      </c>
      <c r="K901">
        <v>5.4371359885407779E-3</v>
      </c>
      <c r="L901" t="s">
        <v>164</v>
      </c>
      <c r="N901" t="s">
        <v>232</v>
      </c>
      <c r="O901" t="s">
        <v>169</v>
      </c>
      <c r="P901">
        <v>1.2135439863857659E-3</v>
      </c>
      <c r="Q901" t="s">
        <v>164</v>
      </c>
    </row>
    <row r="902" spans="9:17" x14ac:dyDescent="0.45">
      <c r="I902" t="s">
        <v>196</v>
      </c>
      <c r="J902" t="s">
        <v>268</v>
      </c>
      <c r="K902">
        <v>3.0884140649168647E-3</v>
      </c>
      <c r="L902" t="s">
        <v>164</v>
      </c>
      <c r="N902" t="s">
        <v>232</v>
      </c>
      <c r="O902" t="s">
        <v>268</v>
      </c>
      <c r="P902">
        <v>7.0917691991896825E-3</v>
      </c>
      <c r="Q902" t="s">
        <v>164</v>
      </c>
    </row>
    <row r="903" spans="9:17" x14ac:dyDescent="0.45">
      <c r="I903" t="s">
        <v>196</v>
      </c>
      <c r="J903" t="s">
        <v>269</v>
      </c>
      <c r="K903">
        <v>0</v>
      </c>
      <c r="L903" t="s">
        <v>164</v>
      </c>
      <c r="N903" t="s">
        <v>232</v>
      </c>
      <c r="O903" t="s">
        <v>269</v>
      </c>
      <c r="P903">
        <v>8.3552739999071153E-3</v>
      </c>
      <c r="Q903" t="s">
        <v>164</v>
      </c>
    </row>
    <row r="904" spans="9:17" x14ac:dyDescent="0.45">
      <c r="I904" t="s">
        <v>196</v>
      </c>
      <c r="J904" t="s">
        <v>270</v>
      </c>
      <c r="K904">
        <v>0</v>
      </c>
      <c r="L904" t="s">
        <v>164</v>
      </c>
      <c r="N904" t="s">
        <v>232</v>
      </c>
      <c r="O904" t="s">
        <v>270</v>
      </c>
      <c r="P904">
        <v>4.7335652547584924E-3</v>
      </c>
      <c r="Q904" t="s">
        <v>164</v>
      </c>
    </row>
    <row r="905" spans="9:17" x14ac:dyDescent="0.45">
      <c r="I905" t="s">
        <v>196</v>
      </c>
      <c r="J905" t="s">
        <v>170</v>
      </c>
      <c r="K905">
        <v>5.4196170816242784E-3</v>
      </c>
      <c r="L905" t="s">
        <v>164</v>
      </c>
      <c r="N905" t="s">
        <v>232</v>
      </c>
      <c r="O905" t="s">
        <v>170</v>
      </c>
      <c r="P905">
        <v>2.9522768429373115E-2</v>
      </c>
      <c r="Q905" t="s">
        <v>164</v>
      </c>
    </row>
    <row r="906" spans="9:17" x14ac:dyDescent="0.45">
      <c r="I906" t="s">
        <v>196</v>
      </c>
      <c r="J906" t="s">
        <v>171</v>
      </c>
      <c r="K906">
        <v>7.2245274092178666E-2</v>
      </c>
      <c r="L906" t="s">
        <v>164</v>
      </c>
      <c r="N906" t="s">
        <v>232</v>
      </c>
      <c r="O906" t="s">
        <v>171</v>
      </c>
      <c r="P906">
        <v>1.1920049007594356E-2</v>
      </c>
      <c r="Q906" t="s">
        <v>164</v>
      </c>
    </row>
    <row r="907" spans="9:17" x14ac:dyDescent="0.45">
      <c r="I907" t="s">
        <v>196</v>
      </c>
      <c r="J907" t="s">
        <v>172</v>
      </c>
      <c r="K907">
        <v>4.2317521994972738E-3</v>
      </c>
      <c r="L907" t="s">
        <v>164</v>
      </c>
      <c r="N907" t="s">
        <v>232</v>
      </c>
      <c r="O907" t="s">
        <v>172</v>
      </c>
      <c r="P907">
        <v>7.9726269809874968E-4</v>
      </c>
      <c r="Q907" t="s">
        <v>164</v>
      </c>
    </row>
    <row r="908" spans="9:17" x14ac:dyDescent="0.45">
      <c r="I908" t="s">
        <v>196</v>
      </c>
      <c r="J908" t="s">
        <v>271</v>
      </c>
      <c r="K908">
        <v>1.7550278665989282E-3</v>
      </c>
      <c r="L908" t="s">
        <v>164</v>
      </c>
      <c r="N908" t="s">
        <v>232</v>
      </c>
      <c r="O908" t="s">
        <v>271</v>
      </c>
      <c r="P908">
        <v>4.3419670157475729E-3</v>
      </c>
      <c r="Q908" t="s">
        <v>164</v>
      </c>
    </row>
    <row r="909" spans="9:17" x14ac:dyDescent="0.45">
      <c r="I909" t="s">
        <v>196</v>
      </c>
      <c r="J909" t="s">
        <v>272</v>
      </c>
      <c r="K909">
        <v>0</v>
      </c>
      <c r="L909" t="s">
        <v>164</v>
      </c>
      <c r="N909" t="s">
        <v>232</v>
      </c>
      <c r="O909" t="s">
        <v>272</v>
      </c>
      <c r="P909">
        <v>4.9417219267549614E-3</v>
      </c>
      <c r="Q909" t="s">
        <v>164</v>
      </c>
    </row>
    <row r="910" spans="9:17" x14ac:dyDescent="0.45">
      <c r="I910" t="s">
        <v>196</v>
      </c>
      <c r="J910" t="s">
        <v>273</v>
      </c>
      <c r="K910">
        <v>0</v>
      </c>
      <c r="L910" t="s">
        <v>164</v>
      </c>
      <c r="N910" t="s">
        <v>232</v>
      </c>
      <c r="O910" t="s">
        <v>273</v>
      </c>
      <c r="P910">
        <v>2.9603350115680904E-3</v>
      </c>
      <c r="Q910" t="s">
        <v>164</v>
      </c>
    </row>
    <row r="911" spans="9:17" x14ac:dyDescent="0.45">
      <c r="I911" t="s">
        <v>196</v>
      </c>
      <c r="J911" t="s">
        <v>173</v>
      </c>
      <c r="K911">
        <v>8.552957722624004E-3</v>
      </c>
      <c r="L911" t="s">
        <v>164</v>
      </c>
      <c r="N911" t="s">
        <v>232</v>
      </c>
      <c r="O911" t="s">
        <v>173</v>
      </c>
      <c r="P911">
        <v>9.965074229487593E-2</v>
      </c>
      <c r="Q911" t="s">
        <v>164</v>
      </c>
    </row>
    <row r="912" spans="9:17" x14ac:dyDescent="0.45">
      <c r="I912" t="s">
        <v>196</v>
      </c>
      <c r="J912" t="s">
        <v>174</v>
      </c>
      <c r="K912">
        <v>0.11683934001648721</v>
      </c>
      <c r="L912" t="s">
        <v>164</v>
      </c>
      <c r="N912" t="s">
        <v>232</v>
      </c>
      <c r="O912" t="s">
        <v>174</v>
      </c>
      <c r="P912">
        <v>3.1856051026653953E-2</v>
      </c>
      <c r="Q912" t="s">
        <v>164</v>
      </c>
    </row>
    <row r="913" spans="9:17" x14ac:dyDescent="0.45">
      <c r="I913" t="s">
        <v>196</v>
      </c>
      <c r="J913" t="s">
        <v>175</v>
      </c>
      <c r="K913">
        <v>6.7876112110026926E-3</v>
      </c>
      <c r="L913" t="s">
        <v>164</v>
      </c>
      <c r="N913" t="s">
        <v>232</v>
      </c>
      <c r="O913" t="s">
        <v>175</v>
      </c>
      <c r="P913">
        <v>1.2090300311638495E-3</v>
      </c>
      <c r="Q913" t="s">
        <v>164</v>
      </c>
    </row>
    <row r="914" spans="9:17" x14ac:dyDescent="0.45">
      <c r="I914" t="s">
        <v>196</v>
      </c>
      <c r="J914" t="s">
        <v>274</v>
      </c>
      <c r="K914">
        <v>3.5481524847787555E-3</v>
      </c>
      <c r="L914" t="s">
        <v>164</v>
      </c>
      <c r="N914" t="s">
        <v>232</v>
      </c>
      <c r="O914" t="s">
        <v>274</v>
      </c>
      <c r="P914">
        <v>1.1454030100031142E-2</v>
      </c>
      <c r="Q914" t="s">
        <v>164</v>
      </c>
    </row>
    <row r="915" spans="9:17" x14ac:dyDescent="0.45">
      <c r="I915" t="s">
        <v>196</v>
      </c>
      <c r="J915" t="s">
        <v>275</v>
      </c>
      <c r="K915">
        <v>0</v>
      </c>
      <c r="L915" t="s">
        <v>164</v>
      </c>
      <c r="N915" t="s">
        <v>232</v>
      </c>
      <c r="O915" t="s">
        <v>275</v>
      </c>
      <c r="P915">
        <v>2.1194724775676011E-2</v>
      </c>
      <c r="Q915" t="s">
        <v>164</v>
      </c>
    </row>
    <row r="916" spans="9:17" x14ac:dyDescent="0.45">
      <c r="I916" t="s">
        <v>196</v>
      </c>
      <c r="J916" t="s">
        <v>276</v>
      </c>
      <c r="K916">
        <v>0</v>
      </c>
      <c r="L916" t="s">
        <v>164</v>
      </c>
      <c r="N916" t="s">
        <v>232</v>
      </c>
      <c r="O916" t="s">
        <v>276</v>
      </c>
      <c r="P916">
        <v>1.3055748140368291E-2</v>
      </c>
      <c r="Q916" t="s">
        <v>164</v>
      </c>
    </row>
    <row r="917" spans="9:17" x14ac:dyDescent="0.45">
      <c r="I917" t="s">
        <v>196</v>
      </c>
      <c r="J917" t="s">
        <v>277</v>
      </c>
      <c r="K917">
        <v>3.0337107353561438E-3</v>
      </c>
      <c r="L917" t="s">
        <v>164</v>
      </c>
      <c r="N917" t="s">
        <v>232</v>
      </c>
      <c r="O917" t="s">
        <v>277</v>
      </c>
      <c r="P917">
        <v>4.6127333082930516E-2</v>
      </c>
      <c r="Q917" t="s">
        <v>164</v>
      </c>
    </row>
    <row r="918" spans="9:17" x14ac:dyDescent="0.45">
      <c r="I918" t="s">
        <v>196</v>
      </c>
      <c r="J918" t="s">
        <v>278</v>
      </c>
      <c r="K918">
        <v>5.9011201142905187E-2</v>
      </c>
      <c r="L918" t="s">
        <v>164</v>
      </c>
      <c r="N918" t="s">
        <v>232</v>
      </c>
      <c r="O918" t="s">
        <v>278</v>
      </c>
      <c r="P918">
        <v>2.1546232829763642E-2</v>
      </c>
      <c r="Q918" t="s">
        <v>164</v>
      </c>
    </row>
    <row r="919" spans="9:17" x14ac:dyDescent="0.45">
      <c r="I919" t="s">
        <v>196</v>
      </c>
      <c r="J919" t="s">
        <v>279</v>
      </c>
      <c r="K919">
        <v>3.9871301039529974E-3</v>
      </c>
      <c r="L919" t="s">
        <v>164</v>
      </c>
      <c r="N919" t="s">
        <v>232</v>
      </c>
      <c r="O919" t="s">
        <v>279</v>
      </c>
      <c r="P919">
        <v>1.136671048295131E-3</v>
      </c>
      <c r="Q919" t="s">
        <v>164</v>
      </c>
    </row>
    <row r="920" spans="9:17" x14ac:dyDescent="0.45">
      <c r="I920" t="s">
        <v>196</v>
      </c>
      <c r="J920" t="s">
        <v>280</v>
      </c>
      <c r="K920">
        <v>1.8807080796090607E-3</v>
      </c>
      <c r="L920" t="s">
        <v>164</v>
      </c>
      <c r="N920" t="s">
        <v>232</v>
      </c>
      <c r="O920" t="s">
        <v>280</v>
      </c>
      <c r="P920">
        <v>7.6745533750647516E-3</v>
      </c>
      <c r="Q920" t="s">
        <v>164</v>
      </c>
    </row>
    <row r="921" spans="9:17" x14ac:dyDescent="0.45">
      <c r="I921" t="s">
        <v>196</v>
      </c>
      <c r="J921" t="s">
        <v>281</v>
      </c>
      <c r="K921">
        <v>0</v>
      </c>
      <c r="L921" t="s">
        <v>164</v>
      </c>
      <c r="N921" t="s">
        <v>232</v>
      </c>
      <c r="O921" t="s">
        <v>281</v>
      </c>
      <c r="P921">
        <v>9.9056412623573283E-3</v>
      </c>
      <c r="Q921" t="s">
        <v>164</v>
      </c>
    </row>
    <row r="922" spans="9:17" x14ac:dyDescent="0.45">
      <c r="I922" t="s">
        <v>196</v>
      </c>
      <c r="J922" t="s">
        <v>282</v>
      </c>
      <c r="K922">
        <v>0</v>
      </c>
      <c r="L922" t="s">
        <v>164</v>
      </c>
      <c r="N922" t="s">
        <v>232</v>
      </c>
      <c r="O922" t="s">
        <v>282</v>
      </c>
      <c r="P922">
        <v>5.9574199018479785E-3</v>
      </c>
      <c r="Q922" t="s">
        <v>164</v>
      </c>
    </row>
    <row r="923" spans="9:17" x14ac:dyDescent="0.45">
      <c r="I923" t="s">
        <v>196</v>
      </c>
      <c r="J923" t="s">
        <v>283</v>
      </c>
      <c r="K923">
        <v>2.3971115961941001E-3</v>
      </c>
      <c r="L923" t="s">
        <v>164</v>
      </c>
      <c r="N923" t="s">
        <v>232</v>
      </c>
      <c r="O923" t="s">
        <v>283</v>
      </c>
      <c r="P923">
        <v>2.4520953754416704E-2</v>
      </c>
      <c r="Q923" t="s">
        <v>164</v>
      </c>
    </row>
    <row r="924" spans="9:17" x14ac:dyDescent="0.45">
      <c r="I924" t="s">
        <v>196</v>
      </c>
      <c r="J924" t="s">
        <v>284</v>
      </c>
      <c r="K924">
        <v>5.3847170649101647E-2</v>
      </c>
      <c r="L924" t="s">
        <v>164</v>
      </c>
      <c r="N924" t="s">
        <v>232</v>
      </c>
      <c r="O924" t="s">
        <v>284</v>
      </c>
      <c r="P924">
        <v>1.2776890263388539E-2</v>
      </c>
      <c r="Q924" t="s">
        <v>164</v>
      </c>
    </row>
    <row r="925" spans="9:17" x14ac:dyDescent="0.45">
      <c r="I925" t="s">
        <v>196</v>
      </c>
      <c r="J925" t="s">
        <v>285</v>
      </c>
      <c r="K925">
        <v>3.4506984316598267E-3</v>
      </c>
      <c r="L925" t="s">
        <v>164</v>
      </c>
      <c r="N925" t="s">
        <v>232</v>
      </c>
      <c r="O925" t="s">
        <v>285</v>
      </c>
      <c r="P925">
        <v>9.0434050821689414E-4</v>
      </c>
      <c r="Q925" t="s">
        <v>164</v>
      </c>
    </row>
    <row r="926" spans="9:17" x14ac:dyDescent="0.45">
      <c r="I926" t="s">
        <v>196</v>
      </c>
      <c r="J926" t="s">
        <v>286</v>
      </c>
      <c r="K926">
        <v>1.832727889131426E-3</v>
      </c>
      <c r="L926" t="s">
        <v>164</v>
      </c>
      <c r="N926" t="s">
        <v>232</v>
      </c>
      <c r="O926" t="s">
        <v>286</v>
      </c>
      <c r="P926">
        <v>4.6193430402410767E-3</v>
      </c>
      <c r="Q926" t="s">
        <v>164</v>
      </c>
    </row>
    <row r="927" spans="9:17" x14ac:dyDescent="0.45">
      <c r="I927" t="s">
        <v>196</v>
      </c>
      <c r="J927" t="s">
        <v>287</v>
      </c>
      <c r="K927">
        <v>0</v>
      </c>
      <c r="L927" t="s">
        <v>164</v>
      </c>
      <c r="N927" t="s">
        <v>232</v>
      </c>
      <c r="O927" t="s">
        <v>287</v>
      </c>
      <c r="P927">
        <v>4.6788538208267149E-3</v>
      </c>
      <c r="Q927" t="s">
        <v>164</v>
      </c>
    </row>
    <row r="928" spans="9:17" x14ac:dyDescent="0.45">
      <c r="I928" t="s">
        <v>196</v>
      </c>
      <c r="J928" t="s">
        <v>288</v>
      </c>
      <c r="K928">
        <v>0</v>
      </c>
      <c r="L928" t="s">
        <v>164</v>
      </c>
      <c r="N928" t="s">
        <v>232</v>
      </c>
      <c r="O928" t="s">
        <v>288</v>
      </c>
      <c r="P928">
        <v>2.6033910954863068E-3</v>
      </c>
      <c r="Q928" t="s">
        <v>164</v>
      </c>
    </row>
    <row r="929" spans="9:17" x14ac:dyDescent="0.45">
      <c r="I929" t="s">
        <v>196</v>
      </c>
      <c r="J929" t="s">
        <v>289</v>
      </c>
      <c r="K929">
        <v>2.1795096746507127E-2</v>
      </c>
      <c r="L929" t="s">
        <v>164</v>
      </c>
      <c r="N929" t="s">
        <v>232</v>
      </c>
      <c r="O929" t="s">
        <v>289</v>
      </c>
      <c r="P929">
        <v>0.16582897338845842</v>
      </c>
      <c r="Q929" t="s">
        <v>164</v>
      </c>
    </row>
    <row r="930" spans="9:17" x14ac:dyDescent="0.45">
      <c r="I930" t="s">
        <v>196</v>
      </c>
      <c r="J930" t="s">
        <v>290</v>
      </c>
      <c r="K930">
        <v>0.31084680008277271</v>
      </c>
      <c r="L930" t="s">
        <v>164</v>
      </c>
      <c r="N930" t="s">
        <v>232</v>
      </c>
      <c r="O930" t="s">
        <v>290</v>
      </c>
      <c r="P930">
        <v>6.0961869903681055E-2</v>
      </c>
      <c r="Q930" t="s">
        <v>164</v>
      </c>
    </row>
    <row r="931" spans="9:17" x14ac:dyDescent="0.45">
      <c r="I931" t="s">
        <v>196</v>
      </c>
      <c r="J931" t="s">
        <v>291</v>
      </c>
      <c r="K931">
        <v>1.7707167123194416E-2</v>
      </c>
      <c r="L931" t="s">
        <v>164</v>
      </c>
      <c r="N931" t="s">
        <v>232</v>
      </c>
      <c r="O931" t="s">
        <v>291</v>
      </c>
      <c r="P931">
        <v>4.717620856361575E-3</v>
      </c>
      <c r="Q931" t="s">
        <v>164</v>
      </c>
    </row>
    <row r="932" spans="9:17" x14ac:dyDescent="0.45">
      <c r="I932" t="s">
        <v>196</v>
      </c>
      <c r="J932" t="s">
        <v>292</v>
      </c>
      <c r="K932">
        <v>1.1076645787818443E-4</v>
      </c>
      <c r="L932" t="s">
        <v>164</v>
      </c>
      <c r="N932" t="s">
        <v>232</v>
      </c>
      <c r="O932" t="s">
        <v>292</v>
      </c>
      <c r="P932">
        <v>3.216602567220854E-2</v>
      </c>
      <c r="Q932" t="s">
        <v>164</v>
      </c>
    </row>
    <row r="933" spans="9:17" x14ac:dyDescent="0.45">
      <c r="I933" t="s">
        <v>196</v>
      </c>
      <c r="J933" t="s">
        <v>293</v>
      </c>
      <c r="K933">
        <v>0</v>
      </c>
      <c r="L933" t="s">
        <v>164</v>
      </c>
      <c r="N933" t="s">
        <v>232</v>
      </c>
      <c r="O933" t="s">
        <v>293</v>
      </c>
      <c r="P933">
        <v>3.6807390749465645E-2</v>
      </c>
      <c r="Q933" t="s">
        <v>164</v>
      </c>
    </row>
    <row r="934" spans="9:17" x14ac:dyDescent="0.45">
      <c r="I934" t="s">
        <v>196</v>
      </c>
      <c r="J934" t="s">
        <v>294</v>
      </c>
      <c r="K934">
        <v>0</v>
      </c>
      <c r="L934" t="s">
        <v>164</v>
      </c>
      <c r="N934" t="s">
        <v>232</v>
      </c>
      <c r="O934" t="s">
        <v>294</v>
      </c>
      <c r="P934">
        <v>2.1906678063143954E-2</v>
      </c>
      <c r="Q934" t="s">
        <v>164</v>
      </c>
    </row>
    <row r="935" spans="9:17" x14ac:dyDescent="0.45">
      <c r="I935" t="s">
        <v>197</v>
      </c>
      <c r="J935" t="s">
        <v>163</v>
      </c>
      <c r="K935">
        <v>6.8442447769878345E-3</v>
      </c>
      <c r="L935" t="s">
        <v>164</v>
      </c>
      <c r="N935" t="s">
        <v>233</v>
      </c>
      <c r="O935" t="s">
        <v>163</v>
      </c>
      <c r="P935">
        <v>0.13058484352124891</v>
      </c>
      <c r="Q935" t="s">
        <v>164</v>
      </c>
    </row>
    <row r="936" spans="9:17" x14ac:dyDescent="0.45">
      <c r="I936" t="s">
        <v>197</v>
      </c>
      <c r="J936" t="s">
        <v>165</v>
      </c>
      <c r="K936">
        <v>0.18431117550936582</v>
      </c>
      <c r="L936" t="s">
        <v>164</v>
      </c>
      <c r="N936" t="s">
        <v>233</v>
      </c>
      <c r="O936" t="s">
        <v>165</v>
      </c>
      <c r="P936">
        <v>5.3621603350578306E-2</v>
      </c>
      <c r="Q936" t="s">
        <v>164</v>
      </c>
    </row>
    <row r="937" spans="9:17" x14ac:dyDescent="0.45">
      <c r="I937" t="s">
        <v>197</v>
      </c>
      <c r="J937" t="s">
        <v>166</v>
      </c>
      <c r="K937">
        <v>1.1591424947734184E-2</v>
      </c>
      <c r="L937" t="s">
        <v>164</v>
      </c>
      <c r="N937" t="s">
        <v>233</v>
      </c>
      <c r="O937" t="s">
        <v>166</v>
      </c>
      <c r="P937">
        <v>3.9541228909596099E-3</v>
      </c>
      <c r="Q937" t="s">
        <v>164</v>
      </c>
    </row>
    <row r="938" spans="9:17" x14ac:dyDescent="0.45">
      <c r="I938" t="s">
        <v>197</v>
      </c>
      <c r="J938" t="s">
        <v>265</v>
      </c>
      <c r="K938">
        <v>3.2070728363652514E-3</v>
      </c>
      <c r="L938" t="s">
        <v>164</v>
      </c>
      <c r="N938" t="s">
        <v>233</v>
      </c>
      <c r="O938" t="s">
        <v>265</v>
      </c>
      <c r="P938">
        <v>2.6730452021588125E-2</v>
      </c>
      <c r="Q938" t="s">
        <v>164</v>
      </c>
    </row>
    <row r="939" spans="9:17" x14ac:dyDescent="0.45">
      <c r="I939" t="s">
        <v>197</v>
      </c>
      <c r="J939" t="s">
        <v>266</v>
      </c>
      <c r="K939">
        <v>0</v>
      </c>
      <c r="L939" t="s">
        <v>164</v>
      </c>
      <c r="N939" t="s">
        <v>233</v>
      </c>
      <c r="O939" t="s">
        <v>266</v>
      </c>
      <c r="P939">
        <v>2.5950535446629022E-2</v>
      </c>
      <c r="Q939" t="s">
        <v>164</v>
      </c>
    </row>
    <row r="940" spans="9:17" x14ac:dyDescent="0.45">
      <c r="I940" t="s">
        <v>197</v>
      </c>
      <c r="J940" t="s">
        <v>267</v>
      </c>
      <c r="K940">
        <v>0</v>
      </c>
      <c r="L940" t="s">
        <v>164</v>
      </c>
      <c r="N940" t="s">
        <v>233</v>
      </c>
      <c r="O940" t="s">
        <v>267</v>
      </c>
      <c r="P940">
        <v>1.4010435671950457E-2</v>
      </c>
      <c r="Q940" t="s">
        <v>164</v>
      </c>
    </row>
    <row r="941" spans="9:17" x14ac:dyDescent="0.45">
      <c r="I941" t="s">
        <v>197</v>
      </c>
      <c r="J941" t="s">
        <v>167</v>
      </c>
      <c r="K941">
        <v>2.7519689262499518E-3</v>
      </c>
      <c r="L941" t="s">
        <v>164</v>
      </c>
      <c r="N941" t="s">
        <v>233</v>
      </c>
      <c r="O941" t="s">
        <v>167</v>
      </c>
      <c r="P941">
        <v>3.9679999312532535E-2</v>
      </c>
      <c r="Q941" t="s">
        <v>164</v>
      </c>
    </row>
    <row r="942" spans="9:17" x14ac:dyDescent="0.45">
      <c r="I942" t="s">
        <v>197</v>
      </c>
      <c r="J942" t="s">
        <v>168</v>
      </c>
      <c r="K942">
        <v>8.7498544647080581E-2</v>
      </c>
      <c r="L942" t="s">
        <v>164</v>
      </c>
      <c r="N942" t="s">
        <v>233</v>
      </c>
      <c r="O942" t="s">
        <v>168</v>
      </c>
      <c r="P942">
        <v>1.7884261621685903E-2</v>
      </c>
      <c r="Q942" t="s">
        <v>164</v>
      </c>
    </row>
    <row r="943" spans="9:17" x14ac:dyDescent="0.45">
      <c r="I943" t="s">
        <v>197</v>
      </c>
      <c r="J943" t="s">
        <v>169</v>
      </c>
      <c r="K943">
        <v>5.4875818601461809E-3</v>
      </c>
      <c r="L943" t="s">
        <v>164</v>
      </c>
      <c r="N943" t="s">
        <v>233</v>
      </c>
      <c r="O943" t="s">
        <v>169</v>
      </c>
      <c r="P943">
        <v>1.099857832073533E-3</v>
      </c>
      <c r="Q943" t="s">
        <v>164</v>
      </c>
    </row>
    <row r="944" spans="9:17" x14ac:dyDescent="0.45">
      <c r="I944" t="s">
        <v>197</v>
      </c>
      <c r="J944" t="s">
        <v>268</v>
      </c>
      <c r="K944">
        <v>2.6600946528946359E-3</v>
      </c>
      <c r="L944" t="s">
        <v>164</v>
      </c>
      <c r="N944" t="s">
        <v>233</v>
      </c>
      <c r="O944" t="s">
        <v>268</v>
      </c>
      <c r="P944">
        <v>6.3579892914472462E-3</v>
      </c>
      <c r="Q944" t="s">
        <v>164</v>
      </c>
    </row>
    <row r="945" spans="9:17" x14ac:dyDescent="0.45">
      <c r="I945" t="s">
        <v>197</v>
      </c>
      <c r="J945" t="s">
        <v>269</v>
      </c>
      <c r="K945">
        <v>0</v>
      </c>
      <c r="L945" t="s">
        <v>164</v>
      </c>
      <c r="N945" t="s">
        <v>233</v>
      </c>
      <c r="O945" t="s">
        <v>269</v>
      </c>
      <c r="P945">
        <v>5.8202449917925505E-3</v>
      </c>
      <c r="Q945" t="s">
        <v>164</v>
      </c>
    </row>
    <row r="946" spans="9:17" x14ac:dyDescent="0.45">
      <c r="I946" t="s">
        <v>197</v>
      </c>
      <c r="J946" t="s">
        <v>270</v>
      </c>
      <c r="K946">
        <v>0</v>
      </c>
      <c r="L946" t="s">
        <v>164</v>
      </c>
      <c r="N946" t="s">
        <v>233</v>
      </c>
      <c r="O946" t="s">
        <v>270</v>
      </c>
      <c r="P946">
        <v>3.2280958389872593E-3</v>
      </c>
      <c r="Q946" t="s">
        <v>164</v>
      </c>
    </row>
    <row r="947" spans="9:17" x14ac:dyDescent="0.45">
      <c r="I947" t="s">
        <v>197</v>
      </c>
      <c r="J947" t="s">
        <v>170</v>
      </c>
      <c r="K947">
        <v>4.4425907679643793E-3</v>
      </c>
      <c r="L947" t="s">
        <v>164</v>
      </c>
      <c r="N947" t="s">
        <v>233</v>
      </c>
      <c r="O947" t="s">
        <v>170</v>
      </c>
      <c r="P947">
        <v>2.6828873286221886E-2</v>
      </c>
      <c r="Q947" t="s">
        <v>164</v>
      </c>
    </row>
    <row r="948" spans="9:17" x14ac:dyDescent="0.45">
      <c r="I948" t="s">
        <v>197</v>
      </c>
      <c r="J948" t="s">
        <v>171</v>
      </c>
      <c r="K948">
        <v>7.3639937968264957E-2</v>
      </c>
      <c r="L948" t="s">
        <v>164</v>
      </c>
      <c r="N948" t="s">
        <v>233</v>
      </c>
      <c r="O948" t="s">
        <v>171</v>
      </c>
      <c r="P948">
        <v>8.7783527623638176E-3</v>
      </c>
      <c r="Q948" t="s">
        <v>164</v>
      </c>
    </row>
    <row r="949" spans="9:17" x14ac:dyDescent="0.45">
      <c r="I949" t="s">
        <v>197</v>
      </c>
      <c r="J949" t="s">
        <v>172</v>
      </c>
      <c r="K949">
        <v>3.6416394100994391E-3</v>
      </c>
      <c r="L949" t="s">
        <v>164</v>
      </c>
      <c r="N949" t="s">
        <v>233</v>
      </c>
      <c r="O949" t="s">
        <v>172</v>
      </c>
      <c r="P949">
        <v>7.4240688864679811E-4</v>
      </c>
      <c r="Q949" t="s">
        <v>164</v>
      </c>
    </row>
    <row r="950" spans="9:17" x14ac:dyDescent="0.45">
      <c r="I950" t="s">
        <v>197</v>
      </c>
      <c r="J950" t="s">
        <v>271</v>
      </c>
      <c r="K950">
        <v>1.4574919192406239E-3</v>
      </c>
      <c r="L950" t="s">
        <v>164</v>
      </c>
      <c r="N950" t="s">
        <v>233</v>
      </c>
      <c r="O950" t="s">
        <v>271</v>
      </c>
      <c r="P950">
        <v>4.8523267803204989E-3</v>
      </c>
      <c r="Q950" t="s">
        <v>164</v>
      </c>
    </row>
    <row r="951" spans="9:17" x14ac:dyDescent="0.45">
      <c r="I951" t="s">
        <v>197</v>
      </c>
      <c r="J951" t="s">
        <v>272</v>
      </c>
      <c r="K951">
        <v>0</v>
      </c>
      <c r="L951" t="s">
        <v>164</v>
      </c>
      <c r="N951" t="s">
        <v>233</v>
      </c>
      <c r="O951" t="s">
        <v>272</v>
      </c>
      <c r="P951">
        <v>4.6905361656751502E-3</v>
      </c>
      <c r="Q951" t="s">
        <v>164</v>
      </c>
    </row>
    <row r="952" spans="9:17" x14ac:dyDescent="0.45">
      <c r="I952" t="s">
        <v>197</v>
      </c>
      <c r="J952" t="s">
        <v>273</v>
      </c>
      <c r="K952">
        <v>0</v>
      </c>
      <c r="L952" t="s">
        <v>164</v>
      </c>
      <c r="N952" t="s">
        <v>233</v>
      </c>
      <c r="O952" t="s">
        <v>273</v>
      </c>
      <c r="P952">
        <v>2.4644429856454497E-3</v>
      </c>
      <c r="Q952" t="s">
        <v>164</v>
      </c>
    </row>
    <row r="953" spans="9:17" x14ac:dyDescent="0.45">
      <c r="I953" t="s">
        <v>197</v>
      </c>
      <c r="J953" t="s">
        <v>173</v>
      </c>
      <c r="K953">
        <v>7.1631434239954623E-3</v>
      </c>
      <c r="L953" t="s">
        <v>164</v>
      </c>
      <c r="N953" t="s">
        <v>233</v>
      </c>
      <c r="O953" t="s">
        <v>173</v>
      </c>
      <c r="P953">
        <v>0.10459796823799174</v>
      </c>
      <c r="Q953" t="s">
        <v>164</v>
      </c>
    </row>
    <row r="954" spans="9:17" x14ac:dyDescent="0.45">
      <c r="I954" t="s">
        <v>197</v>
      </c>
      <c r="J954" t="s">
        <v>174</v>
      </c>
      <c r="K954">
        <v>0.12578366306139335</v>
      </c>
      <c r="L954" t="s">
        <v>164</v>
      </c>
      <c r="N954" t="s">
        <v>233</v>
      </c>
      <c r="O954" t="s">
        <v>174</v>
      </c>
      <c r="P954">
        <v>3.1158815029550577E-2</v>
      </c>
      <c r="Q954" t="s">
        <v>164</v>
      </c>
    </row>
    <row r="955" spans="9:17" x14ac:dyDescent="0.45">
      <c r="I955" t="s">
        <v>197</v>
      </c>
      <c r="J955" t="s">
        <v>175</v>
      </c>
      <c r="K955">
        <v>5.8496935108488957E-3</v>
      </c>
      <c r="L955" t="s">
        <v>164</v>
      </c>
      <c r="N955" t="s">
        <v>233</v>
      </c>
      <c r="O955" t="s">
        <v>175</v>
      </c>
      <c r="P955">
        <v>1.214731524093509E-3</v>
      </c>
      <c r="Q955" t="s">
        <v>164</v>
      </c>
    </row>
    <row r="956" spans="9:17" x14ac:dyDescent="0.45">
      <c r="I956" t="s">
        <v>197</v>
      </c>
      <c r="J956" t="s">
        <v>274</v>
      </c>
      <c r="K956">
        <v>2.6965658808831765E-3</v>
      </c>
      <c r="L956" t="s">
        <v>164</v>
      </c>
      <c r="N956" t="s">
        <v>233</v>
      </c>
      <c r="O956" t="s">
        <v>274</v>
      </c>
      <c r="P956">
        <v>1.3594976087396946E-2</v>
      </c>
      <c r="Q956" t="s">
        <v>164</v>
      </c>
    </row>
    <row r="957" spans="9:17" x14ac:dyDescent="0.45">
      <c r="I957" t="s">
        <v>197</v>
      </c>
      <c r="J957" t="s">
        <v>275</v>
      </c>
      <c r="K957">
        <v>0</v>
      </c>
      <c r="L957" t="s">
        <v>164</v>
      </c>
      <c r="N957" t="s">
        <v>233</v>
      </c>
      <c r="O957" t="s">
        <v>275</v>
      </c>
      <c r="P957">
        <v>2.3017140061082592E-2</v>
      </c>
      <c r="Q957" t="s">
        <v>164</v>
      </c>
    </row>
    <row r="958" spans="9:17" x14ac:dyDescent="0.45">
      <c r="I958" t="s">
        <v>197</v>
      </c>
      <c r="J958" t="s">
        <v>276</v>
      </c>
      <c r="K958">
        <v>0</v>
      </c>
      <c r="L958" t="s">
        <v>164</v>
      </c>
      <c r="N958" t="s">
        <v>233</v>
      </c>
      <c r="O958" t="s">
        <v>276</v>
      </c>
      <c r="P958">
        <v>1.4431201215934339E-2</v>
      </c>
      <c r="Q958" t="s">
        <v>164</v>
      </c>
    </row>
    <row r="959" spans="9:17" x14ac:dyDescent="0.45">
      <c r="I959" t="s">
        <v>197</v>
      </c>
      <c r="J959" t="s">
        <v>277</v>
      </c>
      <c r="K959">
        <v>2.3987917984828197E-3</v>
      </c>
      <c r="L959" t="s">
        <v>164</v>
      </c>
      <c r="N959" t="s">
        <v>233</v>
      </c>
      <c r="O959" t="s">
        <v>277</v>
      </c>
      <c r="P959">
        <v>4.0188506397909676E-2</v>
      </c>
      <c r="Q959" t="s">
        <v>164</v>
      </c>
    </row>
    <row r="960" spans="9:17" x14ac:dyDescent="0.45">
      <c r="I960" t="s">
        <v>197</v>
      </c>
      <c r="J960" t="s">
        <v>278</v>
      </c>
      <c r="K960">
        <v>6.2793959098699115E-2</v>
      </c>
      <c r="L960" t="s">
        <v>164</v>
      </c>
      <c r="N960" t="s">
        <v>233</v>
      </c>
      <c r="O960" t="s">
        <v>278</v>
      </c>
      <c r="P960">
        <v>2.0901370063033265E-2</v>
      </c>
      <c r="Q960" t="s">
        <v>164</v>
      </c>
    </row>
    <row r="961" spans="9:17" x14ac:dyDescent="0.45">
      <c r="I961" t="s">
        <v>197</v>
      </c>
      <c r="J961" t="s">
        <v>279</v>
      </c>
      <c r="K961">
        <v>3.4549869395031313E-3</v>
      </c>
      <c r="L961" t="s">
        <v>164</v>
      </c>
      <c r="N961" t="s">
        <v>233</v>
      </c>
      <c r="O961" t="s">
        <v>279</v>
      </c>
      <c r="P961">
        <v>1.1405285686058001E-3</v>
      </c>
      <c r="Q961" t="s">
        <v>164</v>
      </c>
    </row>
    <row r="962" spans="9:17" x14ac:dyDescent="0.45">
      <c r="I962" t="s">
        <v>197</v>
      </c>
      <c r="J962" t="s">
        <v>280</v>
      </c>
      <c r="K962">
        <v>1.6448057386977356E-3</v>
      </c>
      <c r="L962" t="s">
        <v>164</v>
      </c>
      <c r="N962" t="s">
        <v>233</v>
      </c>
      <c r="O962" t="s">
        <v>280</v>
      </c>
      <c r="P962">
        <v>6.616765996554589E-3</v>
      </c>
      <c r="Q962" t="s">
        <v>164</v>
      </c>
    </row>
    <row r="963" spans="9:17" x14ac:dyDescent="0.45">
      <c r="I963" t="s">
        <v>197</v>
      </c>
      <c r="J963" t="s">
        <v>281</v>
      </c>
      <c r="K963">
        <v>0</v>
      </c>
      <c r="L963" t="s">
        <v>164</v>
      </c>
      <c r="N963" t="s">
        <v>233</v>
      </c>
      <c r="O963" t="s">
        <v>281</v>
      </c>
      <c r="P963">
        <v>8.0750370294854837E-3</v>
      </c>
      <c r="Q963" t="s">
        <v>164</v>
      </c>
    </row>
    <row r="964" spans="9:17" x14ac:dyDescent="0.45">
      <c r="I964" t="s">
        <v>197</v>
      </c>
      <c r="J964" t="s">
        <v>282</v>
      </c>
      <c r="K964">
        <v>0</v>
      </c>
      <c r="L964" t="s">
        <v>164</v>
      </c>
      <c r="N964" t="s">
        <v>233</v>
      </c>
      <c r="O964" t="s">
        <v>282</v>
      </c>
      <c r="P964">
        <v>4.9869899058180966E-3</v>
      </c>
      <c r="Q964" t="s">
        <v>164</v>
      </c>
    </row>
    <row r="965" spans="9:17" x14ac:dyDescent="0.45">
      <c r="I965" t="s">
        <v>197</v>
      </c>
      <c r="J965" t="s">
        <v>283</v>
      </c>
      <c r="K965">
        <v>1.844209712012788E-3</v>
      </c>
      <c r="L965" t="s">
        <v>164</v>
      </c>
      <c r="N965" t="s">
        <v>233</v>
      </c>
      <c r="O965" t="s">
        <v>283</v>
      </c>
      <c r="P965">
        <v>2.2479153840269123E-2</v>
      </c>
      <c r="Q965" t="s">
        <v>164</v>
      </c>
    </row>
    <row r="966" spans="9:17" x14ac:dyDescent="0.45">
      <c r="I966" t="s">
        <v>197</v>
      </c>
      <c r="J966" t="s">
        <v>284</v>
      </c>
      <c r="K966">
        <v>5.3987936610091991E-2</v>
      </c>
      <c r="L966" t="s">
        <v>164</v>
      </c>
      <c r="N966" t="s">
        <v>233</v>
      </c>
      <c r="O966" t="s">
        <v>284</v>
      </c>
      <c r="P966">
        <v>1.3429053691332567E-2</v>
      </c>
      <c r="Q966" t="s">
        <v>164</v>
      </c>
    </row>
    <row r="967" spans="9:17" x14ac:dyDescent="0.45">
      <c r="I967" t="s">
        <v>197</v>
      </c>
      <c r="J967" t="s">
        <v>285</v>
      </c>
      <c r="K967">
        <v>3.4240815403850976E-3</v>
      </c>
      <c r="L967" t="s">
        <v>164</v>
      </c>
      <c r="N967" t="s">
        <v>233</v>
      </c>
      <c r="O967" t="s">
        <v>285</v>
      </c>
      <c r="P967">
        <v>6.5816061122542843E-4</v>
      </c>
      <c r="Q967" t="s">
        <v>164</v>
      </c>
    </row>
    <row r="968" spans="9:17" x14ac:dyDescent="0.45">
      <c r="I968" t="s">
        <v>197</v>
      </c>
      <c r="J968" t="s">
        <v>286</v>
      </c>
      <c r="K968">
        <v>1.7405514172256318E-3</v>
      </c>
      <c r="L968" t="s">
        <v>164</v>
      </c>
      <c r="N968" t="s">
        <v>233</v>
      </c>
      <c r="O968" t="s">
        <v>286</v>
      </c>
      <c r="P968">
        <v>3.6684301877870046E-3</v>
      </c>
      <c r="Q968" t="s">
        <v>164</v>
      </c>
    </row>
    <row r="969" spans="9:17" x14ac:dyDescent="0.45">
      <c r="I969" t="s">
        <v>197</v>
      </c>
      <c r="J969" t="s">
        <v>287</v>
      </c>
      <c r="K969">
        <v>0</v>
      </c>
      <c r="L969" t="s">
        <v>164</v>
      </c>
      <c r="N969" t="s">
        <v>233</v>
      </c>
      <c r="O969" t="s">
        <v>287</v>
      </c>
      <c r="P969">
        <v>4.0927935854038295E-3</v>
      </c>
      <c r="Q969" t="s">
        <v>164</v>
      </c>
    </row>
    <row r="970" spans="9:17" x14ac:dyDescent="0.45">
      <c r="I970" t="s">
        <v>197</v>
      </c>
      <c r="J970" t="s">
        <v>288</v>
      </c>
      <c r="K970">
        <v>0</v>
      </c>
      <c r="L970" t="s">
        <v>164</v>
      </c>
      <c r="N970" t="s">
        <v>233</v>
      </c>
      <c r="O970" t="s">
        <v>288</v>
      </c>
      <c r="P970">
        <v>2.36422569955537E-3</v>
      </c>
      <c r="Q970" t="s">
        <v>164</v>
      </c>
    </row>
    <row r="971" spans="9:17" x14ac:dyDescent="0.45">
      <c r="I971" t="s">
        <v>197</v>
      </c>
      <c r="J971" t="s">
        <v>289</v>
      </c>
      <c r="K971">
        <v>1.4286879890681368E-2</v>
      </c>
      <c r="L971" t="s">
        <v>164</v>
      </c>
      <c r="N971" t="s">
        <v>233</v>
      </c>
      <c r="O971" t="s">
        <v>289</v>
      </c>
      <c r="P971">
        <v>0.15792468321864533</v>
      </c>
      <c r="Q971" t="s">
        <v>164</v>
      </c>
    </row>
    <row r="972" spans="9:17" x14ac:dyDescent="0.45">
      <c r="I972" t="s">
        <v>197</v>
      </c>
      <c r="J972" t="s">
        <v>290</v>
      </c>
      <c r="K972">
        <v>0.30845787799844354</v>
      </c>
      <c r="L972" t="s">
        <v>164</v>
      </c>
      <c r="N972" t="s">
        <v>233</v>
      </c>
      <c r="O972" t="s">
        <v>290</v>
      </c>
      <c r="P972">
        <v>6.7433608330781852E-2</v>
      </c>
      <c r="Q972" t="s">
        <v>164</v>
      </c>
    </row>
    <row r="973" spans="9:17" x14ac:dyDescent="0.45">
      <c r="I973" t="s">
        <v>197</v>
      </c>
      <c r="J973" t="s">
        <v>291</v>
      </c>
      <c r="K973">
        <v>1.672708359698561E-2</v>
      </c>
      <c r="L973" t="s">
        <v>164</v>
      </c>
      <c r="N973" t="s">
        <v>233</v>
      </c>
      <c r="O973" t="s">
        <v>291</v>
      </c>
      <c r="P973">
        <v>4.4952321221885926E-3</v>
      </c>
      <c r="Q973" t="s">
        <v>164</v>
      </c>
    </row>
    <row r="974" spans="9:17" x14ac:dyDescent="0.45">
      <c r="I974" t="s">
        <v>197</v>
      </c>
      <c r="J974" t="s">
        <v>292</v>
      </c>
      <c r="K974">
        <v>2.1200155927344821E-4</v>
      </c>
      <c r="L974" t="s">
        <v>164</v>
      </c>
      <c r="N974" t="s">
        <v>233</v>
      </c>
      <c r="O974" t="s">
        <v>292</v>
      </c>
      <c r="P974">
        <v>2.8472063866117142E-2</v>
      </c>
      <c r="Q974" t="s">
        <v>164</v>
      </c>
    </row>
    <row r="975" spans="9:17" x14ac:dyDescent="0.45">
      <c r="I975" t="s">
        <v>197</v>
      </c>
      <c r="J975" t="s">
        <v>293</v>
      </c>
      <c r="K975">
        <v>0</v>
      </c>
      <c r="L975" t="s">
        <v>164</v>
      </c>
      <c r="N975" t="s">
        <v>233</v>
      </c>
      <c r="O975" t="s">
        <v>293</v>
      </c>
      <c r="P975">
        <v>3.0333565164489193E-2</v>
      </c>
      <c r="Q975" t="s">
        <v>164</v>
      </c>
    </row>
    <row r="976" spans="9:17" x14ac:dyDescent="0.45">
      <c r="I976" t="s">
        <v>197</v>
      </c>
      <c r="J976" t="s">
        <v>294</v>
      </c>
      <c r="K976">
        <v>0</v>
      </c>
      <c r="L976" t="s">
        <v>164</v>
      </c>
      <c r="N976" t="s">
        <v>233</v>
      </c>
      <c r="O976" t="s">
        <v>294</v>
      </c>
      <c r="P976">
        <v>1.7445618904401963E-2</v>
      </c>
      <c r="Q976" t="s">
        <v>164</v>
      </c>
    </row>
    <row r="977" spans="9:17" x14ac:dyDescent="0.45">
      <c r="I977" t="s">
        <v>198</v>
      </c>
      <c r="J977" t="s">
        <v>163</v>
      </c>
      <c r="K977">
        <v>1.0221592733527889E-2</v>
      </c>
      <c r="L977" t="s">
        <v>164</v>
      </c>
      <c r="N977" t="s">
        <v>234</v>
      </c>
      <c r="O977" t="s">
        <v>163</v>
      </c>
      <c r="P977">
        <v>6.655477996442348E-2</v>
      </c>
      <c r="Q977" t="s">
        <v>164</v>
      </c>
    </row>
    <row r="978" spans="9:17" x14ac:dyDescent="0.45">
      <c r="I978" t="s">
        <v>198</v>
      </c>
      <c r="J978" t="s">
        <v>165</v>
      </c>
      <c r="K978">
        <v>0.17692211973508198</v>
      </c>
      <c r="L978" t="s">
        <v>164</v>
      </c>
      <c r="N978" t="s">
        <v>234</v>
      </c>
      <c r="O978" t="s">
        <v>165</v>
      </c>
      <c r="P978">
        <v>2.8636509558966274E-2</v>
      </c>
      <c r="Q978" t="s">
        <v>164</v>
      </c>
    </row>
    <row r="979" spans="9:17" x14ac:dyDescent="0.45">
      <c r="I979" t="s">
        <v>198</v>
      </c>
      <c r="J979" t="s">
        <v>166</v>
      </c>
      <c r="K979">
        <v>9.7414187894342193E-3</v>
      </c>
      <c r="L979" t="s">
        <v>164</v>
      </c>
      <c r="N979" t="s">
        <v>234</v>
      </c>
      <c r="O979" t="s">
        <v>166</v>
      </c>
      <c r="P979">
        <v>4.6948589825534306E-3</v>
      </c>
      <c r="Q979" t="s">
        <v>164</v>
      </c>
    </row>
    <row r="980" spans="9:17" x14ac:dyDescent="0.45">
      <c r="I980" t="s">
        <v>198</v>
      </c>
      <c r="J980" t="s">
        <v>265</v>
      </c>
      <c r="K980">
        <v>0</v>
      </c>
      <c r="L980" t="s">
        <v>164</v>
      </c>
      <c r="N980" t="s">
        <v>234</v>
      </c>
      <c r="O980" t="s">
        <v>265</v>
      </c>
      <c r="P980">
        <v>2.2795468981401803E-2</v>
      </c>
      <c r="Q980" t="s">
        <v>164</v>
      </c>
    </row>
    <row r="981" spans="9:17" x14ac:dyDescent="0.45">
      <c r="I981" t="s">
        <v>198</v>
      </c>
      <c r="J981" t="s">
        <v>266</v>
      </c>
      <c r="K981">
        <v>0</v>
      </c>
      <c r="L981" t="s">
        <v>164</v>
      </c>
      <c r="N981" t="s">
        <v>234</v>
      </c>
      <c r="O981" t="s">
        <v>266</v>
      </c>
      <c r="P981">
        <v>1.8114905081321846E-2</v>
      </c>
      <c r="Q981" t="s">
        <v>164</v>
      </c>
    </row>
    <row r="982" spans="9:17" x14ac:dyDescent="0.45">
      <c r="I982" t="s">
        <v>198</v>
      </c>
      <c r="J982" t="s">
        <v>267</v>
      </c>
      <c r="K982">
        <v>0</v>
      </c>
      <c r="L982" t="s">
        <v>164</v>
      </c>
      <c r="N982" t="s">
        <v>234</v>
      </c>
      <c r="O982" t="s">
        <v>267</v>
      </c>
      <c r="P982">
        <v>9.0910329442205236E-3</v>
      </c>
      <c r="Q982" t="s">
        <v>164</v>
      </c>
    </row>
    <row r="983" spans="9:17" x14ac:dyDescent="0.45">
      <c r="I983" t="s">
        <v>198</v>
      </c>
      <c r="J983" t="s">
        <v>167</v>
      </c>
      <c r="K983">
        <v>6.3709627364469659E-3</v>
      </c>
      <c r="L983" t="s">
        <v>164</v>
      </c>
      <c r="N983" t="s">
        <v>234</v>
      </c>
      <c r="O983" t="s">
        <v>167</v>
      </c>
      <c r="P983">
        <v>3.21306283005681E-2</v>
      </c>
      <c r="Q983" t="s">
        <v>164</v>
      </c>
    </row>
    <row r="984" spans="9:17" x14ac:dyDescent="0.45">
      <c r="I984" t="s">
        <v>198</v>
      </c>
      <c r="J984" t="s">
        <v>168</v>
      </c>
      <c r="K984">
        <v>8.7069177632748337E-2</v>
      </c>
      <c r="L984" t="s">
        <v>164</v>
      </c>
      <c r="N984" t="s">
        <v>234</v>
      </c>
      <c r="O984" t="s">
        <v>168</v>
      </c>
      <c r="P984">
        <v>1.8889503310866557E-2</v>
      </c>
      <c r="Q984" t="s">
        <v>164</v>
      </c>
    </row>
    <row r="985" spans="9:17" x14ac:dyDescent="0.45">
      <c r="I985" t="s">
        <v>198</v>
      </c>
      <c r="J985" t="s">
        <v>169</v>
      </c>
      <c r="K985">
        <v>4.6661998487088343E-3</v>
      </c>
      <c r="L985" t="s">
        <v>164</v>
      </c>
      <c r="N985" t="s">
        <v>234</v>
      </c>
      <c r="O985" t="s">
        <v>169</v>
      </c>
      <c r="P985">
        <v>1.9590598908682528E-3</v>
      </c>
      <c r="Q985" t="s">
        <v>164</v>
      </c>
    </row>
    <row r="986" spans="9:17" x14ac:dyDescent="0.45">
      <c r="I986" t="s">
        <v>198</v>
      </c>
      <c r="J986" t="s">
        <v>268</v>
      </c>
      <c r="K986">
        <v>0</v>
      </c>
      <c r="L986" t="s">
        <v>164</v>
      </c>
      <c r="N986" t="s">
        <v>234</v>
      </c>
      <c r="O986" t="s">
        <v>268</v>
      </c>
      <c r="P986">
        <v>6.3999774816015792E-3</v>
      </c>
      <c r="Q986" t="s">
        <v>164</v>
      </c>
    </row>
    <row r="987" spans="9:17" x14ac:dyDescent="0.45">
      <c r="I987" t="s">
        <v>198</v>
      </c>
      <c r="J987" t="s">
        <v>269</v>
      </c>
      <c r="K987">
        <v>0</v>
      </c>
      <c r="L987" t="s">
        <v>164</v>
      </c>
      <c r="N987" t="s">
        <v>234</v>
      </c>
      <c r="O987" t="s">
        <v>269</v>
      </c>
      <c r="P987">
        <v>4.7468104650109939E-3</v>
      </c>
      <c r="Q987" t="s">
        <v>164</v>
      </c>
    </row>
    <row r="988" spans="9:17" x14ac:dyDescent="0.45">
      <c r="I988" t="s">
        <v>198</v>
      </c>
      <c r="J988" t="s">
        <v>270</v>
      </c>
      <c r="K988">
        <v>0</v>
      </c>
      <c r="L988" t="s">
        <v>164</v>
      </c>
      <c r="N988" t="s">
        <v>234</v>
      </c>
      <c r="O988" t="s">
        <v>270</v>
      </c>
      <c r="P988">
        <v>2.8016000037154932E-3</v>
      </c>
      <c r="Q988" t="s">
        <v>164</v>
      </c>
    </row>
    <row r="989" spans="9:17" x14ac:dyDescent="0.45">
      <c r="I989" t="s">
        <v>198</v>
      </c>
      <c r="J989" t="s">
        <v>170</v>
      </c>
      <c r="K989">
        <v>6.9933290594598845E-3</v>
      </c>
      <c r="L989" t="s">
        <v>164</v>
      </c>
      <c r="N989" t="s">
        <v>234</v>
      </c>
      <c r="O989" t="s">
        <v>170</v>
      </c>
      <c r="P989">
        <v>5.6483201555156813E-2</v>
      </c>
      <c r="Q989" t="s">
        <v>164</v>
      </c>
    </row>
    <row r="990" spans="9:17" x14ac:dyDescent="0.45">
      <c r="I990" t="s">
        <v>198</v>
      </c>
      <c r="J990" t="s">
        <v>171</v>
      </c>
      <c r="K990">
        <v>7.5083213674241867E-2</v>
      </c>
      <c r="L990" t="s">
        <v>164</v>
      </c>
      <c r="N990" t="s">
        <v>234</v>
      </c>
      <c r="O990" t="s">
        <v>171</v>
      </c>
      <c r="P990">
        <v>1.9031410462778335E-2</v>
      </c>
      <c r="Q990" t="s">
        <v>164</v>
      </c>
    </row>
    <row r="991" spans="9:17" x14ac:dyDescent="0.45">
      <c r="I991" t="s">
        <v>198</v>
      </c>
      <c r="J991" t="s">
        <v>172</v>
      </c>
      <c r="K991">
        <v>3.8397500238015114E-3</v>
      </c>
      <c r="L991" t="s">
        <v>164</v>
      </c>
      <c r="N991" t="s">
        <v>234</v>
      </c>
      <c r="O991" t="s">
        <v>172</v>
      </c>
      <c r="P991">
        <v>1.5783008722486513E-3</v>
      </c>
      <c r="Q991" t="s">
        <v>164</v>
      </c>
    </row>
    <row r="992" spans="9:17" x14ac:dyDescent="0.45">
      <c r="I992" t="s">
        <v>198</v>
      </c>
      <c r="J992" t="s">
        <v>271</v>
      </c>
      <c r="K992">
        <v>0</v>
      </c>
      <c r="L992" t="s">
        <v>164</v>
      </c>
      <c r="N992" t="s">
        <v>234</v>
      </c>
      <c r="O992" t="s">
        <v>271</v>
      </c>
      <c r="P992">
        <v>6.9479003533459279E-3</v>
      </c>
      <c r="Q992" t="s">
        <v>164</v>
      </c>
    </row>
    <row r="993" spans="9:17" x14ac:dyDescent="0.45">
      <c r="I993" t="s">
        <v>198</v>
      </c>
      <c r="J993" t="s">
        <v>272</v>
      </c>
      <c r="K993">
        <v>0</v>
      </c>
      <c r="L993" t="s">
        <v>164</v>
      </c>
      <c r="N993" t="s">
        <v>234</v>
      </c>
      <c r="O993" t="s">
        <v>272</v>
      </c>
      <c r="P993">
        <v>5.7018674984951005E-3</v>
      </c>
      <c r="Q993" t="s">
        <v>164</v>
      </c>
    </row>
    <row r="994" spans="9:17" x14ac:dyDescent="0.45">
      <c r="I994" t="s">
        <v>198</v>
      </c>
      <c r="J994" t="s">
        <v>273</v>
      </c>
      <c r="K994">
        <v>0</v>
      </c>
      <c r="L994" t="s">
        <v>164</v>
      </c>
      <c r="N994" t="s">
        <v>234</v>
      </c>
      <c r="O994" t="s">
        <v>273</v>
      </c>
      <c r="P994">
        <v>3.6577343041093485E-3</v>
      </c>
      <c r="Q994" t="s">
        <v>164</v>
      </c>
    </row>
    <row r="995" spans="9:17" x14ac:dyDescent="0.45">
      <c r="I995" t="s">
        <v>198</v>
      </c>
      <c r="J995" t="s">
        <v>173</v>
      </c>
      <c r="K995">
        <v>1.1895126168604754E-2</v>
      </c>
      <c r="L995" t="s">
        <v>164</v>
      </c>
      <c r="N995" t="s">
        <v>234</v>
      </c>
      <c r="O995" t="s">
        <v>173</v>
      </c>
      <c r="P995">
        <v>0.16524752957549604</v>
      </c>
      <c r="Q995" t="s">
        <v>164</v>
      </c>
    </row>
    <row r="996" spans="9:17" x14ac:dyDescent="0.45">
      <c r="I996" t="s">
        <v>198</v>
      </c>
      <c r="J996" t="s">
        <v>174</v>
      </c>
      <c r="K996">
        <v>0.12329906637197745</v>
      </c>
      <c r="L996" t="s">
        <v>164</v>
      </c>
      <c r="N996" t="s">
        <v>234</v>
      </c>
      <c r="O996" t="s">
        <v>174</v>
      </c>
      <c r="P996">
        <v>3.8716166182838588E-2</v>
      </c>
      <c r="Q996" t="s">
        <v>164</v>
      </c>
    </row>
    <row r="997" spans="9:17" x14ac:dyDescent="0.45">
      <c r="I997" t="s">
        <v>198</v>
      </c>
      <c r="J997" t="s">
        <v>175</v>
      </c>
      <c r="K997">
        <v>6.6871591432079531E-3</v>
      </c>
      <c r="L997" t="s">
        <v>164</v>
      </c>
      <c r="N997" t="s">
        <v>234</v>
      </c>
      <c r="O997" t="s">
        <v>175</v>
      </c>
      <c r="P997">
        <v>3.5548077153833707E-3</v>
      </c>
      <c r="Q997" t="s">
        <v>164</v>
      </c>
    </row>
    <row r="998" spans="9:17" x14ac:dyDescent="0.45">
      <c r="I998" t="s">
        <v>198</v>
      </c>
      <c r="J998" t="s">
        <v>274</v>
      </c>
      <c r="K998">
        <v>9.6982423308250717E-4</v>
      </c>
      <c r="L998" t="s">
        <v>164</v>
      </c>
      <c r="N998" t="s">
        <v>234</v>
      </c>
      <c r="O998" t="s">
        <v>274</v>
      </c>
      <c r="P998">
        <v>2.5967423512422493E-2</v>
      </c>
      <c r="Q998" t="s">
        <v>164</v>
      </c>
    </row>
    <row r="999" spans="9:17" x14ac:dyDescent="0.45">
      <c r="I999" t="s">
        <v>198</v>
      </c>
      <c r="J999" t="s">
        <v>275</v>
      </c>
      <c r="K999">
        <v>0</v>
      </c>
      <c r="L999" t="s">
        <v>164</v>
      </c>
      <c r="N999" t="s">
        <v>234</v>
      </c>
      <c r="O999" t="s">
        <v>275</v>
      </c>
      <c r="P999">
        <v>3.2702575897882787E-2</v>
      </c>
      <c r="Q999" t="s">
        <v>164</v>
      </c>
    </row>
    <row r="1000" spans="9:17" x14ac:dyDescent="0.45">
      <c r="I1000" t="s">
        <v>198</v>
      </c>
      <c r="J1000" t="s">
        <v>276</v>
      </c>
      <c r="K1000">
        <v>0</v>
      </c>
      <c r="L1000" t="s">
        <v>164</v>
      </c>
      <c r="N1000" t="s">
        <v>234</v>
      </c>
      <c r="O1000" t="s">
        <v>276</v>
      </c>
      <c r="P1000">
        <v>2.0675433804304453E-2</v>
      </c>
      <c r="Q1000" t="s">
        <v>164</v>
      </c>
    </row>
    <row r="1001" spans="9:17" x14ac:dyDescent="0.45">
      <c r="I1001" t="s">
        <v>198</v>
      </c>
      <c r="J1001" t="s">
        <v>277</v>
      </c>
      <c r="K1001">
        <v>3.8573851009763337E-3</v>
      </c>
      <c r="L1001" t="s">
        <v>164</v>
      </c>
      <c r="N1001" t="s">
        <v>234</v>
      </c>
      <c r="O1001" t="s">
        <v>277</v>
      </c>
      <c r="P1001">
        <v>6.1727883336274998E-2</v>
      </c>
      <c r="Q1001" t="s">
        <v>164</v>
      </c>
    </row>
    <row r="1002" spans="9:17" x14ac:dyDescent="0.45">
      <c r="I1002" t="s">
        <v>198</v>
      </c>
      <c r="J1002" t="s">
        <v>278</v>
      </c>
      <c r="K1002">
        <v>5.3857697857148425E-2</v>
      </c>
      <c r="L1002" t="s">
        <v>164</v>
      </c>
      <c r="N1002" t="s">
        <v>234</v>
      </c>
      <c r="O1002" t="s">
        <v>278</v>
      </c>
      <c r="P1002">
        <v>2.3222816016751732E-2</v>
      </c>
      <c r="Q1002" t="s">
        <v>164</v>
      </c>
    </row>
    <row r="1003" spans="9:17" x14ac:dyDescent="0.45">
      <c r="I1003" t="s">
        <v>198</v>
      </c>
      <c r="J1003" t="s">
        <v>279</v>
      </c>
      <c r="K1003">
        <v>3.2163163512544122E-3</v>
      </c>
      <c r="L1003" t="s">
        <v>164</v>
      </c>
      <c r="N1003" t="s">
        <v>234</v>
      </c>
      <c r="O1003" t="s">
        <v>279</v>
      </c>
      <c r="P1003">
        <v>8.5577273552676491E-4</v>
      </c>
      <c r="Q1003" t="s">
        <v>164</v>
      </c>
    </row>
    <row r="1004" spans="9:17" x14ac:dyDescent="0.45">
      <c r="I1004" t="s">
        <v>198</v>
      </c>
      <c r="J1004" t="s">
        <v>280</v>
      </c>
      <c r="K1004">
        <v>2.0101282654188739E-3</v>
      </c>
      <c r="L1004" t="s">
        <v>164</v>
      </c>
      <c r="N1004" t="s">
        <v>234</v>
      </c>
      <c r="O1004" t="s">
        <v>280</v>
      </c>
      <c r="P1004">
        <v>5.9287922032566836E-3</v>
      </c>
      <c r="Q1004" t="s">
        <v>164</v>
      </c>
    </row>
    <row r="1005" spans="9:17" x14ac:dyDescent="0.45">
      <c r="I1005" t="s">
        <v>198</v>
      </c>
      <c r="J1005" t="s">
        <v>281</v>
      </c>
      <c r="K1005">
        <v>0</v>
      </c>
      <c r="L1005" t="s">
        <v>164</v>
      </c>
      <c r="N1005" t="s">
        <v>234</v>
      </c>
      <c r="O1005" t="s">
        <v>281</v>
      </c>
      <c r="P1005">
        <v>7.4070788329434253E-3</v>
      </c>
      <c r="Q1005" t="s">
        <v>164</v>
      </c>
    </row>
    <row r="1006" spans="9:17" x14ac:dyDescent="0.45">
      <c r="I1006" t="s">
        <v>198</v>
      </c>
      <c r="J1006" t="s">
        <v>282</v>
      </c>
      <c r="K1006">
        <v>0</v>
      </c>
      <c r="L1006" t="s">
        <v>164</v>
      </c>
      <c r="N1006" t="s">
        <v>234</v>
      </c>
      <c r="O1006" t="s">
        <v>282</v>
      </c>
      <c r="P1006">
        <v>5.3515274140139906E-3</v>
      </c>
      <c r="Q1006" t="s">
        <v>164</v>
      </c>
    </row>
    <row r="1007" spans="9:17" x14ac:dyDescent="0.45">
      <c r="I1007" t="s">
        <v>198</v>
      </c>
      <c r="J1007" t="s">
        <v>283</v>
      </c>
      <c r="K1007">
        <v>3.0376174816086469E-3</v>
      </c>
      <c r="L1007" t="s">
        <v>164</v>
      </c>
      <c r="N1007" t="s">
        <v>234</v>
      </c>
      <c r="O1007" t="s">
        <v>283</v>
      </c>
      <c r="P1007">
        <v>3.5642552628390528E-2</v>
      </c>
      <c r="Q1007" t="s">
        <v>164</v>
      </c>
    </row>
    <row r="1008" spans="9:17" x14ac:dyDescent="0.45">
      <c r="I1008" t="s">
        <v>198</v>
      </c>
      <c r="J1008" t="s">
        <v>284</v>
      </c>
      <c r="K1008">
        <v>5.2672588065485838E-2</v>
      </c>
      <c r="L1008" t="s">
        <v>164</v>
      </c>
      <c r="N1008" t="s">
        <v>234</v>
      </c>
      <c r="O1008" t="s">
        <v>284</v>
      </c>
      <c r="P1008">
        <v>2.5036661195082827E-2</v>
      </c>
      <c r="Q1008" t="s">
        <v>164</v>
      </c>
    </row>
    <row r="1009" spans="9:17" x14ac:dyDescent="0.45">
      <c r="I1009" t="s">
        <v>198</v>
      </c>
      <c r="J1009" t="s">
        <v>285</v>
      </c>
      <c r="K1009">
        <v>2.4129258772054422E-3</v>
      </c>
      <c r="L1009" t="s">
        <v>164</v>
      </c>
      <c r="N1009" t="s">
        <v>234</v>
      </c>
      <c r="O1009" t="s">
        <v>285</v>
      </c>
      <c r="P1009">
        <v>1.4118230497246105E-3</v>
      </c>
      <c r="Q1009" t="s">
        <v>164</v>
      </c>
    </row>
    <row r="1010" spans="9:17" x14ac:dyDescent="0.45">
      <c r="I1010" t="s">
        <v>198</v>
      </c>
      <c r="J1010" t="s">
        <v>286</v>
      </c>
      <c r="K1010">
        <v>3.7944759083073334E-4</v>
      </c>
      <c r="L1010" t="s">
        <v>164</v>
      </c>
      <c r="N1010" t="s">
        <v>234</v>
      </c>
      <c r="O1010" t="s">
        <v>286</v>
      </c>
      <c r="P1010">
        <v>5.6249490599016112E-3</v>
      </c>
      <c r="Q1010" t="s">
        <v>164</v>
      </c>
    </row>
    <row r="1011" spans="9:17" x14ac:dyDescent="0.45">
      <c r="I1011" t="s">
        <v>198</v>
      </c>
      <c r="J1011" t="s">
        <v>287</v>
      </c>
      <c r="K1011">
        <v>0</v>
      </c>
      <c r="L1011" t="s">
        <v>164</v>
      </c>
      <c r="N1011" t="s">
        <v>234</v>
      </c>
      <c r="O1011" t="s">
        <v>287</v>
      </c>
      <c r="P1011">
        <v>6.1141501226134286E-3</v>
      </c>
      <c r="Q1011" t="s">
        <v>164</v>
      </c>
    </row>
    <row r="1012" spans="9:17" x14ac:dyDescent="0.45">
      <c r="I1012" t="s">
        <v>198</v>
      </c>
      <c r="J1012" t="s">
        <v>288</v>
      </c>
      <c r="K1012">
        <v>0</v>
      </c>
      <c r="L1012" t="s">
        <v>164</v>
      </c>
      <c r="N1012" t="s">
        <v>234</v>
      </c>
      <c r="O1012" t="s">
        <v>288</v>
      </c>
      <c r="P1012">
        <v>3.8332879915233451E-3</v>
      </c>
      <c r="Q1012" t="s">
        <v>164</v>
      </c>
    </row>
    <row r="1013" spans="9:17" x14ac:dyDescent="0.45">
      <c r="I1013" t="s">
        <v>198</v>
      </c>
      <c r="J1013" t="s">
        <v>289</v>
      </c>
      <c r="K1013">
        <v>3.116127038166586E-2</v>
      </c>
      <c r="L1013" t="s">
        <v>164</v>
      </c>
      <c r="N1013" t="s">
        <v>234</v>
      </c>
      <c r="O1013" t="s">
        <v>289</v>
      </c>
      <c r="P1013">
        <v>0.10199798958908589</v>
      </c>
      <c r="Q1013" t="s">
        <v>164</v>
      </c>
    </row>
    <row r="1014" spans="9:17" x14ac:dyDescent="0.45">
      <c r="I1014" t="s">
        <v>198</v>
      </c>
      <c r="J1014" t="s">
        <v>290</v>
      </c>
      <c r="K1014">
        <v>0.30899339482344806</v>
      </c>
      <c r="L1014" t="s">
        <v>164</v>
      </c>
      <c r="N1014" t="s">
        <v>234</v>
      </c>
      <c r="O1014" t="s">
        <v>290</v>
      </c>
      <c r="P1014">
        <v>5.4866601591647586E-2</v>
      </c>
      <c r="Q1014" t="s">
        <v>164</v>
      </c>
    </row>
    <row r="1015" spans="9:17" x14ac:dyDescent="0.45">
      <c r="I1015" t="s">
        <v>198</v>
      </c>
      <c r="J1015" t="s">
        <v>291</v>
      </c>
      <c r="K1015">
        <v>1.4642288054632389E-2</v>
      </c>
      <c r="L1015" t="s">
        <v>164</v>
      </c>
      <c r="N1015" t="s">
        <v>234</v>
      </c>
      <c r="O1015" t="s">
        <v>291</v>
      </c>
      <c r="P1015">
        <v>6.6723617170780262E-3</v>
      </c>
      <c r="Q1015" t="s">
        <v>164</v>
      </c>
    </row>
    <row r="1016" spans="9:17" x14ac:dyDescent="0.45">
      <c r="I1016" t="s">
        <v>198</v>
      </c>
      <c r="J1016" t="s">
        <v>292</v>
      </c>
      <c r="K1016">
        <v>0</v>
      </c>
      <c r="L1016" t="s">
        <v>164</v>
      </c>
      <c r="N1016" t="s">
        <v>234</v>
      </c>
      <c r="O1016" t="s">
        <v>292</v>
      </c>
      <c r="P1016">
        <v>2.5976197257049569E-2</v>
      </c>
      <c r="Q1016" t="s">
        <v>164</v>
      </c>
    </row>
    <row r="1017" spans="9:17" x14ac:dyDescent="0.45">
      <c r="I1017" t="s">
        <v>198</v>
      </c>
      <c r="J1017" t="s">
        <v>293</v>
      </c>
      <c r="K1017">
        <v>0</v>
      </c>
      <c r="L1017" t="s">
        <v>164</v>
      </c>
      <c r="N1017" t="s">
        <v>234</v>
      </c>
      <c r="O1017" t="s">
        <v>293</v>
      </c>
      <c r="P1017">
        <v>2.0008127490401841E-2</v>
      </c>
      <c r="Q1017" t="s">
        <v>164</v>
      </c>
    </row>
    <row r="1018" spans="9:17" x14ac:dyDescent="0.45">
      <c r="I1018" t="s">
        <v>198</v>
      </c>
      <c r="J1018" t="s">
        <v>294</v>
      </c>
      <c r="K1018">
        <v>0</v>
      </c>
      <c r="L1018" t="s">
        <v>164</v>
      </c>
      <c r="N1018" t="s">
        <v>234</v>
      </c>
      <c r="O1018" t="s">
        <v>294</v>
      </c>
      <c r="P1018">
        <v>1.1241941068751857E-2</v>
      </c>
      <c r="Q1018" t="s">
        <v>164</v>
      </c>
    </row>
    <row r="1019" spans="9:17" x14ac:dyDescent="0.45">
      <c r="I1019" t="s">
        <v>199</v>
      </c>
      <c r="J1019" t="s">
        <v>163</v>
      </c>
      <c r="K1019">
        <v>8.3289831036811434E-3</v>
      </c>
      <c r="L1019" t="s">
        <v>164</v>
      </c>
      <c r="N1019" t="s">
        <v>235</v>
      </c>
      <c r="O1019" t="s">
        <v>163</v>
      </c>
      <c r="P1019">
        <v>9.7262107503159501E-2</v>
      </c>
      <c r="Q1019" t="s">
        <v>164</v>
      </c>
    </row>
    <row r="1020" spans="9:17" x14ac:dyDescent="0.45">
      <c r="I1020" t="s">
        <v>199</v>
      </c>
      <c r="J1020" t="s">
        <v>165</v>
      </c>
      <c r="K1020">
        <v>0.17880429756771946</v>
      </c>
      <c r="L1020" t="s">
        <v>164</v>
      </c>
      <c r="N1020" t="s">
        <v>235</v>
      </c>
      <c r="O1020" t="s">
        <v>165</v>
      </c>
      <c r="P1020">
        <v>3.5418376294129195E-2</v>
      </c>
      <c r="Q1020" t="s">
        <v>164</v>
      </c>
    </row>
    <row r="1021" spans="9:17" x14ac:dyDescent="0.45">
      <c r="I1021" t="s">
        <v>199</v>
      </c>
      <c r="J1021" t="s">
        <v>166</v>
      </c>
      <c r="K1021">
        <v>1.0777611919159701E-2</v>
      </c>
      <c r="L1021" t="s">
        <v>164</v>
      </c>
      <c r="N1021" t="s">
        <v>235</v>
      </c>
      <c r="O1021" t="s">
        <v>166</v>
      </c>
      <c r="P1021">
        <v>3.6669511101778554E-3</v>
      </c>
      <c r="Q1021" t="s">
        <v>164</v>
      </c>
    </row>
    <row r="1022" spans="9:17" x14ac:dyDescent="0.45">
      <c r="I1022" t="s">
        <v>199</v>
      </c>
      <c r="J1022" t="s">
        <v>265</v>
      </c>
      <c r="K1022">
        <v>2.433616867083729E-3</v>
      </c>
      <c r="L1022" t="s">
        <v>164</v>
      </c>
      <c r="N1022" t="s">
        <v>235</v>
      </c>
      <c r="O1022" t="s">
        <v>265</v>
      </c>
      <c r="P1022">
        <v>2.2222755923909116E-2</v>
      </c>
      <c r="Q1022" t="s">
        <v>164</v>
      </c>
    </row>
    <row r="1023" spans="9:17" x14ac:dyDescent="0.45">
      <c r="I1023" t="s">
        <v>199</v>
      </c>
      <c r="J1023" t="s">
        <v>266</v>
      </c>
      <c r="K1023">
        <v>0</v>
      </c>
      <c r="L1023" t="s">
        <v>164</v>
      </c>
      <c r="N1023" t="s">
        <v>235</v>
      </c>
      <c r="O1023" t="s">
        <v>266</v>
      </c>
      <c r="P1023">
        <v>2.2467506892200305E-2</v>
      </c>
      <c r="Q1023" t="s">
        <v>164</v>
      </c>
    </row>
    <row r="1024" spans="9:17" x14ac:dyDescent="0.45">
      <c r="I1024" t="s">
        <v>199</v>
      </c>
      <c r="J1024" t="s">
        <v>267</v>
      </c>
      <c r="K1024">
        <v>0</v>
      </c>
      <c r="L1024" t="s">
        <v>164</v>
      </c>
      <c r="N1024" t="s">
        <v>235</v>
      </c>
      <c r="O1024" t="s">
        <v>267</v>
      </c>
      <c r="P1024">
        <v>1.235412453351043E-2</v>
      </c>
      <c r="Q1024" t="s">
        <v>164</v>
      </c>
    </row>
    <row r="1025" spans="9:17" x14ac:dyDescent="0.45">
      <c r="I1025" t="s">
        <v>199</v>
      </c>
      <c r="J1025" t="s">
        <v>167</v>
      </c>
      <c r="K1025">
        <v>4.2713941990080388E-3</v>
      </c>
      <c r="L1025" t="s">
        <v>164</v>
      </c>
      <c r="N1025" t="s">
        <v>235</v>
      </c>
      <c r="O1025" t="s">
        <v>167</v>
      </c>
      <c r="P1025">
        <v>3.3028971810491442E-2</v>
      </c>
      <c r="Q1025" t="s">
        <v>164</v>
      </c>
    </row>
    <row r="1026" spans="9:17" x14ac:dyDescent="0.45">
      <c r="I1026" t="s">
        <v>199</v>
      </c>
      <c r="J1026" t="s">
        <v>168</v>
      </c>
      <c r="K1026">
        <v>8.8578747196515803E-2</v>
      </c>
      <c r="L1026" t="s">
        <v>164</v>
      </c>
      <c r="N1026" t="s">
        <v>235</v>
      </c>
      <c r="O1026" t="s">
        <v>168</v>
      </c>
      <c r="P1026">
        <v>1.4860715556456195E-2</v>
      </c>
      <c r="Q1026" t="s">
        <v>164</v>
      </c>
    </row>
    <row r="1027" spans="9:17" x14ac:dyDescent="0.45">
      <c r="I1027" t="s">
        <v>199</v>
      </c>
      <c r="J1027" t="s">
        <v>169</v>
      </c>
      <c r="K1027">
        <v>5.2536974342860835E-3</v>
      </c>
      <c r="L1027" t="s">
        <v>164</v>
      </c>
      <c r="N1027" t="s">
        <v>235</v>
      </c>
      <c r="O1027" t="s">
        <v>169</v>
      </c>
      <c r="P1027">
        <v>9.6377436807189808E-4</v>
      </c>
      <c r="Q1027" t="s">
        <v>164</v>
      </c>
    </row>
    <row r="1028" spans="9:17" x14ac:dyDescent="0.45">
      <c r="I1028" t="s">
        <v>199</v>
      </c>
      <c r="J1028" t="s">
        <v>268</v>
      </c>
      <c r="K1028">
        <v>2.8017340807897813E-3</v>
      </c>
      <c r="L1028" t="s">
        <v>164</v>
      </c>
      <c r="N1028" t="s">
        <v>235</v>
      </c>
      <c r="O1028" t="s">
        <v>268</v>
      </c>
      <c r="P1028">
        <v>4.5647513941314277E-3</v>
      </c>
      <c r="Q1028" t="s">
        <v>164</v>
      </c>
    </row>
    <row r="1029" spans="9:17" x14ac:dyDescent="0.45">
      <c r="I1029" t="s">
        <v>199</v>
      </c>
      <c r="J1029" t="s">
        <v>269</v>
      </c>
      <c r="K1029">
        <v>0</v>
      </c>
      <c r="L1029" t="s">
        <v>164</v>
      </c>
      <c r="N1029" t="s">
        <v>235</v>
      </c>
      <c r="O1029" t="s">
        <v>269</v>
      </c>
      <c r="P1029">
        <v>5.0215019318492933E-3</v>
      </c>
      <c r="Q1029" t="s">
        <v>164</v>
      </c>
    </row>
    <row r="1030" spans="9:17" x14ac:dyDescent="0.45">
      <c r="I1030" t="s">
        <v>199</v>
      </c>
      <c r="J1030" t="s">
        <v>270</v>
      </c>
      <c r="K1030">
        <v>0</v>
      </c>
      <c r="L1030" t="s">
        <v>164</v>
      </c>
      <c r="N1030" t="s">
        <v>235</v>
      </c>
      <c r="O1030" t="s">
        <v>270</v>
      </c>
      <c r="P1030">
        <v>3.059214624259387E-3</v>
      </c>
      <c r="Q1030" t="s">
        <v>164</v>
      </c>
    </row>
    <row r="1031" spans="9:17" x14ac:dyDescent="0.45">
      <c r="I1031" t="s">
        <v>199</v>
      </c>
      <c r="J1031" t="s">
        <v>170</v>
      </c>
      <c r="K1031">
        <v>5.9199597435387347E-3</v>
      </c>
      <c r="L1031" t="s">
        <v>164</v>
      </c>
      <c r="N1031" t="s">
        <v>235</v>
      </c>
      <c r="O1031" t="s">
        <v>170</v>
      </c>
      <c r="P1031">
        <v>3.9367480054205831E-2</v>
      </c>
      <c r="Q1031" t="s">
        <v>164</v>
      </c>
    </row>
    <row r="1032" spans="9:17" x14ac:dyDescent="0.45">
      <c r="I1032" t="s">
        <v>199</v>
      </c>
      <c r="J1032" t="s">
        <v>171</v>
      </c>
      <c r="K1032">
        <v>7.4511126558280238E-2</v>
      </c>
      <c r="L1032" t="s">
        <v>164</v>
      </c>
      <c r="N1032" t="s">
        <v>235</v>
      </c>
      <c r="O1032" t="s">
        <v>171</v>
      </c>
      <c r="P1032">
        <v>1.1570894465232249E-2</v>
      </c>
      <c r="Q1032" t="s">
        <v>164</v>
      </c>
    </row>
    <row r="1033" spans="9:17" x14ac:dyDescent="0.45">
      <c r="I1033" t="s">
        <v>199</v>
      </c>
      <c r="J1033" t="s">
        <v>172</v>
      </c>
      <c r="K1033">
        <v>4.1202551754161943E-3</v>
      </c>
      <c r="L1033" t="s">
        <v>164</v>
      </c>
      <c r="N1033" t="s">
        <v>235</v>
      </c>
      <c r="O1033" t="s">
        <v>172</v>
      </c>
      <c r="P1033">
        <v>9.9727179982669065E-4</v>
      </c>
      <c r="Q1033" t="s">
        <v>164</v>
      </c>
    </row>
    <row r="1034" spans="9:17" x14ac:dyDescent="0.45">
      <c r="I1034" t="s">
        <v>199</v>
      </c>
      <c r="J1034" t="s">
        <v>271</v>
      </c>
      <c r="K1034">
        <v>2.3079237429668685E-3</v>
      </c>
      <c r="L1034" t="s">
        <v>164</v>
      </c>
      <c r="N1034" t="s">
        <v>235</v>
      </c>
      <c r="O1034" t="s">
        <v>271</v>
      </c>
      <c r="P1034">
        <v>5.0017248280796178E-3</v>
      </c>
      <c r="Q1034" t="s">
        <v>164</v>
      </c>
    </row>
    <row r="1035" spans="9:17" x14ac:dyDescent="0.45">
      <c r="I1035" t="s">
        <v>199</v>
      </c>
      <c r="J1035" t="s">
        <v>272</v>
      </c>
      <c r="K1035">
        <v>0</v>
      </c>
      <c r="L1035" t="s">
        <v>164</v>
      </c>
      <c r="N1035" t="s">
        <v>235</v>
      </c>
      <c r="O1035" t="s">
        <v>272</v>
      </c>
      <c r="P1035">
        <v>5.1697830982911554E-3</v>
      </c>
      <c r="Q1035" t="s">
        <v>164</v>
      </c>
    </row>
    <row r="1036" spans="9:17" x14ac:dyDescent="0.45">
      <c r="I1036" t="s">
        <v>199</v>
      </c>
      <c r="J1036" t="s">
        <v>273</v>
      </c>
      <c r="K1036">
        <v>0</v>
      </c>
      <c r="L1036" t="s">
        <v>164</v>
      </c>
      <c r="N1036" t="s">
        <v>235</v>
      </c>
      <c r="O1036" t="s">
        <v>273</v>
      </c>
      <c r="P1036">
        <v>3.1918132725017299E-3</v>
      </c>
      <c r="Q1036" t="s">
        <v>164</v>
      </c>
    </row>
    <row r="1037" spans="9:17" x14ac:dyDescent="0.45">
      <c r="I1037" t="s">
        <v>199</v>
      </c>
      <c r="J1037" t="s">
        <v>173</v>
      </c>
      <c r="K1037">
        <v>8.7226244392950153E-3</v>
      </c>
      <c r="L1037" t="s">
        <v>164</v>
      </c>
      <c r="N1037" t="s">
        <v>235</v>
      </c>
      <c r="O1037" t="s">
        <v>173</v>
      </c>
      <c r="P1037">
        <v>0.13997405774545876</v>
      </c>
      <c r="Q1037" t="s">
        <v>164</v>
      </c>
    </row>
    <row r="1038" spans="9:17" x14ac:dyDescent="0.45">
      <c r="I1038" t="s">
        <v>199</v>
      </c>
      <c r="J1038" t="s">
        <v>174</v>
      </c>
      <c r="K1038">
        <v>0.11385462642113979</v>
      </c>
      <c r="L1038" t="s">
        <v>164</v>
      </c>
      <c r="N1038" t="s">
        <v>235</v>
      </c>
      <c r="O1038" t="s">
        <v>174</v>
      </c>
      <c r="P1038">
        <v>3.9847752675203345E-2</v>
      </c>
      <c r="Q1038" t="s">
        <v>164</v>
      </c>
    </row>
    <row r="1039" spans="9:17" x14ac:dyDescent="0.45">
      <c r="I1039" t="s">
        <v>199</v>
      </c>
      <c r="J1039" t="s">
        <v>175</v>
      </c>
      <c r="K1039">
        <v>7.0355608335855588E-3</v>
      </c>
      <c r="L1039" t="s">
        <v>164</v>
      </c>
      <c r="N1039" t="s">
        <v>235</v>
      </c>
      <c r="O1039" t="s">
        <v>175</v>
      </c>
      <c r="P1039">
        <v>2.2559378197799492E-3</v>
      </c>
      <c r="Q1039" t="s">
        <v>164</v>
      </c>
    </row>
    <row r="1040" spans="9:17" x14ac:dyDescent="0.45">
      <c r="I1040" t="s">
        <v>199</v>
      </c>
      <c r="J1040" t="s">
        <v>274</v>
      </c>
      <c r="K1040">
        <v>3.6657266386380697E-3</v>
      </c>
      <c r="L1040" t="s">
        <v>164</v>
      </c>
      <c r="N1040" t="s">
        <v>235</v>
      </c>
      <c r="O1040" t="s">
        <v>274</v>
      </c>
      <c r="P1040">
        <v>2.4944642863022577E-2</v>
      </c>
      <c r="Q1040" t="s">
        <v>164</v>
      </c>
    </row>
    <row r="1041" spans="9:17" x14ac:dyDescent="0.45">
      <c r="I1041" t="s">
        <v>199</v>
      </c>
      <c r="J1041" t="s">
        <v>275</v>
      </c>
      <c r="K1041">
        <v>0</v>
      </c>
      <c r="L1041" t="s">
        <v>164</v>
      </c>
      <c r="N1041" t="s">
        <v>235</v>
      </c>
      <c r="O1041" t="s">
        <v>275</v>
      </c>
      <c r="P1041">
        <v>3.1947739275573324E-2</v>
      </c>
      <c r="Q1041" t="s">
        <v>164</v>
      </c>
    </row>
    <row r="1042" spans="9:17" x14ac:dyDescent="0.45">
      <c r="I1042" t="s">
        <v>199</v>
      </c>
      <c r="J1042" t="s">
        <v>276</v>
      </c>
      <c r="K1042">
        <v>0</v>
      </c>
      <c r="L1042" t="s">
        <v>164</v>
      </c>
      <c r="N1042" t="s">
        <v>235</v>
      </c>
      <c r="O1042" t="s">
        <v>276</v>
      </c>
      <c r="P1042">
        <v>1.838496304474992E-2</v>
      </c>
      <c r="Q1042" t="s">
        <v>164</v>
      </c>
    </row>
    <row r="1043" spans="9:17" x14ac:dyDescent="0.45">
      <c r="I1043" t="s">
        <v>199</v>
      </c>
      <c r="J1043" t="s">
        <v>277</v>
      </c>
      <c r="K1043">
        <v>3.0136704345695912E-3</v>
      </c>
      <c r="L1043" t="s">
        <v>164</v>
      </c>
      <c r="N1043" t="s">
        <v>235</v>
      </c>
      <c r="O1043" t="s">
        <v>277</v>
      </c>
      <c r="P1043">
        <v>5.4135261485375522E-2</v>
      </c>
      <c r="Q1043" t="s">
        <v>164</v>
      </c>
    </row>
    <row r="1044" spans="9:17" x14ac:dyDescent="0.45">
      <c r="I1044" t="s">
        <v>199</v>
      </c>
      <c r="J1044" t="s">
        <v>278</v>
      </c>
      <c r="K1044">
        <v>5.5249802540065118E-2</v>
      </c>
      <c r="L1044" t="s">
        <v>164</v>
      </c>
      <c r="N1044" t="s">
        <v>235</v>
      </c>
      <c r="O1044" t="s">
        <v>278</v>
      </c>
      <c r="P1044">
        <v>2.361401402459214E-2</v>
      </c>
      <c r="Q1044" t="s">
        <v>164</v>
      </c>
    </row>
    <row r="1045" spans="9:17" x14ac:dyDescent="0.45">
      <c r="I1045" t="s">
        <v>199</v>
      </c>
      <c r="J1045" t="s">
        <v>279</v>
      </c>
      <c r="K1045">
        <v>2.7123200664417278E-3</v>
      </c>
      <c r="L1045" t="s">
        <v>164</v>
      </c>
      <c r="N1045" t="s">
        <v>235</v>
      </c>
      <c r="O1045" t="s">
        <v>279</v>
      </c>
      <c r="P1045">
        <v>1.1696576828922386E-3</v>
      </c>
      <c r="Q1045" t="s">
        <v>164</v>
      </c>
    </row>
    <row r="1046" spans="9:17" x14ac:dyDescent="0.45">
      <c r="I1046" t="s">
        <v>199</v>
      </c>
      <c r="J1046" t="s">
        <v>280</v>
      </c>
      <c r="K1046">
        <v>1.282363071883575E-3</v>
      </c>
      <c r="L1046" t="s">
        <v>164</v>
      </c>
      <c r="N1046" t="s">
        <v>235</v>
      </c>
      <c r="O1046" t="s">
        <v>280</v>
      </c>
      <c r="P1046">
        <v>7.484849758370396E-3</v>
      </c>
      <c r="Q1046" t="s">
        <v>164</v>
      </c>
    </row>
    <row r="1047" spans="9:17" x14ac:dyDescent="0.45">
      <c r="I1047" t="s">
        <v>199</v>
      </c>
      <c r="J1047" t="s">
        <v>281</v>
      </c>
      <c r="K1047">
        <v>0</v>
      </c>
      <c r="L1047" t="s">
        <v>164</v>
      </c>
      <c r="N1047" t="s">
        <v>235</v>
      </c>
      <c r="O1047" t="s">
        <v>281</v>
      </c>
      <c r="P1047">
        <v>9.010880914557276E-3</v>
      </c>
      <c r="Q1047" t="s">
        <v>164</v>
      </c>
    </row>
    <row r="1048" spans="9:17" x14ac:dyDescent="0.45">
      <c r="I1048" t="s">
        <v>199</v>
      </c>
      <c r="J1048" t="s">
        <v>282</v>
      </c>
      <c r="K1048">
        <v>0</v>
      </c>
      <c r="L1048" t="s">
        <v>164</v>
      </c>
      <c r="N1048" t="s">
        <v>235</v>
      </c>
      <c r="O1048" t="s">
        <v>282</v>
      </c>
      <c r="P1048">
        <v>5.8387906316853594E-3</v>
      </c>
      <c r="Q1048" t="s">
        <v>164</v>
      </c>
    </row>
    <row r="1049" spans="9:17" x14ac:dyDescent="0.45">
      <c r="I1049" t="s">
        <v>199</v>
      </c>
      <c r="J1049" t="s">
        <v>283</v>
      </c>
      <c r="K1049">
        <v>2.1572738242305422E-3</v>
      </c>
      <c r="L1049" t="s">
        <v>164</v>
      </c>
      <c r="N1049" t="s">
        <v>235</v>
      </c>
      <c r="O1049" t="s">
        <v>283</v>
      </c>
      <c r="P1049">
        <v>2.8230822975908197E-2</v>
      </c>
      <c r="Q1049" t="s">
        <v>164</v>
      </c>
    </row>
    <row r="1050" spans="9:17" x14ac:dyDescent="0.45">
      <c r="I1050" t="s">
        <v>199</v>
      </c>
      <c r="J1050" t="s">
        <v>284</v>
      </c>
      <c r="K1050">
        <v>4.7220954551681647E-2</v>
      </c>
      <c r="L1050" t="s">
        <v>164</v>
      </c>
      <c r="N1050" t="s">
        <v>235</v>
      </c>
      <c r="O1050" t="s">
        <v>284</v>
      </c>
      <c r="P1050">
        <v>1.9477970341761817E-2</v>
      </c>
      <c r="Q1050" t="s">
        <v>164</v>
      </c>
    </row>
    <row r="1051" spans="9:17" x14ac:dyDescent="0.45">
      <c r="I1051" t="s">
        <v>199</v>
      </c>
      <c r="J1051" t="s">
        <v>285</v>
      </c>
      <c r="K1051">
        <v>2.6069674551304324E-3</v>
      </c>
      <c r="L1051" t="s">
        <v>164</v>
      </c>
      <c r="N1051" t="s">
        <v>235</v>
      </c>
      <c r="O1051" t="s">
        <v>285</v>
      </c>
      <c r="P1051">
        <v>9.8854295087554955E-4</v>
      </c>
      <c r="Q1051" t="s">
        <v>164</v>
      </c>
    </row>
    <row r="1052" spans="9:17" x14ac:dyDescent="0.45">
      <c r="I1052" t="s">
        <v>199</v>
      </c>
      <c r="J1052" t="s">
        <v>286</v>
      </c>
      <c r="K1052">
        <v>1.2773721034822065E-3</v>
      </c>
      <c r="L1052" t="s">
        <v>164</v>
      </c>
      <c r="N1052" t="s">
        <v>235</v>
      </c>
      <c r="O1052" t="s">
        <v>286</v>
      </c>
      <c r="P1052">
        <v>4.3726398008701161E-3</v>
      </c>
      <c r="Q1052" t="s">
        <v>164</v>
      </c>
    </row>
    <row r="1053" spans="9:17" x14ac:dyDescent="0.45">
      <c r="I1053" t="s">
        <v>199</v>
      </c>
      <c r="J1053" t="s">
        <v>287</v>
      </c>
      <c r="K1053">
        <v>0</v>
      </c>
      <c r="L1053" t="s">
        <v>164</v>
      </c>
      <c r="N1053" t="s">
        <v>235</v>
      </c>
      <c r="O1053" t="s">
        <v>287</v>
      </c>
      <c r="P1053">
        <v>4.6967540912119937E-3</v>
      </c>
      <c r="Q1053" t="s">
        <v>164</v>
      </c>
    </row>
    <row r="1054" spans="9:17" x14ac:dyDescent="0.45">
      <c r="I1054" t="s">
        <v>199</v>
      </c>
      <c r="J1054" t="s">
        <v>288</v>
      </c>
      <c r="K1054">
        <v>0</v>
      </c>
      <c r="L1054" t="s">
        <v>164</v>
      </c>
      <c r="N1054" t="s">
        <v>235</v>
      </c>
      <c r="O1054" t="s">
        <v>288</v>
      </c>
      <c r="P1054">
        <v>2.7737016967858061E-3</v>
      </c>
      <c r="Q1054" t="s">
        <v>164</v>
      </c>
    </row>
    <row r="1055" spans="9:17" x14ac:dyDescent="0.45">
      <c r="I1055" t="s">
        <v>199</v>
      </c>
      <c r="J1055" t="s">
        <v>289</v>
      </c>
      <c r="K1055">
        <v>2.5842416822046164E-2</v>
      </c>
      <c r="L1055" t="s">
        <v>164</v>
      </c>
      <c r="N1055" t="s">
        <v>235</v>
      </c>
      <c r="O1055" t="s">
        <v>289</v>
      </c>
      <c r="P1055">
        <v>0.1330342472240586</v>
      </c>
      <c r="Q1055" t="s">
        <v>164</v>
      </c>
    </row>
    <row r="1056" spans="9:17" x14ac:dyDescent="0.45">
      <c r="I1056" t="s">
        <v>199</v>
      </c>
      <c r="J1056" t="s">
        <v>290</v>
      </c>
      <c r="K1056">
        <v>0.32051688419431845</v>
      </c>
      <c r="L1056" t="s">
        <v>164</v>
      </c>
      <c r="N1056" t="s">
        <v>235</v>
      </c>
      <c r="O1056" t="s">
        <v>290</v>
      </c>
      <c r="P1056">
        <v>5.2253601164450755E-2</v>
      </c>
      <c r="Q1056" t="s">
        <v>164</v>
      </c>
    </row>
    <row r="1057" spans="9:17" x14ac:dyDescent="0.45">
      <c r="I1057" t="s">
        <v>199</v>
      </c>
      <c r="J1057" t="s">
        <v>291</v>
      </c>
      <c r="K1057">
        <v>1.6493461103038703E-2</v>
      </c>
      <c r="L1057" t="s">
        <v>164</v>
      </c>
      <c r="N1057" t="s">
        <v>235</v>
      </c>
      <c r="O1057" t="s">
        <v>291</v>
      </c>
      <c r="P1057">
        <v>5.1537842319114933E-3</v>
      </c>
      <c r="Q1057" t="s">
        <v>164</v>
      </c>
    </row>
    <row r="1058" spans="9:17" x14ac:dyDescent="0.45">
      <c r="I1058" t="s">
        <v>199</v>
      </c>
      <c r="J1058" t="s">
        <v>292</v>
      </c>
      <c r="K1058">
        <v>2.386279120077569E-4</v>
      </c>
      <c r="L1058" t="s">
        <v>164</v>
      </c>
      <c r="N1058" t="s">
        <v>235</v>
      </c>
      <c r="O1058" t="s">
        <v>292</v>
      </c>
      <c r="P1058">
        <v>2.7271825719955092E-2</v>
      </c>
      <c r="Q1058" t="s">
        <v>164</v>
      </c>
    </row>
    <row r="1059" spans="9:17" x14ac:dyDescent="0.45">
      <c r="I1059" t="s">
        <v>199</v>
      </c>
      <c r="J1059" t="s">
        <v>293</v>
      </c>
      <c r="K1059">
        <v>0</v>
      </c>
      <c r="L1059" t="s">
        <v>164</v>
      </c>
      <c r="N1059" t="s">
        <v>235</v>
      </c>
      <c r="O1059" t="s">
        <v>293</v>
      </c>
      <c r="P1059">
        <v>2.7134107371902798E-2</v>
      </c>
      <c r="Q1059" t="s">
        <v>164</v>
      </c>
    </row>
    <row r="1060" spans="9:17" x14ac:dyDescent="0.45">
      <c r="I1060" t="s">
        <v>199</v>
      </c>
      <c r="J1060" t="s">
        <v>294</v>
      </c>
      <c r="K1060">
        <v>0</v>
      </c>
      <c r="L1060" t="s">
        <v>164</v>
      </c>
      <c r="N1060" t="s">
        <v>235</v>
      </c>
      <c r="O1060" t="s">
        <v>294</v>
      </c>
      <c r="P1060">
        <v>1.5813735048568398E-2</v>
      </c>
      <c r="Q1060" t="s">
        <v>164</v>
      </c>
    </row>
    <row r="1061" spans="9:17" x14ac:dyDescent="0.45">
      <c r="I1061" t="s">
        <v>200</v>
      </c>
      <c r="J1061" t="s">
        <v>163</v>
      </c>
      <c r="K1061">
        <v>9.4782464836889874E-3</v>
      </c>
      <c r="L1061" t="s">
        <v>164</v>
      </c>
      <c r="N1061" t="s">
        <v>236</v>
      </c>
      <c r="O1061" t="s">
        <v>163</v>
      </c>
      <c r="P1061">
        <v>0.14045583279163237</v>
      </c>
      <c r="Q1061" t="s">
        <v>164</v>
      </c>
    </row>
    <row r="1062" spans="9:17" x14ac:dyDescent="0.45">
      <c r="I1062" t="s">
        <v>200</v>
      </c>
      <c r="J1062" t="s">
        <v>165</v>
      </c>
      <c r="K1062">
        <v>0.18235317111833746</v>
      </c>
      <c r="L1062" t="s">
        <v>164</v>
      </c>
      <c r="N1062" t="s">
        <v>236</v>
      </c>
      <c r="O1062" t="s">
        <v>165</v>
      </c>
      <c r="P1062">
        <v>5.0616930343948631E-2</v>
      </c>
      <c r="Q1062" t="s">
        <v>164</v>
      </c>
    </row>
    <row r="1063" spans="9:17" x14ac:dyDescent="0.45">
      <c r="I1063" t="s">
        <v>200</v>
      </c>
      <c r="J1063" t="s">
        <v>166</v>
      </c>
      <c r="K1063">
        <v>1.0713799142998933E-2</v>
      </c>
      <c r="L1063" t="s">
        <v>164</v>
      </c>
      <c r="N1063" t="s">
        <v>236</v>
      </c>
      <c r="O1063" t="s">
        <v>166</v>
      </c>
      <c r="P1063">
        <v>4.6374483490568916E-3</v>
      </c>
      <c r="Q1063" t="s">
        <v>164</v>
      </c>
    </row>
    <row r="1064" spans="9:17" x14ac:dyDescent="0.45">
      <c r="I1064" t="s">
        <v>200</v>
      </c>
      <c r="J1064" t="s">
        <v>265</v>
      </c>
      <c r="K1064">
        <v>1.7301961453829794E-4</v>
      </c>
      <c r="L1064" t="s">
        <v>164</v>
      </c>
      <c r="N1064" t="s">
        <v>236</v>
      </c>
      <c r="O1064" t="s">
        <v>265</v>
      </c>
      <c r="P1064">
        <v>3.4718706059036292E-2</v>
      </c>
      <c r="Q1064" t="s">
        <v>164</v>
      </c>
    </row>
    <row r="1065" spans="9:17" x14ac:dyDescent="0.45">
      <c r="I1065" t="s">
        <v>200</v>
      </c>
      <c r="J1065" t="s">
        <v>266</v>
      </c>
      <c r="K1065">
        <v>0</v>
      </c>
      <c r="L1065" t="s">
        <v>164</v>
      </c>
      <c r="N1065" t="s">
        <v>236</v>
      </c>
      <c r="O1065" t="s">
        <v>266</v>
      </c>
      <c r="P1065">
        <v>3.2659173744507115E-2</v>
      </c>
      <c r="Q1065" t="s">
        <v>164</v>
      </c>
    </row>
    <row r="1066" spans="9:17" x14ac:dyDescent="0.45">
      <c r="I1066" t="s">
        <v>200</v>
      </c>
      <c r="J1066" t="s">
        <v>267</v>
      </c>
      <c r="K1066">
        <v>0</v>
      </c>
      <c r="L1066" t="s">
        <v>164</v>
      </c>
      <c r="N1066" t="s">
        <v>236</v>
      </c>
      <c r="O1066" t="s">
        <v>267</v>
      </c>
      <c r="P1066">
        <v>1.6352915379835051E-2</v>
      </c>
      <c r="Q1066" t="s">
        <v>164</v>
      </c>
    </row>
    <row r="1067" spans="9:17" x14ac:dyDescent="0.45">
      <c r="I1067" t="s">
        <v>200</v>
      </c>
      <c r="J1067" t="s">
        <v>167</v>
      </c>
      <c r="K1067">
        <v>4.9415715713973848E-3</v>
      </c>
      <c r="L1067" t="s">
        <v>164</v>
      </c>
      <c r="N1067" t="s">
        <v>236</v>
      </c>
      <c r="O1067" t="s">
        <v>167</v>
      </c>
      <c r="P1067">
        <v>3.6990612723107691E-2</v>
      </c>
      <c r="Q1067" t="s">
        <v>164</v>
      </c>
    </row>
    <row r="1068" spans="9:17" x14ac:dyDescent="0.45">
      <c r="I1068" t="s">
        <v>200</v>
      </c>
      <c r="J1068" t="s">
        <v>168</v>
      </c>
      <c r="K1068">
        <v>8.9083725515188825E-2</v>
      </c>
      <c r="L1068" t="s">
        <v>164</v>
      </c>
      <c r="N1068" t="s">
        <v>236</v>
      </c>
      <c r="O1068" t="s">
        <v>168</v>
      </c>
      <c r="P1068">
        <v>1.7576372958079536E-2</v>
      </c>
      <c r="Q1068" t="s">
        <v>164</v>
      </c>
    </row>
    <row r="1069" spans="9:17" x14ac:dyDescent="0.45">
      <c r="I1069" t="s">
        <v>200</v>
      </c>
      <c r="J1069" t="s">
        <v>169</v>
      </c>
      <c r="K1069">
        <v>5.3015109946488413E-3</v>
      </c>
      <c r="L1069" t="s">
        <v>164</v>
      </c>
      <c r="N1069" t="s">
        <v>236</v>
      </c>
      <c r="O1069" t="s">
        <v>169</v>
      </c>
      <c r="P1069">
        <v>1.8138673691295293E-3</v>
      </c>
      <c r="Q1069" t="s">
        <v>164</v>
      </c>
    </row>
    <row r="1070" spans="9:17" x14ac:dyDescent="0.45">
      <c r="I1070" t="s">
        <v>200</v>
      </c>
      <c r="J1070" t="s">
        <v>268</v>
      </c>
      <c r="K1070">
        <v>4.2203918992754079E-4</v>
      </c>
      <c r="L1070" t="s">
        <v>164</v>
      </c>
      <c r="N1070" t="s">
        <v>236</v>
      </c>
      <c r="O1070" t="s">
        <v>268</v>
      </c>
      <c r="P1070">
        <v>1.0634978215451328E-2</v>
      </c>
      <c r="Q1070" t="s">
        <v>164</v>
      </c>
    </row>
    <row r="1071" spans="9:17" x14ac:dyDescent="0.45">
      <c r="I1071" t="s">
        <v>200</v>
      </c>
      <c r="J1071" t="s">
        <v>269</v>
      </c>
      <c r="K1071">
        <v>0</v>
      </c>
      <c r="L1071" t="s">
        <v>164</v>
      </c>
      <c r="N1071" t="s">
        <v>236</v>
      </c>
      <c r="O1071" t="s">
        <v>269</v>
      </c>
      <c r="P1071">
        <v>8.2971962895463727E-3</v>
      </c>
      <c r="Q1071" t="s">
        <v>164</v>
      </c>
    </row>
    <row r="1072" spans="9:17" x14ac:dyDescent="0.45">
      <c r="I1072" t="s">
        <v>200</v>
      </c>
      <c r="J1072" t="s">
        <v>270</v>
      </c>
      <c r="K1072">
        <v>0</v>
      </c>
      <c r="L1072" t="s">
        <v>164</v>
      </c>
      <c r="N1072" t="s">
        <v>236</v>
      </c>
      <c r="O1072" t="s">
        <v>270</v>
      </c>
      <c r="P1072">
        <v>4.301192672692274E-3</v>
      </c>
      <c r="Q1072" t="s">
        <v>164</v>
      </c>
    </row>
    <row r="1073" spans="9:17" x14ac:dyDescent="0.45">
      <c r="I1073" t="s">
        <v>200</v>
      </c>
      <c r="J1073" t="s">
        <v>170</v>
      </c>
      <c r="K1073">
        <v>6.7344270347885083E-3</v>
      </c>
      <c r="L1073" t="s">
        <v>164</v>
      </c>
      <c r="N1073" t="s">
        <v>236</v>
      </c>
      <c r="O1073" t="s">
        <v>170</v>
      </c>
      <c r="P1073">
        <v>3.6472181605259481E-2</v>
      </c>
      <c r="Q1073" t="s">
        <v>164</v>
      </c>
    </row>
    <row r="1074" spans="9:17" x14ac:dyDescent="0.45">
      <c r="I1074" t="s">
        <v>200</v>
      </c>
      <c r="J1074" t="s">
        <v>171</v>
      </c>
      <c r="K1074">
        <v>7.3421506845344153E-2</v>
      </c>
      <c r="L1074" t="s">
        <v>164</v>
      </c>
      <c r="N1074" t="s">
        <v>236</v>
      </c>
      <c r="O1074" t="s">
        <v>171</v>
      </c>
      <c r="P1074">
        <v>1.9995965355422501E-2</v>
      </c>
      <c r="Q1074" t="s">
        <v>164</v>
      </c>
    </row>
    <row r="1075" spans="9:17" x14ac:dyDescent="0.45">
      <c r="I1075" t="s">
        <v>200</v>
      </c>
      <c r="J1075" t="s">
        <v>172</v>
      </c>
      <c r="K1075">
        <v>3.822133188882216E-3</v>
      </c>
      <c r="L1075" t="s">
        <v>164</v>
      </c>
      <c r="N1075" t="s">
        <v>236</v>
      </c>
      <c r="O1075" t="s">
        <v>172</v>
      </c>
      <c r="P1075">
        <v>1.3524244612443134E-3</v>
      </c>
      <c r="Q1075" t="s">
        <v>164</v>
      </c>
    </row>
    <row r="1076" spans="9:17" x14ac:dyDescent="0.45">
      <c r="I1076" t="s">
        <v>200</v>
      </c>
      <c r="J1076" t="s">
        <v>271</v>
      </c>
      <c r="K1076">
        <v>3.166578310294206E-4</v>
      </c>
      <c r="L1076" t="s">
        <v>164</v>
      </c>
      <c r="N1076" t="s">
        <v>236</v>
      </c>
      <c r="O1076" t="s">
        <v>271</v>
      </c>
      <c r="P1076">
        <v>6.5163778431002947E-3</v>
      </c>
      <c r="Q1076" t="s">
        <v>164</v>
      </c>
    </row>
    <row r="1077" spans="9:17" x14ac:dyDescent="0.45">
      <c r="I1077" t="s">
        <v>200</v>
      </c>
      <c r="J1077" t="s">
        <v>272</v>
      </c>
      <c r="K1077">
        <v>0</v>
      </c>
      <c r="L1077" t="s">
        <v>164</v>
      </c>
      <c r="N1077" t="s">
        <v>236</v>
      </c>
      <c r="O1077" t="s">
        <v>272</v>
      </c>
      <c r="P1077">
        <v>6.2312796804142746E-3</v>
      </c>
      <c r="Q1077" t="s">
        <v>164</v>
      </c>
    </row>
    <row r="1078" spans="9:17" x14ac:dyDescent="0.45">
      <c r="I1078" t="s">
        <v>200</v>
      </c>
      <c r="J1078" t="s">
        <v>273</v>
      </c>
      <c r="K1078">
        <v>0</v>
      </c>
      <c r="L1078" t="s">
        <v>164</v>
      </c>
      <c r="N1078" t="s">
        <v>236</v>
      </c>
      <c r="O1078" t="s">
        <v>273</v>
      </c>
      <c r="P1078">
        <v>3.7548427436455557E-3</v>
      </c>
      <c r="Q1078" t="s">
        <v>164</v>
      </c>
    </row>
    <row r="1079" spans="9:17" x14ac:dyDescent="0.45">
      <c r="I1079" t="s">
        <v>200</v>
      </c>
      <c r="J1079" t="s">
        <v>173</v>
      </c>
      <c r="K1079">
        <v>7.8955583282719084E-3</v>
      </c>
      <c r="L1079" t="s">
        <v>164</v>
      </c>
      <c r="N1079" t="s">
        <v>236</v>
      </c>
      <c r="O1079" t="s">
        <v>173</v>
      </c>
      <c r="P1079">
        <v>9.3422702403104824E-2</v>
      </c>
      <c r="Q1079" t="s">
        <v>164</v>
      </c>
    </row>
    <row r="1080" spans="9:17" x14ac:dyDescent="0.45">
      <c r="I1080" t="s">
        <v>200</v>
      </c>
      <c r="J1080" t="s">
        <v>174</v>
      </c>
      <c r="K1080">
        <v>0.11600754236495756</v>
      </c>
      <c r="L1080" t="s">
        <v>164</v>
      </c>
      <c r="N1080" t="s">
        <v>236</v>
      </c>
      <c r="O1080" t="s">
        <v>174</v>
      </c>
      <c r="P1080">
        <v>5.8471113310734242E-2</v>
      </c>
      <c r="Q1080" t="s">
        <v>164</v>
      </c>
    </row>
    <row r="1081" spans="9:17" x14ac:dyDescent="0.45">
      <c r="I1081" t="s">
        <v>200</v>
      </c>
      <c r="J1081" t="s">
        <v>175</v>
      </c>
      <c r="K1081">
        <v>6.085122651405277E-3</v>
      </c>
      <c r="L1081" t="s">
        <v>164</v>
      </c>
      <c r="N1081" t="s">
        <v>236</v>
      </c>
      <c r="O1081" t="s">
        <v>175</v>
      </c>
      <c r="P1081">
        <v>1.3939573359610289E-3</v>
      </c>
      <c r="Q1081" t="s">
        <v>164</v>
      </c>
    </row>
    <row r="1082" spans="9:17" x14ac:dyDescent="0.45">
      <c r="I1082" t="s">
        <v>200</v>
      </c>
      <c r="J1082" t="s">
        <v>274</v>
      </c>
      <c r="K1082">
        <v>2.629099727095901E-3</v>
      </c>
      <c r="L1082" t="s">
        <v>164</v>
      </c>
      <c r="N1082" t="s">
        <v>236</v>
      </c>
      <c r="O1082" t="s">
        <v>274</v>
      </c>
      <c r="P1082">
        <v>8.5629071226707518E-3</v>
      </c>
      <c r="Q1082" t="s">
        <v>164</v>
      </c>
    </row>
    <row r="1083" spans="9:17" x14ac:dyDescent="0.45">
      <c r="I1083" t="s">
        <v>200</v>
      </c>
      <c r="J1083" t="s">
        <v>275</v>
      </c>
      <c r="K1083">
        <v>0</v>
      </c>
      <c r="L1083" t="s">
        <v>164</v>
      </c>
      <c r="N1083" t="s">
        <v>236</v>
      </c>
      <c r="O1083" t="s">
        <v>275</v>
      </c>
      <c r="P1083">
        <v>1.5014760746464151E-2</v>
      </c>
      <c r="Q1083" t="s">
        <v>164</v>
      </c>
    </row>
    <row r="1084" spans="9:17" x14ac:dyDescent="0.45">
      <c r="I1084" t="s">
        <v>200</v>
      </c>
      <c r="J1084" t="s">
        <v>276</v>
      </c>
      <c r="K1084">
        <v>0</v>
      </c>
      <c r="L1084" t="s">
        <v>164</v>
      </c>
      <c r="N1084" t="s">
        <v>236</v>
      </c>
      <c r="O1084" t="s">
        <v>276</v>
      </c>
      <c r="P1084">
        <v>9.2943684442780145E-3</v>
      </c>
      <c r="Q1084" t="s">
        <v>164</v>
      </c>
    </row>
    <row r="1085" spans="9:17" x14ac:dyDescent="0.45">
      <c r="I1085" t="s">
        <v>200</v>
      </c>
      <c r="J1085" t="s">
        <v>277</v>
      </c>
      <c r="K1085">
        <v>2.7768343357088407E-3</v>
      </c>
      <c r="L1085" t="s">
        <v>164</v>
      </c>
      <c r="N1085" t="s">
        <v>236</v>
      </c>
      <c r="O1085" t="s">
        <v>277</v>
      </c>
      <c r="P1085">
        <v>3.5715321848990476E-2</v>
      </c>
      <c r="Q1085" t="s">
        <v>164</v>
      </c>
    </row>
    <row r="1086" spans="9:17" x14ac:dyDescent="0.45">
      <c r="I1086" t="s">
        <v>200</v>
      </c>
      <c r="J1086" t="s">
        <v>278</v>
      </c>
      <c r="K1086">
        <v>5.5416208604244281E-2</v>
      </c>
      <c r="L1086" t="s">
        <v>164</v>
      </c>
      <c r="N1086" t="s">
        <v>236</v>
      </c>
      <c r="O1086" t="s">
        <v>278</v>
      </c>
      <c r="P1086">
        <v>3.5478334211422297E-2</v>
      </c>
      <c r="Q1086" t="s">
        <v>164</v>
      </c>
    </row>
    <row r="1087" spans="9:17" x14ac:dyDescent="0.45">
      <c r="I1087" t="s">
        <v>200</v>
      </c>
      <c r="J1087" t="s">
        <v>279</v>
      </c>
      <c r="K1087">
        <v>2.9264335391637857E-3</v>
      </c>
      <c r="L1087" t="s">
        <v>164</v>
      </c>
      <c r="N1087" t="s">
        <v>236</v>
      </c>
      <c r="O1087" t="s">
        <v>279</v>
      </c>
      <c r="P1087">
        <v>8.3391785586219328E-4</v>
      </c>
      <c r="Q1087" t="s">
        <v>164</v>
      </c>
    </row>
    <row r="1088" spans="9:17" x14ac:dyDescent="0.45">
      <c r="I1088" t="s">
        <v>200</v>
      </c>
      <c r="J1088" t="s">
        <v>280</v>
      </c>
      <c r="K1088">
        <v>1.5511279091302245E-3</v>
      </c>
      <c r="L1088" t="s">
        <v>164</v>
      </c>
      <c r="N1088" t="s">
        <v>236</v>
      </c>
      <c r="O1088" t="s">
        <v>280</v>
      </c>
      <c r="P1088">
        <v>2.7415484863473911E-3</v>
      </c>
      <c r="Q1088" t="s">
        <v>164</v>
      </c>
    </row>
    <row r="1089" spans="9:17" x14ac:dyDescent="0.45">
      <c r="I1089" t="s">
        <v>200</v>
      </c>
      <c r="J1089" t="s">
        <v>281</v>
      </c>
      <c r="K1089">
        <v>0</v>
      </c>
      <c r="L1089" t="s">
        <v>164</v>
      </c>
      <c r="N1089" t="s">
        <v>236</v>
      </c>
      <c r="O1089" t="s">
        <v>281</v>
      </c>
      <c r="P1089">
        <v>3.4901402786716934E-3</v>
      </c>
      <c r="Q1089" t="s">
        <v>164</v>
      </c>
    </row>
    <row r="1090" spans="9:17" x14ac:dyDescent="0.45">
      <c r="I1090" t="s">
        <v>200</v>
      </c>
      <c r="J1090" t="s">
        <v>282</v>
      </c>
      <c r="K1090">
        <v>0</v>
      </c>
      <c r="L1090" t="s">
        <v>164</v>
      </c>
      <c r="N1090" t="s">
        <v>236</v>
      </c>
      <c r="O1090" t="s">
        <v>282</v>
      </c>
      <c r="P1090">
        <v>2.4278162614247084E-3</v>
      </c>
      <c r="Q1090" t="s">
        <v>164</v>
      </c>
    </row>
    <row r="1091" spans="9:17" x14ac:dyDescent="0.45">
      <c r="I1091" t="s">
        <v>200</v>
      </c>
      <c r="J1091" t="s">
        <v>283</v>
      </c>
      <c r="K1091">
        <v>2.2072561262498217E-3</v>
      </c>
      <c r="L1091" t="s">
        <v>164</v>
      </c>
      <c r="N1091" t="s">
        <v>236</v>
      </c>
      <c r="O1091" t="s">
        <v>283</v>
      </c>
      <c r="P1091">
        <v>1.810276379611124E-2</v>
      </c>
      <c r="Q1091" t="s">
        <v>164</v>
      </c>
    </row>
    <row r="1092" spans="9:17" x14ac:dyDescent="0.45">
      <c r="I1092" t="s">
        <v>200</v>
      </c>
      <c r="J1092" t="s">
        <v>284</v>
      </c>
      <c r="K1092">
        <v>4.8510637821638461E-2</v>
      </c>
      <c r="L1092" t="s">
        <v>164</v>
      </c>
      <c r="N1092" t="s">
        <v>236</v>
      </c>
      <c r="O1092" t="s">
        <v>284</v>
      </c>
      <c r="P1092">
        <v>2.6869348169675133E-2</v>
      </c>
      <c r="Q1092" t="s">
        <v>164</v>
      </c>
    </row>
    <row r="1093" spans="9:17" x14ac:dyDescent="0.45">
      <c r="I1093" t="s">
        <v>200</v>
      </c>
      <c r="J1093" t="s">
        <v>285</v>
      </c>
      <c r="K1093">
        <v>2.2716258561364866E-3</v>
      </c>
      <c r="L1093" t="s">
        <v>164</v>
      </c>
      <c r="N1093" t="s">
        <v>236</v>
      </c>
      <c r="O1093" t="s">
        <v>285</v>
      </c>
      <c r="P1093">
        <v>1.4100241691897024E-3</v>
      </c>
      <c r="Q1093" t="s">
        <v>164</v>
      </c>
    </row>
    <row r="1094" spans="9:17" x14ac:dyDescent="0.45">
      <c r="I1094" t="s">
        <v>200</v>
      </c>
      <c r="J1094" t="s">
        <v>286</v>
      </c>
      <c r="K1094">
        <v>9.7443610794476897E-4</v>
      </c>
      <c r="L1094" t="s">
        <v>164</v>
      </c>
      <c r="N1094" t="s">
        <v>236</v>
      </c>
      <c r="O1094" t="s">
        <v>286</v>
      </c>
      <c r="P1094">
        <v>4.0220475732106638E-3</v>
      </c>
      <c r="Q1094" t="s">
        <v>164</v>
      </c>
    </row>
    <row r="1095" spans="9:17" x14ac:dyDescent="0.45">
      <c r="I1095" t="s">
        <v>200</v>
      </c>
      <c r="J1095" t="s">
        <v>287</v>
      </c>
      <c r="K1095">
        <v>0</v>
      </c>
      <c r="L1095" t="s">
        <v>164</v>
      </c>
      <c r="N1095" t="s">
        <v>236</v>
      </c>
      <c r="O1095" t="s">
        <v>287</v>
      </c>
      <c r="P1095">
        <v>3.0540835030168421E-3</v>
      </c>
      <c r="Q1095" t="s">
        <v>164</v>
      </c>
    </row>
    <row r="1096" spans="9:17" x14ac:dyDescent="0.45">
      <c r="I1096" t="s">
        <v>200</v>
      </c>
      <c r="J1096" t="s">
        <v>288</v>
      </c>
      <c r="K1096">
        <v>0</v>
      </c>
      <c r="L1096" t="s">
        <v>164</v>
      </c>
      <c r="N1096" t="s">
        <v>236</v>
      </c>
      <c r="O1096" t="s">
        <v>288</v>
      </c>
      <c r="P1096">
        <v>1.6801553785575822E-3</v>
      </c>
      <c r="Q1096" t="s">
        <v>164</v>
      </c>
    </row>
    <row r="1097" spans="9:17" x14ac:dyDescent="0.45">
      <c r="I1097" t="s">
        <v>200</v>
      </c>
      <c r="J1097" t="s">
        <v>289</v>
      </c>
      <c r="K1097">
        <v>2.8160420361796244E-2</v>
      </c>
      <c r="L1097" t="s">
        <v>164</v>
      </c>
      <c r="N1097" t="s">
        <v>236</v>
      </c>
      <c r="O1097" t="s">
        <v>289</v>
      </c>
      <c r="P1097">
        <v>0.11846092774070473</v>
      </c>
      <c r="Q1097" t="s">
        <v>164</v>
      </c>
    </row>
    <row r="1098" spans="9:17" x14ac:dyDescent="0.45">
      <c r="I1098" t="s">
        <v>200</v>
      </c>
      <c r="J1098" t="s">
        <v>290</v>
      </c>
      <c r="K1098">
        <v>0.31961095332154754</v>
      </c>
      <c r="L1098" t="s">
        <v>164</v>
      </c>
      <c r="N1098" t="s">
        <v>236</v>
      </c>
      <c r="O1098" t="s">
        <v>290</v>
      </c>
      <c r="P1098">
        <v>5.3665276631277375E-2</v>
      </c>
      <c r="Q1098" t="s">
        <v>164</v>
      </c>
    </row>
    <row r="1099" spans="9:17" x14ac:dyDescent="0.45">
      <c r="I1099" t="s">
        <v>200</v>
      </c>
      <c r="J1099" t="s">
        <v>291</v>
      </c>
      <c r="K1099">
        <v>1.6214934413936725E-2</v>
      </c>
      <c r="L1099" t="s">
        <v>164</v>
      </c>
      <c r="N1099" t="s">
        <v>236</v>
      </c>
      <c r="O1099" t="s">
        <v>291</v>
      </c>
      <c r="P1099">
        <v>4.5815624459791485E-3</v>
      </c>
      <c r="Q1099" t="s">
        <v>164</v>
      </c>
    </row>
    <row r="1100" spans="9:17" x14ac:dyDescent="0.45">
      <c r="I1100" t="s">
        <v>200</v>
      </c>
      <c r="J1100" t="s">
        <v>292</v>
      </c>
      <c r="K1100">
        <v>0</v>
      </c>
      <c r="L1100" t="s">
        <v>164</v>
      </c>
      <c r="N1100" t="s">
        <v>236</v>
      </c>
      <c r="O1100" t="s">
        <v>292</v>
      </c>
      <c r="P1100">
        <v>3.0659602892577822E-2</v>
      </c>
      <c r="Q1100" t="s">
        <v>164</v>
      </c>
    </row>
    <row r="1101" spans="9:17" x14ac:dyDescent="0.45">
      <c r="I1101" t="s">
        <v>200</v>
      </c>
      <c r="J1101" t="s">
        <v>293</v>
      </c>
      <c r="K1101">
        <v>0</v>
      </c>
      <c r="L1101" t="s">
        <v>164</v>
      </c>
      <c r="N1101" t="s">
        <v>236</v>
      </c>
      <c r="O1101" t="s">
        <v>293</v>
      </c>
      <c r="P1101">
        <v>2.4355206318726185E-2</v>
      </c>
      <c r="Q1101" t="s">
        <v>164</v>
      </c>
    </row>
    <row r="1102" spans="9:17" x14ac:dyDescent="0.45">
      <c r="I1102" t="s">
        <v>200</v>
      </c>
      <c r="J1102" t="s">
        <v>294</v>
      </c>
      <c r="K1102">
        <v>0</v>
      </c>
      <c r="L1102" t="s">
        <v>164</v>
      </c>
      <c r="N1102" t="s">
        <v>236</v>
      </c>
      <c r="O1102" t="s">
        <v>294</v>
      </c>
      <c r="P1102">
        <v>1.2913814489932405E-2</v>
      </c>
      <c r="Q1102" t="s">
        <v>164</v>
      </c>
    </row>
    <row r="1103" spans="9:17" x14ac:dyDescent="0.45">
      <c r="I1103" t="s">
        <v>201</v>
      </c>
      <c r="J1103" t="s">
        <v>163</v>
      </c>
      <c r="K1103">
        <v>8.8536400898374494E-3</v>
      </c>
      <c r="L1103" t="s">
        <v>164</v>
      </c>
      <c r="N1103" t="s">
        <v>237</v>
      </c>
      <c r="O1103" t="s">
        <v>163</v>
      </c>
      <c r="P1103">
        <v>0.12141709568773514</v>
      </c>
      <c r="Q1103" t="s">
        <v>164</v>
      </c>
    </row>
    <row r="1104" spans="9:17" x14ac:dyDescent="0.45">
      <c r="I1104" t="s">
        <v>201</v>
      </c>
      <c r="J1104" t="s">
        <v>165</v>
      </c>
      <c r="K1104">
        <v>0.15953886558177391</v>
      </c>
      <c r="L1104" t="s">
        <v>164</v>
      </c>
      <c r="N1104" t="s">
        <v>237</v>
      </c>
      <c r="O1104" t="s">
        <v>165</v>
      </c>
      <c r="P1104">
        <v>3.5046112974298944E-2</v>
      </c>
      <c r="Q1104" t="s">
        <v>164</v>
      </c>
    </row>
    <row r="1105" spans="9:17" x14ac:dyDescent="0.45">
      <c r="I1105" t="s">
        <v>201</v>
      </c>
      <c r="J1105" t="s">
        <v>166</v>
      </c>
      <c r="K1105">
        <v>8.6248999608118781E-3</v>
      </c>
      <c r="L1105" t="s">
        <v>164</v>
      </c>
      <c r="N1105" t="s">
        <v>237</v>
      </c>
      <c r="O1105" t="s">
        <v>166</v>
      </c>
      <c r="P1105">
        <v>4.8033091510391547E-3</v>
      </c>
      <c r="Q1105" t="s">
        <v>164</v>
      </c>
    </row>
    <row r="1106" spans="9:17" x14ac:dyDescent="0.45">
      <c r="I1106" t="s">
        <v>201</v>
      </c>
      <c r="J1106" t="s">
        <v>265</v>
      </c>
      <c r="K1106">
        <v>0</v>
      </c>
      <c r="L1106" t="s">
        <v>164</v>
      </c>
      <c r="N1106" t="s">
        <v>237</v>
      </c>
      <c r="O1106" t="s">
        <v>265</v>
      </c>
      <c r="P1106">
        <v>3.2369046857434136E-2</v>
      </c>
      <c r="Q1106" t="s">
        <v>164</v>
      </c>
    </row>
    <row r="1107" spans="9:17" x14ac:dyDescent="0.45">
      <c r="I1107" t="s">
        <v>201</v>
      </c>
      <c r="J1107" t="s">
        <v>266</v>
      </c>
      <c r="K1107">
        <v>0</v>
      </c>
      <c r="L1107" t="s">
        <v>164</v>
      </c>
      <c r="N1107" t="s">
        <v>237</v>
      </c>
      <c r="O1107" t="s">
        <v>266</v>
      </c>
      <c r="P1107">
        <v>3.1622423900662132E-2</v>
      </c>
      <c r="Q1107" t="s">
        <v>164</v>
      </c>
    </row>
    <row r="1108" spans="9:17" x14ac:dyDescent="0.45">
      <c r="I1108" t="s">
        <v>201</v>
      </c>
      <c r="J1108" t="s">
        <v>267</v>
      </c>
      <c r="K1108">
        <v>0</v>
      </c>
      <c r="L1108" t="s">
        <v>164</v>
      </c>
      <c r="N1108" t="s">
        <v>237</v>
      </c>
      <c r="O1108" t="s">
        <v>267</v>
      </c>
      <c r="P1108">
        <v>1.612643002706203E-2</v>
      </c>
      <c r="Q1108" t="s">
        <v>164</v>
      </c>
    </row>
    <row r="1109" spans="9:17" x14ac:dyDescent="0.45">
      <c r="I1109" t="s">
        <v>201</v>
      </c>
      <c r="J1109" t="s">
        <v>167</v>
      </c>
      <c r="K1109">
        <v>6.4484988783952459E-3</v>
      </c>
      <c r="L1109" t="s">
        <v>164</v>
      </c>
      <c r="N1109" t="s">
        <v>237</v>
      </c>
      <c r="O1109" t="s">
        <v>167</v>
      </c>
      <c r="P1109">
        <v>3.0856811926685074E-2</v>
      </c>
      <c r="Q1109" t="s">
        <v>164</v>
      </c>
    </row>
    <row r="1110" spans="9:17" x14ac:dyDescent="0.45">
      <c r="I1110" t="s">
        <v>201</v>
      </c>
      <c r="J1110" t="s">
        <v>168</v>
      </c>
      <c r="K1110">
        <v>8.4119982356648609E-2</v>
      </c>
      <c r="L1110" t="s">
        <v>164</v>
      </c>
      <c r="N1110" t="s">
        <v>237</v>
      </c>
      <c r="O1110" t="s">
        <v>168</v>
      </c>
      <c r="P1110">
        <v>1.1074241616781274E-2</v>
      </c>
      <c r="Q1110" t="s">
        <v>164</v>
      </c>
    </row>
    <row r="1111" spans="9:17" x14ac:dyDescent="0.45">
      <c r="I1111" t="s">
        <v>201</v>
      </c>
      <c r="J1111" t="s">
        <v>169</v>
      </c>
      <c r="K1111">
        <v>4.9469367665250516E-3</v>
      </c>
      <c r="L1111" t="s">
        <v>164</v>
      </c>
      <c r="N1111" t="s">
        <v>237</v>
      </c>
      <c r="O1111" t="s">
        <v>169</v>
      </c>
      <c r="P1111">
        <v>1.2306494266297017E-3</v>
      </c>
      <c r="Q1111" t="s">
        <v>164</v>
      </c>
    </row>
    <row r="1112" spans="9:17" x14ac:dyDescent="0.45">
      <c r="I1112" t="s">
        <v>201</v>
      </c>
      <c r="J1112" t="s">
        <v>268</v>
      </c>
      <c r="K1112">
        <v>0</v>
      </c>
      <c r="L1112" t="s">
        <v>164</v>
      </c>
      <c r="N1112" t="s">
        <v>237</v>
      </c>
      <c r="O1112" t="s">
        <v>268</v>
      </c>
      <c r="P1112">
        <v>7.2348512294417603E-3</v>
      </c>
      <c r="Q1112" t="s">
        <v>164</v>
      </c>
    </row>
    <row r="1113" spans="9:17" x14ac:dyDescent="0.45">
      <c r="I1113" t="s">
        <v>201</v>
      </c>
      <c r="J1113" t="s">
        <v>269</v>
      </c>
      <c r="K1113">
        <v>0</v>
      </c>
      <c r="L1113" t="s">
        <v>164</v>
      </c>
      <c r="N1113" t="s">
        <v>237</v>
      </c>
      <c r="O1113" t="s">
        <v>269</v>
      </c>
      <c r="P1113">
        <v>7.0091031576726978E-3</v>
      </c>
      <c r="Q1113" t="s">
        <v>164</v>
      </c>
    </row>
    <row r="1114" spans="9:17" x14ac:dyDescent="0.45">
      <c r="I1114" t="s">
        <v>201</v>
      </c>
      <c r="J1114" t="s">
        <v>270</v>
      </c>
      <c r="K1114">
        <v>0</v>
      </c>
      <c r="L1114" t="s">
        <v>164</v>
      </c>
      <c r="N1114" t="s">
        <v>237</v>
      </c>
      <c r="O1114" t="s">
        <v>270</v>
      </c>
      <c r="P1114">
        <v>4.0530589351664304E-3</v>
      </c>
      <c r="Q1114" t="s">
        <v>164</v>
      </c>
    </row>
    <row r="1115" spans="9:17" x14ac:dyDescent="0.45">
      <c r="I1115" t="s">
        <v>201</v>
      </c>
      <c r="J1115" t="s">
        <v>170</v>
      </c>
      <c r="K1115">
        <v>7.2943371819106468E-3</v>
      </c>
      <c r="L1115" t="s">
        <v>164</v>
      </c>
      <c r="N1115" t="s">
        <v>237</v>
      </c>
      <c r="O1115" t="s">
        <v>170</v>
      </c>
      <c r="P1115">
        <v>4.6670966674458268E-2</v>
      </c>
      <c r="Q1115" t="s">
        <v>164</v>
      </c>
    </row>
    <row r="1116" spans="9:17" x14ac:dyDescent="0.45">
      <c r="I1116" t="s">
        <v>201</v>
      </c>
      <c r="J1116" t="s">
        <v>171</v>
      </c>
      <c r="K1116">
        <v>7.1856962174048661E-2</v>
      </c>
      <c r="L1116" t="s">
        <v>164</v>
      </c>
      <c r="N1116" t="s">
        <v>237</v>
      </c>
      <c r="O1116" t="s">
        <v>171</v>
      </c>
      <c r="P1116">
        <v>1.6934967070741398E-2</v>
      </c>
      <c r="Q1116" t="s">
        <v>164</v>
      </c>
    </row>
    <row r="1117" spans="9:17" x14ac:dyDescent="0.45">
      <c r="I1117" t="s">
        <v>201</v>
      </c>
      <c r="J1117" t="s">
        <v>172</v>
      </c>
      <c r="K1117">
        <v>3.8837727503050223E-3</v>
      </c>
      <c r="L1117" t="s">
        <v>164</v>
      </c>
      <c r="N1117" t="s">
        <v>237</v>
      </c>
      <c r="O1117" t="s">
        <v>172</v>
      </c>
      <c r="P1117">
        <v>1.5645467228025292E-3</v>
      </c>
      <c r="Q1117" t="s">
        <v>164</v>
      </c>
    </row>
    <row r="1118" spans="9:17" x14ac:dyDescent="0.45">
      <c r="I1118" t="s">
        <v>201</v>
      </c>
      <c r="J1118" t="s">
        <v>271</v>
      </c>
      <c r="K1118">
        <v>1.1075179180462746E-5</v>
      </c>
      <c r="L1118" t="s">
        <v>164</v>
      </c>
      <c r="N1118" t="s">
        <v>237</v>
      </c>
      <c r="O1118" t="s">
        <v>271</v>
      </c>
      <c r="P1118">
        <v>1.1453511235460153E-2</v>
      </c>
      <c r="Q1118" t="s">
        <v>164</v>
      </c>
    </row>
    <row r="1119" spans="9:17" x14ac:dyDescent="0.45">
      <c r="I1119" t="s">
        <v>201</v>
      </c>
      <c r="J1119" t="s">
        <v>272</v>
      </c>
      <c r="K1119">
        <v>0</v>
      </c>
      <c r="L1119" t="s">
        <v>164</v>
      </c>
      <c r="N1119" t="s">
        <v>237</v>
      </c>
      <c r="O1119" t="s">
        <v>272</v>
      </c>
      <c r="P1119">
        <v>1.2590261583438267E-2</v>
      </c>
      <c r="Q1119" t="s">
        <v>164</v>
      </c>
    </row>
    <row r="1120" spans="9:17" x14ac:dyDescent="0.45">
      <c r="I1120" t="s">
        <v>201</v>
      </c>
      <c r="J1120" t="s">
        <v>273</v>
      </c>
      <c r="K1120">
        <v>0</v>
      </c>
      <c r="L1120" t="s">
        <v>164</v>
      </c>
      <c r="N1120" t="s">
        <v>237</v>
      </c>
      <c r="O1120" t="s">
        <v>273</v>
      </c>
      <c r="P1120">
        <v>6.7665662883569224E-3</v>
      </c>
      <c r="Q1120" t="s">
        <v>164</v>
      </c>
    </row>
    <row r="1121" spans="9:17" x14ac:dyDescent="0.45">
      <c r="I1121" t="s">
        <v>201</v>
      </c>
      <c r="J1121" t="s">
        <v>173</v>
      </c>
      <c r="K1121">
        <v>1.3991548928428745E-2</v>
      </c>
      <c r="L1121" t="s">
        <v>164</v>
      </c>
      <c r="N1121" t="s">
        <v>237</v>
      </c>
      <c r="O1121" t="s">
        <v>173</v>
      </c>
      <c r="P1121">
        <v>0.11035118499658057</v>
      </c>
      <c r="Q1121" t="s">
        <v>164</v>
      </c>
    </row>
    <row r="1122" spans="9:17" x14ac:dyDescent="0.45">
      <c r="I1122" t="s">
        <v>201</v>
      </c>
      <c r="J1122" t="s">
        <v>174</v>
      </c>
      <c r="K1122">
        <v>0.13430513748346287</v>
      </c>
      <c r="L1122" t="s">
        <v>164</v>
      </c>
      <c r="N1122" t="s">
        <v>237</v>
      </c>
      <c r="O1122" t="s">
        <v>174</v>
      </c>
      <c r="P1122">
        <v>4.8572005607641945E-2</v>
      </c>
      <c r="Q1122" t="s">
        <v>164</v>
      </c>
    </row>
    <row r="1123" spans="9:17" x14ac:dyDescent="0.45">
      <c r="I1123" t="s">
        <v>201</v>
      </c>
      <c r="J1123" t="s">
        <v>175</v>
      </c>
      <c r="K1123">
        <v>6.1124605074357246E-3</v>
      </c>
      <c r="L1123" t="s">
        <v>164</v>
      </c>
      <c r="N1123" t="s">
        <v>237</v>
      </c>
      <c r="O1123" t="s">
        <v>175</v>
      </c>
      <c r="P1123">
        <v>3.425197353965711E-3</v>
      </c>
      <c r="Q1123" t="s">
        <v>164</v>
      </c>
    </row>
    <row r="1124" spans="9:17" x14ac:dyDescent="0.45">
      <c r="I1124" t="s">
        <v>201</v>
      </c>
      <c r="J1124" t="s">
        <v>274</v>
      </c>
      <c r="K1124">
        <v>1.6596507572509995E-3</v>
      </c>
      <c r="L1124" t="s">
        <v>164</v>
      </c>
      <c r="N1124" t="s">
        <v>237</v>
      </c>
      <c r="O1124" t="s">
        <v>274</v>
      </c>
      <c r="P1124">
        <v>2.5839719239591802E-2</v>
      </c>
      <c r="Q1124" t="s">
        <v>164</v>
      </c>
    </row>
    <row r="1125" spans="9:17" x14ac:dyDescent="0.45">
      <c r="I1125" t="s">
        <v>201</v>
      </c>
      <c r="J1125" t="s">
        <v>275</v>
      </c>
      <c r="K1125">
        <v>0</v>
      </c>
      <c r="L1125" t="s">
        <v>164</v>
      </c>
      <c r="N1125" t="s">
        <v>237</v>
      </c>
      <c r="O1125" t="s">
        <v>275</v>
      </c>
      <c r="P1125">
        <v>2.8331519529763115E-2</v>
      </c>
      <c r="Q1125" t="s">
        <v>164</v>
      </c>
    </row>
    <row r="1126" spans="9:17" x14ac:dyDescent="0.45">
      <c r="I1126" t="s">
        <v>201</v>
      </c>
      <c r="J1126" t="s">
        <v>276</v>
      </c>
      <c r="K1126">
        <v>0</v>
      </c>
      <c r="L1126" t="s">
        <v>164</v>
      </c>
      <c r="N1126" t="s">
        <v>237</v>
      </c>
      <c r="O1126" t="s">
        <v>276</v>
      </c>
      <c r="P1126">
        <v>1.4912687232402706E-2</v>
      </c>
      <c r="Q1126" t="s">
        <v>164</v>
      </c>
    </row>
    <row r="1127" spans="9:17" x14ac:dyDescent="0.45">
      <c r="I1127" t="s">
        <v>201</v>
      </c>
      <c r="J1127" t="s">
        <v>277</v>
      </c>
      <c r="K1127">
        <v>5.8935688691586531E-3</v>
      </c>
      <c r="L1127" t="s">
        <v>164</v>
      </c>
      <c r="N1127" t="s">
        <v>237</v>
      </c>
      <c r="O1127" t="s">
        <v>277</v>
      </c>
      <c r="P1127">
        <v>3.9336866493744294E-2</v>
      </c>
      <c r="Q1127" t="s">
        <v>164</v>
      </c>
    </row>
    <row r="1128" spans="9:17" x14ac:dyDescent="0.45">
      <c r="I1128" t="s">
        <v>201</v>
      </c>
      <c r="J1128" t="s">
        <v>278</v>
      </c>
      <c r="K1128">
        <v>6.2011741744017655E-2</v>
      </c>
      <c r="L1128" t="s">
        <v>164</v>
      </c>
      <c r="N1128" t="s">
        <v>237</v>
      </c>
      <c r="O1128" t="s">
        <v>278</v>
      </c>
      <c r="P1128">
        <v>2.3547070718531009E-2</v>
      </c>
      <c r="Q1128" t="s">
        <v>164</v>
      </c>
    </row>
    <row r="1129" spans="9:17" x14ac:dyDescent="0.45">
      <c r="I1129" t="s">
        <v>201</v>
      </c>
      <c r="J1129" t="s">
        <v>279</v>
      </c>
      <c r="K1129">
        <v>2.7954508797835322E-3</v>
      </c>
      <c r="L1129" t="s">
        <v>164</v>
      </c>
      <c r="N1129" t="s">
        <v>237</v>
      </c>
      <c r="O1129" t="s">
        <v>279</v>
      </c>
      <c r="P1129">
        <v>1.0863844182082711E-3</v>
      </c>
      <c r="Q1129" t="s">
        <v>164</v>
      </c>
    </row>
    <row r="1130" spans="9:17" x14ac:dyDescent="0.45">
      <c r="I1130" t="s">
        <v>201</v>
      </c>
      <c r="J1130" t="s">
        <v>280</v>
      </c>
      <c r="K1130">
        <v>1.3323597057040653E-3</v>
      </c>
      <c r="L1130" t="s">
        <v>164</v>
      </c>
      <c r="N1130" t="s">
        <v>237</v>
      </c>
      <c r="O1130" t="s">
        <v>280</v>
      </c>
      <c r="P1130">
        <v>6.8241383362190886E-3</v>
      </c>
      <c r="Q1130" t="s">
        <v>164</v>
      </c>
    </row>
    <row r="1131" spans="9:17" x14ac:dyDescent="0.45">
      <c r="I1131" t="s">
        <v>201</v>
      </c>
      <c r="J1131" t="s">
        <v>281</v>
      </c>
      <c r="K1131">
        <v>0</v>
      </c>
      <c r="L1131" t="s">
        <v>164</v>
      </c>
      <c r="N1131" t="s">
        <v>237</v>
      </c>
      <c r="O1131" t="s">
        <v>281</v>
      </c>
      <c r="P1131">
        <v>7.1264809608412808E-3</v>
      </c>
      <c r="Q1131" t="s">
        <v>164</v>
      </c>
    </row>
    <row r="1132" spans="9:17" x14ac:dyDescent="0.45">
      <c r="I1132" t="s">
        <v>201</v>
      </c>
      <c r="J1132" t="s">
        <v>282</v>
      </c>
      <c r="K1132">
        <v>0</v>
      </c>
      <c r="L1132" t="s">
        <v>164</v>
      </c>
      <c r="N1132" t="s">
        <v>237</v>
      </c>
      <c r="O1132" t="s">
        <v>282</v>
      </c>
      <c r="P1132">
        <v>4.0597323705539321E-3</v>
      </c>
      <c r="Q1132" t="s">
        <v>164</v>
      </c>
    </row>
    <row r="1133" spans="9:17" x14ac:dyDescent="0.45">
      <c r="I1133" t="s">
        <v>201</v>
      </c>
      <c r="J1133" t="s">
        <v>283</v>
      </c>
      <c r="K1133">
        <v>4.448849751761485E-3</v>
      </c>
      <c r="L1133" t="s">
        <v>164</v>
      </c>
      <c r="N1133" t="s">
        <v>237</v>
      </c>
      <c r="O1133" t="s">
        <v>283</v>
      </c>
      <c r="P1133">
        <v>1.7751326484849613E-2</v>
      </c>
      <c r="Q1133" t="s">
        <v>164</v>
      </c>
    </row>
    <row r="1134" spans="9:17" x14ac:dyDescent="0.45">
      <c r="I1134" t="s">
        <v>201</v>
      </c>
      <c r="J1134" t="s">
        <v>284</v>
      </c>
      <c r="K1134">
        <v>5.2454664396577977E-2</v>
      </c>
      <c r="L1134" t="s">
        <v>164</v>
      </c>
      <c r="N1134" t="s">
        <v>237</v>
      </c>
      <c r="O1134" t="s">
        <v>284</v>
      </c>
      <c r="P1134">
        <v>1.8815200154766808E-2</v>
      </c>
      <c r="Q1134" t="s">
        <v>164</v>
      </c>
    </row>
    <row r="1135" spans="9:17" x14ac:dyDescent="0.45">
      <c r="I1135" t="s">
        <v>201</v>
      </c>
      <c r="J1135" t="s">
        <v>285</v>
      </c>
      <c r="K1135">
        <v>2.143231158801205E-3</v>
      </c>
      <c r="L1135" t="s">
        <v>164</v>
      </c>
      <c r="N1135" t="s">
        <v>237</v>
      </c>
      <c r="O1135" t="s">
        <v>285</v>
      </c>
      <c r="P1135">
        <v>1.1711073580672217E-3</v>
      </c>
      <c r="Q1135" t="s">
        <v>164</v>
      </c>
    </row>
    <row r="1136" spans="9:17" x14ac:dyDescent="0.45">
      <c r="I1136" t="s">
        <v>201</v>
      </c>
      <c r="J1136" t="s">
        <v>286</v>
      </c>
      <c r="K1136">
        <v>6.2165249831061563E-4</v>
      </c>
      <c r="L1136" t="s">
        <v>164</v>
      </c>
      <c r="N1136" t="s">
        <v>237</v>
      </c>
      <c r="O1136" t="s">
        <v>286</v>
      </c>
      <c r="P1136">
        <v>4.1599312945784072E-3</v>
      </c>
      <c r="Q1136" t="s">
        <v>164</v>
      </c>
    </row>
    <row r="1137" spans="9:17" x14ac:dyDescent="0.45">
      <c r="I1137" t="s">
        <v>201</v>
      </c>
      <c r="J1137" t="s">
        <v>287</v>
      </c>
      <c r="K1137">
        <v>0</v>
      </c>
      <c r="L1137" t="s">
        <v>164</v>
      </c>
      <c r="N1137" t="s">
        <v>237</v>
      </c>
      <c r="O1137" t="s">
        <v>287</v>
      </c>
      <c r="P1137">
        <v>3.4647466983328979E-3</v>
      </c>
      <c r="Q1137" t="s">
        <v>164</v>
      </c>
    </row>
    <row r="1138" spans="9:17" x14ac:dyDescent="0.45">
      <c r="I1138" t="s">
        <v>201</v>
      </c>
      <c r="J1138" t="s">
        <v>288</v>
      </c>
      <c r="K1138">
        <v>0</v>
      </c>
      <c r="L1138" t="s">
        <v>164</v>
      </c>
      <c r="N1138" t="s">
        <v>237</v>
      </c>
      <c r="O1138" t="s">
        <v>288</v>
      </c>
      <c r="P1138">
        <v>1.8646959785786346E-3</v>
      </c>
      <c r="Q1138" t="s">
        <v>164</v>
      </c>
    </row>
    <row r="1139" spans="9:17" x14ac:dyDescent="0.45">
      <c r="I1139" t="s">
        <v>201</v>
      </c>
      <c r="J1139" t="s">
        <v>289</v>
      </c>
      <c r="K1139">
        <v>3.3113389221439915E-2</v>
      </c>
      <c r="L1139" t="s">
        <v>164</v>
      </c>
      <c r="N1139" t="s">
        <v>237</v>
      </c>
      <c r="O1139" t="s">
        <v>289</v>
      </c>
      <c r="P1139">
        <v>0.12234806900781679</v>
      </c>
      <c r="Q1139" t="s">
        <v>164</v>
      </c>
    </row>
    <row r="1140" spans="9:17" x14ac:dyDescent="0.45">
      <c r="I1140" t="s">
        <v>201</v>
      </c>
      <c r="J1140" t="s">
        <v>290</v>
      </c>
      <c r="K1140">
        <v>0.30947151866599781</v>
      </c>
      <c r="L1140" t="s">
        <v>164</v>
      </c>
      <c r="N1140" t="s">
        <v>237</v>
      </c>
      <c r="O1140" t="s">
        <v>290</v>
      </c>
      <c r="P1140">
        <v>4.1696597702293912E-2</v>
      </c>
      <c r="Q1140" t="s">
        <v>164</v>
      </c>
    </row>
    <row r="1141" spans="9:17" x14ac:dyDescent="0.45">
      <c r="I1141" t="s">
        <v>201</v>
      </c>
      <c r="J1141" t="s">
        <v>291</v>
      </c>
      <c r="K1141">
        <v>1.4065804512431456E-2</v>
      </c>
      <c r="L1141" t="s">
        <v>164</v>
      </c>
      <c r="N1141" t="s">
        <v>237</v>
      </c>
      <c r="O1141" t="s">
        <v>291</v>
      </c>
      <c r="P1141">
        <v>4.1891901175276159E-3</v>
      </c>
      <c r="Q1141" t="s">
        <v>164</v>
      </c>
    </row>
    <row r="1142" spans="9:17" x14ac:dyDescent="0.45">
      <c r="I1142" t="s">
        <v>201</v>
      </c>
      <c r="J1142" t="s">
        <v>292</v>
      </c>
      <c r="K1142">
        <v>0</v>
      </c>
      <c r="L1142" t="s">
        <v>164</v>
      </c>
      <c r="N1142" t="s">
        <v>237</v>
      </c>
      <c r="O1142" t="s">
        <v>292</v>
      </c>
      <c r="P1142">
        <v>2.8200800551065379E-2</v>
      </c>
      <c r="Q1142" t="s">
        <v>164</v>
      </c>
    </row>
    <row r="1143" spans="9:17" x14ac:dyDescent="0.45">
      <c r="I1143" t="s">
        <v>201</v>
      </c>
      <c r="J1143" t="s">
        <v>293</v>
      </c>
      <c r="K1143">
        <v>0</v>
      </c>
      <c r="L1143" t="s">
        <v>164</v>
      </c>
      <c r="N1143" t="s">
        <v>237</v>
      </c>
      <c r="O1143" t="s">
        <v>293</v>
      </c>
      <c r="P1143">
        <v>2.8301380078435294E-2</v>
      </c>
      <c r="Q1143" t="s">
        <v>164</v>
      </c>
    </row>
    <row r="1144" spans="9:17" x14ac:dyDescent="0.45">
      <c r="I1144" t="s">
        <v>201</v>
      </c>
      <c r="J1144" t="s">
        <v>294</v>
      </c>
      <c r="K1144">
        <v>0</v>
      </c>
      <c r="L1144" t="s">
        <v>164</v>
      </c>
      <c r="N1144" t="s">
        <v>237</v>
      </c>
      <c r="O1144" t="s">
        <v>294</v>
      </c>
      <c r="P1144">
        <v>1.5800012849773476E-2</v>
      </c>
      <c r="Q1144" t="s">
        <v>164</v>
      </c>
    </row>
    <row r="1145" spans="9:17" x14ac:dyDescent="0.45">
      <c r="I1145" t="s">
        <v>202</v>
      </c>
      <c r="J1145" t="s">
        <v>163</v>
      </c>
      <c r="K1145">
        <v>7.2666144691451821E-3</v>
      </c>
      <c r="L1145" t="s">
        <v>164</v>
      </c>
    </row>
    <row r="1146" spans="9:17" x14ac:dyDescent="0.45">
      <c r="I1146" t="s">
        <v>202</v>
      </c>
      <c r="J1146" t="s">
        <v>165</v>
      </c>
      <c r="K1146">
        <v>0.15515545770179279</v>
      </c>
      <c r="L1146" t="s">
        <v>164</v>
      </c>
    </row>
    <row r="1147" spans="9:17" x14ac:dyDescent="0.45">
      <c r="I1147" t="s">
        <v>202</v>
      </c>
      <c r="J1147" t="s">
        <v>166</v>
      </c>
      <c r="K1147">
        <v>9.4657461443199767E-3</v>
      </c>
      <c r="L1147" t="s">
        <v>164</v>
      </c>
    </row>
    <row r="1148" spans="9:17" x14ac:dyDescent="0.45">
      <c r="I1148" t="s">
        <v>202</v>
      </c>
      <c r="J1148" t="s">
        <v>265</v>
      </c>
      <c r="K1148">
        <v>6.9029830125530694E-4</v>
      </c>
      <c r="L1148" t="s">
        <v>164</v>
      </c>
    </row>
    <row r="1149" spans="9:17" x14ac:dyDescent="0.45">
      <c r="I1149" t="s">
        <v>202</v>
      </c>
      <c r="J1149" t="s">
        <v>266</v>
      </c>
      <c r="K1149">
        <v>0</v>
      </c>
      <c r="L1149" t="s">
        <v>164</v>
      </c>
    </row>
    <row r="1150" spans="9:17" x14ac:dyDescent="0.45">
      <c r="I1150" t="s">
        <v>202</v>
      </c>
      <c r="J1150" t="s">
        <v>267</v>
      </c>
      <c r="K1150">
        <v>0</v>
      </c>
      <c r="L1150" t="s">
        <v>164</v>
      </c>
    </row>
    <row r="1151" spans="9:17" x14ac:dyDescent="0.45">
      <c r="I1151" t="s">
        <v>202</v>
      </c>
      <c r="J1151" t="s">
        <v>167</v>
      </c>
      <c r="K1151">
        <v>4.5745009651349299E-3</v>
      </c>
      <c r="L1151" t="s">
        <v>164</v>
      </c>
    </row>
    <row r="1152" spans="9:17" x14ac:dyDescent="0.45">
      <c r="I1152" t="s">
        <v>202</v>
      </c>
      <c r="J1152" t="s">
        <v>168</v>
      </c>
      <c r="K1152">
        <v>8.2139745761239377E-2</v>
      </c>
      <c r="L1152" t="s">
        <v>164</v>
      </c>
    </row>
    <row r="1153" spans="9:12" x14ac:dyDescent="0.45">
      <c r="I1153" t="s">
        <v>202</v>
      </c>
      <c r="J1153" t="s">
        <v>169</v>
      </c>
      <c r="K1153">
        <v>5.1649559192787197E-3</v>
      </c>
      <c r="L1153" t="s">
        <v>164</v>
      </c>
    </row>
    <row r="1154" spans="9:12" x14ac:dyDescent="0.45">
      <c r="I1154" t="s">
        <v>202</v>
      </c>
      <c r="J1154" t="s">
        <v>268</v>
      </c>
      <c r="K1154">
        <v>2.221127979795031E-3</v>
      </c>
      <c r="L1154" t="s">
        <v>164</v>
      </c>
    </row>
    <row r="1155" spans="9:12" x14ac:dyDescent="0.45">
      <c r="I1155" t="s">
        <v>202</v>
      </c>
      <c r="J1155" t="s">
        <v>269</v>
      </c>
      <c r="K1155">
        <v>0</v>
      </c>
      <c r="L1155" t="s">
        <v>164</v>
      </c>
    </row>
    <row r="1156" spans="9:12" x14ac:dyDescent="0.45">
      <c r="I1156" t="s">
        <v>202</v>
      </c>
      <c r="J1156" t="s">
        <v>270</v>
      </c>
      <c r="K1156">
        <v>0</v>
      </c>
      <c r="L1156" t="s">
        <v>164</v>
      </c>
    </row>
    <row r="1157" spans="9:12" x14ac:dyDescent="0.45">
      <c r="I1157" t="s">
        <v>202</v>
      </c>
      <c r="J1157" t="s">
        <v>170</v>
      </c>
      <c r="K1157">
        <v>6.4798071821889893E-3</v>
      </c>
      <c r="L1157" t="s">
        <v>164</v>
      </c>
    </row>
    <row r="1158" spans="9:12" x14ac:dyDescent="0.45">
      <c r="I1158" t="s">
        <v>202</v>
      </c>
      <c r="J1158" t="s">
        <v>171</v>
      </c>
      <c r="K1158">
        <v>7.1585832316922657E-2</v>
      </c>
      <c r="L1158" t="s">
        <v>164</v>
      </c>
    </row>
    <row r="1159" spans="9:12" x14ac:dyDescent="0.45">
      <c r="I1159" t="s">
        <v>202</v>
      </c>
      <c r="J1159" t="s">
        <v>172</v>
      </c>
      <c r="K1159">
        <v>4.1466604099818383E-3</v>
      </c>
      <c r="L1159" t="s">
        <v>164</v>
      </c>
    </row>
    <row r="1160" spans="9:12" x14ac:dyDescent="0.45">
      <c r="I1160" t="s">
        <v>202</v>
      </c>
      <c r="J1160" t="s">
        <v>271</v>
      </c>
      <c r="K1160">
        <v>1.9746931061011114E-3</v>
      </c>
      <c r="L1160" t="s">
        <v>164</v>
      </c>
    </row>
    <row r="1161" spans="9:12" x14ac:dyDescent="0.45">
      <c r="I1161" t="s">
        <v>202</v>
      </c>
      <c r="J1161" t="s">
        <v>272</v>
      </c>
      <c r="K1161">
        <v>0</v>
      </c>
      <c r="L1161" t="s">
        <v>164</v>
      </c>
    </row>
    <row r="1162" spans="9:12" x14ac:dyDescent="0.45">
      <c r="I1162" t="s">
        <v>202</v>
      </c>
      <c r="J1162" t="s">
        <v>273</v>
      </c>
      <c r="K1162">
        <v>0</v>
      </c>
      <c r="L1162" t="s">
        <v>164</v>
      </c>
    </row>
    <row r="1163" spans="9:12" x14ac:dyDescent="0.45">
      <c r="I1163" t="s">
        <v>202</v>
      </c>
      <c r="J1163" t="s">
        <v>173</v>
      </c>
      <c r="K1163">
        <v>1.3251845595409302E-2</v>
      </c>
      <c r="L1163" t="s">
        <v>164</v>
      </c>
    </row>
    <row r="1164" spans="9:12" x14ac:dyDescent="0.45">
      <c r="I1164" t="s">
        <v>202</v>
      </c>
      <c r="J1164" t="s">
        <v>174</v>
      </c>
      <c r="K1164">
        <v>0.1375889959048838</v>
      </c>
      <c r="L1164" t="s">
        <v>164</v>
      </c>
    </row>
    <row r="1165" spans="9:12" x14ac:dyDescent="0.45">
      <c r="I1165" t="s">
        <v>202</v>
      </c>
      <c r="J1165" t="s">
        <v>175</v>
      </c>
      <c r="K1165">
        <v>7.5207258408131611E-3</v>
      </c>
      <c r="L1165" t="s">
        <v>164</v>
      </c>
    </row>
    <row r="1166" spans="9:12" x14ac:dyDescent="0.45">
      <c r="I1166" t="s">
        <v>202</v>
      </c>
      <c r="J1166" t="s">
        <v>274</v>
      </c>
      <c r="K1166">
        <v>3.4357890269301667E-3</v>
      </c>
      <c r="L1166" t="s">
        <v>164</v>
      </c>
    </row>
    <row r="1167" spans="9:12" x14ac:dyDescent="0.45">
      <c r="I1167" t="s">
        <v>202</v>
      </c>
      <c r="J1167" t="s">
        <v>275</v>
      </c>
      <c r="K1167">
        <v>0</v>
      </c>
      <c r="L1167" t="s">
        <v>164</v>
      </c>
    </row>
    <row r="1168" spans="9:12" x14ac:dyDescent="0.45">
      <c r="I1168" t="s">
        <v>202</v>
      </c>
      <c r="J1168" t="s">
        <v>276</v>
      </c>
      <c r="K1168">
        <v>0</v>
      </c>
      <c r="L1168" t="s">
        <v>164</v>
      </c>
    </row>
    <row r="1169" spans="9:12" x14ac:dyDescent="0.45">
      <c r="I1169" t="s">
        <v>202</v>
      </c>
      <c r="J1169" t="s">
        <v>277</v>
      </c>
      <c r="K1169">
        <v>5.85758865731369E-3</v>
      </c>
      <c r="L1169" t="s">
        <v>164</v>
      </c>
    </row>
    <row r="1170" spans="9:12" x14ac:dyDescent="0.45">
      <c r="I1170" t="s">
        <v>202</v>
      </c>
      <c r="J1170" t="s">
        <v>278</v>
      </c>
      <c r="K1170">
        <v>6.2830362384151336E-2</v>
      </c>
      <c r="L1170" t="s">
        <v>164</v>
      </c>
    </row>
    <row r="1171" spans="9:12" x14ac:dyDescent="0.45">
      <c r="I1171" t="s">
        <v>202</v>
      </c>
      <c r="J1171" t="s">
        <v>279</v>
      </c>
      <c r="K1171">
        <v>3.3535484942646761E-3</v>
      </c>
      <c r="L1171" t="s">
        <v>164</v>
      </c>
    </row>
    <row r="1172" spans="9:12" x14ac:dyDescent="0.45">
      <c r="I1172" t="s">
        <v>202</v>
      </c>
      <c r="J1172" t="s">
        <v>280</v>
      </c>
      <c r="K1172">
        <v>1.5345464641616238E-3</v>
      </c>
      <c r="L1172" t="s">
        <v>164</v>
      </c>
    </row>
    <row r="1173" spans="9:12" x14ac:dyDescent="0.45">
      <c r="I1173" t="s">
        <v>202</v>
      </c>
      <c r="J1173" t="s">
        <v>281</v>
      </c>
      <c r="K1173">
        <v>0</v>
      </c>
      <c r="L1173" t="s">
        <v>164</v>
      </c>
    </row>
    <row r="1174" spans="9:12" x14ac:dyDescent="0.45">
      <c r="I1174" t="s">
        <v>202</v>
      </c>
      <c r="J1174" t="s">
        <v>282</v>
      </c>
      <c r="K1174">
        <v>0</v>
      </c>
      <c r="L1174" t="s">
        <v>164</v>
      </c>
    </row>
    <row r="1175" spans="9:12" x14ac:dyDescent="0.45">
      <c r="I1175" t="s">
        <v>202</v>
      </c>
      <c r="J1175" t="s">
        <v>283</v>
      </c>
      <c r="K1175">
        <v>4.4301529039096604E-3</v>
      </c>
      <c r="L1175" t="s">
        <v>164</v>
      </c>
    </row>
    <row r="1176" spans="9:12" x14ac:dyDescent="0.45">
      <c r="I1176" t="s">
        <v>202</v>
      </c>
      <c r="J1176" t="s">
        <v>284</v>
      </c>
      <c r="K1176">
        <v>5.1343060600193897E-2</v>
      </c>
      <c r="L1176" t="s">
        <v>164</v>
      </c>
    </row>
    <row r="1177" spans="9:12" x14ac:dyDescent="0.45">
      <c r="I1177" t="s">
        <v>202</v>
      </c>
      <c r="J1177" t="s">
        <v>285</v>
      </c>
      <c r="K1177">
        <v>2.4138612632631107E-3</v>
      </c>
      <c r="L1177" t="s">
        <v>164</v>
      </c>
    </row>
    <row r="1178" spans="9:12" x14ac:dyDescent="0.45">
      <c r="I1178" t="s">
        <v>202</v>
      </c>
      <c r="J1178" t="s">
        <v>286</v>
      </c>
      <c r="K1178">
        <v>1.1895440726417432E-3</v>
      </c>
      <c r="L1178" t="s">
        <v>164</v>
      </c>
    </row>
    <row r="1179" spans="9:12" x14ac:dyDescent="0.45">
      <c r="I1179" t="s">
        <v>202</v>
      </c>
      <c r="J1179" t="s">
        <v>287</v>
      </c>
      <c r="K1179">
        <v>0</v>
      </c>
      <c r="L1179" t="s">
        <v>164</v>
      </c>
    </row>
    <row r="1180" spans="9:12" x14ac:dyDescent="0.45">
      <c r="I1180" t="s">
        <v>202</v>
      </c>
      <c r="J1180" t="s">
        <v>288</v>
      </c>
      <c r="K1180">
        <v>0</v>
      </c>
      <c r="L1180" t="s">
        <v>164</v>
      </c>
    </row>
    <row r="1181" spans="9:12" x14ac:dyDescent="0.45">
      <c r="I1181" t="s">
        <v>202</v>
      </c>
      <c r="J1181" t="s">
        <v>289</v>
      </c>
      <c r="K1181">
        <v>2.7684380897101991E-2</v>
      </c>
      <c r="L1181" t="s">
        <v>164</v>
      </c>
    </row>
    <row r="1182" spans="9:12" x14ac:dyDescent="0.45">
      <c r="I1182" t="s">
        <v>202</v>
      </c>
      <c r="J1182" t="s">
        <v>290</v>
      </c>
      <c r="K1182">
        <v>0.31110027103337423</v>
      </c>
      <c r="L1182" t="s">
        <v>164</v>
      </c>
    </row>
    <row r="1183" spans="9:12" x14ac:dyDescent="0.45">
      <c r="I1183" t="s">
        <v>202</v>
      </c>
      <c r="J1183" t="s">
        <v>291</v>
      </c>
      <c r="K1183">
        <v>1.5382927957726222E-2</v>
      </c>
      <c r="L1183" t="s">
        <v>164</v>
      </c>
    </row>
    <row r="1184" spans="9:12" x14ac:dyDescent="0.45">
      <c r="I1184" t="s">
        <v>202</v>
      </c>
      <c r="J1184" t="s">
        <v>292</v>
      </c>
      <c r="K1184">
        <v>2.1695864670607739E-4</v>
      </c>
      <c r="L1184" t="s">
        <v>164</v>
      </c>
    </row>
    <row r="1185" spans="9:12" x14ac:dyDescent="0.45">
      <c r="I1185" t="s">
        <v>202</v>
      </c>
      <c r="J1185" t="s">
        <v>293</v>
      </c>
      <c r="K1185">
        <v>0</v>
      </c>
      <c r="L1185" t="s">
        <v>164</v>
      </c>
    </row>
    <row r="1186" spans="9:12" x14ac:dyDescent="0.45">
      <c r="I1186" t="s">
        <v>202</v>
      </c>
      <c r="J1186" t="s">
        <v>294</v>
      </c>
      <c r="K1186">
        <v>0</v>
      </c>
      <c r="L1186" t="s">
        <v>164</v>
      </c>
    </row>
    <row r="1187" spans="9:12" x14ac:dyDescent="0.45">
      <c r="I1187" t="s">
        <v>203</v>
      </c>
      <c r="J1187" t="s">
        <v>163</v>
      </c>
      <c r="K1187">
        <v>8.1955094917726835E-3</v>
      </c>
      <c r="L1187" t="s">
        <v>164</v>
      </c>
    </row>
    <row r="1188" spans="9:12" x14ac:dyDescent="0.45">
      <c r="I1188" t="s">
        <v>203</v>
      </c>
      <c r="J1188" t="s">
        <v>165</v>
      </c>
      <c r="K1188">
        <v>0.15136418148081912</v>
      </c>
      <c r="L1188" t="s">
        <v>164</v>
      </c>
    </row>
    <row r="1189" spans="9:12" x14ac:dyDescent="0.45">
      <c r="I1189" t="s">
        <v>203</v>
      </c>
      <c r="J1189" t="s">
        <v>166</v>
      </c>
      <c r="K1189">
        <v>8.180304857468906E-3</v>
      </c>
      <c r="L1189" t="s">
        <v>164</v>
      </c>
    </row>
    <row r="1190" spans="9:12" x14ac:dyDescent="0.45">
      <c r="I1190" t="s">
        <v>203</v>
      </c>
      <c r="J1190" t="s">
        <v>265</v>
      </c>
      <c r="K1190">
        <v>0</v>
      </c>
      <c r="L1190" t="s">
        <v>164</v>
      </c>
    </row>
    <row r="1191" spans="9:12" x14ac:dyDescent="0.45">
      <c r="I1191" t="s">
        <v>203</v>
      </c>
      <c r="J1191" t="s">
        <v>266</v>
      </c>
      <c r="K1191">
        <v>0</v>
      </c>
      <c r="L1191" t="s">
        <v>164</v>
      </c>
    </row>
    <row r="1192" spans="9:12" x14ac:dyDescent="0.45">
      <c r="I1192" t="s">
        <v>203</v>
      </c>
      <c r="J1192" t="s">
        <v>267</v>
      </c>
      <c r="K1192">
        <v>0</v>
      </c>
      <c r="L1192" t="s">
        <v>164</v>
      </c>
    </row>
    <row r="1193" spans="9:12" x14ac:dyDescent="0.45">
      <c r="I1193" t="s">
        <v>203</v>
      </c>
      <c r="J1193" t="s">
        <v>167</v>
      </c>
      <c r="K1193">
        <v>6.2297898694615413E-3</v>
      </c>
      <c r="L1193" t="s">
        <v>164</v>
      </c>
    </row>
    <row r="1194" spans="9:12" x14ac:dyDescent="0.45">
      <c r="I1194" t="s">
        <v>203</v>
      </c>
      <c r="J1194" t="s">
        <v>168</v>
      </c>
      <c r="K1194">
        <v>8.1205010988991216E-2</v>
      </c>
      <c r="L1194" t="s">
        <v>164</v>
      </c>
    </row>
    <row r="1195" spans="9:12" x14ac:dyDescent="0.45">
      <c r="I1195" t="s">
        <v>203</v>
      </c>
      <c r="J1195" t="s">
        <v>169</v>
      </c>
      <c r="K1195">
        <v>4.8027981629569661E-3</v>
      </c>
      <c r="L1195" t="s">
        <v>164</v>
      </c>
    </row>
    <row r="1196" spans="9:12" x14ac:dyDescent="0.45">
      <c r="I1196" t="s">
        <v>203</v>
      </c>
      <c r="J1196" t="s">
        <v>268</v>
      </c>
      <c r="K1196">
        <v>2.3911333790290725E-5</v>
      </c>
      <c r="L1196" t="s">
        <v>164</v>
      </c>
    </row>
    <row r="1197" spans="9:12" x14ac:dyDescent="0.45">
      <c r="I1197" t="s">
        <v>203</v>
      </c>
      <c r="J1197" t="s">
        <v>269</v>
      </c>
      <c r="K1197">
        <v>0</v>
      </c>
      <c r="L1197" t="s">
        <v>164</v>
      </c>
    </row>
    <row r="1198" spans="9:12" x14ac:dyDescent="0.45">
      <c r="I1198" t="s">
        <v>203</v>
      </c>
      <c r="J1198" t="s">
        <v>270</v>
      </c>
      <c r="K1198">
        <v>0</v>
      </c>
      <c r="L1198" t="s">
        <v>164</v>
      </c>
    </row>
    <row r="1199" spans="9:12" x14ac:dyDescent="0.45">
      <c r="I1199" t="s">
        <v>203</v>
      </c>
      <c r="J1199" t="s">
        <v>170</v>
      </c>
      <c r="K1199">
        <v>7.565243649820007E-3</v>
      </c>
      <c r="L1199" t="s">
        <v>164</v>
      </c>
    </row>
    <row r="1200" spans="9:12" x14ac:dyDescent="0.45">
      <c r="I1200" t="s">
        <v>203</v>
      </c>
      <c r="J1200" t="s">
        <v>171</v>
      </c>
      <c r="K1200">
        <v>7.1404396718550714E-2</v>
      </c>
      <c r="L1200" t="s">
        <v>164</v>
      </c>
    </row>
    <row r="1201" spans="9:12" x14ac:dyDescent="0.45">
      <c r="I1201" t="s">
        <v>203</v>
      </c>
      <c r="J1201" t="s">
        <v>172</v>
      </c>
      <c r="K1201">
        <v>3.983814418159118E-3</v>
      </c>
      <c r="L1201" t="s">
        <v>164</v>
      </c>
    </row>
    <row r="1202" spans="9:12" x14ac:dyDescent="0.45">
      <c r="I1202" t="s">
        <v>203</v>
      </c>
      <c r="J1202" t="s">
        <v>271</v>
      </c>
      <c r="K1202">
        <v>3.4238532649735813E-4</v>
      </c>
      <c r="L1202" t="s">
        <v>164</v>
      </c>
    </row>
    <row r="1203" spans="9:12" x14ac:dyDescent="0.45">
      <c r="I1203" t="s">
        <v>203</v>
      </c>
      <c r="J1203" t="s">
        <v>272</v>
      </c>
      <c r="K1203">
        <v>0</v>
      </c>
      <c r="L1203" t="s">
        <v>164</v>
      </c>
    </row>
    <row r="1204" spans="9:12" x14ac:dyDescent="0.45">
      <c r="I1204" t="s">
        <v>203</v>
      </c>
      <c r="J1204" t="s">
        <v>273</v>
      </c>
      <c r="K1204">
        <v>0</v>
      </c>
      <c r="L1204" t="s">
        <v>164</v>
      </c>
    </row>
    <row r="1205" spans="9:12" x14ac:dyDescent="0.45">
      <c r="I1205" t="s">
        <v>203</v>
      </c>
      <c r="J1205" t="s">
        <v>173</v>
      </c>
      <c r="K1205">
        <v>1.5449756085951035E-2</v>
      </c>
      <c r="L1205" t="s">
        <v>164</v>
      </c>
    </row>
    <row r="1206" spans="9:12" x14ac:dyDescent="0.45">
      <c r="I1206" t="s">
        <v>203</v>
      </c>
      <c r="J1206" t="s">
        <v>174</v>
      </c>
      <c r="K1206">
        <v>0.13737051217788171</v>
      </c>
      <c r="L1206" t="s">
        <v>164</v>
      </c>
    </row>
    <row r="1207" spans="9:12" x14ac:dyDescent="0.45">
      <c r="I1207" t="s">
        <v>203</v>
      </c>
      <c r="J1207" t="s">
        <v>175</v>
      </c>
      <c r="K1207">
        <v>7.3169002965140992E-3</v>
      </c>
      <c r="L1207" t="s">
        <v>164</v>
      </c>
    </row>
    <row r="1208" spans="9:12" x14ac:dyDescent="0.45">
      <c r="I1208" t="s">
        <v>203</v>
      </c>
      <c r="J1208" t="s">
        <v>274</v>
      </c>
      <c r="K1208">
        <v>2.7200303537704483E-3</v>
      </c>
      <c r="L1208" t="s">
        <v>164</v>
      </c>
    </row>
    <row r="1209" spans="9:12" x14ac:dyDescent="0.45">
      <c r="I1209" t="s">
        <v>203</v>
      </c>
      <c r="J1209" t="s">
        <v>275</v>
      </c>
      <c r="K1209">
        <v>0</v>
      </c>
      <c r="L1209" t="s">
        <v>164</v>
      </c>
    </row>
    <row r="1210" spans="9:12" x14ac:dyDescent="0.45">
      <c r="I1210" t="s">
        <v>203</v>
      </c>
      <c r="J1210" t="s">
        <v>276</v>
      </c>
      <c r="K1210">
        <v>0</v>
      </c>
      <c r="L1210" t="s">
        <v>164</v>
      </c>
    </row>
    <row r="1211" spans="9:12" x14ac:dyDescent="0.45">
      <c r="I1211" t="s">
        <v>203</v>
      </c>
      <c r="J1211" t="s">
        <v>277</v>
      </c>
      <c r="K1211">
        <v>6.6654407926683111E-3</v>
      </c>
      <c r="L1211" t="s">
        <v>164</v>
      </c>
    </row>
    <row r="1212" spans="9:12" x14ac:dyDescent="0.45">
      <c r="I1212" t="s">
        <v>203</v>
      </c>
      <c r="J1212" t="s">
        <v>278</v>
      </c>
      <c r="K1212">
        <v>6.6186416337857309E-2</v>
      </c>
      <c r="L1212" t="s">
        <v>164</v>
      </c>
    </row>
    <row r="1213" spans="9:12" x14ac:dyDescent="0.45">
      <c r="I1213" t="s">
        <v>203</v>
      </c>
      <c r="J1213" t="s">
        <v>279</v>
      </c>
      <c r="K1213">
        <v>3.7471346218791034E-3</v>
      </c>
      <c r="L1213" t="s">
        <v>164</v>
      </c>
    </row>
    <row r="1214" spans="9:12" x14ac:dyDescent="0.45">
      <c r="I1214" t="s">
        <v>203</v>
      </c>
      <c r="J1214" t="s">
        <v>280</v>
      </c>
      <c r="K1214">
        <v>1.6788655398138805E-3</v>
      </c>
      <c r="L1214" t="s">
        <v>164</v>
      </c>
    </row>
    <row r="1215" spans="9:12" x14ac:dyDescent="0.45">
      <c r="I1215" t="s">
        <v>203</v>
      </c>
      <c r="J1215" t="s">
        <v>281</v>
      </c>
      <c r="K1215">
        <v>0</v>
      </c>
      <c r="L1215" t="s">
        <v>164</v>
      </c>
    </row>
    <row r="1216" spans="9:12" x14ac:dyDescent="0.45">
      <c r="I1216" t="s">
        <v>203</v>
      </c>
      <c r="J1216" t="s">
        <v>282</v>
      </c>
      <c r="K1216">
        <v>0</v>
      </c>
      <c r="L1216" t="s">
        <v>164</v>
      </c>
    </row>
    <row r="1217" spans="9:12" x14ac:dyDescent="0.45">
      <c r="I1217" t="s">
        <v>203</v>
      </c>
      <c r="J1217" t="s">
        <v>283</v>
      </c>
      <c r="K1217">
        <v>5.2022493685668055E-3</v>
      </c>
      <c r="L1217" t="s">
        <v>164</v>
      </c>
    </row>
    <row r="1218" spans="9:12" x14ac:dyDescent="0.45">
      <c r="I1218" t="s">
        <v>203</v>
      </c>
      <c r="J1218" t="s">
        <v>284</v>
      </c>
      <c r="K1218">
        <v>5.6659313441256048E-2</v>
      </c>
      <c r="L1218" t="s">
        <v>164</v>
      </c>
    </row>
    <row r="1219" spans="9:12" x14ac:dyDescent="0.45">
      <c r="I1219" t="s">
        <v>203</v>
      </c>
      <c r="J1219" t="s">
        <v>285</v>
      </c>
      <c r="K1219">
        <v>2.8661456044313588E-3</v>
      </c>
      <c r="L1219" t="s">
        <v>164</v>
      </c>
    </row>
    <row r="1220" spans="9:12" x14ac:dyDescent="0.45">
      <c r="I1220" t="s">
        <v>203</v>
      </c>
      <c r="J1220" t="s">
        <v>286</v>
      </c>
      <c r="K1220">
        <v>9.5105054623074146E-4</v>
      </c>
      <c r="L1220" t="s">
        <v>164</v>
      </c>
    </row>
    <row r="1221" spans="9:12" x14ac:dyDescent="0.45">
      <c r="I1221" t="s">
        <v>203</v>
      </c>
      <c r="J1221" t="s">
        <v>287</v>
      </c>
      <c r="K1221">
        <v>0</v>
      </c>
      <c r="L1221" t="s">
        <v>164</v>
      </c>
    </row>
    <row r="1222" spans="9:12" x14ac:dyDescent="0.45">
      <c r="I1222" t="s">
        <v>203</v>
      </c>
      <c r="J1222" t="s">
        <v>288</v>
      </c>
      <c r="K1222">
        <v>0</v>
      </c>
      <c r="L1222" t="s">
        <v>164</v>
      </c>
    </row>
    <row r="1223" spans="9:12" x14ac:dyDescent="0.45">
      <c r="I1223" t="s">
        <v>203</v>
      </c>
      <c r="J1223" t="s">
        <v>289</v>
      </c>
      <c r="K1223">
        <v>3.2144171843403353E-2</v>
      </c>
      <c r="L1223" t="s">
        <v>164</v>
      </c>
    </row>
    <row r="1224" spans="9:12" x14ac:dyDescent="0.45">
      <c r="I1224" t="s">
        <v>203</v>
      </c>
      <c r="J1224" t="s">
        <v>290</v>
      </c>
      <c r="K1224">
        <v>0.30381277381638488</v>
      </c>
      <c r="L1224" t="s">
        <v>164</v>
      </c>
    </row>
    <row r="1225" spans="9:12" x14ac:dyDescent="0.45">
      <c r="I1225" t="s">
        <v>203</v>
      </c>
      <c r="J1225" t="s">
        <v>291</v>
      </c>
      <c r="K1225">
        <v>1.3931312575856832E-2</v>
      </c>
      <c r="L1225" t="s">
        <v>164</v>
      </c>
    </row>
    <row r="1226" spans="9:12" x14ac:dyDescent="0.45">
      <c r="I1226" t="s">
        <v>203</v>
      </c>
      <c r="J1226" t="s">
        <v>292</v>
      </c>
      <c r="K1226">
        <v>5.8029924598145103E-7</v>
      </c>
      <c r="L1226" t="s">
        <v>164</v>
      </c>
    </row>
    <row r="1227" spans="9:12" x14ac:dyDescent="0.45">
      <c r="I1227" t="s">
        <v>203</v>
      </c>
      <c r="J1227" t="s">
        <v>293</v>
      </c>
      <c r="K1227">
        <v>0</v>
      </c>
      <c r="L1227" t="s">
        <v>164</v>
      </c>
    </row>
    <row r="1228" spans="9:12" x14ac:dyDescent="0.45">
      <c r="I1228" t="s">
        <v>203</v>
      </c>
      <c r="J1228" t="s">
        <v>294</v>
      </c>
      <c r="K1228">
        <v>0</v>
      </c>
      <c r="L1228" t="s">
        <v>164</v>
      </c>
    </row>
    <row r="1229" spans="9:12" x14ac:dyDescent="0.45">
      <c r="I1229" t="s">
        <v>204</v>
      </c>
      <c r="J1229" t="s">
        <v>163</v>
      </c>
      <c r="K1229">
        <v>5.8502692716520957E-3</v>
      </c>
      <c r="L1229" t="s">
        <v>164</v>
      </c>
    </row>
    <row r="1230" spans="9:12" x14ac:dyDescent="0.45">
      <c r="I1230" t="s">
        <v>204</v>
      </c>
      <c r="J1230" t="s">
        <v>165</v>
      </c>
      <c r="K1230">
        <v>0.15316219790505872</v>
      </c>
      <c r="L1230" t="s">
        <v>164</v>
      </c>
    </row>
    <row r="1231" spans="9:12" x14ac:dyDescent="0.45">
      <c r="I1231" t="s">
        <v>204</v>
      </c>
      <c r="J1231" t="s">
        <v>166</v>
      </c>
      <c r="K1231">
        <v>9.9325705486730184E-3</v>
      </c>
      <c r="L1231" t="s">
        <v>164</v>
      </c>
    </row>
    <row r="1232" spans="9:12" x14ac:dyDescent="0.45">
      <c r="I1232" t="s">
        <v>204</v>
      </c>
      <c r="J1232" t="s">
        <v>265</v>
      </c>
      <c r="K1232">
        <v>2.450808813786945E-3</v>
      </c>
      <c r="L1232" t="s">
        <v>164</v>
      </c>
    </row>
    <row r="1233" spans="9:12" x14ac:dyDescent="0.45">
      <c r="I1233" t="s">
        <v>204</v>
      </c>
      <c r="J1233" t="s">
        <v>266</v>
      </c>
      <c r="K1233">
        <v>0</v>
      </c>
      <c r="L1233" t="s">
        <v>164</v>
      </c>
    </row>
    <row r="1234" spans="9:12" x14ac:dyDescent="0.45">
      <c r="I1234" t="s">
        <v>204</v>
      </c>
      <c r="J1234" t="s">
        <v>267</v>
      </c>
      <c r="K1234">
        <v>0</v>
      </c>
      <c r="L1234" t="s">
        <v>164</v>
      </c>
    </row>
    <row r="1235" spans="9:12" x14ac:dyDescent="0.45">
      <c r="I1235" t="s">
        <v>204</v>
      </c>
      <c r="J1235" t="s">
        <v>167</v>
      </c>
      <c r="K1235">
        <v>3.7038574264792153E-3</v>
      </c>
      <c r="L1235" t="s">
        <v>164</v>
      </c>
    </row>
    <row r="1236" spans="9:12" x14ac:dyDescent="0.45">
      <c r="I1236" t="s">
        <v>204</v>
      </c>
      <c r="J1236" t="s">
        <v>168</v>
      </c>
      <c r="K1236">
        <v>7.9657791888174803E-2</v>
      </c>
      <c r="L1236" t="s">
        <v>164</v>
      </c>
    </row>
    <row r="1237" spans="9:12" x14ac:dyDescent="0.45">
      <c r="I1237" t="s">
        <v>204</v>
      </c>
      <c r="J1237" t="s">
        <v>169</v>
      </c>
      <c r="K1237">
        <v>5.1968381903058454E-3</v>
      </c>
      <c r="L1237" t="s">
        <v>164</v>
      </c>
    </row>
    <row r="1238" spans="9:12" x14ac:dyDescent="0.45">
      <c r="I1238" t="s">
        <v>204</v>
      </c>
      <c r="J1238" t="s">
        <v>268</v>
      </c>
      <c r="K1238">
        <v>2.1380598044439311E-3</v>
      </c>
      <c r="L1238" t="s">
        <v>164</v>
      </c>
    </row>
    <row r="1239" spans="9:12" x14ac:dyDescent="0.45">
      <c r="I1239" t="s">
        <v>204</v>
      </c>
      <c r="J1239" t="s">
        <v>269</v>
      </c>
      <c r="K1239">
        <v>0</v>
      </c>
      <c r="L1239" t="s">
        <v>164</v>
      </c>
    </row>
    <row r="1240" spans="9:12" x14ac:dyDescent="0.45">
      <c r="I1240" t="s">
        <v>204</v>
      </c>
      <c r="J1240" t="s">
        <v>270</v>
      </c>
      <c r="K1240">
        <v>0</v>
      </c>
      <c r="L1240" t="s">
        <v>164</v>
      </c>
    </row>
    <row r="1241" spans="9:12" x14ac:dyDescent="0.45">
      <c r="I1241" t="s">
        <v>204</v>
      </c>
      <c r="J1241" t="s">
        <v>170</v>
      </c>
      <c r="K1241">
        <v>4.5076636209522309E-3</v>
      </c>
      <c r="L1241" t="s">
        <v>164</v>
      </c>
    </row>
    <row r="1242" spans="9:12" x14ac:dyDescent="0.45">
      <c r="I1242" t="s">
        <v>204</v>
      </c>
      <c r="J1242" t="s">
        <v>171</v>
      </c>
      <c r="K1242">
        <v>7.1872544904067567E-2</v>
      </c>
      <c r="L1242" t="s">
        <v>164</v>
      </c>
    </row>
    <row r="1243" spans="9:12" x14ac:dyDescent="0.45">
      <c r="I1243" t="s">
        <v>204</v>
      </c>
      <c r="J1243" t="s">
        <v>172</v>
      </c>
      <c r="K1243">
        <v>4.3866652376600311E-3</v>
      </c>
      <c r="L1243" t="s">
        <v>164</v>
      </c>
    </row>
    <row r="1244" spans="9:12" x14ac:dyDescent="0.45">
      <c r="I1244" t="s">
        <v>204</v>
      </c>
      <c r="J1244" t="s">
        <v>271</v>
      </c>
      <c r="K1244">
        <v>1.8765214047384304E-3</v>
      </c>
      <c r="L1244" t="s">
        <v>164</v>
      </c>
    </row>
    <row r="1245" spans="9:12" x14ac:dyDescent="0.45">
      <c r="I1245" t="s">
        <v>204</v>
      </c>
      <c r="J1245" t="s">
        <v>272</v>
      </c>
      <c r="K1245">
        <v>0</v>
      </c>
      <c r="L1245" t="s">
        <v>164</v>
      </c>
    </row>
    <row r="1246" spans="9:12" x14ac:dyDescent="0.45">
      <c r="I1246" t="s">
        <v>204</v>
      </c>
      <c r="J1246" t="s">
        <v>273</v>
      </c>
      <c r="K1246">
        <v>0</v>
      </c>
      <c r="L1246" t="s">
        <v>164</v>
      </c>
    </row>
    <row r="1247" spans="9:12" x14ac:dyDescent="0.45">
      <c r="I1247" t="s">
        <v>204</v>
      </c>
      <c r="J1247" t="s">
        <v>173</v>
      </c>
      <c r="K1247">
        <v>1.2843380200379473E-2</v>
      </c>
      <c r="L1247" t="s">
        <v>164</v>
      </c>
    </row>
    <row r="1248" spans="9:12" x14ac:dyDescent="0.45">
      <c r="I1248" t="s">
        <v>204</v>
      </c>
      <c r="J1248" t="s">
        <v>174</v>
      </c>
      <c r="K1248">
        <v>0.14115493051303668</v>
      </c>
      <c r="L1248" t="s">
        <v>164</v>
      </c>
    </row>
    <row r="1249" spans="9:12" x14ac:dyDescent="0.45">
      <c r="I1249" t="s">
        <v>204</v>
      </c>
      <c r="J1249" t="s">
        <v>175</v>
      </c>
      <c r="K1249">
        <v>8.4501948143426899E-3</v>
      </c>
      <c r="L1249" t="s">
        <v>164</v>
      </c>
    </row>
    <row r="1250" spans="9:12" x14ac:dyDescent="0.45">
      <c r="I1250" t="s">
        <v>204</v>
      </c>
      <c r="J1250" t="s">
        <v>274</v>
      </c>
      <c r="K1250">
        <v>3.953653098964529E-3</v>
      </c>
      <c r="L1250" t="s">
        <v>164</v>
      </c>
    </row>
    <row r="1251" spans="9:12" x14ac:dyDescent="0.45">
      <c r="I1251" t="s">
        <v>204</v>
      </c>
      <c r="J1251" t="s">
        <v>275</v>
      </c>
      <c r="K1251">
        <v>0</v>
      </c>
      <c r="L1251" t="s">
        <v>164</v>
      </c>
    </row>
    <row r="1252" spans="9:12" x14ac:dyDescent="0.45">
      <c r="I1252" t="s">
        <v>204</v>
      </c>
      <c r="J1252" t="s">
        <v>276</v>
      </c>
      <c r="K1252">
        <v>0</v>
      </c>
      <c r="L1252" t="s">
        <v>164</v>
      </c>
    </row>
    <row r="1253" spans="9:12" x14ac:dyDescent="0.45">
      <c r="I1253" t="s">
        <v>204</v>
      </c>
      <c r="J1253" t="s">
        <v>277</v>
      </c>
      <c r="K1253">
        <v>5.0592542899268855E-3</v>
      </c>
      <c r="L1253" t="s">
        <v>164</v>
      </c>
    </row>
    <row r="1254" spans="9:12" x14ac:dyDescent="0.45">
      <c r="I1254" t="s">
        <v>204</v>
      </c>
      <c r="J1254" t="s">
        <v>278</v>
      </c>
      <c r="K1254">
        <v>6.8236043808487634E-2</v>
      </c>
      <c r="L1254" t="s">
        <v>164</v>
      </c>
    </row>
    <row r="1255" spans="9:12" x14ac:dyDescent="0.45">
      <c r="I1255" t="s">
        <v>204</v>
      </c>
      <c r="J1255" t="s">
        <v>279</v>
      </c>
      <c r="K1255">
        <v>4.3686660482093092E-3</v>
      </c>
      <c r="L1255" t="s">
        <v>164</v>
      </c>
    </row>
    <row r="1256" spans="9:12" x14ac:dyDescent="0.45">
      <c r="I1256" t="s">
        <v>204</v>
      </c>
      <c r="J1256" t="s">
        <v>280</v>
      </c>
      <c r="K1256">
        <v>2.1018496318516914E-3</v>
      </c>
      <c r="L1256" t="s">
        <v>164</v>
      </c>
    </row>
    <row r="1257" spans="9:12" x14ac:dyDescent="0.45">
      <c r="I1257" t="s">
        <v>204</v>
      </c>
      <c r="J1257" t="s">
        <v>281</v>
      </c>
      <c r="K1257">
        <v>0</v>
      </c>
      <c r="L1257" t="s">
        <v>164</v>
      </c>
    </row>
    <row r="1258" spans="9:12" x14ac:dyDescent="0.45">
      <c r="I1258" t="s">
        <v>204</v>
      </c>
      <c r="J1258" t="s">
        <v>282</v>
      </c>
      <c r="K1258">
        <v>0</v>
      </c>
      <c r="L1258" t="s">
        <v>164</v>
      </c>
    </row>
    <row r="1259" spans="9:12" x14ac:dyDescent="0.45">
      <c r="I1259" t="s">
        <v>204</v>
      </c>
      <c r="J1259" t="s">
        <v>283</v>
      </c>
      <c r="K1259">
        <v>3.3090583083876762E-3</v>
      </c>
      <c r="L1259" t="s">
        <v>164</v>
      </c>
    </row>
    <row r="1260" spans="9:12" x14ac:dyDescent="0.45">
      <c r="I1260" t="s">
        <v>204</v>
      </c>
      <c r="J1260" t="s">
        <v>284</v>
      </c>
      <c r="K1260">
        <v>5.4322423614566767E-2</v>
      </c>
      <c r="L1260" t="s">
        <v>164</v>
      </c>
    </row>
    <row r="1261" spans="9:12" x14ac:dyDescent="0.45">
      <c r="I1261" t="s">
        <v>204</v>
      </c>
      <c r="J1261" t="s">
        <v>285</v>
      </c>
      <c r="K1261">
        <v>3.1579950699282774E-3</v>
      </c>
      <c r="L1261" t="s">
        <v>164</v>
      </c>
    </row>
    <row r="1262" spans="9:12" x14ac:dyDescent="0.45">
      <c r="I1262" t="s">
        <v>204</v>
      </c>
      <c r="J1262" t="s">
        <v>286</v>
      </c>
      <c r="K1262">
        <v>1.5152555004909361E-3</v>
      </c>
      <c r="L1262" t="s">
        <v>164</v>
      </c>
    </row>
    <row r="1263" spans="9:12" x14ac:dyDescent="0.45">
      <c r="I1263" t="s">
        <v>204</v>
      </c>
      <c r="J1263" t="s">
        <v>287</v>
      </c>
      <c r="K1263">
        <v>0</v>
      </c>
      <c r="L1263" t="s">
        <v>164</v>
      </c>
    </row>
    <row r="1264" spans="9:12" x14ac:dyDescent="0.45">
      <c r="I1264" t="s">
        <v>204</v>
      </c>
      <c r="J1264" t="s">
        <v>288</v>
      </c>
      <c r="K1264">
        <v>0</v>
      </c>
      <c r="L1264" t="s">
        <v>164</v>
      </c>
    </row>
    <row r="1265" spans="9:12" x14ac:dyDescent="0.45">
      <c r="I1265" t="s">
        <v>204</v>
      </c>
      <c r="J1265" t="s">
        <v>289</v>
      </c>
      <c r="K1265">
        <v>1.8932661328537086E-2</v>
      </c>
      <c r="L1265" t="s">
        <v>164</v>
      </c>
    </row>
    <row r="1266" spans="9:12" x14ac:dyDescent="0.45">
      <c r="I1266" t="s">
        <v>204</v>
      </c>
      <c r="J1266" t="s">
        <v>290</v>
      </c>
      <c r="K1266">
        <v>0.30910509065412706</v>
      </c>
      <c r="L1266" t="s">
        <v>164</v>
      </c>
    </row>
    <row r="1267" spans="9:12" x14ac:dyDescent="0.45">
      <c r="I1267" t="s">
        <v>204</v>
      </c>
      <c r="J1267" t="s">
        <v>291</v>
      </c>
      <c r="K1267">
        <v>1.7375992101099864E-2</v>
      </c>
      <c r="L1267" t="s">
        <v>164</v>
      </c>
    </row>
    <row r="1268" spans="9:12" x14ac:dyDescent="0.45">
      <c r="I1268" t="s">
        <v>204</v>
      </c>
      <c r="J1268" t="s">
        <v>292</v>
      </c>
      <c r="K1268">
        <v>1.3777620016703087E-3</v>
      </c>
      <c r="L1268" t="s">
        <v>164</v>
      </c>
    </row>
    <row r="1269" spans="9:12" x14ac:dyDescent="0.45">
      <c r="I1269" t="s">
        <v>204</v>
      </c>
      <c r="J1269" t="s">
        <v>293</v>
      </c>
      <c r="K1269">
        <v>0</v>
      </c>
      <c r="L1269" t="s">
        <v>164</v>
      </c>
    </row>
    <row r="1270" spans="9:12" x14ac:dyDescent="0.45">
      <c r="I1270" t="s">
        <v>204</v>
      </c>
      <c r="J1270" t="s">
        <v>294</v>
      </c>
      <c r="K1270">
        <v>0</v>
      </c>
      <c r="L1270" t="s">
        <v>164</v>
      </c>
    </row>
    <row r="1271" spans="9:12" x14ac:dyDescent="0.45">
      <c r="I1271" t="s">
        <v>205</v>
      </c>
      <c r="J1271" t="s">
        <v>163</v>
      </c>
      <c r="K1271">
        <v>6.0284178833008035E-3</v>
      </c>
      <c r="L1271" t="s">
        <v>164</v>
      </c>
    </row>
    <row r="1272" spans="9:12" x14ac:dyDescent="0.45">
      <c r="I1272" t="s">
        <v>205</v>
      </c>
      <c r="J1272" t="s">
        <v>165</v>
      </c>
      <c r="K1272">
        <v>0.15886583056259646</v>
      </c>
      <c r="L1272" t="s">
        <v>164</v>
      </c>
    </row>
    <row r="1273" spans="9:12" x14ac:dyDescent="0.45">
      <c r="I1273" t="s">
        <v>205</v>
      </c>
      <c r="J1273" t="s">
        <v>166</v>
      </c>
      <c r="K1273">
        <v>1.076233338992017E-2</v>
      </c>
      <c r="L1273" t="s">
        <v>164</v>
      </c>
    </row>
    <row r="1274" spans="9:12" x14ac:dyDescent="0.45">
      <c r="I1274" t="s">
        <v>205</v>
      </c>
      <c r="J1274" t="s">
        <v>265</v>
      </c>
      <c r="K1274">
        <v>3.4058143440278276E-3</v>
      </c>
      <c r="L1274" t="s">
        <v>164</v>
      </c>
    </row>
    <row r="1275" spans="9:12" x14ac:dyDescent="0.45">
      <c r="I1275" t="s">
        <v>205</v>
      </c>
      <c r="J1275" t="s">
        <v>266</v>
      </c>
      <c r="K1275">
        <v>0</v>
      </c>
      <c r="L1275" t="s">
        <v>164</v>
      </c>
    </row>
    <row r="1276" spans="9:12" x14ac:dyDescent="0.45">
      <c r="I1276" t="s">
        <v>205</v>
      </c>
      <c r="J1276" t="s">
        <v>267</v>
      </c>
      <c r="K1276">
        <v>0</v>
      </c>
      <c r="L1276" t="s">
        <v>164</v>
      </c>
    </row>
    <row r="1277" spans="9:12" x14ac:dyDescent="0.45">
      <c r="I1277" t="s">
        <v>205</v>
      </c>
      <c r="J1277" t="s">
        <v>167</v>
      </c>
      <c r="K1277">
        <v>3.5096794726272897E-3</v>
      </c>
      <c r="L1277" t="s">
        <v>164</v>
      </c>
    </row>
    <row r="1278" spans="9:12" x14ac:dyDescent="0.45">
      <c r="I1278" t="s">
        <v>205</v>
      </c>
      <c r="J1278" t="s">
        <v>168</v>
      </c>
      <c r="K1278">
        <v>7.9724817900515832E-2</v>
      </c>
      <c r="L1278" t="s">
        <v>164</v>
      </c>
    </row>
    <row r="1279" spans="9:12" x14ac:dyDescent="0.45">
      <c r="I1279" t="s">
        <v>205</v>
      </c>
      <c r="J1279" t="s">
        <v>169</v>
      </c>
      <c r="K1279">
        <v>5.1804370150185675E-3</v>
      </c>
      <c r="L1279" t="s">
        <v>164</v>
      </c>
    </row>
    <row r="1280" spans="9:12" x14ac:dyDescent="0.45">
      <c r="I1280" t="s">
        <v>205</v>
      </c>
      <c r="J1280" t="s">
        <v>268</v>
      </c>
      <c r="K1280">
        <v>2.2447581808770229E-3</v>
      </c>
      <c r="L1280" t="s">
        <v>164</v>
      </c>
    </row>
    <row r="1281" spans="9:12" x14ac:dyDescent="0.45">
      <c r="I1281" t="s">
        <v>205</v>
      </c>
      <c r="J1281" t="s">
        <v>269</v>
      </c>
      <c r="K1281">
        <v>0</v>
      </c>
      <c r="L1281" t="s">
        <v>164</v>
      </c>
    </row>
    <row r="1282" spans="9:12" x14ac:dyDescent="0.45">
      <c r="I1282" t="s">
        <v>205</v>
      </c>
      <c r="J1282" t="s">
        <v>270</v>
      </c>
      <c r="K1282">
        <v>0</v>
      </c>
      <c r="L1282" t="s">
        <v>164</v>
      </c>
    </row>
    <row r="1283" spans="9:12" x14ac:dyDescent="0.45">
      <c r="I1283" t="s">
        <v>205</v>
      </c>
      <c r="J1283" t="s">
        <v>170</v>
      </c>
      <c r="K1283">
        <v>4.1255777460318692E-3</v>
      </c>
      <c r="L1283" t="s">
        <v>164</v>
      </c>
    </row>
    <row r="1284" spans="9:12" x14ac:dyDescent="0.45">
      <c r="I1284" t="s">
        <v>205</v>
      </c>
      <c r="J1284" t="s">
        <v>171</v>
      </c>
      <c r="K1284">
        <v>7.2838236712904542E-2</v>
      </c>
      <c r="L1284" t="s">
        <v>164</v>
      </c>
    </row>
    <row r="1285" spans="9:12" x14ac:dyDescent="0.45">
      <c r="I1285" t="s">
        <v>205</v>
      </c>
      <c r="J1285" t="s">
        <v>172</v>
      </c>
      <c r="K1285">
        <v>4.2425355851008111E-3</v>
      </c>
      <c r="L1285" t="s">
        <v>164</v>
      </c>
    </row>
    <row r="1286" spans="9:12" x14ac:dyDescent="0.45">
      <c r="I1286" t="s">
        <v>205</v>
      </c>
      <c r="J1286" t="s">
        <v>271</v>
      </c>
      <c r="K1286">
        <v>1.8789195343348057E-3</v>
      </c>
      <c r="L1286" t="s">
        <v>164</v>
      </c>
    </row>
    <row r="1287" spans="9:12" x14ac:dyDescent="0.45">
      <c r="I1287" t="s">
        <v>205</v>
      </c>
      <c r="J1287" t="s">
        <v>272</v>
      </c>
      <c r="K1287">
        <v>0</v>
      </c>
      <c r="L1287" t="s">
        <v>164</v>
      </c>
    </row>
    <row r="1288" spans="9:12" x14ac:dyDescent="0.45">
      <c r="I1288" t="s">
        <v>205</v>
      </c>
      <c r="J1288" t="s">
        <v>273</v>
      </c>
      <c r="K1288">
        <v>0</v>
      </c>
      <c r="L1288" t="s">
        <v>164</v>
      </c>
    </row>
    <row r="1289" spans="9:12" x14ac:dyDescent="0.45">
      <c r="I1289" t="s">
        <v>205</v>
      </c>
      <c r="J1289" t="s">
        <v>173</v>
      </c>
      <c r="K1289">
        <v>1.1770161471635478E-2</v>
      </c>
      <c r="L1289" t="s">
        <v>164</v>
      </c>
    </row>
    <row r="1290" spans="9:12" x14ac:dyDescent="0.45">
      <c r="I1290" t="s">
        <v>205</v>
      </c>
      <c r="J1290" t="s">
        <v>174</v>
      </c>
      <c r="K1290">
        <v>0.14021858369749851</v>
      </c>
      <c r="L1290" t="s">
        <v>164</v>
      </c>
    </row>
    <row r="1291" spans="9:12" x14ac:dyDescent="0.45">
      <c r="I1291" t="s">
        <v>205</v>
      </c>
      <c r="J1291" t="s">
        <v>175</v>
      </c>
      <c r="K1291">
        <v>8.8175195944649766E-3</v>
      </c>
      <c r="L1291" t="s">
        <v>164</v>
      </c>
    </row>
    <row r="1292" spans="9:12" x14ac:dyDescent="0.45">
      <c r="I1292" t="s">
        <v>205</v>
      </c>
      <c r="J1292" t="s">
        <v>274</v>
      </c>
      <c r="K1292">
        <v>4.3572669205312938E-3</v>
      </c>
      <c r="L1292" t="s">
        <v>164</v>
      </c>
    </row>
    <row r="1293" spans="9:12" x14ac:dyDescent="0.45">
      <c r="I1293" t="s">
        <v>205</v>
      </c>
      <c r="J1293" t="s">
        <v>275</v>
      </c>
      <c r="K1293">
        <v>0</v>
      </c>
      <c r="L1293" t="s">
        <v>164</v>
      </c>
    </row>
    <row r="1294" spans="9:12" x14ac:dyDescent="0.45">
      <c r="I1294" t="s">
        <v>205</v>
      </c>
      <c r="J1294" t="s">
        <v>276</v>
      </c>
      <c r="K1294">
        <v>0</v>
      </c>
      <c r="L1294" t="s">
        <v>164</v>
      </c>
    </row>
    <row r="1295" spans="9:12" x14ac:dyDescent="0.45">
      <c r="I1295" t="s">
        <v>205</v>
      </c>
      <c r="J1295" t="s">
        <v>277</v>
      </c>
      <c r="K1295">
        <v>3.9331758697608628E-3</v>
      </c>
      <c r="L1295" t="s">
        <v>164</v>
      </c>
    </row>
    <row r="1296" spans="9:12" x14ac:dyDescent="0.45">
      <c r="I1296" t="s">
        <v>205</v>
      </c>
      <c r="J1296" t="s">
        <v>278</v>
      </c>
      <c r="K1296">
        <v>6.3692758929322774E-2</v>
      </c>
      <c r="L1296" t="s">
        <v>164</v>
      </c>
    </row>
    <row r="1297" spans="9:12" x14ac:dyDescent="0.45">
      <c r="I1297" t="s">
        <v>205</v>
      </c>
      <c r="J1297" t="s">
        <v>279</v>
      </c>
      <c r="K1297">
        <v>3.9243686906869201E-3</v>
      </c>
      <c r="L1297" t="s">
        <v>164</v>
      </c>
    </row>
    <row r="1298" spans="9:12" x14ac:dyDescent="0.45">
      <c r="I1298" t="s">
        <v>205</v>
      </c>
      <c r="J1298" t="s">
        <v>280</v>
      </c>
      <c r="K1298">
        <v>1.9772457775243434E-3</v>
      </c>
      <c r="L1298" t="s">
        <v>164</v>
      </c>
    </row>
    <row r="1299" spans="9:12" x14ac:dyDescent="0.45">
      <c r="I1299" t="s">
        <v>205</v>
      </c>
      <c r="J1299" t="s">
        <v>281</v>
      </c>
      <c r="K1299">
        <v>0</v>
      </c>
      <c r="L1299" t="s">
        <v>164</v>
      </c>
    </row>
    <row r="1300" spans="9:12" x14ac:dyDescent="0.45">
      <c r="I1300" t="s">
        <v>205</v>
      </c>
      <c r="J1300" t="s">
        <v>282</v>
      </c>
      <c r="K1300">
        <v>0</v>
      </c>
      <c r="L1300" t="s">
        <v>164</v>
      </c>
    </row>
    <row r="1301" spans="9:12" x14ac:dyDescent="0.45">
      <c r="I1301" t="s">
        <v>205</v>
      </c>
      <c r="J1301" t="s">
        <v>283</v>
      </c>
      <c r="K1301">
        <v>2.734900294045509E-3</v>
      </c>
      <c r="L1301" t="s">
        <v>164</v>
      </c>
    </row>
    <row r="1302" spans="9:12" x14ac:dyDescent="0.45">
      <c r="I1302" t="s">
        <v>205</v>
      </c>
      <c r="J1302" t="s">
        <v>284</v>
      </c>
      <c r="K1302">
        <v>5.1179103770425179E-2</v>
      </c>
      <c r="L1302" t="s">
        <v>164</v>
      </c>
    </row>
    <row r="1303" spans="9:12" x14ac:dyDescent="0.45">
      <c r="I1303" t="s">
        <v>205</v>
      </c>
      <c r="J1303" t="s">
        <v>285</v>
      </c>
      <c r="K1303">
        <v>2.8819326435145357E-3</v>
      </c>
      <c r="L1303" t="s">
        <v>164</v>
      </c>
    </row>
    <row r="1304" spans="9:12" x14ac:dyDescent="0.45">
      <c r="I1304" t="s">
        <v>205</v>
      </c>
      <c r="J1304" t="s">
        <v>286</v>
      </c>
      <c r="K1304">
        <v>1.4178488405620282E-3</v>
      </c>
      <c r="L1304" t="s">
        <v>164</v>
      </c>
    </row>
    <row r="1305" spans="9:12" x14ac:dyDescent="0.45">
      <c r="I1305" t="s">
        <v>205</v>
      </c>
      <c r="J1305" t="s">
        <v>287</v>
      </c>
      <c r="K1305">
        <v>0</v>
      </c>
      <c r="L1305" t="s">
        <v>164</v>
      </c>
    </row>
    <row r="1306" spans="9:12" x14ac:dyDescent="0.45">
      <c r="I1306" t="s">
        <v>205</v>
      </c>
      <c r="J1306" t="s">
        <v>288</v>
      </c>
      <c r="K1306">
        <v>0</v>
      </c>
      <c r="L1306" t="s">
        <v>164</v>
      </c>
    </row>
    <row r="1307" spans="9:12" x14ac:dyDescent="0.45">
      <c r="I1307" t="s">
        <v>205</v>
      </c>
      <c r="J1307" t="s">
        <v>289</v>
      </c>
      <c r="K1307">
        <v>1.8787296684113389E-2</v>
      </c>
      <c r="L1307" t="s">
        <v>164</v>
      </c>
    </row>
    <row r="1308" spans="9:12" x14ac:dyDescent="0.45">
      <c r="I1308" t="s">
        <v>205</v>
      </c>
      <c r="J1308" t="s">
        <v>290</v>
      </c>
      <c r="K1308">
        <v>0.31187921630097187</v>
      </c>
      <c r="L1308" t="s">
        <v>164</v>
      </c>
    </row>
    <row r="1309" spans="9:12" x14ac:dyDescent="0.45">
      <c r="I1309" t="s">
        <v>205</v>
      </c>
      <c r="J1309" t="s">
        <v>291</v>
      </c>
      <c r="K1309">
        <v>1.8126790039622396E-2</v>
      </c>
      <c r="L1309" t="s">
        <v>164</v>
      </c>
    </row>
    <row r="1310" spans="9:12" x14ac:dyDescent="0.45">
      <c r="I1310" t="s">
        <v>205</v>
      </c>
      <c r="J1310" t="s">
        <v>292</v>
      </c>
      <c r="K1310">
        <v>1.4944721480677869E-3</v>
      </c>
      <c r="L1310" t="s">
        <v>164</v>
      </c>
    </row>
    <row r="1311" spans="9:12" x14ac:dyDescent="0.45">
      <c r="I1311" t="s">
        <v>205</v>
      </c>
      <c r="J1311" t="s">
        <v>293</v>
      </c>
      <c r="K1311">
        <v>0</v>
      </c>
      <c r="L1311" t="s">
        <v>164</v>
      </c>
    </row>
    <row r="1312" spans="9:12" x14ac:dyDescent="0.45">
      <c r="I1312" t="s">
        <v>205</v>
      </c>
      <c r="J1312" t="s">
        <v>294</v>
      </c>
      <c r="K1312">
        <v>0</v>
      </c>
      <c r="L1312" t="s">
        <v>164</v>
      </c>
    </row>
    <row r="1313" spans="9:12" x14ac:dyDescent="0.45">
      <c r="I1313" t="s">
        <v>206</v>
      </c>
      <c r="J1313" t="s">
        <v>163</v>
      </c>
      <c r="K1313">
        <v>7.1408115690902935E-3</v>
      </c>
      <c r="L1313" t="s">
        <v>164</v>
      </c>
    </row>
    <row r="1314" spans="9:12" x14ac:dyDescent="0.45">
      <c r="I1314" t="s">
        <v>206</v>
      </c>
      <c r="J1314" t="s">
        <v>165</v>
      </c>
      <c r="K1314">
        <v>0.16802838645848528</v>
      </c>
      <c r="L1314" t="s">
        <v>164</v>
      </c>
    </row>
    <row r="1315" spans="9:12" x14ac:dyDescent="0.45">
      <c r="I1315" t="s">
        <v>206</v>
      </c>
      <c r="J1315" t="s">
        <v>166</v>
      </c>
      <c r="K1315">
        <v>1.096292393898375E-2</v>
      </c>
      <c r="L1315" t="s">
        <v>164</v>
      </c>
    </row>
    <row r="1316" spans="9:12" x14ac:dyDescent="0.45">
      <c r="I1316" t="s">
        <v>206</v>
      </c>
      <c r="J1316" t="s">
        <v>265</v>
      </c>
      <c r="K1316">
        <v>3.1425448250770615E-3</v>
      </c>
      <c r="L1316" t="s">
        <v>164</v>
      </c>
    </row>
    <row r="1317" spans="9:12" x14ac:dyDescent="0.45">
      <c r="I1317" t="s">
        <v>206</v>
      </c>
      <c r="J1317" t="s">
        <v>266</v>
      </c>
      <c r="K1317">
        <v>0</v>
      </c>
      <c r="L1317" t="s">
        <v>164</v>
      </c>
    </row>
    <row r="1318" spans="9:12" x14ac:dyDescent="0.45">
      <c r="I1318" t="s">
        <v>206</v>
      </c>
      <c r="J1318" t="s">
        <v>267</v>
      </c>
      <c r="K1318">
        <v>0</v>
      </c>
      <c r="L1318" t="s">
        <v>164</v>
      </c>
    </row>
    <row r="1319" spans="9:12" x14ac:dyDescent="0.45">
      <c r="I1319" t="s">
        <v>206</v>
      </c>
      <c r="J1319" t="s">
        <v>167</v>
      </c>
      <c r="K1319">
        <v>4.0349779062620501E-3</v>
      </c>
      <c r="L1319" t="s">
        <v>164</v>
      </c>
    </row>
    <row r="1320" spans="9:12" x14ac:dyDescent="0.45">
      <c r="I1320" t="s">
        <v>206</v>
      </c>
      <c r="J1320" t="s">
        <v>168</v>
      </c>
      <c r="K1320">
        <v>8.4426606234720883E-2</v>
      </c>
      <c r="L1320" t="s">
        <v>164</v>
      </c>
    </row>
    <row r="1321" spans="9:12" x14ac:dyDescent="0.45">
      <c r="I1321" t="s">
        <v>206</v>
      </c>
      <c r="J1321" t="s">
        <v>169</v>
      </c>
      <c r="K1321">
        <v>5.2002585223769413E-3</v>
      </c>
      <c r="L1321" t="s">
        <v>164</v>
      </c>
    </row>
    <row r="1322" spans="9:12" x14ac:dyDescent="0.45">
      <c r="I1322" t="s">
        <v>206</v>
      </c>
      <c r="J1322" t="s">
        <v>268</v>
      </c>
      <c r="K1322">
        <v>2.367624711073147E-3</v>
      </c>
      <c r="L1322" t="s">
        <v>164</v>
      </c>
    </row>
    <row r="1323" spans="9:12" x14ac:dyDescent="0.45">
      <c r="I1323" t="s">
        <v>206</v>
      </c>
      <c r="J1323" t="s">
        <v>269</v>
      </c>
      <c r="K1323">
        <v>0</v>
      </c>
      <c r="L1323" t="s">
        <v>164</v>
      </c>
    </row>
    <row r="1324" spans="9:12" x14ac:dyDescent="0.45">
      <c r="I1324" t="s">
        <v>206</v>
      </c>
      <c r="J1324" t="s">
        <v>270</v>
      </c>
      <c r="K1324">
        <v>0</v>
      </c>
      <c r="L1324" t="s">
        <v>164</v>
      </c>
    </row>
    <row r="1325" spans="9:12" x14ac:dyDescent="0.45">
      <c r="I1325" t="s">
        <v>206</v>
      </c>
      <c r="J1325" t="s">
        <v>170</v>
      </c>
      <c r="K1325">
        <v>5.0157982057616726E-3</v>
      </c>
      <c r="L1325" t="s">
        <v>164</v>
      </c>
    </row>
    <row r="1326" spans="9:12" x14ac:dyDescent="0.45">
      <c r="I1326" t="s">
        <v>206</v>
      </c>
      <c r="J1326" t="s">
        <v>171</v>
      </c>
      <c r="K1326">
        <v>7.6565045189666225E-2</v>
      </c>
      <c r="L1326" t="s">
        <v>164</v>
      </c>
    </row>
    <row r="1327" spans="9:12" x14ac:dyDescent="0.45">
      <c r="I1327" t="s">
        <v>206</v>
      </c>
      <c r="J1327" t="s">
        <v>172</v>
      </c>
      <c r="K1327">
        <v>4.1404752412839193E-3</v>
      </c>
      <c r="L1327" t="s">
        <v>164</v>
      </c>
    </row>
    <row r="1328" spans="9:12" x14ac:dyDescent="0.45">
      <c r="I1328" t="s">
        <v>206</v>
      </c>
      <c r="J1328" t="s">
        <v>271</v>
      </c>
      <c r="K1328">
        <v>1.8817341231056764E-3</v>
      </c>
      <c r="L1328" t="s">
        <v>164</v>
      </c>
    </row>
    <row r="1329" spans="9:12" x14ac:dyDescent="0.45">
      <c r="I1329" t="s">
        <v>206</v>
      </c>
      <c r="J1329" t="s">
        <v>272</v>
      </c>
      <c r="K1329">
        <v>0</v>
      </c>
      <c r="L1329" t="s">
        <v>164</v>
      </c>
    </row>
    <row r="1330" spans="9:12" x14ac:dyDescent="0.45">
      <c r="I1330" t="s">
        <v>206</v>
      </c>
      <c r="J1330" t="s">
        <v>273</v>
      </c>
      <c r="K1330">
        <v>0</v>
      </c>
      <c r="L1330" t="s">
        <v>164</v>
      </c>
    </row>
    <row r="1331" spans="9:12" x14ac:dyDescent="0.45">
      <c r="I1331" t="s">
        <v>206</v>
      </c>
      <c r="J1331" t="s">
        <v>173</v>
      </c>
      <c r="K1331">
        <v>1.074282451804278E-2</v>
      </c>
      <c r="L1331" t="s">
        <v>164</v>
      </c>
    </row>
    <row r="1332" spans="9:12" x14ac:dyDescent="0.45">
      <c r="I1332" t="s">
        <v>206</v>
      </c>
      <c r="J1332" t="s">
        <v>174</v>
      </c>
      <c r="K1332">
        <v>0.12578970722428504</v>
      </c>
      <c r="L1332" t="s">
        <v>164</v>
      </c>
    </row>
    <row r="1333" spans="9:12" x14ac:dyDescent="0.45">
      <c r="I1333" t="s">
        <v>206</v>
      </c>
      <c r="J1333" t="s">
        <v>175</v>
      </c>
      <c r="K1333">
        <v>8.6240470665635786E-3</v>
      </c>
      <c r="L1333" t="s">
        <v>164</v>
      </c>
    </row>
    <row r="1334" spans="9:12" x14ac:dyDescent="0.45">
      <c r="I1334" t="s">
        <v>206</v>
      </c>
      <c r="J1334" t="s">
        <v>274</v>
      </c>
      <c r="K1334">
        <v>4.4361472045682917E-3</v>
      </c>
      <c r="L1334" t="s">
        <v>164</v>
      </c>
    </row>
    <row r="1335" spans="9:12" x14ac:dyDescent="0.45">
      <c r="I1335" t="s">
        <v>206</v>
      </c>
      <c r="J1335" t="s">
        <v>275</v>
      </c>
      <c r="K1335">
        <v>0</v>
      </c>
      <c r="L1335" t="s">
        <v>164</v>
      </c>
    </row>
    <row r="1336" spans="9:12" x14ac:dyDescent="0.45">
      <c r="I1336" t="s">
        <v>206</v>
      </c>
      <c r="J1336" t="s">
        <v>276</v>
      </c>
      <c r="K1336">
        <v>0</v>
      </c>
      <c r="L1336" t="s">
        <v>164</v>
      </c>
    </row>
    <row r="1337" spans="9:12" x14ac:dyDescent="0.45">
      <c r="I1337" t="s">
        <v>206</v>
      </c>
      <c r="J1337" t="s">
        <v>277</v>
      </c>
      <c r="K1337">
        <v>4.027438807209174E-3</v>
      </c>
      <c r="L1337" t="s">
        <v>164</v>
      </c>
    </row>
    <row r="1338" spans="9:12" x14ac:dyDescent="0.45">
      <c r="I1338" t="s">
        <v>206</v>
      </c>
      <c r="J1338" t="s">
        <v>278</v>
      </c>
      <c r="K1338">
        <v>5.7213796636770647E-2</v>
      </c>
      <c r="L1338" t="s">
        <v>164</v>
      </c>
    </row>
    <row r="1339" spans="9:12" x14ac:dyDescent="0.45">
      <c r="I1339" t="s">
        <v>206</v>
      </c>
      <c r="J1339" t="s">
        <v>279</v>
      </c>
      <c r="K1339">
        <v>3.0815158964577942E-3</v>
      </c>
      <c r="L1339" t="s">
        <v>164</v>
      </c>
    </row>
    <row r="1340" spans="9:12" x14ac:dyDescent="0.45">
      <c r="I1340" t="s">
        <v>206</v>
      </c>
      <c r="J1340" t="s">
        <v>280</v>
      </c>
      <c r="K1340">
        <v>1.4454287808470824E-3</v>
      </c>
      <c r="L1340" t="s">
        <v>164</v>
      </c>
    </row>
    <row r="1341" spans="9:12" x14ac:dyDescent="0.45">
      <c r="I1341" t="s">
        <v>206</v>
      </c>
      <c r="J1341" t="s">
        <v>281</v>
      </c>
      <c r="K1341">
        <v>0</v>
      </c>
      <c r="L1341" t="s">
        <v>164</v>
      </c>
    </row>
    <row r="1342" spans="9:12" x14ac:dyDescent="0.45">
      <c r="I1342" t="s">
        <v>206</v>
      </c>
      <c r="J1342" t="s">
        <v>282</v>
      </c>
      <c r="K1342">
        <v>0</v>
      </c>
      <c r="L1342" t="s">
        <v>164</v>
      </c>
    </row>
    <row r="1343" spans="9:12" x14ac:dyDescent="0.45">
      <c r="I1343" t="s">
        <v>206</v>
      </c>
      <c r="J1343" t="s">
        <v>283</v>
      </c>
      <c r="K1343">
        <v>2.253690795670758E-3</v>
      </c>
      <c r="L1343" t="s">
        <v>164</v>
      </c>
    </row>
    <row r="1344" spans="9:12" x14ac:dyDescent="0.45">
      <c r="I1344" t="s">
        <v>206</v>
      </c>
      <c r="J1344" t="s">
        <v>284</v>
      </c>
      <c r="K1344">
        <v>4.6793214330171515E-2</v>
      </c>
      <c r="L1344" t="s">
        <v>164</v>
      </c>
    </row>
    <row r="1345" spans="9:12" x14ac:dyDescent="0.45">
      <c r="I1345" t="s">
        <v>206</v>
      </c>
      <c r="J1345" t="s">
        <v>285</v>
      </c>
      <c r="K1345">
        <v>2.3524801449875152E-3</v>
      </c>
      <c r="L1345" t="s">
        <v>164</v>
      </c>
    </row>
    <row r="1346" spans="9:12" x14ac:dyDescent="0.45">
      <c r="I1346" t="s">
        <v>206</v>
      </c>
      <c r="J1346" t="s">
        <v>286</v>
      </c>
      <c r="K1346">
        <v>1.2177187740938446E-3</v>
      </c>
      <c r="L1346" t="s">
        <v>164</v>
      </c>
    </row>
    <row r="1347" spans="9:12" x14ac:dyDescent="0.45">
      <c r="I1347" t="s">
        <v>206</v>
      </c>
      <c r="J1347" t="s">
        <v>287</v>
      </c>
      <c r="K1347">
        <v>0</v>
      </c>
      <c r="L1347" t="s">
        <v>164</v>
      </c>
    </row>
    <row r="1348" spans="9:12" x14ac:dyDescent="0.45">
      <c r="I1348" t="s">
        <v>206</v>
      </c>
      <c r="J1348" t="s">
        <v>288</v>
      </c>
      <c r="K1348">
        <v>0</v>
      </c>
      <c r="L1348" t="s">
        <v>164</v>
      </c>
    </row>
    <row r="1349" spans="9:12" x14ac:dyDescent="0.45">
      <c r="I1349" t="s">
        <v>206</v>
      </c>
      <c r="J1349" t="s">
        <v>289</v>
      </c>
      <c r="K1349">
        <v>2.0602098393037033E-2</v>
      </c>
      <c r="L1349" t="s">
        <v>164</v>
      </c>
    </row>
    <row r="1350" spans="9:12" x14ac:dyDescent="0.45">
      <c r="I1350" t="s">
        <v>206</v>
      </c>
      <c r="J1350" t="s">
        <v>290</v>
      </c>
      <c r="K1350">
        <v>0.31983601089783287</v>
      </c>
      <c r="L1350" t="s">
        <v>164</v>
      </c>
    </row>
    <row r="1351" spans="9:12" x14ac:dyDescent="0.45">
      <c r="I1351" t="s">
        <v>206</v>
      </c>
      <c r="J1351" t="s">
        <v>291</v>
      </c>
      <c r="K1351">
        <v>1.7847615721410828E-2</v>
      </c>
      <c r="L1351" t="s">
        <v>164</v>
      </c>
    </row>
    <row r="1352" spans="9:12" x14ac:dyDescent="0.45">
      <c r="I1352" t="s">
        <v>206</v>
      </c>
      <c r="J1352" t="s">
        <v>292</v>
      </c>
      <c r="K1352">
        <v>8.2907788216590402E-4</v>
      </c>
      <c r="L1352" t="s">
        <v>164</v>
      </c>
    </row>
    <row r="1353" spans="9:12" x14ac:dyDescent="0.45">
      <c r="I1353" t="s">
        <v>206</v>
      </c>
      <c r="J1353" t="s">
        <v>293</v>
      </c>
      <c r="K1353">
        <v>0</v>
      </c>
      <c r="L1353" t="s">
        <v>164</v>
      </c>
    </row>
    <row r="1354" spans="9:12" x14ac:dyDescent="0.45">
      <c r="I1354" t="s">
        <v>206</v>
      </c>
      <c r="J1354" t="s">
        <v>294</v>
      </c>
      <c r="K1354">
        <v>0</v>
      </c>
      <c r="L1354" t="s">
        <v>164</v>
      </c>
    </row>
    <row r="1355" spans="9:12" x14ac:dyDescent="0.45">
      <c r="I1355" t="s">
        <v>207</v>
      </c>
      <c r="J1355" t="s">
        <v>163</v>
      </c>
      <c r="K1355">
        <v>7.9441981284197622E-3</v>
      </c>
      <c r="L1355" t="s">
        <v>164</v>
      </c>
    </row>
    <row r="1356" spans="9:12" x14ac:dyDescent="0.45">
      <c r="I1356" t="s">
        <v>207</v>
      </c>
      <c r="J1356" t="s">
        <v>165</v>
      </c>
      <c r="K1356">
        <v>0.16810703846804387</v>
      </c>
      <c r="L1356" t="s">
        <v>164</v>
      </c>
    </row>
    <row r="1357" spans="9:12" x14ac:dyDescent="0.45">
      <c r="I1357" t="s">
        <v>207</v>
      </c>
      <c r="J1357" t="s">
        <v>166</v>
      </c>
      <c r="K1357">
        <v>1.0270857686913553E-2</v>
      </c>
      <c r="L1357" t="s">
        <v>164</v>
      </c>
    </row>
    <row r="1358" spans="9:12" x14ac:dyDescent="0.45">
      <c r="I1358" t="s">
        <v>207</v>
      </c>
      <c r="J1358" t="s">
        <v>265</v>
      </c>
      <c r="K1358">
        <v>1.3762394169881181E-3</v>
      </c>
      <c r="L1358" t="s">
        <v>164</v>
      </c>
    </row>
    <row r="1359" spans="9:12" x14ac:dyDescent="0.45">
      <c r="I1359" t="s">
        <v>207</v>
      </c>
      <c r="J1359" t="s">
        <v>266</v>
      </c>
      <c r="K1359">
        <v>0</v>
      </c>
      <c r="L1359" t="s">
        <v>164</v>
      </c>
    </row>
    <row r="1360" spans="9:12" x14ac:dyDescent="0.45">
      <c r="I1360" t="s">
        <v>207</v>
      </c>
      <c r="J1360" t="s">
        <v>267</v>
      </c>
      <c r="K1360">
        <v>0</v>
      </c>
      <c r="L1360" t="s">
        <v>164</v>
      </c>
    </row>
    <row r="1361" spans="9:12" x14ac:dyDescent="0.45">
      <c r="I1361" t="s">
        <v>207</v>
      </c>
      <c r="J1361" t="s">
        <v>167</v>
      </c>
      <c r="K1361">
        <v>4.6642744367911462E-3</v>
      </c>
      <c r="L1361" t="s">
        <v>164</v>
      </c>
    </row>
    <row r="1362" spans="9:12" x14ac:dyDescent="0.45">
      <c r="I1362" t="s">
        <v>207</v>
      </c>
      <c r="J1362" t="s">
        <v>168</v>
      </c>
      <c r="K1362">
        <v>8.6434028780595099E-2</v>
      </c>
      <c r="L1362" t="s">
        <v>164</v>
      </c>
    </row>
    <row r="1363" spans="9:12" x14ac:dyDescent="0.45">
      <c r="I1363" t="s">
        <v>207</v>
      </c>
      <c r="J1363" t="s">
        <v>169</v>
      </c>
      <c r="K1363">
        <v>5.3069357680320924E-3</v>
      </c>
      <c r="L1363" t="s">
        <v>164</v>
      </c>
    </row>
    <row r="1364" spans="9:12" x14ac:dyDescent="0.45">
      <c r="I1364" t="s">
        <v>207</v>
      </c>
      <c r="J1364" t="s">
        <v>268</v>
      </c>
      <c r="K1364">
        <v>2.5745737287848716E-3</v>
      </c>
      <c r="L1364" t="s">
        <v>164</v>
      </c>
    </row>
    <row r="1365" spans="9:12" x14ac:dyDescent="0.45">
      <c r="I1365" t="s">
        <v>207</v>
      </c>
      <c r="J1365" t="s">
        <v>269</v>
      </c>
      <c r="K1365">
        <v>0</v>
      </c>
      <c r="L1365" t="s">
        <v>164</v>
      </c>
    </row>
    <row r="1366" spans="9:12" x14ac:dyDescent="0.45">
      <c r="I1366" t="s">
        <v>207</v>
      </c>
      <c r="J1366" t="s">
        <v>270</v>
      </c>
      <c r="K1366">
        <v>0</v>
      </c>
      <c r="L1366" t="s">
        <v>164</v>
      </c>
    </row>
    <row r="1367" spans="9:12" x14ac:dyDescent="0.45">
      <c r="I1367" t="s">
        <v>207</v>
      </c>
      <c r="J1367" t="s">
        <v>170</v>
      </c>
      <c r="K1367">
        <v>6.7588415233030205E-3</v>
      </c>
      <c r="L1367" t="s">
        <v>164</v>
      </c>
    </row>
    <row r="1368" spans="9:12" x14ac:dyDescent="0.45">
      <c r="I1368" t="s">
        <v>207</v>
      </c>
      <c r="J1368" t="s">
        <v>171</v>
      </c>
      <c r="K1368">
        <v>7.5775285429019054E-2</v>
      </c>
      <c r="L1368" t="s">
        <v>164</v>
      </c>
    </row>
    <row r="1369" spans="9:12" x14ac:dyDescent="0.45">
      <c r="I1369" t="s">
        <v>207</v>
      </c>
      <c r="J1369" t="s">
        <v>172</v>
      </c>
      <c r="K1369">
        <v>3.7637002758148293E-3</v>
      </c>
      <c r="L1369" t="s">
        <v>164</v>
      </c>
    </row>
    <row r="1370" spans="9:12" x14ac:dyDescent="0.45">
      <c r="I1370" t="s">
        <v>207</v>
      </c>
      <c r="J1370" t="s">
        <v>271</v>
      </c>
      <c r="K1370">
        <v>1.9138413369484695E-3</v>
      </c>
      <c r="L1370" t="s">
        <v>164</v>
      </c>
    </row>
    <row r="1371" spans="9:12" x14ac:dyDescent="0.45">
      <c r="I1371" t="s">
        <v>207</v>
      </c>
      <c r="J1371" t="s">
        <v>272</v>
      </c>
      <c r="K1371">
        <v>0</v>
      </c>
      <c r="L1371" t="s">
        <v>164</v>
      </c>
    </row>
    <row r="1372" spans="9:12" x14ac:dyDescent="0.45">
      <c r="I1372" t="s">
        <v>207</v>
      </c>
      <c r="J1372" t="s">
        <v>273</v>
      </c>
      <c r="K1372">
        <v>0</v>
      </c>
      <c r="L1372" t="s">
        <v>164</v>
      </c>
    </row>
    <row r="1373" spans="9:12" x14ac:dyDescent="0.45">
      <c r="I1373" t="s">
        <v>207</v>
      </c>
      <c r="J1373" t="s">
        <v>173</v>
      </c>
      <c r="K1373">
        <v>9.9030118170635381E-3</v>
      </c>
      <c r="L1373" t="s">
        <v>164</v>
      </c>
    </row>
    <row r="1374" spans="9:12" x14ac:dyDescent="0.45">
      <c r="I1374" t="s">
        <v>207</v>
      </c>
      <c r="J1374" t="s">
        <v>174</v>
      </c>
      <c r="K1374">
        <v>0.12586981621679261</v>
      </c>
      <c r="L1374" t="s">
        <v>164</v>
      </c>
    </row>
    <row r="1375" spans="9:12" x14ac:dyDescent="0.45">
      <c r="I1375" t="s">
        <v>207</v>
      </c>
      <c r="J1375" t="s">
        <v>175</v>
      </c>
      <c r="K1375">
        <v>6.4818984623882976E-3</v>
      </c>
      <c r="L1375" t="s">
        <v>164</v>
      </c>
    </row>
    <row r="1376" spans="9:12" x14ac:dyDescent="0.45">
      <c r="I1376" t="s">
        <v>207</v>
      </c>
      <c r="J1376" t="s">
        <v>274</v>
      </c>
      <c r="K1376">
        <v>3.1372906128514307E-3</v>
      </c>
      <c r="L1376" t="s">
        <v>164</v>
      </c>
    </row>
    <row r="1377" spans="9:12" x14ac:dyDescent="0.45">
      <c r="I1377" t="s">
        <v>207</v>
      </c>
      <c r="J1377" t="s">
        <v>275</v>
      </c>
      <c r="K1377">
        <v>0</v>
      </c>
      <c r="L1377" t="s">
        <v>164</v>
      </c>
    </row>
    <row r="1378" spans="9:12" x14ac:dyDescent="0.45">
      <c r="I1378" t="s">
        <v>207</v>
      </c>
      <c r="J1378" t="s">
        <v>276</v>
      </c>
      <c r="K1378">
        <v>0</v>
      </c>
      <c r="L1378" t="s">
        <v>164</v>
      </c>
    </row>
    <row r="1379" spans="9:12" x14ac:dyDescent="0.45">
      <c r="I1379" t="s">
        <v>207</v>
      </c>
      <c r="J1379" t="s">
        <v>277</v>
      </c>
      <c r="K1379">
        <v>4.5925524746273545E-3</v>
      </c>
      <c r="L1379" t="s">
        <v>164</v>
      </c>
    </row>
    <row r="1380" spans="9:12" x14ac:dyDescent="0.45">
      <c r="I1380" t="s">
        <v>207</v>
      </c>
      <c r="J1380" t="s">
        <v>278</v>
      </c>
      <c r="K1380">
        <v>5.5863845942267551E-2</v>
      </c>
      <c r="L1380" t="s">
        <v>164</v>
      </c>
    </row>
    <row r="1381" spans="9:12" x14ac:dyDescent="0.45">
      <c r="I1381" t="s">
        <v>207</v>
      </c>
      <c r="J1381" t="s">
        <v>279</v>
      </c>
      <c r="K1381">
        <v>2.2537681765638093E-3</v>
      </c>
      <c r="L1381" t="s">
        <v>164</v>
      </c>
    </row>
    <row r="1382" spans="9:12" x14ac:dyDescent="0.45">
      <c r="I1382" t="s">
        <v>207</v>
      </c>
      <c r="J1382" t="s">
        <v>280</v>
      </c>
      <c r="K1382">
        <v>9.3168776662933938E-4</v>
      </c>
      <c r="L1382" t="s">
        <v>164</v>
      </c>
    </row>
    <row r="1383" spans="9:12" x14ac:dyDescent="0.45">
      <c r="I1383" t="s">
        <v>207</v>
      </c>
      <c r="J1383" t="s">
        <v>281</v>
      </c>
      <c r="K1383">
        <v>0</v>
      </c>
      <c r="L1383" t="s">
        <v>164</v>
      </c>
    </row>
    <row r="1384" spans="9:12" x14ac:dyDescent="0.45">
      <c r="I1384" t="s">
        <v>207</v>
      </c>
      <c r="J1384" t="s">
        <v>282</v>
      </c>
      <c r="K1384">
        <v>0</v>
      </c>
      <c r="L1384" t="s">
        <v>164</v>
      </c>
    </row>
    <row r="1385" spans="9:12" x14ac:dyDescent="0.45">
      <c r="I1385" t="s">
        <v>207</v>
      </c>
      <c r="J1385" t="s">
        <v>283</v>
      </c>
      <c r="K1385">
        <v>2.9568671857593217E-3</v>
      </c>
      <c r="L1385" t="s">
        <v>164</v>
      </c>
    </row>
    <row r="1386" spans="9:12" x14ac:dyDescent="0.45">
      <c r="I1386" t="s">
        <v>207</v>
      </c>
      <c r="J1386" t="s">
        <v>284</v>
      </c>
      <c r="K1386">
        <v>4.6279636421980186E-2</v>
      </c>
      <c r="L1386" t="s">
        <v>164</v>
      </c>
    </row>
    <row r="1387" spans="9:12" x14ac:dyDescent="0.45">
      <c r="I1387" t="s">
        <v>207</v>
      </c>
      <c r="J1387" t="s">
        <v>285</v>
      </c>
      <c r="K1387">
        <v>2.0566929086644824E-3</v>
      </c>
      <c r="L1387" t="s">
        <v>164</v>
      </c>
    </row>
    <row r="1388" spans="9:12" x14ac:dyDescent="0.45">
      <c r="I1388" t="s">
        <v>207</v>
      </c>
      <c r="J1388" t="s">
        <v>286</v>
      </c>
      <c r="K1388">
        <v>9.3694738672331639E-4</v>
      </c>
      <c r="L1388" t="s">
        <v>164</v>
      </c>
    </row>
    <row r="1389" spans="9:12" x14ac:dyDescent="0.45">
      <c r="I1389" t="s">
        <v>207</v>
      </c>
      <c r="J1389" t="s">
        <v>287</v>
      </c>
      <c r="K1389">
        <v>0</v>
      </c>
      <c r="L1389" t="s">
        <v>164</v>
      </c>
    </row>
    <row r="1390" spans="9:12" x14ac:dyDescent="0.45">
      <c r="I1390" t="s">
        <v>207</v>
      </c>
      <c r="J1390" t="s">
        <v>288</v>
      </c>
      <c r="K1390">
        <v>0</v>
      </c>
      <c r="L1390" t="s">
        <v>164</v>
      </c>
    </row>
    <row r="1391" spans="9:12" x14ac:dyDescent="0.45">
      <c r="I1391" t="s">
        <v>207</v>
      </c>
      <c r="J1391" t="s">
        <v>289</v>
      </c>
      <c r="K1391">
        <v>2.9068123968233214E-2</v>
      </c>
      <c r="L1391" t="s">
        <v>164</v>
      </c>
    </row>
    <row r="1392" spans="9:12" x14ac:dyDescent="0.45">
      <c r="I1392" t="s">
        <v>207</v>
      </c>
      <c r="J1392" t="s">
        <v>290</v>
      </c>
      <c r="K1392">
        <v>0.31908544664243721</v>
      </c>
      <c r="L1392" t="s">
        <v>164</v>
      </c>
    </row>
    <row r="1393" spans="9:12" x14ac:dyDescent="0.45">
      <c r="I1393" t="s">
        <v>207</v>
      </c>
      <c r="J1393" t="s">
        <v>291</v>
      </c>
      <c r="K1393">
        <v>1.5533042925900593E-2</v>
      </c>
      <c r="L1393" t="s">
        <v>164</v>
      </c>
    </row>
    <row r="1394" spans="9:12" x14ac:dyDescent="0.45">
      <c r="I1394" t="s">
        <v>207</v>
      </c>
      <c r="J1394" t="s">
        <v>292</v>
      </c>
      <c r="K1394">
        <v>1.5955611146167698E-4</v>
      </c>
      <c r="L1394" t="s">
        <v>164</v>
      </c>
    </row>
    <row r="1395" spans="9:12" x14ac:dyDescent="0.45">
      <c r="I1395" t="s">
        <v>207</v>
      </c>
      <c r="J1395" t="s">
        <v>293</v>
      </c>
      <c r="K1395">
        <v>0</v>
      </c>
      <c r="L1395" t="s">
        <v>164</v>
      </c>
    </row>
    <row r="1396" spans="9:12" x14ac:dyDescent="0.45">
      <c r="I1396" t="s">
        <v>207</v>
      </c>
      <c r="J1396" t="s">
        <v>294</v>
      </c>
      <c r="K1396">
        <v>0</v>
      </c>
      <c r="L1396" t="s">
        <v>164</v>
      </c>
    </row>
    <row r="1397" spans="9:12" x14ac:dyDescent="0.45">
      <c r="I1397" t="s">
        <v>208</v>
      </c>
      <c r="J1397" t="s">
        <v>163</v>
      </c>
      <c r="K1397">
        <v>7.1653482402419342E-3</v>
      </c>
      <c r="L1397" t="s">
        <v>164</v>
      </c>
    </row>
    <row r="1398" spans="9:12" x14ac:dyDescent="0.45">
      <c r="I1398" t="s">
        <v>208</v>
      </c>
      <c r="J1398" t="s">
        <v>165</v>
      </c>
      <c r="K1398">
        <v>0.17286534516909999</v>
      </c>
      <c r="L1398" t="s">
        <v>164</v>
      </c>
    </row>
    <row r="1399" spans="9:12" x14ac:dyDescent="0.45">
      <c r="I1399" t="s">
        <v>208</v>
      </c>
      <c r="J1399" t="s">
        <v>166</v>
      </c>
      <c r="K1399">
        <v>1.0639599438455218E-2</v>
      </c>
      <c r="L1399" t="s">
        <v>164</v>
      </c>
    </row>
    <row r="1400" spans="9:12" x14ac:dyDescent="0.45">
      <c r="I1400" t="s">
        <v>208</v>
      </c>
      <c r="J1400" t="s">
        <v>265</v>
      </c>
      <c r="K1400">
        <v>3.30231728731937E-3</v>
      </c>
      <c r="L1400" t="s">
        <v>164</v>
      </c>
    </row>
    <row r="1401" spans="9:12" x14ac:dyDescent="0.45">
      <c r="I1401" t="s">
        <v>208</v>
      </c>
      <c r="J1401" t="s">
        <v>266</v>
      </c>
      <c r="K1401">
        <v>0</v>
      </c>
      <c r="L1401" t="s">
        <v>164</v>
      </c>
    </row>
    <row r="1402" spans="9:12" x14ac:dyDescent="0.45">
      <c r="I1402" t="s">
        <v>208</v>
      </c>
      <c r="J1402" t="s">
        <v>267</v>
      </c>
      <c r="K1402">
        <v>0</v>
      </c>
      <c r="L1402" t="s">
        <v>164</v>
      </c>
    </row>
    <row r="1403" spans="9:12" x14ac:dyDescent="0.45">
      <c r="I1403" t="s">
        <v>208</v>
      </c>
      <c r="J1403" t="s">
        <v>167</v>
      </c>
      <c r="K1403">
        <v>3.5613732282744146E-3</v>
      </c>
      <c r="L1403" t="s">
        <v>164</v>
      </c>
    </row>
    <row r="1404" spans="9:12" x14ac:dyDescent="0.45">
      <c r="I1404" t="s">
        <v>208</v>
      </c>
      <c r="J1404" t="s">
        <v>168</v>
      </c>
      <c r="K1404">
        <v>8.7392651104332808E-2</v>
      </c>
      <c r="L1404" t="s">
        <v>164</v>
      </c>
    </row>
    <row r="1405" spans="9:12" x14ac:dyDescent="0.45">
      <c r="I1405" t="s">
        <v>208</v>
      </c>
      <c r="J1405" t="s">
        <v>169</v>
      </c>
      <c r="K1405">
        <v>5.2278913009284975E-3</v>
      </c>
      <c r="L1405" t="s">
        <v>164</v>
      </c>
    </row>
    <row r="1406" spans="9:12" x14ac:dyDescent="0.45">
      <c r="I1406" t="s">
        <v>208</v>
      </c>
      <c r="J1406" t="s">
        <v>268</v>
      </c>
      <c r="K1406">
        <v>2.3438262240506125E-3</v>
      </c>
      <c r="L1406" t="s">
        <v>164</v>
      </c>
    </row>
    <row r="1407" spans="9:12" x14ac:dyDescent="0.45">
      <c r="I1407" t="s">
        <v>208</v>
      </c>
      <c r="J1407" t="s">
        <v>269</v>
      </c>
      <c r="K1407">
        <v>0</v>
      </c>
      <c r="L1407" t="s">
        <v>164</v>
      </c>
    </row>
    <row r="1408" spans="9:12" x14ac:dyDescent="0.45">
      <c r="I1408" t="s">
        <v>208</v>
      </c>
      <c r="J1408" t="s">
        <v>270</v>
      </c>
      <c r="K1408">
        <v>0</v>
      </c>
      <c r="L1408" t="s">
        <v>164</v>
      </c>
    </row>
    <row r="1409" spans="9:12" x14ac:dyDescent="0.45">
      <c r="I1409" t="s">
        <v>208</v>
      </c>
      <c r="J1409" t="s">
        <v>170</v>
      </c>
      <c r="K1409">
        <v>4.1984887797187724E-3</v>
      </c>
      <c r="L1409" t="s">
        <v>164</v>
      </c>
    </row>
    <row r="1410" spans="9:12" x14ac:dyDescent="0.45">
      <c r="I1410" t="s">
        <v>208</v>
      </c>
      <c r="J1410" t="s">
        <v>171</v>
      </c>
      <c r="K1410">
        <v>7.42908301332659E-2</v>
      </c>
      <c r="L1410" t="s">
        <v>164</v>
      </c>
    </row>
    <row r="1411" spans="9:12" x14ac:dyDescent="0.45">
      <c r="I1411" t="s">
        <v>208</v>
      </c>
      <c r="J1411" t="s">
        <v>172</v>
      </c>
      <c r="K1411">
        <v>3.8549145364391315E-3</v>
      </c>
      <c r="L1411" t="s">
        <v>164</v>
      </c>
    </row>
    <row r="1412" spans="9:12" x14ac:dyDescent="0.45">
      <c r="I1412" t="s">
        <v>208</v>
      </c>
      <c r="J1412" t="s">
        <v>271</v>
      </c>
      <c r="K1412">
        <v>1.7792235697485542E-3</v>
      </c>
      <c r="L1412" t="s">
        <v>164</v>
      </c>
    </row>
    <row r="1413" spans="9:12" x14ac:dyDescent="0.45">
      <c r="I1413" t="s">
        <v>208</v>
      </c>
      <c r="J1413" t="s">
        <v>272</v>
      </c>
      <c r="K1413">
        <v>0</v>
      </c>
      <c r="L1413" t="s">
        <v>164</v>
      </c>
    </row>
    <row r="1414" spans="9:12" x14ac:dyDescent="0.45">
      <c r="I1414" t="s">
        <v>208</v>
      </c>
      <c r="J1414" t="s">
        <v>273</v>
      </c>
      <c r="K1414">
        <v>0</v>
      </c>
      <c r="L1414" t="s">
        <v>164</v>
      </c>
    </row>
    <row r="1415" spans="9:12" x14ac:dyDescent="0.45">
      <c r="I1415" t="s">
        <v>208</v>
      </c>
      <c r="J1415" t="s">
        <v>173</v>
      </c>
      <c r="K1415">
        <v>9.6491331767993085E-3</v>
      </c>
      <c r="L1415" t="s">
        <v>164</v>
      </c>
    </row>
    <row r="1416" spans="9:12" x14ac:dyDescent="0.45">
      <c r="I1416" t="s">
        <v>208</v>
      </c>
      <c r="J1416" t="s">
        <v>174</v>
      </c>
      <c r="K1416">
        <v>0.12455593178349431</v>
      </c>
      <c r="L1416" t="s">
        <v>164</v>
      </c>
    </row>
    <row r="1417" spans="9:12" x14ac:dyDescent="0.45">
      <c r="I1417" t="s">
        <v>208</v>
      </c>
      <c r="J1417" t="s">
        <v>175</v>
      </c>
      <c r="K1417">
        <v>6.9890239023424287E-3</v>
      </c>
      <c r="L1417" t="s">
        <v>164</v>
      </c>
    </row>
    <row r="1418" spans="9:12" x14ac:dyDescent="0.45">
      <c r="I1418" t="s">
        <v>208</v>
      </c>
      <c r="J1418" t="s">
        <v>274</v>
      </c>
      <c r="K1418">
        <v>3.5723398369369498E-3</v>
      </c>
      <c r="L1418" t="s">
        <v>164</v>
      </c>
    </row>
    <row r="1419" spans="9:12" x14ac:dyDescent="0.45">
      <c r="I1419" t="s">
        <v>208</v>
      </c>
      <c r="J1419" t="s">
        <v>275</v>
      </c>
      <c r="K1419">
        <v>0</v>
      </c>
      <c r="L1419" t="s">
        <v>164</v>
      </c>
    </row>
    <row r="1420" spans="9:12" x14ac:dyDescent="0.45">
      <c r="I1420" t="s">
        <v>208</v>
      </c>
      <c r="J1420" t="s">
        <v>276</v>
      </c>
      <c r="K1420">
        <v>0</v>
      </c>
      <c r="L1420" t="s">
        <v>164</v>
      </c>
    </row>
    <row r="1421" spans="9:12" x14ac:dyDescent="0.45">
      <c r="I1421" t="s">
        <v>208</v>
      </c>
      <c r="J1421" t="s">
        <v>277</v>
      </c>
      <c r="K1421">
        <v>2.7450701316262247E-3</v>
      </c>
      <c r="L1421" t="s">
        <v>164</v>
      </c>
    </row>
    <row r="1422" spans="9:12" x14ac:dyDescent="0.45">
      <c r="I1422" t="s">
        <v>208</v>
      </c>
      <c r="J1422" t="s">
        <v>278</v>
      </c>
      <c r="K1422">
        <v>5.7381383456083346E-2</v>
      </c>
      <c r="L1422" t="s">
        <v>164</v>
      </c>
    </row>
    <row r="1423" spans="9:12" x14ac:dyDescent="0.45">
      <c r="I1423" t="s">
        <v>208</v>
      </c>
      <c r="J1423" t="s">
        <v>279</v>
      </c>
      <c r="K1423">
        <v>3.4115664397443343E-3</v>
      </c>
      <c r="L1423" t="s">
        <v>164</v>
      </c>
    </row>
    <row r="1424" spans="9:12" x14ac:dyDescent="0.45">
      <c r="I1424" t="s">
        <v>208</v>
      </c>
      <c r="J1424" t="s">
        <v>280</v>
      </c>
      <c r="K1424">
        <v>1.7422876357037636E-3</v>
      </c>
      <c r="L1424" t="s">
        <v>164</v>
      </c>
    </row>
    <row r="1425" spans="9:12" x14ac:dyDescent="0.45">
      <c r="I1425" t="s">
        <v>208</v>
      </c>
      <c r="J1425" t="s">
        <v>281</v>
      </c>
      <c r="K1425">
        <v>0</v>
      </c>
      <c r="L1425" t="s">
        <v>164</v>
      </c>
    </row>
    <row r="1426" spans="9:12" x14ac:dyDescent="0.45">
      <c r="I1426" t="s">
        <v>208</v>
      </c>
      <c r="J1426" t="s">
        <v>282</v>
      </c>
      <c r="K1426">
        <v>0</v>
      </c>
      <c r="L1426" t="s">
        <v>164</v>
      </c>
    </row>
    <row r="1427" spans="9:12" x14ac:dyDescent="0.45">
      <c r="I1427" t="s">
        <v>208</v>
      </c>
      <c r="J1427" t="s">
        <v>283</v>
      </c>
      <c r="K1427">
        <v>1.9905567894814256E-3</v>
      </c>
      <c r="L1427" t="s">
        <v>164</v>
      </c>
    </row>
    <row r="1428" spans="9:12" x14ac:dyDescent="0.45">
      <c r="I1428" t="s">
        <v>208</v>
      </c>
      <c r="J1428" t="s">
        <v>284</v>
      </c>
      <c r="K1428">
        <v>5.2943503075332257E-2</v>
      </c>
      <c r="L1428" t="s">
        <v>164</v>
      </c>
    </row>
    <row r="1429" spans="9:12" x14ac:dyDescent="0.45">
      <c r="I1429" t="s">
        <v>208</v>
      </c>
      <c r="J1429" t="s">
        <v>285</v>
      </c>
      <c r="K1429">
        <v>3.2690035794308487E-3</v>
      </c>
      <c r="L1429" t="s">
        <v>164</v>
      </c>
    </row>
    <row r="1430" spans="9:12" x14ac:dyDescent="0.45">
      <c r="I1430" t="s">
        <v>208</v>
      </c>
      <c r="J1430" t="s">
        <v>286</v>
      </c>
      <c r="K1430">
        <v>1.6615345454327301E-3</v>
      </c>
      <c r="L1430" t="s">
        <v>164</v>
      </c>
    </row>
    <row r="1431" spans="9:12" x14ac:dyDescent="0.45">
      <c r="I1431" t="s">
        <v>208</v>
      </c>
      <c r="J1431" t="s">
        <v>287</v>
      </c>
      <c r="K1431">
        <v>0</v>
      </c>
      <c r="L1431" t="s">
        <v>164</v>
      </c>
    </row>
    <row r="1432" spans="9:12" x14ac:dyDescent="0.45">
      <c r="I1432" t="s">
        <v>208</v>
      </c>
      <c r="J1432" t="s">
        <v>288</v>
      </c>
      <c r="K1432">
        <v>0</v>
      </c>
      <c r="L1432" t="s">
        <v>164</v>
      </c>
    </row>
    <row r="1433" spans="9:12" x14ac:dyDescent="0.45">
      <c r="I1433" t="s">
        <v>208</v>
      </c>
      <c r="J1433" t="s">
        <v>289</v>
      </c>
      <c r="K1433">
        <v>1.814395019746395E-2</v>
      </c>
      <c r="L1433" t="s">
        <v>164</v>
      </c>
    </row>
    <row r="1434" spans="9:12" x14ac:dyDescent="0.45">
      <c r="I1434" t="s">
        <v>208</v>
      </c>
      <c r="J1434" t="s">
        <v>290</v>
      </c>
      <c r="K1434">
        <v>0.31747481512656012</v>
      </c>
      <c r="L1434" t="s">
        <v>164</v>
      </c>
    </row>
    <row r="1435" spans="9:12" x14ac:dyDescent="0.45">
      <c r="I1435" t="s">
        <v>208</v>
      </c>
      <c r="J1435" t="s">
        <v>291</v>
      </c>
      <c r="K1435">
        <v>1.7006284253075099E-2</v>
      </c>
      <c r="L1435" t="s">
        <v>164</v>
      </c>
    </row>
    <row r="1436" spans="9:12" x14ac:dyDescent="0.45">
      <c r="I1436" t="s">
        <v>208</v>
      </c>
      <c r="J1436" t="s">
        <v>292</v>
      </c>
      <c r="K1436">
        <v>8.4180705861502502E-4</v>
      </c>
      <c r="L1436" t="s">
        <v>164</v>
      </c>
    </row>
    <row r="1437" spans="9:12" x14ac:dyDescent="0.45">
      <c r="I1437" t="s">
        <v>208</v>
      </c>
      <c r="J1437" t="s">
        <v>293</v>
      </c>
      <c r="K1437">
        <v>0</v>
      </c>
      <c r="L1437" t="s">
        <v>164</v>
      </c>
    </row>
    <row r="1438" spans="9:12" x14ac:dyDescent="0.45">
      <c r="I1438" t="s">
        <v>208</v>
      </c>
      <c r="J1438" t="s">
        <v>294</v>
      </c>
      <c r="K1438">
        <v>0</v>
      </c>
      <c r="L1438" t="s">
        <v>164</v>
      </c>
    </row>
    <row r="1439" spans="9:12" x14ac:dyDescent="0.45">
      <c r="I1439" t="s">
        <v>209</v>
      </c>
      <c r="J1439" t="s">
        <v>163</v>
      </c>
      <c r="K1439">
        <v>6.1806071416005701E-3</v>
      </c>
      <c r="L1439" t="s">
        <v>164</v>
      </c>
    </row>
    <row r="1440" spans="9:12" x14ac:dyDescent="0.45">
      <c r="I1440" t="s">
        <v>209</v>
      </c>
      <c r="J1440" t="s">
        <v>165</v>
      </c>
      <c r="K1440">
        <v>0.16389262164914609</v>
      </c>
      <c r="L1440" t="s">
        <v>164</v>
      </c>
    </row>
    <row r="1441" spans="9:12" x14ac:dyDescent="0.45">
      <c r="I1441" t="s">
        <v>209</v>
      </c>
      <c r="J1441" t="s">
        <v>166</v>
      </c>
      <c r="K1441">
        <v>1.109910925376909E-2</v>
      </c>
      <c r="L1441" t="s">
        <v>164</v>
      </c>
    </row>
    <row r="1442" spans="9:12" x14ac:dyDescent="0.45">
      <c r="I1442" t="s">
        <v>209</v>
      </c>
      <c r="J1442" t="s">
        <v>265</v>
      </c>
      <c r="K1442">
        <v>4.2730541682162674E-3</v>
      </c>
      <c r="L1442" t="s">
        <v>164</v>
      </c>
    </row>
    <row r="1443" spans="9:12" x14ac:dyDescent="0.45">
      <c r="I1443" t="s">
        <v>209</v>
      </c>
      <c r="J1443" t="s">
        <v>266</v>
      </c>
      <c r="K1443">
        <v>0</v>
      </c>
      <c r="L1443" t="s">
        <v>164</v>
      </c>
    </row>
    <row r="1444" spans="9:12" x14ac:dyDescent="0.45">
      <c r="I1444" t="s">
        <v>209</v>
      </c>
      <c r="J1444" t="s">
        <v>267</v>
      </c>
      <c r="K1444">
        <v>0</v>
      </c>
      <c r="L1444" t="s">
        <v>164</v>
      </c>
    </row>
    <row r="1445" spans="9:12" x14ac:dyDescent="0.45">
      <c r="I1445" t="s">
        <v>209</v>
      </c>
      <c r="J1445" t="s">
        <v>167</v>
      </c>
      <c r="K1445">
        <v>3.2906597776044366E-3</v>
      </c>
      <c r="L1445" t="s">
        <v>164</v>
      </c>
    </row>
    <row r="1446" spans="9:12" x14ac:dyDescent="0.45">
      <c r="I1446" t="s">
        <v>209</v>
      </c>
      <c r="J1446" t="s">
        <v>168</v>
      </c>
      <c r="K1446">
        <v>8.0114662430530892E-2</v>
      </c>
      <c r="L1446" t="s">
        <v>164</v>
      </c>
    </row>
    <row r="1447" spans="9:12" x14ac:dyDescent="0.45">
      <c r="I1447" t="s">
        <v>209</v>
      </c>
      <c r="J1447" t="s">
        <v>169</v>
      </c>
      <c r="K1447">
        <v>5.1542080338917605E-3</v>
      </c>
      <c r="L1447" t="s">
        <v>164</v>
      </c>
    </row>
    <row r="1448" spans="9:12" x14ac:dyDescent="0.45">
      <c r="I1448" t="s">
        <v>209</v>
      </c>
      <c r="J1448" t="s">
        <v>268</v>
      </c>
      <c r="K1448">
        <v>2.2910809470221842E-3</v>
      </c>
      <c r="L1448" t="s">
        <v>164</v>
      </c>
    </row>
    <row r="1449" spans="9:12" x14ac:dyDescent="0.45">
      <c r="I1449" t="s">
        <v>209</v>
      </c>
      <c r="J1449" t="s">
        <v>269</v>
      </c>
      <c r="K1449">
        <v>0</v>
      </c>
      <c r="L1449" t="s">
        <v>164</v>
      </c>
    </row>
    <row r="1450" spans="9:12" x14ac:dyDescent="0.45">
      <c r="I1450" t="s">
        <v>209</v>
      </c>
      <c r="J1450" t="s">
        <v>270</v>
      </c>
      <c r="K1450">
        <v>0</v>
      </c>
      <c r="L1450" t="s">
        <v>164</v>
      </c>
    </row>
    <row r="1451" spans="9:12" x14ac:dyDescent="0.45">
      <c r="I1451" t="s">
        <v>209</v>
      </c>
      <c r="J1451" t="s">
        <v>170</v>
      </c>
      <c r="K1451">
        <v>3.6960976409331722E-3</v>
      </c>
      <c r="L1451" t="s">
        <v>164</v>
      </c>
    </row>
    <row r="1452" spans="9:12" x14ac:dyDescent="0.45">
      <c r="I1452" t="s">
        <v>209</v>
      </c>
      <c r="J1452" t="s">
        <v>171</v>
      </c>
      <c r="K1452">
        <v>7.3987436104271859E-2</v>
      </c>
      <c r="L1452" t="s">
        <v>164</v>
      </c>
    </row>
    <row r="1453" spans="9:12" x14ac:dyDescent="0.45">
      <c r="I1453" t="s">
        <v>209</v>
      </c>
      <c r="J1453" t="s">
        <v>172</v>
      </c>
      <c r="K1453">
        <v>4.1630261434989361E-3</v>
      </c>
      <c r="L1453" t="s">
        <v>164</v>
      </c>
    </row>
    <row r="1454" spans="9:12" x14ac:dyDescent="0.45">
      <c r="I1454" t="s">
        <v>209</v>
      </c>
      <c r="J1454" t="s">
        <v>271</v>
      </c>
      <c r="K1454">
        <v>1.8779624026362795E-3</v>
      </c>
      <c r="L1454" t="s">
        <v>164</v>
      </c>
    </row>
    <row r="1455" spans="9:12" x14ac:dyDescent="0.45">
      <c r="I1455" t="s">
        <v>209</v>
      </c>
      <c r="J1455" t="s">
        <v>272</v>
      </c>
      <c r="K1455">
        <v>0</v>
      </c>
      <c r="L1455" t="s">
        <v>164</v>
      </c>
    </row>
    <row r="1456" spans="9:12" x14ac:dyDescent="0.45">
      <c r="I1456" t="s">
        <v>209</v>
      </c>
      <c r="J1456" t="s">
        <v>273</v>
      </c>
      <c r="K1456">
        <v>0</v>
      </c>
      <c r="L1456" t="s">
        <v>164</v>
      </c>
    </row>
    <row r="1457" spans="9:12" x14ac:dyDescent="0.45">
      <c r="I1457" t="s">
        <v>209</v>
      </c>
      <c r="J1457" t="s">
        <v>173</v>
      </c>
      <c r="K1457">
        <v>9.5267910904592024E-3</v>
      </c>
      <c r="L1457" t="s">
        <v>164</v>
      </c>
    </row>
    <row r="1458" spans="9:12" x14ac:dyDescent="0.45">
      <c r="I1458" t="s">
        <v>209</v>
      </c>
      <c r="J1458" t="s">
        <v>174</v>
      </c>
      <c r="K1458">
        <v>0.13528232615379712</v>
      </c>
      <c r="L1458" t="s">
        <v>164</v>
      </c>
    </row>
    <row r="1459" spans="9:12" x14ac:dyDescent="0.45">
      <c r="I1459" t="s">
        <v>209</v>
      </c>
      <c r="J1459" t="s">
        <v>175</v>
      </c>
      <c r="K1459">
        <v>8.6302321611735986E-3</v>
      </c>
      <c r="L1459" t="s">
        <v>164</v>
      </c>
    </row>
    <row r="1460" spans="9:12" x14ac:dyDescent="0.45">
      <c r="I1460" t="s">
        <v>209</v>
      </c>
      <c r="J1460" t="s">
        <v>274</v>
      </c>
      <c r="K1460">
        <v>4.4568871293304679E-3</v>
      </c>
      <c r="L1460" t="s">
        <v>164</v>
      </c>
    </row>
    <row r="1461" spans="9:12" x14ac:dyDescent="0.45">
      <c r="I1461" t="s">
        <v>209</v>
      </c>
      <c r="J1461" t="s">
        <v>275</v>
      </c>
      <c r="K1461">
        <v>0</v>
      </c>
      <c r="L1461" t="s">
        <v>164</v>
      </c>
    </row>
    <row r="1462" spans="9:12" x14ac:dyDescent="0.45">
      <c r="I1462" t="s">
        <v>209</v>
      </c>
      <c r="J1462" t="s">
        <v>276</v>
      </c>
      <c r="K1462">
        <v>0</v>
      </c>
      <c r="L1462" t="s">
        <v>164</v>
      </c>
    </row>
    <row r="1463" spans="9:12" x14ac:dyDescent="0.45">
      <c r="I1463" t="s">
        <v>209</v>
      </c>
      <c r="J1463" t="s">
        <v>277</v>
      </c>
      <c r="K1463">
        <v>3.0349521951055381E-3</v>
      </c>
      <c r="L1463" t="s">
        <v>164</v>
      </c>
    </row>
    <row r="1464" spans="9:12" x14ac:dyDescent="0.45">
      <c r="I1464" t="s">
        <v>209</v>
      </c>
      <c r="J1464" t="s">
        <v>278</v>
      </c>
      <c r="K1464">
        <v>6.0409357154198297E-2</v>
      </c>
      <c r="L1464" t="s">
        <v>164</v>
      </c>
    </row>
    <row r="1465" spans="9:12" x14ac:dyDescent="0.45">
      <c r="I1465" t="s">
        <v>209</v>
      </c>
      <c r="J1465" t="s">
        <v>279</v>
      </c>
      <c r="K1465">
        <v>4.0301964260036523E-3</v>
      </c>
      <c r="L1465" t="s">
        <v>164</v>
      </c>
    </row>
    <row r="1466" spans="9:12" x14ac:dyDescent="0.45">
      <c r="I1466" t="s">
        <v>209</v>
      </c>
      <c r="J1466" t="s">
        <v>280</v>
      </c>
      <c r="K1466">
        <v>2.1955219460664476E-3</v>
      </c>
      <c r="L1466" t="s">
        <v>164</v>
      </c>
    </row>
    <row r="1467" spans="9:12" x14ac:dyDescent="0.45">
      <c r="I1467" t="s">
        <v>209</v>
      </c>
      <c r="J1467" t="s">
        <v>281</v>
      </c>
      <c r="K1467">
        <v>0</v>
      </c>
      <c r="L1467" t="s">
        <v>164</v>
      </c>
    </row>
    <row r="1468" spans="9:12" x14ac:dyDescent="0.45">
      <c r="I1468" t="s">
        <v>209</v>
      </c>
      <c r="J1468" t="s">
        <v>282</v>
      </c>
      <c r="K1468">
        <v>0</v>
      </c>
      <c r="L1468" t="s">
        <v>164</v>
      </c>
    </row>
    <row r="1469" spans="9:12" x14ac:dyDescent="0.45">
      <c r="I1469" t="s">
        <v>209</v>
      </c>
      <c r="J1469" t="s">
        <v>283</v>
      </c>
      <c r="K1469">
        <v>2.2739577983000052E-3</v>
      </c>
      <c r="L1469" t="s">
        <v>164</v>
      </c>
    </row>
    <row r="1470" spans="9:12" x14ac:dyDescent="0.45">
      <c r="I1470" t="s">
        <v>209</v>
      </c>
      <c r="J1470" t="s">
        <v>284</v>
      </c>
      <c r="K1470">
        <v>5.0088705880971342E-2</v>
      </c>
      <c r="L1470" t="s">
        <v>164</v>
      </c>
    </row>
    <row r="1471" spans="9:12" x14ac:dyDescent="0.45">
      <c r="I1471" t="s">
        <v>209</v>
      </c>
      <c r="J1471" t="s">
        <v>285</v>
      </c>
      <c r="K1471">
        <v>3.2956066193342752E-3</v>
      </c>
      <c r="L1471" t="s">
        <v>164</v>
      </c>
    </row>
    <row r="1472" spans="9:12" x14ac:dyDescent="0.45">
      <c r="I1472" t="s">
        <v>209</v>
      </c>
      <c r="J1472" t="s">
        <v>286</v>
      </c>
      <c r="K1472">
        <v>1.6951751439131971E-3</v>
      </c>
      <c r="L1472" t="s">
        <v>164</v>
      </c>
    </row>
    <row r="1473" spans="9:12" x14ac:dyDescent="0.45">
      <c r="I1473" t="s">
        <v>209</v>
      </c>
      <c r="J1473" t="s">
        <v>287</v>
      </c>
      <c r="K1473">
        <v>0</v>
      </c>
      <c r="L1473" t="s">
        <v>164</v>
      </c>
    </row>
    <row r="1474" spans="9:12" x14ac:dyDescent="0.45">
      <c r="I1474" t="s">
        <v>209</v>
      </c>
      <c r="J1474" t="s">
        <v>288</v>
      </c>
      <c r="K1474">
        <v>0</v>
      </c>
      <c r="L1474" t="s">
        <v>164</v>
      </c>
    </row>
    <row r="1475" spans="9:12" x14ac:dyDescent="0.45">
      <c r="I1475" t="s">
        <v>209</v>
      </c>
      <c r="J1475" t="s">
        <v>289</v>
      </c>
      <c r="K1475">
        <v>1.7966832457130211E-2</v>
      </c>
      <c r="L1475" t="s">
        <v>164</v>
      </c>
    </row>
    <row r="1476" spans="9:12" x14ac:dyDescent="0.45">
      <c r="I1476" t="s">
        <v>209</v>
      </c>
      <c r="J1476" t="s">
        <v>290</v>
      </c>
      <c r="K1476">
        <v>0.3157306741523121</v>
      </c>
      <c r="L1476" t="s">
        <v>164</v>
      </c>
    </row>
    <row r="1477" spans="9:12" x14ac:dyDescent="0.45">
      <c r="I1477" t="s">
        <v>209</v>
      </c>
      <c r="J1477" t="s">
        <v>291</v>
      </c>
      <c r="K1477">
        <v>1.9481384702078292E-2</v>
      </c>
      <c r="L1477" t="s">
        <v>164</v>
      </c>
    </row>
    <row r="1478" spans="9:12" x14ac:dyDescent="0.45">
      <c r="I1478" t="s">
        <v>209</v>
      </c>
      <c r="J1478" t="s">
        <v>292</v>
      </c>
      <c r="K1478">
        <v>1.8808732967040762E-3</v>
      </c>
      <c r="L1478" t="s">
        <v>164</v>
      </c>
    </row>
    <row r="1479" spans="9:12" x14ac:dyDescent="0.45">
      <c r="I1479" t="s">
        <v>209</v>
      </c>
      <c r="J1479" t="s">
        <v>293</v>
      </c>
      <c r="K1479">
        <v>0</v>
      </c>
      <c r="L1479" t="s">
        <v>164</v>
      </c>
    </row>
    <row r="1480" spans="9:12" x14ac:dyDescent="0.45">
      <c r="I1480" t="s">
        <v>209</v>
      </c>
      <c r="J1480" t="s">
        <v>294</v>
      </c>
      <c r="K1480">
        <v>0</v>
      </c>
      <c r="L1480" t="s">
        <v>164</v>
      </c>
    </row>
    <row r="1481" spans="9:12" x14ac:dyDescent="0.45">
      <c r="I1481" t="s">
        <v>210</v>
      </c>
      <c r="J1481" t="s">
        <v>163</v>
      </c>
      <c r="K1481">
        <v>6.1948528999153148E-3</v>
      </c>
      <c r="L1481" t="s">
        <v>164</v>
      </c>
    </row>
    <row r="1482" spans="9:12" x14ac:dyDescent="0.45">
      <c r="I1482" t="s">
        <v>210</v>
      </c>
      <c r="J1482" t="s">
        <v>165</v>
      </c>
      <c r="K1482">
        <v>0.16929009373756163</v>
      </c>
      <c r="L1482" t="s">
        <v>164</v>
      </c>
    </row>
    <row r="1483" spans="9:12" x14ac:dyDescent="0.45">
      <c r="I1483" t="s">
        <v>210</v>
      </c>
      <c r="J1483" t="s">
        <v>166</v>
      </c>
      <c r="K1483">
        <v>1.1452568795159082E-2</v>
      </c>
      <c r="L1483" t="s">
        <v>164</v>
      </c>
    </row>
    <row r="1484" spans="9:12" x14ac:dyDescent="0.45">
      <c r="I1484" t="s">
        <v>210</v>
      </c>
      <c r="J1484" t="s">
        <v>265</v>
      </c>
      <c r="K1484">
        <v>4.8423468108915943E-3</v>
      </c>
      <c r="L1484" t="s">
        <v>164</v>
      </c>
    </row>
    <row r="1485" spans="9:12" x14ac:dyDescent="0.45">
      <c r="I1485" t="s">
        <v>210</v>
      </c>
      <c r="J1485" t="s">
        <v>266</v>
      </c>
      <c r="K1485">
        <v>0</v>
      </c>
      <c r="L1485" t="s">
        <v>164</v>
      </c>
    </row>
    <row r="1486" spans="9:12" x14ac:dyDescent="0.45">
      <c r="I1486" t="s">
        <v>210</v>
      </c>
      <c r="J1486" t="s">
        <v>267</v>
      </c>
      <c r="K1486">
        <v>0</v>
      </c>
      <c r="L1486" t="s">
        <v>164</v>
      </c>
    </row>
    <row r="1487" spans="9:12" x14ac:dyDescent="0.45">
      <c r="I1487" t="s">
        <v>210</v>
      </c>
      <c r="J1487" t="s">
        <v>167</v>
      </c>
      <c r="K1487">
        <v>3.0514550068973904E-3</v>
      </c>
      <c r="L1487" t="s">
        <v>164</v>
      </c>
    </row>
    <row r="1488" spans="9:12" x14ac:dyDescent="0.45">
      <c r="I1488" t="s">
        <v>210</v>
      </c>
      <c r="J1488" t="s">
        <v>168</v>
      </c>
      <c r="K1488">
        <v>8.2621454071638137E-2</v>
      </c>
      <c r="L1488" t="s">
        <v>164</v>
      </c>
    </row>
    <row r="1489" spans="9:12" x14ac:dyDescent="0.45">
      <c r="I1489" t="s">
        <v>210</v>
      </c>
      <c r="J1489" t="s">
        <v>169</v>
      </c>
      <c r="K1489">
        <v>4.8317759017377573E-3</v>
      </c>
      <c r="L1489" t="s">
        <v>164</v>
      </c>
    </row>
    <row r="1490" spans="9:12" x14ac:dyDescent="0.45">
      <c r="I1490" t="s">
        <v>210</v>
      </c>
      <c r="J1490" t="s">
        <v>268</v>
      </c>
      <c r="K1490">
        <v>2.2462853183662155E-3</v>
      </c>
      <c r="L1490" t="s">
        <v>164</v>
      </c>
    </row>
    <row r="1491" spans="9:12" x14ac:dyDescent="0.45">
      <c r="I1491" t="s">
        <v>210</v>
      </c>
      <c r="J1491" t="s">
        <v>269</v>
      </c>
      <c r="K1491">
        <v>0</v>
      </c>
      <c r="L1491" t="s">
        <v>164</v>
      </c>
    </row>
    <row r="1492" spans="9:12" x14ac:dyDescent="0.45">
      <c r="I1492" t="s">
        <v>210</v>
      </c>
      <c r="J1492" t="s">
        <v>270</v>
      </c>
      <c r="K1492">
        <v>0</v>
      </c>
      <c r="L1492" t="s">
        <v>164</v>
      </c>
    </row>
    <row r="1493" spans="9:12" x14ac:dyDescent="0.45">
      <c r="I1493" t="s">
        <v>210</v>
      </c>
      <c r="J1493" t="s">
        <v>170</v>
      </c>
      <c r="K1493">
        <v>3.4013026671221242E-3</v>
      </c>
      <c r="L1493" t="s">
        <v>164</v>
      </c>
    </row>
    <row r="1494" spans="9:12" x14ac:dyDescent="0.45">
      <c r="I1494" t="s">
        <v>210</v>
      </c>
      <c r="J1494" t="s">
        <v>171</v>
      </c>
      <c r="K1494">
        <v>7.5767109270881858E-2</v>
      </c>
      <c r="L1494" t="s">
        <v>164</v>
      </c>
    </row>
    <row r="1495" spans="9:12" x14ac:dyDescent="0.45">
      <c r="I1495" t="s">
        <v>210</v>
      </c>
      <c r="J1495" t="s">
        <v>172</v>
      </c>
      <c r="K1495">
        <v>3.86334901959995E-3</v>
      </c>
      <c r="L1495" t="s">
        <v>164</v>
      </c>
    </row>
    <row r="1496" spans="9:12" x14ac:dyDescent="0.45">
      <c r="I1496" t="s">
        <v>210</v>
      </c>
      <c r="J1496" t="s">
        <v>271</v>
      </c>
      <c r="K1496">
        <v>1.7313596682785738E-3</v>
      </c>
      <c r="L1496" t="s">
        <v>164</v>
      </c>
    </row>
    <row r="1497" spans="9:12" x14ac:dyDescent="0.45">
      <c r="I1497" t="s">
        <v>210</v>
      </c>
      <c r="J1497" t="s">
        <v>272</v>
      </c>
      <c r="K1497">
        <v>0</v>
      </c>
      <c r="L1497" t="s">
        <v>164</v>
      </c>
    </row>
    <row r="1498" spans="9:12" x14ac:dyDescent="0.45">
      <c r="I1498" t="s">
        <v>210</v>
      </c>
      <c r="J1498" t="s">
        <v>273</v>
      </c>
      <c r="K1498">
        <v>0</v>
      </c>
      <c r="L1498" t="s">
        <v>164</v>
      </c>
    </row>
    <row r="1499" spans="9:12" x14ac:dyDescent="0.45">
      <c r="I1499" t="s">
        <v>210</v>
      </c>
      <c r="J1499" t="s">
        <v>173</v>
      </c>
      <c r="K1499">
        <v>7.1943317863794112E-3</v>
      </c>
      <c r="L1499" t="s">
        <v>164</v>
      </c>
    </row>
    <row r="1500" spans="9:12" x14ac:dyDescent="0.45">
      <c r="I1500" t="s">
        <v>210</v>
      </c>
      <c r="J1500" t="s">
        <v>174</v>
      </c>
      <c r="K1500">
        <v>0.13288300245916879</v>
      </c>
      <c r="L1500" t="s">
        <v>164</v>
      </c>
    </row>
    <row r="1501" spans="9:12" x14ac:dyDescent="0.45">
      <c r="I1501" t="s">
        <v>210</v>
      </c>
      <c r="J1501" t="s">
        <v>175</v>
      </c>
      <c r="K1501">
        <v>7.9995650305323459E-3</v>
      </c>
      <c r="L1501" t="s">
        <v>164</v>
      </c>
    </row>
    <row r="1502" spans="9:12" x14ac:dyDescent="0.45">
      <c r="I1502" t="s">
        <v>210</v>
      </c>
      <c r="J1502" t="s">
        <v>274</v>
      </c>
      <c r="K1502">
        <v>3.9806048845777995E-3</v>
      </c>
      <c r="L1502" t="s">
        <v>164</v>
      </c>
    </row>
    <row r="1503" spans="9:12" x14ac:dyDescent="0.45">
      <c r="I1503" t="s">
        <v>210</v>
      </c>
      <c r="J1503" t="s">
        <v>275</v>
      </c>
      <c r="K1503">
        <v>0</v>
      </c>
      <c r="L1503" t="s">
        <v>164</v>
      </c>
    </row>
    <row r="1504" spans="9:12" x14ac:dyDescent="0.45">
      <c r="I1504" t="s">
        <v>210</v>
      </c>
      <c r="J1504" t="s">
        <v>276</v>
      </c>
      <c r="K1504">
        <v>0</v>
      </c>
      <c r="L1504" t="s">
        <v>164</v>
      </c>
    </row>
    <row r="1505" spans="9:12" x14ac:dyDescent="0.45">
      <c r="I1505" t="s">
        <v>210</v>
      </c>
      <c r="J1505" t="s">
        <v>277</v>
      </c>
      <c r="K1505">
        <v>2.0512008617137767E-3</v>
      </c>
      <c r="L1505" t="s">
        <v>164</v>
      </c>
    </row>
    <row r="1506" spans="9:12" x14ac:dyDescent="0.45">
      <c r="I1506" t="s">
        <v>210</v>
      </c>
      <c r="J1506" t="s">
        <v>278</v>
      </c>
      <c r="K1506">
        <v>5.7845408113357408E-2</v>
      </c>
      <c r="L1506" t="s">
        <v>164</v>
      </c>
    </row>
    <row r="1507" spans="9:12" x14ac:dyDescent="0.45">
      <c r="I1507" t="s">
        <v>210</v>
      </c>
      <c r="J1507" t="s">
        <v>279</v>
      </c>
      <c r="K1507">
        <v>4.0678370031023876E-3</v>
      </c>
      <c r="L1507" t="s">
        <v>164</v>
      </c>
    </row>
    <row r="1508" spans="9:12" x14ac:dyDescent="0.45">
      <c r="I1508" t="s">
        <v>210</v>
      </c>
      <c r="J1508" t="s">
        <v>280</v>
      </c>
      <c r="K1508">
        <v>2.2366985217498248E-3</v>
      </c>
      <c r="L1508" t="s">
        <v>164</v>
      </c>
    </row>
    <row r="1509" spans="9:12" x14ac:dyDescent="0.45">
      <c r="I1509" t="s">
        <v>210</v>
      </c>
      <c r="J1509" t="s">
        <v>281</v>
      </c>
      <c r="K1509">
        <v>0</v>
      </c>
      <c r="L1509" t="s">
        <v>164</v>
      </c>
    </row>
    <row r="1510" spans="9:12" x14ac:dyDescent="0.45">
      <c r="I1510" t="s">
        <v>210</v>
      </c>
      <c r="J1510" t="s">
        <v>282</v>
      </c>
      <c r="K1510">
        <v>0</v>
      </c>
      <c r="L1510" t="s">
        <v>164</v>
      </c>
    </row>
    <row r="1511" spans="9:12" x14ac:dyDescent="0.45">
      <c r="I1511" t="s">
        <v>210</v>
      </c>
      <c r="J1511" t="s">
        <v>283</v>
      </c>
      <c r="K1511">
        <v>2.0555613728029209E-3</v>
      </c>
      <c r="L1511" t="s">
        <v>164</v>
      </c>
    </row>
    <row r="1512" spans="9:12" x14ac:dyDescent="0.45">
      <c r="I1512" t="s">
        <v>210</v>
      </c>
      <c r="J1512" t="s">
        <v>284</v>
      </c>
      <c r="K1512">
        <v>5.3359834119638988E-2</v>
      </c>
      <c r="L1512" t="s">
        <v>164</v>
      </c>
    </row>
    <row r="1513" spans="9:12" x14ac:dyDescent="0.45">
      <c r="I1513" t="s">
        <v>210</v>
      </c>
      <c r="J1513" t="s">
        <v>285</v>
      </c>
      <c r="K1513">
        <v>3.4054312164535343E-3</v>
      </c>
      <c r="L1513" t="s">
        <v>164</v>
      </c>
    </row>
    <row r="1514" spans="9:12" x14ac:dyDescent="0.45">
      <c r="I1514" t="s">
        <v>210</v>
      </c>
      <c r="J1514" t="s">
        <v>286</v>
      </c>
      <c r="K1514">
        <v>1.8494464424870713E-3</v>
      </c>
      <c r="L1514" t="s">
        <v>164</v>
      </c>
    </row>
    <row r="1515" spans="9:12" x14ac:dyDescent="0.45">
      <c r="I1515" t="s">
        <v>210</v>
      </c>
      <c r="J1515" t="s">
        <v>287</v>
      </c>
      <c r="K1515">
        <v>0</v>
      </c>
      <c r="L1515" t="s">
        <v>164</v>
      </c>
    </row>
    <row r="1516" spans="9:12" x14ac:dyDescent="0.45">
      <c r="I1516" t="s">
        <v>210</v>
      </c>
      <c r="J1516" t="s">
        <v>288</v>
      </c>
      <c r="K1516">
        <v>0</v>
      </c>
      <c r="L1516" t="s">
        <v>164</v>
      </c>
    </row>
    <row r="1517" spans="9:12" x14ac:dyDescent="0.45">
      <c r="I1517" t="s">
        <v>210</v>
      </c>
      <c r="J1517" t="s">
        <v>289</v>
      </c>
      <c r="K1517">
        <v>1.4092801596778321E-2</v>
      </c>
      <c r="L1517" t="s">
        <v>164</v>
      </c>
    </row>
    <row r="1518" spans="9:12" x14ac:dyDescent="0.45">
      <c r="I1518" t="s">
        <v>210</v>
      </c>
      <c r="J1518" t="s">
        <v>290</v>
      </c>
      <c r="K1518">
        <v>0.31681363343481339</v>
      </c>
      <c r="L1518" t="s">
        <v>164</v>
      </c>
    </row>
    <row r="1519" spans="9:12" x14ac:dyDescent="0.45">
      <c r="I1519" t="s">
        <v>210</v>
      </c>
      <c r="J1519" t="s">
        <v>291</v>
      </c>
      <c r="K1519">
        <v>1.8781253460763842E-2</v>
      </c>
      <c r="L1519" t="s">
        <v>164</v>
      </c>
    </row>
    <row r="1520" spans="9:12" x14ac:dyDescent="0.45">
      <c r="I1520" t="s">
        <v>210</v>
      </c>
      <c r="J1520" t="s">
        <v>292</v>
      </c>
      <c r="K1520">
        <v>2.0894365276297581E-3</v>
      </c>
      <c r="L1520" t="s">
        <v>164</v>
      </c>
    </row>
    <row r="1521" spans="9:12" x14ac:dyDescent="0.45">
      <c r="I1521" t="s">
        <v>210</v>
      </c>
      <c r="J1521" t="s">
        <v>293</v>
      </c>
      <c r="K1521">
        <v>0</v>
      </c>
      <c r="L1521" t="s">
        <v>164</v>
      </c>
    </row>
    <row r="1522" spans="9:12" x14ac:dyDescent="0.45">
      <c r="I1522" t="s">
        <v>210</v>
      </c>
      <c r="J1522" t="s">
        <v>294</v>
      </c>
      <c r="K1522">
        <v>0</v>
      </c>
      <c r="L1522" t="s">
        <v>164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7DEE6-3812-437B-9CD5-39CABE87CFB5}">
  <dimension ref="A9:AN46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~TimeSlices</v>
      </c>
      <c r="I9" t="str">
        <f>IF(A11="x","DeActivated","~TFM_DINS-AT")</f>
        <v>~TFM_DINS-AT</v>
      </c>
      <c r="N9" t="str">
        <f>IF(A11="x","DeActivated","~TFM_DINS-AT")</f>
        <v>~TFM_DINS-AT</v>
      </c>
      <c r="S9" t="str">
        <f>IF(A11="x","DeActivated","~TFM_DINS-AT")</f>
        <v>~TFM_DINS-AT</v>
      </c>
      <c r="X9" t="str">
        <f>IF(A11="x","DeActivated","~TFM_DINS-AT")</f>
        <v>~TFM_DINS-AT</v>
      </c>
      <c r="AC9" t="str">
        <f>IF(A11="x","DeActivated","~TFM_DINS-AT")</f>
        <v>~TFM_DINS-AT</v>
      </c>
      <c r="AG9" t="str">
        <f>IF(A11="x","DeActivated","~TFM_DINS-AT")</f>
        <v>~TFM_DINS-AT</v>
      </c>
      <c r="AK9" t="str">
        <f>IF(A11="x","DeActivated","~TFM_INS-AT")</f>
        <v>~TFM_INS-AT</v>
      </c>
    </row>
    <row r="10" spans="1:40" x14ac:dyDescent="0.45">
      <c r="A10" t="s">
        <v>106</v>
      </c>
      <c r="C10" t="s">
        <v>147</v>
      </c>
      <c r="D10" t="s">
        <v>148</v>
      </c>
      <c r="E10" t="s">
        <v>149</v>
      </c>
      <c r="F10" t="s">
        <v>150</v>
      </c>
      <c r="G10" t="s">
        <v>151</v>
      </c>
      <c r="I10" t="s">
        <v>13</v>
      </c>
      <c r="J10" t="s">
        <v>121</v>
      </c>
      <c r="K10" t="s">
        <v>161</v>
      </c>
      <c r="L10" t="s">
        <v>30</v>
      </c>
      <c r="N10" t="s">
        <v>13</v>
      </c>
      <c r="O10" t="s">
        <v>121</v>
      </c>
      <c r="P10" t="s">
        <v>161</v>
      </c>
      <c r="Q10" t="s">
        <v>30</v>
      </c>
      <c r="S10" t="s">
        <v>13</v>
      </c>
      <c r="T10" t="s">
        <v>121</v>
      </c>
      <c r="U10" t="s">
        <v>161</v>
      </c>
      <c r="V10" t="s">
        <v>30</v>
      </c>
      <c r="X10" t="s">
        <v>248</v>
      </c>
      <c r="Y10" t="s">
        <v>161</v>
      </c>
      <c r="Z10" t="s">
        <v>121</v>
      </c>
      <c r="AA10" t="s">
        <v>13</v>
      </c>
      <c r="AC10" t="s">
        <v>13</v>
      </c>
      <c r="AD10" t="s">
        <v>121</v>
      </c>
      <c r="AE10" t="s">
        <v>161</v>
      </c>
      <c r="AG10" t="s">
        <v>13</v>
      </c>
      <c r="AH10" t="s">
        <v>121</v>
      </c>
      <c r="AI10" t="s">
        <v>254</v>
      </c>
      <c r="AK10" t="s">
        <v>47</v>
      </c>
      <c r="AL10" t="s">
        <v>121</v>
      </c>
      <c r="AM10" t="s">
        <v>255</v>
      </c>
      <c r="AN10" t="s">
        <v>256</v>
      </c>
    </row>
    <row r="11" spans="1:40" x14ac:dyDescent="0.45">
      <c r="A11" t="str">
        <f>IFERROR(IF(Veda!D5=A10,"ok","x"),"")</f>
        <v>ok</v>
      </c>
      <c r="C11" t="s">
        <v>297</v>
      </c>
      <c r="D11" t="s">
        <v>153</v>
      </c>
      <c r="E11" t="s">
        <v>298</v>
      </c>
      <c r="F11" t="s">
        <v>297</v>
      </c>
      <c r="G11" t="s">
        <v>153</v>
      </c>
      <c r="I11" t="s">
        <v>162</v>
      </c>
      <c r="J11" t="s">
        <v>299</v>
      </c>
      <c r="K11">
        <v>1.0000000000000031</v>
      </c>
      <c r="L11" t="s">
        <v>164</v>
      </c>
      <c r="N11" t="s">
        <v>211</v>
      </c>
      <c r="O11" t="s">
        <v>299</v>
      </c>
      <c r="P11">
        <v>1.0000000000000007</v>
      </c>
      <c r="Q11" t="s">
        <v>164</v>
      </c>
      <c r="S11" t="s">
        <v>238</v>
      </c>
      <c r="T11" t="s">
        <v>299</v>
      </c>
      <c r="U11">
        <v>1.0000000000000007</v>
      </c>
      <c r="V11" t="s">
        <v>164</v>
      </c>
      <c r="X11">
        <v>1</v>
      </c>
      <c r="Y11">
        <v>1.0000000000000002</v>
      </c>
      <c r="Z11" t="s">
        <v>299</v>
      </c>
      <c r="AA11" t="s">
        <v>25</v>
      </c>
      <c r="AC11" t="s">
        <v>22</v>
      </c>
      <c r="AD11" t="s">
        <v>299</v>
      </c>
      <c r="AE11">
        <v>1</v>
      </c>
      <c r="AG11" t="s">
        <v>96</v>
      </c>
      <c r="AH11" t="s">
        <v>299</v>
      </c>
      <c r="AI11">
        <v>0.39614146035126563</v>
      </c>
      <c r="AK11">
        <v>2020</v>
      </c>
      <c r="AL11" t="s">
        <v>297</v>
      </c>
      <c r="AM11">
        <v>0.34692581191274829</v>
      </c>
      <c r="AN11" t="s">
        <v>257</v>
      </c>
    </row>
    <row r="12" spans="1:40" x14ac:dyDescent="0.45">
      <c r="I12" t="s">
        <v>176</v>
      </c>
      <c r="J12" t="s">
        <v>299</v>
      </c>
      <c r="K12">
        <v>0.99999999999999878</v>
      </c>
      <c r="L12" t="s">
        <v>164</v>
      </c>
      <c r="N12" t="s">
        <v>212</v>
      </c>
      <c r="O12" t="s">
        <v>299</v>
      </c>
      <c r="P12">
        <v>1.000000000000002</v>
      </c>
      <c r="Q12" t="s">
        <v>164</v>
      </c>
      <c r="S12" t="s">
        <v>239</v>
      </c>
      <c r="T12" t="s">
        <v>299</v>
      </c>
      <c r="U12">
        <v>1.0000000000000027</v>
      </c>
      <c r="V12" t="s">
        <v>164</v>
      </c>
      <c r="AC12" t="s">
        <v>19</v>
      </c>
      <c r="AD12" t="s">
        <v>299</v>
      </c>
      <c r="AE12">
        <v>1</v>
      </c>
      <c r="AK12">
        <v>2021</v>
      </c>
      <c r="AL12" t="s">
        <v>297</v>
      </c>
      <c r="AM12">
        <v>0.38121509544052673</v>
      </c>
      <c r="AN12" t="s">
        <v>257</v>
      </c>
    </row>
    <row r="13" spans="1:40" x14ac:dyDescent="0.45">
      <c r="I13" t="s">
        <v>177</v>
      </c>
      <c r="J13" t="s">
        <v>299</v>
      </c>
      <c r="K13">
        <v>0.99999999999999944</v>
      </c>
      <c r="L13" t="s">
        <v>164</v>
      </c>
      <c r="N13" t="s">
        <v>213</v>
      </c>
      <c r="O13" t="s">
        <v>299</v>
      </c>
      <c r="P13">
        <v>1.0000000000000018</v>
      </c>
      <c r="Q13" t="s">
        <v>164</v>
      </c>
      <c r="S13" t="s">
        <v>240</v>
      </c>
      <c r="T13" t="s">
        <v>299</v>
      </c>
      <c r="U13">
        <v>1.0000000000000007</v>
      </c>
      <c r="V13" t="s">
        <v>164</v>
      </c>
      <c r="AK13">
        <v>2022</v>
      </c>
      <c r="AL13" t="s">
        <v>297</v>
      </c>
      <c r="AM13">
        <v>0.42086042343919311</v>
      </c>
      <c r="AN13" t="s">
        <v>257</v>
      </c>
    </row>
    <row r="14" spans="1:40" x14ac:dyDescent="0.45">
      <c r="I14" t="s">
        <v>178</v>
      </c>
      <c r="J14" t="s">
        <v>299</v>
      </c>
      <c r="K14">
        <v>1.0000000000000009</v>
      </c>
      <c r="L14" t="s">
        <v>164</v>
      </c>
      <c r="N14" t="s">
        <v>214</v>
      </c>
      <c r="O14" t="s">
        <v>299</v>
      </c>
      <c r="P14">
        <v>1.000000000000002</v>
      </c>
      <c r="Q14" t="s">
        <v>164</v>
      </c>
      <c r="S14" t="s">
        <v>241</v>
      </c>
      <c r="T14" t="s">
        <v>299</v>
      </c>
      <c r="U14">
        <v>0.99999999999999956</v>
      </c>
      <c r="V14" t="s">
        <v>164</v>
      </c>
      <c r="AK14">
        <v>2025</v>
      </c>
      <c r="AL14" t="s">
        <v>297</v>
      </c>
      <c r="AM14">
        <v>0.31121666666666664</v>
      </c>
      <c r="AN14" t="s">
        <v>257</v>
      </c>
    </row>
    <row r="15" spans="1:40" x14ac:dyDescent="0.45">
      <c r="I15" t="s">
        <v>179</v>
      </c>
      <c r="J15" t="s">
        <v>299</v>
      </c>
      <c r="K15">
        <v>0.99999999999999867</v>
      </c>
      <c r="L15" t="s">
        <v>164</v>
      </c>
      <c r="N15" t="s">
        <v>215</v>
      </c>
      <c r="O15" t="s">
        <v>299</v>
      </c>
      <c r="P15">
        <v>0.99999999999999678</v>
      </c>
      <c r="Q15" t="s">
        <v>164</v>
      </c>
      <c r="S15" t="s">
        <v>242</v>
      </c>
      <c r="T15" t="s">
        <v>299</v>
      </c>
      <c r="U15">
        <v>0.99999999999999978</v>
      </c>
      <c r="V15" t="s">
        <v>164</v>
      </c>
      <c r="AK15">
        <v>2026</v>
      </c>
      <c r="AL15" t="s">
        <v>297</v>
      </c>
      <c r="AM15">
        <v>0.30836666666666673</v>
      </c>
      <c r="AN15" t="s">
        <v>257</v>
      </c>
    </row>
    <row r="16" spans="1:40" x14ac:dyDescent="0.45">
      <c r="I16" t="s">
        <v>180</v>
      </c>
      <c r="J16" t="s">
        <v>299</v>
      </c>
      <c r="K16">
        <v>1.0000000000000029</v>
      </c>
      <c r="L16" t="s">
        <v>164</v>
      </c>
      <c r="N16" t="s">
        <v>216</v>
      </c>
      <c r="O16" t="s">
        <v>299</v>
      </c>
      <c r="P16">
        <v>1.0000000000000004</v>
      </c>
      <c r="Q16" t="s">
        <v>164</v>
      </c>
      <c r="S16" t="s">
        <v>243</v>
      </c>
      <c r="T16" t="s">
        <v>299</v>
      </c>
      <c r="U16">
        <v>0.999999999999999</v>
      </c>
      <c r="V16" t="s">
        <v>164</v>
      </c>
      <c r="AK16">
        <v>2027</v>
      </c>
      <c r="AL16" t="s">
        <v>297</v>
      </c>
      <c r="AM16">
        <v>0.35940833333333327</v>
      </c>
      <c r="AN16" t="s">
        <v>257</v>
      </c>
    </row>
    <row r="17" spans="9:40" x14ac:dyDescent="0.45">
      <c r="I17" t="s">
        <v>181</v>
      </c>
      <c r="J17" t="s">
        <v>299</v>
      </c>
      <c r="K17">
        <v>0.999999999999998</v>
      </c>
      <c r="L17" t="s">
        <v>164</v>
      </c>
      <c r="N17" t="s">
        <v>217</v>
      </c>
      <c r="O17" t="s">
        <v>299</v>
      </c>
      <c r="P17">
        <v>1.0000000000000027</v>
      </c>
      <c r="Q17" t="s">
        <v>164</v>
      </c>
      <c r="S17" t="s">
        <v>244</v>
      </c>
      <c r="T17" t="s">
        <v>299</v>
      </c>
      <c r="U17">
        <v>0.99999999999999833</v>
      </c>
      <c r="V17" t="s">
        <v>164</v>
      </c>
      <c r="AK17">
        <v>2028</v>
      </c>
      <c r="AL17" t="s">
        <v>297</v>
      </c>
      <c r="AM17">
        <v>0.35347499999999998</v>
      </c>
      <c r="AN17" t="s">
        <v>257</v>
      </c>
    </row>
    <row r="18" spans="9:40" x14ac:dyDescent="0.45">
      <c r="I18" t="s">
        <v>182</v>
      </c>
      <c r="J18" t="s">
        <v>299</v>
      </c>
      <c r="K18">
        <v>0.99999999999999878</v>
      </c>
      <c r="L18" t="s">
        <v>164</v>
      </c>
      <c r="N18" t="s">
        <v>218</v>
      </c>
      <c r="O18" t="s">
        <v>299</v>
      </c>
      <c r="P18">
        <v>1.0000000000000024</v>
      </c>
      <c r="Q18" t="s">
        <v>164</v>
      </c>
      <c r="S18" t="s">
        <v>245</v>
      </c>
      <c r="T18" t="s">
        <v>299</v>
      </c>
      <c r="U18">
        <v>0.99999999999999867</v>
      </c>
      <c r="V18" t="s">
        <v>164</v>
      </c>
      <c r="AK18">
        <v>2029</v>
      </c>
      <c r="AL18" t="s">
        <v>297</v>
      </c>
      <c r="AM18">
        <v>0.36326666666666663</v>
      </c>
      <c r="AN18" t="s">
        <v>257</v>
      </c>
    </row>
    <row r="19" spans="9:40" x14ac:dyDescent="0.45">
      <c r="I19" t="s">
        <v>183</v>
      </c>
      <c r="J19" t="s">
        <v>299</v>
      </c>
      <c r="K19">
        <v>1.0000000000000013</v>
      </c>
      <c r="L19" t="s">
        <v>164</v>
      </c>
      <c r="N19" t="s">
        <v>219</v>
      </c>
      <c r="O19" t="s">
        <v>299</v>
      </c>
      <c r="P19">
        <v>1.0000000000000038</v>
      </c>
      <c r="Q19" t="s">
        <v>164</v>
      </c>
      <c r="S19" t="s">
        <v>246</v>
      </c>
      <c r="T19" t="s">
        <v>299</v>
      </c>
      <c r="U19">
        <v>1.0000000000000002</v>
      </c>
      <c r="V19" t="s">
        <v>164</v>
      </c>
      <c r="AK19">
        <v>2030</v>
      </c>
      <c r="AL19" t="s">
        <v>297</v>
      </c>
      <c r="AM19">
        <v>0.35693333333333332</v>
      </c>
      <c r="AN19" t="s">
        <v>257</v>
      </c>
    </row>
    <row r="20" spans="9:40" x14ac:dyDescent="0.45">
      <c r="I20" t="s">
        <v>184</v>
      </c>
      <c r="J20" t="s">
        <v>299</v>
      </c>
      <c r="K20">
        <v>0.99999999999999722</v>
      </c>
      <c r="L20" t="s">
        <v>164</v>
      </c>
      <c r="N20" t="s">
        <v>220</v>
      </c>
      <c r="O20" t="s">
        <v>299</v>
      </c>
      <c r="P20">
        <v>0.99999999999999956</v>
      </c>
      <c r="Q20" t="s">
        <v>164</v>
      </c>
      <c r="S20" t="s">
        <v>247</v>
      </c>
      <c r="T20" t="s">
        <v>299</v>
      </c>
      <c r="U20">
        <v>1.0000000000000007</v>
      </c>
      <c r="V20" t="s">
        <v>164</v>
      </c>
      <c r="AK20">
        <v>2031</v>
      </c>
      <c r="AL20" t="s">
        <v>297</v>
      </c>
      <c r="AM20">
        <v>0.35429166666666667</v>
      </c>
      <c r="AN20" t="s">
        <v>257</v>
      </c>
    </row>
    <row r="21" spans="9:40" x14ac:dyDescent="0.45">
      <c r="I21" t="s">
        <v>185</v>
      </c>
      <c r="J21" t="s">
        <v>299</v>
      </c>
      <c r="K21">
        <v>0.99999999999999944</v>
      </c>
      <c r="L21" t="s">
        <v>164</v>
      </c>
      <c r="N21" t="s">
        <v>221</v>
      </c>
      <c r="O21" t="s">
        <v>299</v>
      </c>
      <c r="P21">
        <v>0.99999999999999578</v>
      </c>
      <c r="Q21" t="s">
        <v>164</v>
      </c>
      <c r="AK21">
        <v>2032</v>
      </c>
      <c r="AL21" t="s">
        <v>297</v>
      </c>
      <c r="AM21">
        <v>0.36674166666666669</v>
      </c>
      <c r="AN21" t="s">
        <v>257</v>
      </c>
    </row>
    <row r="22" spans="9:40" x14ac:dyDescent="0.45">
      <c r="I22" t="s">
        <v>186</v>
      </c>
      <c r="J22" t="s">
        <v>299</v>
      </c>
      <c r="K22">
        <v>1.0000000000000013</v>
      </c>
      <c r="L22" t="s">
        <v>164</v>
      </c>
      <c r="N22" t="s">
        <v>222</v>
      </c>
      <c r="O22" t="s">
        <v>299</v>
      </c>
      <c r="P22">
        <v>1.0000000000000018</v>
      </c>
      <c r="Q22" t="s">
        <v>164</v>
      </c>
      <c r="AK22">
        <v>2033</v>
      </c>
      <c r="AL22" t="s">
        <v>297</v>
      </c>
      <c r="AM22">
        <v>0.35526666666666668</v>
      </c>
      <c r="AN22" t="s">
        <v>257</v>
      </c>
    </row>
    <row r="23" spans="9:40" x14ac:dyDescent="0.45">
      <c r="I23" t="s">
        <v>187</v>
      </c>
      <c r="J23" t="s">
        <v>299</v>
      </c>
      <c r="K23">
        <v>0.999999999999999</v>
      </c>
      <c r="L23" t="s">
        <v>164</v>
      </c>
      <c r="N23" t="s">
        <v>223</v>
      </c>
      <c r="O23" t="s">
        <v>299</v>
      </c>
      <c r="P23">
        <v>1.0000000000000018</v>
      </c>
      <c r="Q23" t="s">
        <v>164</v>
      </c>
      <c r="AK23">
        <v>2034</v>
      </c>
      <c r="AL23" t="s">
        <v>297</v>
      </c>
      <c r="AM23">
        <v>0.36267500000000003</v>
      </c>
      <c r="AN23" t="s">
        <v>257</v>
      </c>
    </row>
    <row r="24" spans="9:40" x14ac:dyDescent="0.45">
      <c r="I24" t="s">
        <v>188</v>
      </c>
      <c r="J24" t="s">
        <v>299</v>
      </c>
      <c r="K24">
        <v>1.0000000000000009</v>
      </c>
      <c r="L24" t="s">
        <v>164</v>
      </c>
      <c r="N24" t="s">
        <v>224</v>
      </c>
      <c r="O24" t="s">
        <v>299</v>
      </c>
      <c r="P24">
        <v>0.99999999999999933</v>
      </c>
      <c r="Q24" t="s">
        <v>164</v>
      </c>
      <c r="AK24">
        <v>2035</v>
      </c>
      <c r="AL24" t="s">
        <v>297</v>
      </c>
      <c r="AM24">
        <v>0.3597083333333333</v>
      </c>
      <c r="AN24" t="s">
        <v>257</v>
      </c>
    </row>
    <row r="25" spans="9:40" x14ac:dyDescent="0.45">
      <c r="I25" t="s">
        <v>189</v>
      </c>
      <c r="J25" t="s">
        <v>299</v>
      </c>
      <c r="K25">
        <v>1.0000000000000018</v>
      </c>
      <c r="L25" t="s">
        <v>164</v>
      </c>
      <c r="N25" t="s">
        <v>225</v>
      </c>
      <c r="O25" t="s">
        <v>299</v>
      </c>
      <c r="P25">
        <v>0.99999999999999944</v>
      </c>
      <c r="Q25" t="s">
        <v>164</v>
      </c>
      <c r="AK25">
        <v>2036</v>
      </c>
      <c r="AL25" t="s">
        <v>297</v>
      </c>
      <c r="AM25">
        <v>0.36225000000000002</v>
      </c>
      <c r="AN25" t="s">
        <v>257</v>
      </c>
    </row>
    <row r="26" spans="9:40" x14ac:dyDescent="0.45">
      <c r="I26" t="s">
        <v>190</v>
      </c>
      <c r="J26" t="s">
        <v>299</v>
      </c>
      <c r="K26">
        <v>1.0000000000000038</v>
      </c>
      <c r="L26" t="s">
        <v>164</v>
      </c>
      <c r="N26" t="s">
        <v>226</v>
      </c>
      <c r="O26" t="s">
        <v>299</v>
      </c>
      <c r="P26">
        <v>0.99999999999999722</v>
      </c>
      <c r="Q26" t="s">
        <v>164</v>
      </c>
      <c r="AK26">
        <v>2037</v>
      </c>
      <c r="AL26" t="s">
        <v>297</v>
      </c>
      <c r="AM26">
        <v>0.35981666666666667</v>
      </c>
      <c r="AN26" t="s">
        <v>257</v>
      </c>
    </row>
    <row r="27" spans="9:40" x14ac:dyDescent="0.45">
      <c r="I27" t="s">
        <v>191</v>
      </c>
      <c r="J27" t="s">
        <v>299</v>
      </c>
      <c r="K27">
        <v>0.99999999999999978</v>
      </c>
      <c r="L27" t="s">
        <v>164</v>
      </c>
      <c r="N27" t="s">
        <v>227</v>
      </c>
      <c r="O27" t="s">
        <v>299</v>
      </c>
      <c r="P27">
        <v>1.0000000000000007</v>
      </c>
      <c r="Q27" t="s">
        <v>164</v>
      </c>
      <c r="AK27">
        <v>2038</v>
      </c>
      <c r="AL27" t="s">
        <v>297</v>
      </c>
      <c r="AM27">
        <v>0.35998333333333332</v>
      </c>
      <c r="AN27" t="s">
        <v>257</v>
      </c>
    </row>
    <row r="28" spans="9:40" x14ac:dyDescent="0.45">
      <c r="I28" t="s">
        <v>192</v>
      </c>
      <c r="J28" t="s">
        <v>299</v>
      </c>
      <c r="K28">
        <v>0.99999999999999745</v>
      </c>
      <c r="L28" t="s">
        <v>164</v>
      </c>
      <c r="N28" t="s">
        <v>228</v>
      </c>
      <c r="O28" t="s">
        <v>299</v>
      </c>
      <c r="P28">
        <v>1.0000000000000013</v>
      </c>
      <c r="Q28" t="s">
        <v>164</v>
      </c>
      <c r="AK28">
        <v>2039</v>
      </c>
      <c r="AL28" t="s">
        <v>297</v>
      </c>
      <c r="AM28">
        <v>0.3637333333333333</v>
      </c>
      <c r="AN28" t="s">
        <v>257</v>
      </c>
    </row>
    <row r="29" spans="9:40" x14ac:dyDescent="0.45">
      <c r="I29" t="s">
        <v>193</v>
      </c>
      <c r="J29" t="s">
        <v>299</v>
      </c>
      <c r="K29">
        <v>0.999999999999999</v>
      </c>
      <c r="L29" t="s">
        <v>164</v>
      </c>
      <c r="N29" t="s">
        <v>229</v>
      </c>
      <c r="O29" t="s">
        <v>299</v>
      </c>
      <c r="P29">
        <v>1.0000000000000009</v>
      </c>
      <c r="Q29" t="s">
        <v>164</v>
      </c>
      <c r="AK29">
        <v>2040</v>
      </c>
      <c r="AL29" t="s">
        <v>297</v>
      </c>
      <c r="AM29">
        <v>0.36515000000000003</v>
      </c>
      <c r="AN29" t="s">
        <v>257</v>
      </c>
    </row>
    <row r="30" spans="9:40" x14ac:dyDescent="0.45">
      <c r="I30" t="s">
        <v>194</v>
      </c>
      <c r="J30" t="s">
        <v>299</v>
      </c>
      <c r="K30">
        <v>0.99999999999999978</v>
      </c>
      <c r="L30" t="s">
        <v>164</v>
      </c>
      <c r="N30" t="s">
        <v>230</v>
      </c>
      <c r="O30" t="s">
        <v>299</v>
      </c>
      <c r="P30">
        <v>0.99999999999999878</v>
      </c>
      <c r="Q30" t="s">
        <v>164</v>
      </c>
      <c r="AK30">
        <v>2041</v>
      </c>
      <c r="AL30" t="s">
        <v>297</v>
      </c>
      <c r="AM30">
        <v>0.35862499999999997</v>
      </c>
      <c r="AN30" t="s">
        <v>257</v>
      </c>
    </row>
    <row r="31" spans="9:40" x14ac:dyDescent="0.45">
      <c r="I31" t="s">
        <v>195</v>
      </c>
      <c r="J31" t="s">
        <v>299</v>
      </c>
      <c r="K31">
        <v>0.99999999999999556</v>
      </c>
      <c r="L31" t="s">
        <v>164</v>
      </c>
      <c r="N31" t="s">
        <v>231</v>
      </c>
      <c r="O31" t="s">
        <v>299</v>
      </c>
      <c r="P31">
        <v>1.0000000000000002</v>
      </c>
      <c r="Q31" t="s">
        <v>164</v>
      </c>
      <c r="AK31">
        <v>2042</v>
      </c>
      <c r="AL31" t="s">
        <v>297</v>
      </c>
      <c r="AM31">
        <v>0.37002499999999999</v>
      </c>
      <c r="AN31" t="s">
        <v>257</v>
      </c>
    </row>
    <row r="32" spans="9:40" x14ac:dyDescent="0.45">
      <c r="I32" t="s">
        <v>196</v>
      </c>
      <c r="J32" t="s">
        <v>299</v>
      </c>
      <c r="K32">
        <v>0.99999999999999811</v>
      </c>
      <c r="L32" t="s">
        <v>164</v>
      </c>
      <c r="N32" t="s">
        <v>232</v>
      </c>
      <c r="O32" t="s">
        <v>299</v>
      </c>
      <c r="P32">
        <v>1.0000000000000022</v>
      </c>
      <c r="Q32" t="s">
        <v>164</v>
      </c>
      <c r="AK32">
        <v>2043</v>
      </c>
      <c r="AL32" t="s">
        <v>297</v>
      </c>
      <c r="AM32">
        <v>0.36250833333333338</v>
      </c>
      <c r="AN32" t="s">
        <v>257</v>
      </c>
    </row>
    <row r="33" spans="9:40" x14ac:dyDescent="0.45">
      <c r="I33" t="s">
        <v>197</v>
      </c>
      <c r="J33" t="s">
        <v>299</v>
      </c>
      <c r="K33">
        <v>0.999999999999997</v>
      </c>
      <c r="L33" t="s">
        <v>164</v>
      </c>
      <c r="N33" t="s">
        <v>233</v>
      </c>
      <c r="O33" t="s">
        <v>299</v>
      </c>
      <c r="P33">
        <v>1.0000000000000011</v>
      </c>
      <c r="Q33" t="s">
        <v>164</v>
      </c>
      <c r="AK33">
        <v>2044</v>
      </c>
      <c r="AL33" t="s">
        <v>297</v>
      </c>
      <c r="AM33">
        <v>0.35627500000000006</v>
      </c>
      <c r="AN33" t="s">
        <v>257</v>
      </c>
    </row>
    <row r="34" spans="9:40" x14ac:dyDescent="0.45">
      <c r="I34" t="s">
        <v>198</v>
      </c>
      <c r="J34" t="s">
        <v>299</v>
      </c>
      <c r="K34">
        <v>0.99999999999999922</v>
      </c>
      <c r="L34" t="s">
        <v>164</v>
      </c>
      <c r="N34" t="s">
        <v>234</v>
      </c>
      <c r="O34" t="s">
        <v>299</v>
      </c>
      <c r="P34">
        <v>0.999999999999999</v>
      </c>
      <c r="Q34" t="s">
        <v>164</v>
      </c>
      <c r="AK34">
        <v>2045</v>
      </c>
      <c r="AL34" t="s">
        <v>297</v>
      </c>
      <c r="AM34">
        <v>0.36396666666666672</v>
      </c>
      <c r="AN34" t="s">
        <v>257</v>
      </c>
    </row>
    <row r="35" spans="9:40" x14ac:dyDescent="0.45">
      <c r="I35" t="s">
        <v>199</v>
      </c>
      <c r="J35" t="s">
        <v>299</v>
      </c>
      <c r="K35">
        <v>1.0000000000000002</v>
      </c>
      <c r="L35" t="s">
        <v>164</v>
      </c>
      <c r="N35" t="s">
        <v>235</v>
      </c>
      <c r="O35" t="s">
        <v>299</v>
      </c>
      <c r="P35">
        <v>1.0000000000000047</v>
      </c>
      <c r="Q35" t="s">
        <v>164</v>
      </c>
      <c r="AK35">
        <v>2046</v>
      </c>
      <c r="AL35" t="s">
        <v>297</v>
      </c>
      <c r="AM35">
        <v>0.35866666666666663</v>
      </c>
      <c r="AN35" t="s">
        <v>257</v>
      </c>
    </row>
    <row r="36" spans="9:40" x14ac:dyDescent="0.45">
      <c r="I36" t="s">
        <v>200</v>
      </c>
      <c r="J36" t="s">
        <v>299</v>
      </c>
      <c r="K36">
        <v>0.99999999999999833</v>
      </c>
      <c r="L36" t="s">
        <v>164</v>
      </c>
      <c r="N36" t="s">
        <v>236</v>
      </c>
      <c r="O36" t="s">
        <v>299</v>
      </c>
      <c r="P36">
        <v>1.0000000000000002</v>
      </c>
      <c r="Q36" t="s">
        <v>164</v>
      </c>
      <c r="AK36">
        <v>2047</v>
      </c>
      <c r="AL36" t="s">
        <v>297</v>
      </c>
      <c r="AM36">
        <v>0.42579166666666673</v>
      </c>
      <c r="AN36" t="s">
        <v>257</v>
      </c>
    </row>
    <row r="37" spans="9:40" x14ac:dyDescent="0.45">
      <c r="I37" t="s">
        <v>201</v>
      </c>
      <c r="J37" t="s">
        <v>299</v>
      </c>
      <c r="K37">
        <v>0.99999999999999967</v>
      </c>
      <c r="L37" t="s">
        <v>164</v>
      </c>
      <c r="N37" t="s">
        <v>237</v>
      </c>
      <c r="O37" t="s">
        <v>299</v>
      </c>
      <c r="P37">
        <v>0.99999999999999578</v>
      </c>
      <c r="Q37" t="s">
        <v>164</v>
      </c>
      <c r="AK37">
        <v>2048</v>
      </c>
      <c r="AL37" t="s">
        <v>297</v>
      </c>
      <c r="AM37">
        <v>0.40554166666666669</v>
      </c>
      <c r="AN37" t="s">
        <v>257</v>
      </c>
    </row>
    <row r="38" spans="9:40" x14ac:dyDescent="0.45">
      <c r="I38" t="s">
        <v>202</v>
      </c>
      <c r="J38" t="s">
        <v>299</v>
      </c>
      <c r="K38">
        <v>1.0000000000000007</v>
      </c>
      <c r="L38" t="s">
        <v>164</v>
      </c>
      <c r="AK38">
        <v>2049</v>
      </c>
      <c r="AL38" t="s">
        <v>297</v>
      </c>
      <c r="AM38">
        <v>0.41102499999999997</v>
      </c>
      <c r="AN38" t="s">
        <v>257</v>
      </c>
    </row>
    <row r="39" spans="9:40" x14ac:dyDescent="0.45">
      <c r="I39" t="s">
        <v>203</v>
      </c>
      <c r="J39" t="s">
        <v>299</v>
      </c>
      <c r="K39">
        <v>0.99999999999999989</v>
      </c>
      <c r="L39" t="s">
        <v>164</v>
      </c>
      <c r="AK39">
        <v>2050</v>
      </c>
      <c r="AL39" t="s">
        <v>297</v>
      </c>
      <c r="AM39">
        <v>0.39924166666666666</v>
      </c>
      <c r="AN39" t="s">
        <v>257</v>
      </c>
    </row>
    <row r="40" spans="9:40" x14ac:dyDescent="0.45">
      <c r="I40" t="s">
        <v>204</v>
      </c>
      <c r="J40" t="s">
        <v>299</v>
      </c>
      <c r="K40">
        <v>0.99999999999999967</v>
      </c>
      <c r="L40" t="s">
        <v>164</v>
      </c>
    </row>
    <row r="41" spans="9:40" x14ac:dyDescent="0.45">
      <c r="I41" t="s">
        <v>205</v>
      </c>
      <c r="J41" t="s">
        <v>299</v>
      </c>
      <c r="K41">
        <v>1.0000000000000038</v>
      </c>
      <c r="L41" t="s">
        <v>164</v>
      </c>
    </row>
    <row r="42" spans="9:40" x14ac:dyDescent="0.45">
      <c r="I42" t="s">
        <v>206</v>
      </c>
      <c r="J42" t="s">
        <v>299</v>
      </c>
      <c r="K42">
        <v>1.0000000000000016</v>
      </c>
      <c r="L42" t="s">
        <v>164</v>
      </c>
    </row>
    <row r="43" spans="9:40" x14ac:dyDescent="0.45">
      <c r="I43" t="s">
        <v>207</v>
      </c>
      <c r="J43" t="s">
        <v>299</v>
      </c>
      <c r="K43">
        <v>0.99999999999999778</v>
      </c>
      <c r="L43" t="s">
        <v>164</v>
      </c>
    </row>
    <row r="44" spans="9:40" x14ac:dyDescent="0.45">
      <c r="I44" t="s">
        <v>208</v>
      </c>
      <c r="J44" t="s">
        <v>299</v>
      </c>
      <c r="K44">
        <v>0.99999999999999734</v>
      </c>
      <c r="L44" t="s">
        <v>164</v>
      </c>
    </row>
    <row r="45" spans="9:40" x14ac:dyDescent="0.45">
      <c r="I45" t="s">
        <v>209</v>
      </c>
      <c r="J45" t="s">
        <v>299</v>
      </c>
      <c r="K45">
        <v>0.99999999999999933</v>
      </c>
      <c r="L45" t="s">
        <v>164</v>
      </c>
    </row>
    <row r="46" spans="9:40" x14ac:dyDescent="0.45">
      <c r="I46" t="s">
        <v>210</v>
      </c>
      <c r="J46" t="s">
        <v>299</v>
      </c>
      <c r="K46">
        <v>0.99999999999999911</v>
      </c>
      <c r="L46" t="s">
        <v>164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3E9A1-E7C8-4630-8115-7A32F9620977}">
  <dimension ref="A9:AN442"/>
  <sheetViews>
    <sheetView tabSelected="1"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131</v>
      </c>
      <c r="C10" t="s">
        <v>147</v>
      </c>
      <c r="D10" t="s">
        <v>148</v>
      </c>
      <c r="E10" t="s">
        <v>149</v>
      </c>
      <c r="F10" t="s">
        <v>150</v>
      </c>
      <c r="G10" t="s">
        <v>151</v>
      </c>
      <c r="I10" t="s">
        <v>13</v>
      </c>
      <c r="J10" t="s">
        <v>121</v>
      </c>
      <c r="K10" t="s">
        <v>161</v>
      </c>
      <c r="L10" t="s">
        <v>30</v>
      </c>
      <c r="N10" t="s">
        <v>13</v>
      </c>
      <c r="O10" t="s">
        <v>121</v>
      </c>
      <c r="P10" t="s">
        <v>161</v>
      </c>
      <c r="Q10" t="s">
        <v>30</v>
      </c>
      <c r="S10" t="s">
        <v>13</v>
      </c>
      <c r="T10" t="s">
        <v>121</v>
      </c>
      <c r="U10" t="s">
        <v>161</v>
      </c>
      <c r="V10" t="s">
        <v>30</v>
      </c>
      <c r="X10" t="s">
        <v>248</v>
      </c>
      <c r="Y10" t="s">
        <v>161</v>
      </c>
      <c r="Z10" t="s">
        <v>121</v>
      </c>
      <c r="AA10" t="s">
        <v>13</v>
      </c>
      <c r="AC10" t="s">
        <v>13</v>
      </c>
      <c r="AD10" t="s">
        <v>121</v>
      </c>
      <c r="AE10" t="s">
        <v>161</v>
      </c>
      <c r="AG10" t="s">
        <v>13</v>
      </c>
      <c r="AH10" t="s">
        <v>121</v>
      </c>
      <c r="AI10" t="s">
        <v>254</v>
      </c>
      <c r="AK10" t="s">
        <v>47</v>
      </c>
      <c r="AL10" t="s">
        <v>121</v>
      </c>
      <c r="AM10" t="s">
        <v>255</v>
      </c>
      <c r="AN10" t="s">
        <v>256</v>
      </c>
    </row>
    <row r="11" spans="1:40" x14ac:dyDescent="0.45">
      <c r="A11" t="str">
        <f>IFERROR(IF(Veda!D5=A10,"ok","x"),"")</f>
        <v>x</v>
      </c>
      <c r="C11" t="s">
        <v>300</v>
      </c>
      <c r="D11" t="s">
        <v>153</v>
      </c>
      <c r="E11" t="s">
        <v>250</v>
      </c>
      <c r="F11" t="s">
        <v>301</v>
      </c>
      <c r="G11" t="s">
        <v>153</v>
      </c>
      <c r="I11" t="s">
        <v>162</v>
      </c>
      <c r="J11" t="s">
        <v>306</v>
      </c>
      <c r="K11">
        <v>0.22430497992375492</v>
      </c>
      <c r="L11" t="s">
        <v>164</v>
      </c>
      <c r="N11" t="s">
        <v>211</v>
      </c>
      <c r="O11" t="s">
        <v>306</v>
      </c>
      <c r="P11">
        <v>4.0831195331593101E-2</v>
      </c>
      <c r="Q11" t="s">
        <v>164</v>
      </c>
      <c r="S11" t="s">
        <v>238</v>
      </c>
      <c r="T11" t="s">
        <v>306</v>
      </c>
      <c r="U11">
        <v>5.6304826076446421E-2</v>
      </c>
      <c r="V11" t="s">
        <v>164</v>
      </c>
      <c r="X11">
        <v>0.11426940639269406</v>
      </c>
      <c r="Y11">
        <v>0.16087081189037786</v>
      </c>
      <c r="Z11" t="s">
        <v>306</v>
      </c>
      <c r="AA11" t="s">
        <v>25</v>
      </c>
      <c r="AC11" t="s">
        <v>22</v>
      </c>
      <c r="AD11" t="s">
        <v>306</v>
      </c>
      <c r="AE11">
        <v>0.12465764338834709</v>
      </c>
      <c r="AG11" t="s">
        <v>96</v>
      </c>
      <c r="AH11" t="s">
        <v>306</v>
      </c>
      <c r="AI11">
        <v>8.3008494495311558E-2</v>
      </c>
      <c r="AK11">
        <v>2020</v>
      </c>
      <c r="AL11" t="s">
        <v>300</v>
      </c>
      <c r="AM11">
        <v>0.4260092800978022</v>
      </c>
      <c r="AN11" t="s">
        <v>257</v>
      </c>
    </row>
    <row r="12" spans="1:40" x14ac:dyDescent="0.45">
      <c r="C12" t="s">
        <v>302</v>
      </c>
      <c r="E12" t="s">
        <v>252</v>
      </c>
      <c r="G12" t="s">
        <v>153</v>
      </c>
      <c r="I12" t="s">
        <v>162</v>
      </c>
      <c r="J12" t="s">
        <v>307</v>
      </c>
      <c r="K12">
        <v>0</v>
      </c>
      <c r="L12" t="s">
        <v>164</v>
      </c>
      <c r="N12" t="s">
        <v>211</v>
      </c>
      <c r="O12" t="s">
        <v>307</v>
      </c>
      <c r="P12">
        <v>6.7303352281998269E-2</v>
      </c>
      <c r="Q12" t="s">
        <v>164</v>
      </c>
      <c r="S12" t="s">
        <v>238</v>
      </c>
      <c r="T12" t="s">
        <v>307</v>
      </c>
      <c r="U12">
        <v>8.7299304566272259E-2</v>
      </c>
      <c r="V12" t="s">
        <v>164</v>
      </c>
      <c r="X12">
        <v>0.11426940639269406</v>
      </c>
      <c r="Y12">
        <v>5.2547713165767528E-2</v>
      </c>
      <c r="Z12" t="s">
        <v>307</v>
      </c>
      <c r="AA12" t="s">
        <v>25</v>
      </c>
      <c r="AC12" t="s">
        <v>22</v>
      </c>
      <c r="AD12" t="s">
        <v>307</v>
      </c>
      <c r="AE12">
        <v>9.0103225009835253E-2</v>
      </c>
      <c r="AG12" t="s">
        <v>96</v>
      </c>
      <c r="AH12" t="s">
        <v>307</v>
      </c>
      <c r="AI12">
        <v>0.59533697574532574</v>
      </c>
      <c r="AK12">
        <v>2020</v>
      </c>
      <c r="AL12" t="s">
        <v>302</v>
      </c>
      <c r="AM12">
        <v>0.26353810674890943</v>
      </c>
      <c r="AN12" t="s">
        <v>257</v>
      </c>
    </row>
    <row r="13" spans="1:40" x14ac:dyDescent="0.45">
      <c r="C13" t="s">
        <v>303</v>
      </c>
      <c r="E13" t="s">
        <v>304</v>
      </c>
      <c r="G13" t="s">
        <v>153</v>
      </c>
      <c r="I13" t="s">
        <v>162</v>
      </c>
      <c r="J13" t="s">
        <v>308</v>
      </c>
      <c r="K13">
        <v>1.1575922277459808E-2</v>
      </c>
      <c r="L13" t="s">
        <v>164</v>
      </c>
      <c r="N13" t="s">
        <v>211</v>
      </c>
      <c r="O13" t="s">
        <v>308</v>
      </c>
      <c r="P13">
        <v>3.7241624379401594E-3</v>
      </c>
      <c r="Q13" t="s">
        <v>164</v>
      </c>
      <c r="S13" t="s">
        <v>238</v>
      </c>
      <c r="T13" t="s">
        <v>308</v>
      </c>
      <c r="U13">
        <v>2.6511281303952444E-2</v>
      </c>
      <c r="V13" t="s">
        <v>164</v>
      </c>
      <c r="X13">
        <v>2.0776255707762557E-2</v>
      </c>
      <c r="Y13">
        <v>3.5896543437005365E-2</v>
      </c>
      <c r="Z13" t="s">
        <v>308</v>
      </c>
      <c r="AA13" t="s">
        <v>25</v>
      </c>
      <c r="AC13" t="s">
        <v>22</v>
      </c>
      <c r="AD13" t="s">
        <v>308</v>
      </c>
      <c r="AE13">
        <v>2.7978362820446159E-2</v>
      </c>
      <c r="AG13" t="s">
        <v>96</v>
      </c>
      <c r="AH13" t="s">
        <v>308</v>
      </c>
      <c r="AI13">
        <v>7.2669104949997898E-2</v>
      </c>
      <c r="AK13">
        <v>2020</v>
      </c>
      <c r="AL13" t="s">
        <v>303</v>
      </c>
      <c r="AM13">
        <v>0.30236725848128693</v>
      </c>
      <c r="AN13" t="s">
        <v>257</v>
      </c>
    </row>
    <row r="14" spans="1:40" x14ac:dyDescent="0.45">
      <c r="C14" t="s">
        <v>305</v>
      </c>
      <c r="I14" t="s">
        <v>162</v>
      </c>
      <c r="J14" t="s">
        <v>309</v>
      </c>
      <c r="K14">
        <v>0.23835628791500538</v>
      </c>
      <c r="L14" t="s">
        <v>164</v>
      </c>
      <c r="N14" t="s">
        <v>211</v>
      </c>
      <c r="O14" t="s">
        <v>309</v>
      </c>
      <c r="P14">
        <v>0.12149394487027317</v>
      </c>
      <c r="Q14" t="s">
        <v>164</v>
      </c>
      <c r="S14" t="s">
        <v>238</v>
      </c>
      <c r="T14" t="s">
        <v>309</v>
      </c>
      <c r="U14">
        <v>9.6659551695973719E-2</v>
      </c>
      <c r="V14" t="s">
        <v>164</v>
      </c>
      <c r="X14">
        <v>0.11552511415525114</v>
      </c>
      <c r="Y14">
        <v>0.16263862301005233</v>
      </c>
      <c r="Z14" t="s">
        <v>309</v>
      </c>
      <c r="AA14" t="s">
        <v>25</v>
      </c>
      <c r="AC14" t="s">
        <v>22</v>
      </c>
      <c r="AD14" t="s">
        <v>309</v>
      </c>
      <c r="AE14">
        <v>0.13689034574895537</v>
      </c>
      <c r="AG14" t="s">
        <v>96</v>
      </c>
      <c r="AH14" t="s">
        <v>309</v>
      </c>
      <c r="AI14">
        <v>7.9343514187460107E-2</v>
      </c>
      <c r="AK14">
        <v>2020</v>
      </c>
      <c r="AL14" t="s">
        <v>305</v>
      </c>
      <c r="AM14">
        <v>0.39578860232299445</v>
      </c>
      <c r="AN14" t="s">
        <v>257</v>
      </c>
    </row>
    <row r="15" spans="1:40" x14ac:dyDescent="0.45">
      <c r="I15" t="s">
        <v>162</v>
      </c>
      <c r="J15" t="s">
        <v>310</v>
      </c>
      <c r="K15">
        <v>0</v>
      </c>
      <c r="L15" t="s">
        <v>164</v>
      </c>
      <c r="N15" t="s">
        <v>211</v>
      </c>
      <c r="O15" t="s">
        <v>310</v>
      </c>
      <c r="P15">
        <v>0.1930970272304372</v>
      </c>
      <c r="Q15" t="s">
        <v>164</v>
      </c>
      <c r="S15" t="s">
        <v>238</v>
      </c>
      <c r="T15" t="s">
        <v>310</v>
      </c>
      <c r="U15">
        <v>0.11429282802639461</v>
      </c>
      <c r="V15" t="s">
        <v>164</v>
      </c>
      <c r="X15">
        <v>0.11552511415525114</v>
      </c>
      <c r="Y15">
        <v>5.3125160563193538E-2</v>
      </c>
      <c r="Z15" t="s">
        <v>310</v>
      </c>
      <c r="AA15" t="s">
        <v>25</v>
      </c>
      <c r="AC15" t="s">
        <v>22</v>
      </c>
      <c r="AD15" t="s">
        <v>310</v>
      </c>
      <c r="AE15">
        <v>9.9035261625886925E-2</v>
      </c>
      <c r="AG15" t="s">
        <v>96</v>
      </c>
      <c r="AH15" t="s">
        <v>310</v>
      </c>
      <c r="AI15">
        <v>0.51944454534212126</v>
      </c>
      <c r="AK15">
        <v>2021</v>
      </c>
      <c r="AL15" t="s">
        <v>300</v>
      </c>
      <c r="AM15">
        <v>0.48324581145286322</v>
      </c>
      <c r="AN15" t="s">
        <v>257</v>
      </c>
    </row>
    <row r="16" spans="1:40" x14ac:dyDescent="0.45">
      <c r="I16" t="s">
        <v>162</v>
      </c>
      <c r="J16" t="s">
        <v>311</v>
      </c>
      <c r="K16">
        <v>1.5704863512145444E-2</v>
      </c>
      <c r="L16" t="s">
        <v>164</v>
      </c>
      <c r="N16" t="s">
        <v>211</v>
      </c>
      <c r="O16" t="s">
        <v>311</v>
      </c>
      <c r="P16">
        <v>1.2757231442166228E-2</v>
      </c>
      <c r="Q16" t="s">
        <v>164</v>
      </c>
      <c r="S16" t="s">
        <v>238</v>
      </c>
      <c r="T16" t="s">
        <v>311</v>
      </c>
      <c r="U16">
        <v>3.2640043474190507E-2</v>
      </c>
      <c r="V16" t="s">
        <v>164</v>
      </c>
      <c r="X16">
        <v>2.1004566210045664E-2</v>
      </c>
      <c r="Y16">
        <v>3.6291010947302131E-2</v>
      </c>
      <c r="Z16" t="s">
        <v>311</v>
      </c>
      <c r="AA16" t="s">
        <v>25</v>
      </c>
      <c r="AC16" t="s">
        <v>22</v>
      </c>
      <c r="AD16" t="s">
        <v>311</v>
      </c>
      <c r="AE16">
        <v>2.8850227895695864E-2</v>
      </c>
      <c r="AG16" t="s">
        <v>96</v>
      </c>
      <c r="AH16" t="s">
        <v>311</v>
      </c>
      <c r="AI16">
        <v>8.1580224246548871E-2</v>
      </c>
      <c r="AK16">
        <v>2021</v>
      </c>
      <c r="AL16" t="s">
        <v>302</v>
      </c>
      <c r="AM16">
        <v>0.33529215637242632</v>
      </c>
      <c r="AN16" t="s">
        <v>257</v>
      </c>
    </row>
    <row r="17" spans="9:40" x14ac:dyDescent="0.45">
      <c r="I17" t="s">
        <v>162</v>
      </c>
      <c r="J17" t="s">
        <v>312</v>
      </c>
      <c r="K17">
        <v>0.18562023444142287</v>
      </c>
      <c r="L17" t="s">
        <v>164</v>
      </c>
      <c r="N17" t="s">
        <v>211</v>
      </c>
      <c r="O17" t="s">
        <v>312</v>
      </c>
      <c r="P17">
        <v>0.1249042059335343</v>
      </c>
      <c r="Q17" t="s">
        <v>164</v>
      </c>
      <c r="S17" t="s">
        <v>238</v>
      </c>
      <c r="T17" t="s">
        <v>312</v>
      </c>
      <c r="U17">
        <v>0.1577908008070838</v>
      </c>
      <c r="V17" t="s">
        <v>164</v>
      </c>
      <c r="X17">
        <v>0.11552511415525114</v>
      </c>
      <c r="Y17">
        <v>0.16263862301005233</v>
      </c>
      <c r="Z17" t="s">
        <v>312</v>
      </c>
      <c r="AA17" t="s">
        <v>25</v>
      </c>
      <c r="AC17" t="s">
        <v>22</v>
      </c>
      <c r="AD17" t="s">
        <v>312</v>
      </c>
      <c r="AE17">
        <v>0.12376934918655097</v>
      </c>
      <c r="AG17" t="s">
        <v>96</v>
      </c>
      <c r="AH17" t="s">
        <v>312</v>
      </c>
      <c r="AI17">
        <v>7.1438501703924295E-2</v>
      </c>
      <c r="AK17">
        <v>2021</v>
      </c>
      <c r="AL17" t="s">
        <v>303</v>
      </c>
      <c r="AM17">
        <v>0.24839543219138116</v>
      </c>
      <c r="AN17" t="s">
        <v>257</v>
      </c>
    </row>
    <row r="18" spans="9:40" x14ac:dyDescent="0.45">
      <c r="I18" t="s">
        <v>162</v>
      </c>
      <c r="J18" t="s">
        <v>313</v>
      </c>
      <c r="K18">
        <v>0</v>
      </c>
      <c r="L18" t="s">
        <v>164</v>
      </c>
      <c r="N18" t="s">
        <v>211</v>
      </c>
      <c r="O18" t="s">
        <v>313</v>
      </c>
      <c r="P18">
        <v>0.12412186009634013</v>
      </c>
      <c r="Q18" t="s">
        <v>164</v>
      </c>
      <c r="S18" t="s">
        <v>238</v>
      </c>
      <c r="T18" t="s">
        <v>313</v>
      </c>
      <c r="U18">
        <v>0.16382401484560336</v>
      </c>
      <c r="V18" t="s">
        <v>164</v>
      </c>
      <c r="X18">
        <v>0.11552511415525114</v>
      </c>
      <c r="Y18">
        <v>5.3125160563193538E-2</v>
      </c>
      <c r="Z18" t="s">
        <v>313</v>
      </c>
      <c r="AA18" t="s">
        <v>25</v>
      </c>
      <c r="AC18" t="s">
        <v>22</v>
      </c>
      <c r="AD18" t="s">
        <v>313</v>
      </c>
      <c r="AE18">
        <v>9.0373221675642573E-2</v>
      </c>
      <c r="AG18" t="s">
        <v>96</v>
      </c>
      <c r="AH18" t="s">
        <v>313</v>
      </c>
      <c r="AI18">
        <v>0.54516573937934987</v>
      </c>
      <c r="AK18">
        <v>2021</v>
      </c>
      <c r="AL18" t="s">
        <v>305</v>
      </c>
      <c r="AM18">
        <v>0.45792698174543633</v>
      </c>
      <c r="AN18" t="s">
        <v>257</v>
      </c>
    </row>
    <row r="19" spans="9:40" x14ac:dyDescent="0.45">
      <c r="I19" t="s">
        <v>162</v>
      </c>
      <c r="J19" t="s">
        <v>314</v>
      </c>
      <c r="K19">
        <v>1.560658617228922E-2</v>
      </c>
      <c r="L19" t="s">
        <v>164</v>
      </c>
      <c r="N19" t="s">
        <v>211</v>
      </c>
      <c r="O19" t="s">
        <v>314</v>
      </c>
      <c r="P19">
        <v>1.2688854159031105E-2</v>
      </c>
      <c r="Q19" t="s">
        <v>164</v>
      </c>
      <c r="S19" t="s">
        <v>238</v>
      </c>
      <c r="T19" t="s">
        <v>314</v>
      </c>
      <c r="U19">
        <v>4.3771116618129581E-2</v>
      </c>
      <c r="V19" t="s">
        <v>164</v>
      </c>
      <c r="X19">
        <v>2.1004566210045664E-2</v>
      </c>
      <c r="Y19">
        <v>3.6291010947302131E-2</v>
      </c>
      <c r="Z19" t="s">
        <v>314</v>
      </c>
      <c r="AA19" t="s">
        <v>25</v>
      </c>
      <c r="AC19" t="s">
        <v>22</v>
      </c>
      <c r="AD19" t="s">
        <v>314</v>
      </c>
      <c r="AE19">
        <v>2.7473619797128011E-2</v>
      </c>
      <c r="AG19" t="s">
        <v>96</v>
      </c>
      <c r="AH19" t="s">
        <v>314</v>
      </c>
      <c r="AI19">
        <v>5.250187064239431E-2</v>
      </c>
      <c r="AK19">
        <v>2022</v>
      </c>
      <c r="AL19" t="s">
        <v>300</v>
      </c>
      <c r="AM19">
        <v>0.55555555555555547</v>
      </c>
      <c r="AN19" t="s">
        <v>257</v>
      </c>
    </row>
    <row r="20" spans="9:40" x14ac:dyDescent="0.45">
      <c r="I20" t="s">
        <v>162</v>
      </c>
      <c r="J20" t="s">
        <v>315</v>
      </c>
      <c r="K20">
        <v>0.28714274716593113</v>
      </c>
      <c r="L20" t="s">
        <v>164</v>
      </c>
      <c r="N20" t="s">
        <v>211</v>
      </c>
      <c r="O20" t="s">
        <v>315</v>
      </c>
      <c r="P20">
        <v>8.9452032216473201E-2</v>
      </c>
      <c r="Q20" t="s">
        <v>164</v>
      </c>
      <c r="S20" t="s">
        <v>238</v>
      </c>
      <c r="T20" t="s">
        <v>315</v>
      </c>
      <c r="U20">
        <v>5.7764856243326244E-2</v>
      </c>
      <c r="V20" t="s">
        <v>164</v>
      </c>
      <c r="X20">
        <v>0.11301369863013698</v>
      </c>
      <c r="Y20">
        <v>0.15910300077070333</v>
      </c>
      <c r="Z20" t="s">
        <v>315</v>
      </c>
      <c r="AA20" t="s">
        <v>25</v>
      </c>
      <c r="AC20" t="s">
        <v>22</v>
      </c>
      <c r="AD20" t="s">
        <v>315</v>
      </c>
      <c r="AE20">
        <v>0.1298442845487052</v>
      </c>
      <c r="AG20" t="s">
        <v>96</v>
      </c>
      <c r="AH20" t="s">
        <v>315</v>
      </c>
      <c r="AI20">
        <v>9.2656283130002182E-2</v>
      </c>
      <c r="AK20">
        <v>2022</v>
      </c>
      <c r="AL20" t="s">
        <v>302</v>
      </c>
      <c r="AM20">
        <v>0.35390792142480065</v>
      </c>
      <c r="AN20" t="s">
        <v>257</v>
      </c>
    </row>
    <row r="21" spans="9:40" x14ac:dyDescent="0.45">
      <c r="I21" t="s">
        <v>162</v>
      </c>
      <c r="J21" t="s">
        <v>316</v>
      </c>
      <c r="K21">
        <v>0</v>
      </c>
      <c r="L21" t="s">
        <v>164</v>
      </c>
      <c r="N21" t="s">
        <v>211</v>
      </c>
      <c r="O21" t="s">
        <v>316</v>
      </c>
      <c r="P21">
        <v>0.19277799176106183</v>
      </c>
      <c r="Q21" t="s">
        <v>164</v>
      </c>
      <c r="S21" t="s">
        <v>238</v>
      </c>
      <c r="T21" t="s">
        <v>316</v>
      </c>
      <c r="U21">
        <v>0.1223592931723268</v>
      </c>
      <c r="V21" t="s">
        <v>164</v>
      </c>
      <c r="X21">
        <v>0.11301369863013698</v>
      </c>
      <c r="Y21">
        <v>5.197026576834151E-2</v>
      </c>
      <c r="Z21" t="s">
        <v>316</v>
      </c>
      <c r="AA21" t="s">
        <v>25</v>
      </c>
      <c r="AC21" t="s">
        <v>22</v>
      </c>
      <c r="AD21" t="s">
        <v>316</v>
      </c>
      <c r="AE21">
        <v>9.2850308400195286E-2</v>
      </c>
      <c r="AG21" t="s">
        <v>96</v>
      </c>
      <c r="AH21" t="s">
        <v>316</v>
      </c>
      <c r="AI21">
        <v>0.54991090442581481</v>
      </c>
      <c r="AK21">
        <v>2022</v>
      </c>
      <c r="AL21" t="s">
        <v>303</v>
      </c>
      <c r="AM21">
        <v>0.30771581784334967</v>
      </c>
      <c r="AN21" t="s">
        <v>257</v>
      </c>
    </row>
    <row r="22" spans="9:40" x14ac:dyDescent="0.45">
      <c r="I22" t="s">
        <v>162</v>
      </c>
      <c r="J22" t="s">
        <v>317</v>
      </c>
      <c r="K22">
        <v>2.1688378591994281E-2</v>
      </c>
      <c r="L22" t="s">
        <v>164</v>
      </c>
      <c r="N22" t="s">
        <v>211</v>
      </c>
      <c r="O22" t="s">
        <v>317</v>
      </c>
      <c r="P22">
        <v>1.6848142239151983E-2</v>
      </c>
      <c r="Q22" t="s">
        <v>164</v>
      </c>
      <c r="S22" t="s">
        <v>238</v>
      </c>
      <c r="T22" t="s">
        <v>317</v>
      </c>
      <c r="U22">
        <v>4.0782083170301013E-2</v>
      </c>
      <c r="V22" t="s">
        <v>164</v>
      </c>
      <c r="X22">
        <v>2.0547945205479451E-2</v>
      </c>
      <c r="Y22">
        <v>3.5502075926708607E-2</v>
      </c>
      <c r="Z22" t="s">
        <v>317</v>
      </c>
      <c r="AA22" t="s">
        <v>25</v>
      </c>
      <c r="AC22" t="s">
        <v>22</v>
      </c>
      <c r="AD22" t="s">
        <v>317</v>
      </c>
      <c r="AE22">
        <v>2.8174149902611176E-2</v>
      </c>
      <c r="AG22" t="s">
        <v>96</v>
      </c>
      <c r="AH22" t="s">
        <v>317</v>
      </c>
      <c r="AI22">
        <v>7.0973225669358264E-2</v>
      </c>
      <c r="AK22">
        <v>2022</v>
      </c>
      <c r="AL22" t="s">
        <v>305</v>
      </c>
      <c r="AM22">
        <v>0.46626239893306659</v>
      </c>
      <c r="AN22" t="s">
        <v>257</v>
      </c>
    </row>
    <row r="23" spans="9:40" x14ac:dyDescent="0.45">
      <c r="I23" t="s">
        <v>176</v>
      </c>
      <c r="J23" t="s">
        <v>306</v>
      </c>
      <c r="K23">
        <v>0.23161467239306116</v>
      </c>
      <c r="L23" t="s">
        <v>164</v>
      </c>
      <c r="N23" t="s">
        <v>212</v>
      </c>
      <c r="O23" t="s">
        <v>306</v>
      </c>
      <c r="P23">
        <v>5.4417853140831307E-2</v>
      </c>
      <c r="Q23" t="s">
        <v>164</v>
      </c>
      <c r="S23" t="s">
        <v>239</v>
      </c>
      <c r="T23" t="s">
        <v>306</v>
      </c>
      <c r="U23">
        <v>7.2039779918867383E-2</v>
      </c>
      <c r="V23" t="s">
        <v>164</v>
      </c>
      <c r="AC23" t="s">
        <v>19</v>
      </c>
      <c r="AD23" t="s">
        <v>306</v>
      </c>
      <c r="AE23">
        <v>0.11529293880167583</v>
      </c>
      <c r="AK23">
        <v>2025</v>
      </c>
      <c r="AL23" t="s">
        <v>300</v>
      </c>
      <c r="AM23">
        <v>0.3899333333333333</v>
      </c>
      <c r="AN23" t="s">
        <v>257</v>
      </c>
    </row>
    <row r="24" spans="9:40" x14ac:dyDescent="0.45">
      <c r="I24" t="s">
        <v>176</v>
      </c>
      <c r="J24" t="s">
        <v>307</v>
      </c>
      <c r="K24">
        <v>0</v>
      </c>
      <c r="L24" t="s">
        <v>164</v>
      </c>
      <c r="N24" t="s">
        <v>212</v>
      </c>
      <c r="O24" t="s">
        <v>307</v>
      </c>
      <c r="P24">
        <v>6.0167720469574325E-2</v>
      </c>
      <c r="Q24" t="s">
        <v>164</v>
      </c>
      <c r="S24" t="s">
        <v>239</v>
      </c>
      <c r="T24" t="s">
        <v>307</v>
      </c>
      <c r="U24">
        <v>0.10359233091098839</v>
      </c>
      <c r="V24" t="s">
        <v>164</v>
      </c>
      <c r="AC24" t="s">
        <v>19</v>
      </c>
      <c r="AD24" t="s">
        <v>307</v>
      </c>
      <c r="AE24">
        <v>0.11259461417091149</v>
      </c>
      <c r="AK24">
        <v>2025</v>
      </c>
      <c r="AL24" t="s">
        <v>302</v>
      </c>
      <c r="AM24">
        <v>0.25750000000000001</v>
      </c>
      <c r="AN24" t="s">
        <v>257</v>
      </c>
    </row>
    <row r="25" spans="9:40" x14ac:dyDescent="0.45">
      <c r="I25" t="s">
        <v>176</v>
      </c>
      <c r="J25" t="s">
        <v>308</v>
      </c>
      <c r="K25">
        <v>1.3125296952117152E-2</v>
      </c>
      <c r="L25" t="s">
        <v>164</v>
      </c>
      <c r="N25" t="s">
        <v>212</v>
      </c>
      <c r="O25" t="s">
        <v>308</v>
      </c>
      <c r="P25">
        <v>4.3576720612299186E-3</v>
      </c>
      <c r="Q25" t="s">
        <v>164</v>
      </c>
      <c r="S25" t="s">
        <v>239</v>
      </c>
      <c r="T25" t="s">
        <v>308</v>
      </c>
      <c r="U25">
        <v>2.2586264856491647E-2</v>
      </c>
      <c r="V25" t="s">
        <v>164</v>
      </c>
      <c r="AC25" t="s">
        <v>19</v>
      </c>
      <c r="AD25" t="s">
        <v>308</v>
      </c>
      <c r="AE25">
        <v>2.1377266378487025E-2</v>
      </c>
      <c r="AK25">
        <v>2025</v>
      </c>
      <c r="AL25" t="s">
        <v>303</v>
      </c>
      <c r="AM25">
        <v>0.23473333333333332</v>
      </c>
      <c r="AN25" t="s">
        <v>257</v>
      </c>
    </row>
    <row r="26" spans="9:40" x14ac:dyDescent="0.45">
      <c r="I26" t="s">
        <v>176</v>
      </c>
      <c r="J26" t="s">
        <v>309</v>
      </c>
      <c r="K26">
        <v>0.24167114484421895</v>
      </c>
      <c r="L26" t="s">
        <v>164</v>
      </c>
      <c r="N26" t="s">
        <v>212</v>
      </c>
      <c r="O26" t="s">
        <v>309</v>
      </c>
      <c r="P26">
        <v>0.16882589711036219</v>
      </c>
      <c r="Q26" t="s">
        <v>164</v>
      </c>
      <c r="S26" t="s">
        <v>239</v>
      </c>
      <c r="T26" t="s">
        <v>309</v>
      </c>
      <c r="U26">
        <v>8.1802794314366017E-2</v>
      </c>
      <c r="V26" t="s">
        <v>164</v>
      </c>
      <c r="AC26" t="s">
        <v>19</v>
      </c>
      <c r="AD26" t="s">
        <v>309</v>
      </c>
      <c r="AE26">
        <v>0.11678276318326856</v>
      </c>
      <c r="AK26">
        <v>2025</v>
      </c>
      <c r="AL26" t="s">
        <v>305</v>
      </c>
      <c r="AM26">
        <v>0.36270000000000002</v>
      </c>
      <c r="AN26" t="s">
        <v>257</v>
      </c>
    </row>
    <row r="27" spans="9:40" x14ac:dyDescent="0.45">
      <c r="I27" t="s">
        <v>176</v>
      </c>
      <c r="J27" t="s">
        <v>310</v>
      </c>
      <c r="K27">
        <v>0</v>
      </c>
      <c r="L27" t="s">
        <v>164</v>
      </c>
      <c r="N27" t="s">
        <v>212</v>
      </c>
      <c r="O27" t="s">
        <v>310</v>
      </c>
      <c r="P27">
        <v>0.21118711043049024</v>
      </c>
      <c r="Q27" t="s">
        <v>164</v>
      </c>
      <c r="S27" t="s">
        <v>239</v>
      </c>
      <c r="T27" t="s">
        <v>310</v>
      </c>
      <c r="U27">
        <v>0.10644374537830749</v>
      </c>
      <c r="V27" t="s">
        <v>164</v>
      </c>
      <c r="AC27" t="s">
        <v>19</v>
      </c>
      <c r="AD27" t="s">
        <v>310</v>
      </c>
      <c r="AE27">
        <v>0.11382669242062328</v>
      </c>
      <c r="AK27">
        <v>2026</v>
      </c>
      <c r="AL27" t="s">
        <v>300</v>
      </c>
      <c r="AM27">
        <v>0.37386666666666662</v>
      </c>
      <c r="AN27" t="s">
        <v>257</v>
      </c>
    </row>
    <row r="28" spans="9:40" x14ac:dyDescent="0.45">
      <c r="I28" t="s">
        <v>176</v>
      </c>
      <c r="J28" t="s">
        <v>311</v>
      </c>
      <c r="K28">
        <v>1.6499644816228617E-2</v>
      </c>
      <c r="L28" t="s">
        <v>164</v>
      </c>
      <c r="N28" t="s">
        <v>212</v>
      </c>
      <c r="O28" t="s">
        <v>311</v>
      </c>
      <c r="P28">
        <v>7.352889068876837E-3</v>
      </c>
      <c r="Q28" t="s">
        <v>164</v>
      </c>
      <c r="S28" t="s">
        <v>239</v>
      </c>
      <c r="T28" t="s">
        <v>311</v>
      </c>
      <c r="U28">
        <v>2.1316116287233716E-2</v>
      </c>
      <c r="V28" t="s">
        <v>164</v>
      </c>
      <c r="AC28" t="s">
        <v>19</v>
      </c>
      <c r="AD28" t="s">
        <v>311</v>
      </c>
      <c r="AE28">
        <v>2.1542546520390705E-2</v>
      </c>
      <c r="AK28">
        <v>2026</v>
      </c>
      <c r="AL28" t="s">
        <v>302</v>
      </c>
      <c r="AM28">
        <v>0.26269999999999999</v>
      </c>
      <c r="AN28" t="s">
        <v>257</v>
      </c>
    </row>
    <row r="29" spans="9:40" x14ac:dyDescent="0.45">
      <c r="I29" t="s">
        <v>176</v>
      </c>
      <c r="J29" t="s">
        <v>312</v>
      </c>
      <c r="K29">
        <v>0.18065309130089213</v>
      </c>
      <c r="L29" t="s">
        <v>164</v>
      </c>
      <c r="N29" t="s">
        <v>212</v>
      </c>
      <c r="O29" t="s">
        <v>312</v>
      </c>
      <c r="P29">
        <v>0.18238963694298072</v>
      </c>
      <c r="Q29" t="s">
        <v>164</v>
      </c>
      <c r="S29" t="s">
        <v>239</v>
      </c>
      <c r="T29" t="s">
        <v>312</v>
      </c>
      <c r="U29">
        <v>0.16905450249458509</v>
      </c>
      <c r="V29" t="s">
        <v>164</v>
      </c>
      <c r="AC29" t="s">
        <v>19</v>
      </c>
      <c r="AD29" t="s">
        <v>312</v>
      </c>
      <c r="AE29">
        <v>0.1165059462739286</v>
      </c>
      <c r="AK29">
        <v>2026</v>
      </c>
      <c r="AL29" t="s">
        <v>303</v>
      </c>
      <c r="AM29">
        <v>0.25073333333333331</v>
      </c>
      <c r="AN29" t="s">
        <v>257</v>
      </c>
    </row>
    <row r="30" spans="9:40" x14ac:dyDescent="0.45">
      <c r="I30" t="s">
        <v>176</v>
      </c>
      <c r="J30" t="s">
        <v>313</v>
      </c>
      <c r="K30">
        <v>0</v>
      </c>
      <c r="L30" t="s">
        <v>164</v>
      </c>
      <c r="N30" t="s">
        <v>212</v>
      </c>
      <c r="O30" t="s">
        <v>313</v>
      </c>
      <c r="P30">
        <v>0.15539785049623736</v>
      </c>
      <c r="Q30" t="s">
        <v>164</v>
      </c>
      <c r="S30" t="s">
        <v>239</v>
      </c>
      <c r="T30" t="s">
        <v>313</v>
      </c>
      <c r="U30">
        <v>0.19082532030062813</v>
      </c>
      <c r="V30" t="s">
        <v>164</v>
      </c>
      <c r="AC30" t="s">
        <v>19</v>
      </c>
      <c r="AD30" t="s">
        <v>313</v>
      </c>
      <c r="AE30">
        <v>0.11389807157473038</v>
      </c>
      <c r="AK30">
        <v>2026</v>
      </c>
      <c r="AL30" t="s">
        <v>305</v>
      </c>
      <c r="AM30">
        <v>0.34616666666666668</v>
      </c>
      <c r="AN30" t="s">
        <v>257</v>
      </c>
    </row>
    <row r="31" spans="9:40" x14ac:dyDescent="0.45">
      <c r="I31" t="s">
        <v>176</v>
      </c>
      <c r="J31" t="s">
        <v>314</v>
      </c>
      <c r="K31">
        <v>1.6351683624291263E-2</v>
      </c>
      <c r="L31" t="s">
        <v>164</v>
      </c>
      <c r="N31" t="s">
        <v>212</v>
      </c>
      <c r="O31" t="s">
        <v>314</v>
      </c>
      <c r="P31">
        <v>1.5374704513789236E-2</v>
      </c>
      <c r="Q31" t="s">
        <v>164</v>
      </c>
      <c r="S31" t="s">
        <v>239</v>
      </c>
      <c r="T31" t="s">
        <v>314</v>
      </c>
      <c r="U31">
        <v>3.8407583583053233E-2</v>
      </c>
      <c r="V31" t="s">
        <v>164</v>
      </c>
      <c r="AC31" t="s">
        <v>19</v>
      </c>
      <c r="AD31" t="s">
        <v>314</v>
      </c>
      <c r="AE31">
        <v>2.1571010268524076E-2</v>
      </c>
      <c r="AK31">
        <v>2027</v>
      </c>
      <c r="AL31" t="s">
        <v>300</v>
      </c>
      <c r="AM31">
        <v>0.45173333333333332</v>
      </c>
      <c r="AN31" t="s">
        <v>257</v>
      </c>
    </row>
    <row r="32" spans="9:40" x14ac:dyDescent="0.45">
      <c r="I32" t="s">
        <v>176</v>
      </c>
      <c r="J32" t="s">
        <v>315</v>
      </c>
      <c r="K32">
        <v>0.27872430011995381</v>
      </c>
      <c r="L32" t="s">
        <v>164</v>
      </c>
      <c r="N32" t="s">
        <v>212</v>
      </c>
      <c r="O32" t="s">
        <v>315</v>
      </c>
      <c r="P32">
        <v>3.963420076476161E-2</v>
      </c>
      <c r="Q32" t="s">
        <v>164</v>
      </c>
      <c r="S32" t="s">
        <v>239</v>
      </c>
      <c r="T32" t="s">
        <v>315</v>
      </c>
      <c r="U32">
        <v>6.1098200366849362E-2</v>
      </c>
      <c r="V32" t="s">
        <v>164</v>
      </c>
      <c r="AC32" t="s">
        <v>19</v>
      </c>
      <c r="AD32" t="s">
        <v>315</v>
      </c>
      <c r="AE32">
        <v>0.11418935703027761</v>
      </c>
      <c r="AK32">
        <v>2027</v>
      </c>
      <c r="AL32" t="s">
        <v>302</v>
      </c>
      <c r="AM32">
        <v>0.29926666666666663</v>
      </c>
      <c r="AN32" t="s">
        <v>257</v>
      </c>
    </row>
    <row r="33" spans="9:40" x14ac:dyDescent="0.45">
      <c r="I33" t="s">
        <v>176</v>
      </c>
      <c r="J33" t="s">
        <v>316</v>
      </c>
      <c r="K33">
        <v>0</v>
      </c>
      <c r="L33" t="s">
        <v>164</v>
      </c>
      <c r="N33" t="s">
        <v>212</v>
      </c>
      <c r="O33" t="s">
        <v>316</v>
      </c>
      <c r="P33">
        <v>9.3834223654890164E-2</v>
      </c>
      <c r="Q33" t="s">
        <v>164</v>
      </c>
      <c r="S33" t="s">
        <v>239</v>
      </c>
      <c r="T33" t="s">
        <v>316</v>
      </c>
      <c r="U33">
        <v>0.11401630572938175</v>
      </c>
      <c r="V33" t="s">
        <v>164</v>
      </c>
      <c r="AC33" t="s">
        <v>19</v>
      </c>
      <c r="AD33" t="s">
        <v>316</v>
      </c>
      <c r="AE33">
        <v>0.11130052944423703</v>
      </c>
      <c r="AK33">
        <v>2027</v>
      </c>
      <c r="AL33" t="s">
        <v>303</v>
      </c>
      <c r="AM33">
        <v>0.27926666666666666</v>
      </c>
      <c r="AN33" t="s">
        <v>257</v>
      </c>
    </row>
    <row r="34" spans="9:40" x14ac:dyDescent="0.45">
      <c r="I34" t="s">
        <v>176</v>
      </c>
      <c r="J34" t="s">
        <v>317</v>
      </c>
      <c r="K34">
        <v>2.136016594923577E-2</v>
      </c>
      <c r="L34" t="s">
        <v>164</v>
      </c>
      <c r="N34" t="s">
        <v>212</v>
      </c>
      <c r="O34" t="s">
        <v>317</v>
      </c>
      <c r="P34">
        <v>7.0602413459781395E-3</v>
      </c>
      <c r="Q34" t="s">
        <v>164</v>
      </c>
      <c r="S34" t="s">
        <v>239</v>
      </c>
      <c r="T34" t="s">
        <v>317</v>
      </c>
      <c r="U34">
        <v>1.8817055859250368E-2</v>
      </c>
      <c r="V34" t="s">
        <v>164</v>
      </c>
      <c r="AC34" t="s">
        <v>19</v>
      </c>
      <c r="AD34" t="s">
        <v>317</v>
      </c>
      <c r="AE34">
        <v>2.1118263932945379E-2</v>
      </c>
      <c r="AK34">
        <v>2027</v>
      </c>
      <c r="AL34" t="s">
        <v>305</v>
      </c>
      <c r="AM34">
        <v>0.40736666666666671</v>
      </c>
      <c r="AN34" t="s">
        <v>257</v>
      </c>
    </row>
    <row r="35" spans="9:40" x14ac:dyDescent="0.45">
      <c r="I35" t="s">
        <v>177</v>
      </c>
      <c r="J35" t="s">
        <v>306</v>
      </c>
      <c r="K35">
        <v>0.21989759884647433</v>
      </c>
      <c r="L35" t="s">
        <v>164</v>
      </c>
      <c r="N35" t="s">
        <v>213</v>
      </c>
      <c r="O35" t="s">
        <v>306</v>
      </c>
      <c r="P35">
        <v>5.4648766565514255E-2</v>
      </c>
      <c r="Q35" t="s">
        <v>164</v>
      </c>
      <c r="S35" t="s">
        <v>240</v>
      </c>
      <c r="T35" t="s">
        <v>306</v>
      </c>
      <c r="U35">
        <v>8.5975039949357179E-2</v>
      </c>
      <c r="V35" t="s">
        <v>164</v>
      </c>
      <c r="AK35">
        <v>2028</v>
      </c>
      <c r="AL35" t="s">
        <v>300</v>
      </c>
      <c r="AM35">
        <v>0.41466666666666668</v>
      </c>
      <c r="AN35" t="s">
        <v>257</v>
      </c>
    </row>
    <row r="36" spans="9:40" x14ac:dyDescent="0.45">
      <c r="I36" t="s">
        <v>177</v>
      </c>
      <c r="J36" t="s">
        <v>307</v>
      </c>
      <c r="K36">
        <v>0</v>
      </c>
      <c r="L36" t="s">
        <v>164</v>
      </c>
      <c r="N36" t="s">
        <v>213</v>
      </c>
      <c r="O36" t="s">
        <v>307</v>
      </c>
      <c r="P36">
        <v>6.698997483161781E-2</v>
      </c>
      <c r="Q36" t="s">
        <v>164</v>
      </c>
      <c r="S36" t="s">
        <v>240</v>
      </c>
      <c r="T36" t="s">
        <v>307</v>
      </c>
      <c r="U36">
        <v>0.10699897643594299</v>
      </c>
      <c r="V36" t="s">
        <v>164</v>
      </c>
      <c r="AK36">
        <v>2028</v>
      </c>
      <c r="AL36" t="s">
        <v>302</v>
      </c>
      <c r="AM36">
        <v>0.30380000000000001</v>
      </c>
      <c r="AN36" t="s">
        <v>257</v>
      </c>
    </row>
    <row r="37" spans="9:40" x14ac:dyDescent="0.45">
      <c r="I37" t="s">
        <v>177</v>
      </c>
      <c r="J37" t="s">
        <v>308</v>
      </c>
      <c r="K37">
        <v>1.5193231822709071E-2</v>
      </c>
      <c r="L37" t="s">
        <v>164</v>
      </c>
      <c r="N37" t="s">
        <v>213</v>
      </c>
      <c r="O37" t="s">
        <v>308</v>
      </c>
      <c r="P37">
        <v>7.1080019508486421E-3</v>
      </c>
      <c r="Q37" t="s">
        <v>164</v>
      </c>
      <c r="S37" t="s">
        <v>240</v>
      </c>
      <c r="T37" t="s">
        <v>308</v>
      </c>
      <c r="U37">
        <v>1.8489323893275154E-2</v>
      </c>
      <c r="V37" t="s">
        <v>164</v>
      </c>
      <c r="AK37">
        <v>2028</v>
      </c>
      <c r="AL37" t="s">
        <v>303</v>
      </c>
      <c r="AM37">
        <v>0.28156666666666669</v>
      </c>
      <c r="AN37" t="s">
        <v>257</v>
      </c>
    </row>
    <row r="38" spans="9:40" x14ac:dyDescent="0.45">
      <c r="I38" t="s">
        <v>177</v>
      </c>
      <c r="J38" t="s">
        <v>309</v>
      </c>
      <c r="K38">
        <v>0.24354314687697373</v>
      </c>
      <c r="L38" t="s">
        <v>164</v>
      </c>
      <c r="N38" t="s">
        <v>213</v>
      </c>
      <c r="O38" t="s">
        <v>309</v>
      </c>
      <c r="P38">
        <v>0.13689232501908183</v>
      </c>
      <c r="Q38" t="s">
        <v>164</v>
      </c>
      <c r="S38" t="s">
        <v>240</v>
      </c>
      <c r="T38" t="s">
        <v>309</v>
      </c>
      <c r="U38">
        <v>5.4640533706019963E-2</v>
      </c>
      <c r="V38" t="s">
        <v>164</v>
      </c>
      <c r="AK38">
        <v>2028</v>
      </c>
      <c r="AL38" t="s">
        <v>305</v>
      </c>
      <c r="AM38">
        <v>0.41386666666666666</v>
      </c>
      <c r="AN38" t="s">
        <v>257</v>
      </c>
    </row>
    <row r="39" spans="9:40" x14ac:dyDescent="0.45">
      <c r="I39" t="s">
        <v>177</v>
      </c>
      <c r="J39" t="s">
        <v>310</v>
      </c>
      <c r="K39">
        <v>0</v>
      </c>
      <c r="L39" t="s">
        <v>164</v>
      </c>
      <c r="N39" t="s">
        <v>213</v>
      </c>
      <c r="O39" t="s">
        <v>310</v>
      </c>
      <c r="P39">
        <v>0.18543217438483678</v>
      </c>
      <c r="Q39" t="s">
        <v>164</v>
      </c>
      <c r="S39" t="s">
        <v>240</v>
      </c>
      <c r="T39" t="s">
        <v>310</v>
      </c>
      <c r="U39">
        <v>7.9753775939506041E-2</v>
      </c>
      <c r="V39" t="s">
        <v>164</v>
      </c>
      <c r="AK39">
        <v>2029</v>
      </c>
      <c r="AL39" t="s">
        <v>300</v>
      </c>
      <c r="AM39">
        <v>0.45330000000000004</v>
      </c>
      <c r="AN39" t="s">
        <v>257</v>
      </c>
    </row>
    <row r="40" spans="9:40" x14ac:dyDescent="0.45">
      <c r="I40" t="s">
        <v>177</v>
      </c>
      <c r="J40" t="s">
        <v>311</v>
      </c>
      <c r="K40">
        <v>1.8758334726059114E-2</v>
      </c>
      <c r="L40" t="s">
        <v>164</v>
      </c>
      <c r="N40" t="s">
        <v>213</v>
      </c>
      <c r="O40" t="s">
        <v>311</v>
      </c>
      <c r="P40">
        <v>8.1863960292502518E-3</v>
      </c>
      <c r="Q40" t="s">
        <v>164</v>
      </c>
      <c r="S40" t="s">
        <v>240</v>
      </c>
      <c r="T40" t="s">
        <v>311</v>
      </c>
      <c r="U40">
        <v>1.1440441343185195E-2</v>
      </c>
      <c r="V40" t="s">
        <v>164</v>
      </c>
      <c r="AK40">
        <v>2029</v>
      </c>
      <c r="AL40" t="s">
        <v>302</v>
      </c>
      <c r="AM40">
        <v>0.30826666666666669</v>
      </c>
      <c r="AN40" t="s">
        <v>257</v>
      </c>
    </row>
    <row r="41" spans="9:40" x14ac:dyDescent="0.45">
      <c r="I41" t="s">
        <v>177</v>
      </c>
      <c r="J41" t="s">
        <v>312</v>
      </c>
      <c r="K41">
        <v>0.17881412312061615</v>
      </c>
      <c r="L41" t="s">
        <v>164</v>
      </c>
      <c r="N41" t="s">
        <v>213</v>
      </c>
      <c r="O41" t="s">
        <v>312</v>
      </c>
      <c r="P41">
        <v>0.15795278529197179</v>
      </c>
      <c r="Q41" t="s">
        <v>164</v>
      </c>
      <c r="S41" t="s">
        <v>240</v>
      </c>
      <c r="T41" t="s">
        <v>312</v>
      </c>
      <c r="U41">
        <v>0.21299784917267683</v>
      </c>
      <c r="V41" t="s">
        <v>164</v>
      </c>
      <c r="AK41">
        <v>2029</v>
      </c>
      <c r="AL41" t="s">
        <v>303</v>
      </c>
      <c r="AM41">
        <v>0.29656666666666665</v>
      </c>
      <c r="AN41" t="s">
        <v>257</v>
      </c>
    </row>
    <row r="42" spans="9:40" x14ac:dyDescent="0.45">
      <c r="I42" t="s">
        <v>177</v>
      </c>
      <c r="J42" t="s">
        <v>313</v>
      </c>
      <c r="K42">
        <v>0</v>
      </c>
      <c r="L42" t="s">
        <v>164</v>
      </c>
      <c r="N42" t="s">
        <v>213</v>
      </c>
      <c r="O42" t="s">
        <v>313</v>
      </c>
      <c r="P42">
        <v>0.12558677099508092</v>
      </c>
      <c r="Q42" t="s">
        <v>164</v>
      </c>
      <c r="S42" t="s">
        <v>240</v>
      </c>
      <c r="T42" t="s">
        <v>313</v>
      </c>
      <c r="U42">
        <v>0.24211600402095171</v>
      </c>
      <c r="V42" t="s">
        <v>164</v>
      </c>
      <c r="AK42">
        <v>2029</v>
      </c>
      <c r="AL42" t="s">
        <v>305</v>
      </c>
      <c r="AM42">
        <v>0.39493333333333336</v>
      </c>
      <c r="AN42" t="s">
        <v>257</v>
      </c>
    </row>
    <row r="43" spans="9:40" x14ac:dyDescent="0.45">
      <c r="I43" t="s">
        <v>177</v>
      </c>
      <c r="J43" t="s">
        <v>314</v>
      </c>
      <c r="K43">
        <v>1.8121698913369622E-2</v>
      </c>
      <c r="L43" t="s">
        <v>164</v>
      </c>
      <c r="N43" t="s">
        <v>213</v>
      </c>
      <c r="O43" t="s">
        <v>314</v>
      </c>
      <c r="P43">
        <v>1.4572532922962613E-2</v>
      </c>
      <c r="Q43" t="s">
        <v>164</v>
      </c>
      <c r="S43" t="s">
        <v>240</v>
      </c>
      <c r="T43" t="s">
        <v>314</v>
      </c>
      <c r="U43">
        <v>3.5064366905592795E-2</v>
      </c>
      <c r="V43" t="s">
        <v>164</v>
      </c>
      <c r="AK43">
        <v>2030</v>
      </c>
      <c r="AL43" t="s">
        <v>300</v>
      </c>
      <c r="AM43">
        <v>0.46960000000000002</v>
      </c>
      <c r="AN43" t="s">
        <v>257</v>
      </c>
    </row>
    <row r="44" spans="9:40" x14ac:dyDescent="0.45">
      <c r="I44" t="s">
        <v>177</v>
      </c>
      <c r="J44" t="s">
        <v>315</v>
      </c>
      <c r="K44">
        <v>0.28102820767626363</v>
      </c>
      <c r="L44" t="s">
        <v>164</v>
      </c>
      <c r="N44" t="s">
        <v>213</v>
      </c>
      <c r="O44" t="s">
        <v>315</v>
      </c>
      <c r="P44">
        <v>3.3962847137851235E-2</v>
      </c>
      <c r="Q44" t="s">
        <v>164</v>
      </c>
      <c r="S44" t="s">
        <v>240</v>
      </c>
      <c r="T44" t="s">
        <v>315</v>
      </c>
      <c r="U44">
        <v>5.2964615289997338E-2</v>
      </c>
      <c r="V44" t="s">
        <v>164</v>
      </c>
      <c r="AK44">
        <v>2030</v>
      </c>
      <c r="AL44" t="s">
        <v>302</v>
      </c>
      <c r="AM44">
        <v>0.29626666666666662</v>
      </c>
      <c r="AN44" t="s">
        <v>257</v>
      </c>
    </row>
    <row r="45" spans="9:40" x14ac:dyDescent="0.45">
      <c r="I45" t="s">
        <v>177</v>
      </c>
      <c r="J45" t="s">
        <v>316</v>
      </c>
      <c r="K45">
        <v>0</v>
      </c>
      <c r="L45" t="s">
        <v>164</v>
      </c>
      <c r="N45" t="s">
        <v>213</v>
      </c>
      <c r="O45" t="s">
        <v>316</v>
      </c>
      <c r="P45">
        <v>0.20315007406473001</v>
      </c>
      <c r="Q45" t="s">
        <v>164</v>
      </c>
      <c r="S45" t="s">
        <v>240</v>
      </c>
      <c r="T45" t="s">
        <v>316</v>
      </c>
      <c r="U45">
        <v>9.0754998303652218E-2</v>
      </c>
      <c r="V45" t="s">
        <v>164</v>
      </c>
      <c r="AK45">
        <v>2030</v>
      </c>
      <c r="AL45" t="s">
        <v>303</v>
      </c>
      <c r="AM45">
        <v>0.28846666666666665</v>
      </c>
      <c r="AN45" t="s">
        <v>257</v>
      </c>
    </row>
    <row r="46" spans="9:40" x14ac:dyDescent="0.45">
      <c r="I46" t="s">
        <v>177</v>
      </c>
      <c r="J46" t="s">
        <v>317</v>
      </c>
      <c r="K46">
        <v>2.4643658017533758E-2</v>
      </c>
      <c r="L46" t="s">
        <v>164</v>
      </c>
      <c r="N46" t="s">
        <v>213</v>
      </c>
      <c r="O46" t="s">
        <v>317</v>
      </c>
      <c r="P46">
        <v>5.5173508062555335E-3</v>
      </c>
      <c r="Q46" t="s">
        <v>164</v>
      </c>
      <c r="S46" t="s">
        <v>240</v>
      </c>
      <c r="T46" t="s">
        <v>317</v>
      </c>
      <c r="U46">
        <v>8.8040750398431893E-3</v>
      </c>
      <c r="V46" t="s">
        <v>164</v>
      </c>
      <c r="AK46">
        <v>2030</v>
      </c>
      <c r="AL46" t="s">
        <v>305</v>
      </c>
      <c r="AM46">
        <v>0.37340000000000001</v>
      </c>
      <c r="AN46" t="s">
        <v>257</v>
      </c>
    </row>
    <row r="47" spans="9:40" x14ac:dyDescent="0.45">
      <c r="I47" t="s">
        <v>178</v>
      </c>
      <c r="J47" t="s">
        <v>306</v>
      </c>
      <c r="K47">
        <v>0.22511139874333322</v>
      </c>
      <c r="L47" t="s">
        <v>164</v>
      </c>
      <c r="N47" t="s">
        <v>214</v>
      </c>
      <c r="O47" t="s">
        <v>306</v>
      </c>
      <c r="P47">
        <v>3.9903566107591125E-2</v>
      </c>
      <c r="Q47" t="s">
        <v>164</v>
      </c>
      <c r="S47" t="s">
        <v>241</v>
      </c>
      <c r="T47" t="s">
        <v>306</v>
      </c>
      <c r="U47">
        <v>7.6114391169332135E-2</v>
      </c>
      <c r="V47" t="s">
        <v>164</v>
      </c>
      <c r="AK47">
        <v>2031</v>
      </c>
      <c r="AL47" t="s">
        <v>300</v>
      </c>
      <c r="AM47">
        <v>0.45413333333333333</v>
      </c>
      <c r="AN47" t="s">
        <v>257</v>
      </c>
    </row>
    <row r="48" spans="9:40" x14ac:dyDescent="0.45">
      <c r="I48" t="s">
        <v>178</v>
      </c>
      <c r="J48" t="s">
        <v>307</v>
      </c>
      <c r="K48">
        <v>0</v>
      </c>
      <c r="L48" t="s">
        <v>164</v>
      </c>
      <c r="N48" t="s">
        <v>214</v>
      </c>
      <c r="O48" t="s">
        <v>307</v>
      </c>
      <c r="P48">
        <v>9.4977339154215509E-2</v>
      </c>
      <c r="Q48" t="s">
        <v>164</v>
      </c>
      <c r="S48" t="s">
        <v>241</v>
      </c>
      <c r="T48" t="s">
        <v>307</v>
      </c>
      <c r="U48">
        <v>0.10492122316242512</v>
      </c>
      <c r="V48" t="s">
        <v>164</v>
      </c>
      <c r="AK48">
        <v>2031</v>
      </c>
      <c r="AL48" t="s">
        <v>302</v>
      </c>
      <c r="AM48">
        <v>0.29780000000000001</v>
      </c>
      <c r="AN48" t="s">
        <v>257</v>
      </c>
    </row>
    <row r="49" spans="9:40" x14ac:dyDescent="0.45">
      <c r="I49" t="s">
        <v>178</v>
      </c>
      <c r="J49" t="s">
        <v>308</v>
      </c>
      <c r="K49">
        <v>1.3792796711124216E-2</v>
      </c>
      <c r="L49" t="s">
        <v>164</v>
      </c>
      <c r="N49" t="s">
        <v>214</v>
      </c>
      <c r="O49" t="s">
        <v>308</v>
      </c>
      <c r="P49">
        <v>4.9313014498789387E-3</v>
      </c>
      <c r="Q49" t="s">
        <v>164</v>
      </c>
      <c r="S49" t="s">
        <v>241</v>
      </c>
      <c r="T49" t="s">
        <v>308</v>
      </c>
      <c r="U49">
        <v>1.9923522134445908E-2</v>
      </c>
      <c r="V49" t="s">
        <v>164</v>
      </c>
      <c r="AK49">
        <v>2031</v>
      </c>
      <c r="AL49" t="s">
        <v>303</v>
      </c>
      <c r="AM49">
        <v>0.29173333333333334</v>
      </c>
      <c r="AN49" t="s">
        <v>257</v>
      </c>
    </row>
    <row r="50" spans="9:40" x14ac:dyDescent="0.45">
      <c r="I50" t="s">
        <v>178</v>
      </c>
      <c r="J50" t="s">
        <v>309</v>
      </c>
      <c r="K50">
        <v>0.23660423544054962</v>
      </c>
      <c r="L50" t="s">
        <v>164</v>
      </c>
      <c r="N50" t="s">
        <v>214</v>
      </c>
      <c r="O50" t="s">
        <v>309</v>
      </c>
      <c r="P50">
        <v>0.10159799548339946</v>
      </c>
      <c r="Q50" t="s">
        <v>164</v>
      </c>
      <c r="S50" t="s">
        <v>241</v>
      </c>
      <c r="T50" t="s">
        <v>309</v>
      </c>
      <c r="U50">
        <v>6.4236844168565149E-2</v>
      </c>
      <c r="V50" t="s">
        <v>164</v>
      </c>
      <c r="AK50">
        <v>2031</v>
      </c>
      <c r="AL50" t="s">
        <v>305</v>
      </c>
      <c r="AM50">
        <v>0.3735</v>
      </c>
      <c r="AN50" t="s">
        <v>257</v>
      </c>
    </row>
    <row r="51" spans="9:40" x14ac:dyDescent="0.45">
      <c r="I51" t="s">
        <v>178</v>
      </c>
      <c r="J51" t="s">
        <v>310</v>
      </c>
      <c r="K51">
        <v>0</v>
      </c>
      <c r="L51" t="s">
        <v>164</v>
      </c>
      <c r="N51" t="s">
        <v>214</v>
      </c>
      <c r="O51" t="s">
        <v>310</v>
      </c>
      <c r="P51">
        <v>0.20202316359905009</v>
      </c>
      <c r="Q51" t="s">
        <v>164</v>
      </c>
      <c r="S51" t="s">
        <v>241</v>
      </c>
      <c r="T51" t="s">
        <v>310</v>
      </c>
      <c r="U51">
        <v>9.6354907669488898E-2</v>
      </c>
      <c r="V51" t="s">
        <v>164</v>
      </c>
      <c r="AK51">
        <v>2032</v>
      </c>
      <c r="AL51" t="s">
        <v>300</v>
      </c>
      <c r="AM51">
        <v>0.45496666666666669</v>
      </c>
      <c r="AN51" t="s">
        <v>257</v>
      </c>
    </row>
    <row r="52" spans="9:40" x14ac:dyDescent="0.45">
      <c r="I52" t="s">
        <v>178</v>
      </c>
      <c r="J52" t="s">
        <v>311</v>
      </c>
      <c r="K52">
        <v>2.0056084684308768E-2</v>
      </c>
      <c r="L52" t="s">
        <v>164</v>
      </c>
      <c r="N52" t="s">
        <v>214</v>
      </c>
      <c r="O52" t="s">
        <v>311</v>
      </c>
      <c r="P52">
        <v>1.2141848795157568E-2</v>
      </c>
      <c r="Q52" t="s">
        <v>164</v>
      </c>
      <c r="S52" t="s">
        <v>241</v>
      </c>
      <c r="T52" t="s">
        <v>311</v>
      </c>
      <c r="U52">
        <v>1.5685128283099165E-2</v>
      </c>
      <c r="V52" t="s">
        <v>164</v>
      </c>
      <c r="AK52">
        <v>2032</v>
      </c>
      <c r="AL52" t="s">
        <v>302</v>
      </c>
      <c r="AM52">
        <v>0.313</v>
      </c>
      <c r="AN52" t="s">
        <v>257</v>
      </c>
    </row>
    <row r="53" spans="9:40" x14ac:dyDescent="0.45">
      <c r="I53" t="s">
        <v>178</v>
      </c>
      <c r="J53" t="s">
        <v>312</v>
      </c>
      <c r="K53">
        <v>0.19473042621034414</v>
      </c>
      <c r="L53" t="s">
        <v>164</v>
      </c>
      <c r="N53" t="s">
        <v>214</v>
      </c>
      <c r="O53" t="s">
        <v>312</v>
      </c>
      <c r="P53">
        <v>9.5010509385137873E-2</v>
      </c>
      <c r="Q53" t="s">
        <v>164</v>
      </c>
      <c r="S53" t="s">
        <v>241</v>
      </c>
      <c r="T53" t="s">
        <v>312</v>
      </c>
      <c r="U53">
        <v>0.18605586754620027</v>
      </c>
      <c r="V53" t="s">
        <v>164</v>
      </c>
      <c r="AK53">
        <v>2032</v>
      </c>
      <c r="AL53" t="s">
        <v>303</v>
      </c>
      <c r="AM53">
        <v>0.28833333333333333</v>
      </c>
      <c r="AN53" t="s">
        <v>257</v>
      </c>
    </row>
    <row r="54" spans="9:40" x14ac:dyDescent="0.45">
      <c r="I54" t="s">
        <v>178</v>
      </c>
      <c r="J54" t="s">
        <v>313</v>
      </c>
      <c r="K54">
        <v>0</v>
      </c>
      <c r="L54" t="s">
        <v>164</v>
      </c>
      <c r="N54" t="s">
        <v>214</v>
      </c>
      <c r="O54" t="s">
        <v>313</v>
      </c>
      <c r="P54">
        <v>0.12415768949411791</v>
      </c>
      <c r="Q54" t="s">
        <v>164</v>
      </c>
      <c r="S54" t="s">
        <v>241</v>
      </c>
      <c r="T54" t="s">
        <v>313</v>
      </c>
      <c r="U54">
        <v>0.22390999217355603</v>
      </c>
      <c r="V54" t="s">
        <v>164</v>
      </c>
      <c r="AK54">
        <v>2032</v>
      </c>
      <c r="AL54" t="s">
        <v>305</v>
      </c>
      <c r="AM54">
        <v>0.41066666666666668</v>
      </c>
      <c r="AN54" t="s">
        <v>257</v>
      </c>
    </row>
    <row r="55" spans="9:40" x14ac:dyDescent="0.45">
      <c r="I55" t="s">
        <v>178</v>
      </c>
      <c r="J55" t="s">
        <v>314</v>
      </c>
      <c r="K55">
        <v>1.7596490767137912E-2</v>
      </c>
      <c r="L55" t="s">
        <v>164</v>
      </c>
      <c r="N55" t="s">
        <v>214</v>
      </c>
      <c r="O55" t="s">
        <v>314</v>
      </c>
      <c r="P55">
        <v>1.0999087931124434E-2</v>
      </c>
      <c r="Q55" t="s">
        <v>164</v>
      </c>
      <c r="S55" t="s">
        <v>241</v>
      </c>
      <c r="T55" t="s">
        <v>314</v>
      </c>
      <c r="U55">
        <v>3.6784497800095912E-2</v>
      </c>
      <c r="V55" t="s">
        <v>164</v>
      </c>
      <c r="AK55">
        <v>2033</v>
      </c>
      <c r="AL55" t="s">
        <v>300</v>
      </c>
      <c r="AM55">
        <v>0.43310000000000004</v>
      </c>
      <c r="AN55" t="s">
        <v>257</v>
      </c>
    </row>
    <row r="56" spans="9:40" x14ac:dyDescent="0.45">
      <c r="I56" t="s">
        <v>178</v>
      </c>
      <c r="J56" t="s">
        <v>315</v>
      </c>
      <c r="K56">
        <v>0.26809932363982875</v>
      </c>
      <c r="L56" t="s">
        <v>164</v>
      </c>
      <c r="N56" t="s">
        <v>214</v>
      </c>
      <c r="O56" t="s">
        <v>315</v>
      </c>
      <c r="P56">
        <v>0.10775843808081462</v>
      </c>
      <c r="Q56" t="s">
        <v>164</v>
      </c>
      <c r="S56" t="s">
        <v>241</v>
      </c>
      <c r="T56" t="s">
        <v>315</v>
      </c>
      <c r="U56">
        <v>5.4801425897987283E-2</v>
      </c>
      <c r="V56" t="s">
        <v>164</v>
      </c>
      <c r="AK56">
        <v>2033</v>
      </c>
      <c r="AL56" t="s">
        <v>302</v>
      </c>
      <c r="AM56">
        <v>0.30949999999999994</v>
      </c>
      <c r="AN56" t="s">
        <v>257</v>
      </c>
    </row>
    <row r="57" spans="9:40" x14ac:dyDescent="0.45">
      <c r="I57" t="s">
        <v>178</v>
      </c>
      <c r="J57" t="s">
        <v>316</v>
      </c>
      <c r="K57">
        <v>0</v>
      </c>
      <c r="L57" t="s">
        <v>164</v>
      </c>
      <c r="N57" t="s">
        <v>214</v>
      </c>
      <c r="O57" t="s">
        <v>316</v>
      </c>
      <c r="P57">
        <v>0.19281766403441722</v>
      </c>
      <c r="Q57" t="s">
        <v>164</v>
      </c>
      <c r="S57" t="s">
        <v>241</v>
      </c>
      <c r="T57" t="s">
        <v>316</v>
      </c>
      <c r="U57">
        <v>0.11010011440460155</v>
      </c>
      <c r="V57" t="s">
        <v>164</v>
      </c>
      <c r="AK57">
        <v>2033</v>
      </c>
      <c r="AL57" t="s">
        <v>303</v>
      </c>
      <c r="AM57">
        <v>0.28446666666666665</v>
      </c>
      <c r="AN57" t="s">
        <v>257</v>
      </c>
    </row>
    <row r="58" spans="9:40" x14ac:dyDescent="0.45">
      <c r="I58" t="s">
        <v>178</v>
      </c>
      <c r="J58" t="s">
        <v>317</v>
      </c>
      <c r="K58">
        <v>2.4009243803374179E-2</v>
      </c>
      <c r="L58" t="s">
        <v>164</v>
      </c>
      <c r="N58" t="s">
        <v>214</v>
      </c>
      <c r="O58" t="s">
        <v>317</v>
      </c>
      <c r="P58">
        <v>1.3681396485097223E-2</v>
      </c>
      <c r="Q58" t="s">
        <v>164</v>
      </c>
      <c r="S58" t="s">
        <v>241</v>
      </c>
      <c r="T58" t="s">
        <v>317</v>
      </c>
      <c r="U58">
        <v>1.1112085590202129E-2</v>
      </c>
      <c r="V58" t="s">
        <v>164</v>
      </c>
      <c r="AK58">
        <v>2033</v>
      </c>
      <c r="AL58" t="s">
        <v>305</v>
      </c>
      <c r="AM58">
        <v>0.39399999999999996</v>
      </c>
      <c r="AN58" t="s">
        <v>257</v>
      </c>
    </row>
    <row r="59" spans="9:40" x14ac:dyDescent="0.45">
      <c r="I59" t="s">
        <v>179</v>
      </c>
      <c r="J59" t="s">
        <v>306</v>
      </c>
      <c r="K59">
        <v>0.22467707402743309</v>
      </c>
      <c r="L59" t="s">
        <v>164</v>
      </c>
      <c r="N59" t="s">
        <v>215</v>
      </c>
      <c r="O59" t="s">
        <v>306</v>
      </c>
      <c r="P59">
        <v>4.037950845513822E-2</v>
      </c>
      <c r="Q59" t="s">
        <v>164</v>
      </c>
      <c r="S59" t="s">
        <v>242</v>
      </c>
      <c r="T59" t="s">
        <v>306</v>
      </c>
      <c r="U59">
        <v>9.6478711426922562E-2</v>
      </c>
      <c r="V59" t="s">
        <v>164</v>
      </c>
      <c r="AK59">
        <v>2034</v>
      </c>
      <c r="AL59" t="s">
        <v>300</v>
      </c>
      <c r="AM59">
        <v>0.44729999999999998</v>
      </c>
      <c r="AN59" t="s">
        <v>257</v>
      </c>
    </row>
    <row r="60" spans="9:40" x14ac:dyDescent="0.45">
      <c r="I60" t="s">
        <v>179</v>
      </c>
      <c r="J60" t="s">
        <v>307</v>
      </c>
      <c r="K60">
        <v>0</v>
      </c>
      <c r="L60" t="s">
        <v>164</v>
      </c>
      <c r="N60" t="s">
        <v>215</v>
      </c>
      <c r="O60" t="s">
        <v>307</v>
      </c>
      <c r="P60">
        <v>0.12484298373199573</v>
      </c>
      <c r="Q60" t="s">
        <v>164</v>
      </c>
      <c r="S60" t="s">
        <v>242</v>
      </c>
      <c r="T60" t="s">
        <v>307</v>
      </c>
      <c r="U60">
        <v>0.10997450653877429</v>
      </c>
      <c r="V60" t="s">
        <v>164</v>
      </c>
      <c r="AK60">
        <v>2034</v>
      </c>
      <c r="AL60" t="s">
        <v>302</v>
      </c>
      <c r="AM60">
        <v>0.30333333333333334</v>
      </c>
      <c r="AN60" t="s">
        <v>257</v>
      </c>
    </row>
    <row r="61" spans="9:40" x14ac:dyDescent="0.45">
      <c r="I61" t="s">
        <v>179</v>
      </c>
      <c r="J61" t="s">
        <v>308</v>
      </c>
      <c r="K61">
        <v>9.9919425824677183E-3</v>
      </c>
      <c r="L61" t="s">
        <v>164</v>
      </c>
      <c r="N61" t="s">
        <v>215</v>
      </c>
      <c r="O61" t="s">
        <v>308</v>
      </c>
      <c r="P61">
        <v>8.5571465464005913E-3</v>
      </c>
      <c r="Q61" t="s">
        <v>164</v>
      </c>
      <c r="S61" t="s">
        <v>242</v>
      </c>
      <c r="T61" t="s">
        <v>308</v>
      </c>
      <c r="U61">
        <v>1.8794273470474413E-2</v>
      </c>
      <c r="V61" t="s">
        <v>164</v>
      </c>
      <c r="AK61">
        <v>2034</v>
      </c>
      <c r="AL61" t="s">
        <v>303</v>
      </c>
      <c r="AM61">
        <v>0.29023333333333334</v>
      </c>
      <c r="AN61" t="s">
        <v>257</v>
      </c>
    </row>
    <row r="62" spans="9:40" x14ac:dyDescent="0.45">
      <c r="I62" t="s">
        <v>179</v>
      </c>
      <c r="J62" t="s">
        <v>309</v>
      </c>
      <c r="K62">
        <v>0.24047288506792927</v>
      </c>
      <c r="L62" t="s">
        <v>164</v>
      </c>
      <c r="N62" t="s">
        <v>215</v>
      </c>
      <c r="O62" t="s">
        <v>309</v>
      </c>
      <c r="P62">
        <v>8.3566702074442806E-2</v>
      </c>
      <c r="Q62" t="s">
        <v>164</v>
      </c>
      <c r="S62" t="s">
        <v>242</v>
      </c>
      <c r="T62" t="s">
        <v>309</v>
      </c>
      <c r="U62">
        <v>4.7190517582570549E-2</v>
      </c>
      <c r="V62" t="s">
        <v>164</v>
      </c>
      <c r="AK62">
        <v>2034</v>
      </c>
      <c r="AL62" t="s">
        <v>305</v>
      </c>
      <c r="AM62">
        <v>0.40983333333333333</v>
      </c>
      <c r="AN62" t="s">
        <v>257</v>
      </c>
    </row>
    <row r="63" spans="9:40" x14ac:dyDescent="0.45">
      <c r="I63" t="s">
        <v>179</v>
      </c>
      <c r="J63" t="s">
        <v>310</v>
      </c>
      <c r="K63">
        <v>0</v>
      </c>
      <c r="L63" t="s">
        <v>164</v>
      </c>
      <c r="N63" t="s">
        <v>215</v>
      </c>
      <c r="O63" t="s">
        <v>310</v>
      </c>
      <c r="P63">
        <v>0.21755188999851002</v>
      </c>
      <c r="Q63" t="s">
        <v>164</v>
      </c>
      <c r="S63" t="s">
        <v>242</v>
      </c>
      <c r="T63" t="s">
        <v>310</v>
      </c>
      <c r="U63">
        <v>6.6770600259170559E-2</v>
      </c>
      <c r="V63" t="s">
        <v>164</v>
      </c>
      <c r="AK63">
        <v>2035</v>
      </c>
      <c r="AL63" t="s">
        <v>300</v>
      </c>
      <c r="AM63">
        <v>0.46510000000000001</v>
      </c>
      <c r="AN63" t="s">
        <v>257</v>
      </c>
    </row>
    <row r="64" spans="9:40" x14ac:dyDescent="0.45">
      <c r="I64" t="s">
        <v>179</v>
      </c>
      <c r="J64" t="s">
        <v>311</v>
      </c>
      <c r="K64">
        <v>1.4491331758729336E-2</v>
      </c>
      <c r="L64" t="s">
        <v>164</v>
      </c>
      <c r="N64" t="s">
        <v>215</v>
      </c>
      <c r="O64" t="s">
        <v>311</v>
      </c>
      <c r="P64">
        <v>1.7155994760088947E-2</v>
      </c>
      <c r="Q64" t="s">
        <v>164</v>
      </c>
      <c r="S64" t="s">
        <v>242</v>
      </c>
      <c r="T64" t="s">
        <v>311</v>
      </c>
      <c r="U64">
        <v>9.2882408265168217E-3</v>
      </c>
      <c r="V64" t="s">
        <v>164</v>
      </c>
      <c r="AK64">
        <v>2035</v>
      </c>
      <c r="AL64" t="s">
        <v>302</v>
      </c>
      <c r="AM64">
        <v>0.28763333333333335</v>
      </c>
      <c r="AN64" t="s">
        <v>257</v>
      </c>
    </row>
    <row r="65" spans="9:40" x14ac:dyDescent="0.45">
      <c r="I65" t="s">
        <v>179</v>
      </c>
      <c r="J65" t="s">
        <v>312</v>
      </c>
      <c r="K65">
        <v>0.19216745563711896</v>
      </c>
      <c r="L65" t="s">
        <v>164</v>
      </c>
      <c r="N65" t="s">
        <v>215</v>
      </c>
      <c r="O65" t="s">
        <v>312</v>
      </c>
      <c r="P65">
        <v>7.7605698317592522E-2</v>
      </c>
      <c r="Q65" t="s">
        <v>164</v>
      </c>
      <c r="S65" t="s">
        <v>242</v>
      </c>
      <c r="T65" t="s">
        <v>312</v>
      </c>
      <c r="U65">
        <v>0.22991900013568844</v>
      </c>
      <c r="V65" t="s">
        <v>164</v>
      </c>
      <c r="AK65">
        <v>2035</v>
      </c>
      <c r="AL65" t="s">
        <v>303</v>
      </c>
      <c r="AM65">
        <v>0.28789999999999999</v>
      </c>
      <c r="AN65" t="s">
        <v>257</v>
      </c>
    </row>
    <row r="66" spans="9:40" x14ac:dyDescent="0.45">
      <c r="I66" t="s">
        <v>179</v>
      </c>
      <c r="J66" t="s">
        <v>313</v>
      </c>
      <c r="K66">
        <v>0</v>
      </c>
      <c r="L66" t="s">
        <v>164</v>
      </c>
      <c r="N66" t="s">
        <v>215</v>
      </c>
      <c r="O66" t="s">
        <v>313</v>
      </c>
      <c r="P66">
        <v>0.13441205863177558</v>
      </c>
      <c r="Q66" t="s">
        <v>164</v>
      </c>
      <c r="S66" t="s">
        <v>242</v>
      </c>
      <c r="T66" t="s">
        <v>313</v>
      </c>
      <c r="U66">
        <v>0.25717552781909481</v>
      </c>
      <c r="V66" t="s">
        <v>164</v>
      </c>
      <c r="AK66">
        <v>2035</v>
      </c>
      <c r="AL66" t="s">
        <v>305</v>
      </c>
      <c r="AM66">
        <v>0.39819999999999994</v>
      </c>
      <c r="AN66" t="s">
        <v>257</v>
      </c>
    </row>
    <row r="67" spans="9:40" x14ac:dyDescent="0.45">
      <c r="I67" t="s">
        <v>179</v>
      </c>
      <c r="J67" t="s">
        <v>314</v>
      </c>
      <c r="K67">
        <v>1.5583651403519494E-2</v>
      </c>
      <c r="L67" t="s">
        <v>164</v>
      </c>
      <c r="N67" t="s">
        <v>215</v>
      </c>
      <c r="O67" t="s">
        <v>314</v>
      </c>
      <c r="P67">
        <v>1.2985317994827321E-2</v>
      </c>
      <c r="Q67" t="s">
        <v>164</v>
      </c>
      <c r="S67" t="s">
        <v>242</v>
      </c>
      <c r="T67" t="s">
        <v>314</v>
      </c>
      <c r="U67">
        <v>3.661960841896536E-2</v>
      </c>
      <c r="V67" t="s">
        <v>164</v>
      </c>
      <c r="AK67">
        <v>2036</v>
      </c>
      <c r="AL67" t="s">
        <v>300</v>
      </c>
      <c r="AM67">
        <v>0.44729999999999998</v>
      </c>
      <c r="AN67" t="s">
        <v>257</v>
      </c>
    </row>
    <row r="68" spans="9:40" x14ac:dyDescent="0.45">
      <c r="I68" t="s">
        <v>179</v>
      </c>
      <c r="J68" t="s">
        <v>315</v>
      </c>
      <c r="K68">
        <v>0.28146883943740919</v>
      </c>
      <c r="L68" t="s">
        <v>164</v>
      </c>
      <c r="N68" t="s">
        <v>215</v>
      </c>
      <c r="O68" t="s">
        <v>315</v>
      </c>
      <c r="P68">
        <v>8.1915496731866017E-2</v>
      </c>
      <c r="Q68" t="s">
        <v>164</v>
      </c>
      <c r="S68" t="s">
        <v>242</v>
      </c>
      <c r="T68" t="s">
        <v>315</v>
      </c>
      <c r="U68">
        <v>5.1024131920843131E-2</v>
      </c>
      <c r="V68" t="s">
        <v>164</v>
      </c>
      <c r="AK68">
        <v>2036</v>
      </c>
      <c r="AL68" t="s">
        <v>302</v>
      </c>
      <c r="AM68">
        <v>0.31190000000000001</v>
      </c>
      <c r="AN68" t="s">
        <v>257</v>
      </c>
    </row>
    <row r="69" spans="9:40" x14ac:dyDescent="0.45">
      <c r="I69" t="s">
        <v>179</v>
      </c>
      <c r="J69" t="s">
        <v>316</v>
      </c>
      <c r="K69">
        <v>0</v>
      </c>
      <c r="L69" t="s">
        <v>164</v>
      </c>
      <c r="N69" t="s">
        <v>215</v>
      </c>
      <c r="O69" t="s">
        <v>316</v>
      </c>
      <c r="P69">
        <v>0.19172699583964009</v>
      </c>
      <c r="Q69" t="s">
        <v>164</v>
      </c>
      <c r="S69" t="s">
        <v>242</v>
      </c>
      <c r="T69" t="s">
        <v>316</v>
      </c>
      <c r="U69">
        <v>6.9250130710834162E-2</v>
      </c>
      <c r="V69" t="s">
        <v>164</v>
      </c>
      <c r="AK69">
        <v>2036</v>
      </c>
      <c r="AL69" t="s">
        <v>303</v>
      </c>
      <c r="AM69">
        <v>0.29170000000000001</v>
      </c>
      <c r="AN69" t="s">
        <v>257</v>
      </c>
    </row>
    <row r="70" spans="9:40" x14ac:dyDescent="0.45">
      <c r="I70" t="s">
        <v>179</v>
      </c>
      <c r="J70" t="s">
        <v>317</v>
      </c>
      <c r="K70">
        <v>2.1146820085391635E-2</v>
      </c>
      <c r="L70" t="s">
        <v>164</v>
      </c>
      <c r="N70" t="s">
        <v>215</v>
      </c>
      <c r="O70" t="s">
        <v>317</v>
      </c>
      <c r="P70">
        <v>9.3002069177189374E-3</v>
      </c>
      <c r="Q70" t="s">
        <v>164</v>
      </c>
      <c r="S70" t="s">
        <v>242</v>
      </c>
      <c r="T70" t="s">
        <v>317</v>
      </c>
      <c r="U70">
        <v>7.5147508901446617E-3</v>
      </c>
      <c r="V70" t="s">
        <v>164</v>
      </c>
      <c r="AK70">
        <v>2036</v>
      </c>
      <c r="AL70" t="s">
        <v>305</v>
      </c>
      <c r="AM70">
        <v>0.39809999999999995</v>
      </c>
      <c r="AN70" t="s">
        <v>257</v>
      </c>
    </row>
    <row r="71" spans="9:40" x14ac:dyDescent="0.45">
      <c r="I71" t="s">
        <v>180</v>
      </c>
      <c r="J71" t="s">
        <v>306</v>
      </c>
      <c r="K71">
        <v>0.22877462124511708</v>
      </c>
      <c r="L71" t="s">
        <v>164</v>
      </c>
      <c r="N71" t="s">
        <v>216</v>
      </c>
      <c r="O71" t="s">
        <v>306</v>
      </c>
      <c r="P71">
        <v>3.9929585817338541E-2</v>
      </c>
      <c r="Q71" t="s">
        <v>164</v>
      </c>
      <c r="S71" t="s">
        <v>243</v>
      </c>
      <c r="T71" t="s">
        <v>306</v>
      </c>
      <c r="U71">
        <v>8.923575381886456E-2</v>
      </c>
      <c r="V71" t="s">
        <v>164</v>
      </c>
      <c r="AK71">
        <v>2037</v>
      </c>
      <c r="AL71" t="s">
        <v>300</v>
      </c>
      <c r="AM71">
        <v>0.44393333333333329</v>
      </c>
      <c r="AN71" t="s">
        <v>257</v>
      </c>
    </row>
    <row r="72" spans="9:40" x14ac:dyDescent="0.45">
      <c r="I72" t="s">
        <v>180</v>
      </c>
      <c r="J72" t="s">
        <v>307</v>
      </c>
      <c r="K72">
        <v>0</v>
      </c>
      <c r="L72" t="s">
        <v>164</v>
      </c>
      <c r="N72" t="s">
        <v>216</v>
      </c>
      <c r="O72" t="s">
        <v>307</v>
      </c>
      <c r="P72">
        <v>9.9132884029976401E-2</v>
      </c>
      <c r="Q72" t="s">
        <v>164</v>
      </c>
      <c r="S72" t="s">
        <v>243</v>
      </c>
      <c r="T72" t="s">
        <v>307</v>
      </c>
      <c r="U72">
        <v>0.11329439301145822</v>
      </c>
      <c r="V72" t="s">
        <v>164</v>
      </c>
      <c r="AK72">
        <v>2037</v>
      </c>
      <c r="AL72" t="s">
        <v>302</v>
      </c>
      <c r="AM72">
        <v>0.30893333333333334</v>
      </c>
      <c r="AN72" t="s">
        <v>257</v>
      </c>
    </row>
    <row r="73" spans="9:40" x14ac:dyDescent="0.45">
      <c r="I73" t="s">
        <v>180</v>
      </c>
      <c r="J73" t="s">
        <v>308</v>
      </c>
      <c r="K73">
        <v>1.0590106139512331E-2</v>
      </c>
      <c r="L73" t="s">
        <v>164</v>
      </c>
      <c r="N73" t="s">
        <v>216</v>
      </c>
      <c r="O73" t="s">
        <v>308</v>
      </c>
      <c r="P73">
        <v>8.697881224649328E-3</v>
      </c>
      <c r="Q73" t="s">
        <v>164</v>
      </c>
      <c r="S73" t="s">
        <v>243</v>
      </c>
      <c r="T73" t="s">
        <v>308</v>
      </c>
      <c r="U73">
        <v>2.0398360223595622E-2</v>
      </c>
      <c r="V73" t="s">
        <v>164</v>
      </c>
      <c r="AK73">
        <v>2037</v>
      </c>
      <c r="AL73" t="s">
        <v>303</v>
      </c>
      <c r="AM73">
        <v>0.27833333333333332</v>
      </c>
      <c r="AN73" t="s">
        <v>257</v>
      </c>
    </row>
    <row r="74" spans="9:40" x14ac:dyDescent="0.45">
      <c r="I74" t="s">
        <v>180</v>
      </c>
      <c r="J74" t="s">
        <v>309</v>
      </c>
      <c r="K74">
        <v>0.24044330571031178</v>
      </c>
      <c r="L74" t="s">
        <v>164</v>
      </c>
      <c r="N74" t="s">
        <v>216</v>
      </c>
      <c r="O74" t="s">
        <v>309</v>
      </c>
      <c r="P74">
        <v>7.9159423506822646E-2</v>
      </c>
      <c r="Q74" t="s">
        <v>164</v>
      </c>
      <c r="S74" t="s">
        <v>243</v>
      </c>
      <c r="T74" t="s">
        <v>309</v>
      </c>
      <c r="U74">
        <v>4.8617933926962405E-2</v>
      </c>
      <c r="V74" t="s">
        <v>164</v>
      </c>
      <c r="AK74">
        <v>2037</v>
      </c>
      <c r="AL74" t="s">
        <v>305</v>
      </c>
      <c r="AM74">
        <v>0.40806666666666674</v>
      </c>
      <c r="AN74" t="s">
        <v>257</v>
      </c>
    </row>
    <row r="75" spans="9:40" x14ac:dyDescent="0.45">
      <c r="I75" t="s">
        <v>180</v>
      </c>
      <c r="J75" t="s">
        <v>310</v>
      </c>
      <c r="K75">
        <v>0</v>
      </c>
      <c r="L75" t="s">
        <v>164</v>
      </c>
      <c r="N75" t="s">
        <v>216</v>
      </c>
      <c r="O75" t="s">
        <v>310</v>
      </c>
      <c r="P75">
        <v>0.22367638342956914</v>
      </c>
      <c r="Q75" t="s">
        <v>164</v>
      </c>
      <c r="S75" t="s">
        <v>243</v>
      </c>
      <c r="T75" t="s">
        <v>310</v>
      </c>
      <c r="U75">
        <v>6.018017863896051E-2</v>
      </c>
      <c r="V75" t="s">
        <v>164</v>
      </c>
      <c r="AK75">
        <v>2038</v>
      </c>
      <c r="AL75" t="s">
        <v>300</v>
      </c>
      <c r="AM75">
        <v>0.44749999999999995</v>
      </c>
      <c r="AN75" t="s">
        <v>257</v>
      </c>
    </row>
    <row r="76" spans="9:40" x14ac:dyDescent="0.45">
      <c r="I76" t="s">
        <v>180</v>
      </c>
      <c r="J76" t="s">
        <v>311</v>
      </c>
      <c r="K76">
        <v>1.6361155151313273E-2</v>
      </c>
      <c r="L76" t="s">
        <v>164</v>
      </c>
      <c r="N76" t="s">
        <v>216</v>
      </c>
      <c r="O76" t="s">
        <v>311</v>
      </c>
      <c r="P76">
        <v>1.1757796478707297E-2</v>
      </c>
      <c r="Q76" t="s">
        <v>164</v>
      </c>
      <c r="S76" t="s">
        <v>243</v>
      </c>
      <c r="T76" t="s">
        <v>311</v>
      </c>
      <c r="U76">
        <v>1.0289186170882068E-2</v>
      </c>
      <c r="V76" t="s">
        <v>164</v>
      </c>
      <c r="AK76">
        <v>2038</v>
      </c>
      <c r="AL76" t="s">
        <v>302</v>
      </c>
      <c r="AM76">
        <v>0.30350000000000005</v>
      </c>
      <c r="AN76" t="s">
        <v>257</v>
      </c>
    </row>
    <row r="77" spans="9:40" x14ac:dyDescent="0.45">
      <c r="I77" t="s">
        <v>180</v>
      </c>
      <c r="J77" t="s">
        <v>312</v>
      </c>
      <c r="K77">
        <v>0.19593687026053394</v>
      </c>
      <c r="L77" t="s">
        <v>164</v>
      </c>
      <c r="N77" t="s">
        <v>216</v>
      </c>
      <c r="O77" t="s">
        <v>312</v>
      </c>
      <c r="P77">
        <v>8.8276907759481382E-2</v>
      </c>
      <c r="Q77" t="s">
        <v>164</v>
      </c>
      <c r="S77" t="s">
        <v>243</v>
      </c>
      <c r="T77" t="s">
        <v>312</v>
      </c>
      <c r="U77">
        <v>0.22890198252634475</v>
      </c>
      <c r="V77" t="s">
        <v>164</v>
      </c>
      <c r="AK77">
        <v>2038</v>
      </c>
      <c r="AL77" t="s">
        <v>303</v>
      </c>
      <c r="AM77">
        <v>0.29286666666666666</v>
      </c>
      <c r="AN77" t="s">
        <v>257</v>
      </c>
    </row>
    <row r="78" spans="9:40" x14ac:dyDescent="0.45">
      <c r="I78" t="s">
        <v>180</v>
      </c>
      <c r="J78" t="s">
        <v>313</v>
      </c>
      <c r="K78">
        <v>0</v>
      </c>
      <c r="L78" t="s">
        <v>164</v>
      </c>
      <c r="N78" t="s">
        <v>216</v>
      </c>
      <c r="O78" t="s">
        <v>313</v>
      </c>
      <c r="P78">
        <v>0.12619179493979582</v>
      </c>
      <c r="Q78" t="s">
        <v>164</v>
      </c>
      <c r="S78" t="s">
        <v>243</v>
      </c>
      <c r="T78" t="s">
        <v>313</v>
      </c>
      <c r="U78">
        <v>0.25664096051507324</v>
      </c>
      <c r="V78" t="s">
        <v>164</v>
      </c>
      <c r="AK78">
        <v>2038</v>
      </c>
      <c r="AL78" t="s">
        <v>305</v>
      </c>
      <c r="AM78">
        <v>0.39606666666666673</v>
      </c>
      <c r="AN78" t="s">
        <v>257</v>
      </c>
    </row>
    <row r="79" spans="9:40" x14ac:dyDescent="0.45">
      <c r="I79" t="s">
        <v>180</v>
      </c>
      <c r="J79" t="s">
        <v>314</v>
      </c>
      <c r="K79">
        <v>1.6033329319212756E-2</v>
      </c>
      <c r="L79" t="s">
        <v>164</v>
      </c>
      <c r="N79" t="s">
        <v>216</v>
      </c>
      <c r="O79" t="s">
        <v>314</v>
      </c>
      <c r="P79">
        <v>8.441637008063569E-3</v>
      </c>
      <c r="Q79" t="s">
        <v>164</v>
      </c>
      <c r="S79" t="s">
        <v>243</v>
      </c>
      <c r="T79" t="s">
        <v>314</v>
      </c>
      <c r="U79">
        <v>3.8984207445721418E-2</v>
      </c>
      <c r="V79" t="s">
        <v>164</v>
      </c>
      <c r="AK79">
        <v>2039</v>
      </c>
      <c r="AL79" t="s">
        <v>300</v>
      </c>
      <c r="AM79">
        <v>0.45436666666666664</v>
      </c>
      <c r="AN79" t="s">
        <v>257</v>
      </c>
    </row>
    <row r="80" spans="9:40" x14ac:dyDescent="0.45">
      <c r="I80" t="s">
        <v>180</v>
      </c>
      <c r="J80" t="s">
        <v>315</v>
      </c>
      <c r="K80">
        <v>0.27102460634038927</v>
      </c>
      <c r="L80" t="s">
        <v>164</v>
      </c>
      <c r="N80" t="s">
        <v>216</v>
      </c>
      <c r="O80" t="s">
        <v>315</v>
      </c>
      <c r="P80">
        <v>5.3282894071207093E-2</v>
      </c>
      <c r="Q80" t="s">
        <v>164</v>
      </c>
      <c r="S80" t="s">
        <v>243</v>
      </c>
      <c r="T80" t="s">
        <v>315</v>
      </c>
      <c r="U80">
        <v>4.4713674364673113E-2</v>
      </c>
      <c r="V80" t="s">
        <v>164</v>
      </c>
      <c r="AK80">
        <v>2039</v>
      </c>
      <c r="AL80" t="s">
        <v>302</v>
      </c>
      <c r="AM80">
        <v>0.29893333333333333</v>
      </c>
      <c r="AN80" t="s">
        <v>257</v>
      </c>
    </row>
    <row r="81" spans="9:40" x14ac:dyDescent="0.45">
      <c r="I81" t="s">
        <v>180</v>
      </c>
      <c r="J81" t="s">
        <v>316</v>
      </c>
      <c r="K81">
        <v>0</v>
      </c>
      <c r="L81" t="s">
        <v>164</v>
      </c>
      <c r="N81" t="s">
        <v>216</v>
      </c>
      <c r="O81" t="s">
        <v>316</v>
      </c>
      <c r="P81">
        <v>0.2416943398840766</v>
      </c>
      <c r="Q81" t="s">
        <v>164</v>
      </c>
      <c r="S81" t="s">
        <v>243</v>
      </c>
      <c r="T81" t="s">
        <v>316</v>
      </c>
      <c r="U81">
        <v>7.8399020944153477E-2</v>
      </c>
      <c r="V81" t="s">
        <v>164</v>
      </c>
      <c r="AK81">
        <v>2039</v>
      </c>
      <c r="AL81" t="s">
        <v>303</v>
      </c>
      <c r="AM81">
        <v>0.30393333333333333</v>
      </c>
      <c r="AN81" t="s">
        <v>257</v>
      </c>
    </row>
    <row r="82" spans="9:40" x14ac:dyDescent="0.45">
      <c r="I82" t="s">
        <v>180</v>
      </c>
      <c r="J82" t="s">
        <v>317</v>
      </c>
      <c r="K82">
        <v>2.083600583361242E-2</v>
      </c>
      <c r="L82" t="s">
        <v>164</v>
      </c>
      <c r="N82" t="s">
        <v>216</v>
      </c>
      <c r="O82" t="s">
        <v>317</v>
      </c>
      <c r="P82">
        <v>1.9758471850312626E-2</v>
      </c>
      <c r="Q82" t="s">
        <v>164</v>
      </c>
      <c r="S82" t="s">
        <v>243</v>
      </c>
      <c r="T82" t="s">
        <v>317</v>
      </c>
      <c r="U82">
        <v>1.0344348413309699E-2</v>
      </c>
      <c r="V82" t="s">
        <v>164</v>
      </c>
      <c r="AK82">
        <v>2039</v>
      </c>
      <c r="AL82" t="s">
        <v>305</v>
      </c>
      <c r="AM82">
        <v>0.3977</v>
      </c>
      <c r="AN82" t="s">
        <v>257</v>
      </c>
    </row>
    <row r="83" spans="9:40" x14ac:dyDescent="0.45">
      <c r="I83" t="s">
        <v>181</v>
      </c>
      <c r="J83" t="s">
        <v>306</v>
      </c>
      <c r="K83">
        <v>0.23278779301949298</v>
      </c>
      <c r="L83" t="s">
        <v>164</v>
      </c>
      <c r="N83" t="s">
        <v>217</v>
      </c>
      <c r="O83" t="s">
        <v>306</v>
      </c>
      <c r="P83">
        <v>3.912304340447479E-2</v>
      </c>
      <c r="Q83" t="s">
        <v>164</v>
      </c>
      <c r="S83" t="s">
        <v>244</v>
      </c>
      <c r="T83" t="s">
        <v>306</v>
      </c>
      <c r="U83">
        <v>7.0774815077745107E-2</v>
      </c>
      <c r="V83" t="s">
        <v>164</v>
      </c>
      <c r="AK83">
        <v>2040</v>
      </c>
      <c r="AL83" t="s">
        <v>300</v>
      </c>
      <c r="AM83">
        <v>0.44636666666666663</v>
      </c>
      <c r="AN83" t="s">
        <v>257</v>
      </c>
    </row>
    <row r="84" spans="9:40" x14ac:dyDescent="0.45">
      <c r="I84" t="s">
        <v>181</v>
      </c>
      <c r="J84" t="s">
        <v>307</v>
      </c>
      <c r="K84">
        <v>0</v>
      </c>
      <c r="L84" t="s">
        <v>164</v>
      </c>
      <c r="N84" t="s">
        <v>217</v>
      </c>
      <c r="O84" t="s">
        <v>307</v>
      </c>
      <c r="P84">
        <v>0.11436348976625771</v>
      </c>
      <c r="Q84" t="s">
        <v>164</v>
      </c>
      <c r="S84" t="s">
        <v>244</v>
      </c>
      <c r="T84" t="s">
        <v>307</v>
      </c>
      <c r="U84">
        <v>9.5046279863988462E-2</v>
      </c>
      <c r="V84" t="s">
        <v>164</v>
      </c>
      <c r="AK84">
        <v>2040</v>
      </c>
      <c r="AL84" t="s">
        <v>302</v>
      </c>
      <c r="AM84">
        <v>0.30883333333333335</v>
      </c>
      <c r="AN84" t="s">
        <v>257</v>
      </c>
    </row>
    <row r="85" spans="9:40" x14ac:dyDescent="0.45">
      <c r="I85" t="s">
        <v>181</v>
      </c>
      <c r="J85" t="s">
        <v>308</v>
      </c>
      <c r="K85">
        <v>8.1121651937985702E-3</v>
      </c>
      <c r="L85" t="s">
        <v>164</v>
      </c>
      <c r="N85" t="s">
        <v>217</v>
      </c>
      <c r="O85" t="s">
        <v>308</v>
      </c>
      <c r="P85">
        <v>1.1396358303121018E-2</v>
      </c>
      <c r="Q85" t="s">
        <v>164</v>
      </c>
      <c r="S85" t="s">
        <v>244</v>
      </c>
      <c r="T85" t="s">
        <v>308</v>
      </c>
      <c r="U85">
        <v>2.5862999516671672E-2</v>
      </c>
      <c r="V85" t="s">
        <v>164</v>
      </c>
      <c r="AK85">
        <v>2040</v>
      </c>
      <c r="AL85" t="s">
        <v>303</v>
      </c>
      <c r="AM85">
        <v>0.29199999999999998</v>
      </c>
      <c r="AN85" t="s">
        <v>257</v>
      </c>
    </row>
    <row r="86" spans="9:40" x14ac:dyDescent="0.45">
      <c r="I86" t="s">
        <v>181</v>
      </c>
      <c r="J86" t="s">
        <v>309</v>
      </c>
      <c r="K86">
        <v>0.24641644093950896</v>
      </c>
      <c r="L86" t="s">
        <v>164</v>
      </c>
      <c r="N86" t="s">
        <v>217</v>
      </c>
      <c r="O86" t="s">
        <v>309</v>
      </c>
      <c r="P86">
        <v>8.6251078691202701E-2</v>
      </c>
      <c r="Q86" t="s">
        <v>164</v>
      </c>
      <c r="S86" t="s">
        <v>244</v>
      </c>
      <c r="T86" t="s">
        <v>309</v>
      </c>
      <c r="U86">
        <v>5.6315310264820895E-2</v>
      </c>
      <c r="V86" t="s">
        <v>164</v>
      </c>
      <c r="AK86">
        <v>2040</v>
      </c>
      <c r="AL86" t="s">
        <v>305</v>
      </c>
      <c r="AM86">
        <v>0.41339999999999999</v>
      </c>
      <c r="AN86" t="s">
        <v>257</v>
      </c>
    </row>
    <row r="87" spans="9:40" x14ac:dyDescent="0.45">
      <c r="I87" t="s">
        <v>181</v>
      </c>
      <c r="J87" t="s">
        <v>310</v>
      </c>
      <c r="K87">
        <v>0</v>
      </c>
      <c r="L87" t="s">
        <v>164</v>
      </c>
      <c r="N87" t="s">
        <v>217</v>
      </c>
      <c r="O87" t="s">
        <v>310</v>
      </c>
      <c r="P87">
        <v>0.22820964948081365</v>
      </c>
      <c r="Q87" t="s">
        <v>164</v>
      </c>
      <c r="S87" t="s">
        <v>244</v>
      </c>
      <c r="T87" t="s">
        <v>310</v>
      </c>
      <c r="U87">
        <v>7.272563711920596E-2</v>
      </c>
      <c r="V87" t="s">
        <v>164</v>
      </c>
      <c r="AK87">
        <v>2041</v>
      </c>
      <c r="AL87" t="s">
        <v>300</v>
      </c>
      <c r="AM87">
        <v>0.46023333333333333</v>
      </c>
      <c r="AN87" t="s">
        <v>257</v>
      </c>
    </row>
    <row r="88" spans="9:40" x14ac:dyDescent="0.45">
      <c r="I88" t="s">
        <v>181</v>
      </c>
      <c r="J88" t="s">
        <v>311</v>
      </c>
      <c r="K88">
        <v>1.1455018641741272E-2</v>
      </c>
      <c r="L88" t="s">
        <v>164</v>
      </c>
      <c r="N88" t="s">
        <v>217</v>
      </c>
      <c r="O88" t="s">
        <v>311</v>
      </c>
      <c r="P88">
        <v>2.0724068547329954E-2</v>
      </c>
      <c r="Q88" t="s">
        <v>164</v>
      </c>
      <c r="S88" t="s">
        <v>244</v>
      </c>
      <c r="T88" t="s">
        <v>311</v>
      </c>
      <c r="U88">
        <v>1.6220928198522444E-2</v>
      </c>
      <c r="V88" t="s">
        <v>164</v>
      </c>
      <c r="AK88">
        <v>2041</v>
      </c>
      <c r="AL88" t="s">
        <v>302</v>
      </c>
      <c r="AM88">
        <v>0.29430000000000001</v>
      </c>
      <c r="AN88" t="s">
        <v>257</v>
      </c>
    </row>
    <row r="89" spans="9:40" x14ac:dyDescent="0.45">
      <c r="I89" t="s">
        <v>181</v>
      </c>
      <c r="J89" t="s">
        <v>312</v>
      </c>
      <c r="K89">
        <v>0.17998022448320561</v>
      </c>
      <c r="L89" t="s">
        <v>164</v>
      </c>
      <c r="N89" t="s">
        <v>217</v>
      </c>
      <c r="O89" t="s">
        <v>312</v>
      </c>
      <c r="P89">
        <v>9.8558202542087137E-2</v>
      </c>
      <c r="Q89" t="s">
        <v>164</v>
      </c>
      <c r="S89" t="s">
        <v>244</v>
      </c>
      <c r="T89" t="s">
        <v>312</v>
      </c>
      <c r="U89">
        <v>0.21276136703297724</v>
      </c>
      <c r="V89" t="s">
        <v>164</v>
      </c>
      <c r="AK89">
        <v>2041</v>
      </c>
      <c r="AL89" t="s">
        <v>303</v>
      </c>
      <c r="AM89">
        <v>0.2782</v>
      </c>
      <c r="AN89" t="s">
        <v>257</v>
      </c>
    </row>
    <row r="90" spans="9:40" x14ac:dyDescent="0.45">
      <c r="I90" t="s">
        <v>181</v>
      </c>
      <c r="J90" t="s">
        <v>313</v>
      </c>
      <c r="K90">
        <v>0</v>
      </c>
      <c r="L90" t="s">
        <v>164</v>
      </c>
      <c r="N90" t="s">
        <v>217</v>
      </c>
      <c r="O90" t="s">
        <v>313</v>
      </c>
      <c r="P90">
        <v>0.155161220811879</v>
      </c>
      <c r="Q90" t="s">
        <v>164</v>
      </c>
      <c r="S90" t="s">
        <v>244</v>
      </c>
      <c r="T90" t="s">
        <v>313</v>
      </c>
      <c r="U90">
        <v>0.24126306911428863</v>
      </c>
      <c r="V90" t="s">
        <v>164</v>
      </c>
      <c r="AK90">
        <v>2041</v>
      </c>
      <c r="AL90" t="s">
        <v>305</v>
      </c>
      <c r="AM90">
        <v>0.40176666666666666</v>
      </c>
      <c r="AN90" t="s">
        <v>257</v>
      </c>
    </row>
    <row r="91" spans="9:40" x14ac:dyDescent="0.45">
      <c r="I91" t="s">
        <v>181</v>
      </c>
      <c r="J91" t="s">
        <v>314</v>
      </c>
      <c r="K91">
        <v>1.0980988754997622E-2</v>
      </c>
      <c r="L91" t="s">
        <v>164</v>
      </c>
      <c r="N91" t="s">
        <v>217</v>
      </c>
      <c r="O91" t="s">
        <v>314</v>
      </c>
      <c r="P91">
        <v>1.531438997789039E-2</v>
      </c>
      <c r="Q91" t="s">
        <v>164</v>
      </c>
      <c r="S91" t="s">
        <v>244</v>
      </c>
      <c r="T91" t="s">
        <v>314</v>
      </c>
      <c r="U91">
        <v>4.6363962728311038E-2</v>
      </c>
      <c r="V91" t="s">
        <v>164</v>
      </c>
      <c r="AK91">
        <v>2042</v>
      </c>
      <c r="AL91" t="s">
        <v>300</v>
      </c>
      <c r="AM91">
        <v>0.4564333333333333</v>
      </c>
      <c r="AN91" t="s">
        <v>257</v>
      </c>
    </row>
    <row r="92" spans="9:40" x14ac:dyDescent="0.45">
      <c r="I92" t="s">
        <v>181</v>
      </c>
      <c r="J92" t="s">
        <v>315</v>
      </c>
      <c r="K92">
        <v>0.29154996422088181</v>
      </c>
      <c r="L92" t="s">
        <v>164</v>
      </c>
      <c r="N92" t="s">
        <v>217</v>
      </c>
      <c r="O92" t="s">
        <v>315</v>
      </c>
      <c r="P92">
        <v>4.0065565907885674E-2</v>
      </c>
      <c r="Q92" t="s">
        <v>164</v>
      </c>
      <c r="S92" t="s">
        <v>244</v>
      </c>
      <c r="T92" t="s">
        <v>315</v>
      </c>
      <c r="U92">
        <v>4.0095080567933448E-2</v>
      </c>
      <c r="V92" t="s">
        <v>164</v>
      </c>
      <c r="AK92">
        <v>2042</v>
      </c>
      <c r="AL92" t="s">
        <v>302</v>
      </c>
      <c r="AM92">
        <v>0.32136666666666663</v>
      </c>
      <c r="AN92" t="s">
        <v>257</v>
      </c>
    </row>
    <row r="93" spans="9:40" x14ac:dyDescent="0.45">
      <c r="I93" t="s">
        <v>181</v>
      </c>
      <c r="J93" t="s">
        <v>316</v>
      </c>
      <c r="K93">
        <v>0</v>
      </c>
      <c r="L93" t="s">
        <v>164</v>
      </c>
      <c r="N93" t="s">
        <v>217</v>
      </c>
      <c r="O93" t="s">
        <v>316</v>
      </c>
      <c r="P93">
        <v>0.17450116896557746</v>
      </c>
      <c r="Q93" t="s">
        <v>164</v>
      </c>
      <c r="S93" t="s">
        <v>244</v>
      </c>
      <c r="T93" t="s">
        <v>316</v>
      </c>
      <c r="U93">
        <v>0.10272979186360584</v>
      </c>
      <c r="V93" t="s">
        <v>164</v>
      </c>
      <c r="AK93">
        <v>2042</v>
      </c>
      <c r="AL93" t="s">
        <v>303</v>
      </c>
      <c r="AM93">
        <v>0.29220000000000002</v>
      </c>
      <c r="AN93" t="s">
        <v>257</v>
      </c>
    </row>
    <row r="94" spans="9:40" x14ac:dyDescent="0.45">
      <c r="I94" t="s">
        <v>181</v>
      </c>
      <c r="J94" t="s">
        <v>317</v>
      </c>
      <c r="K94">
        <v>1.8717404746371152E-2</v>
      </c>
      <c r="L94" t="s">
        <v>164</v>
      </c>
      <c r="N94" t="s">
        <v>217</v>
      </c>
      <c r="O94" t="s">
        <v>317</v>
      </c>
      <c r="P94">
        <v>1.6331763601483199E-2</v>
      </c>
      <c r="Q94" t="s">
        <v>164</v>
      </c>
      <c r="S94" t="s">
        <v>244</v>
      </c>
      <c r="T94" t="s">
        <v>317</v>
      </c>
      <c r="U94">
        <v>1.9840758651927554E-2</v>
      </c>
      <c r="V94" t="s">
        <v>164</v>
      </c>
      <c r="AK94">
        <v>2042</v>
      </c>
      <c r="AL94" t="s">
        <v>305</v>
      </c>
      <c r="AM94">
        <v>0.41009999999999996</v>
      </c>
      <c r="AN94" t="s">
        <v>257</v>
      </c>
    </row>
    <row r="95" spans="9:40" x14ac:dyDescent="0.45">
      <c r="I95" t="s">
        <v>182</v>
      </c>
      <c r="J95" t="s">
        <v>306</v>
      </c>
      <c r="K95">
        <v>0.22974267396310849</v>
      </c>
      <c r="L95" t="s">
        <v>164</v>
      </c>
      <c r="N95" t="s">
        <v>218</v>
      </c>
      <c r="O95" t="s">
        <v>306</v>
      </c>
      <c r="P95">
        <v>7.1218154812576373E-2</v>
      </c>
      <c r="Q95" t="s">
        <v>164</v>
      </c>
      <c r="S95" t="s">
        <v>245</v>
      </c>
      <c r="T95" t="s">
        <v>306</v>
      </c>
      <c r="U95">
        <v>6.4575688409763771E-2</v>
      </c>
      <c r="V95" t="s">
        <v>164</v>
      </c>
      <c r="AK95">
        <v>2043</v>
      </c>
      <c r="AL95" t="s">
        <v>300</v>
      </c>
      <c r="AM95">
        <v>0.42873333333333336</v>
      </c>
      <c r="AN95" t="s">
        <v>257</v>
      </c>
    </row>
    <row r="96" spans="9:40" x14ac:dyDescent="0.45">
      <c r="I96" t="s">
        <v>182</v>
      </c>
      <c r="J96" t="s">
        <v>307</v>
      </c>
      <c r="K96">
        <v>0</v>
      </c>
      <c r="L96" t="s">
        <v>164</v>
      </c>
      <c r="N96" t="s">
        <v>218</v>
      </c>
      <c r="O96" t="s">
        <v>307</v>
      </c>
      <c r="P96">
        <v>0.10734605389810567</v>
      </c>
      <c r="Q96" t="s">
        <v>164</v>
      </c>
      <c r="S96" t="s">
        <v>245</v>
      </c>
      <c r="T96" t="s">
        <v>307</v>
      </c>
      <c r="U96">
        <v>8.9790546984488309E-2</v>
      </c>
      <c r="V96" t="s">
        <v>164</v>
      </c>
      <c r="AK96">
        <v>2043</v>
      </c>
      <c r="AL96" t="s">
        <v>302</v>
      </c>
      <c r="AM96">
        <v>0.32013333333333333</v>
      </c>
      <c r="AN96" t="s">
        <v>257</v>
      </c>
    </row>
    <row r="97" spans="9:40" x14ac:dyDescent="0.45">
      <c r="I97" t="s">
        <v>182</v>
      </c>
      <c r="J97" t="s">
        <v>308</v>
      </c>
      <c r="K97">
        <v>6.4760239165697142E-3</v>
      </c>
      <c r="L97" t="s">
        <v>164</v>
      </c>
      <c r="N97" t="s">
        <v>218</v>
      </c>
      <c r="O97" t="s">
        <v>308</v>
      </c>
      <c r="P97">
        <v>2.3616861742732576E-2</v>
      </c>
      <c r="Q97" t="s">
        <v>164</v>
      </c>
      <c r="S97" t="s">
        <v>245</v>
      </c>
      <c r="T97" t="s">
        <v>308</v>
      </c>
      <c r="U97">
        <v>3.2365856497023893E-2</v>
      </c>
      <c r="V97" t="s">
        <v>164</v>
      </c>
      <c r="AK97">
        <v>2043</v>
      </c>
      <c r="AL97" t="s">
        <v>303</v>
      </c>
      <c r="AM97">
        <v>0.30126666666666668</v>
      </c>
      <c r="AN97" t="s">
        <v>257</v>
      </c>
    </row>
    <row r="98" spans="9:40" x14ac:dyDescent="0.45">
      <c r="I98" t="s">
        <v>182</v>
      </c>
      <c r="J98" t="s">
        <v>309</v>
      </c>
      <c r="K98">
        <v>0.24543184450564953</v>
      </c>
      <c r="L98" t="s">
        <v>164</v>
      </c>
      <c r="N98" t="s">
        <v>218</v>
      </c>
      <c r="O98" t="s">
        <v>309</v>
      </c>
      <c r="P98">
        <v>9.0358823446837142E-2</v>
      </c>
      <c r="Q98" t="s">
        <v>164</v>
      </c>
      <c r="S98" t="s">
        <v>245</v>
      </c>
      <c r="T98" t="s">
        <v>309</v>
      </c>
      <c r="U98">
        <v>3.8543890670397658E-2</v>
      </c>
      <c r="V98" t="s">
        <v>164</v>
      </c>
      <c r="AK98">
        <v>2043</v>
      </c>
      <c r="AL98" t="s">
        <v>305</v>
      </c>
      <c r="AM98">
        <v>0.39989999999999998</v>
      </c>
      <c r="AN98" t="s">
        <v>257</v>
      </c>
    </row>
    <row r="99" spans="9:40" x14ac:dyDescent="0.45">
      <c r="I99" t="s">
        <v>182</v>
      </c>
      <c r="J99" t="s">
        <v>310</v>
      </c>
      <c r="K99">
        <v>0</v>
      </c>
      <c r="L99" t="s">
        <v>164</v>
      </c>
      <c r="N99" t="s">
        <v>218</v>
      </c>
      <c r="O99" t="s">
        <v>310</v>
      </c>
      <c r="P99">
        <v>0.10615966395598907</v>
      </c>
      <c r="Q99" t="s">
        <v>164</v>
      </c>
      <c r="S99" t="s">
        <v>245</v>
      </c>
      <c r="T99" t="s">
        <v>310</v>
      </c>
      <c r="U99">
        <v>6.7557509664266713E-2</v>
      </c>
      <c r="V99" t="s">
        <v>164</v>
      </c>
      <c r="AK99">
        <v>2044</v>
      </c>
      <c r="AL99" t="s">
        <v>300</v>
      </c>
      <c r="AM99">
        <v>0.41660000000000003</v>
      </c>
      <c r="AN99" t="s">
        <v>257</v>
      </c>
    </row>
    <row r="100" spans="9:40" x14ac:dyDescent="0.45">
      <c r="I100" t="s">
        <v>182</v>
      </c>
      <c r="J100" t="s">
        <v>311</v>
      </c>
      <c r="K100">
        <v>1.1531507181729019E-2</v>
      </c>
      <c r="L100" t="s">
        <v>164</v>
      </c>
      <c r="N100" t="s">
        <v>218</v>
      </c>
      <c r="O100" t="s">
        <v>311</v>
      </c>
      <c r="P100">
        <v>2.3638861718537168E-2</v>
      </c>
      <c r="Q100" t="s">
        <v>164</v>
      </c>
      <c r="S100" t="s">
        <v>245</v>
      </c>
      <c r="T100" t="s">
        <v>311</v>
      </c>
      <c r="U100">
        <v>1.8629155652184849E-2</v>
      </c>
      <c r="V100" t="s">
        <v>164</v>
      </c>
      <c r="AK100">
        <v>2044</v>
      </c>
      <c r="AL100" t="s">
        <v>302</v>
      </c>
      <c r="AM100">
        <v>0.30913333333333332</v>
      </c>
      <c r="AN100" t="s">
        <v>257</v>
      </c>
    </row>
    <row r="101" spans="9:40" x14ac:dyDescent="0.45">
      <c r="I101" t="s">
        <v>182</v>
      </c>
      <c r="J101" t="s">
        <v>312</v>
      </c>
      <c r="K101">
        <v>0.18480359860613821</v>
      </c>
      <c r="L101" t="s">
        <v>164</v>
      </c>
      <c r="N101" t="s">
        <v>218</v>
      </c>
      <c r="O101" t="s">
        <v>312</v>
      </c>
      <c r="P101">
        <v>0.16441062697239284</v>
      </c>
      <c r="Q101" t="s">
        <v>164</v>
      </c>
      <c r="S101" t="s">
        <v>245</v>
      </c>
      <c r="T101" t="s">
        <v>312</v>
      </c>
      <c r="U101">
        <v>0.20846660673720929</v>
      </c>
      <c r="V101" t="s">
        <v>164</v>
      </c>
      <c r="AK101">
        <v>2044</v>
      </c>
      <c r="AL101" t="s">
        <v>303</v>
      </c>
      <c r="AM101">
        <v>0.29113333333333336</v>
      </c>
      <c r="AN101" t="s">
        <v>257</v>
      </c>
    </row>
    <row r="102" spans="9:40" x14ac:dyDescent="0.45">
      <c r="I102" t="s">
        <v>182</v>
      </c>
      <c r="J102" t="s">
        <v>313</v>
      </c>
      <c r="K102">
        <v>0</v>
      </c>
      <c r="L102" t="s">
        <v>164</v>
      </c>
      <c r="N102" t="s">
        <v>218</v>
      </c>
      <c r="O102" t="s">
        <v>313</v>
      </c>
      <c r="P102">
        <v>0.17078275586932531</v>
      </c>
      <c r="Q102" t="s">
        <v>164</v>
      </c>
      <c r="S102" t="s">
        <v>245</v>
      </c>
      <c r="T102" t="s">
        <v>313</v>
      </c>
      <c r="U102">
        <v>0.24470435370936172</v>
      </c>
      <c r="V102" t="s">
        <v>164</v>
      </c>
      <c r="AK102">
        <v>2044</v>
      </c>
      <c r="AL102" t="s">
        <v>305</v>
      </c>
      <c r="AM102">
        <v>0.40823333333333328</v>
      </c>
      <c r="AN102" t="s">
        <v>257</v>
      </c>
    </row>
    <row r="103" spans="9:40" x14ac:dyDescent="0.45">
      <c r="I103" t="s">
        <v>182</v>
      </c>
      <c r="J103" t="s">
        <v>314</v>
      </c>
      <c r="K103">
        <v>1.1405428178774775E-2</v>
      </c>
      <c r="L103" t="s">
        <v>164</v>
      </c>
      <c r="N103" t="s">
        <v>218</v>
      </c>
      <c r="O103" t="s">
        <v>314</v>
      </c>
      <c r="P103">
        <v>3.7629348531642355E-2</v>
      </c>
      <c r="Q103" t="s">
        <v>164</v>
      </c>
      <c r="S103" t="s">
        <v>245</v>
      </c>
      <c r="T103" t="s">
        <v>314</v>
      </c>
      <c r="U103">
        <v>5.4208223261914955E-2</v>
      </c>
      <c r="V103" t="s">
        <v>164</v>
      </c>
      <c r="AK103">
        <v>2045</v>
      </c>
      <c r="AL103" t="s">
        <v>300</v>
      </c>
      <c r="AM103">
        <v>0.46443333333333331</v>
      </c>
      <c r="AN103" t="s">
        <v>257</v>
      </c>
    </row>
    <row r="104" spans="9:40" x14ac:dyDescent="0.45">
      <c r="I104" t="s">
        <v>182</v>
      </c>
      <c r="J104" t="s">
        <v>315</v>
      </c>
      <c r="K104">
        <v>0.2916167126106316</v>
      </c>
      <c r="L104" t="s">
        <v>164</v>
      </c>
      <c r="N104" t="s">
        <v>218</v>
      </c>
      <c r="O104" t="s">
        <v>315</v>
      </c>
      <c r="P104">
        <v>6.3817656963848349E-2</v>
      </c>
      <c r="Q104" t="s">
        <v>164</v>
      </c>
      <c r="S104" t="s">
        <v>245</v>
      </c>
      <c r="T104" t="s">
        <v>315</v>
      </c>
      <c r="U104">
        <v>4.1291024165367639E-2</v>
      </c>
      <c r="V104" t="s">
        <v>164</v>
      </c>
      <c r="AK104">
        <v>2045</v>
      </c>
      <c r="AL104" t="s">
        <v>302</v>
      </c>
      <c r="AM104">
        <v>0.29646666666666671</v>
      </c>
      <c r="AN104" t="s">
        <v>257</v>
      </c>
    </row>
    <row r="105" spans="9:40" x14ac:dyDescent="0.45">
      <c r="I105" t="s">
        <v>182</v>
      </c>
      <c r="J105" t="s">
        <v>316</v>
      </c>
      <c r="K105">
        <v>0</v>
      </c>
      <c r="L105" t="s">
        <v>164</v>
      </c>
      <c r="N105" t="s">
        <v>218</v>
      </c>
      <c r="O105" t="s">
        <v>316</v>
      </c>
      <c r="P105">
        <v>0.11633224479155298</v>
      </c>
      <c r="Q105" t="s">
        <v>164</v>
      </c>
      <c r="S105" t="s">
        <v>245</v>
      </c>
      <c r="T105" t="s">
        <v>316</v>
      </c>
      <c r="U105">
        <v>0.1138730135054403</v>
      </c>
      <c r="V105" t="s">
        <v>164</v>
      </c>
      <c r="AK105">
        <v>2045</v>
      </c>
      <c r="AL105" t="s">
        <v>303</v>
      </c>
      <c r="AM105">
        <v>0.28770000000000001</v>
      </c>
      <c r="AN105" t="s">
        <v>257</v>
      </c>
    </row>
    <row r="106" spans="9:40" x14ac:dyDescent="0.45">
      <c r="I106" t="s">
        <v>182</v>
      </c>
      <c r="J106" t="s">
        <v>317</v>
      </c>
      <c r="K106">
        <v>1.899221103739742E-2</v>
      </c>
      <c r="L106" t="s">
        <v>164</v>
      </c>
      <c r="N106" t="s">
        <v>218</v>
      </c>
      <c r="O106" t="s">
        <v>317</v>
      </c>
      <c r="P106">
        <v>2.4688947296462632E-2</v>
      </c>
      <c r="Q106" t="s">
        <v>164</v>
      </c>
      <c r="S106" t="s">
        <v>245</v>
      </c>
      <c r="T106" t="s">
        <v>317</v>
      </c>
      <c r="U106">
        <v>2.599413074257953E-2</v>
      </c>
      <c r="V106" t="s">
        <v>164</v>
      </c>
      <c r="AK106">
        <v>2045</v>
      </c>
      <c r="AL106" t="s">
        <v>305</v>
      </c>
      <c r="AM106">
        <v>0.40726666666666667</v>
      </c>
      <c r="AN106" t="s">
        <v>257</v>
      </c>
    </row>
    <row r="107" spans="9:40" x14ac:dyDescent="0.45">
      <c r="I107" t="s">
        <v>183</v>
      </c>
      <c r="J107" t="s">
        <v>306</v>
      </c>
      <c r="K107">
        <v>0.23459495313087572</v>
      </c>
      <c r="L107" t="s">
        <v>164</v>
      </c>
      <c r="N107" t="s">
        <v>219</v>
      </c>
      <c r="O107" t="s">
        <v>306</v>
      </c>
      <c r="P107">
        <v>3.6735320373691177E-2</v>
      </c>
      <c r="Q107" t="s">
        <v>164</v>
      </c>
      <c r="S107" t="s">
        <v>246</v>
      </c>
      <c r="T107" t="s">
        <v>306</v>
      </c>
      <c r="U107">
        <v>7.5206681955102037E-2</v>
      </c>
      <c r="V107" t="s">
        <v>164</v>
      </c>
      <c r="AK107">
        <v>2046</v>
      </c>
      <c r="AL107" t="s">
        <v>300</v>
      </c>
      <c r="AM107">
        <v>0.43890000000000001</v>
      </c>
      <c r="AN107" t="s">
        <v>257</v>
      </c>
    </row>
    <row r="108" spans="9:40" x14ac:dyDescent="0.45">
      <c r="I108" t="s">
        <v>183</v>
      </c>
      <c r="J108" t="s">
        <v>307</v>
      </c>
      <c r="K108">
        <v>0</v>
      </c>
      <c r="L108" t="s">
        <v>164</v>
      </c>
      <c r="N108" t="s">
        <v>219</v>
      </c>
      <c r="O108" t="s">
        <v>307</v>
      </c>
      <c r="P108">
        <v>7.3141093556749248E-2</v>
      </c>
      <c r="Q108" t="s">
        <v>164</v>
      </c>
      <c r="S108" t="s">
        <v>246</v>
      </c>
      <c r="T108" t="s">
        <v>307</v>
      </c>
      <c r="U108">
        <v>9.0114290065297975E-2</v>
      </c>
      <c r="V108" t="s">
        <v>164</v>
      </c>
      <c r="AK108">
        <v>2046</v>
      </c>
      <c r="AL108" t="s">
        <v>302</v>
      </c>
      <c r="AM108">
        <v>0.30180000000000001</v>
      </c>
      <c r="AN108" t="s">
        <v>257</v>
      </c>
    </row>
    <row r="109" spans="9:40" x14ac:dyDescent="0.45">
      <c r="I109" t="s">
        <v>183</v>
      </c>
      <c r="J109" t="s">
        <v>308</v>
      </c>
      <c r="K109">
        <v>8.4444181960818855E-3</v>
      </c>
      <c r="L109" t="s">
        <v>164</v>
      </c>
      <c r="N109" t="s">
        <v>219</v>
      </c>
      <c r="O109" t="s">
        <v>308</v>
      </c>
      <c r="P109">
        <v>7.8694684713060438E-3</v>
      </c>
      <c r="Q109" t="s">
        <v>164</v>
      </c>
      <c r="S109" t="s">
        <v>246</v>
      </c>
      <c r="T109" t="s">
        <v>308</v>
      </c>
      <c r="U109">
        <v>2.2680306554450733E-2</v>
      </c>
      <c r="V109" t="s">
        <v>164</v>
      </c>
      <c r="AK109">
        <v>2046</v>
      </c>
      <c r="AL109" t="s">
        <v>303</v>
      </c>
      <c r="AM109">
        <v>0.2840333333333333</v>
      </c>
      <c r="AN109" t="s">
        <v>257</v>
      </c>
    </row>
    <row r="110" spans="9:40" x14ac:dyDescent="0.45">
      <c r="I110" t="s">
        <v>183</v>
      </c>
      <c r="J110" t="s">
        <v>309</v>
      </c>
      <c r="K110">
        <v>0.24432503580429737</v>
      </c>
      <c r="L110" t="s">
        <v>164</v>
      </c>
      <c r="N110" t="s">
        <v>219</v>
      </c>
      <c r="O110" t="s">
        <v>309</v>
      </c>
      <c r="P110">
        <v>4.7721953271798734E-2</v>
      </c>
      <c r="Q110" t="s">
        <v>164</v>
      </c>
      <c r="S110" t="s">
        <v>246</v>
      </c>
      <c r="T110" t="s">
        <v>309</v>
      </c>
      <c r="U110">
        <v>6.5370549884027102E-2</v>
      </c>
      <c r="V110" t="s">
        <v>164</v>
      </c>
      <c r="AK110">
        <v>2046</v>
      </c>
      <c r="AL110" t="s">
        <v>305</v>
      </c>
      <c r="AM110">
        <v>0.40993333333333332</v>
      </c>
      <c r="AN110" t="s">
        <v>257</v>
      </c>
    </row>
    <row r="111" spans="9:40" x14ac:dyDescent="0.45">
      <c r="I111" t="s">
        <v>183</v>
      </c>
      <c r="J111" t="s">
        <v>310</v>
      </c>
      <c r="K111">
        <v>0</v>
      </c>
      <c r="L111" t="s">
        <v>164</v>
      </c>
      <c r="N111" t="s">
        <v>219</v>
      </c>
      <c r="O111" t="s">
        <v>310</v>
      </c>
      <c r="P111">
        <v>0.1296194172449566</v>
      </c>
      <c r="Q111" t="s">
        <v>164</v>
      </c>
      <c r="S111" t="s">
        <v>246</v>
      </c>
      <c r="T111" t="s">
        <v>310</v>
      </c>
      <c r="U111">
        <v>7.6376706674191885E-2</v>
      </c>
      <c r="V111" t="s">
        <v>164</v>
      </c>
      <c r="AK111">
        <v>2047</v>
      </c>
      <c r="AL111" t="s">
        <v>300</v>
      </c>
      <c r="AM111">
        <v>0.5373</v>
      </c>
      <c r="AN111" t="s">
        <v>257</v>
      </c>
    </row>
    <row r="112" spans="9:40" x14ac:dyDescent="0.45">
      <c r="I112" t="s">
        <v>183</v>
      </c>
      <c r="J112" t="s">
        <v>311</v>
      </c>
      <c r="K112">
        <v>1.4039428030528838E-2</v>
      </c>
      <c r="L112" t="s">
        <v>164</v>
      </c>
      <c r="N112" t="s">
        <v>219</v>
      </c>
      <c r="O112" t="s">
        <v>311</v>
      </c>
      <c r="P112">
        <v>6.165484614395385E-3</v>
      </c>
      <c r="Q112" t="s">
        <v>164</v>
      </c>
      <c r="S112" t="s">
        <v>246</v>
      </c>
      <c r="T112" t="s">
        <v>311</v>
      </c>
      <c r="U112">
        <v>1.6527994038717981E-2</v>
      </c>
      <c r="V112" t="s">
        <v>164</v>
      </c>
      <c r="AK112">
        <v>2047</v>
      </c>
      <c r="AL112" t="s">
        <v>302</v>
      </c>
      <c r="AM112">
        <v>0.34343333333333331</v>
      </c>
      <c r="AN112" t="s">
        <v>257</v>
      </c>
    </row>
    <row r="113" spans="9:40" x14ac:dyDescent="0.45">
      <c r="I113" t="s">
        <v>183</v>
      </c>
      <c r="J113" t="s">
        <v>312</v>
      </c>
      <c r="K113">
        <v>0.1882289596994095</v>
      </c>
      <c r="L113" t="s">
        <v>164</v>
      </c>
      <c r="N113" t="s">
        <v>219</v>
      </c>
      <c r="O113" t="s">
        <v>312</v>
      </c>
      <c r="P113">
        <v>6.5231983388868278E-2</v>
      </c>
      <c r="Q113" t="s">
        <v>164</v>
      </c>
      <c r="S113" t="s">
        <v>246</v>
      </c>
      <c r="T113" t="s">
        <v>312</v>
      </c>
      <c r="U113">
        <v>0.19812991699110508</v>
      </c>
      <c r="V113" t="s">
        <v>164</v>
      </c>
      <c r="AK113">
        <v>2047</v>
      </c>
      <c r="AL113" t="s">
        <v>303</v>
      </c>
      <c r="AM113">
        <v>0.3565666666666667</v>
      </c>
      <c r="AN113" t="s">
        <v>257</v>
      </c>
    </row>
    <row r="114" spans="9:40" x14ac:dyDescent="0.45">
      <c r="I114" t="s">
        <v>183</v>
      </c>
      <c r="J114" t="s">
        <v>313</v>
      </c>
      <c r="K114">
        <v>0</v>
      </c>
      <c r="L114" t="s">
        <v>164</v>
      </c>
      <c r="N114" t="s">
        <v>219</v>
      </c>
      <c r="O114" t="s">
        <v>313</v>
      </c>
      <c r="P114">
        <v>7.0086024720863963E-2</v>
      </c>
      <c r="Q114" t="s">
        <v>164</v>
      </c>
      <c r="S114" t="s">
        <v>246</v>
      </c>
      <c r="T114" t="s">
        <v>313</v>
      </c>
      <c r="U114">
        <v>0.20510008645893471</v>
      </c>
      <c r="V114" t="s">
        <v>164</v>
      </c>
      <c r="AK114">
        <v>2047</v>
      </c>
      <c r="AL114" t="s">
        <v>305</v>
      </c>
      <c r="AM114">
        <v>0.46586666666666665</v>
      </c>
      <c r="AN114" t="s">
        <v>257</v>
      </c>
    </row>
    <row r="115" spans="9:40" x14ac:dyDescent="0.45">
      <c r="I115" t="s">
        <v>183</v>
      </c>
      <c r="J115" t="s">
        <v>314</v>
      </c>
      <c r="K115">
        <v>1.235358092764066E-2</v>
      </c>
      <c r="L115" t="s">
        <v>164</v>
      </c>
      <c r="N115" t="s">
        <v>219</v>
      </c>
      <c r="O115" t="s">
        <v>314</v>
      </c>
      <c r="P115">
        <v>5.4124765923274773E-3</v>
      </c>
      <c r="Q115" t="s">
        <v>164</v>
      </c>
      <c r="S115" t="s">
        <v>246</v>
      </c>
      <c r="T115" t="s">
        <v>314</v>
      </c>
      <c r="U115">
        <v>4.6339279692469107E-2</v>
      </c>
      <c r="V115" t="s">
        <v>164</v>
      </c>
      <c r="AK115">
        <v>2048</v>
      </c>
      <c r="AL115" t="s">
        <v>300</v>
      </c>
      <c r="AM115">
        <v>0.50553333333333328</v>
      </c>
      <c r="AN115" t="s">
        <v>257</v>
      </c>
    </row>
    <row r="116" spans="9:40" x14ac:dyDescent="0.45">
      <c r="I116" t="s">
        <v>183</v>
      </c>
      <c r="J116" t="s">
        <v>315</v>
      </c>
      <c r="K116">
        <v>0.27897503440838872</v>
      </c>
      <c r="L116" t="s">
        <v>164</v>
      </c>
      <c r="N116" t="s">
        <v>219</v>
      </c>
      <c r="O116" t="s">
        <v>315</v>
      </c>
      <c r="P116">
        <v>0.16359215977848318</v>
      </c>
      <c r="Q116" t="s">
        <v>164</v>
      </c>
      <c r="S116" t="s">
        <v>246</v>
      </c>
      <c r="T116" t="s">
        <v>315</v>
      </c>
      <c r="U116">
        <v>5.9403556612389226E-2</v>
      </c>
      <c r="V116" t="s">
        <v>164</v>
      </c>
      <c r="AK116">
        <v>2048</v>
      </c>
      <c r="AL116" t="s">
        <v>302</v>
      </c>
      <c r="AM116">
        <v>0.3301</v>
      </c>
      <c r="AN116" t="s">
        <v>257</v>
      </c>
    </row>
    <row r="117" spans="9:40" x14ac:dyDescent="0.45">
      <c r="I117" t="s">
        <v>183</v>
      </c>
      <c r="J117" t="s">
        <v>316</v>
      </c>
      <c r="K117">
        <v>0</v>
      </c>
      <c r="L117" t="s">
        <v>164</v>
      </c>
      <c r="N117" t="s">
        <v>219</v>
      </c>
      <c r="O117" t="s">
        <v>316</v>
      </c>
      <c r="P117">
        <v>0.37331977024763036</v>
      </c>
      <c r="Q117" t="s">
        <v>164</v>
      </c>
      <c r="S117" t="s">
        <v>246</v>
      </c>
      <c r="T117" t="s">
        <v>316</v>
      </c>
      <c r="U117">
        <v>0.11815771248943668</v>
      </c>
      <c r="V117" t="s">
        <v>164</v>
      </c>
      <c r="AK117">
        <v>2048</v>
      </c>
      <c r="AL117" t="s">
        <v>303</v>
      </c>
      <c r="AM117">
        <v>0.34006666666666668</v>
      </c>
      <c r="AN117" t="s">
        <v>257</v>
      </c>
    </row>
    <row r="118" spans="9:40" x14ac:dyDescent="0.45">
      <c r="I118" t="s">
        <v>183</v>
      </c>
      <c r="J118" t="s">
        <v>317</v>
      </c>
      <c r="K118">
        <v>1.9038589802778699E-2</v>
      </c>
      <c r="L118" t="s">
        <v>164</v>
      </c>
      <c r="N118" t="s">
        <v>219</v>
      </c>
      <c r="O118" t="s">
        <v>317</v>
      </c>
      <c r="P118">
        <v>2.1104847738933421E-2</v>
      </c>
      <c r="Q118" t="s">
        <v>164</v>
      </c>
      <c r="S118" t="s">
        <v>246</v>
      </c>
      <c r="T118" t="s">
        <v>317</v>
      </c>
      <c r="U118">
        <v>2.659291858387779E-2</v>
      </c>
      <c r="V118" t="s">
        <v>164</v>
      </c>
      <c r="AK118">
        <v>2048</v>
      </c>
      <c r="AL118" t="s">
        <v>305</v>
      </c>
      <c r="AM118">
        <v>0.44646666666666662</v>
      </c>
      <c r="AN118" t="s">
        <v>257</v>
      </c>
    </row>
    <row r="119" spans="9:40" x14ac:dyDescent="0.45">
      <c r="I119" t="s">
        <v>184</v>
      </c>
      <c r="J119" t="s">
        <v>306</v>
      </c>
      <c r="K119">
        <v>0.23019444827381608</v>
      </c>
      <c r="L119" t="s">
        <v>164</v>
      </c>
      <c r="N119" t="s">
        <v>220</v>
      </c>
      <c r="O119" t="s">
        <v>306</v>
      </c>
      <c r="P119">
        <v>5.2637271750943591E-2</v>
      </c>
      <c r="Q119" t="s">
        <v>164</v>
      </c>
      <c r="S119" t="s">
        <v>247</v>
      </c>
      <c r="T119" t="s">
        <v>306</v>
      </c>
      <c r="U119">
        <v>8.3735830902463892E-2</v>
      </c>
      <c r="V119" t="s">
        <v>164</v>
      </c>
      <c r="AK119">
        <v>2049</v>
      </c>
      <c r="AL119" t="s">
        <v>300</v>
      </c>
      <c r="AM119">
        <v>0.50973333333333326</v>
      </c>
      <c r="AN119" t="s">
        <v>257</v>
      </c>
    </row>
    <row r="120" spans="9:40" x14ac:dyDescent="0.45">
      <c r="I120" t="s">
        <v>184</v>
      </c>
      <c r="J120" t="s">
        <v>307</v>
      </c>
      <c r="K120">
        <v>0</v>
      </c>
      <c r="L120" t="s">
        <v>164</v>
      </c>
      <c r="N120" t="s">
        <v>220</v>
      </c>
      <c r="O120" t="s">
        <v>307</v>
      </c>
      <c r="P120">
        <v>7.2693206959653048E-2</v>
      </c>
      <c r="Q120" t="s">
        <v>164</v>
      </c>
      <c r="S120" t="s">
        <v>247</v>
      </c>
      <c r="T120" t="s">
        <v>307</v>
      </c>
      <c r="U120">
        <v>0.10272068921899158</v>
      </c>
      <c r="V120" t="s">
        <v>164</v>
      </c>
      <c r="AK120">
        <v>2049</v>
      </c>
      <c r="AL120" t="s">
        <v>302</v>
      </c>
      <c r="AM120">
        <v>0.3503</v>
      </c>
      <c r="AN120" t="s">
        <v>257</v>
      </c>
    </row>
    <row r="121" spans="9:40" x14ac:dyDescent="0.45">
      <c r="I121" t="s">
        <v>184</v>
      </c>
      <c r="J121" t="s">
        <v>308</v>
      </c>
      <c r="K121">
        <v>7.1719224739032819E-3</v>
      </c>
      <c r="L121" t="s">
        <v>164</v>
      </c>
      <c r="N121" t="s">
        <v>220</v>
      </c>
      <c r="O121" t="s">
        <v>308</v>
      </c>
      <c r="P121">
        <v>8.9092918441091695E-3</v>
      </c>
      <c r="Q121" t="s">
        <v>164</v>
      </c>
      <c r="S121" t="s">
        <v>247</v>
      </c>
      <c r="T121" t="s">
        <v>308</v>
      </c>
      <c r="U121">
        <v>2.1880295253901616E-2</v>
      </c>
      <c r="V121" t="s">
        <v>164</v>
      </c>
      <c r="AK121">
        <v>2049</v>
      </c>
      <c r="AL121" t="s">
        <v>303</v>
      </c>
      <c r="AM121">
        <v>0.31806666666666666</v>
      </c>
      <c r="AN121" t="s">
        <v>257</v>
      </c>
    </row>
    <row r="122" spans="9:40" x14ac:dyDescent="0.45">
      <c r="I122" t="s">
        <v>184</v>
      </c>
      <c r="J122" t="s">
        <v>309</v>
      </c>
      <c r="K122">
        <v>0.2456873691112193</v>
      </c>
      <c r="L122" t="s">
        <v>164</v>
      </c>
      <c r="N122" t="s">
        <v>220</v>
      </c>
      <c r="O122" t="s">
        <v>309</v>
      </c>
      <c r="P122">
        <v>6.3778551093824021E-2</v>
      </c>
      <c r="Q122" t="s">
        <v>164</v>
      </c>
      <c r="S122" t="s">
        <v>247</v>
      </c>
      <c r="T122" t="s">
        <v>309</v>
      </c>
      <c r="U122">
        <v>5.2845191729293008E-2</v>
      </c>
      <c r="V122" t="s">
        <v>164</v>
      </c>
      <c r="AK122">
        <v>2049</v>
      </c>
      <c r="AL122" t="s">
        <v>305</v>
      </c>
      <c r="AM122">
        <v>0.46600000000000003</v>
      </c>
      <c r="AN122" t="s">
        <v>257</v>
      </c>
    </row>
    <row r="123" spans="9:40" x14ac:dyDescent="0.45">
      <c r="I123" t="s">
        <v>184</v>
      </c>
      <c r="J123" t="s">
        <v>310</v>
      </c>
      <c r="K123">
        <v>0</v>
      </c>
      <c r="L123" t="s">
        <v>164</v>
      </c>
      <c r="N123" t="s">
        <v>220</v>
      </c>
      <c r="O123" t="s">
        <v>310</v>
      </c>
      <c r="P123">
        <v>0.14406461467660325</v>
      </c>
      <c r="Q123" t="s">
        <v>164</v>
      </c>
      <c r="S123" t="s">
        <v>247</v>
      </c>
      <c r="T123" t="s">
        <v>310</v>
      </c>
      <c r="U123">
        <v>7.1353484110972129E-2</v>
      </c>
      <c r="V123" t="s">
        <v>164</v>
      </c>
      <c r="AK123">
        <v>2050</v>
      </c>
      <c r="AL123" t="s">
        <v>300</v>
      </c>
      <c r="AM123">
        <v>0.47753333333333331</v>
      </c>
      <c r="AN123" t="s">
        <v>257</v>
      </c>
    </row>
    <row r="124" spans="9:40" x14ac:dyDescent="0.45">
      <c r="I124" t="s">
        <v>184</v>
      </c>
      <c r="J124" t="s">
        <v>311</v>
      </c>
      <c r="K124">
        <v>1.15082039065486E-2</v>
      </c>
      <c r="L124" t="s">
        <v>164</v>
      </c>
      <c r="N124" t="s">
        <v>220</v>
      </c>
      <c r="O124" t="s">
        <v>311</v>
      </c>
      <c r="P124">
        <v>9.4237145028523688E-3</v>
      </c>
      <c r="Q124" t="s">
        <v>164</v>
      </c>
      <c r="S124" t="s">
        <v>247</v>
      </c>
      <c r="T124" t="s">
        <v>311</v>
      </c>
      <c r="U124">
        <v>1.319472216195074E-2</v>
      </c>
      <c r="V124" t="s">
        <v>164</v>
      </c>
      <c r="AK124">
        <v>2050</v>
      </c>
      <c r="AL124" t="s">
        <v>302</v>
      </c>
      <c r="AM124">
        <v>0.36010000000000003</v>
      </c>
      <c r="AN124" t="s">
        <v>257</v>
      </c>
    </row>
    <row r="125" spans="9:40" x14ac:dyDescent="0.45">
      <c r="I125" t="s">
        <v>184</v>
      </c>
      <c r="J125" t="s">
        <v>312</v>
      </c>
      <c r="K125">
        <v>0.19124534482174585</v>
      </c>
      <c r="L125" t="s">
        <v>164</v>
      </c>
      <c r="N125" t="s">
        <v>220</v>
      </c>
      <c r="O125" t="s">
        <v>312</v>
      </c>
      <c r="P125">
        <v>8.3028346752249627E-2</v>
      </c>
      <c r="Q125" t="s">
        <v>164</v>
      </c>
      <c r="S125" t="s">
        <v>247</v>
      </c>
      <c r="T125" t="s">
        <v>312</v>
      </c>
      <c r="U125">
        <v>0.21111888686705027</v>
      </c>
      <c r="V125" t="s">
        <v>164</v>
      </c>
      <c r="AK125">
        <v>2050</v>
      </c>
      <c r="AL125" t="s">
        <v>303</v>
      </c>
      <c r="AM125">
        <v>0.30716666666666664</v>
      </c>
      <c r="AN125" t="s">
        <v>257</v>
      </c>
    </row>
    <row r="126" spans="9:40" x14ac:dyDescent="0.45">
      <c r="I126" t="s">
        <v>184</v>
      </c>
      <c r="J126" t="s">
        <v>313</v>
      </c>
      <c r="K126">
        <v>0</v>
      </c>
      <c r="L126" t="s">
        <v>164</v>
      </c>
      <c r="N126" t="s">
        <v>220</v>
      </c>
      <c r="O126" t="s">
        <v>313</v>
      </c>
      <c r="P126">
        <v>0.10172852933235822</v>
      </c>
      <c r="Q126" t="s">
        <v>164</v>
      </c>
      <c r="S126" t="s">
        <v>247</v>
      </c>
      <c r="T126" t="s">
        <v>313</v>
      </c>
      <c r="U126">
        <v>0.2384070962132856</v>
      </c>
      <c r="V126" t="s">
        <v>164</v>
      </c>
      <c r="AK126">
        <v>2050</v>
      </c>
      <c r="AL126" t="s">
        <v>305</v>
      </c>
      <c r="AM126">
        <v>0.45216666666666666</v>
      </c>
      <c r="AN126" t="s">
        <v>257</v>
      </c>
    </row>
    <row r="127" spans="9:40" x14ac:dyDescent="0.45">
      <c r="I127" t="s">
        <v>184</v>
      </c>
      <c r="J127" t="s">
        <v>314</v>
      </c>
      <c r="K127">
        <v>1.2746504749375635E-2</v>
      </c>
      <c r="L127" t="s">
        <v>164</v>
      </c>
      <c r="N127" t="s">
        <v>220</v>
      </c>
      <c r="O127" t="s">
        <v>314</v>
      </c>
      <c r="P127">
        <v>6.0526507167972862E-3</v>
      </c>
      <c r="Q127" t="s">
        <v>164</v>
      </c>
      <c r="S127" t="s">
        <v>247</v>
      </c>
      <c r="T127" t="s">
        <v>314</v>
      </c>
      <c r="U127">
        <v>4.1888830665108331E-2</v>
      </c>
      <c r="V127" t="s">
        <v>164</v>
      </c>
    </row>
    <row r="128" spans="9:40" x14ac:dyDescent="0.45">
      <c r="I128" t="s">
        <v>184</v>
      </c>
      <c r="J128" t="s">
        <v>315</v>
      </c>
      <c r="K128">
        <v>0.28173306253281849</v>
      </c>
      <c r="L128" t="s">
        <v>164</v>
      </c>
      <c r="N128" t="s">
        <v>220</v>
      </c>
      <c r="O128" t="s">
        <v>315</v>
      </c>
      <c r="P128">
        <v>0.14942135714276494</v>
      </c>
      <c r="Q128" t="s">
        <v>164</v>
      </c>
      <c r="S128" t="s">
        <v>247</v>
      </c>
      <c r="T128" t="s">
        <v>315</v>
      </c>
      <c r="U128">
        <v>5.3132397736657871E-2</v>
      </c>
      <c r="V128" t="s">
        <v>164</v>
      </c>
    </row>
    <row r="129" spans="9:22" x14ac:dyDescent="0.45">
      <c r="I129" t="s">
        <v>184</v>
      </c>
      <c r="J129" t="s">
        <v>316</v>
      </c>
      <c r="K129">
        <v>0</v>
      </c>
      <c r="L129" t="s">
        <v>164</v>
      </c>
      <c r="N129" t="s">
        <v>220</v>
      </c>
      <c r="O129" t="s">
        <v>316</v>
      </c>
      <c r="P129">
        <v>0.28035111774574134</v>
      </c>
      <c r="Q129" t="s">
        <v>164</v>
      </c>
      <c r="S129" t="s">
        <v>247</v>
      </c>
      <c r="T129" t="s">
        <v>316</v>
      </c>
      <c r="U129">
        <v>9.4504290190459042E-2</v>
      </c>
      <c r="V129" t="s">
        <v>164</v>
      </c>
    </row>
    <row r="130" spans="9:22" x14ac:dyDescent="0.45">
      <c r="I130" t="s">
        <v>184</v>
      </c>
      <c r="J130" t="s">
        <v>317</v>
      </c>
      <c r="K130">
        <v>1.9713144130569987E-2</v>
      </c>
      <c r="L130" t="s">
        <v>164</v>
      </c>
      <c r="N130" t="s">
        <v>220</v>
      </c>
      <c r="O130" t="s">
        <v>317</v>
      </c>
      <c r="P130">
        <v>2.791134748210267E-2</v>
      </c>
      <c r="Q130" t="s">
        <v>164</v>
      </c>
      <c r="S130" t="s">
        <v>247</v>
      </c>
      <c r="T130" t="s">
        <v>317</v>
      </c>
      <c r="U130">
        <v>1.5218284949866615E-2</v>
      </c>
      <c r="V130" t="s">
        <v>164</v>
      </c>
    </row>
    <row r="131" spans="9:22" x14ac:dyDescent="0.45">
      <c r="I131" t="s">
        <v>185</v>
      </c>
      <c r="J131" t="s">
        <v>306</v>
      </c>
      <c r="K131">
        <v>0.22279875933605336</v>
      </c>
      <c r="L131" t="s">
        <v>164</v>
      </c>
      <c r="N131" t="s">
        <v>221</v>
      </c>
      <c r="O131" t="s">
        <v>306</v>
      </c>
      <c r="P131">
        <v>4.4520607830991342E-2</v>
      </c>
      <c r="Q131" t="s">
        <v>164</v>
      </c>
    </row>
    <row r="132" spans="9:22" x14ac:dyDescent="0.45">
      <c r="I132" t="s">
        <v>185</v>
      </c>
      <c r="J132" t="s">
        <v>307</v>
      </c>
      <c r="K132">
        <v>0</v>
      </c>
      <c r="L132" t="s">
        <v>164</v>
      </c>
      <c r="N132" t="s">
        <v>221</v>
      </c>
      <c r="O132" t="s">
        <v>307</v>
      </c>
      <c r="P132">
        <v>8.525067700944082E-2</v>
      </c>
      <c r="Q132" t="s">
        <v>164</v>
      </c>
    </row>
    <row r="133" spans="9:22" x14ac:dyDescent="0.45">
      <c r="I133" t="s">
        <v>185</v>
      </c>
      <c r="J133" t="s">
        <v>308</v>
      </c>
      <c r="K133">
        <v>9.1552184635076E-3</v>
      </c>
      <c r="L133" t="s">
        <v>164</v>
      </c>
      <c r="N133" t="s">
        <v>221</v>
      </c>
      <c r="O133" t="s">
        <v>308</v>
      </c>
      <c r="P133">
        <v>8.3247723930496391E-3</v>
      </c>
      <c r="Q133" t="s">
        <v>164</v>
      </c>
    </row>
    <row r="134" spans="9:22" x14ac:dyDescent="0.45">
      <c r="I134" t="s">
        <v>185</v>
      </c>
      <c r="J134" t="s">
        <v>309</v>
      </c>
      <c r="K134">
        <v>0.24360794690553086</v>
      </c>
      <c r="L134" t="s">
        <v>164</v>
      </c>
      <c r="N134" t="s">
        <v>221</v>
      </c>
      <c r="O134" t="s">
        <v>309</v>
      </c>
      <c r="P134">
        <v>7.598436575596576E-2</v>
      </c>
      <c r="Q134" t="s">
        <v>164</v>
      </c>
    </row>
    <row r="135" spans="9:22" x14ac:dyDescent="0.45">
      <c r="I135" t="s">
        <v>185</v>
      </c>
      <c r="J135" t="s">
        <v>310</v>
      </c>
      <c r="K135">
        <v>0</v>
      </c>
      <c r="L135" t="s">
        <v>164</v>
      </c>
      <c r="N135" t="s">
        <v>221</v>
      </c>
      <c r="O135" t="s">
        <v>310</v>
      </c>
      <c r="P135">
        <v>0.22272253650955934</v>
      </c>
      <c r="Q135" t="s">
        <v>164</v>
      </c>
    </row>
    <row r="136" spans="9:22" x14ac:dyDescent="0.45">
      <c r="I136" t="s">
        <v>185</v>
      </c>
      <c r="J136" t="s">
        <v>311</v>
      </c>
      <c r="K136">
        <v>1.3764168156283216E-2</v>
      </c>
      <c r="L136" t="s">
        <v>164</v>
      </c>
      <c r="N136" t="s">
        <v>221</v>
      </c>
      <c r="O136" t="s">
        <v>311</v>
      </c>
      <c r="P136">
        <v>7.616360535291051E-3</v>
      </c>
      <c r="Q136" t="s">
        <v>164</v>
      </c>
    </row>
    <row r="137" spans="9:22" x14ac:dyDescent="0.45">
      <c r="I137" t="s">
        <v>185</v>
      </c>
      <c r="J137" t="s">
        <v>312</v>
      </c>
      <c r="K137">
        <v>0.19140160228949521</v>
      </c>
      <c r="L137" t="s">
        <v>164</v>
      </c>
      <c r="N137" t="s">
        <v>221</v>
      </c>
      <c r="O137" t="s">
        <v>312</v>
      </c>
      <c r="P137">
        <v>8.0092417201773347E-2</v>
      </c>
      <c r="Q137" t="s">
        <v>164</v>
      </c>
    </row>
    <row r="138" spans="9:22" x14ac:dyDescent="0.45">
      <c r="I138" t="s">
        <v>185</v>
      </c>
      <c r="J138" t="s">
        <v>313</v>
      </c>
      <c r="K138">
        <v>0</v>
      </c>
      <c r="L138" t="s">
        <v>164</v>
      </c>
      <c r="N138" t="s">
        <v>221</v>
      </c>
      <c r="O138" t="s">
        <v>313</v>
      </c>
      <c r="P138">
        <v>0.12230064759740522</v>
      </c>
      <c r="Q138" t="s">
        <v>164</v>
      </c>
    </row>
    <row r="139" spans="9:22" x14ac:dyDescent="0.45">
      <c r="I139" t="s">
        <v>185</v>
      </c>
      <c r="J139" t="s">
        <v>314</v>
      </c>
      <c r="K139">
        <v>1.2772973370696545E-2</v>
      </c>
      <c r="L139" t="s">
        <v>164</v>
      </c>
      <c r="N139" t="s">
        <v>221</v>
      </c>
      <c r="O139" t="s">
        <v>314</v>
      </c>
      <c r="P139">
        <v>4.57116893614127E-3</v>
      </c>
      <c r="Q139" t="s">
        <v>164</v>
      </c>
    </row>
    <row r="140" spans="9:22" x14ac:dyDescent="0.45">
      <c r="I140" t="s">
        <v>185</v>
      </c>
      <c r="J140" t="s">
        <v>315</v>
      </c>
      <c r="K140">
        <v>0.28608611780148357</v>
      </c>
      <c r="L140" t="s">
        <v>164</v>
      </c>
      <c r="N140" t="s">
        <v>221</v>
      </c>
      <c r="O140" t="s">
        <v>315</v>
      </c>
      <c r="P140">
        <v>8.6261458678138878E-2</v>
      </c>
      <c r="Q140" t="s">
        <v>164</v>
      </c>
    </row>
    <row r="141" spans="9:22" x14ac:dyDescent="0.45">
      <c r="I141" t="s">
        <v>185</v>
      </c>
      <c r="J141" t="s">
        <v>316</v>
      </c>
      <c r="K141">
        <v>0</v>
      </c>
      <c r="L141" t="s">
        <v>164</v>
      </c>
      <c r="N141" t="s">
        <v>221</v>
      </c>
      <c r="O141" t="s">
        <v>316</v>
      </c>
      <c r="P141">
        <v>0.24648605051517886</v>
      </c>
      <c r="Q141" t="s">
        <v>164</v>
      </c>
    </row>
    <row r="142" spans="9:22" x14ac:dyDescent="0.45">
      <c r="I142" t="s">
        <v>185</v>
      </c>
      <c r="J142" t="s">
        <v>317</v>
      </c>
      <c r="K142">
        <v>2.0413213676949087E-2</v>
      </c>
      <c r="L142" t="s">
        <v>164</v>
      </c>
      <c r="N142" t="s">
        <v>221</v>
      </c>
      <c r="O142" t="s">
        <v>317</v>
      </c>
      <c r="P142">
        <v>1.5868937037060282E-2</v>
      </c>
      <c r="Q142" t="s">
        <v>164</v>
      </c>
    </row>
    <row r="143" spans="9:22" x14ac:dyDescent="0.45">
      <c r="I143" t="s">
        <v>186</v>
      </c>
      <c r="J143" t="s">
        <v>306</v>
      </c>
      <c r="K143">
        <v>0.22567142913240237</v>
      </c>
      <c r="L143" t="s">
        <v>164</v>
      </c>
      <c r="N143" t="s">
        <v>222</v>
      </c>
      <c r="O143" t="s">
        <v>306</v>
      </c>
      <c r="P143">
        <v>4.3323516886499859E-2</v>
      </c>
      <c r="Q143" t="s">
        <v>164</v>
      </c>
    </row>
    <row r="144" spans="9:22" x14ac:dyDescent="0.45">
      <c r="I144" t="s">
        <v>186</v>
      </c>
      <c r="J144" t="s">
        <v>307</v>
      </c>
      <c r="K144">
        <v>0</v>
      </c>
      <c r="L144" t="s">
        <v>164</v>
      </c>
      <c r="N144" t="s">
        <v>222</v>
      </c>
      <c r="O144" t="s">
        <v>307</v>
      </c>
      <c r="P144">
        <v>7.5547567796486054E-2</v>
      </c>
      <c r="Q144" t="s">
        <v>164</v>
      </c>
    </row>
    <row r="145" spans="9:17" x14ac:dyDescent="0.45">
      <c r="I145" t="s">
        <v>186</v>
      </c>
      <c r="J145" t="s">
        <v>308</v>
      </c>
      <c r="K145">
        <v>5.0921922658532012E-3</v>
      </c>
      <c r="L145" t="s">
        <v>164</v>
      </c>
      <c r="N145" t="s">
        <v>222</v>
      </c>
      <c r="O145" t="s">
        <v>308</v>
      </c>
      <c r="P145">
        <v>3.7289062762349027E-3</v>
      </c>
      <c r="Q145" t="s">
        <v>164</v>
      </c>
    </row>
    <row r="146" spans="9:17" x14ac:dyDescent="0.45">
      <c r="I146" t="s">
        <v>186</v>
      </c>
      <c r="J146" t="s">
        <v>309</v>
      </c>
      <c r="K146">
        <v>0.24731554752241583</v>
      </c>
      <c r="L146" t="s">
        <v>164</v>
      </c>
      <c r="N146" t="s">
        <v>222</v>
      </c>
      <c r="O146" t="s">
        <v>309</v>
      </c>
      <c r="P146">
        <v>6.0760595436474295E-2</v>
      </c>
      <c r="Q146" t="s">
        <v>164</v>
      </c>
    </row>
    <row r="147" spans="9:17" x14ac:dyDescent="0.45">
      <c r="I147" t="s">
        <v>186</v>
      </c>
      <c r="J147" t="s">
        <v>310</v>
      </c>
      <c r="K147">
        <v>0</v>
      </c>
      <c r="L147" t="s">
        <v>164</v>
      </c>
      <c r="N147" t="s">
        <v>222</v>
      </c>
      <c r="O147" t="s">
        <v>310</v>
      </c>
      <c r="P147">
        <v>0.1843215811325824</v>
      </c>
      <c r="Q147" t="s">
        <v>164</v>
      </c>
    </row>
    <row r="148" spans="9:17" x14ac:dyDescent="0.45">
      <c r="I148" t="s">
        <v>186</v>
      </c>
      <c r="J148" t="s">
        <v>311</v>
      </c>
      <c r="K148">
        <v>6.843888473403459E-3</v>
      </c>
      <c r="L148" t="s">
        <v>164</v>
      </c>
      <c r="N148" t="s">
        <v>222</v>
      </c>
      <c r="O148" t="s">
        <v>311</v>
      </c>
      <c r="P148">
        <v>4.1239870378692407E-3</v>
      </c>
      <c r="Q148" t="s">
        <v>164</v>
      </c>
    </row>
    <row r="149" spans="9:17" x14ac:dyDescent="0.45">
      <c r="I149" t="s">
        <v>186</v>
      </c>
      <c r="J149" t="s">
        <v>312</v>
      </c>
      <c r="K149">
        <v>0.17808829054477357</v>
      </c>
      <c r="L149" t="s">
        <v>164</v>
      </c>
      <c r="N149" t="s">
        <v>222</v>
      </c>
      <c r="O149" t="s">
        <v>312</v>
      </c>
      <c r="P149">
        <v>7.4992701875512477E-2</v>
      </c>
      <c r="Q149" t="s">
        <v>164</v>
      </c>
    </row>
    <row r="150" spans="9:17" x14ac:dyDescent="0.45">
      <c r="I150" t="s">
        <v>186</v>
      </c>
      <c r="J150" t="s">
        <v>313</v>
      </c>
      <c r="K150">
        <v>0</v>
      </c>
      <c r="L150" t="s">
        <v>164</v>
      </c>
      <c r="N150" t="s">
        <v>222</v>
      </c>
      <c r="O150" t="s">
        <v>313</v>
      </c>
      <c r="P150">
        <v>0.11451084066825334</v>
      </c>
      <c r="Q150" t="s">
        <v>164</v>
      </c>
    </row>
    <row r="151" spans="9:17" x14ac:dyDescent="0.45">
      <c r="I151" t="s">
        <v>186</v>
      </c>
      <c r="J151" t="s">
        <v>314</v>
      </c>
      <c r="K151">
        <v>7.8028401214330304E-3</v>
      </c>
      <c r="L151" t="s">
        <v>164</v>
      </c>
      <c r="N151" t="s">
        <v>222</v>
      </c>
      <c r="O151" t="s">
        <v>314</v>
      </c>
      <c r="P151">
        <v>5.0944957089888955E-3</v>
      </c>
      <c r="Q151" t="s">
        <v>164</v>
      </c>
    </row>
    <row r="152" spans="9:17" x14ac:dyDescent="0.45">
      <c r="I152" t="s">
        <v>186</v>
      </c>
      <c r="J152" t="s">
        <v>315</v>
      </c>
      <c r="K152">
        <v>0.31213997143431477</v>
      </c>
      <c r="L152" t="s">
        <v>164</v>
      </c>
      <c r="N152" t="s">
        <v>222</v>
      </c>
      <c r="O152" t="s">
        <v>315</v>
      </c>
      <c r="P152">
        <v>0.11084139456685616</v>
      </c>
      <c r="Q152" t="s">
        <v>164</v>
      </c>
    </row>
    <row r="153" spans="9:17" x14ac:dyDescent="0.45">
      <c r="I153" t="s">
        <v>186</v>
      </c>
      <c r="J153" t="s">
        <v>316</v>
      </c>
      <c r="K153">
        <v>0</v>
      </c>
      <c r="L153" t="s">
        <v>164</v>
      </c>
      <c r="N153" t="s">
        <v>222</v>
      </c>
      <c r="O153" t="s">
        <v>316</v>
      </c>
      <c r="P153">
        <v>0.30706797603067121</v>
      </c>
      <c r="Q153" t="s">
        <v>164</v>
      </c>
    </row>
    <row r="154" spans="9:17" x14ac:dyDescent="0.45">
      <c r="I154" t="s">
        <v>186</v>
      </c>
      <c r="J154" t="s">
        <v>317</v>
      </c>
      <c r="K154">
        <v>1.7045840505405131E-2</v>
      </c>
      <c r="L154" t="s">
        <v>164</v>
      </c>
      <c r="N154" t="s">
        <v>222</v>
      </c>
      <c r="O154" t="s">
        <v>317</v>
      </c>
      <c r="P154">
        <v>1.568643658357282E-2</v>
      </c>
      <c r="Q154" t="s">
        <v>164</v>
      </c>
    </row>
    <row r="155" spans="9:17" x14ac:dyDescent="0.45">
      <c r="I155" t="s">
        <v>187</v>
      </c>
      <c r="J155" t="s">
        <v>306</v>
      </c>
      <c r="K155">
        <v>0.22614532411263183</v>
      </c>
      <c r="L155" t="s">
        <v>164</v>
      </c>
      <c r="N155" t="s">
        <v>223</v>
      </c>
      <c r="O155" t="s">
        <v>306</v>
      </c>
      <c r="P155">
        <v>5.2268681102341896E-2</v>
      </c>
      <c r="Q155" t="s">
        <v>164</v>
      </c>
    </row>
    <row r="156" spans="9:17" x14ac:dyDescent="0.45">
      <c r="I156" t="s">
        <v>187</v>
      </c>
      <c r="J156" t="s">
        <v>307</v>
      </c>
      <c r="K156">
        <v>0</v>
      </c>
      <c r="L156" t="s">
        <v>164</v>
      </c>
      <c r="N156" t="s">
        <v>223</v>
      </c>
      <c r="O156" t="s">
        <v>307</v>
      </c>
      <c r="P156">
        <v>8.3666244042997939E-2</v>
      </c>
      <c r="Q156" t="s">
        <v>164</v>
      </c>
    </row>
    <row r="157" spans="9:17" x14ac:dyDescent="0.45">
      <c r="I157" t="s">
        <v>187</v>
      </c>
      <c r="J157" t="s">
        <v>308</v>
      </c>
      <c r="K157">
        <v>6.3020897524724111E-3</v>
      </c>
      <c r="L157" t="s">
        <v>164</v>
      </c>
      <c r="N157" t="s">
        <v>223</v>
      </c>
      <c r="O157" t="s">
        <v>308</v>
      </c>
      <c r="P157">
        <v>4.486180138297091E-3</v>
      </c>
      <c r="Q157" t="s">
        <v>164</v>
      </c>
    </row>
    <row r="158" spans="9:17" x14ac:dyDescent="0.45">
      <c r="I158" t="s">
        <v>187</v>
      </c>
      <c r="J158" t="s">
        <v>309</v>
      </c>
      <c r="K158">
        <v>0.24260901391537515</v>
      </c>
      <c r="L158" t="s">
        <v>164</v>
      </c>
      <c r="N158" t="s">
        <v>223</v>
      </c>
      <c r="O158" t="s">
        <v>309</v>
      </c>
      <c r="P158">
        <v>6.4770516743941867E-2</v>
      </c>
      <c r="Q158" t="s">
        <v>164</v>
      </c>
    </row>
    <row r="159" spans="9:17" x14ac:dyDescent="0.45">
      <c r="I159" t="s">
        <v>187</v>
      </c>
      <c r="J159" t="s">
        <v>310</v>
      </c>
      <c r="K159">
        <v>0</v>
      </c>
      <c r="L159" t="s">
        <v>164</v>
      </c>
      <c r="N159" t="s">
        <v>223</v>
      </c>
      <c r="O159" t="s">
        <v>310</v>
      </c>
      <c r="P159">
        <v>0.15584818775604298</v>
      </c>
      <c r="Q159" t="s">
        <v>164</v>
      </c>
    </row>
    <row r="160" spans="9:17" x14ac:dyDescent="0.45">
      <c r="I160" t="s">
        <v>187</v>
      </c>
      <c r="J160" t="s">
        <v>311</v>
      </c>
      <c r="K160">
        <v>9.8404477461228601E-3</v>
      </c>
      <c r="L160" t="s">
        <v>164</v>
      </c>
      <c r="N160" t="s">
        <v>223</v>
      </c>
      <c r="O160" t="s">
        <v>311</v>
      </c>
      <c r="P160">
        <v>4.7236989194575085E-3</v>
      </c>
      <c r="Q160" t="s">
        <v>164</v>
      </c>
    </row>
    <row r="161" spans="9:17" x14ac:dyDescent="0.45">
      <c r="I161" t="s">
        <v>187</v>
      </c>
      <c r="J161" t="s">
        <v>312</v>
      </c>
      <c r="K161">
        <v>0.18790373713160302</v>
      </c>
      <c r="L161" t="s">
        <v>164</v>
      </c>
      <c r="N161" t="s">
        <v>223</v>
      </c>
      <c r="O161" t="s">
        <v>312</v>
      </c>
      <c r="P161">
        <v>8.2364918281136373E-2</v>
      </c>
      <c r="Q161" t="s">
        <v>164</v>
      </c>
    </row>
    <row r="162" spans="9:17" x14ac:dyDescent="0.45">
      <c r="I162" t="s">
        <v>187</v>
      </c>
      <c r="J162" t="s">
        <v>313</v>
      </c>
      <c r="K162">
        <v>0</v>
      </c>
      <c r="L162" t="s">
        <v>164</v>
      </c>
      <c r="N162" t="s">
        <v>223</v>
      </c>
      <c r="O162" t="s">
        <v>313</v>
      </c>
      <c r="P162">
        <v>0.13448190042174721</v>
      </c>
      <c r="Q162" t="s">
        <v>164</v>
      </c>
    </row>
    <row r="163" spans="9:17" x14ac:dyDescent="0.45">
      <c r="I163" t="s">
        <v>187</v>
      </c>
      <c r="J163" t="s">
        <v>314</v>
      </c>
      <c r="K163">
        <v>9.3890921968816394E-3</v>
      </c>
      <c r="L163" t="s">
        <v>164</v>
      </c>
      <c r="N163" t="s">
        <v>223</v>
      </c>
      <c r="O163" t="s">
        <v>314</v>
      </c>
      <c r="P163">
        <v>6.1568143166069664E-3</v>
      </c>
      <c r="Q163" t="s">
        <v>164</v>
      </c>
    </row>
    <row r="164" spans="9:17" x14ac:dyDescent="0.45">
      <c r="I164" t="s">
        <v>187</v>
      </c>
      <c r="J164" t="s">
        <v>315</v>
      </c>
      <c r="K164">
        <v>0.29785121071259768</v>
      </c>
      <c r="L164" t="s">
        <v>164</v>
      </c>
      <c r="N164" t="s">
        <v>223</v>
      </c>
      <c r="O164" t="s">
        <v>315</v>
      </c>
      <c r="P164">
        <v>0.14550422911178901</v>
      </c>
      <c r="Q164" t="s">
        <v>164</v>
      </c>
    </row>
    <row r="165" spans="9:17" x14ac:dyDescent="0.45">
      <c r="I165" t="s">
        <v>187</v>
      </c>
      <c r="J165" t="s">
        <v>316</v>
      </c>
      <c r="K165">
        <v>0</v>
      </c>
      <c r="L165" t="s">
        <v>164</v>
      </c>
      <c r="N165" t="s">
        <v>223</v>
      </c>
      <c r="O165" t="s">
        <v>316</v>
      </c>
      <c r="P165">
        <v>0.24871369954480138</v>
      </c>
      <c r="Q165" t="s">
        <v>164</v>
      </c>
    </row>
    <row r="166" spans="9:17" x14ac:dyDescent="0.45">
      <c r="I166" t="s">
        <v>187</v>
      </c>
      <c r="J166" t="s">
        <v>317</v>
      </c>
      <c r="K166">
        <v>1.9959084432314367E-2</v>
      </c>
      <c r="L166" t="s">
        <v>164</v>
      </c>
      <c r="N166" t="s">
        <v>223</v>
      </c>
      <c r="O166" t="s">
        <v>317</v>
      </c>
      <c r="P166">
        <v>1.7014929620841439E-2</v>
      </c>
      <c r="Q166" t="s">
        <v>164</v>
      </c>
    </row>
    <row r="167" spans="9:17" x14ac:dyDescent="0.45">
      <c r="I167" t="s">
        <v>188</v>
      </c>
      <c r="J167" t="s">
        <v>306</v>
      </c>
      <c r="K167">
        <v>0.22691015166927767</v>
      </c>
      <c r="L167" t="s">
        <v>164</v>
      </c>
      <c r="N167" t="s">
        <v>224</v>
      </c>
      <c r="O167" t="s">
        <v>306</v>
      </c>
      <c r="P167">
        <v>4.8412801496320323E-2</v>
      </c>
      <c r="Q167" t="s">
        <v>164</v>
      </c>
    </row>
    <row r="168" spans="9:17" x14ac:dyDescent="0.45">
      <c r="I168" t="s">
        <v>188</v>
      </c>
      <c r="J168" t="s">
        <v>307</v>
      </c>
      <c r="K168">
        <v>0</v>
      </c>
      <c r="L168" t="s">
        <v>164</v>
      </c>
      <c r="N168" t="s">
        <v>224</v>
      </c>
      <c r="O168" t="s">
        <v>307</v>
      </c>
      <c r="P168">
        <v>9.0472697223343973E-2</v>
      </c>
      <c r="Q168" t="s">
        <v>164</v>
      </c>
    </row>
    <row r="169" spans="9:17" x14ac:dyDescent="0.45">
      <c r="I169" t="s">
        <v>188</v>
      </c>
      <c r="J169" t="s">
        <v>308</v>
      </c>
      <c r="K169">
        <v>6.8612140395124055E-3</v>
      </c>
      <c r="L169" t="s">
        <v>164</v>
      </c>
      <c r="N169" t="s">
        <v>224</v>
      </c>
      <c r="O169" t="s">
        <v>308</v>
      </c>
      <c r="P169">
        <v>5.211615232780421E-3</v>
      </c>
      <c r="Q169" t="s">
        <v>164</v>
      </c>
    </row>
    <row r="170" spans="9:17" x14ac:dyDescent="0.45">
      <c r="I170" t="s">
        <v>188</v>
      </c>
      <c r="J170" t="s">
        <v>309</v>
      </c>
      <c r="K170">
        <v>0.24166956062089182</v>
      </c>
      <c r="L170" t="s">
        <v>164</v>
      </c>
      <c r="N170" t="s">
        <v>224</v>
      </c>
      <c r="O170" t="s">
        <v>309</v>
      </c>
      <c r="P170">
        <v>6.3439370122690061E-2</v>
      </c>
      <c r="Q170" t="s">
        <v>164</v>
      </c>
    </row>
    <row r="171" spans="9:17" x14ac:dyDescent="0.45">
      <c r="I171" t="s">
        <v>188</v>
      </c>
      <c r="J171" t="s">
        <v>310</v>
      </c>
      <c r="K171">
        <v>0</v>
      </c>
      <c r="L171" t="s">
        <v>164</v>
      </c>
      <c r="N171" t="s">
        <v>224</v>
      </c>
      <c r="O171" t="s">
        <v>310</v>
      </c>
      <c r="P171">
        <v>0.16335013977559376</v>
      </c>
      <c r="Q171" t="s">
        <v>164</v>
      </c>
    </row>
    <row r="172" spans="9:17" x14ac:dyDescent="0.45">
      <c r="I172" t="s">
        <v>188</v>
      </c>
      <c r="J172" t="s">
        <v>311</v>
      </c>
      <c r="K172">
        <v>9.7119166544637966E-3</v>
      </c>
      <c r="L172" t="s">
        <v>164</v>
      </c>
      <c r="N172" t="s">
        <v>224</v>
      </c>
      <c r="O172" t="s">
        <v>311</v>
      </c>
      <c r="P172">
        <v>3.3419818805779751E-3</v>
      </c>
      <c r="Q172" t="s">
        <v>164</v>
      </c>
    </row>
    <row r="173" spans="9:17" x14ac:dyDescent="0.45">
      <c r="I173" t="s">
        <v>188</v>
      </c>
      <c r="J173" t="s">
        <v>312</v>
      </c>
      <c r="K173">
        <v>0.17895849411142431</v>
      </c>
      <c r="L173" t="s">
        <v>164</v>
      </c>
      <c r="N173" t="s">
        <v>224</v>
      </c>
      <c r="O173" t="s">
        <v>312</v>
      </c>
      <c r="P173">
        <v>7.938344508939843E-2</v>
      </c>
      <c r="Q173" t="s">
        <v>164</v>
      </c>
    </row>
    <row r="174" spans="9:17" x14ac:dyDescent="0.45">
      <c r="I174" t="s">
        <v>188</v>
      </c>
      <c r="J174" t="s">
        <v>313</v>
      </c>
      <c r="K174">
        <v>0</v>
      </c>
      <c r="L174" t="s">
        <v>164</v>
      </c>
      <c r="N174" t="s">
        <v>224</v>
      </c>
      <c r="O174" t="s">
        <v>313</v>
      </c>
      <c r="P174">
        <v>0.1326103654693031</v>
      </c>
      <c r="Q174" t="s">
        <v>164</v>
      </c>
    </row>
    <row r="175" spans="9:17" x14ac:dyDescent="0.45">
      <c r="I175" t="s">
        <v>188</v>
      </c>
      <c r="J175" t="s">
        <v>314</v>
      </c>
      <c r="K175">
        <v>8.7975761355485217E-3</v>
      </c>
      <c r="L175" t="s">
        <v>164</v>
      </c>
      <c r="N175" t="s">
        <v>224</v>
      </c>
      <c r="O175" t="s">
        <v>314</v>
      </c>
      <c r="P175">
        <v>5.0567375356111591E-3</v>
      </c>
      <c r="Q175" t="s">
        <v>164</v>
      </c>
    </row>
    <row r="176" spans="9:17" x14ac:dyDescent="0.45">
      <c r="I176" t="s">
        <v>188</v>
      </c>
      <c r="J176" t="s">
        <v>315</v>
      </c>
      <c r="K176">
        <v>0.30944621045046133</v>
      </c>
      <c r="L176" t="s">
        <v>164</v>
      </c>
      <c r="N176" t="s">
        <v>224</v>
      </c>
      <c r="O176" t="s">
        <v>315</v>
      </c>
      <c r="P176">
        <v>0.12075988728876093</v>
      </c>
      <c r="Q176" t="s">
        <v>164</v>
      </c>
    </row>
    <row r="177" spans="9:17" x14ac:dyDescent="0.45">
      <c r="I177" t="s">
        <v>188</v>
      </c>
      <c r="J177" t="s">
        <v>316</v>
      </c>
      <c r="K177">
        <v>0</v>
      </c>
      <c r="L177" t="s">
        <v>164</v>
      </c>
      <c r="N177" t="s">
        <v>224</v>
      </c>
      <c r="O177" t="s">
        <v>316</v>
      </c>
      <c r="P177">
        <v>0.27489224698275733</v>
      </c>
      <c r="Q177" t="s">
        <v>164</v>
      </c>
    </row>
    <row r="178" spans="9:17" x14ac:dyDescent="0.45">
      <c r="I178" t="s">
        <v>188</v>
      </c>
      <c r="J178" t="s">
        <v>317</v>
      </c>
      <c r="K178">
        <v>1.7644876318420977E-2</v>
      </c>
      <c r="L178" t="s">
        <v>164</v>
      </c>
      <c r="N178" t="s">
        <v>224</v>
      </c>
      <c r="O178" t="s">
        <v>317</v>
      </c>
      <c r="P178">
        <v>1.3068711902861921E-2</v>
      </c>
      <c r="Q178" t="s">
        <v>164</v>
      </c>
    </row>
    <row r="179" spans="9:17" x14ac:dyDescent="0.45">
      <c r="I179" t="s">
        <v>189</v>
      </c>
      <c r="J179" t="s">
        <v>306</v>
      </c>
      <c r="K179">
        <v>0.23251875161373106</v>
      </c>
      <c r="L179" t="s">
        <v>164</v>
      </c>
      <c r="N179" t="s">
        <v>225</v>
      </c>
      <c r="O179" t="s">
        <v>306</v>
      </c>
      <c r="P179">
        <v>5.7170235708251277E-2</v>
      </c>
      <c r="Q179" t="s">
        <v>164</v>
      </c>
    </row>
    <row r="180" spans="9:17" x14ac:dyDescent="0.45">
      <c r="I180" t="s">
        <v>189</v>
      </c>
      <c r="J180" t="s">
        <v>307</v>
      </c>
      <c r="K180">
        <v>0</v>
      </c>
      <c r="L180" t="s">
        <v>164</v>
      </c>
      <c r="N180" t="s">
        <v>225</v>
      </c>
      <c r="O180" t="s">
        <v>307</v>
      </c>
      <c r="P180">
        <v>9.9973546814371456E-2</v>
      </c>
      <c r="Q180" t="s">
        <v>164</v>
      </c>
    </row>
    <row r="181" spans="9:17" x14ac:dyDescent="0.45">
      <c r="I181" t="s">
        <v>189</v>
      </c>
      <c r="J181" t="s">
        <v>308</v>
      </c>
      <c r="K181">
        <v>2.0298545599701314E-2</v>
      </c>
      <c r="L181" t="s">
        <v>164</v>
      </c>
      <c r="N181" t="s">
        <v>225</v>
      </c>
      <c r="O181" t="s">
        <v>308</v>
      </c>
      <c r="P181">
        <v>5.4492953164769929E-3</v>
      </c>
      <c r="Q181" t="s">
        <v>164</v>
      </c>
    </row>
    <row r="182" spans="9:17" x14ac:dyDescent="0.45">
      <c r="I182" t="s">
        <v>189</v>
      </c>
      <c r="J182" t="s">
        <v>309</v>
      </c>
      <c r="K182">
        <v>0.21972958949649621</v>
      </c>
      <c r="L182" t="s">
        <v>164</v>
      </c>
      <c r="N182" t="s">
        <v>225</v>
      </c>
      <c r="O182" t="s">
        <v>309</v>
      </c>
      <c r="P182">
        <v>6.3262533757745959E-2</v>
      </c>
      <c r="Q182" t="s">
        <v>164</v>
      </c>
    </row>
    <row r="183" spans="9:17" x14ac:dyDescent="0.45">
      <c r="I183" t="s">
        <v>189</v>
      </c>
      <c r="J183" t="s">
        <v>310</v>
      </c>
      <c r="K183">
        <v>0</v>
      </c>
      <c r="L183" t="s">
        <v>164</v>
      </c>
      <c r="N183" t="s">
        <v>225</v>
      </c>
      <c r="O183" t="s">
        <v>310</v>
      </c>
      <c r="P183">
        <v>0.13743360804120688</v>
      </c>
      <c r="Q183" t="s">
        <v>164</v>
      </c>
    </row>
    <row r="184" spans="9:17" x14ac:dyDescent="0.45">
      <c r="I184" t="s">
        <v>189</v>
      </c>
      <c r="J184" t="s">
        <v>311</v>
      </c>
      <c r="K184">
        <v>1.8611067319612956E-2</v>
      </c>
      <c r="L184" t="s">
        <v>164</v>
      </c>
      <c r="N184" t="s">
        <v>225</v>
      </c>
      <c r="O184" t="s">
        <v>311</v>
      </c>
      <c r="P184">
        <v>3.8193206765030178E-3</v>
      </c>
      <c r="Q184" t="s">
        <v>164</v>
      </c>
    </row>
    <row r="185" spans="9:17" x14ac:dyDescent="0.45">
      <c r="I185" t="s">
        <v>189</v>
      </c>
      <c r="J185" t="s">
        <v>312</v>
      </c>
      <c r="K185">
        <v>0.18103191115372294</v>
      </c>
      <c r="L185" t="s">
        <v>164</v>
      </c>
      <c r="N185" t="s">
        <v>225</v>
      </c>
      <c r="O185" t="s">
        <v>312</v>
      </c>
      <c r="P185">
        <v>7.7089725810800397E-2</v>
      </c>
      <c r="Q185" t="s">
        <v>164</v>
      </c>
    </row>
    <row r="186" spans="9:17" x14ac:dyDescent="0.45">
      <c r="I186" t="s">
        <v>189</v>
      </c>
      <c r="J186" t="s">
        <v>313</v>
      </c>
      <c r="K186">
        <v>0</v>
      </c>
      <c r="L186" t="s">
        <v>164</v>
      </c>
      <c r="N186" t="s">
        <v>225</v>
      </c>
      <c r="O186" t="s">
        <v>313</v>
      </c>
      <c r="P186">
        <v>0.14455548977267427</v>
      </c>
      <c r="Q186" t="s">
        <v>164</v>
      </c>
    </row>
    <row r="187" spans="9:17" x14ac:dyDescent="0.45">
      <c r="I187" t="s">
        <v>189</v>
      </c>
      <c r="J187" t="s">
        <v>314</v>
      </c>
      <c r="K187">
        <v>1.5851208499942888E-2</v>
      </c>
      <c r="L187" t="s">
        <v>164</v>
      </c>
      <c r="N187" t="s">
        <v>225</v>
      </c>
      <c r="O187" t="s">
        <v>314</v>
      </c>
      <c r="P187">
        <v>5.2283101767909594E-3</v>
      </c>
      <c r="Q187" t="s">
        <v>164</v>
      </c>
    </row>
    <row r="188" spans="9:17" x14ac:dyDescent="0.45">
      <c r="I188" t="s">
        <v>189</v>
      </c>
      <c r="J188" t="s">
        <v>315</v>
      </c>
      <c r="K188">
        <v>0.27592234641716529</v>
      </c>
      <c r="L188" t="s">
        <v>164</v>
      </c>
      <c r="N188" t="s">
        <v>225</v>
      </c>
      <c r="O188" t="s">
        <v>315</v>
      </c>
      <c r="P188">
        <v>0.1386431161202987</v>
      </c>
      <c r="Q188" t="s">
        <v>164</v>
      </c>
    </row>
    <row r="189" spans="9:17" x14ac:dyDescent="0.45">
      <c r="I189" t="s">
        <v>189</v>
      </c>
      <c r="J189" t="s">
        <v>316</v>
      </c>
      <c r="K189">
        <v>0</v>
      </c>
      <c r="L189" t="s">
        <v>164</v>
      </c>
      <c r="N189" t="s">
        <v>225</v>
      </c>
      <c r="O189" t="s">
        <v>316</v>
      </c>
      <c r="P189">
        <v>0.25302294715941764</v>
      </c>
      <c r="Q189" t="s">
        <v>164</v>
      </c>
    </row>
    <row r="190" spans="9:17" x14ac:dyDescent="0.45">
      <c r="I190" t="s">
        <v>189</v>
      </c>
      <c r="J190" t="s">
        <v>317</v>
      </c>
      <c r="K190">
        <v>3.603657989962912E-2</v>
      </c>
      <c r="L190" t="s">
        <v>164</v>
      </c>
      <c r="N190" t="s">
        <v>225</v>
      </c>
      <c r="O190" t="s">
        <v>317</v>
      </c>
      <c r="P190">
        <v>1.4351870645461871E-2</v>
      </c>
      <c r="Q190" t="s">
        <v>164</v>
      </c>
    </row>
    <row r="191" spans="9:17" x14ac:dyDescent="0.45">
      <c r="I191" t="s">
        <v>190</v>
      </c>
      <c r="J191" t="s">
        <v>306</v>
      </c>
      <c r="K191">
        <v>0.23478878600299116</v>
      </c>
      <c r="L191" t="s">
        <v>164</v>
      </c>
      <c r="N191" t="s">
        <v>226</v>
      </c>
      <c r="O191" t="s">
        <v>306</v>
      </c>
      <c r="P191">
        <v>5.4082233584819332E-2</v>
      </c>
      <c r="Q191" t="s">
        <v>164</v>
      </c>
    </row>
    <row r="192" spans="9:17" x14ac:dyDescent="0.45">
      <c r="I192" t="s">
        <v>190</v>
      </c>
      <c r="J192" t="s">
        <v>307</v>
      </c>
      <c r="K192">
        <v>0</v>
      </c>
      <c r="L192" t="s">
        <v>164</v>
      </c>
      <c r="N192" t="s">
        <v>226</v>
      </c>
      <c r="O192" t="s">
        <v>307</v>
      </c>
      <c r="P192">
        <v>0.12319751463733718</v>
      </c>
      <c r="Q192" t="s">
        <v>164</v>
      </c>
    </row>
    <row r="193" spans="9:17" x14ac:dyDescent="0.45">
      <c r="I193" t="s">
        <v>190</v>
      </c>
      <c r="J193" t="s">
        <v>308</v>
      </c>
      <c r="K193">
        <v>2.5478203025671515E-2</v>
      </c>
      <c r="L193" t="s">
        <v>164</v>
      </c>
      <c r="N193" t="s">
        <v>226</v>
      </c>
      <c r="O193" t="s">
        <v>308</v>
      </c>
      <c r="P193">
        <v>5.0133607773590275E-3</v>
      </c>
      <c r="Q193" t="s">
        <v>164</v>
      </c>
    </row>
    <row r="194" spans="9:17" x14ac:dyDescent="0.45">
      <c r="I194" t="s">
        <v>190</v>
      </c>
      <c r="J194" t="s">
        <v>309</v>
      </c>
      <c r="K194">
        <v>0.22852959950290733</v>
      </c>
      <c r="L194" t="s">
        <v>164</v>
      </c>
      <c r="N194" t="s">
        <v>226</v>
      </c>
      <c r="O194" t="s">
        <v>309</v>
      </c>
      <c r="P194">
        <v>8.6036382762804439E-2</v>
      </c>
      <c r="Q194" t="s">
        <v>164</v>
      </c>
    </row>
    <row r="195" spans="9:17" x14ac:dyDescent="0.45">
      <c r="I195" t="s">
        <v>190</v>
      </c>
      <c r="J195" t="s">
        <v>310</v>
      </c>
      <c r="K195">
        <v>0</v>
      </c>
      <c r="L195" t="s">
        <v>164</v>
      </c>
      <c r="N195" t="s">
        <v>226</v>
      </c>
      <c r="O195" t="s">
        <v>310</v>
      </c>
      <c r="P195">
        <v>0.16114958459033601</v>
      </c>
      <c r="Q195" t="s">
        <v>164</v>
      </c>
    </row>
    <row r="196" spans="9:17" x14ac:dyDescent="0.45">
      <c r="I196" t="s">
        <v>190</v>
      </c>
      <c r="J196" t="s">
        <v>311</v>
      </c>
      <c r="K196">
        <v>2.6102292308476237E-2</v>
      </c>
      <c r="L196" t="s">
        <v>164</v>
      </c>
      <c r="N196" t="s">
        <v>226</v>
      </c>
      <c r="O196" t="s">
        <v>311</v>
      </c>
      <c r="P196">
        <v>7.3195457664758934E-3</v>
      </c>
      <c r="Q196" t="s">
        <v>164</v>
      </c>
    </row>
    <row r="197" spans="9:17" x14ac:dyDescent="0.45">
      <c r="I197" t="s">
        <v>190</v>
      </c>
      <c r="J197" t="s">
        <v>312</v>
      </c>
      <c r="K197">
        <v>0.17816820673456696</v>
      </c>
      <c r="L197" t="s">
        <v>164</v>
      </c>
      <c r="N197" t="s">
        <v>226</v>
      </c>
      <c r="O197" t="s">
        <v>312</v>
      </c>
      <c r="P197">
        <v>9.9692015666358713E-2</v>
      </c>
      <c r="Q197" t="s">
        <v>164</v>
      </c>
    </row>
    <row r="198" spans="9:17" x14ac:dyDescent="0.45">
      <c r="I198" t="s">
        <v>190</v>
      </c>
      <c r="J198" t="s">
        <v>313</v>
      </c>
      <c r="K198">
        <v>1.0706705761678376E-4</v>
      </c>
      <c r="L198" t="s">
        <v>164</v>
      </c>
      <c r="N198" t="s">
        <v>226</v>
      </c>
      <c r="O198" t="s">
        <v>313</v>
      </c>
      <c r="P198">
        <v>0.13760991855942539</v>
      </c>
      <c r="Q198" t="s">
        <v>164</v>
      </c>
    </row>
    <row r="199" spans="9:17" x14ac:dyDescent="0.45">
      <c r="I199" t="s">
        <v>190</v>
      </c>
      <c r="J199" t="s">
        <v>314</v>
      </c>
      <c r="K199">
        <v>2.0236660717847164E-2</v>
      </c>
      <c r="L199" t="s">
        <v>164</v>
      </c>
      <c r="N199" t="s">
        <v>226</v>
      </c>
      <c r="O199" t="s">
        <v>314</v>
      </c>
      <c r="P199">
        <v>4.8863163318775384E-3</v>
      </c>
      <c r="Q199" t="s">
        <v>164</v>
      </c>
    </row>
    <row r="200" spans="9:17" x14ac:dyDescent="0.45">
      <c r="I200" t="s">
        <v>190</v>
      </c>
      <c r="J200" t="s">
        <v>315</v>
      </c>
      <c r="K200">
        <v>0.25311942453995068</v>
      </c>
      <c r="L200" t="s">
        <v>164</v>
      </c>
      <c r="N200" t="s">
        <v>226</v>
      </c>
      <c r="O200" t="s">
        <v>315</v>
      </c>
      <c r="P200">
        <v>9.2444244803705444E-2</v>
      </c>
      <c r="Q200" t="s">
        <v>164</v>
      </c>
    </row>
    <row r="201" spans="9:17" x14ac:dyDescent="0.45">
      <c r="I201" t="s">
        <v>190</v>
      </c>
      <c r="J201" t="s">
        <v>316</v>
      </c>
      <c r="K201">
        <v>0</v>
      </c>
      <c r="L201" t="s">
        <v>164</v>
      </c>
      <c r="N201" t="s">
        <v>226</v>
      </c>
      <c r="O201" t="s">
        <v>316</v>
      </c>
      <c r="P201">
        <v>0.21408892780925823</v>
      </c>
      <c r="Q201" t="s">
        <v>164</v>
      </c>
    </row>
    <row r="202" spans="9:17" x14ac:dyDescent="0.45">
      <c r="I202" t="s">
        <v>190</v>
      </c>
      <c r="J202" t="s">
        <v>317</v>
      </c>
      <c r="K202">
        <v>3.346976010997596E-2</v>
      </c>
      <c r="L202" t="s">
        <v>164</v>
      </c>
      <c r="N202" t="s">
        <v>226</v>
      </c>
      <c r="O202" t="s">
        <v>317</v>
      </c>
      <c r="P202">
        <v>1.4479954710240073E-2</v>
      </c>
      <c r="Q202" t="s">
        <v>164</v>
      </c>
    </row>
    <row r="203" spans="9:17" x14ac:dyDescent="0.45">
      <c r="I203" t="s">
        <v>191</v>
      </c>
      <c r="J203" t="s">
        <v>306</v>
      </c>
      <c r="K203">
        <v>0.23428757034808487</v>
      </c>
      <c r="L203" t="s">
        <v>164</v>
      </c>
      <c r="N203" t="s">
        <v>227</v>
      </c>
      <c r="O203" t="s">
        <v>306</v>
      </c>
      <c r="P203">
        <v>5.260037105869645E-2</v>
      </c>
      <c r="Q203" t="s">
        <v>164</v>
      </c>
    </row>
    <row r="204" spans="9:17" x14ac:dyDescent="0.45">
      <c r="I204" t="s">
        <v>191</v>
      </c>
      <c r="J204" t="s">
        <v>307</v>
      </c>
      <c r="K204">
        <v>0</v>
      </c>
      <c r="L204" t="s">
        <v>164</v>
      </c>
      <c r="N204" t="s">
        <v>227</v>
      </c>
      <c r="O204" t="s">
        <v>307</v>
      </c>
      <c r="P204">
        <v>9.3817495412837959E-2</v>
      </c>
      <c r="Q204" t="s">
        <v>164</v>
      </c>
    </row>
    <row r="205" spans="9:17" x14ac:dyDescent="0.45">
      <c r="I205" t="s">
        <v>191</v>
      </c>
      <c r="J205" t="s">
        <v>308</v>
      </c>
      <c r="K205">
        <v>2.4805689593464752E-2</v>
      </c>
      <c r="L205" t="s">
        <v>164</v>
      </c>
      <c r="N205" t="s">
        <v>227</v>
      </c>
      <c r="O205" t="s">
        <v>308</v>
      </c>
      <c r="P205">
        <v>5.3572477032339588E-3</v>
      </c>
      <c r="Q205" t="s">
        <v>164</v>
      </c>
    </row>
    <row r="206" spans="9:17" x14ac:dyDescent="0.45">
      <c r="I206" t="s">
        <v>191</v>
      </c>
      <c r="J206" t="s">
        <v>309</v>
      </c>
      <c r="K206">
        <v>0.23417786737292692</v>
      </c>
      <c r="L206" t="s">
        <v>164</v>
      </c>
      <c r="N206" t="s">
        <v>227</v>
      </c>
      <c r="O206" t="s">
        <v>309</v>
      </c>
      <c r="P206">
        <v>9.049295446128372E-2</v>
      </c>
      <c r="Q206" t="s">
        <v>164</v>
      </c>
    </row>
    <row r="207" spans="9:17" x14ac:dyDescent="0.45">
      <c r="I207" t="s">
        <v>191</v>
      </c>
      <c r="J207" t="s">
        <v>310</v>
      </c>
      <c r="K207">
        <v>0</v>
      </c>
      <c r="L207" t="s">
        <v>164</v>
      </c>
      <c r="N207" t="s">
        <v>227</v>
      </c>
      <c r="O207" t="s">
        <v>310</v>
      </c>
      <c r="P207">
        <v>0.16274709669046383</v>
      </c>
      <c r="Q207" t="s">
        <v>164</v>
      </c>
    </row>
    <row r="208" spans="9:17" x14ac:dyDescent="0.45">
      <c r="I208" t="s">
        <v>191</v>
      </c>
      <c r="J208" t="s">
        <v>311</v>
      </c>
      <c r="K208">
        <v>3.0256309576275956E-2</v>
      </c>
      <c r="L208" t="s">
        <v>164</v>
      </c>
      <c r="N208" t="s">
        <v>227</v>
      </c>
      <c r="O208" t="s">
        <v>311</v>
      </c>
      <c r="P208">
        <v>8.3806530566372366E-3</v>
      </c>
      <c r="Q208" t="s">
        <v>164</v>
      </c>
    </row>
    <row r="209" spans="9:17" x14ac:dyDescent="0.45">
      <c r="I209" t="s">
        <v>191</v>
      </c>
      <c r="J209" t="s">
        <v>312</v>
      </c>
      <c r="K209">
        <v>0.19483982254775728</v>
      </c>
      <c r="L209" t="s">
        <v>164</v>
      </c>
      <c r="N209" t="s">
        <v>227</v>
      </c>
      <c r="O209" t="s">
        <v>312</v>
      </c>
      <c r="P209">
        <v>0.11281573954506928</v>
      </c>
      <c r="Q209" t="s">
        <v>164</v>
      </c>
    </row>
    <row r="210" spans="9:17" x14ac:dyDescent="0.45">
      <c r="I210" t="s">
        <v>191</v>
      </c>
      <c r="J210" t="s">
        <v>313</v>
      </c>
      <c r="K210">
        <v>1.2875633359278518E-3</v>
      </c>
      <c r="L210" t="s">
        <v>164</v>
      </c>
      <c r="N210" t="s">
        <v>227</v>
      </c>
      <c r="O210" t="s">
        <v>313</v>
      </c>
      <c r="P210">
        <v>0.13624942658904377</v>
      </c>
      <c r="Q210" t="s">
        <v>164</v>
      </c>
    </row>
    <row r="211" spans="9:17" x14ac:dyDescent="0.45">
      <c r="I211" t="s">
        <v>191</v>
      </c>
      <c r="J211" t="s">
        <v>314</v>
      </c>
      <c r="K211">
        <v>2.2032970575432635E-2</v>
      </c>
      <c r="L211" t="s">
        <v>164</v>
      </c>
      <c r="N211" t="s">
        <v>227</v>
      </c>
      <c r="O211" t="s">
        <v>314</v>
      </c>
      <c r="P211">
        <v>5.2775654942843761E-3</v>
      </c>
      <c r="Q211" t="s">
        <v>164</v>
      </c>
    </row>
    <row r="212" spans="9:17" x14ac:dyDescent="0.45">
      <c r="I212" t="s">
        <v>191</v>
      </c>
      <c r="J212" t="s">
        <v>315</v>
      </c>
      <c r="K212">
        <v>0.22917828838633236</v>
      </c>
      <c r="L212" t="s">
        <v>164</v>
      </c>
      <c r="N212" t="s">
        <v>227</v>
      </c>
      <c r="O212" t="s">
        <v>315</v>
      </c>
      <c r="P212">
        <v>0.1039633795105069</v>
      </c>
      <c r="Q212" t="s">
        <v>164</v>
      </c>
    </row>
    <row r="213" spans="9:17" x14ac:dyDescent="0.45">
      <c r="I213" t="s">
        <v>191</v>
      </c>
      <c r="J213" t="s">
        <v>316</v>
      </c>
      <c r="K213">
        <v>0</v>
      </c>
      <c r="L213" t="s">
        <v>164</v>
      </c>
      <c r="N213" t="s">
        <v>227</v>
      </c>
      <c r="O213" t="s">
        <v>316</v>
      </c>
      <c r="P213">
        <v>0.21085130213475092</v>
      </c>
      <c r="Q213" t="s">
        <v>164</v>
      </c>
    </row>
    <row r="214" spans="9:17" x14ac:dyDescent="0.45">
      <c r="I214" t="s">
        <v>191</v>
      </c>
      <c r="J214" t="s">
        <v>317</v>
      </c>
      <c r="K214">
        <v>2.9133918263797184E-2</v>
      </c>
      <c r="L214" t="s">
        <v>164</v>
      </c>
      <c r="N214" t="s">
        <v>227</v>
      </c>
      <c r="O214" t="s">
        <v>317</v>
      </c>
      <c r="P214">
        <v>1.7446768343192302E-2</v>
      </c>
      <c r="Q214" t="s">
        <v>164</v>
      </c>
    </row>
    <row r="215" spans="9:17" x14ac:dyDescent="0.45">
      <c r="I215" t="s">
        <v>192</v>
      </c>
      <c r="J215" t="s">
        <v>306</v>
      </c>
      <c r="K215">
        <v>0.23609898218631903</v>
      </c>
      <c r="L215" t="s">
        <v>164</v>
      </c>
      <c r="N215" t="s">
        <v>228</v>
      </c>
      <c r="O215" t="s">
        <v>306</v>
      </c>
      <c r="P215">
        <v>5.7497179593111777E-2</v>
      </c>
      <c r="Q215" t="s">
        <v>164</v>
      </c>
    </row>
    <row r="216" spans="9:17" x14ac:dyDescent="0.45">
      <c r="I216" t="s">
        <v>192</v>
      </c>
      <c r="J216" t="s">
        <v>307</v>
      </c>
      <c r="K216">
        <v>0</v>
      </c>
      <c r="L216" t="s">
        <v>164</v>
      </c>
      <c r="N216" t="s">
        <v>228</v>
      </c>
      <c r="O216" t="s">
        <v>307</v>
      </c>
      <c r="P216">
        <v>0.14323878974044174</v>
      </c>
      <c r="Q216" t="s">
        <v>164</v>
      </c>
    </row>
    <row r="217" spans="9:17" x14ac:dyDescent="0.45">
      <c r="I217" t="s">
        <v>192</v>
      </c>
      <c r="J217" t="s">
        <v>308</v>
      </c>
      <c r="K217">
        <v>2.5057409724219017E-2</v>
      </c>
      <c r="L217" t="s">
        <v>164</v>
      </c>
      <c r="N217" t="s">
        <v>228</v>
      </c>
      <c r="O217" t="s">
        <v>308</v>
      </c>
      <c r="P217">
        <v>1.3354321278909093E-2</v>
      </c>
      <c r="Q217" t="s">
        <v>164</v>
      </c>
    </row>
    <row r="218" spans="9:17" x14ac:dyDescent="0.45">
      <c r="I218" t="s">
        <v>192</v>
      </c>
      <c r="J218" t="s">
        <v>309</v>
      </c>
      <c r="K218">
        <v>0.2341825072025536</v>
      </c>
      <c r="L218" t="s">
        <v>164</v>
      </c>
      <c r="N218" t="s">
        <v>228</v>
      </c>
      <c r="O218" t="s">
        <v>309</v>
      </c>
      <c r="P218">
        <v>6.8771604695295044E-2</v>
      </c>
      <c r="Q218" t="s">
        <v>164</v>
      </c>
    </row>
    <row r="219" spans="9:17" x14ac:dyDescent="0.45">
      <c r="I219" t="s">
        <v>192</v>
      </c>
      <c r="J219" t="s">
        <v>310</v>
      </c>
      <c r="K219">
        <v>0</v>
      </c>
      <c r="L219" t="s">
        <v>164</v>
      </c>
      <c r="N219" t="s">
        <v>228</v>
      </c>
      <c r="O219" t="s">
        <v>310</v>
      </c>
      <c r="P219">
        <v>0.14127850703812575</v>
      </c>
      <c r="Q219" t="s">
        <v>164</v>
      </c>
    </row>
    <row r="220" spans="9:17" x14ac:dyDescent="0.45">
      <c r="I220" t="s">
        <v>192</v>
      </c>
      <c r="J220" t="s">
        <v>311</v>
      </c>
      <c r="K220">
        <v>2.8111302702433498E-2</v>
      </c>
      <c r="L220" t="s">
        <v>164</v>
      </c>
      <c r="N220" t="s">
        <v>228</v>
      </c>
      <c r="O220" t="s">
        <v>311</v>
      </c>
      <c r="P220">
        <v>1.2538910323918183E-2</v>
      </c>
      <c r="Q220" t="s">
        <v>164</v>
      </c>
    </row>
    <row r="221" spans="9:17" x14ac:dyDescent="0.45">
      <c r="I221" t="s">
        <v>192</v>
      </c>
      <c r="J221" t="s">
        <v>312</v>
      </c>
      <c r="K221">
        <v>0.18381703719486073</v>
      </c>
      <c r="L221" t="s">
        <v>164</v>
      </c>
      <c r="N221" t="s">
        <v>228</v>
      </c>
      <c r="O221" t="s">
        <v>312</v>
      </c>
      <c r="P221">
        <v>7.0026699191145861E-2</v>
      </c>
      <c r="Q221" t="s">
        <v>164</v>
      </c>
    </row>
    <row r="222" spans="9:17" x14ac:dyDescent="0.45">
      <c r="I222" t="s">
        <v>192</v>
      </c>
      <c r="J222" t="s">
        <v>313</v>
      </c>
      <c r="K222">
        <v>3.9879902184582791E-4</v>
      </c>
      <c r="L222" t="s">
        <v>164</v>
      </c>
      <c r="N222" t="s">
        <v>228</v>
      </c>
      <c r="O222" t="s">
        <v>313</v>
      </c>
      <c r="P222">
        <v>0.1365926780637004</v>
      </c>
      <c r="Q222" t="s">
        <v>164</v>
      </c>
    </row>
    <row r="223" spans="9:17" x14ac:dyDescent="0.45">
      <c r="I223" t="s">
        <v>192</v>
      </c>
      <c r="J223" t="s">
        <v>314</v>
      </c>
      <c r="K223">
        <v>1.8911129011947747E-2</v>
      </c>
      <c r="L223" t="s">
        <v>164</v>
      </c>
      <c r="N223" t="s">
        <v>228</v>
      </c>
      <c r="O223" t="s">
        <v>314</v>
      </c>
      <c r="P223">
        <v>5.3974530573157199E-3</v>
      </c>
      <c r="Q223" t="s">
        <v>164</v>
      </c>
    </row>
    <row r="224" spans="9:17" x14ac:dyDescent="0.45">
      <c r="I224" t="s">
        <v>192</v>
      </c>
      <c r="J224" t="s">
        <v>315</v>
      </c>
      <c r="K224">
        <v>0.24220334466773821</v>
      </c>
      <c r="L224" t="s">
        <v>164</v>
      </c>
      <c r="N224" t="s">
        <v>228</v>
      </c>
      <c r="O224" t="s">
        <v>315</v>
      </c>
      <c r="P224">
        <v>0.1043255292038367</v>
      </c>
      <c r="Q224" t="s">
        <v>164</v>
      </c>
    </row>
    <row r="225" spans="9:17" x14ac:dyDescent="0.45">
      <c r="I225" t="s">
        <v>192</v>
      </c>
      <c r="J225" t="s">
        <v>316</v>
      </c>
      <c r="K225">
        <v>0</v>
      </c>
      <c r="L225" t="s">
        <v>164</v>
      </c>
      <c r="N225" t="s">
        <v>228</v>
      </c>
      <c r="O225" t="s">
        <v>316</v>
      </c>
      <c r="P225">
        <v>0.22549154268241817</v>
      </c>
      <c r="Q225" t="s">
        <v>164</v>
      </c>
    </row>
    <row r="226" spans="9:17" x14ac:dyDescent="0.45">
      <c r="I226" t="s">
        <v>192</v>
      </c>
      <c r="J226" t="s">
        <v>317</v>
      </c>
      <c r="K226">
        <v>3.1219488288079737E-2</v>
      </c>
      <c r="L226" t="s">
        <v>164</v>
      </c>
      <c r="N226" t="s">
        <v>228</v>
      </c>
      <c r="O226" t="s">
        <v>317</v>
      </c>
      <c r="P226">
        <v>2.1486785131782836E-2</v>
      </c>
      <c r="Q226" t="s">
        <v>164</v>
      </c>
    </row>
    <row r="227" spans="9:17" x14ac:dyDescent="0.45">
      <c r="I227" t="s">
        <v>193</v>
      </c>
      <c r="J227" t="s">
        <v>306</v>
      </c>
      <c r="K227">
        <v>0.2391088207183982</v>
      </c>
      <c r="L227" t="s">
        <v>164</v>
      </c>
      <c r="N227" t="s">
        <v>229</v>
      </c>
      <c r="O227" t="s">
        <v>306</v>
      </c>
      <c r="P227">
        <v>6.1424362234919198E-2</v>
      </c>
      <c r="Q227" t="s">
        <v>164</v>
      </c>
    </row>
    <row r="228" spans="9:17" x14ac:dyDescent="0.45">
      <c r="I228" t="s">
        <v>193</v>
      </c>
      <c r="J228" t="s">
        <v>307</v>
      </c>
      <c r="K228">
        <v>0</v>
      </c>
      <c r="L228" t="s">
        <v>164</v>
      </c>
      <c r="N228" t="s">
        <v>229</v>
      </c>
      <c r="O228" t="s">
        <v>307</v>
      </c>
      <c r="P228">
        <v>0.13116911197709633</v>
      </c>
      <c r="Q228" t="s">
        <v>164</v>
      </c>
    </row>
    <row r="229" spans="9:17" x14ac:dyDescent="0.45">
      <c r="I229" t="s">
        <v>193</v>
      </c>
      <c r="J229" t="s">
        <v>308</v>
      </c>
      <c r="K229">
        <v>5.8630723394528265E-3</v>
      </c>
      <c r="L229" t="s">
        <v>164</v>
      </c>
      <c r="N229" t="s">
        <v>229</v>
      </c>
      <c r="O229" t="s">
        <v>308</v>
      </c>
      <c r="P229">
        <v>7.4258684412850931E-3</v>
      </c>
      <c r="Q229" t="s">
        <v>164</v>
      </c>
    </row>
    <row r="230" spans="9:17" x14ac:dyDescent="0.45">
      <c r="I230" t="s">
        <v>193</v>
      </c>
      <c r="J230" t="s">
        <v>309</v>
      </c>
      <c r="K230">
        <v>0.23382875707435738</v>
      </c>
      <c r="L230" t="s">
        <v>164</v>
      </c>
      <c r="N230" t="s">
        <v>229</v>
      </c>
      <c r="O230" t="s">
        <v>309</v>
      </c>
      <c r="P230">
        <v>8.8393161974876677E-2</v>
      </c>
      <c r="Q230" t="s">
        <v>164</v>
      </c>
    </row>
    <row r="231" spans="9:17" x14ac:dyDescent="0.45">
      <c r="I231" t="s">
        <v>193</v>
      </c>
      <c r="J231" t="s">
        <v>310</v>
      </c>
      <c r="K231">
        <v>0</v>
      </c>
      <c r="L231" t="s">
        <v>164</v>
      </c>
      <c r="N231" t="s">
        <v>229</v>
      </c>
      <c r="O231" t="s">
        <v>310</v>
      </c>
      <c r="P231">
        <v>0.15585131832463417</v>
      </c>
      <c r="Q231" t="s">
        <v>164</v>
      </c>
    </row>
    <row r="232" spans="9:17" x14ac:dyDescent="0.45">
      <c r="I232" t="s">
        <v>193</v>
      </c>
      <c r="J232" t="s">
        <v>311</v>
      </c>
      <c r="K232">
        <v>5.8668820592655824E-3</v>
      </c>
      <c r="L232" t="s">
        <v>164</v>
      </c>
      <c r="N232" t="s">
        <v>229</v>
      </c>
      <c r="O232" t="s">
        <v>311</v>
      </c>
      <c r="P232">
        <v>1.1340511266188855E-2</v>
      </c>
      <c r="Q232" t="s">
        <v>164</v>
      </c>
    </row>
    <row r="233" spans="9:17" x14ac:dyDescent="0.45">
      <c r="I233" t="s">
        <v>193</v>
      </c>
      <c r="J233" t="s">
        <v>312</v>
      </c>
      <c r="K233">
        <v>0.18793201731397649</v>
      </c>
      <c r="L233" t="s">
        <v>164</v>
      </c>
      <c r="N233" t="s">
        <v>229</v>
      </c>
      <c r="O233" t="s">
        <v>312</v>
      </c>
      <c r="P233">
        <v>8.7105681531031376E-2</v>
      </c>
      <c r="Q233" t="s">
        <v>164</v>
      </c>
    </row>
    <row r="234" spans="9:17" x14ac:dyDescent="0.45">
      <c r="I234" t="s">
        <v>193</v>
      </c>
      <c r="J234" t="s">
        <v>313</v>
      </c>
      <c r="K234">
        <v>0</v>
      </c>
      <c r="L234" t="s">
        <v>164</v>
      </c>
      <c r="N234" t="s">
        <v>229</v>
      </c>
      <c r="O234" t="s">
        <v>313</v>
      </c>
      <c r="P234">
        <v>0.11474416467683948</v>
      </c>
      <c r="Q234" t="s">
        <v>164</v>
      </c>
    </row>
    <row r="235" spans="9:17" x14ac:dyDescent="0.45">
      <c r="I235" t="s">
        <v>193</v>
      </c>
      <c r="J235" t="s">
        <v>314</v>
      </c>
      <c r="K235">
        <v>5.252918490472715E-3</v>
      </c>
      <c r="L235" t="s">
        <v>164</v>
      </c>
      <c r="N235" t="s">
        <v>229</v>
      </c>
      <c r="O235" t="s">
        <v>314</v>
      </c>
      <c r="P235">
        <v>5.2917035775376696E-3</v>
      </c>
      <c r="Q235" t="s">
        <v>164</v>
      </c>
    </row>
    <row r="236" spans="9:17" x14ac:dyDescent="0.45">
      <c r="I236" t="s">
        <v>193</v>
      </c>
      <c r="J236" t="s">
        <v>315</v>
      </c>
      <c r="K236">
        <v>0.30821729697009304</v>
      </c>
      <c r="L236" t="s">
        <v>164</v>
      </c>
      <c r="N236" t="s">
        <v>229</v>
      </c>
      <c r="O236" t="s">
        <v>315</v>
      </c>
      <c r="P236">
        <v>0.10549478954737172</v>
      </c>
      <c r="Q236" t="s">
        <v>164</v>
      </c>
    </row>
    <row r="237" spans="9:17" x14ac:dyDescent="0.45">
      <c r="I237" t="s">
        <v>193</v>
      </c>
      <c r="J237" t="s">
        <v>316</v>
      </c>
      <c r="K237">
        <v>0</v>
      </c>
      <c r="L237" t="s">
        <v>164</v>
      </c>
      <c r="N237" t="s">
        <v>229</v>
      </c>
      <c r="O237" t="s">
        <v>316</v>
      </c>
      <c r="P237">
        <v>0.21432128812632528</v>
      </c>
      <c r="Q237" t="s">
        <v>164</v>
      </c>
    </row>
    <row r="238" spans="9:17" x14ac:dyDescent="0.45">
      <c r="I238" t="s">
        <v>193</v>
      </c>
      <c r="J238" t="s">
        <v>317</v>
      </c>
      <c r="K238">
        <v>1.3930235033982739E-2</v>
      </c>
      <c r="L238" t="s">
        <v>164</v>
      </c>
      <c r="N238" t="s">
        <v>229</v>
      </c>
      <c r="O238" t="s">
        <v>317</v>
      </c>
      <c r="P238">
        <v>1.7438038321895135E-2</v>
      </c>
      <c r="Q238" t="s">
        <v>164</v>
      </c>
    </row>
    <row r="239" spans="9:17" x14ac:dyDescent="0.45">
      <c r="I239" t="s">
        <v>194</v>
      </c>
      <c r="J239" t="s">
        <v>306</v>
      </c>
      <c r="K239">
        <v>0.24167329880989377</v>
      </c>
      <c r="L239" t="s">
        <v>164</v>
      </c>
      <c r="N239" t="s">
        <v>230</v>
      </c>
      <c r="O239" t="s">
        <v>306</v>
      </c>
      <c r="P239">
        <v>4.4652614352954485E-2</v>
      </c>
      <c r="Q239" t="s">
        <v>164</v>
      </c>
    </row>
    <row r="240" spans="9:17" x14ac:dyDescent="0.45">
      <c r="I240" t="s">
        <v>194</v>
      </c>
      <c r="J240" t="s">
        <v>307</v>
      </c>
      <c r="K240">
        <v>0</v>
      </c>
      <c r="L240" t="s">
        <v>164</v>
      </c>
      <c r="N240" t="s">
        <v>230</v>
      </c>
      <c r="O240" t="s">
        <v>307</v>
      </c>
      <c r="P240">
        <v>0.13520571072083973</v>
      </c>
      <c r="Q240" t="s">
        <v>164</v>
      </c>
    </row>
    <row r="241" spans="9:17" x14ac:dyDescent="0.45">
      <c r="I241" t="s">
        <v>194</v>
      </c>
      <c r="J241" t="s">
        <v>308</v>
      </c>
      <c r="K241">
        <v>7.4566366833278717E-3</v>
      </c>
      <c r="L241" t="s">
        <v>164</v>
      </c>
      <c r="N241" t="s">
        <v>230</v>
      </c>
      <c r="O241" t="s">
        <v>308</v>
      </c>
      <c r="P241">
        <v>8.2245121004680174E-3</v>
      </c>
      <c r="Q241" t="s">
        <v>164</v>
      </c>
    </row>
    <row r="242" spans="9:17" x14ac:dyDescent="0.45">
      <c r="I242" t="s">
        <v>194</v>
      </c>
      <c r="J242" t="s">
        <v>309</v>
      </c>
      <c r="K242">
        <v>0.24529679286517925</v>
      </c>
      <c r="L242" t="s">
        <v>164</v>
      </c>
      <c r="N242" t="s">
        <v>230</v>
      </c>
      <c r="O242" t="s">
        <v>309</v>
      </c>
      <c r="P242">
        <v>6.3181973266695599E-2</v>
      </c>
      <c r="Q242" t="s">
        <v>164</v>
      </c>
    </row>
    <row r="243" spans="9:17" x14ac:dyDescent="0.45">
      <c r="I243" t="s">
        <v>194</v>
      </c>
      <c r="J243" t="s">
        <v>310</v>
      </c>
      <c r="K243">
        <v>0</v>
      </c>
      <c r="L243" t="s">
        <v>164</v>
      </c>
      <c r="N243" t="s">
        <v>230</v>
      </c>
      <c r="O243" t="s">
        <v>310</v>
      </c>
      <c r="P243">
        <v>0.16633655260339714</v>
      </c>
      <c r="Q243" t="s">
        <v>164</v>
      </c>
    </row>
    <row r="244" spans="9:17" x14ac:dyDescent="0.45">
      <c r="I244" t="s">
        <v>194</v>
      </c>
      <c r="J244" t="s">
        <v>311</v>
      </c>
      <c r="K244">
        <v>8.9920212506184455E-3</v>
      </c>
      <c r="L244" t="s">
        <v>164</v>
      </c>
      <c r="N244" t="s">
        <v>230</v>
      </c>
      <c r="O244" t="s">
        <v>311</v>
      </c>
      <c r="P244">
        <v>8.7877780476780624E-3</v>
      </c>
      <c r="Q244" t="s">
        <v>164</v>
      </c>
    </row>
    <row r="245" spans="9:17" x14ac:dyDescent="0.45">
      <c r="I245" t="s">
        <v>194</v>
      </c>
      <c r="J245" t="s">
        <v>312</v>
      </c>
      <c r="K245">
        <v>0.18064106699568502</v>
      </c>
      <c r="L245" t="s">
        <v>164</v>
      </c>
      <c r="N245" t="s">
        <v>230</v>
      </c>
      <c r="O245" t="s">
        <v>312</v>
      </c>
      <c r="P245">
        <v>5.7465814750517312E-2</v>
      </c>
      <c r="Q245" t="s">
        <v>164</v>
      </c>
    </row>
    <row r="246" spans="9:17" x14ac:dyDescent="0.45">
      <c r="I246" t="s">
        <v>194</v>
      </c>
      <c r="J246" t="s">
        <v>313</v>
      </c>
      <c r="K246">
        <v>0</v>
      </c>
      <c r="L246" t="s">
        <v>164</v>
      </c>
      <c r="N246" t="s">
        <v>230</v>
      </c>
      <c r="O246" t="s">
        <v>313</v>
      </c>
      <c r="P246">
        <v>0.14255612107518514</v>
      </c>
      <c r="Q246" t="s">
        <v>164</v>
      </c>
    </row>
    <row r="247" spans="9:17" x14ac:dyDescent="0.45">
      <c r="I247" t="s">
        <v>194</v>
      </c>
      <c r="J247" t="s">
        <v>314</v>
      </c>
      <c r="K247">
        <v>8.0224952665827881E-3</v>
      </c>
      <c r="L247" t="s">
        <v>164</v>
      </c>
      <c r="N247" t="s">
        <v>230</v>
      </c>
      <c r="O247" t="s">
        <v>314</v>
      </c>
      <c r="P247">
        <v>6.0423090768714979E-3</v>
      </c>
      <c r="Q247" t="s">
        <v>164</v>
      </c>
    </row>
    <row r="248" spans="9:17" x14ac:dyDescent="0.45">
      <c r="I248" t="s">
        <v>194</v>
      </c>
      <c r="J248" t="s">
        <v>315</v>
      </c>
      <c r="K248">
        <v>0.29375508571174508</v>
      </c>
      <c r="L248" t="s">
        <v>164</v>
      </c>
      <c r="N248" t="s">
        <v>230</v>
      </c>
      <c r="O248" t="s">
        <v>315</v>
      </c>
      <c r="P248">
        <v>8.9817618379329042E-2</v>
      </c>
      <c r="Q248" t="s">
        <v>164</v>
      </c>
    </row>
    <row r="249" spans="9:17" x14ac:dyDescent="0.45">
      <c r="I249" t="s">
        <v>194</v>
      </c>
      <c r="J249" t="s">
        <v>316</v>
      </c>
      <c r="K249">
        <v>0</v>
      </c>
      <c r="L249" t="s">
        <v>164</v>
      </c>
      <c r="N249" t="s">
        <v>230</v>
      </c>
      <c r="O249" t="s">
        <v>316</v>
      </c>
      <c r="P249">
        <v>0.2590918079982617</v>
      </c>
      <c r="Q249" t="s">
        <v>164</v>
      </c>
    </row>
    <row r="250" spans="9:17" x14ac:dyDescent="0.45">
      <c r="I250" t="s">
        <v>194</v>
      </c>
      <c r="J250" t="s">
        <v>317</v>
      </c>
      <c r="K250">
        <v>1.4162602416967504E-2</v>
      </c>
      <c r="L250" t="s">
        <v>164</v>
      </c>
      <c r="N250" t="s">
        <v>230</v>
      </c>
      <c r="O250" t="s">
        <v>317</v>
      </c>
      <c r="P250">
        <v>1.8637187627801113E-2</v>
      </c>
      <c r="Q250" t="s">
        <v>164</v>
      </c>
    </row>
    <row r="251" spans="9:17" x14ac:dyDescent="0.45">
      <c r="I251" t="s">
        <v>195</v>
      </c>
      <c r="J251" t="s">
        <v>306</v>
      </c>
      <c r="K251">
        <v>0.2358704914271226</v>
      </c>
      <c r="L251" t="s">
        <v>164</v>
      </c>
      <c r="N251" t="s">
        <v>231</v>
      </c>
      <c r="O251" t="s">
        <v>306</v>
      </c>
      <c r="P251">
        <v>4.1156130234169343E-2</v>
      </c>
      <c r="Q251" t="s">
        <v>164</v>
      </c>
    </row>
    <row r="252" spans="9:17" x14ac:dyDescent="0.45">
      <c r="I252" t="s">
        <v>195</v>
      </c>
      <c r="J252" t="s">
        <v>307</v>
      </c>
      <c r="K252">
        <v>0</v>
      </c>
      <c r="L252" t="s">
        <v>164</v>
      </c>
      <c r="N252" t="s">
        <v>231</v>
      </c>
      <c r="O252" t="s">
        <v>307</v>
      </c>
      <c r="P252">
        <v>0.10476061003287088</v>
      </c>
      <c r="Q252" t="s">
        <v>164</v>
      </c>
    </row>
    <row r="253" spans="9:17" x14ac:dyDescent="0.45">
      <c r="I253" t="s">
        <v>195</v>
      </c>
      <c r="J253" t="s">
        <v>308</v>
      </c>
      <c r="K253">
        <v>1.209182343593747E-2</v>
      </c>
      <c r="L253" t="s">
        <v>164</v>
      </c>
      <c r="N253" t="s">
        <v>231</v>
      </c>
      <c r="O253" t="s">
        <v>308</v>
      </c>
      <c r="P253">
        <v>5.9029846000427108E-3</v>
      </c>
      <c r="Q253" t="s">
        <v>164</v>
      </c>
    </row>
    <row r="254" spans="9:17" x14ac:dyDescent="0.45">
      <c r="I254" t="s">
        <v>195</v>
      </c>
      <c r="J254" t="s">
        <v>309</v>
      </c>
      <c r="K254">
        <v>0.2360542298804936</v>
      </c>
      <c r="L254" t="s">
        <v>164</v>
      </c>
      <c r="N254" t="s">
        <v>231</v>
      </c>
      <c r="O254" t="s">
        <v>309</v>
      </c>
      <c r="P254">
        <v>5.9502058823720005E-2</v>
      </c>
      <c r="Q254" t="s">
        <v>164</v>
      </c>
    </row>
    <row r="255" spans="9:17" x14ac:dyDescent="0.45">
      <c r="I255" t="s">
        <v>195</v>
      </c>
      <c r="J255" t="s">
        <v>310</v>
      </c>
      <c r="K255">
        <v>0</v>
      </c>
      <c r="L255" t="s">
        <v>164</v>
      </c>
      <c r="N255" t="s">
        <v>231</v>
      </c>
      <c r="O255" t="s">
        <v>310</v>
      </c>
      <c r="P255">
        <v>0.19320313278603465</v>
      </c>
      <c r="Q255" t="s">
        <v>164</v>
      </c>
    </row>
    <row r="256" spans="9:17" x14ac:dyDescent="0.45">
      <c r="I256" t="s">
        <v>195</v>
      </c>
      <c r="J256" t="s">
        <v>311</v>
      </c>
      <c r="K256">
        <v>1.4180272622805809E-2</v>
      </c>
      <c r="L256" t="s">
        <v>164</v>
      </c>
      <c r="N256" t="s">
        <v>231</v>
      </c>
      <c r="O256" t="s">
        <v>311</v>
      </c>
      <c r="P256">
        <v>1.1755245293477486E-2</v>
      </c>
      <c r="Q256" t="s">
        <v>164</v>
      </c>
    </row>
    <row r="257" spans="9:17" x14ac:dyDescent="0.45">
      <c r="I257" t="s">
        <v>195</v>
      </c>
      <c r="J257" t="s">
        <v>312</v>
      </c>
      <c r="K257">
        <v>0.17602106407830276</v>
      </c>
      <c r="L257" t="s">
        <v>164</v>
      </c>
      <c r="N257" t="s">
        <v>231</v>
      </c>
      <c r="O257" t="s">
        <v>312</v>
      </c>
      <c r="P257">
        <v>5.4959110557763015E-2</v>
      </c>
      <c r="Q257" t="s">
        <v>164</v>
      </c>
    </row>
    <row r="258" spans="9:17" x14ac:dyDescent="0.45">
      <c r="I258" t="s">
        <v>195</v>
      </c>
      <c r="J258" t="s">
        <v>313</v>
      </c>
      <c r="K258">
        <v>0</v>
      </c>
      <c r="L258" t="s">
        <v>164</v>
      </c>
      <c r="N258" t="s">
        <v>231</v>
      </c>
      <c r="O258" t="s">
        <v>313</v>
      </c>
      <c r="P258">
        <v>0.14521026599780007</v>
      </c>
      <c r="Q258" t="s">
        <v>164</v>
      </c>
    </row>
    <row r="259" spans="9:17" x14ac:dyDescent="0.45">
      <c r="I259" t="s">
        <v>195</v>
      </c>
      <c r="J259" t="s">
        <v>314</v>
      </c>
      <c r="K259">
        <v>1.4267599587087496E-2</v>
      </c>
      <c r="L259" t="s">
        <v>164</v>
      </c>
      <c r="N259" t="s">
        <v>231</v>
      </c>
      <c r="O259" t="s">
        <v>314</v>
      </c>
      <c r="P259">
        <v>9.4338146927937828E-3</v>
      </c>
      <c r="Q259" t="s">
        <v>164</v>
      </c>
    </row>
    <row r="260" spans="9:17" x14ac:dyDescent="0.45">
      <c r="I260" t="s">
        <v>195</v>
      </c>
      <c r="J260" t="s">
        <v>315</v>
      </c>
      <c r="K260">
        <v>0.29491897563971187</v>
      </c>
      <c r="L260" t="s">
        <v>164</v>
      </c>
      <c r="N260" t="s">
        <v>231</v>
      </c>
      <c r="O260" t="s">
        <v>315</v>
      </c>
      <c r="P260">
        <v>8.7707065753740793E-2</v>
      </c>
      <c r="Q260" t="s">
        <v>164</v>
      </c>
    </row>
    <row r="261" spans="9:17" x14ac:dyDescent="0.45">
      <c r="I261" t="s">
        <v>195</v>
      </c>
      <c r="J261" t="s">
        <v>316</v>
      </c>
      <c r="K261">
        <v>0</v>
      </c>
      <c r="L261" t="s">
        <v>164</v>
      </c>
      <c r="N261" t="s">
        <v>231</v>
      </c>
      <c r="O261" t="s">
        <v>316</v>
      </c>
      <c r="P261">
        <v>0.26434818617009409</v>
      </c>
      <c r="Q261" t="s">
        <v>164</v>
      </c>
    </row>
    <row r="262" spans="9:17" x14ac:dyDescent="0.45">
      <c r="I262" t="s">
        <v>195</v>
      </c>
      <c r="J262" t="s">
        <v>317</v>
      </c>
      <c r="K262">
        <v>1.6595543328533947E-2</v>
      </c>
      <c r="L262" t="s">
        <v>164</v>
      </c>
      <c r="N262" t="s">
        <v>231</v>
      </c>
      <c r="O262" t="s">
        <v>317</v>
      </c>
      <c r="P262">
        <v>2.2061395057493462E-2</v>
      </c>
      <c r="Q262" t="s">
        <v>164</v>
      </c>
    </row>
    <row r="263" spans="9:17" x14ac:dyDescent="0.45">
      <c r="I263" t="s">
        <v>196</v>
      </c>
      <c r="J263" t="s">
        <v>306</v>
      </c>
      <c r="K263">
        <v>0.23739912387684611</v>
      </c>
      <c r="L263" t="s">
        <v>164</v>
      </c>
      <c r="N263" t="s">
        <v>232</v>
      </c>
      <c r="O263" t="s">
        <v>306</v>
      </c>
      <c r="P263">
        <v>5.3542946986081488E-2</v>
      </c>
      <c r="Q263" t="s">
        <v>164</v>
      </c>
    </row>
    <row r="264" spans="9:17" x14ac:dyDescent="0.45">
      <c r="I264" t="s">
        <v>196</v>
      </c>
      <c r="J264" t="s">
        <v>307</v>
      </c>
      <c r="K264">
        <v>0</v>
      </c>
      <c r="L264" t="s">
        <v>164</v>
      </c>
      <c r="N264" t="s">
        <v>232</v>
      </c>
      <c r="O264" t="s">
        <v>307</v>
      </c>
      <c r="P264">
        <v>0.14019003571610641</v>
      </c>
      <c r="Q264" t="s">
        <v>164</v>
      </c>
    </row>
    <row r="265" spans="9:17" x14ac:dyDescent="0.45">
      <c r="I265" t="s">
        <v>196</v>
      </c>
      <c r="J265" t="s">
        <v>308</v>
      </c>
      <c r="K265">
        <v>1.2993566996245843E-2</v>
      </c>
      <c r="L265" t="s">
        <v>164</v>
      </c>
      <c r="N265" t="s">
        <v>232</v>
      </c>
      <c r="O265" t="s">
        <v>308</v>
      </c>
      <c r="P265">
        <v>6.8354613798011464E-3</v>
      </c>
      <c r="Q265" t="s">
        <v>164</v>
      </c>
    </row>
    <row r="266" spans="9:17" x14ac:dyDescent="0.45">
      <c r="I266" t="s">
        <v>196</v>
      </c>
      <c r="J266" t="s">
        <v>309</v>
      </c>
      <c r="K266">
        <v>0.23364945399706824</v>
      </c>
      <c r="L266" t="s">
        <v>164</v>
      </c>
      <c r="N266" t="s">
        <v>232</v>
      </c>
      <c r="O266" t="s">
        <v>309</v>
      </c>
      <c r="P266">
        <v>6.8682998060216077E-2</v>
      </c>
      <c r="Q266" t="s">
        <v>164</v>
      </c>
    </row>
    <row r="267" spans="9:17" x14ac:dyDescent="0.45">
      <c r="I267" t="s">
        <v>196</v>
      </c>
      <c r="J267" t="s">
        <v>310</v>
      </c>
      <c r="K267">
        <v>0</v>
      </c>
      <c r="L267" t="s">
        <v>164</v>
      </c>
      <c r="N267" t="s">
        <v>232</v>
      </c>
      <c r="O267" t="s">
        <v>310</v>
      </c>
      <c r="P267">
        <v>0.13707469290145735</v>
      </c>
      <c r="Q267" t="s">
        <v>164</v>
      </c>
    </row>
    <row r="268" spans="9:17" x14ac:dyDescent="0.45">
      <c r="I268" t="s">
        <v>196</v>
      </c>
      <c r="J268" t="s">
        <v>311</v>
      </c>
      <c r="K268">
        <v>1.988948984443947E-2</v>
      </c>
      <c r="L268" t="s">
        <v>164</v>
      </c>
      <c r="N268" t="s">
        <v>232</v>
      </c>
      <c r="O268" t="s">
        <v>311</v>
      </c>
      <c r="P268">
        <v>6.1666244383889466E-3</v>
      </c>
      <c r="Q268" t="s">
        <v>164</v>
      </c>
    </row>
    <row r="269" spans="9:17" x14ac:dyDescent="0.45">
      <c r="I269" t="s">
        <v>196</v>
      </c>
      <c r="J269" t="s">
        <v>312</v>
      </c>
      <c r="K269">
        <v>0.1776804403357479</v>
      </c>
      <c r="L269" t="s">
        <v>164</v>
      </c>
      <c r="N269" t="s">
        <v>232</v>
      </c>
      <c r="O269" t="s">
        <v>312</v>
      </c>
      <c r="P269">
        <v>7.8212021287935501E-2</v>
      </c>
      <c r="Q269" t="s">
        <v>164</v>
      </c>
    </row>
    <row r="270" spans="9:17" x14ac:dyDescent="0.45">
      <c r="I270" t="s">
        <v>196</v>
      </c>
      <c r="J270" t="s">
        <v>313</v>
      </c>
      <c r="K270">
        <v>0</v>
      </c>
      <c r="L270" t="s">
        <v>164</v>
      </c>
      <c r="N270" t="s">
        <v>232</v>
      </c>
      <c r="O270" t="s">
        <v>313</v>
      </c>
      <c r="P270">
        <v>0.16172706327439551</v>
      </c>
      <c r="Q270" t="s">
        <v>164</v>
      </c>
    </row>
    <row r="271" spans="9:17" x14ac:dyDescent="0.45">
      <c r="I271" t="s">
        <v>196</v>
      </c>
      <c r="J271" t="s">
        <v>314</v>
      </c>
      <c r="K271">
        <v>1.6109868475249135E-2</v>
      </c>
      <c r="L271" t="s">
        <v>164</v>
      </c>
      <c r="N271" t="s">
        <v>232</v>
      </c>
      <c r="O271" t="s">
        <v>314</v>
      </c>
      <c r="P271">
        <v>6.4406510611129007E-3</v>
      </c>
      <c r="Q271" t="s">
        <v>164</v>
      </c>
    </row>
    <row r="272" spans="9:17" x14ac:dyDescent="0.45">
      <c r="I272" t="s">
        <v>196</v>
      </c>
      <c r="J272" t="s">
        <v>315</v>
      </c>
      <c r="K272">
        <v>0.28368224263785158</v>
      </c>
      <c r="L272" t="s">
        <v>164</v>
      </c>
      <c r="N272" t="s">
        <v>232</v>
      </c>
      <c r="O272" t="s">
        <v>315</v>
      </c>
      <c r="P272">
        <v>0.10302722720437792</v>
      </c>
      <c r="Q272" t="s">
        <v>164</v>
      </c>
    </row>
    <row r="273" spans="9:17" x14ac:dyDescent="0.45">
      <c r="I273" t="s">
        <v>196</v>
      </c>
      <c r="J273" t="s">
        <v>316</v>
      </c>
      <c r="K273">
        <v>0</v>
      </c>
      <c r="L273" t="s">
        <v>164</v>
      </c>
      <c r="N273" t="s">
        <v>232</v>
      </c>
      <c r="O273" t="s">
        <v>316</v>
      </c>
      <c r="P273">
        <v>0.22387047417343683</v>
      </c>
      <c r="Q273" t="s">
        <v>164</v>
      </c>
    </row>
    <row r="274" spans="9:17" x14ac:dyDescent="0.45">
      <c r="I274" t="s">
        <v>196</v>
      </c>
      <c r="J274" t="s">
        <v>317</v>
      </c>
      <c r="K274">
        <v>1.859581383654978E-2</v>
      </c>
      <c r="L274" t="s">
        <v>164</v>
      </c>
      <c r="N274" t="s">
        <v>232</v>
      </c>
      <c r="O274" t="s">
        <v>317</v>
      </c>
      <c r="P274">
        <v>1.4229803516692213E-2</v>
      </c>
      <c r="Q274" t="s">
        <v>164</v>
      </c>
    </row>
    <row r="275" spans="9:17" x14ac:dyDescent="0.45">
      <c r="I275" t="s">
        <v>197</v>
      </c>
      <c r="J275" t="s">
        <v>306</v>
      </c>
      <c r="K275">
        <v>0.22766393143020727</v>
      </c>
      <c r="L275" t="s">
        <v>164</v>
      </c>
      <c r="N275" t="s">
        <v>233</v>
      </c>
      <c r="O275" t="s">
        <v>306</v>
      </c>
      <c r="P275">
        <v>5.6628313303457668E-2</v>
      </c>
      <c r="Q275" t="s">
        <v>164</v>
      </c>
    </row>
    <row r="276" spans="9:17" x14ac:dyDescent="0.45">
      <c r="I276" t="s">
        <v>197</v>
      </c>
      <c r="J276" t="s">
        <v>307</v>
      </c>
      <c r="K276">
        <v>0</v>
      </c>
      <c r="L276" t="s">
        <v>164</v>
      </c>
      <c r="N276" t="s">
        <v>233</v>
      </c>
      <c r="O276" t="s">
        <v>307</v>
      </c>
      <c r="P276">
        <v>0.11165010447630949</v>
      </c>
      <c r="Q276" t="s">
        <v>164</v>
      </c>
    </row>
    <row r="277" spans="9:17" x14ac:dyDescent="0.45">
      <c r="I277" t="s">
        <v>197</v>
      </c>
      <c r="J277" t="s">
        <v>308</v>
      </c>
      <c r="K277">
        <v>1.2067422773408108E-2</v>
      </c>
      <c r="L277" t="s">
        <v>164</v>
      </c>
      <c r="N277" t="s">
        <v>233</v>
      </c>
      <c r="O277" t="s">
        <v>308</v>
      </c>
      <c r="P277">
        <v>5.7124160155243757E-3</v>
      </c>
      <c r="Q277" t="s">
        <v>164</v>
      </c>
    </row>
    <row r="278" spans="9:17" x14ac:dyDescent="0.45">
      <c r="I278" t="s">
        <v>197</v>
      </c>
      <c r="J278" t="s">
        <v>309</v>
      </c>
      <c r="K278">
        <v>0.23738961761018623</v>
      </c>
      <c r="L278" t="s">
        <v>164</v>
      </c>
      <c r="N278" t="s">
        <v>233</v>
      </c>
      <c r="O278" t="s">
        <v>309</v>
      </c>
      <c r="P278">
        <v>6.3474678945960858E-2</v>
      </c>
      <c r="Q278" t="s">
        <v>164</v>
      </c>
    </row>
    <row r="279" spans="9:17" x14ac:dyDescent="0.45">
      <c r="I279" t="s">
        <v>197</v>
      </c>
      <c r="J279" t="s">
        <v>310</v>
      </c>
      <c r="K279">
        <v>0</v>
      </c>
      <c r="L279" t="s">
        <v>164</v>
      </c>
      <c r="N279" t="s">
        <v>233</v>
      </c>
      <c r="O279" t="s">
        <v>310</v>
      </c>
      <c r="P279">
        <v>0.13529693877390736</v>
      </c>
      <c r="Q279" t="s">
        <v>164</v>
      </c>
    </row>
    <row r="280" spans="9:17" x14ac:dyDescent="0.45">
      <c r="I280" t="s">
        <v>197</v>
      </c>
      <c r="J280" t="s">
        <v>311</v>
      </c>
      <c r="K280">
        <v>1.7461509988614541E-2</v>
      </c>
      <c r="L280" t="s">
        <v>164</v>
      </c>
      <c r="N280" t="s">
        <v>233</v>
      </c>
      <c r="O280" t="s">
        <v>311</v>
      </c>
      <c r="P280">
        <v>5.8449844211172098E-3</v>
      </c>
      <c r="Q280" t="s">
        <v>164</v>
      </c>
    </row>
    <row r="281" spans="9:17" x14ac:dyDescent="0.45">
      <c r="I281" t="s">
        <v>197</v>
      </c>
      <c r="J281" t="s">
        <v>312</v>
      </c>
      <c r="K281">
        <v>0.18491512840404917</v>
      </c>
      <c r="L281" t="s">
        <v>164</v>
      </c>
      <c r="N281" t="s">
        <v>233</v>
      </c>
      <c r="O281" t="s">
        <v>312</v>
      </c>
      <c r="P281">
        <v>7.757593439841888E-2</v>
      </c>
      <c r="Q281" t="s">
        <v>164</v>
      </c>
    </row>
    <row r="282" spans="9:17" x14ac:dyDescent="0.45">
      <c r="I282" t="s">
        <v>197</v>
      </c>
      <c r="J282" t="s">
        <v>313</v>
      </c>
      <c r="K282">
        <v>0</v>
      </c>
      <c r="L282" t="s">
        <v>164</v>
      </c>
      <c r="N282" t="s">
        <v>233</v>
      </c>
      <c r="O282" t="s">
        <v>313</v>
      </c>
      <c r="P282">
        <v>0.1506412313496564</v>
      </c>
      <c r="Q282" t="s">
        <v>164</v>
      </c>
    </row>
    <row r="283" spans="9:17" x14ac:dyDescent="0.45">
      <c r="I283" t="s">
        <v>197</v>
      </c>
      <c r="J283" t="s">
        <v>314</v>
      </c>
      <c r="K283">
        <v>1.4595982881310006E-2</v>
      </c>
      <c r="L283" t="s">
        <v>164</v>
      </c>
      <c r="N283" t="s">
        <v>233</v>
      </c>
      <c r="O283" t="s">
        <v>314</v>
      </c>
      <c r="P283">
        <v>6.2094676013618412E-3</v>
      </c>
      <c r="Q283" t="s">
        <v>164</v>
      </c>
    </row>
    <row r="284" spans="9:17" x14ac:dyDescent="0.45">
      <c r="I284" t="s">
        <v>197</v>
      </c>
      <c r="J284" t="s">
        <v>315</v>
      </c>
      <c r="K284">
        <v>0.28623624674527126</v>
      </c>
      <c r="L284" t="s">
        <v>164</v>
      </c>
      <c r="N284" t="s">
        <v>233</v>
      </c>
      <c r="O284" t="s">
        <v>315</v>
      </c>
      <c r="P284">
        <v>0.13607328751407941</v>
      </c>
      <c r="Q284" t="s">
        <v>164</v>
      </c>
    </row>
    <row r="285" spans="9:17" x14ac:dyDescent="0.45">
      <c r="I285" t="s">
        <v>197</v>
      </c>
      <c r="J285" t="s">
        <v>316</v>
      </c>
      <c r="K285">
        <v>0</v>
      </c>
      <c r="L285" t="s">
        <v>164</v>
      </c>
      <c r="N285" t="s">
        <v>233</v>
      </c>
      <c r="O285" t="s">
        <v>316</v>
      </c>
      <c r="P285">
        <v>0.23503051512956988</v>
      </c>
      <c r="Q285" t="s">
        <v>164</v>
      </c>
    </row>
    <row r="286" spans="9:17" x14ac:dyDescent="0.45">
      <c r="I286" t="s">
        <v>197</v>
      </c>
      <c r="J286" t="s">
        <v>317</v>
      </c>
      <c r="K286">
        <v>1.9670160166950387E-2</v>
      </c>
      <c r="L286" t="s">
        <v>164</v>
      </c>
      <c r="N286" t="s">
        <v>233</v>
      </c>
      <c r="O286" t="s">
        <v>317</v>
      </c>
      <c r="P286">
        <v>1.5862128070637711E-2</v>
      </c>
      <c r="Q286" t="s">
        <v>164</v>
      </c>
    </row>
    <row r="287" spans="9:17" x14ac:dyDescent="0.45">
      <c r="I287" t="s">
        <v>198</v>
      </c>
      <c r="J287" t="s">
        <v>306</v>
      </c>
      <c r="K287">
        <v>0.24432782267068459</v>
      </c>
      <c r="L287" t="s">
        <v>164</v>
      </c>
      <c r="N287" t="s">
        <v>234</v>
      </c>
      <c r="O287" t="s">
        <v>306</v>
      </c>
      <c r="P287">
        <v>4.7649648777906409E-2</v>
      </c>
      <c r="Q287" t="s">
        <v>164</v>
      </c>
    </row>
    <row r="288" spans="9:17" x14ac:dyDescent="0.45">
      <c r="I288" t="s">
        <v>198</v>
      </c>
      <c r="J288" t="s">
        <v>307</v>
      </c>
      <c r="K288">
        <v>0</v>
      </c>
      <c r="L288" t="s">
        <v>164</v>
      </c>
      <c r="N288" t="s">
        <v>234</v>
      </c>
      <c r="O288" t="s">
        <v>307</v>
      </c>
      <c r="P288">
        <v>7.5167397151559429E-2</v>
      </c>
      <c r="Q288" t="s">
        <v>164</v>
      </c>
    </row>
    <row r="289" spans="9:17" x14ac:dyDescent="0.45">
      <c r="I289" t="s">
        <v>198</v>
      </c>
      <c r="J289" t="s">
        <v>308</v>
      </c>
      <c r="K289">
        <v>1.0694151181421085E-2</v>
      </c>
      <c r="L289" t="s">
        <v>164</v>
      </c>
      <c r="N289" t="s">
        <v>234</v>
      </c>
      <c r="O289" t="s">
        <v>308</v>
      </c>
      <c r="P289">
        <v>7.4247973723303128E-3</v>
      </c>
      <c r="Q289" t="s">
        <v>164</v>
      </c>
    </row>
    <row r="290" spans="9:17" x14ac:dyDescent="0.45">
      <c r="I290" t="s">
        <v>198</v>
      </c>
      <c r="J290" t="s">
        <v>309</v>
      </c>
      <c r="K290">
        <v>0.25057364647017188</v>
      </c>
      <c r="L290" t="s">
        <v>164</v>
      </c>
      <c r="N290" t="s">
        <v>234</v>
      </c>
      <c r="O290" t="s">
        <v>309</v>
      </c>
      <c r="P290">
        <v>9.1924611332467446E-2</v>
      </c>
      <c r="Q290" t="s">
        <v>164</v>
      </c>
    </row>
    <row r="291" spans="9:17" x14ac:dyDescent="0.45">
      <c r="I291" t="s">
        <v>198</v>
      </c>
      <c r="J291" t="s">
        <v>310</v>
      </c>
      <c r="K291">
        <v>0</v>
      </c>
      <c r="L291" t="s">
        <v>164</v>
      </c>
      <c r="N291" t="s">
        <v>234</v>
      </c>
      <c r="O291" t="s">
        <v>310</v>
      </c>
      <c r="P291">
        <v>0.19456767434959601</v>
      </c>
      <c r="Q291" t="s">
        <v>164</v>
      </c>
    </row>
    <row r="292" spans="9:17" x14ac:dyDescent="0.45">
      <c r="I292" t="s">
        <v>198</v>
      </c>
      <c r="J292" t="s">
        <v>311</v>
      </c>
      <c r="K292">
        <v>1.2126221113048173E-2</v>
      </c>
      <c r="L292" t="s">
        <v>164</v>
      </c>
      <c r="N292" t="s">
        <v>234</v>
      </c>
      <c r="O292" t="s">
        <v>311</v>
      </c>
      <c r="P292">
        <v>1.2833754600931828E-2</v>
      </c>
      <c r="Q292" t="s">
        <v>164</v>
      </c>
    </row>
    <row r="293" spans="9:17" x14ac:dyDescent="0.45">
      <c r="I293" t="s">
        <v>198</v>
      </c>
      <c r="J293" t="s">
        <v>312</v>
      </c>
      <c r="K293">
        <v>0.17356251767852665</v>
      </c>
      <c r="L293" t="s">
        <v>164</v>
      </c>
      <c r="N293" t="s">
        <v>234</v>
      </c>
      <c r="O293" t="s">
        <v>312</v>
      </c>
      <c r="P293">
        <v>0.11267123968114086</v>
      </c>
      <c r="Q293" t="s">
        <v>164</v>
      </c>
    </row>
    <row r="294" spans="9:17" x14ac:dyDescent="0.45">
      <c r="I294" t="s">
        <v>198</v>
      </c>
      <c r="J294" t="s">
        <v>313</v>
      </c>
      <c r="K294">
        <v>0</v>
      </c>
      <c r="L294" t="s">
        <v>164</v>
      </c>
      <c r="N294" t="s">
        <v>234</v>
      </c>
      <c r="O294" t="s">
        <v>313</v>
      </c>
      <c r="P294">
        <v>0.2078409241057782</v>
      </c>
      <c r="Q294" t="s">
        <v>164</v>
      </c>
    </row>
    <row r="295" spans="9:17" x14ac:dyDescent="0.45">
      <c r="I295" t="s">
        <v>198</v>
      </c>
      <c r="J295" t="s">
        <v>314</v>
      </c>
      <c r="K295">
        <v>1.2055530220462095E-2</v>
      </c>
      <c r="L295" t="s">
        <v>164</v>
      </c>
      <c r="N295" t="s">
        <v>234</v>
      </c>
      <c r="O295" t="s">
        <v>314</v>
      </c>
      <c r="P295">
        <v>9.5110217031824824E-3</v>
      </c>
      <c r="Q295" t="s">
        <v>164</v>
      </c>
    </row>
    <row r="296" spans="9:17" x14ac:dyDescent="0.45">
      <c r="I296" t="s">
        <v>198</v>
      </c>
      <c r="J296" t="s">
        <v>315</v>
      </c>
      <c r="K296">
        <v>0.28297055500303919</v>
      </c>
      <c r="L296" t="s">
        <v>164</v>
      </c>
      <c r="N296" t="s">
        <v>234</v>
      </c>
      <c r="O296" t="s">
        <v>315</v>
      </c>
      <c r="P296">
        <v>6.9993462088830533E-2</v>
      </c>
      <c r="Q296" t="s">
        <v>164</v>
      </c>
    </row>
    <row r="297" spans="9:17" x14ac:dyDescent="0.45">
      <c r="I297" t="s">
        <v>198</v>
      </c>
      <c r="J297" t="s">
        <v>316</v>
      </c>
      <c r="K297">
        <v>0</v>
      </c>
      <c r="L297" t="s">
        <v>164</v>
      </c>
      <c r="N297" t="s">
        <v>234</v>
      </c>
      <c r="O297" t="s">
        <v>316</v>
      </c>
      <c r="P297">
        <v>0.15152535413718748</v>
      </c>
      <c r="Q297" t="s">
        <v>164</v>
      </c>
    </row>
    <row r="298" spans="9:17" x14ac:dyDescent="0.45">
      <c r="I298" t="s">
        <v>198</v>
      </c>
      <c r="J298" t="s">
        <v>317</v>
      </c>
      <c r="K298">
        <v>1.3689555662645523E-2</v>
      </c>
      <c r="L298" t="s">
        <v>164</v>
      </c>
      <c r="N298" t="s">
        <v>234</v>
      </c>
      <c r="O298" t="s">
        <v>317</v>
      </c>
      <c r="P298">
        <v>1.8890114699087968E-2</v>
      </c>
      <c r="Q298" t="s">
        <v>164</v>
      </c>
    </row>
    <row r="299" spans="9:17" x14ac:dyDescent="0.45">
      <c r="I299" t="s">
        <v>199</v>
      </c>
      <c r="J299" t="s">
        <v>306</v>
      </c>
      <c r="K299">
        <v>0.2485522356850618</v>
      </c>
      <c r="L299" t="s">
        <v>164</v>
      </c>
      <c r="N299" t="s">
        <v>235</v>
      </c>
      <c r="O299" t="s">
        <v>306</v>
      </c>
      <c r="P299">
        <v>4.5594597837472745E-2</v>
      </c>
      <c r="Q299" t="s">
        <v>164</v>
      </c>
    </row>
    <row r="300" spans="9:17" x14ac:dyDescent="0.45">
      <c r="I300" t="s">
        <v>199</v>
      </c>
      <c r="J300" t="s">
        <v>307</v>
      </c>
      <c r="K300">
        <v>0</v>
      </c>
      <c r="L300" t="s">
        <v>164</v>
      </c>
      <c r="N300" t="s">
        <v>235</v>
      </c>
      <c r="O300" t="s">
        <v>307</v>
      </c>
      <c r="P300">
        <v>0.10076420959194897</v>
      </c>
      <c r="Q300" t="s">
        <v>164</v>
      </c>
    </row>
    <row r="301" spans="9:17" x14ac:dyDescent="0.45">
      <c r="I301" t="s">
        <v>199</v>
      </c>
      <c r="J301" t="s">
        <v>308</v>
      </c>
      <c r="K301">
        <v>1.1804820288122924E-2</v>
      </c>
      <c r="L301" t="s">
        <v>164</v>
      </c>
      <c r="N301" t="s">
        <v>235</v>
      </c>
      <c r="O301" t="s">
        <v>308</v>
      </c>
      <c r="P301">
        <v>6.4583634419114258E-3</v>
      </c>
      <c r="Q301" t="s">
        <v>164</v>
      </c>
    </row>
    <row r="302" spans="9:17" x14ac:dyDescent="0.45">
      <c r="I302" t="s">
        <v>199</v>
      </c>
      <c r="J302" t="s">
        <v>309</v>
      </c>
      <c r="K302">
        <v>0.24172632698164917</v>
      </c>
      <c r="L302" t="s">
        <v>164</v>
      </c>
      <c r="N302" t="s">
        <v>235</v>
      </c>
      <c r="O302" t="s">
        <v>309</v>
      </c>
      <c r="P302">
        <v>7.3796590488695232E-2</v>
      </c>
      <c r="Q302" t="s">
        <v>164</v>
      </c>
    </row>
    <row r="303" spans="9:17" x14ac:dyDescent="0.45">
      <c r="I303" t="s">
        <v>199</v>
      </c>
      <c r="J303" t="s">
        <v>310</v>
      </c>
      <c r="K303">
        <v>0</v>
      </c>
      <c r="L303" t="s">
        <v>164</v>
      </c>
      <c r="N303" t="s">
        <v>235</v>
      </c>
      <c r="O303" t="s">
        <v>310</v>
      </c>
      <c r="P303">
        <v>0.16643306873566815</v>
      </c>
      <c r="Q303" t="s">
        <v>164</v>
      </c>
    </row>
    <row r="304" spans="9:17" x14ac:dyDescent="0.45">
      <c r="I304" t="s">
        <v>199</v>
      </c>
      <c r="J304" t="s">
        <v>311</v>
      </c>
      <c r="K304">
        <v>2.0388988035145401E-2</v>
      </c>
      <c r="L304" t="s">
        <v>164</v>
      </c>
      <c r="N304" t="s">
        <v>235</v>
      </c>
      <c r="O304" t="s">
        <v>311</v>
      </c>
      <c r="P304">
        <v>7.729749599644585E-3</v>
      </c>
      <c r="Q304" t="s">
        <v>164</v>
      </c>
    </row>
    <row r="305" spans="9:17" x14ac:dyDescent="0.45">
      <c r="I305" t="s">
        <v>199</v>
      </c>
      <c r="J305" t="s">
        <v>312</v>
      </c>
      <c r="K305">
        <v>0.16177385292667534</v>
      </c>
      <c r="L305" t="s">
        <v>164</v>
      </c>
      <c r="N305" t="s">
        <v>235</v>
      </c>
      <c r="O305" t="s">
        <v>312</v>
      </c>
      <c r="P305">
        <v>0.10313373906064584</v>
      </c>
      <c r="Q305" t="s">
        <v>164</v>
      </c>
    </row>
    <row r="306" spans="9:17" x14ac:dyDescent="0.45">
      <c r="I306" t="s">
        <v>199</v>
      </c>
      <c r="J306" t="s">
        <v>313</v>
      </c>
      <c r="K306">
        <v>0</v>
      </c>
      <c r="L306" t="s">
        <v>164</v>
      </c>
      <c r="N306" t="s">
        <v>235</v>
      </c>
      <c r="O306" t="s">
        <v>313</v>
      </c>
      <c r="P306">
        <v>0.18621332129002607</v>
      </c>
      <c r="Q306" t="s">
        <v>164</v>
      </c>
    </row>
    <row r="307" spans="9:17" x14ac:dyDescent="0.45">
      <c r="I307" t="s">
        <v>199</v>
      </c>
      <c r="J307" t="s">
        <v>314</v>
      </c>
      <c r="K307">
        <v>1.2674932567475098E-2</v>
      </c>
      <c r="L307" t="s">
        <v>164</v>
      </c>
      <c r="N307" t="s">
        <v>235</v>
      </c>
      <c r="O307" t="s">
        <v>314</v>
      </c>
      <c r="P307">
        <v>8.6404078073913353E-3</v>
      </c>
      <c r="Q307" t="s">
        <v>164</v>
      </c>
    </row>
    <row r="308" spans="9:17" x14ac:dyDescent="0.45">
      <c r="I308" t="s">
        <v>199</v>
      </c>
      <c r="J308" t="s">
        <v>315</v>
      </c>
      <c r="K308">
        <v>0.2849403460027034</v>
      </c>
      <c r="L308" t="s">
        <v>164</v>
      </c>
      <c r="N308" t="s">
        <v>235</v>
      </c>
      <c r="O308" t="s">
        <v>315</v>
      </c>
      <c r="P308">
        <v>8.9501161373571711E-2</v>
      </c>
      <c r="Q308" t="s">
        <v>164</v>
      </c>
    </row>
    <row r="309" spans="9:17" x14ac:dyDescent="0.45">
      <c r="I309" t="s">
        <v>199</v>
      </c>
      <c r="J309" t="s">
        <v>316</v>
      </c>
      <c r="K309">
        <v>0</v>
      </c>
      <c r="L309" t="s">
        <v>164</v>
      </c>
      <c r="N309" t="s">
        <v>235</v>
      </c>
      <c r="O309" t="s">
        <v>316</v>
      </c>
      <c r="P309">
        <v>0.19654637098033648</v>
      </c>
      <c r="Q309" t="s">
        <v>164</v>
      </c>
    </row>
    <row r="310" spans="9:17" x14ac:dyDescent="0.45">
      <c r="I310" t="s">
        <v>199</v>
      </c>
      <c r="J310" t="s">
        <v>317</v>
      </c>
      <c r="K310">
        <v>1.8138497513166967E-2</v>
      </c>
      <c r="L310" t="s">
        <v>164</v>
      </c>
      <c r="N310" t="s">
        <v>235</v>
      </c>
      <c r="O310" t="s">
        <v>317</v>
      </c>
      <c r="P310">
        <v>1.5188419792692195E-2</v>
      </c>
      <c r="Q310" t="s">
        <v>164</v>
      </c>
    </row>
    <row r="311" spans="9:17" x14ac:dyDescent="0.45">
      <c r="I311" t="s">
        <v>200</v>
      </c>
      <c r="J311" t="s">
        <v>306</v>
      </c>
      <c r="K311">
        <v>0.24949915127149583</v>
      </c>
      <c r="L311" t="s">
        <v>164</v>
      </c>
      <c r="N311" t="s">
        <v>236</v>
      </c>
      <c r="O311" t="s">
        <v>306</v>
      </c>
      <c r="P311">
        <v>5.1183957131386397E-2</v>
      </c>
      <c r="Q311" t="s">
        <v>164</v>
      </c>
    </row>
    <row r="312" spans="9:17" x14ac:dyDescent="0.45">
      <c r="I312" t="s">
        <v>200</v>
      </c>
      <c r="J312" t="s">
        <v>307</v>
      </c>
      <c r="K312">
        <v>0</v>
      </c>
      <c r="L312" t="s">
        <v>164</v>
      </c>
      <c r="N312" t="s">
        <v>236</v>
      </c>
      <c r="O312" t="s">
        <v>307</v>
      </c>
      <c r="P312">
        <v>6.5871729199657059E-2</v>
      </c>
      <c r="Q312" t="s">
        <v>164</v>
      </c>
    </row>
    <row r="313" spans="9:17" x14ac:dyDescent="0.45">
      <c r="I313" t="s">
        <v>200</v>
      </c>
      <c r="J313" t="s">
        <v>308</v>
      </c>
      <c r="K313">
        <v>1.147217656827281E-2</v>
      </c>
      <c r="L313" t="s">
        <v>164</v>
      </c>
      <c r="N313" t="s">
        <v>236</v>
      </c>
      <c r="O313" t="s">
        <v>308</v>
      </c>
      <c r="P313">
        <v>6.0081463031870968E-3</v>
      </c>
      <c r="Q313" t="s">
        <v>164</v>
      </c>
    </row>
    <row r="314" spans="9:17" x14ac:dyDescent="0.45">
      <c r="I314" t="s">
        <v>200</v>
      </c>
      <c r="J314" t="s">
        <v>309</v>
      </c>
      <c r="K314">
        <v>0.24255223876752521</v>
      </c>
      <c r="L314" t="s">
        <v>164</v>
      </c>
      <c r="N314" t="s">
        <v>236</v>
      </c>
      <c r="O314" t="s">
        <v>309</v>
      </c>
      <c r="P314">
        <v>8.6940990536104823E-2</v>
      </c>
      <c r="Q314" t="s">
        <v>164</v>
      </c>
    </row>
    <row r="315" spans="9:17" x14ac:dyDescent="0.45">
      <c r="I315" t="s">
        <v>200</v>
      </c>
      <c r="J315" t="s">
        <v>310</v>
      </c>
      <c r="K315">
        <v>0</v>
      </c>
      <c r="L315" t="s">
        <v>164</v>
      </c>
      <c r="N315" t="s">
        <v>236</v>
      </c>
      <c r="O315" t="s">
        <v>310</v>
      </c>
      <c r="P315">
        <v>0.14547839998182055</v>
      </c>
      <c r="Q315" t="s">
        <v>164</v>
      </c>
    </row>
    <row r="316" spans="9:17" x14ac:dyDescent="0.45">
      <c r="I316" t="s">
        <v>200</v>
      </c>
      <c r="J316" t="s">
        <v>311</v>
      </c>
      <c r="K316">
        <v>1.4263330411377728E-2</v>
      </c>
      <c r="L316" t="s">
        <v>164</v>
      </c>
      <c r="N316" t="s">
        <v>236</v>
      </c>
      <c r="O316" t="s">
        <v>311</v>
      </c>
      <c r="P316">
        <v>8.1780010977326231E-3</v>
      </c>
      <c r="Q316" t="s">
        <v>164</v>
      </c>
    </row>
    <row r="317" spans="9:17" x14ac:dyDescent="0.45">
      <c r="I317" t="s">
        <v>200</v>
      </c>
      <c r="J317" t="s">
        <v>312</v>
      </c>
      <c r="K317">
        <v>0.16444302978026451</v>
      </c>
      <c r="L317" t="s">
        <v>164</v>
      </c>
      <c r="N317" t="s">
        <v>236</v>
      </c>
      <c r="O317" t="s">
        <v>312</v>
      </c>
      <c r="P317">
        <v>0.12468742138072443</v>
      </c>
      <c r="Q317" t="s">
        <v>164</v>
      </c>
    </row>
    <row r="318" spans="9:17" x14ac:dyDescent="0.45">
      <c r="I318" t="s">
        <v>200</v>
      </c>
      <c r="J318" t="s">
        <v>313</v>
      </c>
      <c r="K318">
        <v>0</v>
      </c>
      <c r="L318" t="s">
        <v>164</v>
      </c>
      <c r="N318" t="s">
        <v>236</v>
      </c>
      <c r="O318" t="s">
        <v>313</v>
      </c>
      <c r="P318">
        <v>0.10452605883692039</v>
      </c>
      <c r="Q318" t="s">
        <v>164</v>
      </c>
    </row>
    <row r="319" spans="9:17" x14ac:dyDescent="0.45">
      <c r="I319" t="s">
        <v>200</v>
      </c>
      <c r="J319" t="s">
        <v>314</v>
      </c>
      <c r="K319">
        <v>1.2036856583986734E-2</v>
      </c>
      <c r="L319" t="s">
        <v>164</v>
      </c>
      <c r="N319" t="s">
        <v>236</v>
      </c>
      <c r="O319" t="s">
        <v>314</v>
      </c>
      <c r="P319">
        <v>6.1117309794832776E-3</v>
      </c>
      <c r="Q319" t="s">
        <v>164</v>
      </c>
    </row>
    <row r="320" spans="9:17" x14ac:dyDescent="0.45">
      <c r="I320" t="s">
        <v>200</v>
      </c>
      <c r="J320" t="s">
        <v>315</v>
      </c>
      <c r="K320">
        <v>0.2901036400138744</v>
      </c>
      <c r="L320" t="s">
        <v>164</v>
      </c>
      <c r="N320" t="s">
        <v>236</v>
      </c>
      <c r="O320" t="s">
        <v>315</v>
      </c>
      <c r="P320">
        <v>0.11618797623806734</v>
      </c>
      <c r="Q320" t="s">
        <v>164</v>
      </c>
    </row>
    <row r="321" spans="9:17" x14ac:dyDescent="0.45">
      <c r="I321" t="s">
        <v>200</v>
      </c>
      <c r="J321" t="s">
        <v>316</v>
      </c>
      <c r="K321">
        <v>0</v>
      </c>
      <c r="L321" t="s">
        <v>164</v>
      </c>
      <c r="N321" t="s">
        <v>236</v>
      </c>
      <c r="O321" t="s">
        <v>316</v>
      </c>
      <c r="P321">
        <v>0.2664619255554046</v>
      </c>
      <c r="Q321" t="s">
        <v>164</v>
      </c>
    </row>
    <row r="322" spans="9:17" x14ac:dyDescent="0.45">
      <c r="I322" t="s">
        <v>200</v>
      </c>
      <c r="J322" t="s">
        <v>317</v>
      </c>
      <c r="K322">
        <v>1.5629576603201148E-2</v>
      </c>
      <c r="L322" t="s">
        <v>164</v>
      </c>
      <c r="N322" t="s">
        <v>236</v>
      </c>
      <c r="O322" t="s">
        <v>317</v>
      </c>
      <c r="P322">
        <v>1.8363662759511526E-2</v>
      </c>
      <c r="Q322" t="s">
        <v>164</v>
      </c>
    </row>
    <row r="323" spans="9:17" x14ac:dyDescent="0.45">
      <c r="I323" t="s">
        <v>201</v>
      </c>
      <c r="J323" t="s">
        <v>306</v>
      </c>
      <c r="K323">
        <v>0.25407825706983656</v>
      </c>
      <c r="L323" t="s">
        <v>164</v>
      </c>
      <c r="N323" t="s">
        <v>237</v>
      </c>
      <c r="O323" t="s">
        <v>306</v>
      </c>
      <c r="P323">
        <v>4.1157945720451394E-2</v>
      </c>
      <c r="Q323" t="s">
        <v>164</v>
      </c>
    </row>
    <row r="324" spans="9:17" x14ac:dyDescent="0.45">
      <c r="I324" t="s">
        <v>201</v>
      </c>
      <c r="J324" t="s">
        <v>307</v>
      </c>
      <c r="K324">
        <v>0</v>
      </c>
      <c r="L324" t="s">
        <v>164</v>
      </c>
      <c r="N324" t="s">
        <v>237</v>
      </c>
      <c r="O324" t="s">
        <v>307</v>
      </c>
      <c r="P324">
        <v>7.9279068829381086E-2</v>
      </c>
      <c r="Q324" t="s">
        <v>164</v>
      </c>
    </row>
    <row r="325" spans="9:17" x14ac:dyDescent="0.45">
      <c r="I325" t="s">
        <v>201</v>
      </c>
      <c r="J325" t="s">
        <v>308</v>
      </c>
      <c r="K325">
        <v>1.0182914087336627E-2</v>
      </c>
      <c r="L325" t="s">
        <v>164</v>
      </c>
      <c r="N325" t="s">
        <v>237</v>
      </c>
      <c r="O325" t="s">
        <v>308</v>
      </c>
      <c r="P325">
        <v>4.5802663847496145E-3</v>
      </c>
      <c r="Q325" t="s">
        <v>164</v>
      </c>
    </row>
    <row r="326" spans="9:17" x14ac:dyDescent="0.45">
      <c r="I326" t="s">
        <v>201</v>
      </c>
      <c r="J326" t="s">
        <v>309</v>
      </c>
      <c r="K326">
        <v>0.24825450247974457</v>
      </c>
      <c r="L326" t="s">
        <v>164</v>
      </c>
      <c r="N326" t="s">
        <v>237</v>
      </c>
      <c r="O326" t="s">
        <v>309</v>
      </c>
      <c r="P326">
        <v>7.573095181025441E-2</v>
      </c>
      <c r="Q326" t="s">
        <v>164</v>
      </c>
    </row>
    <row r="327" spans="9:17" x14ac:dyDescent="0.45">
      <c r="I327" t="s">
        <v>201</v>
      </c>
      <c r="J327" t="s">
        <v>310</v>
      </c>
      <c r="K327">
        <v>0</v>
      </c>
      <c r="L327" t="s">
        <v>164</v>
      </c>
      <c r="N327" t="s">
        <v>237</v>
      </c>
      <c r="O327" t="s">
        <v>310</v>
      </c>
      <c r="P327">
        <v>0.19036765506857467</v>
      </c>
      <c r="Q327" t="s">
        <v>164</v>
      </c>
    </row>
    <row r="328" spans="9:17" x14ac:dyDescent="0.45">
      <c r="I328" t="s">
        <v>201</v>
      </c>
      <c r="J328" t="s">
        <v>311</v>
      </c>
      <c r="K328">
        <v>1.2541877054697274E-2</v>
      </c>
      <c r="L328" t="s">
        <v>164</v>
      </c>
      <c r="N328" t="s">
        <v>237</v>
      </c>
      <c r="O328" t="s">
        <v>311</v>
      </c>
      <c r="P328">
        <v>1.1326425310300408E-2</v>
      </c>
      <c r="Q328" t="s">
        <v>164</v>
      </c>
    </row>
    <row r="329" spans="9:17" x14ac:dyDescent="0.45">
      <c r="I329" t="s">
        <v>201</v>
      </c>
      <c r="J329" t="s">
        <v>312</v>
      </c>
      <c r="K329">
        <v>0.19457078928466598</v>
      </c>
      <c r="L329" t="s">
        <v>164</v>
      </c>
      <c r="N329" t="s">
        <v>237</v>
      </c>
      <c r="O329" t="s">
        <v>312</v>
      </c>
      <c r="P329">
        <v>9.916016853973815E-2</v>
      </c>
      <c r="Q329" t="s">
        <v>164</v>
      </c>
    </row>
    <row r="330" spans="9:17" x14ac:dyDescent="0.45">
      <c r="I330" t="s">
        <v>201</v>
      </c>
      <c r="J330" t="s">
        <v>313</v>
      </c>
      <c r="K330">
        <v>0</v>
      </c>
      <c r="L330" t="s">
        <v>164</v>
      </c>
      <c r="N330" t="s">
        <v>237</v>
      </c>
      <c r="O330" t="s">
        <v>313</v>
      </c>
      <c r="P330">
        <v>0.1317168681894603</v>
      </c>
      <c r="Q330" t="s">
        <v>164</v>
      </c>
    </row>
    <row r="331" spans="9:17" x14ac:dyDescent="0.45">
      <c r="I331" t="s">
        <v>201</v>
      </c>
      <c r="J331" t="s">
        <v>314</v>
      </c>
      <c r="K331">
        <v>1.0964713148599405E-2</v>
      </c>
      <c r="L331" t="s">
        <v>164</v>
      </c>
      <c r="N331" t="s">
        <v>237</v>
      </c>
      <c r="O331" t="s">
        <v>314</v>
      </c>
      <c r="P331">
        <v>9.7774621765238483E-3</v>
      </c>
      <c r="Q331" t="s">
        <v>164</v>
      </c>
    </row>
    <row r="332" spans="9:17" x14ac:dyDescent="0.45">
      <c r="I332" t="s">
        <v>201</v>
      </c>
      <c r="J332" t="s">
        <v>315</v>
      </c>
      <c r="K332">
        <v>0.25689915648921252</v>
      </c>
      <c r="L332" t="s">
        <v>164</v>
      </c>
      <c r="N332" t="s">
        <v>237</v>
      </c>
      <c r="O332" t="s">
        <v>315</v>
      </c>
      <c r="P332">
        <v>8.73882894843971E-2</v>
      </c>
      <c r="Q332" t="s">
        <v>164</v>
      </c>
    </row>
    <row r="333" spans="9:17" x14ac:dyDescent="0.45">
      <c r="I333" t="s">
        <v>201</v>
      </c>
      <c r="J333" t="s">
        <v>316</v>
      </c>
      <c r="K333">
        <v>0</v>
      </c>
      <c r="L333" t="s">
        <v>164</v>
      </c>
      <c r="N333" t="s">
        <v>237</v>
      </c>
      <c r="O333" t="s">
        <v>316</v>
      </c>
      <c r="P333">
        <v>0.2505510270646617</v>
      </c>
      <c r="Q333" t="s">
        <v>164</v>
      </c>
    </row>
    <row r="334" spans="9:17" x14ac:dyDescent="0.45">
      <c r="I334" t="s">
        <v>201</v>
      </c>
      <c r="J334" t="s">
        <v>317</v>
      </c>
      <c r="K334">
        <v>1.2507790385906707E-2</v>
      </c>
      <c r="L334" t="s">
        <v>164</v>
      </c>
      <c r="N334" t="s">
        <v>237</v>
      </c>
      <c r="O334" t="s">
        <v>317</v>
      </c>
      <c r="P334">
        <v>1.8963871421503103E-2</v>
      </c>
      <c r="Q334" t="s">
        <v>164</v>
      </c>
    </row>
    <row r="335" spans="9:17" x14ac:dyDescent="0.45">
      <c r="I335" t="s">
        <v>202</v>
      </c>
      <c r="J335" t="s">
        <v>306</v>
      </c>
      <c r="K335">
        <v>0.2524776980588882</v>
      </c>
      <c r="L335" t="s">
        <v>164</v>
      </c>
    </row>
    <row r="336" spans="9:17" x14ac:dyDescent="0.45">
      <c r="I336" t="s">
        <v>202</v>
      </c>
      <c r="J336" t="s">
        <v>307</v>
      </c>
      <c r="K336">
        <v>0</v>
      </c>
      <c r="L336" t="s">
        <v>164</v>
      </c>
    </row>
    <row r="337" spans="9:12" x14ac:dyDescent="0.45">
      <c r="I337" t="s">
        <v>202</v>
      </c>
      <c r="J337" t="s">
        <v>308</v>
      </c>
      <c r="K337">
        <v>1.1489788453098733E-2</v>
      </c>
      <c r="L337" t="s">
        <v>164</v>
      </c>
    </row>
    <row r="338" spans="9:12" x14ac:dyDescent="0.45">
      <c r="I338" t="s">
        <v>202</v>
      </c>
      <c r="J338" t="s">
        <v>309</v>
      </c>
      <c r="K338">
        <v>0.24439219249065361</v>
      </c>
      <c r="L338" t="s">
        <v>164</v>
      </c>
    </row>
    <row r="339" spans="9:12" x14ac:dyDescent="0.45">
      <c r="I339" t="s">
        <v>202</v>
      </c>
      <c r="J339" t="s">
        <v>310</v>
      </c>
      <c r="K339">
        <v>0</v>
      </c>
      <c r="L339" t="s">
        <v>164</v>
      </c>
    </row>
    <row r="340" spans="9:12" x14ac:dyDescent="0.45">
      <c r="I340" t="s">
        <v>202</v>
      </c>
      <c r="J340" t="s">
        <v>311</v>
      </c>
      <c r="K340">
        <v>1.9444933118032005E-2</v>
      </c>
      <c r="L340" t="s">
        <v>164</v>
      </c>
    </row>
    <row r="341" spans="9:12" x14ac:dyDescent="0.45">
      <c r="I341" t="s">
        <v>202</v>
      </c>
      <c r="J341" t="s">
        <v>312</v>
      </c>
      <c r="K341">
        <v>0.19568969978069403</v>
      </c>
      <c r="L341" t="s">
        <v>164</v>
      </c>
    </row>
    <row r="342" spans="9:12" x14ac:dyDescent="0.45">
      <c r="I342" t="s">
        <v>202</v>
      </c>
      <c r="J342" t="s">
        <v>313</v>
      </c>
      <c r="K342">
        <v>0</v>
      </c>
      <c r="L342" t="s">
        <v>164</v>
      </c>
    </row>
    <row r="343" spans="9:12" x14ac:dyDescent="0.45">
      <c r="I343" t="s">
        <v>202</v>
      </c>
      <c r="J343" t="s">
        <v>314</v>
      </c>
      <c r="K343">
        <v>1.3510519459199177E-2</v>
      </c>
      <c r="L343" t="s">
        <v>164</v>
      </c>
    </row>
    <row r="344" spans="9:12" x14ac:dyDescent="0.45">
      <c r="I344" t="s">
        <v>202</v>
      </c>
      <c r="J344" t="s">
        <v>315</v>
      </c>
      <c r="K344">
        <v>0.24872902604252597</v>
      </c>
      <c r="L344" t="s">
        <v>164</v>
      </c>
    </row>
    <row r="345" spans="9:12" x14ac:dyDescent="0.45">
      <c r="I345" t="s">
        <v>202</v>
      </c>
      <c r="J345" t="s">
        <v>316</v>
      </c>
      <c r="K345">
        <v>0</v>
      </c>
      <c r="L345" t="s">
        <v>164</v>
      </c>
    </row>
    <row r="346" spans="9:12" x14ac:dyDescent="0.45">
      <c r="I346" t="s">
        <v>202</v>
      </c>
      <c r="J346" t="s">
        <v>317</v>
      </c>
      <c r="K346">
        <v>1.4266142596908851E-2</v>
      </c>
      <c r="L346" t="s">
        <v>164</v>
      </c>
    </row>
    <row r="347" spans="9:12" x14ac:dyDescent="0.45">
      <c r="I347" t="s">
        <v>203</v>
      </c>
      <c r="J347" t="s">
        <v>306</v>
      </c>
      <c r="K347">
        <v>0.25199027777529953</v>
      </c>
      <c r="L347" t="s">
        <v>164</v>
      </c>
    </row>
    <row r="348" spans="9:12" x14ac:dyDescent="0.45">
      <c r="I348" t="s">
        <v>203</v>
      </c>
      <c r="J348" t="s">
        <v>307</v>
      </c>
      <c r="K348">
        <v>0</v>
      </c>
      <c r="L348" t="s">
        <v>164</v>
      </c>
    </row>
    <row r="349" spans="9:12" x14ac:dyDescent="0.45">
      <c r="I349" t="s">
        <v>203</v>
      </c>
      <c r="J349" t="s">
        <v>308</v>
      </c>
      <c r="K349">
        <v>1.0317139432998204E-2</v>
      </c>
      <c r="L349" t="s">
        <v>164</v>
      </c>
    </row>
    <row r="350" spans="9:12" x14ac:dyDescent="0.45">
      <c r="I350" t="s">
        <v>203</v>
      </c>
      <c r="J350" t="s">
        <v>309</v>
      </c>
      <c r="K350">
        <v>0.24814074976865563</v>
      </c>
      <c r="L350" t="s">
        <v>164</v>
      </c>
    </row>
    <row r="351" spans="9:12" x14ac:dyDescent="0.45">
      <c r="I351" t="s">
        <v>203</v>
      </c>
      <c r="J351" t="s">
        <v>310</v>
      </c>
      <c r="K351">
        <v>0</v>
      </c>
      <c r="L351" t="s">
        <v>164</v>
      </c>
    </row>
    <row r="352" spans="9:12" x14ac:dyDescent="0.45">
      <c r="I352" t="s">
        <v>203</v>
      </c>
      <c r="J352" t="s">
        <v>311</v>
      </c>
      <c r="K352">
        <v>1.4511472532684588E-2</v>
      </c>
      <c r="L352" t="s">
        <v>164</v>
      </c>
    </row>
    <row r="353" spans="9:12" x14ac:dyDescent="0.45">
      <c r="I353" t="s">
        <v>203</v>
      </c>
      <c r="J353" t="s">
        <v>312</v>
      </c>
      <c r="K353">
        <v>0.20579737966234909</v>
      </c>
      <c r="L353" t="s">
        <v>164</v>
      </c>
    </row>
    <row r="354" spans="9:12" x14ac:dyDescent="0.45">
      <c r="I354" t="s">
        <v>203</v>
      </c>
      <c r="J354" t="s">
        <v>313</v>
      </c>
      <c r="K354">
        <v>0</v>
      </c>
      <c r="L354" t="s">
        <v>164</v>
      </c>
    </row>
    <row r="355" spans="9:12" x14ac:dyDescent="0.45">
      <c r="I355" t="s">
        <v>203</v>
      </c>
      <c r="J355" t="s">
        <v>314</v>
      </c>
      <c r="K355">
        <v>1.3921563671358776E-2</v>
      </c>
      <c r="L355" t="s">
        <v>164</v>
      </c>
    </row>
    <row r="356" spans="9:12" x14ac:dyDescent="0.45">
      <c r="I356" t="s">
        <v>203</v>
      </c>
      <c r="J356" t="s">
        <v>315</v>
      </c>
      <c r="K356">
        <v>0.24352635885708052</v>
      </c>
      <c r="L356" t="s">
        <v>164</v>
      </c>
    </row>
    <row r="357" spans="9:12" x14ac:dyDescent="0.45">
      <c r="I357" t="s">
        <v>203</v>
      </c>
      <c r="J357" t="s">
        <v>316</v>
      </c>
      <c r="K357">
        <v>0</v>
      </c>
      <c r="L357" t="s">
        <v>164</v>
      </c>
    </row>
    <row r="358" spans="9:12" x14ac:dyDescent="0.45">
      <c r="I358" t="s">
        <v>203</v>
      </c>
      <c r="J358" t="s">
        <v>317</v>
      </c>
      <c r="K358">
        <v>1.1795058299573514E-2</v>
      </c>
      <c r="L358" t="s">
        <v>164</v>
      </c>
    </row>
    <row r="359" spans="9:12" x14ac:dyDescent="0.45">
      <c r="I359" t="s">
        <v>204</v>
      </c>
      <c r="J359" t="s">
        <v>306</v>
      </c>
      <c r="K359">
        <v>0.24396697603002709</v>
      </c>
      <c r="L359" t="s">
        <v>164</v>
      </c>
    </row>
    <row r="360" spans="9:12" x14ac:dyDescent="0.45">
      <c r="I360" t="s">
        <v>204</v>
      </c>
      <c r="J360" t="s">
        <v>307</v>
      </c>
      <c r="K360">
        <v>0</v>
      </c>
      <c r="L360" t="s">
        <v>164</v>
      </c>
    </row>
    <row r="361" spans="9:12" x14ac:dyDescent="0.45">
      <c r="I361" t="s">
        <v>204</v>
      </c>
      <c r="J361" t="s">
        <v>308</v>
      </c>
      <c r="K361">
        <v>1.4400671592142943E-2</v>
      </c>
      <c r="L361" t="s">
        <v>164</v>
      </c>
    </row>
    <row r="362" spans="9:12" x14ac:dyDescent="0.45">
      <c r="I362" t="s">
        <v>204</v>
      </c>
      <c r="J362" t="s">
        <v>309</v>
      </c>
      <c r="K362">
        <v>0.23913499726295512</v>
      </c>
      <c r="L362" t="s">
        <v>164</v>
      </c>
    </row>
    <row r="363" spans="9:12" x14ac:dyDescent="0.45">
      <c r="I363" t="s">
        <v>204</v>
      </c>
      <c r="J363" t="s">
        <v>310</v>
      </c>
      <c r="K363">
        <v>0</v>
      </c>
      <c r="L363" t="s">
        <v>164</v>
      </c>
    </row>
    <row r="364" spans="9:12" x14ac:dyDescent="0.45">
      <c r="I364" t="s">
        <v>204</v>
      </c>
      <c r="J364" t="s">
        <v>311</v>
      </c>
      <c r="K364">
        <v>1.9781142793810626E-2</v>
      </c>
      <c r="L364" t="s">
        <v>164</v>
      </c>
    </row>
    <row r="365" spans="9:12" x14ac:dyDescent="0.45">
      <c r="I365" t="s">
        <v>204</v>
      </c>
      <c r="J365" t="s">
        <v>312</v>
      </c>
      <c r="K365">
        <v>0.20553195131150381</v>
      </c>
      <c r="L365" t="s">
        <v>164</v>
      </c>
    </row>
    <row r="366" spans="9:12" x14ac:dyDescent="0.45">
      <c r="I366" t="s">
        <v>204</v>
      </c>
      <c r="J366" t="s">
        <v>313</v>
      </c>
      <c r="K366">
        <v>0</v>
      </c>
      <c r="L366" t="s">
        <v>164</v>
      </c>
    </row>
    <row r="367" spans="9:12" x14ac:dyDescent="0.45">
      <c r="I367" t="s">
        <v>204</v>
      </c>
      <c r="J367" t="s">
        <v>314</v>
      </c>
      <c r="K367">
        <v>1.7364556007125043E-2</v>
      </c>
      <c r="L367" t="s">
        <v>164</v>
      </c>
    </row>
    <row r="368" spans="9:12" x14ac:dyDescent="0.45">
      <c r="I368" t="s">
        <v>204</v>
      </c>
      <c r="J368" t="s">
        <v>315</v>
      </c>
      <c r="K368">
        <v>0.24308324312934787</v>
      </c>
      <c r="L368" t="s">
        <v>164</v>
      </c>
    </row>
    <row r="369" spans="9:12" x14ac:dyDescent="0.45">
      <c r="I369" t="s">
        <v>204</v>
      </c>
      <c r="J369" t="s">
        <v>316</v>
      </c>
      <c r="K369">
        <v>0</v>
      </c>
      <c r="L369" t="s">
        <v>164</v>
      </c>
    </row>
    <row r="370" spans="9:12" x14ac:dyDescent="0.45">
      <c r="I370" t="s">
        <v>204</v>
      </c>
      <c r="J370" t="s">
        <v>317</v>
      </c>
      <c r="K370">
        <v>1.6736461873087194E-2</v>
      </c>
      <c r="L370" t="s">
        <v>164</v>
      </c>
    </row>
    <row r="371" spans="9:12" x14ac:dyDescent="0.45">
      <c r="I371" t="s">
        <v>205</v>
      </c>
      <c r="J371" t="s">
        <v>306</v>
      </c>
      <c r="K371">
        <v>0.24285102692365837</v>
      </c>
      <c r="L371" t="s">
        <v>164</v>
      </c>
    </row>
    <row r="372" spans="9:12" x14ac:dyDescent="0.45">
      <c r="I372" t="s">
        <v>205</v>
      </c>
      <c r="J372" t="s">
        <v>307</v>
      </c>
      <c r="K372">
        <v>0</v>
      </c>
      <c r="L372" t="s">
        <v>164</v>
      </c>
    </row>
    <row r="373" spans="9:12" x14ac:dyDescent="0.45">
      <c r="I373" t="s">
        <v>205</v>
      </c>
      <c r="J373" t="s">
        <v>308</v>
      </c>
      <c r="K373">
        <v>1.4799279854569483E-2</v>
      </c>
      <c r="L373" t="s">
        <v>164</v>
      </c>
    </row>
    <row r="374" spans="9:12" x14ac:dyDescent="0.45">
      <c r="I374" t="s">
        <v>205</v>
      </c>
      <c r="J374" t="s">
        <v>309</v>
      </c>
      <c r="K374">
        <v>0.24015021471295972</v>
      </c>
      <c r="L374" t="s">
        <v>164</v>
      </c>
    </row>
    <row r="375" spans="9:12" x14ac:dyDescent="0.45">
      <c r="I375" t="s">
        <v>205</v>
      </c>
      <c r="J375" t="s">
        <v>310</v>
      </c>
      <c r="K375">
        <v>0</v>
      </c>
      <c r="L375" t="s">
        <v>164</v>
      </c>
    </row>
    <row r="376" spans="9:12" x14ac:dyDescent="0.45">
      <c r="I376" t="s">
        <v>205</v>
      </c>
      <c r="J376" t="s">
        <v>311</v>
      </c>
      <c r="K376">
        <v>2.0041568914672309E-2</v>
      </c>
      <c r="L376" t="s">
        <v>164</v>
      </c>
    </row>
    <row r="377" spans="9:12" x14ac:dyDescent="0.45">
      <c r="I377" t="s">
        <v>205</v>
      </c>
      <c r="J377" t="s">
        <v>312</v>
      </c>
      <c r="K377">
        <v>0.19357678115180812</v>
      </c>
      <c r="L377" t="s">
        <v>164</v>
      </c>
    </row>
    <row r="378" spans="9:12" x14ac:dyDescent="0.45">
      <c r="I378" t="s">
        <v>205</v>
      </c>
      <c r="J378" t="s">
        <v>313</v>
      </c>
      <c r="K378">
        <v>0</v>
      </c>
      <c r="L378" t="s">
        <v>164</v>
      </c>
    </row>
    <row r="379" spans="9:12" x14ac:dyDescent="0.45">
      <c r="I379" t="s">
        <v>205</v>
      </c>
      <c r="J379" t="s">
        <v>314</v>
      </c>
      <c r="K379">
        <v>1.6881263867942996E-2</v>
      </c>
      <c r="L379" t="s">
        <v>164</v>
      </c>
    </row>
    <row r="380" spans="9:12" x14ac:dyDescent="0.45">
      <c r="I380" t="s">
        <v>205</v>
      </c>
      <c r="J380" t="s">
        <v>315</v>
      </c>
      <c r="K380">
        <v>0.25270973450732409</v>
      </c>
      <c r="L380" t="s">
        <v>164</v>
      </c>
    </row>
    <row r="381" spans="9:12" x14ac:dyDescent="0.45">
      <c r="I381" t="s">
        <v>205</v>
      </c>
      <c r="J381" t="s">
        <v>316</v>
      </c>
      <c r="K381">
        <v>0</v>
      </c>
      <c r="L381" t="s">
        <v>164</v>
      </c>
    </row>
    <row r="382" spans="9:12" x14ac:dyDescent="0.45">
      <c r="I382" t="s">
        <v>205</v>
      </c>
      <c r="J382" t="s">
        <v>317</v>
      </c>
      <c r="K382">
        <v>1.8990130067068695E-2</v>
      </c>
      <c r="L382" t="s">
        <v>164</v>
      </c>
    </row>
    <row r="383" spans="9:12" x14ac:dyDescent="0.45">
      <c r="I383" t="s">
        <v>206</v>
      </c>
      <c r="J383" t="s">
        <v>306</v>
      </c>
      <c r="K383">
        <v>0.2467089893619063</v>
      </c>
      <c r="L383" t="s">
        <v>164</v>
      </c>
    </row>
    <row r="384" spans="9:12" x14ac:dyDescent="0.45">
      <c r="I384" t="s">
        <v>206</v>
      </c>
      <c r="J384" t="s">
        <v>307</v>
      </c>
      <c r="K384">
        <v>0</v>
      </c>
      <c r="L384" t="s">
        <v>164</v>
      </c>
    </row>
    <row r="385" spans="9:12" x14ac:dyDescent="0.45">
      <c r="I385" t="s">
        <v>206</v>
      </c>
      <c r="J385" t="s">
        <v>308</v>
      </c>
      <c r="K385">
        <v>1.3767661827444778E-2</v>
      </c>
      <c r="L385" t="s">
        <v>164</v>
      </c>
    </row>
    <row r="386" spans="9:12" x14ac:dyDescent="0.45">
      <c r="I386" t="s">
        <v>206</v>
      </c>
      <c r="J386" t="s">
        <v>309</v>
      </c>
      <c r="K386">
        <v>0.24602270264191231</v>
      </c>
      <c r="L386" t="s">
        <v>164</v>
      </c>
    </row>
    <row r="387" spans="9:12" x14ac:dyDescent="0.45">
      <c r="I387" t="s">
        <v>206</v>
      </c>
      <c r="J387" t="s">
        <v>310</v>
      </c>
      <c r="K387">
        <v>0</v>
      </c>
      <c r="L387" t="s">
        <v>164</v>
      </c>
    </row>
    <row r="388" spans="9:12" x14ac:dyDescent="0.45">
      <c r="I388" t="s">
        <v>206</v>
      </c>
      <c r="J388" t="s">
        <v>311</v>
      </c>
      <c r="K388">
        <v>2.0608022473123915E-2</v>
      </c>
      <c r="L388" t="s">
        <v>164</v>
      </c>
    </row>
    <row r="389" spans="9:12" x14ac:dyDescent="0.45">
      <c r="I389" t="s">
        <v>206</v>
      </c>
      <c r="J389" t="s">
        <v>312</v>
      </c>
      <c r="K389">
        <v>0.17084039720664843</v>
      </c>
      <c r="L389" t="s">
        <v>164</v>
      </c>
    </row>
    <row r="390" spans="9:12" x14ac:dyDescent="0.45">
      <c r="I390" t="s">
        <v>206</v>
      </c>
      <c r="J390" t="s">
        <v>313</v>
      </c>
      <c r="K390">
        <v>0</v>
      </c>
      <c r="L390" t="s">
        <v>164</v>
      </c>
    </row>
    <row r="391" spans="9:12" x14ac:dyDescent="0.45">
      <c r="I391" t="s">
        <v>206</v>
      </c>
      <c r="J391" t="s">
        <v>314</v>
      </c>
      <c r="K391">
        <v>1.4139407992233878E-2</v>
      </c>
      <c r="L391" t="s">
        <v>164</v>
      </c>
    </row>
    <row r="392" spans="9:12" x14ac:dyDescent="0.45">
      <c r="I392" t="s">
        <v>206</v>
      </c>
      <c r="J392" t="s">
        <v>315</v>
      </c>
      <c r="K392">
        <v>0.26889831795653918</v>
      </c>
      <c r="L392" t="s">
        <v>164</v>
      </c>
    </row>
    <row r="393" spans="9:12" x14ac:dyDescent="0.45">
      <c r="I393" t="s">
        <v>206</v>
      </c>
      <c r="J393" t="s">
        <v>316</v>
      </c>
      <c r="K393">
        <v>0</v>
      </c>
      <c r="L393" t="s">
        <v>164</v>
      </c>
    </row>
    <row r="394" spans="9:12" x14ac:dyDescent="0.45">
      <c r="I394" t="s">
        <v>206</v>
      </c>
      <c r="J394" t="s">
        <v>317</v>
      </c>
      <c r="K394">
        <v>1.9014500540192766E-2</v>
      </c>
      <c r="L394" t="s">
        <v>164</v>
      </c>
    </row>
    <row r="395" spans="9:12" x14ac:dyDescent="0.45">
      <c r="I395" t="s">
        <v>207</v>
      </c>
      <c r="J395" t="s">
        <v>306</v>
      </c>
      <c r="K395">
        <v>0.25470173296211202</v>
      </c>
      <c r="L395" t="s">
        <v>164</v>
      </c>
    </row>
    <row r="396" spans="9:12" x14ac:dyDescent="0.45">
      <c r="I396" t="s">
        <v>207</v>
      </c>
      <c r="J396" t="s">
        <v>307</v>
      </c>
      <c r="K396">
        <v>0</v>
      </c>
      <c r="L396" t="s">
        <v>164</v>
      </c>
    </row>
    <row r="397" spans="9:12" x14ac:dyDescent="0.45">
      <c r="I397" t="s">
        <v>207</v>
      </c>
      <c r="J397" t="s">
        <v>308</v>
      </c>
      <c r="K397">
        <v>1.1119521457547242E-2</v>
      </c>
      <c r="L397" t="s">
        <v>164</v>
      </c>
    </row>
    <row r="398" spans="9:12" x14ac:dyDescent="0.45">
      <c r="I398" t="s">
        <v>207</v>
      </c>
      <c r="J398" t="s">
        <v>309</v>
      </c>
      <c r="K398">
        <v>0.24805959176751582</v>
      </c>
      <c r="L398" t="s">
        <v>164</v>
      </c>
    </row>
    <row r="399" spans="9:12" x14ac:dyDescent="0.45">
      <c r="I399" t="s">
        <v>207</v>
      </c>
      <c r="J399" t="s">
        <v>310</v>
      </c>
      <c r="K399">
        <v>0</v>
      </c>
      <c r="L399" t="s">
        <v>164</v>
      </c>
    </row>
    <row r="400" spans="9:12" x14ac:dyDescent="0.45">
      <c r="I400" t="s">
        <v>207</v>
      </c>
      <c r="J400" t="s">
        <v>311</v>
      </c>
      <c r="K400">
        <v>1.893846025528307E-2</v>
      </c>
      <c r="L400" t="s">
        <v>164</v>
      </c>
    </row>
    <row r="401" spans="9:12" x14ac:dyDescent="0.45">
      <c r="I401" t="s">
        <v>207</v>
      </c>
      <c r="J401" t="s">
        <v>312</v>
      </c>
      <c r="K401">
        <v>0.17103856846068302</v>
      </c>
      <c r="L401" t="s">
        <v>164</v>
      </c>
    </row>
    <row r="402" spans="9:12" x14ac:dyDescent="0.45">
      <c r="I402" t="s">
        <v>207</v>
      </c>
      <c r="J402" t="s">
        <v>313</v>
      </c>
      <c r="K402">
        <v>0</v>
      </c>
      <c r="L402" t="s">
        <v>164</v>
      </c>
    </row>
    <row r="403" spans="9:12" x14ac:dyDescent="0.45">
      <c r="I403" t="s">
        <v>207</v>
      </c>
      <c r="J403" t="s">
        <v>314</v>
      </c>
      <c r="K403">
        <v>1.0418876168117871E-2</v>
      </c>
      <c r="L403" t="s">
        <v>164</v>
      </c>
    </row>
    <row r="404" spans="9:12" x14ac:dyDescent="0.45">
      <c r="I404" t="s">
        <v>207</v>
      </c>
      <c r="J404" t="s">
        <v>315</v>
      </c>
      <c r="K404">
        <v>0.26950307424502207</v>
      </c>
      <c r="L404" t="s">
        <v>164</v>
      </c>
    </row>
    <row r="405" spans="9:12" x14ac:dyDescent="0.45">
      <c r="I405" t="s">
        <v>207</v>
      </c>
      <c r="J405" t="s">
        <v>316</v>
      </c>
      <c r="K405">
        <v>0</v>
      </c>
      <c r="L405" t="s">
        <v>164</v>
      </c>
    </row>
    <row r="406" spans="9:12" x14ac:dyDescent="0.45">
      <c r="I406" t="s">
        <v>207</v>
      </c>
      <c r="J406" t="s">
        <v>317</v>
      </c>
      <c r="K406">
        <v>1.6220174683716698E-2</v>
      </c>
      <c r="L406" t="s">
        <v>164</v>
      </c>
    </row>
    <row r="407" spans="9:12" x14ac:dyDescent="0.45">
      <c r="I407" t="s">
        <v>208</v>
      </c>
      <c r="J407" t="s">
        <v>306</v>
      </c>
      <c r="K407">
        <v>0.24076279690692601</v>
      </c>
      <c r="L407" t="s">
        <v>164</v>
      </c>
    </row>
    <row r="408" spans="9:12" x14ac:dyDescent="0.45">
      <c r="I408" t="s">
        <v>208</v>
      </c>
      <c r="J408" t="s">
        <v>307</v>
      </c>
      <c r="K408">
        <v>0</v>
      </c>
      <c r="L408" t="s">
        <v>164</v>
      </c>
    </row>
    <row r="409" spans="9:12" x14ac:dyDescent="0.45">
      <c r="I409" t="s">
        <v>208</v>
      </c>
      <c r="J409" t="s">
        <v>308</v>
      </c>
      <c r="K409">
        <v>1.3021433837174525E-2</v>
      </c>
      <c r="L409" t="s">
        <v>164</v>
      </c>
    </row>
    <row r="410" spans="9:12" x14ac:dyDescent="0.45">
      <c r="I410" t="s">
        <v>208</v>
      </c>
      <c r="J410" t="s">
        <v>309</v>
      </c>
      <c r="K410">
        <v>0.24239710831037226</v>
      </c>
      <c r="L410" t="s">
        <v>164</v>
      </c>
    </row>
    <row r="411" spans="9:12" x14ac:dyDescent="0.45">
      <c r="I411" t="s">
        <v>208</v>
      </c>
      <c r="J411" t="s">
        <v>310</v>
      </c>
      <c r="K411">
        <v>0</v>
      </c>
      <c r="L411" t="s">
        <v>164</v>
      </c>
    </row>
    <row r="412" spans="9:12" x14ac:dyDescent="0.45">
      <c r="I412" t="s">
        <v>208</v>
      </c>
      <c r="J412" t="s">
        <v>311</v>
      </c>
      <c r="K412">
        <v>1.8837379705059939E-2</v>
      </c>
      <c r="L412" t="s">
        <v>164</v>
      </c>
    </row>
    <row r="413" spans="9:12" x14ac:dyDescent="0.45">
      <c r="I413" t="s">
        <v>208</v>
      </c>
      <c r="J413" t="s">
        <v>312</v>
      </c>
      <c r="K413">
        <v>0.1763118133480365</v>
      </c>
      <c r="L413" t="s">
        <v>164</v>
      </c>
    </row>
    <row r="414" spans="9:12" x14ac:dyDescent="0.45">
      <c r="I414" t="s">
        <v>208</v>
      </c>
      <c r="J414" t="s">
        <v>313</v>
      </c>
      <c r="K414">
        <v>0</v>
      </c>
      <c r="L414" t="s">
        <v>164</v>
      </c>
    </row>
    <row r="415" spans="9:12" x14ac:dyDescent="0.45">
      <c r="I415" t="s">
        <v>208</v>
      </c>
      <c r="J415" t="s">
        <v>314</v>
      </c>
      <c r="K415">
        <v>1.5014231865697912E-2</v>
      </c>
      <c r="L415" t="s">
        <v>164</v>
      </c>
    </row>
    <row r="416" spans="9:12" x14ac:dyDescent="0.45">
      <c r="I416" t="s">
        <v>208</v>
      </c>
      <c r="J416" t="s">
        <v>315</v>
      </c>
      <c r="K416">
        <v>0.27488666182644</v>
      </c>
      <c r="L416" t="s">
        <v>164</v>
      </c>
    </row>
    <row r="417" spans="9:12" x14ac:dyDescent="0.45">
      <c r="I417" t="s">
        <v>208</v>
      </c>
      <c r="J417" t="s">
        <v>316</v>
      </c>
      <c r="K417">
        <v>0</v>
      </c>
      <c r="L417" t="s">
        <v>164</v>
      </c>
    </row>
    <row r="418" spans="9:12" x14ac:dyDescent="0.45">
      <c r="I418" t="s">
        <v>208</v>
      </c>
      <c r="J418" t="s">
        <v>317</v>
      </c>
      <c r="K418">
        <v>1.8768574200290187E-2</v>
      </c>
      <c r="L418" t="s">
        <v>164</v>
      </c>
    </row>
    <row r="419" spans="9:12" x14ac:dyDescent="0.45">
      <c r="I419" t="s">
        <v>209</v>
      </c>
      <c r="J419" t="s">
        <v>306</v>
      </c>
      <c r="K419">
        <v>0.24166444316393829</v>
      </c>
      <c r="L419" t="s">
        <v>164</v>
      </c>
    </row>
    <row r="420" spans="9:12" x14ac:dyDescent="0.45">
      <c r="I420" t="s">
        <v>209</v>
      </c>
      <c r="J420" t="s">
        <v>307</v>
      </c>
      <c r="K420">
        <v>0</v>
      </c>
      <c r="L420" t="s">
        <v>164</v>
      </c>
    </row>
    <row r="421" spans="9:12" x14ac:dyDescent="0.45">
      <c r="I421" t="s">
        <v>209</v>
      </c>
      <c r="J421" t="s">
        <v>308</v>
      </c>
      <c r="K421">
        <v>1.6064949614966847E-2</v>
      </c>
      <c r="L421" t="s">
        <v>164</v>
      </c>
    </row>
    <row r="422" spans="9:12" x14ac:dyDescent="0.45">
      <c r="I422" t="s">
        <v>209</v>
      </c>
      <c r="J422" t="s">
        <v>309</v>
      </c>
      <c r="K422">
        <v>0.23977485455582215</v>
      </c>
      <c r="L422" t="s">
        <v>164</v>
      </c>
    </row>
    <row r="423" spans="9:12" x14ac:dyDescent="0.45">
      <c r="I423" t="s">
        <v>209</v>
      </c>
      <c r="J423" t="s">
        <v>310</v>
      </c>
      <c r="K423">
        <v>0</v>
      </c>
      <c r="L423" t="s">
        <v>164</v>
      </c>
    </row>
    <row r="424" spans="9:12" x14ac:dyDescent="0.45">
      <c r="I424" t="s">
        <v>209</v>
      </c>
      <c r="J424" t="s">
        <v>311</v>
      </c>
      <c r="K424">
        <v>2.034237589658687E-2</v>
      </c>
      <c r="L424" t="s">
        <v>164</v>
      </c>
    </row>
    <row r="425" spans="9:12" x14ac:dyDescent="0.45">
      <c r="I425" t="s">
        <v>209</v>
      </c>
      <c r="J425" t="s">
        <v>312</v>
      </c>
      <c r="K425">
        <v>0.18193009167034971</v>
      </c>
      <c r="L425" t="s">
        <v>164</v>
      </c>
    </row>
    <row r="426" spans="9:12" x14ac:dyDescent="0.45">
      <c r="I426" t="s">
        <v>209</v>
      </c>
      <c r="J426" t="s">
        <v>313</v>
      </c>
      <c r="K426">
        <v>0</v>
      </c>
      <c r="L426" t="s">
        <v>164</v>
      </c>
    </row>
    <row r="427" spans="9:12" x14ac:dyDescent="0.45">
      <c r="I427" t="s">
        <v>209</v>
      </c>
      <c r="J427" t="s">
        <v>314</v>
      </c>
      <c r="K427">
        <v>1.7447521056283929E-2</v>
      </c>
      <c r="L427" t="s">
        <v>164</v>
      </c>
    </row>
    <row r="428" spans="9:12" x14ac:dyDescent="0.45">
      <c r="I428" t="s">
        <v>209</v>
      </c>
      <c r="J428" t="s">
        <v>315</v>
      </c>
      <c r="K428">
        <v>0.26210629223625065</v>
      </c>
      <c r="L428" t="s">
        <v>164</v>
      </c>
    </row>
    <row r="429" spans="9:12" x14ac:dyDescent="0.45">
      <c r="I429" t="s">
        <v>209</v>
      </c>
      <c r="J429" t="s">
        <v>316</v>
      </c>
      <c r="K429">
        <v>0</v>
      </c>
      <c r="L429" t="s">
        <v>164</v>
      </c>
    </row>
    <row r="430" spans="9:12" x14ac:dyDescent="0.45">
      <c r="I430" t="s">
        <v>209</v>
      </c>
      <c r="J430" t="s">
        <v>317</v>
      </c>
      <c r="K430">
        <v>2.0669471805800876E-2</v>
      </c>
      <c r="L430" t="s">
        <v>164</v>
      </c>
    </row>
    <row r="431" spans="9:12" x14ac:dyDescent="0.45">
      <c r="I431" t="s">
        <v>210</v>
      </c>
      <c r="J431" t="s">
        <v>306</v>
      </c>
      <c r="K431">
        <v>0.23620424685028774</v>
      </c>
      <c r="L431" t="s">
        <v>164</v>
      </c>
    </row>
    <row r="432" spans="9:12" x14ac:dyDescent="0.45">
      <c r="I432" t="s">
        <v>210</v>
      </c>
      <c r="J432" t="s">
        <v>307</v>
      </c>
      <c r="K432">
        <v>0</v>
      </c>
      <c r="L432" t="s">
        <v>164</v>
      </c>
    </row>
    <row r="433" spans="9:12" x14ac:dyDescent="0.45">
      <c r="I433" t="s">
        <v>210</v>
      </c>
      <c r="J433" t="s">
        <v>308</v>
      </c>
      <c r="K433">
        <v>1.5385075116462324E-2</v>
      </c>
      <c r="L433" t="s">
        <v>164</v>
      </c>
    </row>
    <row r="434" spans="9:12" x14ac:dyDescent="0.45">
      <c r="I434" t="s">
        <v>210</v>
      </c>
      <c r="J434" t="s">
        <v>309</v>
      </c>
      <c r="K434">
        <v>0.24283475490034326</v>
      </c>
      <c r="L434" t="s">
        <v>164</v>
      </c>
    </row>
    <row r="435" spans="9:12" x14ac:dyDescent="0.45">
      <c r="I435" t="s">
        <v>210</v>
      </c>
      <c r="J435" t="s">
        <v>310</v>
      </c>
      <c r="K435">
        <v>0</v>
      </c>
      <c r="L435" t="s">
        <v>164</v>
      </c>
    </row>
    <row r="436" spans="9:12" x14ac:dyDescent="0.45">
      <c r="I436" t="s">
        <v>210</v>
      </c>
      <c r="J436" t="s">
        <v>311</v>
      </c>
      <c r="K436">
        <v>1.8635021045905777E-2</v>
      </c>
      <c r="L436" t="s">
        <v>164</v>
      </c>
    </row>
    <row r="437" spans="9:12" x14ac:dyDescent="0.45">
      <c r="I437" t="s">
        <v>210</v>
      </c>
      <c r="J437" t="s">
        <v>312</v>
      </c>
      <c r="K437">
        <v>0.17739590482925754</v>
      </c>
      <c r="L437" t="s">
        <v>164</v>
      </c>
    </row>
    <row r="438" spans="9:12" x14ac:dyDescent="0.45">
      <c r="I438" t="s">
        <v>210</v>
      </c>
      <c r="J438" t="s">
        <v>313</v>
      </c>
      <c r="K438">
        <v>0</v>
      </c>
      <c r="L438" t="s">
        <v>164</v>
      </c>
    </row>
    <row r="439" spans="9:12" x14ac:dyDescent="0.45">
      <c r="I439" t="s">
        <v>210</v>
      </c>
      <c r="J439" t="s">
        <v>314</v>
      </c>
      <c r="K439">
        <v>1.7577331960979683E-2</v>
      </c>
      <c r="L439" t="s">
        <v>164</v>
      </c>
    </row>
    <row r="440" spans="9:12" x14ac:dyDescent="0.45">
      <c r="I440" t="s">
        <v>210</v>
      </c>
      <c r="J440" t="s">
        <v>315</v>
      </c>
      <c r="K440">
        <v>0.27018713481878093</v>
      </c>
      <c r="L440" t="s">
        <v>164</v>
      </c>
    </row>
    <row r="441" spans="9:12" x14ac:dyDescent="0.45">
      <c r="I441" t="s">
        <v>210</v>
      </c>
      <c r="J441" t="s">
        <v>316</v>
      </c>
      <c r="K441">
        <v>0</v>
      </c>
      <c r="L441" t="s">
        <v>164</v>
      </c>
    </row>
    <row r="442" spans="9:12" x14ac:dyDescent="0.45">
      <c r="I442" t="s">
        <v>210</v>
      </c>
      <c r="J442" t="s">
        <v>317</v>
      </c>
      <c r="K442">
        <v>2.1780530477981952E-2</v>
      </c>
      <c r="L442" t="s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Veda</vt:lpstr>
      <vt:lpstr>fuel_prices</vt:lpstr>
      <vt:lpstr>iea_data</vt:lpstr>
      <vt:lpstr>ar6_r10</vt:lpstr>
      <vt:lpstr>ev_charging_uc</vt:lpstr>
      <vt:lpstr>ts_012</vt:lpstr>
      <vt:lpstr>ts_048</vt:lpstr>
      <vt:lpstr>ts_annual</vt:lpstr>
      <vt:lpstr>ts_12t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2025-12-05T16:04:16Z</dcterms:modified>
</cp:coreProperties>
</file>