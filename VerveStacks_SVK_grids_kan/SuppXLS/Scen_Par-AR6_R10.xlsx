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VK_grids_kan\SuppXLS\"/>
    </mc:Choice>
  </mc:AlternateContent>
  <xr:revisionPtr revIDLastSave="0" documentId="8_{53196448-9126-4C89-8F9C-6A6BD30DFD16}" xr6:coauthVersionLast="47" xr6:coauthVersionMax="47" xr10:uidLastSave="{00000000-0000-0000-0000-000000000000}"/>
  <bookViews>
    <workbookView xWindow="-98" yWindow="-98" windowWidth="28996" windowHeight="1747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<sst xmlns="http://schemas.openxmlformats.org/spreadsheetml/2006/main" count="12080" uniqueCount="266">
  <si>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</si>
  <si>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</si>
  <si>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</si>
  <si>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</si>
  <si>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</si>
  <si>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</si>
  <si>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</si>
  <si>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</si>
  <si>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</si>
  <si>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</si>
  <si>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</si>
  <si>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</si>
  <si>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</si>
  <si>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</si>
  <si>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</si>
  <si>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</si>
  <si>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</si>
  <si>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</si>
  <si>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</si>
  <si>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</si>
  <si>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</si>
  <si>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</si>
  <si>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</si>
  <si>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</si>
  <si>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</si>
  <si>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</si>
  <si>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</si>
  <si>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</si>
  <si>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</si>
  <si>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</si>
  <si>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</si>
  <si>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</si>
  <si>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</si>
  <si>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</si>
  <si>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</si>
  <si>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</si>
  <si>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</si>
  <si>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</si>
  <si>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</si>
  <si>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</si>
  <si>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</si>
  <si>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</si>
  <si>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</si>
  <si>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</si>
  <si>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</si>
  <si>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</si>
  <si>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</si>
  <si>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</si>
  <si>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</si>
  <si>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</si>
  <si>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</si>
  <si>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</si>
  <si>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</si>
  <si>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</si>
  <si>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</si>
  <si>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</si>
  <si>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</si>
  <si>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</si>
  <si>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</si>
  <si>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</si>
  <si>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</si>
  <si>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</si>
  <si>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</si>
  <si>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</si>
  <si>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</si>
  <si>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</si>
  <si>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</si>
  <si>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</si>
  <si>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</si>
  <si>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</si>
  <si>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</si>
  <si>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</si>
  <si>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</si>
  <si>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</si>
  <si>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</si>
  <si>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</si>
  <si>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</si>
  <si>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</si>
  <si>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</si>
  <si>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</si>
  <si>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</si>
  <si>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</si>
  <si>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</si>
  <si>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</si>
  <si>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</si>
  <si>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</si>
  <si>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</si>
  <si>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</si>
  <si>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</si>
  <si>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</si>
  <si>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</si>
  <si>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</si>
  <si>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</si>
  <si>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</si>
  <si>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</si>
  <si>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</si>
  <si>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</si>
  <si>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</si>
  <si>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</si>
  <si>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</si>
  <si>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</si>
  <si>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</si>
  <si>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</si>
  <si>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</si>
  <si>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</si>
  <si>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</si>
  <si>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</si>
  <si>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</si>
  <si>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</si>
  <si>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</si>
  <si>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</si>
  <si>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</si>
  <si>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</si>
  <si>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</si>
  <si>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</si>
  <si>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</si>
  <si>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</si>
  <si>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</si>
  <si>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</si>
  <si>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</si>
  <si>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</si>
  <si>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</si>
  <si>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</si>
  <si>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</si>
  <si>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</si>
  <si>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</si>
  <si>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</si>
  <si>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</si>
  <si>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</si>
  <si>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</si>
  <si>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</si>
  <si>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</si>
  <si>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</si>
  <si>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SVK</t>
  </si>
  <si>
    <t>R10EUROPE</t>
  </si>
  <si>
    <t>Transit country, forest resources</t>
  </si>
  <si>
    <t>1-25,36-40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</si>
  <si>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</si>
  <si>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</si>
  <si>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</si>
  <si>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</si>
  <si>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</si>
  <si>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</si>
  <si>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</si>
  <si>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</si>
  <si>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</si>
  <si>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</si>
  <si>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</si>
  <si>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</si>
  <si>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</si>
  <si>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</si>
  <si>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</si>
  <si>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</si>
  <si>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</si>
  <si>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</si>
  <si>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</si>
  <si>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ts_024</t>
  </si>
  <si>
    <t>com_fr</t>
  </si>
  <si>
    <t>elc_spv_SVK_001</t>
  </si>
  <si>
    <t>S01aH01</t>
  </si>
  <si>
    <t>IMPNRGZ</t>
  </si>
  <si>
    <t>S01aH02</t>
  </si>
  <si>
    <t>S01aH03</t>
  </si>
  <si>
    <t>S01aH04</t>
  </si>
  <si>
    <t>S01aH05</t>
  </si>
  <si>
    <t>S02aH01</t>
  </si>
  <si>
    <t>S02aH02</t>
  </si>
  <si>
    <t>S02aH03</t>
  </si>
  <si>
    <t>S02aH04</t>
  </si>
  <si>
    <t>S02aH05</t>
  </si>
  <si>
    <t>S03aH01</t>
  </si>
  <si>
    <t>S03aH02</t>
  </si>
  <si>
    <t>S03aH03</t>
  </si>
  <si>
    <t>S03aH04</t>
  </si>
  <si>
    <t>S03aH05</t>
  </si>
  <si>
    <t>S04aH01</t>
  </si>
  <si>
    <t>S04aH02</t>
  </si>
  <si>
    <t>S04aH03</t>
  </si>
  <si>
    <t>S04aH04</t>
  </si>
  <si>
    <t>S04aH05</t>
  </si>
  <si>
    <t>elc_spv_SVK_002</t>
  </si>
  <si>
    <t>elc_spv_SVK_003</t>
  </si>
  <si>
    <t>elc_spv_SVK_004</t>
  </si>
  <si>
    <t>elc_spv_SVK_005</t>
  </si>
  <si>
    <t>elc_spv_SVK_006</t>
  </si>
  <si>
    <t>elc_spv_SVK_007</t>
  </si>
  <si>
    <t>elc_spv_SVK_008</t>
  </si>
  <si>
    <t>elc_spv_SVK_009</t>
  </si>
  <si>
    <t>elc_spv_SVK_010</t>
  </si>
  <si>
    <t>elc_won_SVK_001</t>
  </si>
  <si>
    <t>elc_won_SVK_002</t>
  </si>
  <si>
    <t>elc_won_SVK_003</t>
  </si>
  <si>
    <t>elc_won_SVK_004</t>
  </si>
  <si>
    <t>elc_won_SVK_005</t>
  </si>
  <si>
    <t>elc_won_SVK_006</t>
  </si>
  <si>
    <t>elc_won_SVK_007</t>
  </si>
  <si>
    <t>elc_won_SVK_008</t>
  </si>
  <si>
    <t>elc_won_SVK_009</t>
  </si>
  <si>
    <t>elc_won_SVK_010</t>
  </si>
  <si>
    <t>elc_wof_SVK_001</t>
  </si>
  <si>
    <t>elc_wof_SVK_002</t>
  </si>
  <si>
    <t>elc_wof_SVK_003</t>
  </si>
  <si>
    <t>elc_wof_SVK_004</t>
  </si>
  <si>
    <t>elc_wof_SVK_005</t>
  </si>
  <si>
    <t>elc_wof_SVK_006</t>
  </si>
  <si>
    <t>elc_wof_SVK_007</t>
  </si>
  <si>
    <t>elc_wof_SVK_008</t>
  </si>
  <si>
    <t>elc_wof_SVK_009</t>
  </si>
  <si>
    <t>elc_wof_SVK_010</t>
  </si>
  <si>
    <t>g_yrfr</t>
  </si>
  <si>
    <t>day_night</t>
  </si>
  <si>
    <t>D</t>
  </si>
  <si>
    <t>S03aH03,S02aH03,S04aH03,S01aH03</t>
  </si>
  <si>
    <t>N</t>
  </si>
  <si>
    <t>S01aH04,S01aH05,S02aH02,S03aH04,S01aH01,S04aH01,S04aH05,S03aH02,S03aH05,S01aH02,S04aH04,S04aH02,S03aH01,S02aH01,S02aH04,S02aH05</t>
  </si>
  <si>
    <t>com_pkflx</t>
  </si>
  <si>
    <t>ncap_afs</t>
  </si>
  <si>
    <t>pset_ci</t>
  </si>
  <si>
    <t>hydro</t>
  </si>
  <si>
    <t>S01,S02,S03,S04,S05</t>
  </si>
  <si>
    <t>S05</t>
  </si>
  <si>
    <t>ts_036</t>
  </si>
  <si>
    <t>S05aH01</t>
  </si>
  <si>
    <t>S05aH02</t>
  </si>
  <si>
    <t>S05aH03</t>
  </si>
  <si>
    <t>S05aH04</t>
  </si>
  <si>
    <t>S05aH05</t>
  </si>
  <si>
    <t>S04aH03,S03aH03,S02aH03,S01aH03,S05aH03</t>
  </si>
  <si>
    <t>S01aH04,S05aH01,S02aH04,S02aH05,S03aH02,S03aH04,S03aH05,S05aH05,S02aH01,S05aH02,S01aH05,S03aH01,S02aH02,S01aH01,S04aH01,S05aH04,S04aH05,S04aH02,S01aH02,S04aH04</t>
  </si>
  <si>
    <t>H06</t>
  </si>
  <si>
    <t>H07</t>
  </si>
  <si>
    <t>S01aH06</t>
  </si>
  <si>
    <t>S01aH07</t>
  </si>
  <si>
    <t>S02aH06</t>
  </si>
  <si>
    <t>S02aH07</t>
  </si>
  <si>
    <t>S03aH06</t>
  </si>
  <si>
    <t>S03aH07</t>
  </si>
  <si>
    <t>S04aH06</t>
  </si>
  <si>
    <t>S04aH07</t>
  </si>
  <si>
    <t>S05aH06</t>
  </si>
  <si>
    <t>S05aH07</t>
  </si>
  <si>
    <t>S03aH05,S05aH05,S02aH03,S03aH04,S05aH04,S04aH03,S03aH03,S04aH04,S04aH05,S02aH04,S02aH05,S01aH04,S01aH03,S05aH03,S01aH05</t>
  </si>
  <si>
    <t>S01aH01,S04aH01,S04aH06,S01aH07,S02aH07,S05aH01,S01aH06,S05aH07,S02aH01,S05aH02,S05aH06,S02aH02,S03aH06,S03aH07,S04aH02,S03aH02,S02aH06,S04aH07,S03aH01,S01aH02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</si>
  <si>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</si>
  <si>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</si>
  <si>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</si>
  <si>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</si>
  <si>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</si>
  <si>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</si>
  <si>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</si>
  <si>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</si>
  <si>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</si>
  <si>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</si>
  <si>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</si>
  <si>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</si>
  <si>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</si>
  <si>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</si>
  <si>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</si>
  <si>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</si>
  <si>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</si>
  <si>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</si>
  <si>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</si>
  <si>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</si>
  <si>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</si>
  <si>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WaD,FaD,RaP,RaD,WaP,FaP,SaP,SaD</t>
  </si>
  <si>
    <t>FaN,RaP,SaN,WaN,RaN,FaP,SaP,WaP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</si>
</sst>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27.939999999999998</c:v>
                </c:pt>
                <c:pt idx="1">
                  <c:v>29.337</c:v>
                </c:pt>
                <c:pt idx="2">
                  <c:v>32.689799999999998</c:v>
                </c:pt>
                <c:pt idx="3">
                  <c:v>36.880800000000001</c:v>
                </c:pt>
                <c:pt idx="4">
                  <c:v>41.91</c:v>
                </c:pt>
                <c:pt idx="5">
                  <c:v>46.939199999999992</c:v>
                </c:pt>
                <c:pt idx="6">
                  <c:v>50.571399999999997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27.939999999999998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27.939999999999998</v>
      </c>
      <c r="U14" s="8">
        <f t="shared" ref="U14:Z14" si="4">$S$12*J15</f>
        <v>29.337</v>
      </c>
      <c r="V14" s="8">
        <f t="shared" si="4"/>
        <v>32.689799999999998</v>
      </c>
      <c r="W14" s="8">
        <f t="shared" si="4"/>
        <v>36.880800000000001</v>
      </c>
      <c r="X14" s="8">
        <f t="shared" si="4"/>
        <v>41.91</v>
      </c>
      <c r="Y14" s="8">
        <f t="shared" si="4"/>
        <v>46.939199999999992</v>
      </c>
      <c r="Z14" s="8">
        <f t="shared" si="4"/>
        <v>50.571399999999997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0.32689799999999997</v>
      </c>
      <c r="W18" s="6">
        <f t="shared" si="8"/>
        <v>0.36880800000000002</v>
      </c>
      <c r="X18" s="6">
        <f t="shared" si="8"/>
        <v>0.41909999999999997</v>
      </c>
      <c r="Y18" s="6">
        <f t="shared" si="8"/>
        <v>0.93878399999999984</v>
      </c>
      <c r="Z18" s="6">
        <f t="shared" si="8"/>
        <v>1.5171419999999998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8"/>
        <v>10.058399999999999</v>
      </c>
      <c r="U19" s="6">
        <f t="shared" si="8"/>
        <v>9.3878400000000006</v>
      </c>
      <c r="V19" s="6">
        <f t="shared" si="8"/>
        <v>10.133837999999999</v>
      </c>
      <c r="W19" s="6">
        <f t="shared" si="8"/>
        <v>10.695432</v>
      </c>
      <c r="X19" s="6">
        <f t="shared" si="8"/>
        <v>12.153899999999998</v>
      </c>
      <c r="Y19" s="6">
        <f t="shared" si="8"/>
        <v>13.612367999999996</v>
      </c>
      <c r="Z19" s="6">
        <f t="shared" si="8"/>
        <v>15.171419999999998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8"/>
        <v>16.763999999999999</v>
      </c>
      <c r="U20" s="6">
        <f t="shared" si="8"/>
        <v>17.6022</v>
      </c>
      <c r="V20" s="6">
        <f t="shared" si="8"/>
        <v>19.613879999999998</v>
      </c>
      <c r="W20" s="6">
        <f t="shared" si="8"/>
        <v>21.022055999999999</v>
      </c>
      <c r="X20" s="6">
        <f t="shared" si="8"/>
        <v>22.631399999999999</v>
      </c>
      <c r="Y20" s="6">
        <f t="shared" si="8"/>
        <v>24.408383999999998</v>
      </c>
      <c r="Z20" s="6">
        <f t="shared" si="8"/>
        <v>26.802841999999998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0.83819999999999995</v>
      </c>
      <c r="U21" s="6">
        <f t="shared" ref="U21:Z21" si="9">T21</f>
        <v>0.83819999999999995</v>
      </c>
      <c r="V21" s="6">
        <f t="shared" si="9"/>
        <v>0.83819999999999995</v>
      </c>
      <c r="W21" s="6">
        <f t="shared" si="9"/>
        <v>0.83819999999999995</v>
      </c>
      <c r="X21" s="6">
        <f t="shared" si="9"/>
        <v>0.83819999999999995</v>
      </c>
      <c r="Y21" s="6">
        <f t="shared" si="9"/>
        <v>0.83819999999999995</v>
      </c>
      <c r="Z21" s="6">
        <f t="shared" si="9"/>
        <v>0.83819999999999995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0.27939999999999898</v>
      </c>
      <c r="U22" s="6">
        <f t="shared" si="10"/>
        <v>1.5087599999999988</v>
      </c>
      <c r="V22" s="6">
        <f t="shared" si="10"/>
        <v>2.1038819999999987</v>
      </c>
      <c r="W22" s="6">
        <f t="shared" si="10"/>
        <v>4.3251120000000043</v>
      </c>
      <c r="X22" s="6">
        <f t="shared" si="10"/>
        <v>6.2864999999999966</v>
      </c>
      <c r="Y22" s="6">
        <f t="shared" si="10"/>
        <v>8.0802479999999974</v>
      </c>
      <c r="Z22" s="6">
        <f t="shared" si="10"/>
        <v>7.7589380000000006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16.739999999999998</v>
      </c>
      <c r="S28" t="s">
        <v>32</v>
      </c>
      <c r="T28" s="3">
        <f>Q28</f>
        <v>16.739999999999998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-15.33</v>
      </c>
      <c r="S29" t="s">
        <v>35</v>
      </c>
      <c r="T29" s="3">
        <f>-1*Q29</f>
        <v>15.33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33.4</v>
      </c>
      <c r="J45">
        <f t="shared" si="13"/>
        <v>35.738</v>
      </c>
      <c r="K45">
        <f t="shared" si="13"/>
        <v>41.415999999999997</v>
      </c>
      <c r="L45">
        <f t="shared" si="13"/>
        <v>38.409999999999997</v>
      </c>
      <c r="M45">
        <f t="shared" si="13"/>
        <v>41.75</v>
      </c>
      <c r="N45">
        <f t="shared" si="13"/>
        <v>39.077999999999996</v>
      </c>
      <c r="O45">
        <f t="shared" si="13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13.7</v>
      </c>
      <c r="J46">
        <f t="shared" si="13"/>
        <v>13.974</v>
      </c>
      <c r="K46">
        <f t="shared" si="13"/>
        <v>14.522</v>
      </c>
      <c r="L46">
        <f t="shared" si="13"/>
        <v>14.659000000000001</v>
      </c>
      <c r="M46">
        <f t="shared" si="13"/>
        <v>14.795999999999999</v>
      </c>
      <c r="N46">
        <f t="shared" si="13"/>
        <v>15.07</v>
      </c>
      <c r="O46">
        <f t="shared" si="13"/>
        <v>15.344000000000001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26</v>
      </c>
      <c r="O48">
        <f>VLOOKUP($E$5,$AK$9:$AM$15,3,FALSE)*I48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  <row r="82" spans="1:6" x14ac:dyDescent="0.45">
      <c r="A82" t="s">
        <v>137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138</v>
      </c>
      <c r="C84">
        <v>0.6</v>
      </c>
      <c r="D84">
        <v>0.4</v>
      </c>
      <c r="E84">
        <v>0.4</v>
      </c>
      <c r="F84" t="s">
        <v>139</v>
      </c>
    </row>
    <row r="85" spans="1:6" x14ac:dyDescent="0.45">
      <c r="A85" t="s">
        <v>32</v>
      </c>
      <c r="B85" t="s">
        <v>138</v>
      </c>
      <c r="C85">
        <v>4.5</v>
      </c>
      <c r="D85">
        <v>4.3810000000000002</v>
      </c>
      <c r="E85">
        <v>4.8810000000000002</v>
      </c>
      <c r="F85" t="s">
        <v>139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27.4</v>
      </c>
      <c r="C11">
        <v>39.4</v>
      </c>
      <c r="D11">
        <v>12.2</v>
      </c>
      <c r="E11">
        <v>15.2</v>
      </c>
      <c r="F11">
        <v>48</v>
      </c>
      <c r="G11">
        <v>58</v>
      </c>
      <c r="H11">
        <v>22</v>
      </c>
      <c r="I11">
        <v>30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15.4</v>
      </c>
      <c r="D11">
        <v>11.3</v>
      </c>
      <c r="E11">
        <v>0.96</v>
      </c>
      <c r="F11">
        <v>0</v>
      </c>
      <c r="G11">
        <v>5.95</v>
      </c>
      <c r="H11">
        <v>-8.65</v>
      </c>
      <c r="I11">
        <v>30.8</v>
      </c>
    </row>
    <row r="12" spans="1:9" x14ac:dyDescent="0.45">
      <c r="A12" t="s">
        <v>133</v>
      </c>
      <c r="B12">
        <v>2001</v>
      </c>
      <c r="C12">
        <v>14.12</v>
      </c>
      <c r="D12">
        <v>13</v>
      </c>
      <c r="E12">
        <v>0.69</v>
      </c>
      <c r="F12">
        <v>0</v>
      </c>
      <c r="G12">
        <v>6.06</v>
      </c>
      <c r="H12">
        <v>-9.74</v>
      </c>
      <c r="I12">
        <v>31.85</v>
      </c>
    </row>
    <row r="13" spans="1:9" x14ac:dyDescent="0.45">
      <c r="A13" t="s">
        <v>133</v>
      </c>
      <c r="B13">
        <v>2002</v>
      </c>
      <c r="C13">
        <v>13.26</v>
      </c>
      <c r="D13">
        <v>13.02</v>
      </c>
      <c r="E13">
        <v>0.64</v>
      </c>
      <c r="F13">
        <v>0</v>
      </c>
      <c r="G13">
        <v>6.71</v>
      </c>
      <c r="H13">
        <v>-10.87</v>
      </c>
      <c r="I13">
        <v>32.21</v>
      </c>
    </row>
    <row r="14" spans="1:9" x14ac:dyDescent="0.45">
      <c r="A14" t="s">
        <v>133</v>
      </c>
      <c r="B14">
        <v>2003</v>
      </c>
      <c r="C14">
        <v>14.86</v>
      </c>
      <c r="D14">
        <v>12.01</v>
      </c>
      <c r="E14">
        <v>0.65</v>
      </c>
      <c r="F14">
        <v>0</v>
      </c>
      <c r="G14">
        <v>8.6199999999999992</v>
      </c>
      <c r="H14">
        <v>-10.88</v>
      </c>
      <c r="I14">
        <v>30.98</v>
      </c>
    </row>
    <row r="15" spans="1:9" x14ac:dyDescent="0.45">
      <c r="A15" t="s">
        <v>133</v>
      </c>
      <c r="B15">
        <v>2004</v>
      </c>
      <c r="C15">
        <v>14.63</v>
      </c>
      <c r="D15">
        <v>12.6</v>
      </c>
      <c r="E15">
        <v>0.63</v>
      </c>
      <c r="F15">
        <v>0</v>
      </c>
      <c r="G15">
        <v>8.73</v>
      </c>
      <c r="H15">
        <v>-10.59</v>
      </c>
      <c r="I15">
        <v>30.46</v>
      </c>
    </row>
    <row r="16" spans="1:9" x14ac:dyDescent="0.45">
      <c r="A16" t="s">
        <v>133</v>
      </c>
      <c r="B16">
        <v>2005</v>
      </c>
      <c r="C16">
        <v>15.73</v>
      </c>
      <c r="D16">
        <v>11.24</v>
      </c>
      <c r="E16">
        <v>0.49</v>
      </c>
      <c r="F16">
        <v>0</v>
      </c>
      <c r="G16">
        <v>8.01</v>
      </c>
      <c r="H16">
        <v>-11.27</v>
      </c>
      <c r="I16">
        <v>31.35</v>
      </c>
    </row>
    <row r="17" spans="1:9" x14ac:dyDescent="0.45">
      <c r="A17" t="s">
        <v>133</v>
      </c>
      <c r="B17">
        <v>2006</v>
      </c>
      <c r="C17">
        <v>16.579999999999998</v>
      </c>
      <c r="D17">
        <v>11.21</v>
      </c>
      <c r="E17">
        <v>0.53</v>
      </c>
      <c r="F17">
        <v>0</v>
      </c>
      <c r="G17">
        <v>8.59</v>
      </c>
      <c r="H17">
        <v>-10.92</v>
      </c>
      <c r="I17">
        <v>31.25</v>
      </c>
    </row>
    <row r="18" spans="1:9" x14ac:dyDescent="0.45">
      <c r="A18" t="s">
        <v>133</v>
      </c>
      <c r="B18">
        <v>2007</v>
      </c>
      <c r="C18">
        <v>16.760000000000002</v>
      </c>
      <c r="D18">
        <v>11.8</v>
      </c>
      <c r="E18">
        <v>0.51</v>
      </c>
      <c r="F18">
        <v>0</v>
      </c>
      <c r="G18">
        <v>13.58</v>
      </c>
      <c r="H18">
        <v>-11.86</v>
      </c>
      <c r="I18">
        <v>27.89</v>
      </c>
    </row>
    <row r="19" spans="1:9" x14ac:dyDescent="0.45">
      <c r="A19" t="s">
        <v>133</v>
      </c>
      <c r="B19">
        <v>2008</v>
      </c>
      <c r="C19">
        <v>16.8</v>
      </c>
      <c r="D19">
        <v>11.65</v>
      </c>
      <c r="E19">
        <v>0.48</v>
      </c>
      <c r="F19">
        <v>0</v>
      </c>
      <c r="G19">
        <v>9.41</v>
      </c>
      <c r="H19">
        <v>-8.89</v>
      </c>
      <c r="I19">
        <v>28.76</v>
      </c>
    </row>
    <row r="20" spans="1:9" x14ac:dyDescent="0.45">
      <c r="A20" t="s">
        <v>133</v>
      </c>
      <c r="B20">
        <v>2009</v>
      </c>
      <c r="C20">
        <v>14.44</v>
      </c>
      <c r="D20">
        <v>11.83</v>
      </c>
      <c r="E20">
        <v>0.42</v>
      </c>
      <c r="F20">
        <v>0</v>
      </c>
      <c r="G20">
        <v>8.99</v>
      </c>
      <c r="H20">
        <v>-7.68</v>
      </c>
      <c r="I20">
        <v>25.92</v>
      </c>
    </row>
    <row r="21" spans="1:9" x14ac:dyDescent="0.45">
      <c r="A21" t="s">
        <v>133</v>
      </c>
      <c r="B21">
        <v>2010</v>
      </c>
      <c r="C21">
        <v>14.98</v>
      </c>
      <c r="D21">
        <v>12.67</v>
      </c>
      <c r="E21">
        <v>0.46</v>
      </c>
      <c r="F21">
        <v>0</v>
      </c>
      <c r="G21">
        <v>7.33</v>
      </c>
      <c r="H21">
        <v>-6.29</v>
      </c>
      <c r="I21">
        <v>27.46</v>
      </c>
    </row>
    <row r="22" spans="1:9" x14ac:dyDescent="0.45">
      <c r="A22" t="s">
        <v>133</v>
      </c>
      <c r="B22">
        <v>2011</v>
      </c>
      <c r="C22">
        <v>15.1</v>
      </c>
      <c r="D22">
        <v>13.04</v>
      </c>
      <c r="E22">
        <v>0.46</v>
      </c>
      <c r="F22">
        <v>0</v>
      </c>
      <c r="G22">
        <v>11.23</v>
      </c>
      <c r="H22">
        <v>-10.5</v>
      </c>
      <c r="I22">
        <v>28.28</v>
      </c>
    </row>
    <row r="23" spans="1:9" x14ac:dyDescent="0.45">
      <c r="A23" t="s">
        <v>133</v>
      </c>
      <c r="B23">
        <v>2012</v>
      </c>
      <c r="C23">
        <v>16.670000000000002</v>
      </c>
      <c r="D23">
        <v>11.47</v>
      </c>
      <c r="E23">
        <v>0.44</v>
      </c>
      <c r="F23">
        <v>0</v>
      </c>
      <c r="G23">
        <v>13.47</v>
      </c>
      <c r="H23">
        <v>-13.08</v>
      </c>
      <c r="I23">
        <v>28.31</v>
      </c>
    </row>
    <row r="24" spans="1:9" x14ac:dyDescent="0.45">
      <c r="A24" t="s">
        <v>133</v>
      </c>
      <c r="B24">
        <v>2013</v>
      </c>
      <c r="C24">
        <v>15.14</v>
      </c>
      <c r="D24">
        <v>12.73</v>
      </c>
      <c r="E24">
        <v>0.49</v>
      </c>
      <c r="F24">
        <v>0.03</v>
      </c>
      <c r="G24">
        <v>10.72</v>
      </c>
      <c r="H24">
        <v>-10.63</v>
      </c>
      <c r="I24">
        <v>28.5</v>
      </c>
    </row>
    <row r="25" spans="1:9" x14ac:dyDescent="0.45">
      <c r="A25" t="s">
        <v>133</v>
      </c>
      <c r="B25">
        <v>2014</v>
      </c>
      <c r="C25">
        <v>16.21</v>
      </c>
      <c r="D25">
        <v>11.35</v>
      </c>
      <c r="E25">
        <v>0.48</v>
      </c>
      <c r="F25">
        <v>0.03</v>
      </c>
      <c r="G25">
        <v>12.96</v>
      </c>
      <c r="H25">
        <v>-11.86</v>
      </c>
      <c r="I25">
        <v>27.13</v>
      </c>
    </row>
    <row r="26" spans="1:9" x14ac:dyDescent="0.45">
      <c r="A26" t="s">
        <v>133</v>
      </c>
      <c r="B26">
        <v>2015</v>
      </c>
      <c r="C26">
        <v>16.079999999999998</v>
      </c>
      <c r="D26">
        <v>12.16</v>
      </c>
      <c r="E26">
        <v>0.51</v>
      </c>
      <c r="F26">
        <v>0.02</v>
      </c>
      <c r="G26">
        <v>15</v>
      </c>
      <c r="H26">
        <v>-12.61</v>
      </c>
      <c r="I26">
        <v>26.62</v>
      </c>
    </row>
    <row r="27" spans="1:9" x14ac:dyDescent="0.45">
      <c r="A27" t="s">
        <v>133</v>
      </c>
      <c r="B27">
        <v>2016</v>
      </c>
      <c r="C27">
        <v>16.45</v>
      </c>
      <c r="D27">
        <v>12.3</v>
      </c>
      <c r="E27">
        <v>0.51</v>
      </c>
      <c r="F27">
        <v>0.02</v>
      </c>
      <c r="G27">
        <v>13.25</v>
      </c>
      <c r="H27">
        <v>-10.6</v>
      </c>
      <c r="I27">
        <v>26.8</v>
      </c>
    </row>
    <row r="28" spans="1:9" x14ac:dyDescent="0.45">
      <c r="A28" t="s">
        <v>133</v>
      </c>
      <c r="B28">
        <v>2017</v>
      </c>
      <c r="C28">
        <v>16.86</v>
      </c>
      <c r="D28">
        <v>12.86</v>
      </c>
      <c r="E28">
        <v>0.5</v>
      </c>
      <c r="F28">
        <v>0.02</v>
      </c>
      <c r="G28">
        <v>15.56</v>
      </c>
      <c r="H28">
        <v>-12.54</v>
      </c>
      <c r="I28">
        <v>27.42</v>
      </c>
    </row>
    <row r="29" spans="1:9" x14ac:dyDescent="0.45">
      <c r="A29" t="s">
        <v>133</v>
      </c>
      <c r="B29">
        <v>2018</v>
      </c>
      <c r="C29">
        <v>17.059999999999999</v>
      </c>
      <c r="D29">
        <v>12.55</v>
      </c>
      <c r="E29">
        <v>0.5</v>
      </c>
      <c r="F29">
        <v>0.02</v>
      </c>
      <c r="G29">
        <v>12.43</v>
      </c>
      <c r="H29">
        <v>-8.75</v>
      </c>
      <c r="I29">
        <v>26.65</v>
      </c>
    </row>
    <row r="30" spans="1:9" x14ac:dyDescent="0.45">
      <c r="A30" t="s">
        <v>133</v>
      </c>
      <c r="B30">
        <v>2019</v>
      </c>
      <c r="C30">
        <v>16.82</v>
      </c>
      <c r="D30">
        <v>12.42</v>
      </c>
      <c r="E30">
        <v>0.44</v>
      </c>
      <c r="F30">
        <v>0.02</v>
      </c>
      <c r="G30">
        <v>13.54</v>
      </c>
      <c r="H30">
        <v>-11.84</v>
      </c>
      <c r="I30">
        <v>28.18</v>
      </c>
    </row>
    <row r="31" spans="1:9" x14ac:dyDescent="0.45">
      <c r="A31" t="s">
        <v>133</v>
      </c>
      <c r="B31">
        <v>2020</v>
      </c>
      <c r="C31">
        <v>15.43</v>
      </c>
      <c r="D31">
        <v>12.81</v>
      </c>
      <c r="E31">
        <v>0.42</v>
      </c>
      <c r="F31">
        <v>0.02</v>
      </c>
      <c r="G31">
        <v>13.29</v>
      </c>
      <c r="H31">
        <v>-12.97</v>
      </c>
      <c r="I31">
        <v>28.54</v>
      </c>
    </row>
    <row r="32" spans="1:9" x14ac:dyDescent="0.45">
      <c r="A32" t="s">
        <v>133</v>
      </c>
      <c r="B32">
        <v>2021</v>
      </c>
      <c r="C32">
        <v>16.43</v>
      </c>
      <c r="D32">
        <v>13.36</v>
      </c>
      <c r="E32">
        <v>0.47</v>
      </c>
      <c r="F32">
        <v>0.02</v>
      </c>
      <c r="G32">
        <v>13.88</v>
      </c>
      <c r="H32">
        <v>-13.11</v>
      </c>
      <c r="I32">
        <v>29.7</v>
      </c>
    </row>
    <row r="33" spans="1:9" x14ac:dyDescent="0.45">
      <c r="A33" t="s">
        <v>133</v>
      </c>
      <c r="B33">
        <v>2022</v>
      </c>
      <c r="C33">
        <v>14.96</v>
      </c>
      <c r="D33">
        <v>12.28</v>
      </c>
      <c r="E33">
        <v>0.5</v>
      </c>
      <c r="F33">
        <v>0.02</v>
      </c>
      <c r="G33">
        <v>16.739999999999998</v>
      </c>
      <c r="H33">
        <v>-15.33</v>
      </c>
      <c r="I33">
        <v>26.53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P24"/>
  <sheetViews>
    <sheetView workbookViewId="0">
      <selection activeCell="H21" sqref="H21"/>
    </sheetView>
  </sheetViews>
  <sheetFormatPr defaultRowHeight="14.25" x14ac:dyDescent="0.45"/>
  <sheetData>
    <row r="10" spans="1:16" x14ac:dyDescent="0.45">
      <c r="A10" t="str">
        <f>IFERROR(Veda!D5,"ts_12t")</f>
        <v>ts_annual</v>
      </c>
      <c r="B10" s="15"/>
      <c r="C10" s="15" t="s">
        <v>210</v>
      </c>
      <c r="D10" t="s">
        <v>156</v>
      </c>
      <c r="F10" t="s">
        <v>210</v>
      </c>
      <c r="G10" t="s">
        <v>221</v>
      </c>
      <c r="I10" t="s">
        <v>210</v>
      </c>
      <c r="J10" t="s">
        <v>119</v>
      </c>
      <c r="L10" t="s">
        <v>210</v>
      </c>
      <c r="M10" t="s">
        <v>103</v>
      </c>
      <c r="O10" t="s">
        <v>210</v>
      </c>
      <c r="P10" t="s">
        <v>120</v>
      </c>
    </row>
    <row r="11" spans="1:16" x14ac:dyDescent="0.45">
      <c r="B11" s="15"/>
      <c r="C11" s="15" t="s">
        <v>211</v>
      </c>
      <c r="D11" t="s">
        <v>212</v>
      </c>
      <c r="F11" t="s">
        <v>211</v>
      </c>
      <c r="G11" t="s">
        <v>227</v>
      </c>
      <c r="I11" t="s">
        <v>211</v>
      </c>
      <c r="J11" t="s">
        <v>241</v>
      </c>
      <c r="L11" t="s">
        <v>211</v>
      </c>
      <c r="M11" t="s">
        <v>245</v>
      </c>
      <c r="O11" t="s">
        <v>211</v>
      </c>
      <c r="P11" t="s">
        <v>264</v>
      </c>
    </row>
    <row r="12" spans="1:16" x14ac:dyDescent="0.45">
      <c r="B12" s="15"/>
      <c r="C12" s="15" t="s">
        <v>213</v>
      </c>
      <c r="D12" t="s">
        <v>214</v>
      </c>
      <c r="F12" t="s">
        <v>213</v>
      </c>
      <c r="G12" t="s">
        <v>228</v>
      </c>
      <c r="I12" t="s">
        <v>213</v>
      </c>
      <c r="J12" t="s">
        <v>242</v>
      </c>
      <c r="L12" t="s">
        <v>213</v>
      </c>
      <c r="M12" t="s">
        <v>245</v>
      </c>
      <c r="O12" t="s">
        <v>213</v>
      </c>
      <c r="P12" t="s">
        <v>265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5BCD-D8D2-4398-B05B-CA214F3D55A7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118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146</v>
      </c>
    </row>
    <row r="12" spans="1:7" x14ac:dyDescent="0.45">
      <c r="C12" t="s">
        <v>149</v>
      </c>
      <c r="E12" t="s">
        <v>150</v>
      </c>
      <c r="G12" t="s">
        <v>146</v>
      </c>
    </row>
    <row r="13" spans="1:7" x14ac:dyDescent="0.45">
      <c r="C13" t="s">
        <v>151</v>
      </c>
      <c r="E13" t="s">
        <v>152</v>
      </c>
      <c r="G13" t="s">
        <v>146</v>
      </c>
    </row>
    <row r="14" spans="1:7" x14ac:dyDescent="0.45">
      <c r="C14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33D7-6C55-4CFE-82EA-6604743E6E5B}">
  <dimension ref="A9:AN2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156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157</v>
      </c>
      <c r="L10" t="s">
        <v>30</v>
      </c>
      <c r="N10" t="s">
        <v>13</v>
      </c>
      <c r="O10" t="s">
        <v>115</v>
      </c>
      <c r="P10" t="s">
        <v>157</v>
      </c>
      <c r="Q10" t="s">
        <v>30</v>
      </c>
      <c r="S10" t="s">
        <v>13</v>
      </c>
      <c r="T10" t="s">
        <v>115</v>
      </c>
      <c r="U10" t="s">
        <v>157</v>
      </c>
      <c r="V10" t="s">
        <v>30</v>
      </c>
      <c r="X10" t="s">
        <v>209</v>
      </c>
      <c r="Y10" t="s">
        <v>157</v>
      </c>
      <c r="Z10" t="s">
        <v>115</v>
      </c>
      <c r="AA10" t="s">
        <v>13</v>
      </c>
      <c r="AC10" t="s">
        <v>13</v>
      </c>
      <c r="AD10" t="s">
        <v>115</v>
      </c>
      <c r="AE10" t="s">
        <v>157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146</v>
      </c>
      <c r="I11" t="s">
        <v>158</v>
      </c>
      <c r="J11" t="s">
        <v>159</v>
      </c>
      <c r="K11">
        <v>0</v>
      </c>
      <c r="L11" t="s">
        <v>160</v>
      </c>
      <c r="N11" t="s">
        <v>189</v>
      </c>
      <c r="O11" t="s">
        <v>159</v>
      </c>
      <c r="P11">
        <v>4.1155501762094072E-2</v>
      </c>
      <c r="Q11" t="s">
        <v>160</v>
      </c>
      <c r="S11" t="s">
        <v>199</v>
      </c>
      <c r="T11" t="s">
        <v>159</v>
      </c>
      <c r="U11">
        <v>4.1155501762094072E-2</v>
      </c>
      <c r="V11" t="s">
        <v>160</v>
      </c>
      <c r="X11">
        <v>3.5958904109589039E-2</v>
      </c>
      <c r="Y11">
        <v>5.5967978519752383E-3</v>
      </c>
      <c r="Z11" t="s">
        <v>159</v>
      </c>
      <c r="AA11" t="s">
        <v>25</v>
      </c>
      <c r="AC11" t="s">
        <v>22</v>
      </c>
      <c r="AD11" t="s">
        <v>159</v>
      </c>
      <c r="AE11">
        <v>3.1141394414270687E-2</v>
      </c>
      <c r="AG11" t="s">
        <v>96</v>
      </c>
      <c r="AH11" t="s">
        <v>159</v>
      </c>
      <c r="AI11">
        <v>5.2672297986369632E-2</v>
      </c>
      <c r="AK11">
        <v>2020</v>
      </c>
      <c r="AL11" t="s">
        <v>145</v>
      </c>
      <c r="AM11">
        <v>0.35169999999999996</v>
      </c>
      <c r="AN11" t="s">
        <v>218</v>
      </c>
    </row>
    <row r="12" spans="1:40" x14ac:dyDescent="0.45">
      <c r="C12" t="s">
        <v>149</v>
      </c>
      <c r="E12" t="s">
        <v>150</v>
      </c>
      <c r="G12" t="s">
        <v>146</v>
      </c>
      <c r="I12" t="s">
        <v>158</v>
      </c>
      <c r="J12" t="s">
        <v>161</v>
      </c>
      <c r="K12">
        <v>0</v>
      </c>
      <c r="L12" t="s">
        <v>160</v>
      </c>
      <c r="N12" t="s">
        <v>189</v>
      </c>
      <c r="O12" t="s">
        <v>161</v>
      </c>
      <c r="P12">
        <v>8.6781296194825015E-3</v>
      </c>
      <c r="Q12" t="s">
        <v>160</v>
      </c>
      <c r="S12" t="s">
        <v>199</v>
      </c>
      <c r="T12" t="s">
        <v>161</v>
      </c>
      <c r="U12">
        <v>8.6781296194825015E-3</v>
      </c>
      <c r="V12" t="s">
        <v>160</v>
      </c>
      <c r="X12">
        <v>7.1917808219178082E-3</v>
      </c>
      <c r="Y12">
        <v>3.6337418889690002E-3</v>
      </c>
      <c r="Z12" t="s">
        <v>161</v>
      </c>
      <c r="AA12" t="s">
        <v>25</v>
      </c>
      <c r="AC12" t="s">
        <v>22</v>
      </c>
      <c r="AD12" t="s">
        <v>161</v>
      </c>
      <c r="AE12">
        <v>6.4757562058127159E-3</v>
      </c>
      <c r="AG12" t="s">
        <v>96</v>
      </c>
      <c r="AH12" t="s">
        <v>161</v>
      </c>
      <c r="AI12">
        <v>3.6927882191096773E-2</v>
      </c>
      <c r="AK12">
        <v>2020</v>
      </c>
      <c r="AL12" t="s">
        <v>149</v>
      </c>
      <c r="AM12">
        <v>0.39240000000000003</v>
      </c>
      <c r="AN12" t="s">
        <v>218</v>
      </c>
    </row>
    <row r="13" spans="1:40" x14ac:dyDescent="0.45">
      <c r="C13" t="s">
        <v>151</v>
      </c>
      <c r="E13" t="s">
        <v>152</v>
      </c>
      <c r="G13" t="s">
        <v>146</v>
      </c>
      <c r="I13" t="s">
        <v>158</v>
      </c>
      <c r="J13" t="s">
        <v>162</v>
      </c>
      <c r="K13">
        <v>8.4162389889362491E-2</v>
      </c>
      <c r="L13" t="s">
        <v>160</v>
      </c>
      <c r="N13" t="s">
        <v>189</v>
      </c>
      <c r="O13" t="s">
        <v>162</v>
      </c>
      <c r="P13">
        <v>9.5211009036241703E-2</v>
      </c>
      <c r="Q13" t="s">
        <v>160</v>
      </c>
      <c r="S13" t="s">
        <v>199</v>
      </c>
      <c r="T13" t="s">
        <v>162</v>
      </c>
      <c r="U13">
        <v>9.5211009036241703E-2</v>
      </c>
      <c r="V13" t="s">
        <v>160</v>
      </c>
      <c r="X13">
        <v>7.9109589041095885E-2</v>
      </c>
      <c r="Y13">
        <v>0.11137210053949236</v>
      </c>
      <c r="Z13" t="s">
        <v>162</v>
      </c>
      <c r="AA13" t="s">
        <v>25</v>
      </c>
      <c r="AC13" t="s">
        <v>22</v>
      </c>
      <c r="AD13" t="s">
        <v>162</v>
      </c>
      <c r="AE13">
        <v>9.8216023127855961E-2</v>
      </c>
      <c r="AG13" t="s">
        <v>96</v>
      </c>
      <c r="AH13" t="s">
        <v>162</v>
      </c>
      <c r="AI13">
        <v>6.3293877830872258E-2</v>
      </c>
      <c r="AK13">
        <v>2020</v>
      </c>
      <c r="AL13" t="s">
        <v>151</v>
      </c>
      <c r="AM13">
        <v>0.31622000000000006</v>
      </c>
      <c r="AN13" t="s">
        <v>218</v>
      </c>
    </row>
    <row r="14" spans="1:40" x14ac:dyDescent="0.45">
      <c r="C14" t="s">
        <v>153</v>
      </c>
      <c r="E14" t="s">
        <v>154</v>
      </c>
      <c r="G14" t="s">
        <v>146</v>
      </c>
      <c r="I14" t="s">
        <v>158</v>
      </c>
      <c r="J14" t="s">
        <v>163</v>
      </c>
      <c r="K14">
        <v>2.4335131491943032E-3</v>
      </c>
      <c r="L14" t="s">
        <v>160</v>
      </c>
      <c r="N14" t="s">
        <v>189</v>
      </c>
      <c r="O14" t="s">
        <v>163</v>
      </c>
      <c r="P14">
        <v>5.3085890478889258E-2</v>
      </c>
      <c r="Q14" t="s">
        <v>160</v>
      </c>
      <c r="S14" t="s">
        <v>199</v>
      </c>
      <c r="T14" t="s">
        <v>163</v>
      </c>
      <c r="U14">
        <v>5.3085890478889258E-2</v>
      </c>
      <c r="V14" t="s">
        <v>160</v>
      </c>
      <c r="X14">
        <v>4.3150684931506852E-2</v>
      </c>
      <c r="Y14">
        <v>5.0120577778882736E-2</v>
      </c>
      <c r="Z14" t="s">
        <v>163</v>
      </c>
      <c r="AA14" t="s">
        <v>25</v>
      </c>
      <c r="AC14" t="s">
        <v>22</v>
      </c>
      <c r="AD14" t="s">
        <v>163</v>
      </c>
      <c r="AE14">
        <v>5.3016457443800583E-2</v>
      </c>
      <c r="AG14" t="s">
        <v>96</v>
      </c>
      <c r="AH14" t="s">
        <v>163</v>
      </c>
      <c r="AI14">
        <v>6.9971871066313751E-2</v>
      </c>
      <c r="AK14">
        <v>2020</v>
      </c>
      <c r="AL14" t="s">
        <v>153</v>
      </c>
      <c r="AM14">
        <v>0.24210000000000001</v>
      </c>
      <c r="AN14" t="s">
        <v>218</v>
      </c>
    </row>
    <row r="15" spans="1:40" x14ac:dyDescent="0.45">
      <c r="E15" t="s">
        <v>155</v>
      </c>
      <c r="G15" t="s">
        <v>146</v>
      </c>
      <c r="I15" t="s">
        <v>158</v>
      </c>
      <c r="J15" t="s">
        <v>164</v>
      </c>
      <c r="K15">
        <v>0</v>
      </c>
      <c r="L15" t="s">
        <v>160</v>
      </c>
      <c r="N15" t="s">
        <v>189</v>
      </c>
      <c r="O15" t="s">
        <v>164</v>
      </c>
      <c r="P15">
        <v>7.7621946437447849E-3</v>
      </c>
      <c r="Q15" t="s">
        <v>160</v>
      </c>
      <c r="S15" t="s">
        <v>199</v>
      </c>
      <c r="T15" t="s">
        <v>164</v>
      </c>
      <c r="U15">
        <v>7.7621946437447849E-3</v>
      </c>
      <c r="V15" t="s">
        <v>160</v>
      </c>
      <c r="X15">
        <v>7.1917808219178082E-3</v>
      </c>
      <c r="Y15">
        <v>1.8795216667081035E-3</v>
      </c>
      <c r="Z15" t="s">
        <v>164</v>
      </c>
      <c r="AA15" t="s">
        <v>25</v>
      </c>
      <c r="AC15" t="s">
        <v>22</v>
      </c>
      <c r="AD15" t="s">
        <v>164</v>
      </c>
      <c r="AE15">
        <v>7.0114123586230955E-3</v>
      </c>
      <c r="AG15" t="s">
        <v>96</v>
      </c>
      <c r="AH15" t="s">
        <v>164</v>
      </c>
      <c r="AI15">
        <v>2.7108783097258504E-2</v>
      </c>
      <c r="AK15">
        <v>2021</v>
      </c>
      <c r="AL15" t="s">
        <v>145</v>
      </c>
      <c r="AM15">
        <v>0.33969999999999995</v>
      </c>
      <c r="AN15" t="s">
        <v>218</v>
      </c>
    </row>
    <row r="16" spans="1:40" x14ac:dyDescent="0.45">
      <c r="I16" t="s">
        <v>158</v>
      </c>
      <c r="J16" t="s">
        <v>165</v>
      </c>
      <c r="K16">
        <v>0</v>
      </c>
      <c r="L16" t="s">
        <v>160</v>
      </c>
      <c r="N16" t="s">
        <v>189</v>
      </c>
      <c r="O16" t="s">
        <v>165</v>
      </c>
      <c r="P16">
        <v>1.7018012852012661E-2</v>
      </c>
      <c r="Q16" t="s">
        <v>160</v>
      </c>
      <c r="S16" t="s">
        <v>199</v>
      </c>
      <c r="T16" t="s">
        <v>165</v>
      </c>
      <c r="U16">
        <v>1.7018012852012661E-2</v>
      </c>
      <c r="V16" t="s">
        <v>160</v>
      </c>
      <c r="X16">
        <v>1.0273972602739725E-2</v>
      </c>
      <c r="Y16">
        <v>1.599085100564354E-3</v>
      </c>
      <c r="Z16" t="s">
        <v>165</v>
      </c>
      <c r="AA16" t="s">
        <v>25</v>
      </c>
      <c r="AC16" t="s">
        <v>22</v>
      </c>
      <c r="AD16" t="s">
        <v>165</v>
      </c>
      <c r="AE16">
        <v>8.3317502367068665E-3</v>
      </c>
      <c r="AG16" t="s">
        <v>96</v>
      </c>
      <c r="AH16" t="s">
        <v>165</v>
      </c>
      <c r="AI16">
        <v>6.0593287124430573E-2</v>
      </c>
      <c r="AK16">
        <v>2021</v>
      </c>
      <c r="AL16" t="s">
        <v>149</v>
      </c>
      <c r="AM16">
        <v>0.31530000000000002</v>
      </c>
      <c r="AN16" t="s">
        <v>218</v>
      </c>
    </row>
    <row r="17" spans="9:40" x14ac:dyDescent="0.45">
      <c r="I17" t="s">
        <v>158</v>
      </c>
      <c r="J17" t="s">
        <v>166</v>
      </c>
      <c r="K17">
        <v>0</v>
      </c>
      <c r="L17" t="s">
        <v>160</v>
      </c>
      <c r="N17" t="s">
        <v>189</v>
      </c>
      <c r="O17" t="s">
        <v>166</v>
      </c>
      <c r="P17">
        <v>3.416384583744706E-3</v>
      </c>
      <c r="Q17" t="s">
        <v>160</v>
      </c>
      <c r="S17" t="s">
        <v>199</v>
      </c>
      <c r="T17" t="s">
        <v>166</v>
      </c>
      <c r="U17">
        <v>3.416384583744706E-3</v>
      </c>
      <c r="V17" t="s">
        <v>160</v>
      </c>
      <c r="X17">
        <v>2.054794520547945E-3</v>
      </c>
      <c r="Y17">
        <v>1.0382119682768567E-3</v>
      </c>
      <c r="Z17" t="s">
        <v>166</v>
      </c>
      <c r="AA17" t="s">
        <v>25</v>
      </c>
      <c r="AC17" t="s">
        <v>22</v>
      </c>
      <c r="AD17" t="s">
        <v>166</v>
      </c>
      <c r="AE17">
        <v>1.7364280853536004E-3</v>
      </c>
      <c r="AG17" t="s">
        <v>96</v>
      </c>
      <c r="AH17" t="s">
        <v>166</v>
      </c>
      <c r="AI17">
        <v>3.9740180945412984E-2</v>
      </c>
      <c r="AK17">
        <v>2021</v>
      </c>
      <c r="AL17" t="s">
        <v>151</v>
      </c>
      <c r="AM17">
        <v>0.28552</v>
      </c>
      <c r="AN17" t="s">
        <v>218</v>
      </c>
    </row>
    <row r="18" spans="9:40" x14ac:dyDescent="0.45">
      <c r="I18" t="s">
        <v>158</v>
      </c>
      <c r="J18" t="s">
        <v>167</v>
      </c>
      <c r="K18">
        <v>3.7453489256400088E-2</v>
      </c>
      <c r="L18" t="s">
        <v>160</v>
      </c>
      <c r="N18" t="s">
        <v>189</v>
      </c>
      <c r="O18" t="s">
        <v>167</v>
      </c>
      <c r="P18">
        <v>4.2722037029379857E-2</v>
      </c>
      <c r="Q18" t="s">
        <v>160</v>
      </c>
      <c r="S18" t="s">
        <v>199</v>
      </c>
      <c r="T18" t="s">
        <v>167</v>
      </c>
      <c r="U18">
        <v>4.2722037029379857E-2</v>
      </c>
      <c r="V18" t="s">
        <v>160</v>
      </c>
      <c r="X18">
        <v>2.2602739726027398E-2</v>
      </c>
      <c r="Y18">
        <v>3.182060015414067E-2</v>
      </c>
      <c r="Z18" t="s">
        <v>167</v>
      </c>
      <c r="AA18" t="s">
        <v>25</v>
      </c>
      <c r="AC18" t="s">
        <v>22</v>
      </c>
      <c r="AD18" t="s">
        <v>167</v>
      </c>
      <c r="AE18">
        <v>2.711175168044596E-2</v>
      </c>
      <c r="AG18" t="s">
        <v>96</v>
      </c>
      <c r="AH18" t="s">
        <v>167</v>
      </c>
      <c r="AI18">
        <v>7.0368426684058072E-2</v>
      </c>
      <c r="AK18">
        <v>2021</v>
      </c>
      <c r="AL18" t="s">
        <v>153</v>
      </c>
      <c r="AM18">
        <v>0.2074</v>
      </c>
      <c r="AN18" t="s">
        <v>218</v>
      </c>
    </row>
    <row r="19" spans="9:40" x14ac:dyDescent="0.45">
      <c r="I19" t="s">
        <v>158</v>
      </c>
      <c r="J19" t="s">
        <v>168</v>
      </c>
      <c r="K19">
        <v>2.3442299612880676E-3</v>
      </c>
      <c r="L19" t="s">
        <v>160</v>
      </c>
      <c r="N19" t="s">
        <v>189</v>
      </c>
      <c r="O19" t="s">
        <v>168</v>
      </c>
      <c r="P19">
        <v>2.5782480190125055E-2</v>
      </c>
      <c r="Q19" t="s">
        <v>160</v>
      </c>
      <c r="S19" t="s">
        <v>199</v>
      </c>
      <c r="T19" t="s">
        <v>168</v>
      </c>
      <c r="U19">
        <v>2.5782480190125055E-2</v>
      </c>
      <c r="V19" t="s">
        <v>160</v>
      </c>
      <c r="X19">
        <v>1.2328767123287671E-2</v>
      </c>
      <c r="Y19">
        <v>1.4320165079680784E-2</v>
      </c>
      <c r="Z19" t="s">
        <v>168</v>
      </c>
      <c r="AA19" t="s">
        <v>25</v>
      </c>
      <c r="AC19" t="s">
        <v>22</v>
      </c>
      <c r="AD19" t="s">
        <v>168</v>
      </c>
      <c r="AE19">
        <v>1.4611232257323022E-2</v>
      </c>
      <c r="AG19" t="s">
        <v>96</v>
      </c>
      <c r="AH19" t="s">
        <v>168</v>
      </c>
      <c r="AI19">
        <v>8.0017809480957158E-2</v>
      </c>
      <c r="AK19">
        <v>2022</v>
      </c>
      <c r="AL19" t="s">
        <v>145</v>
      </c>
      <c r="AM19">
        <v>0.32436666666666669</v>
      </c>
      <c r="AN19" t="s">
        <v>218</v>
      </c>
    </row>
    <row r="20" spans="9:40" x14ac:dyDescent="0.45">
      <c r="I20" t="s">
        <v>158</v>
      </c>
      <c r="J20" t="s">
        <v>169</v>
      </c>
      <c r="K20">
        <v>0</v>
      </c>
      <c r="L20" t="s">
        <v>160</v>
      </c>
      <c r="N20" t="s">
        <v>189</v>
      </c>
      <c r="O20" t="s">
        <v>169</v>
      </c>
      <c r="P20">
        <v>3.7269722542967879E-3</v>
      </c>
      <c r="Q20" t="s">
        <v>160</v>
      </c>
      <c r="S20" t="s">
        <v>199</v>
      </c>
      <c r="T20" t="s">
        <v>169</v>
      </c>
      <c r="U20">
        <v>3.7269722542967879E-3</v>
      </c>
      <c r="V20" t="s">
        <v>160</v>
      </c>
      <c r="X20">
        <v>2.054794520547945E-3</v>
      </c>
      <c r="Y20">
        <v>5.3700619048802935E-4</v>
      </c>
      <c r="Z20" t="s">
        <v>169</v>
      </c>
      <c r="AA20" t="s">
        <v>25</v>
      </c>
      <c r="AC20" t="s">
        <v>22</v>
      </c>
      <c r="AD20" t="s">
        <v>169</v>
      </c>
      <c r="AE20">
        <v>1.8797004298796826E-3</v>
      </c>
      <c r="AG20" t="s">
        <v>96</v>
      </c>
      <c r="AH20" t="s">
        <v>169</v>
      </c>
      <c r="AI20">
        <v>2.6263652527305004E-2</v>
      </c>
      <c r="AK20">
        <v>2022</v>
      </c>
      <c r="AL20" t="s">
        <v>149</v>
      </c>
      <c r="AM20">
        <v>0.28210000000000002</v>
      </c>
      <c r="AN20" t="s">
        <v>218</v>
      </c>
    </row>
    <row r="21" spans="9:40" x14ac:dyDescent="0.45">
      <c r="I21" t="s">
        <v>158</v>
      </c>
      <c r="J21" t="s">
        <v>170</v>
      </c>
      <c r="K21">
        <v>0</v>
      </c>
      <c r="L21" t="s">
        <v>160</v>
      </c>
      <c r="N21" t="s">
        <v>189</v>
      </c>
      <c r="O21" t="s">
        <v>170</v>
      </c>
      <c r="P21">
        <v>0.12129164669309775</v>
      </c>
      <c r="Q21" t="s">
        <v>160</v>
      </c>
      <c r="S21" t="s">
        <v>199</v>
      </c>
      <c r="T21" t="s">
        <v>170</v>
      </c>
      <c r="U21">
        <v>0.12129164669309775</v>
      </c>
      <c r="V21" t="s">
        <v>160</v>
      </c>
      <c r="X21">
        <v>0.15753424657534246</v>
      </c>
      <c r="Y21">
        <v>2.4519304875320093E-2</v>
      </c>
      <c r="Z21" t="s">
        <v>170</v>
      </c>
      <c r="AA21" t="s">
        <v>25</v>
      </c>
      <c r="AC21" t="s">
        <v>22</v>
      </c>
      <c r="AD21" t="s">
        <v>170</v>
      </c>
      <c r="AE21">
        <v>0.11141080899891823</v>
      </c>
      <c r="AG21" t="s">
        <v>96</v>
      </c>
      <c r="AH21" t="s">
        <v>170</v>
      </c>
      <c r="AI21">
        <v>0.18503257784042115</v>
      </c>
      <c r="AK21">
        <v>2022</v>
      </c>
      <c r="AL21" t="s">
        <v>151</v>
      </c>
      <c r="AM21">
        <v>0.23966999999999999</v>
      </c>
      <c r="AN21" t="s">
        <v>218</v>
      </c>
    </row>
    <row r="22" spans="9:40" x14ac:dyDescent="0.45">
      <c r="I22" t="s">
        <v>158</v>
      </c>
      <c r="J22" t="s">
        <v>171</v>
      </c>
      <c r="K22">
        <v>8.2861854494402434E-3</v>
      </c>
      <c r="L22" t="s">
        <v>160</v>
      </c>
      <c r="N22" t="s">
        <v>189</v>
      </c>
      <c r="O22" t="s">
        <v>171</v>
      </c>
      <c r="P22">
        <v>2.3712693517658756E-2</v>
      </c>
      <c r="Q22" t="s">
        <v>160</v>
      </c>
      <c r="S22" t="s">
        <v>199</v>
      </c>
      <c r="T22" t="s">
        <v>171</v>
      </c>
      <c r="U22">
        <v>2.3712693517658756E-2</v>
      </c>
      <c r="V22" t="s">
        <v>160</v>
      </c>
      <c r="X22">
        <v>3.1506849315068496E-2</v>
      </c>
      <c r="Y22">
        <v>1.5919250180245138E-2</v>
      </c>
      <c r="Z22" t="s">
        <v>171</v>
      </c>
      <c r="AA22" t="s">
        <v>25</v>
      </c>
      <c r="AC22" t="s">
        <v>22</v>
      </c>
      <c r="AD22" t="s">
        <v>171</v>
      </c>
      <c r="AE22">
        <v>2.3123421283762855E-2</v>
      </c>
      <c r="AG22" t="s">
        <v>96</v>
      </c>
      <c r="AH22" t="s">
        <v>171</v>
      </c>
      <c r="AI22">
        <v>0.13422834124016725</v>
      </c>
      <c r="AK22">
        <v>2022</v>
      </c>
      <c r="AL22" t="s">
        <v>153</v>
      </c>
      <c r="AM22">
        <v>0.24890000000000001</v>
      </c>
      <c r="AN22" t="s">
        <v>218</v>
      </c>
    </row>
    <row r="23" spans="9:40" x14ac:dyDescent="0.45">
      <c r="I23" t="s">
        <v>158</v>
      </c>
      <c r="J23" t="s">
        <v>172</v>
      </c>
      <c r="K23">
        <v>0.77962677076047837</v>
      </c>
      <c r="L23" t="s">
        <v>160</v>
      </c>
      <c r="N23" t="s">
        <v>189</v>
      </c>
      <c r="O23" t="s">
        <v>172</v>
      </c>
      <c r="P23">
        <v>0.30205136071024907</v>
      </c>
      <c r="Q23" t="s">
        <v>160</v>
      </c>
      <c r="S23" t="s">
        <v>199</v>
      </c>
      <c r="T23" t="s">
        <v>172</v>
      </c>
      <c r="U23">
        <v>0.30205136071024907</v>
      </c>
      <c r="V23" t="s">
        <v>160</v>
      </c>
      <c r="X23">
        <v>0.34657534246575344</v>
      </c>
      <c r="Y23">
        <v>0.48791586903015699</v>
      </c>
      <c r="Z23" t="s">
        <v>172</v>
      </c>
      <c r="AA23" t="s">
        <v>25</v>
      </c>
      <c r="AC23" t="s">
        <v>22</v>
      </c>
      <c r="AD23" t="s">
        <v>172</v>
      </c>
      <c r="AE23">
        <v>0.36562856136495947</v>
      </c>
      <c r="AG23" t="s">
        <v>96</v>
      </c>
      <c r="AH23" t="s">
        <v>172</v>
      </c>
      <c r="AI23">
        <v>0.20231835509781071</v>
      </c>
      <c r="AK23">
        <v>2025</v>
      </c>
      <c r="AL23" t="s">
        <v>145</v>
      </c>
      <c r="AM23">
        <v>0.36503333333333332</v>
      </c>
      <c r="AN23" t="s">
        <v>218</v>
      </c>
    </row>
    <row r="24" spans="9:40" x14ac:dyDescent="0.45">
      <c r="I24" t="s">
        <v>158</v>
      </c>
      <c r="J24" t="s">
        <v>173</v>
      </c>
      <c r="K24">
        <v>7.648233709232348E-2</v>
      </c>
      <c r="L24" t="s">
        <v>160</v>
      </c>
      <c r="N24" t="s">
        <v>189</v>
      </c>
      <c r="O24" t="s">
        <v>173</v>
      </c>
      <c r="P24">
        <v>0.19418927359573132</v>
      </c>
      <c r="Q24" t="s">
        <v>160</v>
      </c>
      <c r="S24" t="s">
        <v>199</v>
      </c>
      <c r="T24" t="s">
        <v>173</v>
      </c>
      <c r="U24">
        <v>0.19418927359573132</v>
      </c>
      <c r="V24" t="s">
        <v>160</v>
      </c>
      <c r="X24">
        <v>0.18904109589041096</v>
      </c>
      <c r="Y24">
        <v>0.2195758645551053</v>
      </c>
      <c r="Z24" t="s">
        <v>173</v>
      </c>
      <c r="AA24" t="s">
        <v>25</v>
      </c>
      <c r="AC24" t="s">
        <v>22</v>
      </c>
      <c r="AD24" t="s">
        <v>173</v>
      </c>
      <c r="AE24">
        <v>0.19953740603836909</v>
      </c>
      <c r="AG24" t="s">
        <v>96</v>
      </c>
      <c r="AH24" t="s">
        <v>173</v>
      </c>
      <c r="AI24">
        <v>0.20601659958251339</v>
      </c>
      <c r="AK24">
        <v>2025</v>
      </c>
      <c r="AL24" t="s">
        <v>149</v>
      </c>
      <c r="AM24">
        <v>0.36420000000000002</v>
      </c>
      <c r="AN24" t="s">
        <v>218</v>
      </c>
    </row>
    <row r="25" spans="9:40" x14ac:dyDescent="0.45">
      <c r="I25" t="s">
        <v>158</v>
      </c>
      <c r="J25" t="s">
        <v>174</v>
      </c>
      <c r="K25">
        <v>0</v>
      </c>
      <c r="L25" t="s">
        <v>160</v>
      </c>
      <c r="N25" t="s">
        <v>189</v>
      </c>
      <c r="O25" t="s">
        <v>174</v>
      </c>
      <c r="P25">
        <v>2.4192636635325115E-2</v>
      </c>
      <c r="Q25" t="s">
        <v>160</v>
      </c>
      <c r="S25" t="s">
        <v>199</v>
      </c>
      <c r="T25" t="s">
        <v>174</v>
      </c>
      <c r="U25">
        <v>2.4192636635325115E-2</v>
      </c>
      <c r="V25" t="s">
        <v>160</v>
      </c>
      <c r="X25">
        <v>3.1506849315068496E-2</v>
      </c>
      <c r="Y25">
        <v>8.23409492081645E-3</v>
      </c>
      <c r="Z25" t="s">
        <v>174</v>
      </c>
      <c r="AA25" t="s">
        <v>25</v>
      </c>
      <c r="AC25" t="s">
        <v>22</v>
      </c>
      <c r="AD25" t="s">
        <v>174</v>
      </c>
      <c r="AE25">
        <v>2.6930589314166805E-2</v>
      </c>
      <c r="AG25" t="s">
        <v>96</v>
      </c>
      <c r="AH25" t="s">
        <v>174</v>
      </c>
      <c r="AI25">
        <v>0.12203393735528234</v>
      </c>
      <c r="AK25">
        <v>2025</v>
      </c>
      <c r="AL25" t="s">
        <v>151</v>
      </c>
      <c r="AM25">
        <v>0.30286999999999997</v>
      </c>
      <c r="AN25" t="s">
        <v>218</v>
      </c>
    </row>
    <row r="26" spans="9:40" x14ac:dyDescent="0.45">
      <c r="I26" t="s">
        <v>158</v>
      </c>
      <c r="J26" t="s">
        <v>175</v>
      </c>
      <c r="K26">
        <v>0</v>
      </c>
      <c r="L26" t="s">
        <v>160</v>
      </c>
      <c r="N26" t="s">
        <v>189</v>
      </c>
      <c r="O26" t="s">
        <v>175</v>
      </c>
      <c r="P26">
        <v>8.2646883938381505E-3</v>
      </c>
      <c r="Q26" t="s">
        <v>160</v>
      </c>
      <c r="S26" t="s">
        <v>199</v>
      </c>
      <c r="T26" t="s">
        <v>175</v>
      </c>
      <c r="U26">
        <v>8.2646883938381505E-3</v>
      </c>
      <c r="V26" t="s">
        <v>160</v>
      </c>
      <c r="X26">
        <v>4.5662100456621002E-3</v>
      </c>
      <c r="Y26">
        <v>7.1070448913971283E-4</v>
      </c>
      <c r="Z26" t="s">
        <v>175</v>
      </c>
      <c r="AA26" t="s">
        <v>25</v>
      </c>
      <c r="AC26" t="s">
        <v>22</v>
      </c>
      <c r="AD26" t="s">
        <v>175</v>
      </c>
      <c r="AE26">
        <v>3.6523561306375154E-3</v>
      </c>
      <c r="AG26" t="s">
        <v>96</v>
      </c>
      <c r="AH26" t="s">
        <v>175</v>
      </c>
      <c r="AI26">
        <v>5.8326120247686131E-2</v>
      </c>
      <c r="AK26">
        <v>2025</v>
      </c>
      <c r="AL26" t="s">
        <v>153</v>
      </c>
      <c r="AM26">
        <v>0.29809999999999998</v>
      </c>
      <c r="AN26" t="s">
        <v>218</v>
      </c>
    </row>
    <row r="27" spans="9:40" x14ac:dyDescent="0.45">
      <c r="I27" t="s">
        <v>158</v>
      </c>
      <c r="J27" t="s">
        <v>176</v>
      </c>
      <c r="K27">
        <v>0</v>
      </c>
      <c r="L27" t="s">
        <v>160</v>
      </c>
      <c r="N27" t="s">
        <v>189</v>
      </c>
      <c r="O27" t="s">
        <v>176</v>
      </c>
      <c r="P27">
        <v>1.6596467158874121E-3</v>
      </c>
      <c r="Q27" t="s">
        <v>160</v>
      </c>
      <c r="S27" t="s">
        <v>199</v>
      </c>
      <c r="T27" t="s">
        <v>176</v>
      </c>
      <c r="U27">
        <v>1.6596467158874121E-3</v>
      </c>
      <c r="V27" t="s">
        <v>160</v>
      </c>
      <c r="X27">
        <v>9.1324200913242006E-4</v>
      </c>
      <c r="Y27">
        <v>4.6142754145638075E-4</v>
      </c>
      <c r="Z27" t="s">
        <v>176</v>
      </c>
      <c r="AA27" t="s">
        <v>25</v>
      </c>
      <c r="AC27" t="s">
        <v>22</v>
      </c>
      <c r="AD27" t="s">
        <v>176</v>
      </c>
      <c r="AE27">
        <v>7.5667448383326798E-4</v>
      </c>
      <c r="AG27" t="s">
        <v>96</v>
      </c>
      <c r="AH27" t="s">
        <v>176</v>
      </c>
      <c r="AI27">
        <v>3.8808884549670575E-2</v>
      </c>
      <c r="AK27">
        <v>2026</v>
      </c>
      <c r="AL27" t="s">
        <v>145</v>
      </c>
      <c r="AM27">
        <v>0.37803333333333339</v>
      </c>
      <c r="AN27" t="s">
        <v>218</v>
      </c>
    </row>
    <row r="28" spans="9:40" x14ac:dyDescent="0.45">
      <c r="I28" t="s">
        <v>158</v>
      </c>
      <c r="J28" t="s">
        <v>177</v>
      </c>
      <c r="K28">
        <v>9.2110844415148833E-3</v>
      </c>
      <c r="L28" t="s">
        <v>160</v>
      </c>
      <c r="N28" t="s">
        <v>189</v>
      </c>
      <c r="O28" t="s">
        <v>177</v>
      </c>
      <c r="P28">
        <v>1.5359535817441268E-2</v>
      </c>
      <c r="Q28" t="s">
        <v>160</v>
      </c>
      <c r="S28" t="s">
        <v>199</v>
      </c>
      <c r="T28" t="s">
        <v>177</v>
      </c>
      <c r="U28">
        <v>1.5359535817441268E-2</v>
      </c>
      <c r="V28" t="s">
        <v>160</v>
      </c>
      <c r="X28">
        <v>1.0045662100456621E-2</v>
      </c>
      <c r="Y28">
        <v>1.4142488957395854E-2</v>
      </c>
      <c r="Z28" t="s">
        <v>177</v>
      </c>
      <c r="AA28" t="s">
        <v>25</v>
      </c>
      <c r="AC28" t="s">
        <v>22</v>
      </c>
      <c r="AD28" t="s">
        <v>177</v>
      </c>
      <c r="AE28">
        <v>1.2094341729601268E-2</v>
      </c>
      <c r="AG28" t="s">
        <v>96</v>
      </c>
      <c r="AH28" t="s">
        <v>177</v>
      </c>
      <c r="AI28">
        <v>7.0492276640088392E-2</v>
      </c>
      <c r="AK28">
        <v>2026</v>
      </c>
      <c r="AL28" t="s">
        <v>149</v>
      </c>
      <c r="AM28">
        <v>0.40710000000000002</v>
      </c>
      <c r="AN28" t="s">
        <v>218</v>
      </c>
    </row>
    <row r="29" spans="9:40" x14ac:dyDescent="0.45">
      <c r="I29" t="s">
        <v>158</v>
      </c>
      <c r="J29" t="s">
        <v>178</v>
      </c>
      <c r="K29">
        <v>0</v>
      </c>
      <c r="L29" t="s">
        <v>160</v>
      </c>
      <c r="N29" t="s">
        <v>189</v>
      </c>
      <c r="O29" t="s">
        <v>178</v>
      </c>
      <c r="P29">
        <v>9.0760268405922686E-3</v>
      </c>
      <c r="Q29" t="s">
        <v>160</v>
      </c>
      <c r="S29" t="s">
        <v>199</v>
      </c>
      <c r="T29" t="s">
        <v>178</v>
      </c>
      <c r="U29">
        <v>9.0760268405922686E-3</v>
      </c>
      <c r="V29" t="s">
        <v>160</v>
      </c>
      <c r="X29">
        <v>5.4794520547945206E-3</v>
      </c>
      <c r="Y29">
        <v>6.3645178131914596E-3</v>
      </c>
      <c r="Z29" t="s">
        <v>178</v>
      </c>
      <c r="AA29" t="s">
        <v>25</v>
      </c>
      <c r="AC29" t="s">
        <v>22</v>
      </c>
      <c r="AD29" t="s">
        <v>178</v>
      </c>
      <c r="AE29">
        <v>6.5058137759551144E-3</v>
      </c>
      <c r="AG29" t="s">
        <v>96</v>
      </c>
      <c r="AH29" t="s">
        <v>178</v>
      </c>
      <c r="AI29">
        <v>7.9836715676671721E-2</v>
      </c>
      <c r="AK29">
        <v>2026</v>
      </c>
      <c r="AL29" t="s">
        <v>151</v>
      </c>
      <c r="AM29">
        <v>0.30901999999999996</v>
      </c>
      <c r="AN29" t="s">
        <v>218</v>
      </c>
    </row>
    <row r="30" spans="9:40" x14ac:dyDescent="0.45">
      <c r="I30" t="s">
        <v>158</v>
      </c>
      <c r="J30" t="s">
        <v>179</v>
      </c>
      <c r="K30">
        <v>0</v>
      </c>
      <c r="L30" t="s">
        <v>160</v>
      </c>
      <c r="N30" t="s">
        <v>189</v>
      </c>
      <c r="O30" t="s">
        <v>179</v>
      </c>
      <c r="P30">
        <v>1.6438786301674604E-3</v>
      </c>
      <c r="Q30" t="s">
        <v>160</v>
      </c>
      <c r="S30" t="s">
        <v>199</v>
      </c>
      <c r="T30" t="s">
        <v>179</v>
      </c>
      <c r="U30">
        <v>1.6438786301674604E-3</v>
      </c>
      <c r="V30" t="s">
        <v>160</v>
      </c>
      <c r="X30">
        <v>9.1324200913242006E-4</v>
      </c>
      <c r="Y30">
        <v>2.386694179946797E-4</v>
      </c>
      <c r="Z30" t="s">
        <v>179</v>
      </c>
      <c r="AA30" t="s">
        <v>25</v>
      </c>
      <c r="AC30" t="s">
        <v>22</v>
      </c>
      <c r="AD30" t="s">
        <v>179</v>
      </c>
      <c r="AE30">
        <v>8.2812063972425849E-4</v>
      </c>
      <c r="AG30" t="s">
        <v>96</v>
      </c>
      <c r="AH30" t="s">
        <v>179</v>
      </c>
      <c r="AI30">
        <v>1.8477344169286258E-2</v>
      </c>
      <c r="AK30">
        <v>2026</v>
      </c>
      <c r="AL30" t="s">
        <v>153</v>
      </c>
      <c r="AM30">
        <v>0.307</v>
      </c>
      <c r="AN30" t="s">
        <v>218</v>
      </c>
    </row>
    <row r="31" spans="9:40" x14ac:dyDescent="0.45">
      <c r="I31" t="s">
        <v>180</v>
      </c>
      <c r="J31" t="s">
        <v>159</v>
      </c>
      <c r="K31">
        <v>0</v>
      </c>
      <c r="L31" t="s">
        <v>160</v>
      </c>
      <c r="N31" t="s">
        <v>190</v>
      </c>
      <c r="O31" t="s">
        <v>159</v>
      </c>
      <c r="P31">
        <v>5.1341251055348099E-2</v>
      </c>
      <c r="Q31" t="s">
        <v>160</v>
      </c>
      <c r="S31" t="s">
        <v>200</v>
      </c>
      <c r="T31" t="s">
        <v>159</v>
      </c>
      <c r="U31">
        <v>5.1341251055348099E-2</v>
      </c>
      <c r="V31" t="s">
        <v>160</v>
      </c>
      <c r="AC31" t="s">
        <v>19</v>
      </c>
      <c r="AD31" t="s">
        <v>159</v>
      </c>
      <c r="AE31">
        <v>3.5323619973388766E-2</v>
      </c>
      <c r="AK31">
        <v>2027</v>
      </c>
      <c r="AL31" t="s">
        <v>145</v>
      </c>
      <c r="AM31">
        <v>0.32776666666666671</v>
      </c>
      <c r="AN31" t="s">
        <v>218</v>
      </c>
    </row>
    <row r="32" spans="9:40" x14ac:dyDescent="0.45">
      <c r="I32" t="s">
        <v>180</v>
      </c>
      <c r="J32" t="s">
        <v>161</v>
      </c>
      <c r="K32">
        <v>0</v>
      </c>
      <c r="L32" t="s">
        <v>160</v>
      </c>
      <c r="N32" t="s">
        <v>190</v>
      </c>
      <c r="O32" t="s">
        <v>161</v>
      </c>
      <c r="P32">
        <v>9.6990449423216447E-3</v>
      </c>
      <c r="Q32" t="s">
        <v>160</v>
      </c>
      <c r="S32" t="s">
        <v>200</v>
      </c>
      <c r="T32" t="s">
        <v>161</v>
      </c>
      <c r="U32">
        <v>9.6990449423216447E-3</v>
      </c>
      <c r="V32" t="s">
        <v>160</v>
      </c>
      <c r="AC32" t="s">
        <v>19</v>
      </c>
      <c r="AD32" t="s">
        <v>161</v>
      </c>
      <c r="AE32">
        <v>7.0817573991928612E-3</v>
      </c>
      <c r="AK32">
        <v>2027</v>
      </c>
      <c r="AL32" t="s">
        <v>149</v>
      </c>
      <c r="AM32">
        <v>0.37819999999999998</v>
      </c>
      <c r="AN32" t="s">
        <v>218</v>
      </c>
    </row>
    <row r="33" spans="9:40" x14ac:dyDescent="0.45">
      <c r="I33" t="s">
        <v>180</v>
      </c>
      <c r="J33" t="s">
        <v>162</v>
      </c>
      <c r="K33">
        <v>8.1939065354340535E-2</v>
      </c>
      <c r="L33" t="s">
        <v>160</v>
      </c>
      <c r="N33" t="s">
        <v>190</v>
      </c>
      <c r="O33" t="s">
        <v>162</v>
      </c>
      <c r="P33">
        <v>9.3503330820997058E-2</v>
      </c>
      <c r="Q33" t="s">
        <v>160</v>
      </c>
      <c r="S33" t="s">
        <v>200</v>
      </c>
      <c r="T33" t="s">
        <v>162</v>
      </c>
      <c r="U33">
        <v>9.3503330820997058E-2</v>
      </c>
      <c r="V33" t="s">
        <v>160</v>
      </c>
      <c r="AC33" t="s">
        <v>19</v>
      </c>
      <c r="AD33" t="s">
        <v>162</v>
      </c>
      <c r="AE33">
        <v>7.9756500853617115E-2</v>
      </c>
      <c r="AK33">
        <v>2027</v>
      </c>
      <c r="AL33" t="s">
        <v>151</v>
      </c>
      <c r="AM33">
        <v>0.29947000000000001</v>
      </c>
      <c r="AN33" t="s">
        <v>218</v>
      </c>
    </row>
    <row r="34" spans="9:40" x14ac:dyDescent="0.45">
      <c r="I34" t="s">
        <v>180</v>
      </c>
      <c r="J34" t="s">
        <v>163</v>
      </c>
      <c r="K34">
        <v>1.8739397970913754E-3</v>
      </c>
      <c r="L34" t="s">
        <v>160</v>
      </c>
      <c r="N34" t="s">
        <v>190</v>
      </c>
      <c r="O34" t="s">
        <v>163</v>
      </c>
      <c r="P34">
        <v>6.3360919969410331E-2</v>
      </c>
      <c r="Q34" t="s">
        <v>160</v>
      </c>
      <c r="S34" t="s">
        <v>200</v>
      </c>
      <c r="T34" t="s">
        <v>163</v>
      </c>
      <c r="U34">
        <v>6.3360919969410331E-2</v>
      </c>
      <c r="V34" t="s">
        <v>160</v>
      </c>
      <c r="AC34" t="s">
        <v>19</v>
      </c>
      <c r="AD34" t="s">
        <v>163</v>
      </c>
      <c r="AE34">
        <v>4.346528306109005E-2</v>
      </c>
      <c r="AK34">
        <v>2027</v>
      </c>
      <c r="AL34" t="s">
        <v>153</v>
      </c>
      <c r="AM34">
        <v>0.25559999999999999</v>
      </c>
      <c r="AN34" t="s">
        <v>218</v>
      </c>
    </row>
    <row r="35" spans="9:40" x14ac:dyDescent="0.45">
      <c r="I35" t="s">
        <v>180</v>
      </c>
      <c r="J35" t="s">
        <v>164</v>
      </c>
      <c r="K35">
        <v>0</v>
      </c>
      <c r="L35" t="s">
        <v>160</v>
      </c>
      <c r="N35" t="s">
        <v>190</v>
      </c>
      <c r="O35" t="s">
        <v>164</v>
      </c>
      <c r="P35">
        <v>1.0172661705980026E-2</v>
      </c>
      <c r="Q35" t="s">
        <v>160</v>
      </c>
      <c r="S35" t="s">
        <v>200</v>
      </c>
      <c r="T35" t="s">
        <v>164</v>
      </c>
      <c r="U35">
        <v>1.0172661705980026E-2</v>
      </c>
      <c r="V35" t="s">
        <v>160</v>
      </c>
      <c r="AC35" t="s">
        <v>19</v>
      </c>
      <c r="AD35" t="s">
        <v>164</v>
      </c>
      <c r="AE35">
        <v>7.1186256173501787E-3</v>
      </c>
      <c r="AK35">
        <v>2028</v>
      </c>
      <c r="AL35" t="s">
        <v>145</v>
      </c>
      <c r="AM35">
        <v>0.38636666666666669</v>
      </c>
      <c r="AN35" t="s">
        <v>218</v>
      </c>
    </row>
    <row r="36" spans="9:40" x14ac:dyDescent="0.45">
      <c r="I36" t="s">
        <v>180</v>
      </c>
      <c r="J36" t="s">
        <v>165</v>
      </c>
      <c r="K36">
        <v>0</v>
      </c>
      <c r="L36" t="s">
        <v>160</v>
      </c>
      <c r="N36" t="s">
        <v>190</v>
      </c>
      <c r="O36" t="s">
        <v>165</v>
      </c>
      <c r="P36">
        <v>1.5886989864887735E-2</v>
      </c>
      <c r="Q36" t="s">
        <v>160</v>
      </c>
      <c r="S36" t="s">
        <v>200</v>
      </c>
      <c r="T36" t="s">
        <v>165</v>
      </c>
      <c r="U36">
        <v>1.5886989864887735E-2</v>
      </c>
      <c r="V36" t="s">
        <v>160</v>
      </c>
      <c r="AC36" t="s">
        <v>19</v>
      </c>
      <c r="AD36" t="s">
        <v>165</v>
      </c>
      <c r="AE36">
        <v>1.0089401168233134E-2</v>
      </c>
      <c r="AK36">
        <v>2028</v>
      </c>
      <c r="AL36" t="s">
        <v>149</v>
      </c>
      <c r="AM36">
        <v>0.3881</v>
      </c>
      <c r="AN36" t="s">
        <v>218</v>
      </c>
    </row>
    <row r="37" spans="9:40" x14ac:dyDescent="0.45">
      <c r="I37" t="s">
        <v>180</v>
      </c>
      <c r="J37" t="s">
        <v>166</v>
      </c>
      <c r="K37">
        <v>0</v>
      </c>
      <c r="L37" t="s">
        <v>160</v>
      </c>
      <c r="N37" t="s">
        <v>190</v>
      </c>
      <c r="O37" t="s">
        <v>166</v>
      </c>
      <c r="P37">
        <v>3.1830102183227718E-3</v>
      </c>
      <c r="Q37" t="s">
        <v>160</v>
      </c>
      <c r="S37" t="s">
        <v>200</v>
      </c>
      <c r="T37" t="s">
        <v>166</v>
      </c>
      <c r="U37">
        <v>3.1830102183227718E-3</v>
      </c>
      <c r="V37" t="s">
        <v>160</v>
      </c>
      <c r="AC37" t="s">
        <v>19</v>
      </c>
      <c r="AD37" t="s">
        <v>166</v>
      </c>
      <c r="AE37">
        <v>2.0227035748514575E-3</v>
      </c>
      <c r="AK37">
        <v>2028</v>
      </c>
      <c r="AL37" t="s">
        <v>151</v>
      </c>
      <c r="AM37">
        <v>0.32606000000000002</v>
      </c>
      <c r="AN37" t="s">
        <v>218</v>
      </c>
    </row>
    <row r="38" spans="9:40" x14ac:dyDescent="0.45">
      <c r="I38" t="s">
        <v>180</v>
      </c>
      <c r="J38" t="s">
        <v>167</v>
      </c>
      <c r="K38">
        <v>3.6771139167306746E-2</v>
      </c>
      <c r="L38" t="s">
        <v>160</v>
      </c>
      <c r="N38" t="s">
        <v>190</v>
      </c>
      <c r="O38" t="s">
        <v>167</v>
      </c>
      <c r="P38">
        <v>3.5534474204620643E-2</v>
      </c>
      <c r="Q38" t="s">
        <v>160</v>
      </c>
      <c r="S38" t="s">
        <v>200</v>
      </c>
      <c r="T38" t="s">
        <v>167</v>
      </c>
      <c r="U38">
        <v>3.5534474204620643E-2</v>
      </c>
      <c r="V38" t="s">
        <v>160</v>
      </c>
      <c r="AC38" t="s">
        <v>19</v>
      </c>
      <c r="AD38" t="s">
        <v>167</v>
      </c>
      <c r="AE38">
        <v>2.2801124516859443E-2</v>
      </c>
      <c r="AK38">
        <v>2028</v>
      </c>
      <c r="AL38" t="s">
        <v>153</v>
      </c>
      <c r="AM38">
        <v>0.33500000000000002</v>
      </c>
      <c r="AN38" t="s">
        <v>218</v>
      </c>
    </row>
    <row r="39" spans="9:40" x14ac:dyDescent="0.45">
      <c r="I39" t="s">
        <v>180</v>
      </c>
      <c r="J39" t="s">
        <v>168</v>
      </c>
      <c r="K39">
        <v>1.8846201042063903E-3</v>
      </c>
      <c r="L39" t="s">
        <v>160</v>
      </c>
      <c r="N39" t="s">
        <v>190</v>
      </c>
      <c r="O39" t="s">
        <v>168</v>
      </c>
      <c r="P39">
        <v>2.2722800274724165E-2</v>
      </c>
      <c r="Q39" t="s">
        <v>160</v>
      </c>
      <c r="S39" t="s">
        <v>200</v>
      </c>
      <c r="T39" t="s">
        <v>168</v>
      </c>
      <c r="U39">
        <v>2.2722800274724165E-2</v>
      </c>
      <c r="V39" t="s">
        <v>160</v>
      </c>
      <c r="AC39" t="s">
        <v>19</v>
      </c>
      <c r="AD39" t="s">
        <v>168</v>
      </c>
      <c r="AE39">
        <v>1.2424794707919191E-2</v>
      </c>
      <c r="AK39">
        <v>2029</v>
      </c>
      <c r="AL39" t="s">
        <v>145</v>
      </c>
      <c r="AM39">
        <v>0.44436666666666663</v>
      </c>
      <c r="AN39" t="s">
        <v>218</v>
      </c>
    </row>
    <row r="40" spans="9:40" x14ac:dyDescent="0.45">
      <c r="I40" t="s">
        <v>180</v>
      </c>
      <c r="J40" t="s">
        <v>169</v>
      </c>
      <c r="K40">
        <v>0</v>
      </c>
      <c r="L40" t="s">
        <v>160</v>
      </c>
      <c r="N40" t="s">
        <v>190</v>
      </c>
      <c r="O40" t="s">
        <v>169</v>
      </c>
      <c r="P40">
        <v>3.5994618129933298E-3</v>
      </c>
      <c r="Q40" t="s">
        <v>160</v>
      </c>
      <c r="S40" t="s">
        <v>200</v>
      </c>
      <c r="T40" t="s">
        <v>169</v>
      </c>
      <c r="U40">
        <v>3.5994618129933298E-3</v>
      </c>
      <c r="V40" t="s">
        <v>160</v>
      </c>
      <c r="AC40" t="s">
        <v>19</v>
      </c>
      <c r="AD40" t="s">
        <v>169</v>
      </c>
      <c r="AE40">
        <v>2.032564744234436E-3</v>
      </c>
      <c r="AK40">
        <v>2029</v>
      </c>
      <c r="AL40" t="s">
        <v>149</v>
      </c>
      <c r="AM40">
        <v>0.46110000000000001</v>
      </c>
      <c r="AN40" t="s">
        <v>218</v>
      </c>
    </row>
    <row r="41" spans="9:40" x14ac:dyDescent="0.45">
      <c r="I41" t="s">
        <v>180</v>
      </c>
      <c r="J41" t="s">
        <v>170</v>
      </c>
      <c r="K41">
        <v>0</v>
      </c>
      <c r="L41" t="s">
        <v>160</v>
      </c>
      <c r="N41" t="s">
        <v>190</v>
      </c>
      <c r="O41" t="s">
        <v>170</v>
      </c>
      <c r="P41">
        <v>0.15233863242483381</v>
      </c>
      <c r="Q41" t="s">
        <v>160</v>
      </c>
      <c r="S41" t="s">
        <v>200</v>
      </c>
      <c r="T41" t="s">
        <v>170</v>
      </c>
      <c r="U41">
        <v>0.15233863242483381</v>
      </c>
      <c r="V41" t="s">
        <v>160</v>
      </c>
      <c r="AC41" t="s">
        <v>19</v>
      </c>
      <c r="AD41" t="s">
        <v>170</v>
      </c>
      <c r="AE41">
        <v>0.15474026854860951</v>
      </c>
      <c r="AK41">
        <v>2029</v>
      </c>
      <c r="AL41" t="s">
        <v>151</v>
      </c>
      <c r="AM41">
        <v>0.35212999999999994</v>
      </c>
      <c r="AN41" t="s">
        <v>218</v>
      </c>
    </row>
    <row r="42" spans="9:40" x14ac:dyDescent="0.45">
      <c r="I42" t="s">
        <v>180</v>
      </c>
      <c r="J42" t="s">
        <v>171</v>
      </c>
      <c r="K42">
        <v>8.657971142208511E-3</v>
      </c>
      <c r="L42" t="s">
        <v>160</v>
      </c>
      <c r="N42" t="s">
        <v>190</v>
      </c>
      <c r="O42" t="s">
        <v>171</v>
      </c>
      <c r="P42">
        <v>2.9654101313348596E-2</v>
      </c>
      <c r="Q42" t="s">
        <v>160</v>
      </c>
      <c r="S42" t="s">
        <v>200</v>
      </c>
      <c r="T42" t="s">
        <v>171</v>
      </c>
      <c r="U42">
        <v>2.9654101313348596E-2</v>
      </c>
      <c r="V42" t="s">
        <v>160</v>
      </c>
      <c r="AC42" t="s">
        <v>19</v>
      </c>
      <c r="AD42" t="s">
        <v>171</v>
      </c>
      <c r="AE42">
        <v>3.1005956037585644E-2</v>
      </c>
      <c r="AK42">
        <v>2029</v>
      </c>
      <c r="AL42" t="s">
        <v>153</v>
      </c>
      <c r="AM42">
        <v>0.31130000000000002</v>
      </c>
      <c r="AN42" t="s">
        <v>218</v>
      </c>
    </row>
    <row r="43" spans="9:40" x14ac:dyDescent="0.45">
      <c r="I43" t="s">
        <v>180</v>
      </c>
      <c r="J43" t="s">
        <v>172</v>
      </c>
      <c r="K43">
        <v>0.78301522382908384</v>
      </c>
      <c r="L43" t="s">
        <v>160</v>
      </c>
      <c r="N43" t="s">
        <v>190</v>
      </c>
      <c r="O43" t="s">
        <v>172</v>
      </c>
      <c r="P43">
        <v>0.26332553166091943</v>
      </c>
      <c r="Q43" t="s">
        <v>160</v>
      </c>
      <c r="S43" t="s">
        <v>200</v>
      </c>
      <c r="T43" t="s">
        <v>172</v>
      </c>
      <c r="U43">
        <v>0.26332553166091943</v>
      </c>
      <c r="V43" t="s">
        <v>160</v>
      </c>
      <c r="AC43" t="s">
        <v>19</v>
      </c>
      <c r="AD43" t="s">
        <v>172</v>
      </c>
      <c r="AE43">
        <v>0.34872408767909308</v>
      </c>
      <c r="AK43">
        <v>2030</v>
      </c>
      <c r="AL43" t="s">
        <v>145</v>
      </c>
      <c r="AM43">
        <v>0.33529999999999999</v>
      </c>
      <c r="AN43" t="s">
        <v>218</v>
      </c>
    </row>
    <row r="44" spans="9:40" x14ac:dyDescent="0.45">
      <c r="I44" t="s">
        <v>180</v>
      </c>
      <c r="J44" t="s">
        <v>173</v>
      </c>
      <c r="K44">
        <v>7.681458947856018E-2</v>
      </c>
      <c r="L44" t="s">
        <v>160</v>
      </c>
      <c r="N44" t="s">
        <v>190</v>
      </c>
      <c r="O44" t="s">
        <v>173</v>
      </c>
      <c r="P44">
        <v>0.19967474375812258</v>
      </c>
      <c r="Q44" t="s">
        <v>160</v>
      </c>
      <c r="S44" t="s">
        <v>200</v>
      </c>
      <c r="T44" t="s">
        <v>173</v>
      </c>
      <c r="U44">
        <v>0.19967474375812258</v>
      </c>
      <c r="V44" t="s">
        <v>160</v>
      </c>
      <c r="AC44" t="s">
        <v>19</v>
      </c>
      <c r="AD44" t="s">
        <v>173</v>
      </c>
      <c r="AE44">
        <v>0.19022027244713227</v>
      </c>
      <c r="AK44">
        <v>2030</v>
      </c>
      <c r="AL44" t="s">
        <v>149</v>
      </c>
      <c r="AM44">
        <v>0.30480000000000002</v>
      </c>
      <c r="AN44" t="s">
        <v>218</v>
      </c>
    </row>
    <row r="45" spans="9:40" x14ac:dyDescent="0.45">
      <c r="I45" t="s">
        <v>180</v>
      </c>
      <c r="J45" t="s">
        <v>174</v>
      </c>
      <c r="K45">
        <v>0</v>
      </c>
      <c r="L45" t="s">
        <v>160</v>
      </c>
      <c r="N45" t="s">
        <v>190</v>
      </c>
      <c r="O45" t="s">
        <v>174</v>
      </c>
      <c r="P45">
        <v>2.8772552418295187E-2</v>
      </c>
      <c r="Q45" t="s">
        <v>160</v>
      </c>
      <c r="S45" t="s">
        <v>200</v>
      </c>
      <c r="T45" t="s">
        <v>174</v>
      </c>
      <c r="U45">
        <v>2.8772552418295187E-2</v>
      </c>
      <c r="V45" t="s">
        <v>160</v>
      </c>
      <c r="AC45" t="s">
        <v>19</v>
      </c>
      <c r="AD45" t="s">
        <v>174</v>
      </c>
      <c r="AE45">
        <v>3.1267996342303622E-2</v>
      </c>
      <c r="AK45">
        <v>2030</v>
      </c>
      <c r="AL45" t="s">
        <v>151</v>
      </c>
      <c r="AM45">
        <v>0.26772000000000001</v>
      </c>
      <c r="AN45" t="s">
        <v>218</v>
      </c>
    </row>
    <row r="46" spans="9:40" x14ac:dyDescent="0.45">
      <c r="I46" t="s">
        <v>180</v>
      </c>
      <c r="J46" t="s">
        <v>175</v>
      </c>
      <c r="K46">
        <v>0</v>
      </c>
      <c r="L46" t="s">
        <v>160</v>
      </c>
      <c r="N46" t="s">
        <v>190</v>
      </c>
      <c r="O46" t="s">
        <v>175</v>
      </c>
      <c r="P46">
        <v>3.7796646614856036E-3</v>
      </c>
      <c r="Q46" t="s">
        <v>160</v>
      </c>
      <c r="S46" t="s">
        <v>200</v>
      </c>
      <c r="T46" t="s">
        <v>175</v>
      </c>
      <c r="U46">
        <v>3.7796646614856036E-3</v>
      </c>
      <c r="V46" t="s">
        <v>160</v>
      </c>
      <c r="AC46" t="s">
        <v>19</v>
      </c>
      <c r="AD46" t="s">
        <v>175</v>
      </c>
      <c r="AE46">
        <v>4.4772944258050064E-3</v>
      </c>
      <c r="AK46">
        <v>2030</v>
      </c>
      <c r="AL46" t="s">
        <v>153</v>
      </c>
      <c r="AM46">
        <v>0.28920000000000001</v>
      </c>
      <c r="AN46" t="s">
        <v>218</v>
      </c>
    </row>
    <row r="47" spans="9:40" x14ac:dyDescent="0.45">
      <c r="I47" t="s">
        <v>180</v>
      </c>
      <c r="J47" t="s">
        <v>176</v>
      </c>
      <c r="K47">
        <v>0</v>
      </c>
      <c r="L47" t="s">
        <v>160</v>
      </c>
      <c r="N47" t="s">
        <v>190</v>
      </c>
      <c r="O47" t="s">
        <v>176</v>
      </c>
      <c r="P47">
        <v>7.7497876792771226E-4</v>
      </c>
      <c r="Q47" t="s">
        <v>160</v>
      </c>
      <c r="S47" t="s">
        <v>200</v>
      </c>
      <c r="T47" t="s">
        <v>176</v>
      </c>
      <c r="U47">
        <v>7.7497876792771226E-4</v>
      </c>
      <c r="V47" t="s">
        <v>160</v>
      </c>
      <c r="AC47" t="s">
        <v>19</v>
      </c>
      <c r="AD47" t="s">
        <v>176</v>
      </c>
      <c r="AE47">
        <v>8.9726240672321968E-4</v>
      </c>
      <c r="AK47">
        <v>2031</v>
      </c>
      <c r="AL47" t="s">
        <v>145</v>
      </c>
      <c r="AM47">
        <v>0.3261</v>
      </c>
      <c r="AN47" t="s">
        <v>218</v>
      </c>
    </row>
    <row r="48" spans="9:40" x14ac:dyDescent="0.45">
      <c r="I48" t="s">
        <v>180</v>
      </c>
      <c r="J48" t="s">
        <v>177</v>
      </c>
      <c r="K48">
        <v>9.0434511272023121E-3</v>
      </c>
      <c r="L48" t="s">
        <v>160</v>
      </c>
      <c r="N48" t="s">
        <v>190</v>
      </c>
      <c r="O48" t="s">
        <v>177</v>
      </c>
      <c r="P48">
        <v>7.0502840496227256E-3</v>
      </c>
      <c r="Q48" t="s">
        <v>160</v>
      </c>
      <c r="S48" t="s">
        <v>200</v>
      </c>
      <c r="T48" t="s">
        <v>177</v>
      </c>
      <c r="U48">
        <v>7.0502840496227256E-3</v>
      </c>
      <c r="V48" t="s">
        <v>160</v>
      </c>
      <c r="AC48" t="s">
        <v>19</v>
      </c>
      <c r="AD48" t="s">
        <v>177</v>
      </c>
      <c r="AE48">
        <v>1.0129432059761192E-2</v>
      </c>
      <c r="AK48">
        <v>2031</v>
      </c>
      <c r="AL48" t="s">
        <v>149</v>
      </c>
      <c r="AM48">
        <v>0.39190000000000003</v>
      </c>
      <c r="AN48" t="s">
        <v>218</v>
      </c>
    </row>
    <row r="49" spans="9:40" x14ac:dyDescent="0.45">
      <c r="I49" t="s">
        <v>180</v>
      </c>
      <c r="J49" t="s">
        <v>178</v>
      </c>
      <c r="K49">
        <v>0</v>
      </c>
      <c r="L49" t="s">
        <v>160</v>
      </c>
      <c r="N49" t="s">
        <v>190</v>
      </c>
      <c r="O49" t="s">
        <v>178</v>
      </c>
      <c r="P49">
        <v>4.8733218190378123E-3</v>
      </c>
      <c r="Q49" t="s">
        <v>160</v>
      </c>
      <c r="S49" t="s">
        <v>200</v>
      </c>
      <c r="T49" t="s">
        <v>178</v>
      </c>
      <c r="U49">
        <v>4.8733218190378123E-3</v>
      </c>
      <c r="V49" t="s">
        <v>160</v>
      </c>
      <c r="AC49" t="s">
        <v>19</v>
      </c>
      <c r="AD49" t="s">
        <v>178</v>
      </c>
      <c r="AE49">
        <v>5.5188745233091573E-3</v>
      </c>
      <c r="AK49">
        <v>2031</v>
      </c>
      <c r="AL49" t="s">
        <v>151</v>
      </c>
      <c r="AM49">
        <v>0.26080000000000003</v>
      </c>
      <c r="AN49" t="s">
        <v>218</v>
      </c>
    </row>
    <row r="50" spans="9:40" x14ac:dyDescent="0.45">
      <c r="I50" t="s">
        <v>180</v>
      </c>
      <c r="J50" t="s">
        <v>179</v>
      </c>
      <c r="K50">
        <v>0</v>
      </c>
      <c r="L50" t="s">
        <v>160</v>
      </c>
      <c r="N50" t="s">
        <v>190</v>
      </c>
      <c r="O50" t="s">
        <v>179</v>
      </c>
      <c r="P50">
        <v>7.5224425680633423E-4</v>
      </c>
      <c r="Q50" t="s">
        <v>160</v>
      </c>
      <c r="S50" t="s">
        <v>200</v>
      </c>
      <c r="T50" t="s">
        <v>179</v>
      </c>
      <c r="U50">
        <v>7.5224425680633423E-4</v>
      </c>
      <c r="V50" t="s">
        <v>160</v>
      </c>
      <c r="AC50" t="s">
        <v>19</v>
      </c>
      <c r="AD50" t="s">
        <v>179</v>
      </c>
      <c r="AE50">
        <v>9.021799129407263E-4</v>
      </c>
      <c r="AK50">
        <v>2031</v>
      </c>
      <c r="AL50" t="s">
        <v>153</v>
      </c>
      <c r="AM50">
        <v>0.2535</v>
      </c>
      <c r="AN50" t="s">
        <v>218</v>
      </c>
    </row>
    <row r="51" spans="9:40" x14ac:dyDescent="0.45">
      <c r="I51" t="s">
        <v>181</v>
      </c>
      <c r="J51" t="s">
        <v>159</v>
      </c>
      <c r="K51">
        <v>0</v>
      </c>
      <c r="L51" t="s">
        <v>160</v>
      </c>
      <c r="N51" t="s">
        <v>191</v>
      </c>
      <c r="O51" t="s">
        <v>159</v>
      </c>
      <c r="P51">
        <v>4.7517086185757507E-2</v>
      </c>
      <c r="Q51" t="s">
        <v>160</v>
      </c>
      <c r="S51" t="s">
        <v>201</v>
      </c>
      <c r="T51" t="s">
        <v>159</v>
      </c>
      <c r="U51">
        <v>4.7517086185757507E-2</v>
      </c>
      <c r="V51" t="s">
        <v>160</v>
      </c>
      <c r="AK51">
        <v>2032</v>
      </c>
      <c r="AL51" t="s">
        <v>145</v>
      </c>
      <c r="AM51">
        <v>0.35066666666666668</v>
      </c>
      <c r="AN51" t="s">
        <v>218</v>
      </c>
    </row>
    <row r="52" spans="9:40" x14ac:dyDescent="0.45">
      <c r="I52" t="s">
        <v>181</v>
      </c>
      <c r="J52" t="s">
        <v>161</v>
      </c>
      <c r="K52">
        <v>0</v>
      </c>
      <c r="L52" t="s">
        <v>160</v>
      </c>
      <c r="N52" t="s">
        <v>191</v>
      </c>
      <c r="O52" t="s">
        <v>161</v>
      </c>
      <c r="P52">
        <v>9.4530816370655881E-3</v>
      </c>
      <c r="Q52" t="s">
        <v>160</v>
      </c>
      <c r="S52" t="s">
        <v>201</v>
      </c>
      <c r="T52" t="s">
        <v>161</v>
      </c>
      <c r="U52">
        <v>9.4530816370655881E-3</v>
      </c>
      <c r="V52" t="s">
        <v>160</v>
      </c>
      <c r="AK52">
        <v>2032</v>
      </c>
      <c r="AL52" t="s">
        <v>149</v>
      </c>
      <c r="AM52">
        <v>0.3579</v>
      </c>
      <c r="AN52" t="s">
        <v>218</v>
      </c>
    </row>
    <row r="53" spans="9:40" x14ac:dyDescent="0.45">
      <c r="I53" t="s">
        <v>181</v>
      </c>
      <c r="J53" t="s">
        <v>162</v>
      </c>
      <c r="K53">
        <v>8.2372366322492757E-2</v>
      </c>
      <c r="L53" t="s">
        <v>160</v>
      </c>
      <c r="N53" t="s">
        <v>191</v>
      </c>
      <c r="O53" t="s">
        <v>162</v>
      </c>
      <c r="P53">
        <v>9.1301769378490799E-2</v>
      </c>
      <c r="Q53" t="s">
        <v>160</v>
      </c>
      <c r="S53" t="s">
        <v>201</v>
      </c>
      <c r="T53" t="s">
        <v>162</v>
      </c>
      <c r="U53">
        <v>9.1301769378490799E-2</v>
      </c>
      <c r="V53" t="s">
        <v>160</v>
      </c>
      <c r="AK53">
        <v>2032</v>
      </c>
      <c r="AL53" t="s">
        <v>151</v>
      </c>
      <c r="AM53">
        <v>0.32516999999999996</v>
      </c>
      <c r="AN53" t="s">
        <v>218</v>
      </c>
    </row>
    <row r="54" spans="9:40" x14ac:dyDescent="0.45">
      <c r="I54" t="s">
        <v>181</v>
      </c>
      <c r="J54" t="s">
        <v>163</v>
      </c>
      <c r="K54">
        <v>2.0457273951829452E-3</v>
      </c>
      <c r="L54" t="s">
        <v>160</v>
      </c>
      <c r="N54" t="s">
        <v>191</v>
      </c>
      <c r="O54" t="s">
        <v>163</v>
      </c>
      <c r="P54">
        <v>5.1318451839071549E-2</v>
      </c>
      <c r="Q54" t="s">
        <v>160</v>
      </c>
      <c r="S54" t="s">
        <v>201</v>
      </c>
      <c r="T54" t="s">
        <v>163</v>
      </c>
      <c r="U54">
        <v>5.1318451839071549E-2</v>
      </c>
      <c r="V54" t="s">
        <v>160</v>
      </c>
      <c r="AK54">
        <v>2032</v>
      </c>
      <c r="AL54" t="s">
        <v>153</v>
      </c>
      <c r="AM54">
        <v>0.33129999999999998</v>
      </c>
      <c r="AN54" t="s">
        <v>218</v>
      </c>
    </row>
    <row r="55" spans="9:40" x14ac:dyDescent="0.45">
      <c r="I55" t="s">
        <v>181</v>
      </c>
      <c r="J55" t="s">
        <v>164</v>
      </c>
      <c r="K55">
        <v>0</v>
      </c>
      <c r="L55" t="s">
        <v>160</v>
      </c>
      <c r="N55" t="s">
        <v>191</v>
      </c>
      <c r="O55" t="s">
        <v>164</v>
      </c>
      <c r="P55">
        <v>8.3624543978783345E-3</v>
      </c>
      <c r="Q55" t="s">
        <v>160</v>
      </c>
      <c r="S55" t="s">
        <v>201</v>
      </c>
      <c r="T55" t="s">
        <v>164</v>
      </c>
      <c r="U55">
        <v>8.3624543978783345E-3</v>
      </c>
      <c r="V55" t="s">
        <v>160</v>
      </c>
      <c r="AK55">
        <v>2033</v>
      </c>
      <c r="AL55" t="s">
        <v>145</v>
      </c>
      <c r="AM55">
        <v>0.3105</v>
      </c>
      <c r="AN55" t="s">
        <v>218</v>
      </c>
    </row>
    <row r="56" spans="9:40" x14ac:dyDescent="0.45">
      <c r="I56" t="s">
        <v>181</v>
      </c>
      <c r="J56" t="s">
        <v>165</v>
      </c>
      <c r="K56">
        <v>0</v>
      </c>
      <c r="L56" t="s">
        <v>160</v>
      </c>
      <c r="N56" t="s">
        <v>191</v>
      </c>
      <c r="O56" t="s">
        <v>165</v>
      </c>
      <c r="P56">
        <v>1.6517950175620893E-2</v>
      </c>
      <c r="Q56" t="s">
        <v>160</v>
      </c>
      <c r="S56" t="s">
        <v>201</v>
      </c>
      <c r="T56" t="s">
        <v>165</v>
      </c>
      <c r="U56">
        <v>1.6517950175620893E-2</v>
      </c>
      <c r="V56" t="s">
        <v>160</v>
      </c>
      <c r="AK56">
        <v>2033</v>
      </c>
      <c r="AL56" t="s">
        <v>149</v>
      </c>
      <c r="AM56">
        <v>0.29659999999999997</v>
      </c>
      <c r="AN56" t="s">
        <v>218</v>
      </c>
    </row>
    <row r="57" spans="9:40" x14ac:dyDescent="0.45">
      <c r="I57" t="s">
        <v>181</v>
      </c>
      <c r="J57" t="s">
        <v>166</v>
      </c>
      <c r="K57">
        <v>0</v>
      </c>
      <c r="L57" t="s">
        <v>160</v>
      </c>
      <c r="N57" t="s">
        <v>191</v>
      </c>
      <c r="O57" t="s">
        <v>166</v>
      </c>
      <c r="P57">
        <v>3.0626058789753217E-3</v>
      </c>
      <c r="Q57" t="s">
        <v>160</v>
      </c>
      <c r="S57" t="s">
        <v>201</v>
      </c>
      <c r="T57" t="s">
        <v>166</v>
      </c>
      <c r="U57">
        <v>3.0626058789753217E-3</v>
      </c>
      <c r="V57" t="s">
        <v>160</v>
      </c>
      <c r="AK57">
        <v>2033</v>
      </c>
      <c r="AL57" t="s">
        <v>151</v>
      </c>
      <c r="AM57">
        <v>0.27771000000000001</v>
      </c>
      <c r="AN57" t="s">
        <v>218</v>
      </c>
    </row>
    <row r="58" spans="9:40" x14ac:dyDescent="0.45">
      <c r="I58" t="s">
        <v>181</v>
      </c>
      <c r="J58" t="s">
        <v>167</v>
      </c>
      <c r="K58">
        <v>3.8640766823799501E-2</v>
      </c>
      <c r="L58" t="s">
        <v>160</v>
      </c>
      <c r="N58" t="s">
        <v>191</v>
      </c>
      <c r="O58" t="s">
        <v>167</v>
      </c>
      <c r="P58">
        <v>4.1659276264508688E-2</v>
      </c>
      <c r="Q58" t="s">
        <v>160</v>
      </c>
      <c r="S58" t="s">
        <v>201</v>
      </c>
      <c r="T58" t="s">
        <v>167</v>
      </c>
      <c r="U58">
        <v>4.1659276264508688E-2</v>
      </c>
      <c r="V58" t="s">
        <v>160</v>
      </c>
      <c r="AK58">
        <v>2033</v>
      </c>
      <c r="AL58" t="s">
        <v>153</v>
      </c>
      <c r="AM58">
        <v>0.30480000000000002</v>
      </c>
      <c r="AN58" t="s">
        <v>218</v>
      </c>
    </row>
    <row r="59" spans="9:40" x14ac:dyDescent="0.45">
      <c r="I59" t="s">
        <v>181</v>
      </c>
      <c r="J59" t="s">
        <v>168</v>
      </c>
      <c r="K59">
        <v>2.8134883683241432E-3</v>
      </c>
      <c r="L59" t="s">
        <v>160</v>
      </c>
      <c r="N59" t="s">
        <v>191</v>
      </c>
      <c r="O59" t="s">
        <v>168</v>
      </c>
      <c r="P59">
        <v>2.5148624238235683E-2</v>
      </c>
      <c r="Q59" t="s">
        <v>160</v>
      </c>
      <c r="S59" t="s">
        <v>201</v>
      </c>
      <c r="T59" t="s">
        <v>168</v>
      </c>
      <c r="U59">
        <v>2.5148624238235683E-2</v>
      </c>
      <c r="V59" t="s">
        <v>160</v>
      </c>
      <c r="AK59">
        <v>2034</v>
      </c>
      <c r="AL59" t="s">
        <v>145</v>
      </c>
      <c r="AM59">
        <v>0.3934333333333333</v>
      </c>
      <c r="AN59" t="s">
        <v>218</v>
      </c>
    </row>
    <row r="60" spans="9:40" x14ac:dyDescent="0.45">
      <c r="I60" t="s">
        <v>181</v>
      </c>
      <c r="J60" t="s">
        <v>169</v>
      </c>
      <c r="K60">
        <v>0</v>
      </c>
      <c r="L60" t="s">
        <v>160</v>
      </c>
      <c r="N60" t="s">
        <v>191</v>
      </c>
      <c r="O60" t="s">
        <v>169</v>
      </c>
      <c r="P60">
        <v>3.4646171869251261E-3</v>
      </c>
      <c r="Q60" t="s">
        <v>160</v>
      </c>
      <c r="S60" t="s">
        <v>201</v>
      </c>
      <c r="T60" t="s">
        <v>169</v>
      </c>
      <c r="U60">
        <v>3.4646171869251261E-3</v>
      </c>
      <c r="V60" t="s">
        <v>160</v>
      </c>
      <c r="AK60">
        <v>2034</v>
      </c>
      <c r="AL60" t="s">
        <v>149</v>
      </c>
      <c r="AM60">
        <v>0.42249999999999999</v>
      </c>
      <c r="AN60" t="s">
        <v>218</v>
      </c>
    </row>
    <row r="61" spans="9:40" x14ac:dyDescent="0.45">
      <c r="I61" t="s">
        <v>181</v>
      </c>
      <c r="J61" t="s">
        <v>170</v>
      </c>
      <c r="K61">
        <v>0</v>
      </c>
      <c r="L61" t="s">
        <v>160</v>
      </c>
      <c r="N61" t="s">
        <v>191</v>
      </c>
      <c r="O61" t="s">
        <v>170</v>
      </c>
      <c r="P61">
        <v>0.14573225740807397</v>
      </c>
      <c r="Q61" t="s">
        <v>160</v>
      </c>
      <c r="S61" t="s">
        <v>201</v>
      </c>
      <c r="T61" t="s">
        <v>170</v>
      </c>
      <c r="U61">
        <v>0.14573225740807397</v>
      </c>
      <c r="V61" t="s">
        <v>160</v>
      </c>
      <c r="AK61">
        <v>2034</v>
      </c>
      <c r="AL61" t="s">
        <v>151</v>
      </c>
      <c r="AM61">
        <v>0.31964000000000004</v>
      </c>
      <c r="AN61" t="s">
        <v>218</v>
      </c>
    </row>
    <row r="62" spans="9:40" x14ac:dyDescent="0.45">
      <c r="I62" t="s">
        <v>181</v>
      </c>
      <c r="J62" t="s">
        <v>171</v>
      </c>
      <c r="K62">
        <v>7.1372202972043546E-3</v>
      </c>
      <c r="L62" t="s">
        <v>160</v>
      </c>
      <c r="N62" t="s">
        <v>191</v>
      </c>
      <c r="O62" t="s">
        <v>171</v>
      </c>
      <c r="P62">
        <v>2.6035159145099771E-2</v>
      </c>
      <c r="Q62" t="s">
        <v>160</v>
      </c>
      <c r="S62" t="s">
        <v>201</v>
      </c>
      <c r="T62" t="s">
        <v>171</v>
      </c>
      <c r="U62">
        <v>2.6035159145099771E-2</v>
      </c>
      <c r="V62" t="s">
        <v>160</v>
      </c>
      <c r="AK62">
        <v>2034</v>
      </c>
      <c r="AL62" t="s">
        <v>153</v>
      </c>
      <c r="AM62">
        <v>0.38979999999999998</v>
      </c>
      <c r="AN62" t="s">
        <v>218</v>
      </c>
    </row>
    <row r="63" spans="9:40" x14ac:dyDescent="0.45">
      <c r="I63" t="s">
        <v>181</v>
      </c>
      <c r="J63" t="s">
        <v>172</v>
      </c>
      <c r="K63">
        <v>0.78066141635823649</v>
      </c>
      <c r="L63" t="s">
        <v>160</v>
      </c>
      <c r="N63" t="s">
        <v>191</v>
      </c>
      <c r="O63" t="s">
        <v>172</v>
      </c>
      <c r="P63">
        <v>0.2795520507720996</v>
      </c>
      <c r="Q63" t="s">
        <v>160</v>
      </c>
      <c r="S63" t="s">
        <v>201</v>
      </c>
      <c r="T63" t="s">
        <v>172</v>
      </c>
      <c r="U63">
        <v>0.2795520507720996</v>
      </c>
      <c r="V63" t="s">
        <v>160</v>
      </c>
      <c r="AK63">
        <v>2035</v>
      </c>
      <c r="AL63" t="s">
        <v>145</v>
      </c>
      <c r="AM63">
        <v>0.37483333333333335</v>
      </c>
      <c r="AN63" t="s">
        <v>218</v>
      </c>
    </row>
    <row r="64" spans="9:40" x14ac:dyDescent="0.45">
      <c r="I64" t="s">
        <v>181</v>
      </c>
      <c r="J64" t="s">
        <v>173</v>
      </c>
      <c r="K64">
        <v>7.770875015633405E-2</v>
      </c>
      <c r="L64" t="s">
        <v>160</v>
      </c>
      <c r="N64" t="s">
        <v>191</v>
      </c>
      <c r="O64" t="s">
        <v>173</v>
      </c>
      <c r="P64">
        <v>0.18521101736241152</v>
      </c>
      <c r="Q64" t="s">
        <v>160</v>
      </c>
      <c r="S64" t="s">
        <v>201</v>
      </c>
      <c r="T64" t="s">
        <v>173</v>
      </c>
      <c r="U64">
        <v>0.18521101736241152</v>
      </c>
      <c r="V64" t="s">
        <v>160</v>
      </c>
      <c r="AK64">
        <v>2035</v>
      </c>
      <c r="AL64" t="s">
        <v>149</v>
      </c>
      <c r="AM64">
        <v>0.36720000000000003</v>
      </c>
      <c r="AN64" t="s">
        <v>218</v>
      </c>
    </row>
    <row r="65" spans="9:40" x14ac:dyDescent="0.45">
      <c r="I65" t="s">
        <v>181</v>
      </c>
      <c r="J65" t="s">
        <v>174</v>
      </c>
      <c r="K65">
        <v>0</v>
      </c>
      <c r="L65" t="s">
        <v>160</v>
      </c>
      <c r="N65" t="s">
        <v>191</v>
      </c>
      <c r="O65" t="s">
        <v>174</v>
      </c>
      <c r="P65">
        <v>2.9766280754049381E-2</v>
      </c>
      <c r="Q65" t="s">
        <v>160</v>
      </c>
      <c r="S65" t="s">
        <v>201</v>
      </c>
      <c r="T65" t="s">
        <v>174</v>
      </c>
      <c r="U65">
        <v>2.9766280754049381E-2</v>
      </c>
      <c r="V65" t="s">
        <v>160</v>
      </c>
      <c r="AK65">
        <v>2035</v>
      </c>
      <c r="AL65" t="s">
        <v>151</v>
      </c>
      <c r="AM65">
        <v>0.30126999999999998</v>
      </c>
      <c r="AN65" t="s">
        <v>218</v>
      </c>
    </row>
    <row r="66" spans="9:40" x14ac:dyDescent="0.45">
      <c r="I66" t="s">
        <v>181</v>
      </c>
      <c r="J66" t="s">
        <v>175</v>
      </c>
      <c r="K66">
        <v>0</v>
      </c>
      <c r="L66" t="s">
        <v>160</v>
      </c>
      <c r="N66" t="s">
        <v>191</v>
      </c>
      <c r="O66" t="s">
        <v>175</v>
      </c>
      <c r="P66">
        <v>7.4481034317148594E-3</v>
      </c>
      <c r="Q66" t="s">
        <v>160</v>
      </c>
      <c r="S66" t="s">
        <v>201</v>
      </c>
      <c r="T66" t="s">
        <v>175</v>
      </c>
      <c r="U66">
        <v>7.4481034317148594E-3</v>
      </c>
      <c r="V66" t="s">
        <v>160</v>
      </c>
      <c r="AK66">
        <v>2035</v>
      </c>
      <c r="AL66" t="s">
        <v>153</v>
      </c>
      <c r="AM66">
        <v>0.31669999999999998</v>
      </c>
      <c r="AN66" t="s">
        <v>218</v>
      </c>
    </row>
    <row r="67" spans="9:40" x14ac:dyDescent="0.45">
      <c r="I67" t="s">
        <v>181</v>
      </c>
      <c r="J67" t="s">
        <v>176</v>
      </c>
      <c r="K67">
        <v>0</v>
      </c>
      <c r="L67" t="s">
        <v>160</v>
      </c>
      <c r="N67" t="s">
        <v>191</v>
      </c>
      <c r="O67" t="s">
        <v>176</v>
      </c>
      <c r="P67">
        <v>1.3876767864458624E-3</v>
      </c>
      <c r="Q67" t="s">
        <v>160</v>
      </c>
      <c r="S67" t="s">
        <v>201</v>
      </c>
      <c r="T67" t="s">
        <v>176</v>
      </c>
      <c r="U67">
        <v>1.3876767864458624E-3</v>
      </c>
      <c r="V67" t="s">
        <v>160</v>
      </c>
      <c r="AK67">
        <v>2036</v>
      </c>
      <c r="AL67" t="s">
        <v>145</v>
      </c>
      <c r="AM67">
        <v>0.34933333333333333</v>
      </c>
      <c r="AN67" t="s">
        <v>218</v>
      </c>
    </row>
    <row r="68" spans="9:40" x14ac:dyDescent="0.45">
      <c r="I68" t="s">
        <v>181</v>
      </c>
      <c r="J68" t="s">
        <v>177</v>
      </c>
      <c r="K68">
        <v>8.6202642784280921E-3</v>
      </c>
      <c r="L68" t="s">
        <v>160</v>
      </c>
      <c r="N68" t="s">
        <v>191</v>
      </c>
      <c r="O68" t="s">
        <v>177</v>
      </c>
      <c r="P68">
        <v>1.5156091611361186E-2</v>
      </c>
      <c r="Q68" t="s">
        <v>160</v>
      </c>
      <c r="S68" t="s">
        <v>201</v>
      </c>
      <c r="T68" t="s">
        <v>177</v>
      </c>
      <c r="U68">
        <v>1.5156091611361186E-2</v>
      </c>
      <c r="V68" t="s">
        <v>160</v>
      </c>
      <c r="AK68">
        <v>2036</v>
      </c>
      <c r="AL68" t="s">
        <v>149</v>
      </c>
      <c r="AM68">
        <v>0.37369999999999998</v>
      </c>
      <c r="AN68" t="s">
        <v>218</v>
      </c>
    </row>
    <row r="69" spans="9:40" x14ac:dyDescent="0.45">
      <c r="I69" t="s">
        <v>181</v>
      </c>
      <c r="J69" t="s">
        <v>178</v>
      </c>
      <c r="K69">
        <v>0</v>
      </c>
      <c r="L69" t="s">
        <v>160</v>
      </c>
      <c r="N69" t="s">
        <v>191</v>
      </c>
      <c r="O69" t="s">
        <v>178</v>
      </c>
      <c r="P69">
        <v>1.0336147095105682E-2</v>
      </c>
      <c r="Q69" t="s">
        <v>160</v>
      </c>
      <c r="S69" t="s">
        <v>201</v>
      </c>
      <c r="T69" t="s">
        <v>178</v>
      </c>
      <c r="U69">
        <v>1.0336147095105682E-2</v>
      </c>
      <c r="V69" t="s">
        <v>160</v>
      </c>
      <c r="AK69">
        <v>2036</v>
      </c>
      <c r="AL69" t="s">
        <v>151</v>
      </c>
      <c r="AM69">
        <v>0.29269000000000001</v>
      </c>
      <c r="AN69" t="s">
        <v>218</v>
      </c>
    </row>
    <row r="70" spans="9:40" x14ac:dyDescent="0.45">
      <c r="I70" t="s">
        <v>181</v>
      </c>
      <c r="J70" t="s">
        <v>179</v>
      </c>
      <c r="K70">
        <v>0</v>
      </c>
      <c r="L70" t="s">
        <v>160</v>
      </c>
      <c r="N70" t="s">
        <v>191</v>
      </c>
      <c r="O70" t="s">
        <v>179</v>
      </c>
      <c r="P70">
        <v>1.5692984511109398E-3</v>
      </c>
      <c r="Q70" t="s">
        <v>160</v>
      </c>
      <c r="S70" t="s">
        <v>201</v>
      </c>
      <c r="T70" t="s">
        <v>179</v>
      </c>
      <c r="U70">
        <v>1.5692984511109398E-3</v>
      </c>
      <c r="V70" t="s">
        <v>160</v>
      </c>
      <c r="AK70">
        <v>2036</v>
      </c>
      <c r="AL70" t="s">
        <v>153</v>
      </c>
      <c r="AM70">
        <v>0.24510000000000001</v>
      </c>
      <c r="AN70" t="s">
        <v>218</v>
      </c>
    </row>
    <row r="71" spans="9:40" x14ac:dyDescent="0.45">
      <c r="I71" t="s">
        <v>182</v>
      </c>
      <c r="J71" t="s">
        <v>159</v>
      </c>
      <c r="K71">
        <v>0</v>
      </c>
      <c r="L71" t="s">
        <v>160</v>
      </c>
      <c r="N71" t="s">
        <v>192</v>
      </c>
      <c r="O71" t="s">
        <v>159</v>
      </c>
      <c r="P71">
        <v>4.8216141873245841E-2</v>
      </c>
      <c r="Q71" t="s">
        <v>160</v>
      </c>
      <c r="S71" t="s">
        <v>202</v>
      </c>
      <c r="T71" t="s">
        <v>159</v>
      </c>
      <c r="U71">
        <v>4.8216141873245841E-2</v>
      </c>
      <c r="V71" t="s">
        <v>160</v>
      </c>
      <c r="AK71">
        <v>2037</v>
      </c>
      <c r="AL71" t="s">
        <v>145</v>
      </c>
      <c r="AM71">
        <v>0.34579999999999994</v>
      </c>
      <c r="AN71" t="s">
        <v>218</v>
      </c>
    </row>
    <row r="72" spans="9:40" x14ac:dyDescent="0.45">
      <c r="I72" t="s">
        <v>182</v>
      </c>
      <c r="J72" t="s">
        <v>161</v>
      </c>
      <c r="K72">
        <v>0</v>
      </c>
      <c r="L72" t="s">
        <v>160</v>
      </c>
      <c r="N72" t="s">
        <v>192</v>
      </c>
      <c r="O72" t="s">
        <v>161</v>
      </c>
      <c r="P72">
        <v>1.229218137503988E-2</v>
      </c>
      <c r="Q72" t="s">
        <v>160</v>
      </c>
      <c r="S72" t="s">
        <v>202</v>
      </c>
      <c r="T72" t="s">
        <v>161</v>
      </c>
      <c r="U72">
        <v>1.229218137503988E-2</v>
      </c>
      <c r="V72" t="s">
        <v>160</v>
      </c>
      <c r="AK72">
        <v>2037</v>
      </c>
      <c r="AL72" t="s">
        <v>149</v>
      </c>
      <c r="AM72">
        <v>0.35049999999999998</v>
      </c>
      <c r="AN72" t="s">
        <v>218</v>
      </c>
    </row>
    <row r="73" spans="9:40" x14ac:dyDescent="0.45">
      <c r="I73" t="s">
        <v>182</v>
      </c>
      <c r="J73" t="s">
        <v>162</v>
      </c>
      <c r="K73">
        <v>8.5398407793452702E-2</v>
      </c>
      <c r="L73" t="s">
        <v>160</v>
      </c>
      <c r="N73" t="s">
        <v>192</v>
      </c>
      <c r="O73" t="s">
        <v>162</v>
      </c>
      <c r="P73">
        <v>0.10433131626679383</v>
      </c>
      <c r="Q73" t="s">
        <v>160</v>
      </c>
      <c r="S73" t="s">
        <v>202</v>
      </c>
      <c r="T73" t="s">
        <v>162</v>
      </c>
      <c r="U73">
        <v>0.10433131626679383</v>
      </c>
      <c r="V73" t="s">
        <v>160</v>
      </c>
      <c r="AK73">
        <v>2037</v>
      </c>
      <c r="AL73" t="s">
        <v>151</v>
      </c>
      <c r="AM73">
        <v>0.29757</v>
      </c>
      <c r="AN73" t="s">
        <v>218</v>
      </c>
    </row>
    <row r="74" spans="9:40" x14ac:dyDescent="0.45">
      <c r="I74" t="s">
        <v>182</v>
      </c>
      <c r="J74" t="s">
        <v>163</v>
      </c>
      <c r="K74">
        <v>2.5650423405872962E-3</v>
      </c>
      <c r="L74" t="s">
        <v>160</v>
      </c>
      <c r="N74" t="s">
        <v>192</v>
      </c>
      <c r="O74" t="s">
        <v>163</v>
      </c>
      <c r="P74">
        <v>5.2692795675209896E-2</v>
      </c>
      <c r="Q74" t="s">
        <v>160</v>
      </c>
      <c r="S74" t="s">
        <v>202</v>
      </c>
      <c r="T74" t="s">
        <v>163</v>
      </c>
      <c r="U74">
        <v>5.2692795675209896E-2</v>
      </c>
      <c r="V74" t="s">
        <v>160</v>
      </c>
      <c r="AK74">
        <v>2037</v>
      </c>
      <c r="AL74" t="s">
        <v>153</v>
      </c>
      <c r="AM74">
        <v>0.32829999999999998</v>
      </c>
      <c r="AN74" t="s">
        <v>218</v>
      </c>
    </row>
    <row r="75" spans="9:40" x14ac:dyDescent="0.45">
      <c r="I75" t="s">
        <v>182</v>
      </c>
      <c r="J75" t="s">
        <v>164</v>
      </c>
      <c r="K75">
        <v>0</v>
      </c>
      <c r="L75" t="s">
        <v>160</v>
      </c>
      <c r="N75" t="s">
        <v>192</v>
      </c>
      <c r="O75" t="s">
        <v>164</v>
      </c>
      <c r="P75">
        <v>7.406203042067518E-3</v>
      </c>
      <c r="Q75" t="s">
        <v>160</v>
      </c>
      <c r="S75" t="s">
        <v>202</v>
      </c>
      <c r="T75" t="s">
        <v>164</v>
      </c>
      <c r="U75">
        <v>7.406203042067518E-3</v>
      </c>
      <c r="V75" t="s">
        <v>160</v>
      </c>
      <c r="AK75">
        <v>2038</v>
      </c>
      <c r="AL75" t="s">
        <v>145</v>
      </c>
      <c r="AM75">
        <v>0.40466666666666667</v>
      </c>
      <c r="AN75" t="s">
        <v>218</v>
      </c>
    </row>
    <row r="76" spans="9:40" x14ac:dyDescent="0.45">
      <c r="I76" t="s">
        <v>182</v>
      </c>
      <c r="J76" t="s">
        <v>165</v>
      </c>
      <c r="K76">
        <v>0</v>
      </c>
      <c r="L76" t="s">
        <v>160</v>
      </c>
      <c r="N76" t="s">
        <v>192</v>
      </c>
      <c r="O76" t="s">
        <v>165</v>
      </c>
      <c r="P76">
        <v>1.8246956728213113E-2</v>
      </c>
      <c r="Q76" t="s">
        <v>160</v>
      </c>
      <c r="S76" t="s">
        <v>202</v>
      </c>
      <c r="T76" t="s">
        <v>165</v>
      </c>
      <c r="U76">
        <v>1.8246956728213113E-2</v>
      </c>
      <c r="V76" t="s">
        <v>160</v>
      </c>
      <c r="AK76">
        <v>2038</v>
      </c>
      <c r="AL76" t="s">
        <v>149</v>
      </c>
      <c r="AM76">
        <v>0.42409999999999998</v>
      </c>
      <c r="AN76" t="s">
        <v>218</v>
      </c>
    </row>
    <row r="77" spans="9:40" x14ac:dyDescent="0.45">
      <c r="I77" t="s">
        <v>182</v>
      </c>
      <c r="J77" t="s">
        <v>166</v>
      </c>
      <c r="K77">
        <v>0</v>
      </c>
      <c r="L77" t="s">
        <v>160</v>
      </c>
      <c r="N77" t="s">
        <v>192</v>
      </c>
      <c r="O77" t="s">
        <v>166</v>
      </c>
      <c r="P77">
        <v>3.5906525803744743E-3</v>
      </c>
      <c r="Q77" t="s">
        <v>160</v>
      </c>
      <c r="S77" t="s">
        <v>202</v>
      </c>
      <c r="T77" t="s">
        <v>166</v>
      </c>
      <c r="U77">
        <v>3.5906525803744743E-3</v>
      </c>
      <c r="V77" t="s">
        <v>160</v>
      </c>
      <c r="AK77">
        <v>2038</v>
      </c>
      <c r="AL77" t="s">
        <v>151</v>
      </c>
      <c r="AM77">
        <v>0.29813999999999996</v>
      </c>
      <c r="AN77" t="s">
        <v>218</v>
      </c>
    </row>
    <row r="78" spans="9:40" x14ac:dyDescent="0.45">
      <c r="I78" t="s">
        <v>182</v>
      </c>
      <c r="J78" t="s">
        <v>167</v>
      </c>
      <c r="K78">
        <v>3.6578912256695899E-2</v>
      </c>
      <c r="L78" t="s">
        <v>160</v>
      </c>
      <c r="N78" t="s">
        <v>192</v>
      </c>
      <c r="O78" t="s">
        <v>167</v>
      </c>
      <c r="P78">
        <v>5.3905355281898409E-2</v>
      </c>
      <c r="Q78" t="s">
        <v>160</v>
      </c>
      <c r="S78" t="s">
        <v>202</v>
      </c>
      <c r="T78" t="s">
        <v>167</v>
      </c>
      <c r="U78">
        <v>5.3905355281898409E-2</v>
      </c>
      <c r="V78" t="s">
        <v>160</v>
      </c>
      <c r="AK78">
        <v>2038</v>
      </c>
      <c r="AL78" t="s">
        <v>153</v>
      </c>
      <c r="AM78">
        <v>0.29320000000000002</v>
      </c>
      <c r="AN78" t="s">
        <v>218</v>
      </c>
    </row>
    <row r="79" spans="9:40" x14ac:dyDescent="0.45">
      <c r="I79" t="s">
        <v>182</v>
      </c>
      <c r="J79" t="s">
        <v>168</v>
      </c>
      <c r="K79">
        <v>3.4105233330218869E-3</v>
      </c>
      <c r="L79" t="s">
        <v>160</v>
      </c>
      <c r="N79" t="s">
        <v>192</v>
      </c>
      <c r="O79" t="s">
        <v>168</v>
      </c>
      <c r="P79">
        <v>3.007886958020484E-2</v>
      </c>
      <c r="Q79" t="s">
        <v>160</v>
      </c>
      <c r="S79" t="s">
        <v>202</v>
      </c>
      <c r="T79" t="s">
        <v>168</v>
      </c>
      <c r="U79">
        <v>3.007886958020484E-2</v>
      </c>
      <c r="V79" t="s">
        <v>160</v>
      </c>
      <c r="AK79">
        <v>2039</v>
      </c>
      <c r="AL79" t="s">
        <v>145</v>
      </c>
      <c r="AM79">
        <v>0.33453333333333335</v>
      </c>
      <c r="AN79" t="s">
        <v>218</v>
      </c>
    </row>
    <row r="80" spans="9:40" x14ac:dyDescent="0.45">
      <c r="I80" t="s">
        <v>182</v>
      </c>
      <c r="J80" t="s">
        <v>169</v>
      </c>
      <c r="K80">
        <v>0</v>
      </c>
      <c r="L80" t="s">
        <v>160</v>
      </c>
      <c r="N80" t="s">
        <v>192</v>
      </c>
      <c r="O80" t="s">
        <v>169</v>
      </c>
      <c r="P80">
        <v>3.7967997822500551E-3</v>
      </c>
      <c r="Q80" t="s">
        <v>160</v>
      </c>
      <c r="S80" t="s">
        <v>202</v>
      </c>
      <c r="T80" t="s">
        <v>169</v>
      </c>
      <c r="U80">
        <v>3.7967997822500551E-3</v>
      </c>
      <c r="V80" t="s">
        <v>160</v>
      </c>
      <c r="AK80">
        <v>2039</v>
      </c>
      <c r="AL80" t="s">
        <v>149</v>
      </c>
      <c r="AM80">
        <v>0.33660000000000001</v>
      </c>
      <c r="AN80" t="s">
        <v>218</v>
      </c>
    </row>
    <row r="81" spans="9:40" x14ac:dyDescent="0.45">
      <c r="I81" t="s">
        <v>182</v>
      </c>
      <c r="J81" t="s">
        <v>170</v>
      </c>
      <c r="K81">
        <v>0</v>
      </c>
      <c r="L81" t="s">
        <v>160</v>
      </c>
      <c r="N81" t="s">
        <v>192</v>
      </c>
      <c r="O81" t="s">
        <v>170</v>
      </c>
      <c r="P81">
        <v>0.11468168016004764</v>
      </c>
      <c r="Q81" t="s">
        <v>160</v>
      </c>
      <c r="S81" t="s">
        <v>202</v>
      </c>
      <c r="T81" t="s">
        <v>170</v>
      </c>
      <c r="U81">
        <v>0.11468168016004764</v>
      </c>
      <c r="V81" t="s">
        <v>160</v>
      </c>
      <c r="AK81">
        <v>2039</v>
      </c>
      <c r="AL81" t="s">
        <v>151</v>
      </c>
      <c r="AM81">
        <v>0.29422999999999999</v>
      </c>
      <c r="AN81" t="s">
        <v>218</v>
      </c>
    </row>
    <row r="82" spans="9:40" x14ac:dyDescent="0.45">
      <c r="I82" t="s">
        <v>182</v>
      </c>
      <c r="J82" t="s">
        <v>171</v>
      </c>
      <c r="K82">
        <v>6.646631009320364E-3</v>
      </c>
      <c r="L82" t="s">
        <v>160</v>
      </c>
      <c r="N82" t="s">
        <v>192</v>
      </c>
      <c r="O82" t="s">
        <v>171</v>
      </c>
      <c r="P82">
        <v>2.0682753443881527E-2</v>
      </c>
      <c r="Q82" t="s">
        <v>160</v>
      </c>
      <c r="S82" t="s">
        <v>202</v>
      </c>
      <c r="T82" t="s">
        <v>171</v>
      </c>
      <c r="U82">
        <v>2.0682753443881527E-2</v>
      </c>
      <c r="V82" t="s">
        <v>160</v>
      </c>
      <c r="AK82">
        <v>2039</v>
      </c>
      <c r="AL82" t="s">
        <v>153</v>
      </c>
      <c r="AM82">
        <v>0.23980000000000001</v>
      </c>
      <c r="AN82" t="s">
        <v>218</v>
      </c>
    </row>
    <row r="83" spans="9:40" x14ac:dyDescent="0.45">
      <c r="I83" t="s">
        <v>182</v>
      </c>
      <c r="J83" t="s">
        <v>172</v>
      </c>
      <c r="K83">
        <v>0.77811088852027932</v>
      </c>
      <c r="L83" t="s">
        <v>160</v>
      </c>
      <c r="N83" t="s">
        <v>192</v>
      </c>
      <c r="O83" t="s">
        <v>172</v>
      </c>
      <c r="P83">
        <v>0.29526691884504802</v>
      </c>
      <c r="Q83" t="s">
        <v>160</v>
      </c>
      <c r="S83" t="s">
        <v>202</v>
      </c>
      <c r="T83" t="s">
        <v>172</v>
      </c>
      <c r="U83">
        <v>0.29526691884504802</v>
      </c>
      <c r="V83" t="s">
        <v>160</v>
      </c>
      <c r="AK83">
        <v>2040</v>
      </c>
      <c r="AL83" t="s">
        <v>145</v>
      </c>
      <c r="AM83">
        <v>0.32953333333333334</v>
      </c>
      <c r="AN83" t="s">
        <v>218</v>
      </c>
    </row>
    <row r="84" spans="9:40" x14ac:dyDescent="0.45">
      <c r="I84" t="s">
        <v>182</v>
      </c>
      <c r="J84" t="s">
        <v>173</v>
      </c>
      <c r="K84">
        <v>8.1420755025127189E-2</v>
      </c>
      <c r="L84" t="s">
        <v>160</v>
      </c>
      <c r="N84" t="s">
        <v>192</v>
      </c>
      <c r="O84" t="s">
        <v>173</v>
      </c>
      <c r="P84">
        <v>0.19182128601141607</v>
      </c>
      <c r="Q84" t="s">
        <v>160</v>
      </c>
      <c r="S84" t="s">
        <v>202</v>
      </c>
      <c r="T84" t="s">
        <v>173</v>
      </c>
      <c r="U84">
        <v>0.19182128601141607</v>
      </c>
      <c r="V84" t="s">
        <v>160</v>
      </c>
      <c r="AK84">
        <v>2040</v>
      </c>
      <c r="AL84" t="s">
        <v>149</v>
      </c>
      <c r="AM84">
        <v>0.32500000000000001</v>
      </c>
      <c r="AN84" t="s">
        <v>218</v>
      </c>
    </row>
    <row r="85" spans="9:40" x14ac:dyDescent="0.45">
      <c r="I85" t="s">
        <v>182</v>
      </c>
      <c r="J85" t="s">
        <v>174</v>
      </c>
      <c r="K85">
        <v>0</v>
      </c>
      <c r="L85" t="s">
        <v>160</v>
      </c>
      <c r="N85" t="s">
        <v>192</v>
      </c>
      <c r="O85" t="s">
        <v>174</v>
      </c>
      <c r="P85">
        <v>2.2674116770979184E-2</v>
      </c>
      <c r="Q85" t="s">
        <v>160</v>
      </c>
      <c r="S85" t="s">
        <v>202</v>
      </c>
      <c r="T85" t="s">
        <v>174</v>
      </c>
      <c r="U85">
        <v>2.2674116770979184E-2</v>
      </c>
      <c r="V85" t="s">
        <v>160</v>
      </c>
      <c r="AK85">
        <v>2040</v>
      </c>
      <c r="AL85" t="s">
        <v>151</v>
      </c>
      <c r="AM85">
        <v>0.28486</v>
      </c>
      <c r="AN85" t="s">
        <v>218</v>
      </c>
    </row>
    <row r="86" spans="9:40" x14ac:dyDescent="0.45">
      <c r="I86" t="s">
        <v>182</v>
      </c>
      <c r="J86" t="s">
        <v>175</v>
      </c>
      <c r="K86">
        <v>0</v>
      </c>
      <c r="L86" t="s">
        <v>160</v>
      </c>
      <c r="N86" t="s">
        <v>192</v>
      </c>
      <c r="O86" t="s">
        <v>175</v>
      </c>
      <c r="P86">
        <v>4.0498806649868681E-3</v>
      </c>
      <c r="Q86" t="s">
        <v>160</v>
      </c>
      <c r="S86" t="s">
        <v>202</v>
      </c>
      <c r="T86" t="s">
        <v>175</v>
      </c>
      <c r="U86">
        <v>4.0498806649868681E-3</v>
      </c>
      <c r="V86" t="s">
        <v>160</v>
      </c>
      <c r="AK86">
        <v>2040</v>
      </c>
      <c r="AL86" t="s">
        <v>153</v>
      </c>
      <c r="AM86">
        <v>0.28520000000000001</v>
      </c>
      <c r="AN86" t="s">
        <v>218</v>
      </c>
    </row>
    <row r="87" spans="9:40" x14ac:dyDescent="0.45">
      <c r="I87" t="s">
        <v>182</v>
      </c>
      <c r="J87" t="s">
        <v>176</v>
      </c>
      <c r="K87">
        <v>0</v>
      </c>
      <c r="L87" t="s">
        <v>160</v>
      </c>
      <c r="N87" t="s">
        <v>192</v>
      </c>
      <c r="O87" t="s">
        <v>176</v>
      </c>
      <c r="P87">
        <v>6.6148587591389433E-4</v>
      </c>
      <c r="Q87" t="s">
        <v>160</v>
      </c>
      <c r="S87" t="s">
        <v>202</v>
      </c>
      <c r="T87" t="s">
        <v>176</v>
      </c>
      <c r="U87">
        <v>6.6148587591389433E-4</v>
      </c>
      <c r="V87" t="s">
        <v>160</v>
      </c>
      <c r="AK87">
        <v>2041</v>
      </c>
      <c r="AL87" t="s">
        <v>145</v>
      </c>
      <c r="AM87">
        <v>0.33916666666666667</v>
      </c>
      <c r="AN87" t="s">
        <v>218</v>
      </c>
    </row>
    <row r="88" spans="9:40" x14ac:dyDescent="0.45">
      <c r="I88" t="s">
        <v>182</v>
      </c>
      <c r="J88" t="s">
        <v>177</v>
      </c>
      <c r="K88">
        <v>5.8688397215124226E-3</v>
      </c>
      <c r="L88" t="s">
        <v>160</v>
      </c>
      <c r="N88" t="s">
        <v>192</v>
      </c>
      <c r="O88" t="s">
        <v>177</v>
      </c>
      <c r="P88">
        <v>8.1390942384434901E-3</v>
      </c>
      <c r="Q88" t="s">
        <v>160</v>
      </c>
      <c r="S88" t="s">
        <v>202</v>
      </c>
      <c r="T88" t="s">
        <v>177</v>
      </c>
      <c r="U88">
        <v>8.1390942384434901E-3</v>
      </c>
      <c r="V88" t="s">
        <v>160</v>
      </c>
      <c r="AK88">
        <v>2041</v>
      </c>
      <c r="AL88" t="s">
        <v>149</v>
      </c>
      <c r="AM88">
        <v>0.31119999999999998</v>
      </c>
      <c r="AN88" t="s">
        <v>218</v>
      </c>
    </row>
    <row r="89" spans="9:40" x14ac:dyDescent="0.45">
      <c r="I89" t="s">
        <v>182</v>
      </c>
      <c r="J89" t="s">
        <v>178</v>
      </c>
      <c r="K89">
        <v>0</v>
      </c>
      <c r="L89" t="s">
        <v>160</v>
      </c>
      <c r="N89" t="s">
        <v>192</v>
      </c>
      <c r="O89" t="s">
        <v>178</v>
      </c>
      <c r="P89">
        <v>6.509393782977344E-3</v>
      </c>
      <c r="Q89" t="s">
        <v>160</v>
      </c>
      <c r="S89" t="s">
        <v>202</v>
      </c>
      <c r="T89" t="s">
        <v>178</v>
      </c>
      <c r="U89">
        <v>6.509393782977344E-3</v>
      </c>
      <c r="V89" t="s">
        <v>160</v>
      </c>
      <c r="AK89">
        <v>2041</v>
      </c>
      <c r="AL89" t="s">
        <v>151</v>
      </c>
      <c r="AM89">
        <v>0.29729</v>
      </c>
      <c r="AN89" t="s">
        <v>218</v>
      </c>
    </row>
    <row r="90" spans="9:40" x14ac:dyDescent="0.45">
      <c r="I90" t="s">
        <v>182</v>
      </c>
      <c r="J90" t="s">
        <v>179</v>
      </c>
      <c r="K90">
        <v>0</v>
      </c>
      <c r="L90" t="s">
        <v>160</v>
      </c>
      <c r="N90" t="s">
        <v>192</v>
      </c>
      <c r="O90" t="s">
        <v>179</v>
      </c>
      <c r="P90">
        <v>9.5611802100749224E-4</v>
      </c>
      <c r="Q90" t="s">
        <v>160</v>
      </c>
      <c r="S90" t="s">
        <v>202</v>
      </c>
      <c r="T90" t="s">
        <v>179</v>
      </c>
      <c r="U90">
        <v>9.5611802100749224E-4</v>
      </c>
      <c r="V90" t="s">
        <v>160</v>
      </c>
      <c r="AK90">
        <v>2041</v>
      </c>
      <c r="AL90" t="s">
        <v>153</v>
      </c>
      <c r="AM90">
        <v>0.37759999999999999</v>
      </c>
      <c r="AN90" t="s">
        <v>218</v>
      </c>
    </row>
    <row r="91" spans="9:40" x14ac:dyDescent="0.45">
      <c r="I91" t="s">
        <v>183</v>
      </c>
      <c r="J91" t="s">
        <v>159</v>
      </c>
      <c r="K91">
        <v>0</v>
      </c>
      <c r="L91" t="s">
        <v>160</v>
      </c>
      <c r="N91" t="s">
        <v>193</v>
      </c>
      <c r="O91" t="s">
        <v>159</v>
      </c>
      <c r="P91">
        <v>4.8835019249688888E-2</v>
      </c>
      <c r="Q91" t="s">
        <v>160</v>
      </c>
      <c r="S91" t="s">
        <v>203</v>
      </c>
      <c r="T91" t="s">
        <v>159</v>
      </c>
      <c r="U91">
        <v>4.8835019249688888E-2</v>
      </c>
      <c r="V91" t="s">
        <v>160</v>
      </c>
      <c r="AK91">
        <v>2042</v>
      </c>
      <c r="AL91" t="s">
        <v>145</v>
      </c>
      <c r="AM91">
        <v>0.40050000000000002</v>
      </c>
      <c r="AN91" t="s">
        <v>218</v>
      </c>
    </row>
    <row r="92" spans="9:40" x14ac:dyDescent="0.45">
      <c r="I92" t="s">
        <v>183</v>
      </c>
      <c r="J92" t="s">
        <v>161</v>
      </c>
      <c r="K92">
        <v>0</v>
      </c>
      <c r="L92" t="s">
        <v>160</v>
      </c>
      <c r="N92" t="s">
        <v>193</v>
      </c>
      <c r="O92" t="s">
        <v>161</v>
      </c>
      <c r="P92">
        <v>1.0806926906424371E-2</v>
      </c>
      <c r="Q92" t="s">
        <v>160</v>
      </c>
      <c r="S92" t="s">
        <v>203</v>
      </c>
      <c r="T92" t="s">
        <v>161</v>
      </c>
      <c r="U92">
        <v>1.0806926906424371E-2</v>
      </c>
      <c r="V92" t="s">
        <v>160</v>
      </c>
      <c r="AK92">
        <v>2042</v>
      </c>
      <c r="AL92" t="s">
        <v>149</v>
      </c>
      <c r="AM92">
        <v>0.45419999999999999</v>
      </c>
      <c r="AN92" t="s">
        <v>218</v>
      </c>
    </row>
    <row r="93" spans="9:40" x14ac:dyDescent="0.45">
      <c r="I93" t="s">
        <v>183</v>
      </c>
      <c r="J93" t="s">
        <v>162</v>
      </c>
      <c r="K93">
        <v>8.4260614631882252E-2</v>
      </c>
      <c r="L93" t="s">
        <v>160</v>
      </c>
      <c r="N93" t="s">
        <v>193</v>
      </c>
      <c r="O93" t="s">
        <v>162</v>
      </c>
      <c r="P93">
        <v>9.8641609723234408E-2</v>
      </c>
      <c r="Q93" t="s">
        <v>160</v>
      </c>
      <c r="S93" t="s">
        <v>203</v>
      </c>
      <c r="T93" t="s">
        <v>162</v>
      </c>
      <c r="U93">
        <v>9.8641609723234408E-2</v>
      </c>
      <c r="V93" t="s">
        <v>160</v>
      </c>
      <c r="AK93">
        <v>2042</v>
      </c>
      <c r="AL93" t="s">
        <v>151</v>
      </c>
      <c r="AM93">
        <v>0.31294000000000005</v>
      </c>
      <c r="AN93" t="s">
        <v>218</v>
      </c>
    </row>
    <row r="94" spans="9:40" x14ac:dyDescent="0.45">
      <c r="I94" t="s">
        <v>183</v>
      </c>
      <c r="J94" t="s">
        <v>163</v>
      </c>
      <c r="K94">
        <v>2.4529142627105062E-3</v>
      </c>
      <c r="L94" t="s">
        <v>160</v>
      </c>
      <c r="N94" t="s">
        <v>193</v>
      </c>
      <c r="O94" t="s">
        <v>163</v>
      </c>
      <c r="P94">
        <v>5.9655145194983175E-2</v>
      </c>
      <c r="Q94" t="s">
        <v>160</v>
      </c>
      <c r="S94" t="s">
        <v>203</v>
      </c>
      <c r="T94" t="s">
        <v>163</v>
      </c>
      <c r="U94">
        <v>5.9655145194983175E-2</v>
      </c>
      <c r="V94" t="s">
        <v>160</v>
      </c>
      <c r="AK94">
        <v>2042</v>
      </c>
      <c r="AL94" t="s">
        <v>153</v>
      </c>
      <c r="AM94">
        <v>0.3322</v>
      </c>
      <c r="AN94" t="s">
        <v>218</v>
      </c>
    </row>
    <row r="95" spans="9:40" x14ac:dyDescent="0.45">
      <c r="I95" t="s">
        <v>183</v>
      </c>
      <c r="J95" t="s">
        <v>164</v>
      </c>
      <c r="K95">
        <v>0</v>
      </c>
      <c r="L95" t="s">
        <v>160</v>
      </c>
      <c r="N95" t="s">
        <v>193</v>
      </c>
      <c r="O95" t="s">
        <v>164</v>
      </c>
      <c r="P95">
        <v>8.7989867480882944E-3</v>
      </c>
      <c r="Q95" t="s">
        <v>160</v>
      </c>
      <c r="S95" t="s">
        <v>203</v>
      </c>
      <c r="T95" t="s">
        <v>164</v>
      </c>
      <c r="U95">
        <v>8.7989867480882944E-3</v>
      </c>
      <c r="V95" t="s">
        <v>160</v>
      </c>
      <c r="AK95">
        <v>2043</v>
      </c>
      <c r="AL95" t="s">
        <v>145</v>
      </c>
      <c r="AM95">
        <v>0.35776666666666662</v>
      </c>
      <c r="AN95" t="s">
        <v>218</v>
      </c>
    </row>
    <row r="96" spans="9:40" x14ac:dyDescent="0.45">
      <c r="I96" t="s">
        <v>183</v>
      </c>
      <c r="J96" t="s">
        <v>165</v>
      </c>
      <c r="K96">
        <v>0</v>
      </c>
      <c r="L96" t="s">
        <v>160</v>
      </c>
      <c r="N96" t="s">
        <v>193</v>
      </c>
      <c r="O96" t="s">
        <v>165</v>
      </c>
      <c r="P96">
        <v>1.1418247073781094E-2</v>
      </c>
      <c r="Q96" t="s">
        <v>160</v>
      </c>
      <c r="S96" t="s">
        <v>203</v>
      </c>
      <c r="T96" t="s">
        <v>165</v>
      </c>
      <c r="U96">
        <v>1.1418247073781094E-2</v>
      </c>
      <c r="V96" t="s">
        <v>160</v>
      </c>
      <c r="AK96">
        <v>2043</v>
      </c>
      <c r="AL96" t="s">
        <v>149</v>
      </c>
      <c r="AM96">
        <v>0.38269999999999998</v>
      </c>
      <c r="AN96" t="s">
        <v>218</v>
      </c>
    </row>
    <row r="97" spans="9:40" x14ac:dyDescent="0.45">
      <c r="I97" t="s">
        <v>183</v>
      </c>
      <c r="J97" t="s">
        <v>166</v>
      </c>
      <c r="K97">
        <v>0</v>
      </c>
      <c r="L97" t="s">
        <v>160</v>
      </c>
      <c r="N97" t="s">
        <v>193</v>
      </c>
      <c r="O97" t="s">
        <v>166</v>
      </c>
      <c r="P97">
        <v>2.1612110740030252E-3</v>
      </c>
      <c r="Q97" t="s">
        <v>160</v>
      </c>
      <c r="S97" t="s">
        <v>203</v>
      </c>
      <c r="T97" t="s">
        <v>166</v>
      </c>
      <c r="U97">
        <v>2.1612110740030252E-3</v>
      </c>
      <c r="V97" t="s">
        <v>160</v>
      </c>
      <c r="AK97">
        <v>2043</v>
      </c>
      <c r="AL97" t="s">
        <v>151</v>
      </c>
      <c r="AM97">
        <v>0.30152000000000001</v>
      </c>
      <c r="AN97" t="s">
        <v>218</v>
      </c>
    </row>
    <row r="98" spans="9:40" x14ac:dyDescent="0.45">
      <c r="I98" t="s">
        <v>183</v>
      </c>
      <c r="J98" t="s">
        <v>167</v>
      </c>
      <c r="K98">
        <v>3.7496955201309329E-2</v>
      </c>
      <c r="L98" t="s">
        <v>160</v>
      </c>
      <c r="N98" t="s">
        <v>193</v>
      </c>
      <c r="O98" t="s">
        <v>167</v>
      </c>
      <c r="P98">
        <v>2.9116636805631101E-2</v>
      </c>
      <c r="Q98" t="s">
        <v>160</v>
      </c>
      <c r="S98" t="s">
        <v>203</v>
      </c>
      <c r="T98" t="s">
        <v>167</v>
      </c>
      <c r="U98">
        <v>2.9116636805631101E-2</v>
      </c>
      <c r="V98" t="s">
        <v>160</v>
      </c>
      <c r="AK98">
        <v>2043</v>
      </c>
      <c r="AL98" t="s">
        <v>153</v>
      </c>
      <c r="AM98">
        <v>0.2258</v>
      </c>
      <c r="AN98" t="s">
        <v>218</v>
      </c>
    </row>
    <row r="99" spans="9:40" x14ac:dyDescent="0.45">
      <c r="I99" t="s">
        <v>183</v>
      </c>
      <c r="J99" t="s">
        <v>168</v>
      </c>
      <c r="K99">
        <v>3.1623103631219524E-3</v>
      </c>
      <c r="L99" t="s">
        <v>160</v>
      </c>
      <c r="N99" t="s">
        <v>193</v>
      </c>
      <c r="O99" t="s">
        <v>168</v>
      </c>
      <c r="P99">
        <v>1.9441586514216069E-2</v>
      </c>
      <c r="Q99" t="s">
        <v>160</v>
      </c>
      <c r="S99" t="s">
        <v>203</v>
      </c>
      <c r="T99" t="s">
        <v>168</v>
      </c>
      <c r="U99">
        <v>1.9441586514216069E-2</v>
      </c>
      <c r="V99" t="s">
        <v>160</v>
      </c>
      <c r="AK99">
        <v>2044</v>
      </c>
      <c r="AL99" t="s">
        <v>145</v>
      </c>
      <c r="AM99">
        <v>0.36853333333333332</v>
      </c>
      <c r="AN99" t="s">
        <v>218</v>
      </c>
    </row>
    <row r="100" spans="9:40" x14ac:dyDescent="0.45">
      <c r="I100" t="s">
        <v>183</v>
      </c>
      <c r="J100" t="s">
        <v>169</v>
      </c>
      <c r="K100">
        <v>0</v>
      </c>
      <c r="L100" t="s">
        <v>160</v>
      </c>
      <c r="N100" t="s">
        <v>193</v>
      </c>
      <c r="O100" t="s">
        <v>169</v>
      </c>
      <c r="P100">
        <v>2.6201445478587805E-3</v>
      </c>
      <c r="Q100" t="s">
        <v>160</v>
      </c>
      <c r="S100" t="s">
        <v>203</v>
      </c>
      <c r="T100" t="s">
        <v>169</v>
      </c>
      <c r="U100">
        <v>2.6201445478587805E-3</v>
      </c>
      <c r="V100" t="s">
        <v>160</v>
      </c>
      <c r="AK100">
        <v>2044</v>
      </c>
      <c r="AL100" t="s">
        <v>149</v>
      </c>
      <c r="AM100">
        <v>0.42199999999999999</v>
      </c>
      <c r="AN100" t="s">
        <v>218</v>
      </c>
    </row>
    <row r="101" spans="9:40" x14ac:dyDescent="0.45">
      <c r="I101" t="s">
        <v>183</v>
      </c>
      <c r="J101" t="s">
        <v>170</v>
      </c>
      <c r="K101">
        <v>0</v>
      </c>
      <c r="L101" t="s">
        <v>160</v>
      </c>
      <c r="N101" t="s">
        <v>193</v>
      </c>
      <c r="O101" t="s">
        <v>170</v>
      </c>
      <c r="P101">
        <v>0.14789228058284334</v>
      </c>
      <c r="Q101" t="s">
        <v>160</v>
      </c>
      <c r="S101" t="s">
        <v>203</v>
      </c>
      <c r="T101" t="s">
        <v>170</v>
      </c>
      <c r="U101">
        <v>0.14789228058284334</v>
      </c>
      <c r="V101" t="s">
        <v>160</v>
      </c>
      <c r="AK101">
        <v>2044</v>
      </c>
      <c r="AL101" t="s">
        <v>151</v>
      </c>
      <c r="AM101">
        <v>0.31284000000000001</v>
      </c>
      <c r="AN101" t="s">
        <v>218</v>
      </c>
    </row>
    <row r="102" spans="9:40" x14ac:dyDescent="0.45">
      <c r="I102" t="s">
        <v>183</v>
      </c>
      <c r="J102" t="s">
        <v>171</v>
      </c>
      <c r="K102">
        <v>7.3536392657358035E-3</v>
      </c>
      <c r="L102" t="s">
        <v>160</v>
      </c>
      <c r="N102" t="s">
        <v>193</v>
      </c>
      <c r="O102" t="s">
        <v>171</v>
      </c>
      <c r="P102">
        <v>2.6282541486966203E-2</v>
      </c>
      <c r="Q102" t="s">
        <v>160</v>
      </c>
      <c r="S102" t="s">
        <v>203</v>
      </c>
      <c r="T102" t="s">
        <v>171</v>
      </c>
      <c r="U102">
        <v>2.6282541486966203E-2</v>
      </c>
      <c r="V102" t="s">
        <v>160</v>
      </c>
      <c r="AK102">
        <v>2044</v>
      </c>
      <c r="AL102" t="s">
        <v>153</v>
      </c>
      <c r="AM102">
        <v>0.29480000000000001</v>
      </c>
      <c r="AN102" t="s">
        <v>218</v>
      </c>
    </row>
    <row r="103" spans="9:40" x14ac:dyDescent="0.45">
      <c r="I103" t="s">
        <v>183</v>
      </c>
      <c r="J103" t="s">
        <v>172</v>
      </c>
      <c r="K103">
        <v>0.78011445159427406</v>
      </c>
      <c r="L103" t="s">
        <v>160</v>
      </c>
      <c r="N103" t="s">
        <v>193</v>
      </c>
      <c r="O103" t="s">
        <v>172</v>
      </c>
      <c r="P103">
        <v>0.27773858881118857</v>
      </c>
      <c r="Q103" t="s">
        <v>160</v>
      </c>
      <c r="S103" t="s">
        <v>203</v>
      </c>
      <c r="T103" t="s">
        <v>172</v>
      </c>
      <c r="U103">
        <v>0.27773858881118857</v>
      </c>
      <c r="V103" t="s">
        <v>160</v>
      </c>
      <c r="AK103">
        <v>2045</v>
      </c>
      <c r="AL103" t="s">
        <v>145</v>
      </c>
      <c r="AM103">
        <v>0.3788333333333333</v>
      </c>
      <c r="AN103" t="s">
        <v>218</v>
      </c>
    </row>
    <row r="104" spans="9:40" x14ac:dyDescent="0.45">
      <c r="I104" t="s">
        <v>183</v>
      </c>
      <c r="J104" t="s">
        <v>173</v>
      </c>
      <c r="K104">
        <v>7.7120913087750445E-2</v>
      </c>
      <c r="L104" t="s">
        <v>160</v>
      </c>
      <c r="N104" t="s">
        <v>193</v>
      </c>
      <c r="O104" t="s">
        <v>173</v>
      </c>
      <c r="P104">
        <v>0.2102386522250772</v>
      </c>
      <c r="Q104" t="s">
        <v>160</v>
      </c>
      <c r="S104" t="s">
        <v>203</v>
      </c>
      <c r="T104" t="s">
        <v>173</v>
      </c>
      <c r="U104">
        <v>0.2102386522250772</v>
      </c>
      <c r="V104" t="s">
        <v>160</v>
      </c>
      <c r="AK104">
        <v>2045</v>
      </c>
      <c r="AL104" t="s">
        <v>149</v>
      </c>
      <c r="AM104">
        <v>0.3377</v>
      </c>
      <c r="AN104" t="s">
        <v>218</v>
      </c>
    </row>
    <row r="105" spans="9:40" x14ac:dyDescent="0.45">
      <c r="I105" t="s">
        <v>183</v>
      </c>
      <c r="J105" t="s">
        <v>174</v>
      </c>
      <c r="K105">
        <v>0</v>
      </c>
      <c r="L105" t="s">
        <v>160</v>
      </c>
      <c r="N105" t="s">
        <v>193</v>
      </c>
      <c r="O105" t="s">
        <v>174</v>
      </c>
      <c r="P105">
        <v>3.1373912397799519E-2</v>
      </c>
      <c r="Q105" t="s">
        <v>160</v>
      </c>
      <c r="S105" t="s">
        <v>203</v>
      </c>
      <c r="T105" t="s">
        <v>174</v>
      </c>
      <c r="U105">
        <v>3.1373912397799519E-2</v>
      </c>
      <c r="V105" t="s">
        <v>160</v>
      </c>
      <c r="AK105">
        <v>2045</v>
      </c>
      <c r="AL105" t="s">
        <v>151</v>
      </c>
      <c r="AM105">
        <v>0.29464999999999997</v>
      </c>
      <c r="AN105" t="s">
        <v>218</v>
      </c>
    </row>
    <row r="106" spans="9:40" x14ac:dyDescent="0.45">
      <c r="I106" t="s">
        <v>183</v>
      </c>
      <c r="J106" t="s">
        <v>175</v>
      </c>
      <c r="K106">
        <v>0</v>
      </c>
      <c r="L106" t="s">
        <v>160</v>
      </c>
      <c r="N106" t="s">
        <v>193</v>
      </c>
      <c r="O106" t="s">
        <v>175</v>
      </c>
      <c r="P106">
        <v>2.6854948432047531E-3</v>
      </c>
      <c r="Q106" t="s">
        <v>160</v>
      </c>
      <c r="S106" t="s">
        <v>203</v>
      </c>
      <c r="T106" t="s">
        <v>175</v>
      </c>
      <c r="U106">
        <v>2.6854948432047531E-3</v>
      </c>
      <c r="V106" t="s">
        <v>160</v>
      </c>
      <c r="AK106">
        <v>2045</v>
      </c>
      <c r="AL106" t="s">
        <v>153</v>
      </c>
      <c r="AM106">
        <v>0.31440000000000001</v>
      </c>
      <c r="AN106" t="s">
        <v>218</v>
      </c>
    </row>
    <row r="107" spans="9:40" x14ac:dyDescent="0.45">
      <c r="I107" t="s">
        <v>183</v>
      </c>
      <c r="J107" t="s">
        <v>176</v>
      </c>
      <c r="K107">
        <v>0</v>
      </c>
      <c r="L107" t="s">
        <v>160</v>
      </c>
      <c r="N107" t="s">
        <v>193</v>
      </c>
      <c r="O107" t="s">
        <v>176</v>
      </c>
      <c r="P107">
        <v>6.1805970879145545E-4</v>
      </c>
      <c r="Q107" t="s">
        <v>160</v>
      </c>
      <c r="S107" t="s">
        <v>203</v>
      </c>
      <c r="T107" t="s">
        <v>176</v>
      </c>
      <c r="U107">
        <v>6.1805970879145545E-4</v>
      </c>
      <c r="V107" t="s">
        <v>160</v>
      </c>
      <c r="AK107">
        <v>2046</v>
      </c>
      <c r="AL107" t="s">
        <v>145</v>
      </c>
      <c r="AM107">
        <v>0.33076666666666665</v>
      </c>
      <c r="AN107" t="s">
        <v>218</v>
      </c>
    </row>
    <row r="108" spans="9:40" x14ac:dyDescent="0.45">
      <c r="I108" t="s">
        <v>183</v>
      </c>
      <c r="J108" t="s">
        <v>177</v>
      </c>
      <c r="K108">
        <v>8.0382015932152166E-3</v>
      </c>
      <c r="L108" t="s">
        <v>160</v>
      </c>
      <c r="N108" t="s">
        <v>193</v>
      </c>
      <c r="O108" t="s">
        <v>177</v>
      </c>
      <c r="P108">
        <v>5.8577991165658398E-3</v>
      </c>
      <c r="Q108" t="s">
        <v>160</v>
      </c>
      <c r="S108" t="s">
        <v>203</v>
      </c>
      <c r="T108" t="s">
        <v>177</v>
      </c>
      <c r="U108">
        <v>5.8577991165658398E-3</v>
      </c>
      <c r="V108" t="s">
        <v>160</v>
      </c>
      <c r="AK108">
        <v>2046</v>
      </c>
      <c r="AL108" t="s">
        <v>149</v>
      </c>
      <c r="AM108">
        <v>0.40679999999999999</v>
      </c>
      <c r="AN108" t="s">
        <v>218</v>
      </c>
    </row>
    <row r="109" spans="9:40" x14ac:dyDescent="0.45">
      <c r="I109" t="s">
        <v>183</v>
      </c>
      <c r="J109" t="s">
        <v>178</v>
      </c>
      <c r="K109">
        <v>0</v>
      </c>
      <c r="L109" t="s">
        <v>160</v>
      </c>
      <c r="N109" t="s">
        <v>193</v>
      </c>
      <c r="O109" t="s">
        <v>178</v>
      </c>
      <c r="P109">
        <v>5.2121875659500647E-3</v>
      </c>
      <c r="Q109" t="s">
        <v>160</v>
      </c>
      <c r="S109" t="s">
        <v>203</v>
      </c>
      <c r="T109" t="s">
        <v>178</v>
      </c>
      <c r="U109">
        <v>5.2121875659500647E-3</v>
      </c>
      <c r="V109" t="s">
        <v>160</v>
      </c>
      <c r="AK109">
        <v>2046</v>
      </c>
      <c r="AL109" t="s">
        <v>151</v>
      </c>
      <c r="AM109">
        <v>0.29918000000000006</v>
      </c>
      <c r="AN109" t="s">
        <v>218</v>
      </c>
    </row>
    <row r="110" spans="9:40" x14ac:dyDescent="0.45">
      <c r="I110" t="s">
        <v>183</v>
      </c>
      <c r="J110" t="s">
        <v>179</v>
      </c>
      <c r="K110">
        <v>0</v>
      </c>
      <c r="L110" t="s">
        <v>160</v>
      </c>
      <c r="N110" t="s">
        <v>193</v>
      </c>
      <c r="O110" t="s">
        <v>179</v>
      </c>
      <c r="P110">
        <v>6.0496942370439873E-4</v>
      </c>
      <c r="Q110" t="s">
        <v>160</v>
      </c>
      <c r="S110" t="s">
        <v>203</v>
      </c>
      <c r="T110" t="s">
        <v>179</v>
      </c>
      <c r="U110">
        <v>6.0496942370439873E-4</v>
      </c>
      <c r="V110" t="s">
        <v>160</v>
      </c>
      <c r="AK110">
        <v>2046</v>
      </c>
      <c r="AL110" t="s">
        <v>153</v>
      </c>
      <c r="AM110">
        <v>0.33539999999999998</v>
      </c>
      <c r="AN110" t="s">
        <v>218</v>
      </c>
    </row>
    <row r="111" spans="9:40" x14ac:dyDescent="0.45">
      <c r="I111" t="s">
        <v>184</v>
      </c>
      <c r="J111" t="s">
        <v>159</v>
      </c>
      <c r="K111">
        <v>0</v>
      </c>
      <c r="L111" t="s">
        <v>160</v>
      </c>
      <c r="N111" t="s">
        <v>194</v>
      </c>
      <c r="O111" t="s">
        <v>159</v>
      </c>
      <c r="P111">
        <v>4.5653910572769942E-2</v>
      </c>
      <c r="Q111" t="s">
        <v>160</v>
      </c>
      <c r="S111" t="s">
        <v>204</v>
      </c>
      <c r="T111" t="s">
        <v>159</v>
      </c>
      <c r="U111">
        <v>4.5653910572769942E-2</v>
      </c>
      <c r="V111" t="s">
        <v>160</v>
      </c>
      <c r="AK111">
        <v>2047</v>
      </c>
      <c r="AL111" t="s">
        <v>145</v>
      </c>
      <c r="AM111">
        <v>0.35780000000000006</v>
      </c>
      <c r="AN111" t="s">
        <v>218</v>
      </c>
    </row>
    <row r="112" spans="9:40" x14ac:dyDescent="0.45">
      <c r="I112" t="s">
        <v>184</v>
      </c>
      <c r="J112" t="s">
        <v>161</v>
      </c>
      <c r="K112">
        <v>0</v>
      </c>
      <c r="L112" t="s">
        <v>160</v>
      </c>
      <c r="N112" t="s">
        <v>194</v>
      </c>
      <c r="O112" t="s">
        <v>161</v>
      </c>
      <c r="P112">
        <v>1.0427037711457268E-2</v>
      </c>
      <c r="Q112" t="s">
        <v>160</v>
      </c>
      <c r="S112" t="s">
        <v>204</v>
      </c>
      <c r="T112" t="s">
        <v>161</v>
      </c>
      <c r="U112">
        <v>1.0427037711457268E-2</v>
      </c>
      <c r="V112" t="s">
        <v>160</v>
      </c>
      <c r="AK112">
        <v>2047</v>
      </c>
      <c r="AL112" t="s">
        <v>149</v>
      </c>
      <c r="AM112">
        <v>0.39140000000000003</v>
      </c>
      <c r="AN112" t="s">
        <v>218</v>
      </c>
    </row>
    <row r="113" spans="9:40" x14ac:dyDescent="0.45">
      <c r="I113" t="s">
        <v>184</v>
      </c>
      <c r="J113" t="s">
        <v>162</v>
      </c>
      <c r="K113">
        <v>8.01643195251725E-2</v>
      </c>
      <c r="L113" t="s">
        <v>160</v>
      </c>
      <c r="N113" t="s">
        <v>194</v>
      </c>
      <c r="O113" t="s">
        <v>162</v>
      </c>
      <c r="P113">
        <v>9.547742914749828E-2</v>
      </c>
      <c r="Q113" t="s">
        <v>160</v>
      </c>
      <c r="S113" t="s">
        <v>204</v>
      </c>
      <c r="T113" t="s">
        <v>162</v>
      </c>
      <c r="U113">
        <v>9.547742914749828E-2</v>
      </c>
      <c r="V113" t="s">
        <v>160</v>
      </c>
      <c r="AK113">
        <v>2047</v>
      </c>
      <c r="AL113" t="s">
        <v>151</v>
      </c>
      <c r="AM113">
        <v>0.30525999999999998</v>
      </c>
      <c r="AN113" t="s">
        <v>218</v>
      </c>
    </row>
    <row r="114" spans="9:40" x14ac:dyDescent="0.45">
      <c r="I114" t="s">
        <v>184</v>
      </c>
      <c r="J114" t="s">
        <v>163</v>
      </c>
      <c r="K114">
        <v>2.7266823664138106E-3</v>
      </c>
      <c r="L114" t="s">
        <v>160</v>
      </c>
      <c r="N114" t="s">
        <v>194</v>
      </c>
      <c r="O114" t="s">
        <v>163</v>
      </c>
      <c r="P114">
        <v>4.9845014864635918E-2</v>
      </c>
      <c r="Q114" t="s">
        <v>160</v>
      </c>
      <c r="S114" t="s">
        <v>204</v>
      </c>
      <c r="T114" t="s">
        <v>163</v>
      </c>
      <c r="U114">
        <v>4.9845014864635918E-2</v>
      </c>
      <c r="V114" t="s">
        <v>160</v>
      </c>
      <c r="AK114">
        <v>2047</v>
      </c>
      <c r="AL114" t="s">
        <v>153</v>
      </c>
      <c r="AM114">
        <v>0.24010000000000001</v>
      </c>
      <c r="AN114" t="s">
        <v>218</v>
      </c>
    </row>
    <row r="115" spans="9:40" x14ac:dyDescent="0.45">
      <c r="I115" t="s">
        <v>184</v>
      </c>
      <c r="J115" t="s">
        <v>164</v>
      </c>
      <c r="K115">
        <v>0</v>
      </c>
      <c r="L115" t="s">
        <v>160</v>
      </c>
      <c r="N115" t="s">
        <v>194</v>
      </c>
      <c r="O115" t="s">
        <v>164</v>
      </c>
      <c r="P115">
        <v>7.580309348925127E-3</v>
      </c>
      <c r="Q115" t="s">
        <v>160</v>
      </c>
      <c r="S115" t="s">
        <v>204</v>
      </c>
      <c r="T115" t="s">
        <v>164</v>
      </c>
      <c r="U115">
        <v>7.580309348925127E-3</v>
      </c>
      <c r="V115" t="s">
        <v>160</v>
      </c>
      <c r="AK115">
        <v>2048</v>
      </c>
      <c r="AL115" t="s">
        <v>145</v>
      </c>
      <c r="AM115">
        <v>0.33396666666666669</v>
      </c>
      <c r="AN115" t="s">
        <v>218</v>
      </c>
    </row>
    <row r="116" spans="9:40" x14ac:dyDescent="0.45">
      <c r="I116" t="s">
        <v>184</v>
      </c>
      <c r="J116" t="s">
        <v>165</v>
      </c>
      <c r="K116">
        <v>0</v>
      </c>
      <c r="L116" t="s">
        <v>160</v>
      </c>
      <c r="N116" t="s">
        <v>194</v>
      </c>
      <c r="O116" t="s">
        <v>165</v>
      </c>
      <c r="P116">
        <v>2.0711331767795261E-2</v>
      </c>
      <c r="Q116" t="s">
        <v>160</v>
      </c>
      <c r="S116" t="s">
        <v>204</v>
      </c>
      <c r="T116" t="s">
        <v>165</v>
      </c>
      <c r="U116">
        <v>2.0711331767795261E-2</v>
      </c>
      <c r="V116" t="s">
        <v>160</v>
      </c>
      <c r="AK116">
        <v>2048</v>
      </c>
      <c r="AL116" t="s">
        <v>149</v>
      </c>
      <c r="AM116">
        <v>0.37459999999999999</v>
      </c>
      <c r="AN116" t="s">
        <v>218</v>
      </c>
    </row>
    <row r="117" spans="9:40" x14ac:dyDescent="0.45">
      <c r="I117" t="s">
        <v>184</v>
      </c>
      <c r="J117" t="s">
        <v>166</v>
      </c>
      <c r="K117">
        <v>0</v>
      </c>
      <c r="L117" t="s">
        <v>160</v>
      </c>
      <c r="N117" t="s">
        <v>194</v>
      </c>
      <c r="O117" t="s">
        <v>166</v>
      </c>
      <c r="P117">
        <v>3.8302970164901546E-3</v>
      </c>
      <c r="Q117" t="s">
        <v>160</v>
      </c>
      <c r="S117" t="s">
        <v>204</v>
      </c>
      <c r="T117" t="s">
        <v>166</v>
      </c>
      <c r="U117">
        <v>3.8302970164901546E-3</v>
      </c>
      <c r="V117" t="s">
        <v>160</v>
      </c>
      <c r="AK117">
        <v>2048</v>
      </c>
      <c r="AL117" t="s">
        <v>151</v>
      </c>
      <c r="AM117">
        <v>0.28778999999999999</v>
      </c>
      <c r="AN117" t="s">
        <v>218</v>
      </c>
    </row>
    <row r="118" spans="9:40" x14ac:dyDescent="0.45">
      <c r="I118" t="s">
        <v>184</v>
      </c>
      <c r="J118" t="s">
        <v>167</v>
      </c>
      <c r="K118">
        <v>4.0058837740745347E-2</v>
      </c>
      <c r="L118" t="s">
        <v>160</v>
      </c>
      <c r="N118" t="s">
        <v>194</v>
      </c>
      <c r="O118" t="s">
        <v>167</v>
      </c>
      <c r="P118">
        <v>5.7409868042795117E-2</v>
      </c>
      <c r="Q118" t="s">
        <v>160</v>
      </c>
      <c r="S118" t="s">
        <v>204</v>
      </c>
      <c r="T118" t="s">
        <v>167</v>
      </c>
      <c r="U118">
        <v>5.7409868042795117E-2</v>
      </c>
      <c r="V118" t="s">
        <v>160</v>
      </c>
      <c r="AK118">
        <v>2048</v>
      </c>
      <c r="AL118" t="s">
        <v>153</v>
      </c>
      <c r="AM118">
        <v>0.28360000000000002</v>
      </c>
      <c r="AN118" t="s">
        <v>218</v>
      </c>
    </row>
    <row r="119" spans="9:40" x14ac:dyDescent="0.45">
      <c r="I119" t="s">
        <v>184</v>
      </c>
      <c r="J119" t="s">
        <v>168</v>
      </c>
      <c r="K119">
        <v>3.0141974184474821E-3</v>
      </c>
      <c r="L119" t="s">
        <v>160</v>
      </c>
      <c r="N119" t="s">
        <v>194</v>
      </c>
      <c r="O119" t="s">
        <v>168</v>
      </c>
      <c r="P119">
        <v>3.2365345586724652E-2</v>
      </c>
      <c r="Q119" t="s">
        <v>160</v>
      </c>
      <c r="S119" t="s">
        <v>204</v>
      </c>
      <c r="T119" t="s">
        <v>168</v>
      </c>
      <c r="U119">
        <v>3.2365345586724652E-2</v>
      </c>
      <c r="V119" t="s">
        <v>160</v>
      </c>
      <c r="AK119">
        <v>2049</v>
      </c>
      <c r="AL119" t="s">
        <v>145</v>
      </c>
      <c r="AM119">
        <v>0.31613333333333332</v>
      </c>
      <c r="AN119" t="s">
        <v>218</v>
      </c>
    </row>
    <row r="120" spans="9:40" x14ac:dyDescent="0.45">
      <c r="I120" t="s">
        <v>184</v>
      </c>
      <c r="J120" t="s">
        <v>169</v>
      </c>
      <c r="K120">
        <v>0</v>
      </c>
      <c r="L120" t="s">
        <v>160</v>
      </c>
      <c r="N120" t="s">
        <v>194</v>
      </c>
      <c r="O120" t="s">
        <v>169</v>
      </c>
      <c r="P120">
        <v>4.3431456242320919E-3</v>
      </c>
      <c r="Q120" t="s">
        <v>160</v>
      </c>
      <c r="S120" t="s">
        <v>204</v>
      </c>
      <c r="T120" t="s">
        <v>169</v>
      </c>
      <c r="U120">
        <v>4.3431456242320919E-3</v>
      </c>
      <c r="V120" t="s">
        <v>160</v>
      </c>
      <c r="AK120">
        <v>2049</v>
      </c>
      <c r="AL120" t="s">
        <v>149</v>
      </c>
      <c r="AM120">
        <v>0.3553</v>
      </c>
      <c r="AN120" t="s">
        <v>218</v>
      </c>
    </row>
    <row r="121" spans="9:40" x14ac:dyDescent="0.45">
      <c r="I121" t="s">
        <v>184</v>
      </c>
      <c r="J121" t="s">
        <v>170</v>
      </c>
      <c r="K121">
        <v>0</v>
      </c>
      <c r="L121" t="s">
        <v>160</v>
      </c>
      <c r="N121" t="s">
        <v>194</v>
      </c>
      <c r="O121" t="s">
        <v>170</v>
      </c>
      <c r="P121">
        <v>0.11127751467178706</v>
      </c>
      <c r="Q121" t="s">
        <v>160</v>
      </c>
      <c r="S121" t="s">
        <v>204</v>
      </c>
      <c r="T121" t="s">
        <v>170</v>
      </c>
      <c r="U121">
        <v>0.11127751467178706</v>
      </c>
      <c r="V121" t="s">
        <v>160</v>
      </c>
      <c r="AK121">
        <v>2049</v>
      </c>
      <c r="AL121" t="s">
        <v>151</v>
      </c>
      <c r="AM121">
        <v>0.3014</v>
      </c>
      <c r="AN121" t="s">
        <v>218</v>
      </c>
    </row>
    <row r="122" spans="9:40" x14ac:dyDescent="0.45">
      <c r="I122" t="s">
        <v>184</v>
      </c>
      <c r="J122" t="s">
        <v>171</v>
      </c>
      <c r="K122">
        <v>4.9465239123663738E-3</v>
      </c>
      <c r="L122" t="s">
        <v>160</v>
      </c>
      <c r="N122" t="s">
        <v>194</v>
      </c>
      <c r="O122" t="s">
        <v>171</v>
      </c>
      <c r="P122">
        <v>2.2248958560788658E-2</v>
      </c>
      <c r="Q122" t="s">
        <v>160</v>
      </c>
      <c r="S122" t="s">
        <v>204</v>
      </c>
      <c r="T122" t="s">
        <v>171</v>
      </c>
      <c r="U122">
        <v>2.2248958560788658E-2</v>
      </c>
      <c r="V122" t="s">
        <v>160</v>
      </c>
      <c r="AK122">
        <v>2049</v>
      </c>
      <c r="AL122" t="s">
        <v>153</v>
      </c>
      <c r="AM122">
        <v>0.30430000000000001</v>
      </c>
      <c r="AN122" t="s">
        <v>218</v>
      </c>
    </row>
    <row r="123" spans="9:40" x14ac:dyDescent="0.45">
      <c r="I123" t="s">
        <v>184</v>
      </c>
      <c r="J123" t="s">
        <v>172</v>
      </c>
      <c r="K123">
        <v>0.77008453284093015</v>
      </c>
      <c r="L123" t="s">
        <v>160</v>
      </c>
      <c r="N123" t="s">
        <v>194</v>
      </c>
      <c r="O123" t="s">
        <v>172</v>
      </c>
      <c r="P123">
        <v>0.28858893375662559</v>
      </c>
      <c r="Q123" t="s">
        <v>160</v>
      </c>
      <c r="S123" t="s">
        <v>204</v>
      </c>
      <c r="T123" t="s">
        <v>172</v>
      </c>
      <c r="U123">
        <v>0.28858893375662559</v>
      </c>
      <c r="V123" t="s">
        <v>160</v>
      </c>
      <c r="AK123">
        <v>2050</v>
      </c>
      <c r="AL123" t="s">
        <v>145</v>
      </c>
      <c r="AM123">
        <v>0.33166666666666661</v>
      </c>
      <c r="AN123" t="s">
        <v>218</v>
      </c>
    </row>
    <row r="124" spans="9:40" x14ac:dyDescent="0.45">
      <c r="I124" t="s">
        <v>184</v>
      </c>
      <c r="J124" t="s">
        <v>173</v>
      </c>
      <c r="K124">
        <v>9.20884154122769E-2</v>
      </c>
      <c r="L124" t="s">
        <v>160</v>
      </c>
      <c r="N124" t="s">
        <v>194</v>
      </c>
      <c r="O124" t="s">
        <v>173</v>
      </c>
      <c r="P124">
        <v>0.17739565475646937</v>
      </c>
      <c r="Q124" t="s">
        <v>160</v>
      </c>
      <c r="S124" t="s">
        <v>204</v>
      </c>
      <c r="T124" t="s">
        <v>173</v>
      </c>
      <c r="U124">
        <v>0.17739565475646937</v>
      </c>
      <c r="V124" t="s">
        <v>160</v>
      </c>
      <c r="AK124">
        <v>2050</v>
      </c>
      <c r="AL124" t="s">
        <v>149</v>
      </c>
      <c r="AM124">
        <v>0.30470000000000003</v>
      </c>
      <c r="AN124" t="s">
        <v>218</v>
      </c>
    </row>
    <row r="125" spans="9:40" x14ac:dyDescent="0.45">
      <c r="I125" t="s">
        <v>184</v>
      </c>
      <c r="J125" t="s">
        <v>174</v>
      </c>
      <c r="K125">
        <v>0</v>
      </c>
      <c r="L125" t="s">
        <v>160</v>
      </c>
      <c r="N125" t="s">
        <v>194</v>
      </c>
      <c r="O125" t="s">
        <v>174</v>
      </c>
      <c r="P125">
        <v>2.2109534535719292E-2</v>
      </c>
      <c r="Q125" t="s">
        <v>160</v>
      </c>
      <c r="S125" t="s">
        <v>204</v>
      </c>
      <c r="T125" t="s">
        <v>174</v>
      </c>
      <c r="U125">
        <v>2.2109534535719292E-2</v>
      </c>
      <c r="V125" t="s">
        <v>160</v>
      </c>
      <c r="AK125">
        <v>2050</v>
      </c>
      <c r="AL125" t="s">
        <v>151</v>
      </c>
      <c r="AM125">
        <v>0.24899999999999997</v>
      </c>
      <c r="AN125" t="s">
        <v>218</v>
      </c>
    </row>
    <row r="126" spans="9:40" x14ac:dyDescent="0.45">
      <c r="I126" t="s">
        <v>184</v>
      </c>
      <c r="J126" t="s">
        <v>175</v>
      </c>
      <c r="K126">
        <v>0</v>
      </c>
      <c r="L126" t="s">
        <v>160</v>
      </c>
      <c r="N126" t="s">
        <v>194</v>
      </c>
      <c r="O126" t="s">
        <v>175</v>
      </c>
      <c r="P126">
        <v>1.1143821919017922E-2</v>
      </c>
      <c r="Q126" t="s">
        <v>160</v>
      </c>
      <c r="S126" t="s">
        <v>204</v>
      </c>
      <c r="T126" t="s">
        <v>175</v>
      </c>
      <c r="U126">
        <v>1.1143821919017922E-2</v>
      </c>
      <c r="V126" t="s">
        <v>160</v>
      </c>
      <c r="AK126">
        <v>2050</v>
      </c>
      <c r="AL126" t="s">
        <v>153</v>
      </c>
      <c r="AM126">
        <v>0.25629999999999997</v>
      </c>
      <c r="AN126" t="s">
        <v>218</v>
      </c>
    </row>
    <row r="127" spans="9:40" x14ac:dyDescent="0.45">
      <c r="I127" t="s">
        <v>184</v>
      </c>
      <c r="J127" t="s">
        <v>176</v>
      </c>
      <c r="K127">
        <v>0</v>
      </c>
      <c r="L127" t="s">
        <v>160</v>
      </c>
      <c r="N127" t="s">
        <v>194</v>
      </c>
      <c r="O127" t="s">
        <v>176</v>
      </c>
      <c r="P127">
        <v>1.9342411475700876E-3</v>
      </c>
      <c r="Q127" t="s">
        <v>160</v>
      </c>
      <c r="S127" t="s">
        <v>204</v>
      </c>
      <c r="T127" t="s">
        <v>176</v>
      </c>
      <c r="U127">
        <v>1.9342411475700876E-3</v>
      </c>
      <c r="V127" t="s">
        <v>160</v>
      </c>
    </row>
    <row r="128" spans="9:40" x14ac:dyDescent="0.45">
      <c r="I128" t="s">
        <v>184</v>
      </c>
      <c r="J128" t="s">
        <v>177</v>
      </c>
      <c r="K128">
        <v>6.916490783647756E-3</v>
      </c>
      <c r="L128" t="s">
        <v>160</v>
      </c>
      <c r="N128" t="s">
        <v>194</v>
      </c>
      <c r="O128" t="s">
        <v>177</v>
      </c>
      <c r="P128">
        <v>2.1655231417284704E-2</v>
      </c>
      <c r="Q128" t="s">
        <v>160</v>
      </c>
      <c r="S128" t="s">
        <v>204</v>
      </c>
      <c r="T128" t="s">
        <v>177</v>
      </c>
      <c r="U128">
        <v>2.1655231417284704E-2</v>
      </c>
      <c r="V128" t="s">
        <v>160</v>
      </c>
    </row>
    <row r="129" spans="9:22" x14ac:dyDescent="0.45">
      <c r="I129" t="s">
        <v>184</v>
      </c>
      <c r="J129" t="s">
        <v>178</v>
      </c>
      <c r="K129">
        <v>0</v>
      </c>
      <c r="L129" t="s">
        <v>160</v>
      </c>
      <c r="N129" t="s">
        <v>194</v>
      </c>
      <c r="O129" t="s">
        <v>178</v>
      </c>
      <c r="P129">
        <v>1.3679425416056273E-2</v>
      </c>
      <c r="Q129" t="s">
        <v>160</v>
      </c>
      <c r="S129" t="s">
        <v>204</v>
      </c>
      <c r="T129" t="s">
        <v>178</v>
      </c>
      <c r="U129">
        <v>1.3679425416056273E-2</v>
      </c>
      <c r="V129" t="s">
        <v>160</v>
      </c>
    </row>
    <row r="130" spans="9:22" x14ac:dyDescent="0.45">
      <c r="I130" t="s">
        <v>184</v>
      </c>
      <c r="J130" t="s">
        <v>179</v>
      </c>
      <c r="K130">
        <v>0</v>
      </c>
      <c r="L130" t="s">
        <v>160</v>
      </c>
      <c r="N130" t="s">
        <v>194</v>
      </c>
      <c r="O130" t="s">
        <v>179</v>
      </c>
      <c r="P130">
        <v>2.3229941353541698E-3</v>
      </c>
      <c r="Q130" t="s">
        <v>160</v>
      </c>
      <c r="S130" t="s">
        <v>204</v>
      </c>
      <c r="T130" t="s">
        <v>179</v>
      </c>
      <c r="U130">
        <v>2.3229941353541698E-3</v>
      </c>
      <c r="V130" t="s">
        <v>160</v>
      </c>
    </row>
    <row r="131" spans="9:22" x14ac:dyDescent="0.45">
      <c r="I131" t="s">
        <v>185</v>
      </c>
      <c r="J131" t="s">
        <v>159</v>
      </c>
      <c r="K131">
        <v>0</v>
      </c>
      <c r="L131" t="s">
        <v>160</v>
      </c>
      <c r="N131" t="s">
        <v>195</v>
      </c>
      <c r="O131" t="s">
        <v>159</v>
      </c>
      <c r="P131">
        <v>4.6302765885617707E-2</v>
      </c>
      <c r="Q131" t="s">
        <v>160</v>
      </c>
      <c r="S131" t="s">
        <v>205</v>
      </c>
      <c r="T131" t="s">
        <v>159</v>
      </c>
      <c r="U131">
        <v>4.6302765885617707E-2</v>
      </c>
      <c r="V131" t="s">
        <v>160</v>
      </c>
    </row>
    <row r="132" spans="9:22" x14ac:dyDescent="0.45">
      <c r="I132" t="s">
        <v>185</v>
      </c>
      <c r="J132" t="s">
        <v>161</v>
      </c>
      <c r="K132">
        <v>0</v>
      </c>
      <c r="L132" t="s">
        <v>160</v>
      </c>
      <c r="N132" t="s">
        <v>195</v>
      </c>
      <c r="O132" t="s">
        <v>161</v>
      </c>
      <c r="P132">
        <v>8.8779640842920962E-3</v>
      </c>
      <c r="Q132" t="s">
        <v>160</v>
      </c>
      <c r="S132" t="s">
        <v>205</v>
      </c>
      <c r="T132" t="s">
        <v>161</v>
      </c>
      <c r="U132">
        <v>8.8779640842920962E-3</v>
      </c>
      <c r="V132" t="s">
        <v>160</v>
      </c>
    </row>
    <row r="133" spans="9:22" x14ac:dyDescent="0.45">
      <c r="I133" t="s">
        <v>185</v>
      </c>
      <c r="J133" t="s">
        <v>162</v>
      </c>
      <c r="K133">
        <v>7.829348637532392E-2</v>
      </c>
      <c r="L133" t="s">
        <v>160</v>
      </c>
      <c r="N133" t="s">
        <v>195</v>
      </c>
      <c r="O133" t="s">
        <v>162</v>
      </c>
      <c r="P133">
        <v>8.5196865287787901E-2</v>
      </c>
      <c r="Q133" t="s">
        <v>160</v>
      </c>
      <c r="S133" t="s">
        <v>205</v>
      </c>
      <c r="T133" t="s">
        <v>162</v>
      </c>
      <c r="U133">
        <v>8.5196865287787901E-2</v>
      </c>
      <c r="V133" t="s">
        <v>160</v>
      </c>
    </row>
    <row r="134" spans="9:22" x14ac:dyDescent="0.45">
      <c r="I134" t="s">
        <v>185</v>
      </c>
      <c r="J134" t="s">
        <v>163</v>
      </c>
      <c r="K134">
        <v>2.5442916409049482E-3</v>
      </c>
      <c r="L134" t="s">
        <v>160</v>
      </c>
      <c r="N134" t="s">
        <v>195</v>
      </c>
      <c r="O134" t="s">
        <v>163</v>
      </c>
      <c r="P134">
        <v>5.017571835371494E-2</v>
      </c>
      <c r="Q134" t="s">
        <v>160</v>
      </c>
      <c r="S134" t="s">
        <v>205</v>
      </c>
      <c r="T134" t="s">
        <v>163</v>
      </c>
      <c r="U134">
        <v>5.017571835371494E-2</v>
      </c>
      <c r="V134" t="s">
        <v>160</v>
      </c>
    </row>
    <row r="135" spans="9:22" x14ac:dyDescent="0.45">
      <c r="I135" t="s">
        <v>185</v>
      </c>
      <c r="J135" t="s">
        <v>164</v>
      </c>
      <c r="K135">
        <v>0</v>
      </c>
      <c r="L135" t="s">
        <v>160</v>
      </c>
      <c r="N135" t="s">
        <v>195</v>
      </c>
      <c r="O135" t="s">
        <v>164</v>
      </c>
      <c r="P135">
        <v>8.5302299358310778E-3</v>
      </c>
      <c r="Q135" t="s">
        <v>160</v>
      </c>
      <c r="S135" t="s">
        <v>205</v>
      </c>
      <c r="T135" t="s">
        <v>164</v>
      </c>
      <c r="U135">
        <v>8.5302299358310778E-3</v>
      </c>
      <c r="V135" t="s">
        <v>160</v>
      </c>
    </row>
    <row r="136" spans="9:22" x14ac:dyDescent="0.45">
      <c r="I136" t="s">
        <v>185</v>
      </c>
      <c r="J136" t="s">
        <v>165</v>
      </c>
      <c r="K136">
        <v>0</v>
      </c>
      <c r="L136" t="s">
        <v>160</v>
      </c>
      <c r="N136" t="s">
        <v>195</v>
      </c>
      <c r="O136" t="s">
        <v>165</v>
      </c>
      <c r="P136">
        <v>1.7909950122031216E-2</v>
      </c>
      <c r="Q136" t="s">
        <v>160</v>
      </c>
      <c r="S136" t="s">
        <v>205</v>
      </c>
      <c r="T136" t="s">
        <v>165</v>
      </c>
      <c r="U136">
        <v>1.7909950122031216E-2</v>
      </c>
      <c r="V136" t="s">
        <v>160</v>
      </c>
    </row>
    <row r="137" spans="9:22" x14ac:dyDescent="0.45">
      <c r="I137" t="s">
        <v>185</v>
      </c>
      <c r="J137" t="s">
        <v>166</v>
      </c>
      <c r="K137">
        <v>0</v>
      </c>
      <c r="L137" t="s">
        <v>160</v>
      </c>
      <c r="N137" t="s">
        <v>195</v>
      </c>
      <c r="O137" t="s">
        <v>166</v>
      </c>
      <c r="P137">
        <v>3.5958614226057443E-3</v>
      </c>
      <c r="Q137" t="s">
        <v>160</v>
      </c>
      <c r="S137" t="s">
        <v>205</v>
      </c>
      <c r="T137" t="s">
        <v>166</v>
      </c>
      <c r="U137">
        <v>3.5958614226057443E-3</v>
      </c>
      <c r="V137" t="s">
        <v>160</v>
      </c>
    </row>
    <row r="138" spans="9:22" x14ac:dyDescent="0.45">
      <c r="I138" t="s">
        <v>185</v>
      </c>
      <c r="J138" t="s">
        <v>167</v>
      </c>
      <c r="K138">
        <v>3.8789810860150077E-2</v>
      </c>
      <c r="L138" t="s">
        <v>160</v>
      </c>
      <c r="N138" t="s">
        <v>195</v>
      </c>
      <c r="O138" t="s">
        <v>167</v>
      </c>
      <c r="P138">
        <v>4.3043654249876537E-2</v>
      </c>
      <c r="Q138" t="s">
        <v>160</v>
      </c>
      <c r="S138" t="s">
        <v>205</v>
      </c>
      <c r="T138" t="s">
        <v>167</v>
      </c>
      <c r="U138">
        <v>4.3043654249876537E-2</v>
      </c>
      <c r="V138" t="s">
        <v>160</v>
      </c>
    </row>
    <row r="139" spans="9:22" x14ac:dyDescent="0.45">
      <c r="I139" t="s">
        <v>185</v>
      </c>
      <c r="J139" t="s">
        <v>168</v>
      </c>
      <c r="K139">
        <v>2.9519928006074858E-3</v>
      </c>
      <c r="L139" t="s">
        <v>160</v>
      </c>
      <c r="N139" t="s">
        <v>195</v>
      </c>
      <c r="O139" t="s">
        <v>168</v>
      </c>
      <c r="P139">
        <v>2.3905722513042731E-2</v>
      </c>
      <c r="Q139" t="s">
        <v>160</v>
      </c>
      <c r="S139" t="s">
        <v>205</v>
      </c>
      <c r="T139" t="s">
        <v>168</v>
      </c>
      <c r="U139">
        <v>2.3905722513042731E-2</v>
      </c>
      <c r="V139" t="s">
        <v>160</v>
      </c>
    </row>
    <row r="140" spans="9:22" x14ac:dyDescent="0.45">
      <c r="I140" t="s">
        <v>185</v>
      </c>
      <c r="J140" t="s">
        <v>169</v>
      </c>
      <c r="K140">
        <v>0</v>
      </c>
      <c r="L140" t="s">
        <v>160</v>
      </c>
      <c r="N140" t="s">
        <v>195</v>
      </c>
      <c r="O140" t="s">
        <v>169</v>
      </c>
      <c r="P140">
        <v>3.6239334764351758E-3</v>
      </c>
      <c r="Q140" t="s">
        <v>160</v>
      </c>
      <c r="S140" t="s">
        <v>205</v>
      </c>
      <c r="T140" t="s">
        <v>169</v>
      </c>
      <c r="U140">
        <v>3.6239334764351758E-3</v>
      </c>
      <c r="V140" t="s">
        <v>160</v>
      </c>
    </row>
    <row r="141" spans="9:22" x14ac:dyDescent="0.45">
      <c r="I141" t="s">
        <v>185</v>
      </c>
      <c r="J141" t="s">
        <v>170</v>
      </c>
      <c r="K141">
        <v>0</v>
      </c>
      <c r="L141" t="s">
        <v>160</v>
      </c>
      <c r="N141" t="s">
        <v>195</v>
      </c>
      <c r="O141" t="s">
        <v>170</v>
      </c>
      <c r="P141">
        <v>0.14573486056511231</v>
      </c>
      <c r="Q141" t="s">
        <v>160</v>
      </c>
      <c r="S141" t="s">
        <v>205</v>
      </c>
      <c r="T141" t="s">
        <v>170</v>
      </c>
      <c r="U141">
        <v>0.14573486056511231</v>
      </c>
      <c r="V141" t="s">
        <v>160</v>
      </c>
    </row>
    <row r="142" spans="9:22" x14ac:dyDescent="0.45">
      <c r="I142" t="s">
        <v>185</v>
      </c>
      <c r="J142" t="s">
        <v>171</v>
      </c>
      <c r="K142">
        <v>5.154131848143533E-3</v>
      </c>
      <c r="L142" t="s">
        <v>160</v>
      </c>
      <c r="N142" t="s">
        <v>195</v>
      </c>
      <c r="O142" t="s">
        <v>171</v>
      </c>
      <c r="P142">
        <v>2.8334590855372998E-2</v>
      </c>
      <c r="Q142" t="s">
        <v>160</v>
      </c>
      <c r="S142" t="s">
        <v>205</v>
      </c>
      <c r="T142" t="s">
        <v>171</v>
      </c>
      <c r="U142">
        <v>2.8334590855372998E-2</v>
      </c>
      <c r="V142" t="s">
        <v>160</v>
      </c>
    </row>
    <row r="143" spans="9:22" x14ac:dyDescent="0.45">
      <c r="I143" t="s">
        <v>185</v>
      </c>
      <c r="J143" t="s">
        <v>172</v>
      </c>
      <c r="K143">
        <v>0.77291195862983053</v>
      </c>
      <c r="L143" t="s">
        <v>160</v>
      </c>
      <c r="N143" t="s">
        <v>195</v>
      </c>
      <c r="O143" t="s">
        <v>172</v>
      </c>
      <c r="P143">
        <v>0.28105703935821352</v>
      </c>
      <c r="Q143" t="s">
        <v>160</v>
      </c>
      <c r="S143" t="s">
        <v>205</v>
      </c>
      <c r="T143" t="s">
        <v>172</v>
      </c>
      <c r="U143">
        <v>0.28105703935821352</v>
      </c>
      <c r="V143" t="s">
        <v>160</v>
      </c>
    </row>
    <row r="144" spans="9:22" x14ac:dyDescent="0.45">
      <c r="I144" t="s">
        <v>185</v>
      </c>
      <c r="J144" t="s">
        <v>173</v>
      </c>
      <c r="K144">
        <v>9.316169764803825E-2</v>
      </c>
      <c r="L144" t="s">
        <v>160</v>
      </c>
      <c r="N144" t="s">
        <v>195</v>
      </c>
      <c r="O144" t="s">
        <v>173</v>
      </c>
      <c r="P144">
        <v>0.18002379805197297</v>
      </c>
      <c r="Q144" t="s">
        <v>160</v>
      </c>
      <c r="S144" t="s">
        <v>205</v>
      </c>
      <c r="T144" t="s">
        <v>173</v>
      </c>
      <c r="U144">
        <v>0.18002379805197297</v>
      </c>
      <c r="V144" t="s">
        <v>160</v>
      </c>
    </row>
    <row r="145" spans="9:22" x14ac:dyDescent="0.45">
      <c r="I145" t="s">
        <v>185</v>
      </c>
      <c r="J145" t="s">
        <v>174</v>
      </c>
      <c r="K145">
        <v>0</v>
      </c>
      <c r="L145" t="s">
        <v>160</v>
      </c>
      <c r="N145" t="s">
        <v>195</v>
      </c>
      <c r="O145" t="s">
        <v>174</v>
      </c>
      <c r="P145">
        <v>3.0469356208063892E-2</v>
      </c>
      <c r="Q145" t="s">
        <v>160</v>
      </c>
      <c r="S145" t="s">
        <v>205</v>
      </c>
      <c r="T145" t="s">
        <v>174</v>
      </c>
      <c r="U145">
        <v>3.0469356208063892E-2</v>
      </c>
      <c r="V145" t="s">
        <v>160</v>
      </c>
    </row>
    <row r="146" spans="9:22" x14ac:dyDescent="0.45">
      <c r="I146" t="s">
        <v>185</v>
      </c>
      <c r="J146" t="s">
        <v>175</v>
      </c>
      <c r="K146">
        <v>0</v>
      </c>
      <c r="L146" t="s">
        <v>160</v>
      </c>
      <c r="N146" t="s">
        <v>195</v>
      </c>
      <c r="O146" t="s">
        <v>175</v>
      </c>
      <c r="P146">
        <v>9.4478933029978063E-3</v>
      </c>
      <c r="Q146" t="s">
        <v>160</v>
      </c>
      <c r="S146" t="s">
        <v>205</v>
      </c>
      <c r="T146" t="s">
        <v>175</v>
      </c>
      <c r="U146">
        <v>9.4478933029978063E-3</v>
      </c>
      <c r="V146" t="s">
        <v>160</v>
      </c>
    </row>
    <row r="147" spans="9:22" x14ac:dyDescent="0.45">
      <c r="I147" t="s">
        <v>185</v>
      </c>
      <c r="J147" t="s">
        <v>176</v>
      </c>
      <c r="K147">
        <v>0</v>
      </c>
      <c r="L147" t="s">
        <v>160</v>
      </c>
      <c r="N147" t="s">
        <v>195</v>
      </c>
      <c r="O147" t="s">
        <v>176</v>
      </c>
      <c r="P147">
        <v>1.7056952691674779E-3</v>
      </c>
      <c r="Q147" t="s">
        <v>160</v>
      </c>
      <c r="S147" t="s">
        <v>205</v>
      </c>
      <c r="T147" t="s">
        <v>176</v>
      </c>
      <c r="U147">
        <v>1.7056952691674779E-3</v>
      </c>
      <c r="V147" t="s">
        <v>160</v>
      </c>
    </row>
    <row r="148" spans="9:22" x14ac:dyDescent="0.45">
      <c r="I148" t="s">
        <v>185</v>
      </c>
      <c r="J148" t="s">
        <v>177</v>
      </c>
      <c r="K148">
        <v>6.1926301970025889E-3</v>
      </c>
      <c r="L148" t="s">
        <v>160</v>
      </c>
      <c r="N148" t="s">
        <v>195</v>
      </c>
      <c r="O148" t="s">
        <v>177</v>
      </c>
      <c r="P148">
        <v>1.8843877458962145E-2</v>
      </c>
      <c r="Q148" t="s">
        <v>160</v>
      </c>
      <c r="S148" t="s">
        <v>205</v>
      </c>
      <c r="T148" t="s">
        <v>177</v>
      </c>
      <c r="U148">
        <v>1.8843877458962145E-2</v>
      </c>
      <c r="V148" t="s">
        <v>160</v>
      </c>
    </row>
    <row r="149" spans="9:22" x14ac:dyDescent="0.45">
      <c r="I149" t="s">
        <v>185</v>
      </c>
      <c r="J149" t="s">
        <v>178</v>
      </c>
      <c r="K149">
        <v>0</v>
      </c>
      <c r="L149" t="s">
        <v>160</v>
      </c>
      <c r="N149" t="s">
        <v>195</v>
      </c>
      <c r="O149" t="s">
        <v>178</v>
      </c>
      <c r="P149">
        <v>1.1335066149400641E-2</v>
      </c>
      <c r="Q149" t="s">
        <v>160</v>
      </c>
      <c r="S149" t="s">
        <v>205</v>
      </c>
      <c r="T149" t="s">
        <v>178</v>
      </c>
      <c r="U149">
        <v>1.1335066149400641E-2</v>
      </c>
      <c r="V149" t="s">
        <v>160</v>
      </c>
    </row>
    <row r="150" spans="9:22" x14ac:dyDescent="0.45">
      <c r="I150" t="s">
        <v>185</v>
      </c>
      <c r="J150" t="s">
        <v>179</v>
      </c>
      <c r="K150">
        <v>0</v>
      </c>
      <c r="L150" t="s">
        <v>160</v>
      </c>
      <c r="N150" t="s">
        <v>195</v>
      </c>
      <c r="O150" t="s">
        <v>179</v>
      </c>
      <c r="P150">
        <v>1.8851574495014037E-3</v>
      </c>
      <c r="Q150" t="s">
        <v>160</v>
      </c>
      <c r="S150" t="s">
        <v>205</v>
      </c>
      <c r="T150" t="s">
        <v>179</v>
      </c>
      <c r="U150">
        <v>1.8851574495014037E-3</v>
      </c>
      <c r="V150" t="s">
        <v>160</v>
      </c>
    </row>
    <row r="151" spans="9:22" x14ac:dyDescent="0.45">
      <c r="I151" t="s">
        <v>186</v>
      </c>
      <c r="J151" t="s">
        <v>159</v>
      </c>
      <c r="K151">
        <v>0</v>
      </c>
      <c r="L151" t="s">
        <v>160</v>
      </c>
      <c r="N151" t="s">
        <v>196</v>
      </c>
      <c r="O151" t="s">
        <v>159</v>
      </c>
      <c r="P151">
        <v>4.2866583612532455E-2</v>
      </c>
      <c r="Q151" t="s">
        <v>160</v>
      </c>
      <c r="S151" t="s">
        <v>206</v>
      </c>
      <c r="T151" t="s">
        <v>159</v>
      </c>
      <c r="U151">
        <v>4.2866583612532455E-2</v>
      </c>
      <c r="V151" t="s">
        <v>160</v>
      </c>
    </row>
    <row r="152" spans="9:22" x14ac:dyDescent="0.45">
      <c r="I152" t="s">
        <v>186</v>
      </c>
      <c r="J152" t="s">
        <v>161</v>
      </c>
      <c r="K152">
        <v>0</v>
      </c>
      <c r="L152" t="s">
        <v>160</v>
      </c>
      <c r="N152" t="s">
        <v>196</v>
      </c>
      <c r="O152" t="s">
        <v>161</v>
      </c>
      <c r="P152">
        <v>8.8476362235652122E-3</v>
      </c>
      <c r="Q152" t="s">
        <v>160</v>
      </c>
      <c r="S152" t="s">
        <v>206</v>
      </c>
      <c r="T152" t="s">
        <v>161</v>
      </c>
      <c r="U152">
        <v>8.8476362235652122E-3</v>
      </c>
      <c r="V152" t="s">
        <v>160</v>
      </c>
    </row>
    <row r="153" spans="9:22" x14ac:dyDescent="0.45">
      <c r="I153" t="s">
        <v>186</v>
      </c>
      <c r="J153" t="s">
        <v>162</v>
      </c>
      <c r="K153">
        <v>7.7034729321143705E-2</v>
      </c>
      <c r="L153" t="s">
        <v>160</v>
      </c>
      <c r="N153" t="s">
        <v>196</v>
      </c>
      <c r="O153" t="s">
        <v>162</v>
      </c>
      <c r="P153">
        <v>8.8656894242059317E-2</v>
      </c>
      <c r="Q153" t="s">
        <v>160</v>
      </c>
      <c r="S153" t="s">
        <v>206</v>
      </c>
      <c r="T153" t="s">
        <v>162</v>
      </c>
      <c r="U153">
        <v>8.8656894242059317E-2</v>
      </c>
      <c r="V153" t="s">
        <v>160</v>
      </c>
    </row>
    <row r="154" spans="9:22" x14ac:dyDescent="0.45">
      <c r="I154" t="s">
        <v>186</v>
      </c>
      <c r="J154" t="s">
        <v>163</v>
      </c>
      <c r="K154">
        <v>2.1037784739632204E-3</v>
      </c>
      <c r="L154" t="s">
        <v>160</v>
      </c>
      <c r="N154" t="s">
        <v>196</v>
      </c>
      <c r="O154" t="s">
        <v>163</v>
      </c>
      <c r="P154">
        <v>4.9328282960585036E-2</v>
      </c>
      <c r="Q154" t="s">
        <v>160</v>
      </c>
      <c r="S154" t="s">
        <v>206</v>
      </c>
      <c r="T154" t="s">
        <v>163</v>
      </c>
      <c r="U154">
        <v>4.9328282960585036E-2</v>
      </c>
      <c r="V154" t="s">
        <v>160</v>
      </c>
    </row>
    <row r="155" spans="9:22" x14ac:dyDescent="0.45">
      <c r="I155" t="s">
        <v>186</v>
      </c>
      <c r="J155" t="s">
        <v>164</v>
      </c>
      <c r="K155">
        <v>0</v>
      </c>
      <c r="L155" t="s">
        <v>160</v>
      </c>
      <c r="N155" t="s">
        <v>196</v>
      </c>
      <c r="O155" t="s">
        <v>164</v>
      </c>
      <c r="P155">
        <v>7.7475182035916254E-3</v>
      </c>
      <c r="Q155" t="s">
        <v>160</v>
      </c>
      <c r="S155" t="s">
        <v>206</v>
      </c>
      <c r="T155" t="s">
        <v>164</v>
      </c>
      <c r="U155">
        <v>7.7475182035916254E-3</v>
      </c>
      <c r="V155" t="s">
        <v>160</v>
      </c>
    </row>
    <row r="156" spans="9:22" x14ac:dyDescent="0.45">
      <c r="I156" t="s">
        <v>186</v>
      </c>
      <c r="J156" t="s">
        <v>165</v>
      </c>
      <c r="K156">
        <v>0</v>
      </c>
      <c r="L156" t="s">
        <v>160</v>
      </c>
      <c r="N156" t="s">
        <v>196</v>
      </c>
      <c r="O156" t="s">
        <v>165</v>
      </c>
      <c r="P156">
        <v>1.776502672468145E-2</v>
      </c>
      <c r="Q156" t="s">
        <v>160</v>
      </c>
      <c r="S156" t="s">
        <v>206</v>
      </c>
      <c r="T156" t="s">
        <v>165</v>
      </c>
      <c r="U156">
        <v>1.776502672468145E-2</v>
      </c>
      <c r="V156" t="s">
        <v>160</v>
      </c>
    </row>
    <row r="157" spans="9:22" x14ac:dyDescent="0.45">
      <c r="I157" t="s">
        <v>186</v>
      </c>
      <c r="J157" t="s">
        <v>166</v>
      </c>
      <c r="K157">
        <v>0</v>
      </c>
      <c r="L157" t="s">
        <v>160</v>
      </c>
      <c r="N157" t="s">
        <v>196</v>
      </c>
      <c r="O157" t="s">
        <v>166</v>
      </c>
      <c r="P157">
        <v>3.6243985222273642E-3</v>
      </c>
      <c r="Q157" t="s">
        <v>160</v>
      </c>
      <c r="S157" t="s">
        <v>206</v>
      </c>
      <c r="T157" t="s">
        <v>166</v>
      </c>
      <c r="U157">
        <v>3.6243985222273642E-3</v>
      </c>
      <c r="V157" t="s">
        <v>160</v>
      </c>
    </row>
    <row r="158" spans="9:22" x14ac:dyDescent="0.45">
      <c r="I158" t="s">
        <v>186</v>
      </c>
      <c r="J158" t="s">
        <v>167</v>
      </c>
      <c r="K158">
        <v>3.8525009780415023E-2</v>
      </c>
      <c r="L158" t="s">
        <v>160</v>
      </c>
      <c r="N158" t="s">
        <v>196</v>
      </c>
      <c r="O158" t="s">
        <v>167</v>
      </c>
      <c r="P158">
        <v>4.4659503425994285E-2</v>
      </c>
      <c r="Q158" t="s">
        <v>160</v>
      </c>
      <c r="S158" t="s">
        <v>206</v>
      </c>
      <c r="T158" t="s">
        <v>167</v>
      </c>
      <c r="U158">
        <v>4.4659503425994285E-2</v>
      </c>
      <c r="V158" t="s">
        <v>160</v>
      </c>
    </row>
    <row r="159" spans="9:22" x14ac:dyDescent="0.45">
      <c r="I159" t="s">
        <v>186</v>
      </c>
      <c r="J159" t="s">
        <v>168</v>
      </c>
      <c r="K159">
        <v>2.7963306209112977E-3</v>
      </c>
      <c r="L159" t="s">
        <v>160</v>
      </c>
      <c r="N159" t="s">
        <v>196</v>
      </c>
      <c r="O159" t="s">
        <v>168</v>
      </c>
      <c r="P159">
        <v>2.4337607104250359E-2</v>
      </c>
      <c r="Q159" t="s">
        <v>160</v>
      </c>
      <c r="S159" t="s">
        <v>206</v>
      </c>
      <c r="T159" t="s">
        <v>168</v>
      </c>
      <c r="U159">
        <v>2.4337607104250359E-2</v>
      </c>
      <c r="V159" t="s">
        <v>160</v>
      </c>
    </row>
    <row r="160" spans="9:22" x14ac:dyDescent="0.45">
      <c r="I160" t="s">
        <v>186</v>
      </c>
      <c r="J160" t="s">
        <v>169</v>
      </c>
      <c r="K160">
        <v>0</v>
      </c>
      <c r="L160" t="s">
        <v>160</v>
      </c>
      <c r="N160" t="s">
        <v>196</v>
      </c>
      <c r="O160" t="s">
        <v>169</v>
      </c>
      <c r="P160">
        <v>3.5336194149845675E-3</v>
      </c>
      <c r="Q160" t="s">
        <v>160</v>
      </c>
      <c r="S160" t="s">
        <v>206</v>
      </c>
      <c r="T160" t="s">
        <v>169</v>
      </c>
      <c r="U160">
        <v>3.5336194149845675E-3</v>
      </c>
      <c r="V160" t="s">
        <v>160</v>
      </c>
    </row>
    <row r="161" spans="9:22" x14ac:dyDescent="0.45">
      <c r="I161" t="s">
        <v>186</v>
      </c>
      <c r="J161" t="s">
        <v>170</v>
      </c>
      <c r="K161">
        <v>0</v>
      </c>
      <c r="L161" t="s">
        <v>160</v>
      </c>
      <c r="N161" t="s">
        <v>196</v>
      </c>
      <c r="O161" t="s">
        <v>170</v>
      </c>
      <c r="P161">
        <v>0.12810268630326138</v>
      </c>
      <c r="Q161" t="s">
        <v>160</v>
      </c>
      <c r="S161" t="s">
        <v>206</v>
      </c>
      <c r="T161" t="s">
        <v>170</v>
      </c>
      <c r="U161">
        <v>0.12810268630326138</v>
      </c>
      <c r="V161" t="s">
        <v>160</v>
      </c>
    </row>
    <row r="162" spans="9:22" x14ac:dyDescent="0.45">
      <c r="I162" t="s">
        <v>186</v>
      </c>
      <c r="J162" t="s">
        <v>171</v>
      </c>
      <c r="K162">
        <v>5.4819922893314431E-3</v>
      </c>
      <c r="L162" t="s">
        <v>160</v>
      </c>
      <c r="N162" t="s">
        <v>196</v>
      </c>
      <c r="O162" t="s">
        <v>171</v>
      </c>
      <c r="P162">
        <v>2.5715061671294809E-2</v>
      </c>
      <c r="Q162" t="s">
        <v>160</v>
      </c>
      <c r="S162" t="s">
        <v>206</v>
      </c>
      <c r="T162" t="s">
        <v>171</v>
      </c>
      <c r="U162">
        <v>2.5715061671294809E-2</v>
      </c>
      <c r="V162" t="s">
        <v>160</v>
      </c>
    </row>
    <row r="163" spans="9:22" x14ac:dyDescent="0.45">
      <c r="I163" t="s">
        <v>186</v>
      </c>
      <c r="J163" t="s">
        <v>172</v>
      </c>
      <c r="K163">
        <v>0.77919526955719631</v>
      </c>
      <c r="L163" t="s">
        <v>160</v>
      </c>
      <c r="N163" t="s">
        <v>196</v>
      </c>
      <c r="O163" t="s">
        <v>172</v>
      </c>
      <c r="P163">
        <v>0.29616295557615185</v>
      </c>
      <c r="Q163" t="s">
        <v>160</v>
      </c>
      <c r="S163" t="s">
        <v>206</v>
      </c>
      <c r="T163" t="s">
        <v>172</v>
      </c>
      <c r="U163">
        <v>0.29616295557615185</v>
      </c>
      <c r="V163" t="s">
        <v>160</v>
      </c>
    </row>
    <row r="164" spans="9:22" x14ac:dyDescent="0.45">
      <c r="I164" t="s">
        <v>186</v>
      </c>
      <c r="J164" t="s">
        <v>173</v>
      </c>
      <c r="K164">
        <v>8.7984472944564462E-2</v>
      </c>
      <c r="L164" t="s">
        <v>160</v>
      </c>
      <c r="N164" t="s">
        <v>196</v>
      </c>
      <c r="O164" t="s">
        <v>173</v>
      </c>
      <c r="P164">
        <v>0.17742917725151663</v>
      </c>
      <c r="Q164" t="s">
        <v>160</v>
      </c>
      <c r="S164" t="s">
        <v>206</v>
      </c>
      <c r="T164" t="s">
        <v>173</v>
      </c>
      <c r="U164">
        <v>0.17742917725151663</v>
      </c>
      <c r="V164" t="s">
        <v>160</v>
      </c>
    </row>
    <row r="165" spans="9:22" x14ac:dyDescent="0.45">
      <c r="I165" t="s">
        <v>186</v>
      </c>
      <c r="J165" t="s">
        <v>174</v>
      </c>
      <c r="K165">
        <v>0</v>
      </c>
      <c r="L165" t="s">
        <v>160</v>
      </c>
      <c r="N165" t="s">
        <v>196</v>
      </c>
      <c r="O165" t="s">
        <v>174</v>
      </c>
      <c r="P165">
        <v>2.5775214012723157E-2</v>
      </c>
      <c r="Q165" t="s">
        <v>160</v>
      </c>
      <c r="S165" t="s">
        <v>206</v>
      </c>
      <c r="T165" t="s">
        <v>174</v>
      </c>
      <c r="U165">
        <v>2.5775214012723157E-2</v>
      </c>
      <c r="V165" t="s">
        <v>160</v>
      </c>
    </row>
    <row r="166" spans="9:22" x14ac:dyDescent="0.45">
      <c r="I166" t="s">
        <v>186</v>
      </c>
      <c r="J166" t="s">
        <v>175</v>
      </c>
      <c r="K166">
        <v>0</v>
      </c>
      <c r="L166" t="s">
        <v>160</v>
      </c>
      <c r="N166" t="s">
        <v>196</v>
      </c>
      <c r="O166" t="s">
        <v>175</v>
      </c>
      <c r="P166">
        <v>1.2786807409882243E-2</v>
      </c>
      <c r="Q166" t="s">
        <v>160</v>
      </c>
      <c r="S166" t="s">
        <v>206</v>
      </c>
      <c r="T166" t="s">
        <v>175</v>
      </c>
      <c r="U166">
        <v>1.2786807409882243E-2</v>
      </c>
      <c r="V166" t="s">
        <v>160</v>
      </c>
    </row>
    <row r="167" spans="9:22" x14ac:dyDescent="0.45">
      <c r="I167" t="s">
        <v>186</v>
      </c>
      <c r="J167" t="s">
        <v>176</v>
      </c>
      <c r="K167">
        <v>0</v>
      </c>
      <c r="L167" t="s">
        <v>160</v>
      </c>
      <c r="N167" t="s">
        <v>196</v>
      </c>
      <c r="O167" t="s">
        <v>176</v>
      </c>
      <c r="P167">
        <v>2.4119093138519196E-3</v>
      </c>
      <c r="Q167" t="s">
        <v>160</v>
      </c>
      <c r="S167" t="s">
        <v>206</v>
      </c>
      <c r="T167" t="s">
        <v>176</v>
      </c>
      <c r="U167">
        <v>2.4119093138519196E-3</v>
      </c>
      <c r="V167" t="s">
        <v>160</v>
      </c>
    </row>
    <row r="168" spans="9:22" x14ac:dyDescent="0.45">
      <c r="I168" t="s">
        <v>186</v>
      </c>
      <c r="J168" t="s">
        <v>177</v>
      </c>
      <c r="K168">
        <v>6.8784170124738747E-3</v>
      </c>
      <c r="L168" t="s">
        <v>160</v>
      </c>
      <c r="N168" t="s">
        <v>196</v>
      </c>
      <c r="O168" t="s">
        <v>177</v>
      </c>
      <c r="P168">
        <v>2.4088134610373815E-2</v>
      </c>
      <c r="Q168" t="s">
        <v>160</v>
      </c>
      <c r="S168" t="s">
        <v>206</v>
      </c>
      <c r="T168" t="s">
        <v>177</v>
      </c>
      <c r="U168">
        <v>2.4088134610373815E-2</v>
      </c>
      <c r="V168" t="s">
        <v>160</v>
      </c>
    </row>
    <row r="169" spans="9:22" x14ac:dyDescent="0.45">
      <c r="I169" t="s">
        <v>186</v>
      </c>
      <c r="J169" t="s">
        <v>178</v>
      </c>
      <c r="K169">
        <v>0</v>
      </c>
      <c r="L169" t="s">
        <v>160</v>
      </c>
      <c r="N169" t="s">
        <v>196</v>
      </c>
      <c r="O169" t="s">
        <v>178</v>
      </c>
      <c r="P169">
        <v>1.3770014215548895E-2</v>
      </c>
      <c r="Q169" t="s">
        <v>160</v>
      </c>
      <c r="S169" t="s">
        <v>206</v>
      </c>
      <c r="T169" t="s">
        <v>178</v>
      </c>
      <c r="U169">
        <v>1.3770014215548895E-2</v>
      </c>
      <c r="V169" t="s">
        <v>160</v>
      </c>
    </row>
    <row r="170" spans="9:22" x14ac:dyDescent="0.45">
      <c r="I170" t="s">
        <v>186</v>
      </c>
      <c r="J170" t="s">
        <v>179</v>
      </c>
      <c r="K170">
        <v>0</v>
      </c>
      <c r="L170" t="s">
        <v>160</v>
      </c>
      <c r="N170" t="s">
        <v>196</v>
      </c>
      <c r="O170" t="s">
        <v>179</v>
      </c>
      <c r="P170">
        <v>2.3909692009220617E-3</v>
      </c>
      <c r="Q170" t="s">
        <v>160</v>
      </c>
      <c r="S170" t="s">
        <v>206</v>
      </c>
      <c r="T170" t="s">
        <v>179</v>
      </c>
      <c r="U170">
        <v>2.3909692009220617E-3</v>
      </c>
      <c r="V170" t="s">
        <v>160</v>
      </c>
    </row>
    <row r="171" spans="9:22" x14ac:dyDescent="0.45">
      <c r="I171" t="s">
        <v>187</v>
      </c>
      <c r="J171" t="s">
        <v>159</v>
      </c>
      <c r="K171">
        <v>0</v>
      </c>
      <c r="L171" t="s">
        <v>160</v>
      </c>
      <c r="N171" t="s">
        <v>197</v>
      </c>
      <c r="O171" t="s">
        <v>159</v>
      </c>
      <c r="P171">
        <v>4.15405640347805E-2</v>
      </c>
      <c r="Q171" t="s">
        <v>160</v>
      </c>
      <c r="S171" t="s">
        <v>207</v>
      </c>
      <c r="T171" t="s">
        <v>159</v>
      </c>
      <c r="U171">
        <v>4.15405640347805E-2</v>
      </c>
      <c r="V171" t="s">
        <v>160</v>
      </c>
    </row>
    <row r="172" spans="9:22" x14ac:dyDescent="0.45">
      <c r="I172" t="s">
        <v>187</v>
      </c>
      <c r="J172" t="s">
        <v>161</v>
      </c>
      <c r="K172">
        <v>0</v>
      </c>
      <c r="L172" t="s">
        <v>160</v>
      </c>
      <c r="N172" t="s">
        <v>197</v>
      </c>
      <c r="O172" t="s">
        <v>161</v>
      </c>
      <c r="P172">
        <v>9.0335141600405185E-3</v>
      </c>
      <c r="Q172" t="s">
        <v>160</v>
      </c>
      <c r="S172" t="s">
        <v>207</v>
      </c>
      <c r="T172" t="s">
        <v>161</v>
      </c>
      <c r="U172">
        <v>9.0335141600405185E-3</v>
      </c>
      <c r="V172" t="s">
        <v>160</v>
      </c>
    </row>
    <row r="173" spans="9:22" x14ac:dyDescent="0.45">
      <c r="I173" t="s">
        <v>187</v>
      </c>
      <c r="J173" t="s">
        <v>162</v>
      </c>
      <c r="K173">
        <v>8.161821725604719E-2</v>
      </c>
      <c r="L173" t="s">
        <v>160</v>
      </c>
      <c r="N173" t="s">
        <v>197</v>
      </c>
      <c r="O173" t="s">
        <v>162</v>
      </c>
      <c r="P173">
        <v>0.1017740245845169</v>
      </c>
      <c r="Q173" t="s">
        <v>160</v>
      </c>
      <c r="S173" t="s">
        <v>207</v>
      </c>
      <c r="T173" t="s">
        <v>162</v>
      </c>
      <c r="U173">
        <v>0.1017740245845169</v>
      </c>
      <c r="V173" t="s">
        <v>160</v>
      </c>
    </row>
    <row r="174" spans="9:22" x14ac:dyDescent="0.45">
      <c r="I174" t="s">
        <v>187</v>
      </c>
      <c r="J174" t="s">
        <v>163</v>
      </c>
      <c r="K174">
        <v>2.6852494666850064E-3</v>
      </c>
      <c r="L174" t="s">
        <v>160</v>
      </c>
      <c r="N174" t="s">
        <v>197</v>
      </c>
      <c r="O174" t="s">
        <v>163</v>
      </c>
      <c r="P174">
        <v>5.2613609772951382E-2</v>
      </c>
      <c r="Q174" t="s">
        <v>160</v>
      </c>
      <c r="S174" t="s">
        <v>207</v>
      </c>
      <c r="T174" t="s">
        <v>163</v>
      </c>
      <c r="U174">
        <v>5.2613609772951382E-2</v>
      </c>
      <c r="V174" t="s">
        <v>160</v>
      </c>
    </row>
    <row r="175" spans="9:22" x14ac:dyDescent="0.45">
      <c r="I175" t="s">
        <v>187</v>
      </c>
      <c r="J175" t="s">
        <v>164</v>
      </c>
      <c r="K175">
        <v>0</v>
      </c>
      <c r="L175" t="s">
        <v>160</v>
      </c>
      <c r="N175" t="s">
        <v>197</v>
      </c>
      <c r="O175" t="s">
        <v>164</v>
      </c>
      <c r="P175">
        <v>7.4203298532911658E-3</v>
      </c>
      <c r="Q175" t="s">
        <v>160</v>
      </c>
      <c r="S175" t="s">
        <v>207</v>
      </c>
      <c r="T175" t="s">
        <v>164</v>
      </c>
      <c r="U175">
        <v>7.4203298532911658E-3</v>
      </c>
      <c r="V175" t="s">
        <v>160</v>
      </c>
    </row>
    <row r="176" spans="9:22" x14ac:dyDescent="0.45">
      <c r="I176" t="s">
        <v>187</v>
      </c>
      <c r="J176" t="s">
        <v>165</v>
      </c>
      <c r="K176">
        <v>0</v>
      </c>
      <c r="L176" t="s">
        <v>160</v>
      </c>
      <c r="N176" t="s">
        <v>197</v>
      </c>
      <c r="O176" t="s">
        <v>165</v>
      </c>
      <c r="P176">
        <v>1.4924663708972861E-2</v>
      </c>
      <c r="Q176" t="s">
        <v>160</v>
      </c>
      <c r="S176" t="s">
        <v>207</v>
      </c>
      <c r="T176" t="s">
        <v>165</v>
      </c>
      <c r="U176">
        <v>1.4924663708972861E-2</v>
      </c>
      <c r="V176" t="s">
        <v>160</v>
      </c>
    </row>
    <row r="177" spans="9:22" x14ac:dyDescent="0.45">
      <c r="I177" t="s">
        <v>187</v>
      </c>
      <c r="J177" t="s">
        <v>166</v>
      </c>
      <c r="K177">
        <v>0</v>
      </c>
      <c r="L177" t="s">
        <v>160</v>
      </c>
      <c r="N177" t="s">
        <v>197</v>
      </c>
      <c r="O177" t="s">
        <v>166</v>
      </c>
      <c r="P177">
        <v>3.0910439617310784E-3</v>
      </c>
      <c r="Q177" t="s">
        <v>160</v>
      </c>
      <c r="S177" t="s">
        <v>207</v>
      </c>
      <c r="T177" t="s">
        <v>166</v>
      </c>
      <c r="U177">
        <v>3.0910439617310784E-3</v>
      </c>
      <c r="V177" t="s">
        <v>160</v>
      </c>
    </row>
    <row r="178" spans="9:22" x14ac:dyDescent="0.45">
      <c r="I178" t="s">
        <v>187</v>
      </c>
      <c r="J178" t="s">
        <v>167</v>
      </c>
      <c r="K178">
        <v>3.7334114072095664E-2</v>
      </c>
      <c r="L178" t="s">
        <v>160</v>
      </c>
      <c r="N178" t="s">
        <v>197</v>
      </c>
      <c r="O178" t="s">
        <v>167</v>
      </c>
      <c r="P178">
        <v>4.1623211878268035E-2</v>
      </c>
      <c r="Q178" t="s">
        <v>160</v>
      </c>
      <c r="S178" t="s">
        <v>207</v>
      </c>
      <c r="T178" t="s">
        <v>167</v>
      </c>
      <c r="U178">
        <v>4.1623211878268035E-2</v>
      </c>
      <c r="V178" t="s">
        <v>160</v>
      </c>
    </row>
    <row r="179" spans="9:22" x14ac:dyDescent="0.45">
      <c r="I179" t="s">
        <v>187</v>
      </c>
      <c r="J179" t="s">
        <v>168</v>
      </c>
      <c r="K179">
        <v>3.2115200853897324E-3</v>
      </c>
      <c r="L179" t="s">
        <v>160</v>
      </c>
      <c r="N179" t="s">
        <v>197</v>
      </c>
      <c r="O179" t="s">
        <v>168</v>
      </c>
      <c r="P179">
        <v>2.2330165495354801E-2</v>
      </c>
      <c r="Q179" t="s">
        <v>160</v>
      </c>
      <c r="S179" t="s">
        <v>207</v>
      </c>
      <c r="T179" t="s">
        <v>168</v>
      </c>
      <c r="U179">
        <v>2.2330165495354801E-2</v>
      </c>
      <c r="V179" t="s">
        <v>160</v>
      </c>
    </row>
    <row r="180" spans="9:22" x14ac:dyDescent="0.45">
      <c r="I180" t="s">
        <v>187</v>
      </c>
      <c r="J180" t="s">
        <v>169</v>
      </c>
      <c r="K180">
        <v>0</v>
      </c>
      <c r="L180" t="s">
        <v>160</v>
      </c>
      <c r="N180" t="s">
        <v>197</v>
      </c>
      <c r="O180" t="s">
        <v>169</v>
      </c>
      <c r="P180">
        <v>2.8727484436211043E-3</v>
      </c>
      <c r="Q180" t="s">
        <v>160</v>
      </c>
      <c r="S180" t="s">
        <v>207</v>
      </c>
      <c r="T180" t="s">
        <v>169</v>
      </c>
      <c r="U180">
        <v>2.8727484436211043E-3</v>
      </c>
      <c r="V180" t="s">
        <v>160</v>
      </c>
    </row>
    <row r="181" spans="9:22" x14ac:dyDescent="0.45">
      <c r="I181" t="s">
        <v>187</v>
      </c>
      <c r="J181" t="s">
        <v>170</v>
      </c>
      <c r="K181">
        <v>0</v>
      </c>
      <c r="L181" t="s">
        <v>160</v>
      </c>
      <c r="N181" t="s">
        <v>197</v>
      </c>
      <c r="O181" t="s">
        <v>170</v>
      </c>
      <c r="P181">
        <v>0.11077450553391123</v>
      </c>
      <c r="Q181" t="s">
        <v>160</v>
      </c>
      <c r="S181" t="s">
        <v>207</v>
      </c>
      <c r="T181" t="s">
        <v>170</v>
      </c>
      <c r="U181">
        <v>0.11077450553391123</v>
      </c>
      <c r="V181" t="s">
        <v>160</v>
      </c>
    </row>
    <row r="182" spans="9:22" x14ac:dyDescent="0.45">
      <c r="I182" t="s">
        <v>187</v>
      </c>
      <c r="J182" t="s">
        <v>171</v>
      </c>
      <c r="K182">
        <v>5.8409501088978856E-3</v>
      </c>
      <c r="L182" t="s">
        <v>160</v>
      </c>
      <c r="N182" t="s">
        <v>197</v>
      </c>
      <c r="O182" t="s">
        <v>171</v>
      </c>
      <c r="P182">
        <v>2.2133606613885096E-2</v>
      </c>
      <c r="Q182" t="s">
        <v>160</v>
      </c>
      <c r="S182" t="s">
        <v>207</v>
      </c>
      <c r="T182" t="s">
        <v>171</v>
      </c>
      <c r="U182">
        <v>2.2133606613885096E-2</v>
      </c>
      <c r="V182" t="s">
        <v>160</v>
      </c>
    </row>
    <row r="183" spans="9:22" x14ac:dyDescent="0.45">
      <c r="I183" t="s">
        <v>187</v>
      </c>
      <c r="J183" t="s">
        <v>172</v>
      </c>
      <c r="K183">
        <v>0.77619147922758902</v>
      </c>
      <c r="L183" t="s">
        <v>160</v>
      </c>
      <c r="N183" t="s">
        <v>197</v>
      </c>
      <c r="O183" t="s">
        <v>172</v>
      </c>
      <c r="P183">
        <v>0.30525114815807686</v>
      </c>
      <c r="Q183" t="s">
        <v>160</v>
      </c>
      <c r="S183" t="s">
        <v>207</v>
      </c>
      <c r="T183" t="s">
        <v>172</v>
      </c>
      <c r="U183">
        <v>0.30525114815807686</v>
      </c>
      <c r="V183" t="s">
        <v>160</v>
      </c>
    </row>
    <row r="184" spans="9:22" x14ac:dyDescent="0.45">
      <c r="I184" t="s">
        <v>187</v>
      </c>
      <c r="J184" t="s">
        <v>173</v>
      </c>
      <c r="K184">
        <v>8.7546068609222288E-2</v>
      </c>
      <c r="L184" t="s">
        <v>160</v>
      </c>
      <c r="N184" t="s">
        <v>197</v>
      </c>
      <c r="O184" t="s">
        <v>173</v>
      </c>
      <c r="P184">
        <v>0.1749198895562834</v>
      </c>
      <c r="Q184" t="s">
        <v>160</v>
      </c>
      <c r="S184" t="s">
        <v>207</v>
      </c>
      <c r="T184" t="s">
        <v>173</v>
      </c>
      <c r="U184">
        <v>0.1749198895562834</v>
      </c>
      <c r="V184" t="s">
        <v>160</v>
      </c>
    </row>
    <row r="185" spans="9:22" x14ac:dyDescent="0.45">
      <c r="I185" t="s">
        <v>187</v>
      </c>
      <c r="J185" t="s">
        <v>174</v>
      </c>
      <c r="K185">
        <v>0</v>
      </c>
      <c r="L185" t="s">
        <v>160</v>
      </c>
      <c r="N185" t="s">
        <v>197</v>
      </c>
      <c r="O185" t="s">
        <v>174</v>
      </c>
      <c r="P185">
        <v>2.3399804608018396E-2</v>
      </c>
      <c r="Q185" t="s">
        <v>160</v>
      </c>
      <c r="S185" t="s">
        <v>207</v>
      </c>
      <c r="T185" t="s">
        <v>174</v>
      </c>
      <c r="U185">
        <v>2.3399804608018396E-2</v>
      </c>
      <c r="V185" t="s">
        <v>160</v>
      </c>
    </row>
    <row r="186" spans="9:22" x14ac:dyDescent="0.45">
      <c r="I186" t="s">
        <v>187</v>
      </c>
      <c r="J186" t="s">
        <v>175</v>
      </c>
      <c r="K186">
        <v>0</v>
      </c>
      <c r="L186" t="s">
        <v>160</v>
      </c>
      <c r="N186" t="s">
        <v>197</v>
      </c>
      <c r="O186" t="s">
        <v>175</v>
      </c>
      <c r="P186">
        <v>1.5010711846567482E-2</v>
      </c>
      <c r="Q186" t="s">
        <v>160</v>
      </c>
      <c r="S186" t="s">
        <v>207</v>
      </c>
      <c r="T186" t="s">
        <v>175</v>
      </c>
      <c r="U186">
        <v>1.5010711846567482E-2</v>
      </c>
      <c r="V186" t="s">
        <v>160</v>
      </c>
    </row>
    <row r="187" spans="9:22" x14ac:dyDescent="0.45">
      <c r="I187" t="s">
        <v>187</v>
      </c>
      <c r="J187" t="s">
        <v>176</v>
      </c>
      <c r="K187">
        <v>0</v>
      </c>
      <c r="L187" t="s">
        <v>160</v>
      </c>
      <c r="N187" t="s">
        <v>197</v>
      </c>
      <c r="O187" t="s">
        <v>176</v>
      </c>
      <c r="P187">
        <v>2.9951098010292392E-3</v>
      </c>
      <c r="Q187" t="s">
        <v>160</v>
      </c>
      <c r="S187" t="s">
        <v>207</v>
      </c>
      <c r="T187" t="s">
        <v>176</v>
      </c>
      <c r="U187">
        <v>2.9951098010292392E-3</v>
      </c>
      <c r="V187" t="s">
        <v>160</v>
      </c>
    </row>
    <row r="188" spans="9:22" x14ac:dyDescent="0.45">
      <c r="I188" t="s">
        <v>187</v>
      </c>
      <c r="J188" t="s">
        <v>177</v>
      </c>
      <c r="K188">
        <v>5.5724011740717156E-3</v>
      </c>
      <c r="L188" t="s">
        <v>160</v>
      </c>
      <c r="N188" t="s">
        <v>197</v>
      </c>
      <c r="O188" t="s">
        <v>177</v>
      </c>
      <c r="P188">
        <v>2.9913188870300641E-2</v>
      </c>
      <c r="Q188" t="s">
        <v>160</v>
      </c>
      <c r="S188" t="s">
        <v>207</v>
      </c>
      <c r="T188" t="s">
        <v>177</v>
      </c>
      <c r="U188">
        <v>2.9913188870300641E-2</v>
      </c>
      <c r="V188" t="s">
        <v>160</v>
      </c>
    </row>
    <row r="189" spans="9:22" x14ac:dyDescent="0.45">
      <c r="I189" t="s">
        <v>187</v>
      </c>
      <c r="J189" t="s">
        <v>178</v>
      </c>
      <c r="K189">
        <v>0</v>
      </c>
      <c r="L189" t="s">
        <v>160</v>
      </c>
      <c r="N189" t="s">
        <v>197</v>
      </c>
      <c r="O189" t="s">
        <v>178</v>
      </c>
      <c r="P189">
        <v>1.5819024127644108E-2</v>
      </c>
      <c r="Q189" t="s">
        <v>160</v>
      </c>
      <c r="S189" t="s">
        <v>207</v>
      </c>
      <c r="T189" t="s">
        <v>178</v>
      </c>
      <c r="U189">
        <v>1.5819024127644108E-2</v>
      </c>
      <c r="V189" t="s">
        <v>160</v>
      </c>
    </row>
    <row r="190" spans="9:22" x14ac:dyDescent="0.45">
      <c r="I190" t="s">
        <v>187</v>
      </c>
      <c r="J190" t="s">
        <v>179</v>
      </c>
      <c r="K190">
        <v>0</v>
      </c>
      <c r="L190" t="s">
        <v>160</v>
      </c>
      <c r="N190" t="s">
        <v>197</v>
      </c>
      <c r="O190" t="s">
        <v>179</v>
      </c>
      <c r="P190">
        <v>2.5591349907561297E-3</v>
      </c>
      <c r="Q190" t="s">
        <v>160</v>
      </c>
      <c r="S190" t="s">
        <v>207</v>
      </c>
      <c r="T190" t="s">
        <v>179</v>
      </c>
      <c r="U190">
        <v>2.5591349907561297E-3</v>
      </c>
      <c r="V190" t="s">
        <v>160</v>
      </c>
    </row>
    <row r="191" spans="9:22" x14ac:dyDescent="0.45">
      <c r="I191" t="s">
        <v>188</v>
      </c>
      <c r="J191" t="s">
        <v>159</v>
      </c>
      <c r="K191">
        <v>0</v>
      </c>
      <c r="L191" t="s">
        <v>160</v>
      </c>
      <c r="N191" t="s">
        <v>198</v>
      </c>
      <c r="O191" t="s">
        <v>159</v>
      </c>
      <c r="P191">
        <v>3.7633847327752053E-2</v>
      </c>
      <c r="Q191" t="s">
        <v>160</v>
      </c>
      <c r="S191" t="s">
        <v>208</v>
      </c>
      <c r="T191" t="s">
        <v>159</v>
      </c>
      <c r="U191">
        <v>3.7633847327752053E-2</v>
      </c>
      <c r="V191" t="s">
        <v>160</v>
      </c>
    </row>
    <row r="192" spans="9:22" x14ac:dyDescent="0.45">
      <c r="I192" t="s">
        <v>188</v>
      </c>
      <c r="J192" t="s">
        <v>161</v>
      </c>
      <c r="K192">
        <v>0</v>
      </c>
      <c r="L192" t="s">
        <v>160</v>
      </c>
      <c r="N192" t="s">
        <v>198</v>
      </c>
      <c r="O192" t="s">
        <v>161</v>
      </c>
      <c r="P192">
        <v>8.0137447116049761E-3</v>
      </c>
      <c r="Q192" t="s">
        <v>160</v>
      </c>
      <c r="S192" t="s">
        <v>208</v>
      </c>
      <c r="T192" t="s">
        <v>161</v>
      </c>
      <c r="U192">
        <v>8.0137447116049761E-3</v>
      </c>
      <c r="V192" t="s">
        <v>160</v>
      </c>
    </row>
    <row r="193" spans="9:22" x14ac:dyDescent="0.45">
      <c r="I193" t="s">
        <v>188</v>
      </c>
      <c r="J193" t="s">
        <v>162</v>
      </c>
      <c r="K193">
        <v>7.7749040057166777E-2</v>
      </c>
      <c r="L193" t="s">
        <v>160</v>
      </c>
      <c r="N193" t="s">
        <v>198</v>
      </c>
      <c r="O193" t="s">
        <v>162</v>
      </c>
      <c r="P193">
        <v>9.1781037132361437E-2</v>
      </c>
      <c r="Q193" t="s">
        <v>160</v>
      </c>
      <c r="S193" t="s">
        <v>208</v>
      </c>
      <c r="T193" t="s">
        <v>162</v>
      </c>
      <c r="U193">
        <v>9.1781037132361437E-2</v>
      </c>
      <c r="V193" t="s">
        <v>160</v>
      </c>
    </row>
    <row r="194" spans="9:22" x14ac:dyDescent="0.45">
      <c r="I194" t="s">
        <v>188</v>
      </c>
      <c r="J194" t="s">
        <v>163</v>
      </c>
      <c r="K194">
        <v>2.545086941339376E-3</v>
      </c>
      <c r="L194" t="s">
        <v>160</v>
      </c>
      <c r="N194" t="s">
        <v>198</v>
      </c>
      <c r="O194" t="s">
        <v>163</v>
      </c>
      <c r="P194">
        <v>5.0000040672449224E-2</v>
      </c>
      <c r="Q194" t="s">
        <v>160</v>
      </c>
      <c r="S194" t="s">
        <v>208</v>
      </c>
      <c r="T194" t="s">
        <v>163</v>
      </c>
      <c r="U194">
        <v>5.0000040672449224E-2</v>
      </c>
      <c r="V194" t="s">
        <v>160</v>
      </c>
    </row>
    <row r="195" spans="9:22" x14ac:dyDescent="0.45">
      <c r="I195" t="s">
        <v>188</v>
      </c>
      <c r="J195" t="s">
        <v>164</v>
      </c>
      <c r="K195">
        <v>0</v>
      </c>
      <c r="L195" t="s">
        <v>160</v>
      </c>
      <c r="N195" t="s">
        <v>198</v>
      </c>
      <c r="O195" t="s">
        <v>164</v>
      </c>
      <c r="P195">
        <v>7.4351119617156571E-3</v>
      </c>
      <c r="Q195" t="s">
        <v>160</v>
      </c>
      <c r="S195" t="s">
        <v>208</v>
      </c>
      <c r="T195" t="s">
        <v>164</v>
      </c>
      <c r="U195">
        <v>7.4351119617156571E-3</v>
      </c>
      <c r="V195" t="s">
        <v>160</v>
      </c>
    </row>
    <row r="196" spans="9:22" x14ac:dyDescent="0.45">
      <c r="I196" t="s">
        <v>188</v>
      </c>
      <c r="J196" t="s">
        <v>165</v>
      </c>
      <c r="K196">
        <v>0</v>
      </c>
      <c r="L196" t="s">
        <v>160</v>
      </c>
      <c r="N196" t="s">
        <v>198</v>
      </c>
      <c r="O196" t="s">
        <v>165</v>
      </c>
      <c r="P196">
        <v>1.6421333491817101E-2</v>
      </c>
      <c r="Q196" t="s">
        <v>160</v>
      </c>
      <c r="S196" t="s">
        <v>208</v>
      </c>
      <c r="T196" t="s">
        <v>165</v>
      </c>
      <c r="U196">
        <v>1.6421333491817101E-2</v>
      </c>
      <c r="V196" t="s">
        <v>160</v>
      </c>
    </row>
    <row r="197" spans="9:22" x14ac:dyDescent="0.45">
      <c r="I197" t="s">
        <v>188</v>
      </c>
      <c r="J197" t="s">
        <v>166</v>
      </c>
      <c r="K197">
        <v>0</v>
      </c>
      <c r="L197" t="s">
        <v>160</v>
      </c>
      <c r="N197" t="s">
        <v>198</v>
      </c>
      <c r="O197" t="s">
        <v>166</v>
      </c>
      <c r="P197">
        <v>3.333155179373333E-3</v>
      </c>
      <c r="Q197" t="s">
        <v>160</v>
      </c>
      <c r="S197" t="s">
        <v>208</v>
      </c>
      <c r="T197" t="s">
        <v>166</v>
      </c>
      <c r="U197">
        <v>3.333155179373333E-3</v>
      </c>
      <c r="V197" t="s">
        <v>160</v>
      </c>
    </row>
    <row r="198" spans="9:22" x14ac:dyDescent="0.45">
      <c r="I198" t="s">
        <v>188</v>
      </c>
      <c r="J198" t="s">
        <v>167</v>
      </c>
      <c r="K198">
        <v>3.6902238546303104E-2</v>
      </c>
      <c r="L198" t="s">
        <v>160</v>
      </c>
      <c r="N198" t="s">
        <v>198</v>
      </c>
      <c r="O198" t="s">
        <v>167</v>
      </c>
      <c r="P198">
        <v>3.8673161805696209E-2</v>
      </c>
      <c r="Q198" t="s">
        <v>160</v>
      </c>
      <c r="S198" t="s">
        <v>208</v>
      </c>
      <c r="T198" t="s">
        <v>167</v>
      </c>
      <c r="U198">
        <v>3.8673161805696209E-2</v>
      </c>
      <c r="V198" t="s">
        <v>160</v>
      </c>
    </row>
    <row r="199" spans="9:22" x14ac:dyDescent="0.45">
      <c r="I199" t="s">
        <v>188</v>
      </c>
      <c r="J199" t="s">
        <v>168</v>
      </c>
      <c r="K199">
        <v>3.3094616394464412E-3</v>
      </c>
      <c r="L199" t="s">
        <v>160</v>
      </c>
      <c r="N199" t="s">
        <v>198</v>
      </c>
      <c r="O199" t="s">
        <v>168</v>
      </c>
      <c r="P199">
        <v>2.2259359318243958E-2</v>
      </c>
      <c r="Q199" t="s">
        <v>160</v>
      </c>
      <c r="S199" t="s">
        <v>208</v>
      </c>
      <c r="T199" t="s">
        <v>168</v>
      </c>
      <c r="U199">
        <v>2.2259359318243958E-2</v>
      </c>
      <c r="V199" t="s">
        <v>160</v>
      </c>
    </row>
    <row r="200" spans="9:22" x14ac:dyDescent="0.45">
      <c r="I200" t="s">
        <v>188</v>
      </c>
      <c r="J200" t="s">
        <v>169</v>
      </c>
      <c r="K200">
        <v>0</v>
      </c>
      <c r="L200" t="s">
        <v>160</v>
      </c>
      <c r="N200" t="s">
        <v>198</v>
      </c>
      <c r="O200" t="s">
        <v>169</v>
      </c>
      <c r="P200">
        <v>3.2962254958358557E-3</v>
      </c>
      <c r="Q200" t="s">
        <v>160</v>
      </c>
      <c r="S200" t="s">
        <v>208</v>
      </c>
      <c r="T200" t="s">
        <v>169</v>
      </c>
      <c r="U200">
        <v>3.2962254958358557E-3</v>
      </c>
      <c r="V200" t="s">
        <v>160</v>
      </c>
    </row>
    <row r="201" spans="9:22" x14ac:dyDescent="0.45">
      <c r="I201" t="s">
        <v>188</v>
      </c>
      <c r="J201" t="s">
        <v>170</v>
      </c>
      <c r="K201">
        <v>0</v>
      </c>
      <c r="L201" t="s">
        <v>160</v>
      </c>
      <c r="N201" t="s">
        <v>198</v>
      </c>
      <c r="O201" t="s">
        <v>170</v>
      </c>
      <c r="P201">
        <v>0.12503867866770088</v>
      </c>
      <c r="Q201" t="s">
        <v>160</v>
      </c>
      <c r="S201" t="s">
        <v>208</v>
      </c>
      <c r="T201" t="s">
        <v>170</v>
      </c>
      <c r="U201">
        <v>0.12503867866770088</v>
      </c>
      <c r="V201" t="s">
        <v>160</v>
      </c>
    </row>
    <row r="202" spans="9:22" x14ac:dyDescent="0.45">
      <c r="I202" t="s">
        <v>188</v>
      </c>
      <c r="J202" t="s">
        <v>171</v>
      </c>
      <c r="K202">
        <v>5.9922506252941795E-3</v>
      </c>
      <c r="L202" t="s">
        <v>160</v>
      </c>
      <c r="N202" t="s">
        <v>198</v>
      </c>
      <c r="O202" t="s">
        <v>171</v>
      </c>
      <c r="P202">
        <v>2.5574561188240221E-2</v>
      </c>
      <c r="Q202" t="s">
        <v>160</v>
      </c>
      <c r="S202" t="s">
        <v>208</v>
      </c>
      <c r="T202" t="s">
        <v>171</v>
      </c>
      <c r="U202">
        <v>2.5574561188240221E-2</v>
      </c>
      <c r="V202" t="s">
        <v>160</v>
      </c>
    </row>
    <row r="203" spans="9:22" x14ac:dyDescent="0.45">
      <c r="I203" t="s">
        <v>188</v>
      </c>
      <c r="J203" t="s">
        <v>172</v>
      </c>
      <c r="K203">
        <v>0.77982588929165719</v>
      </c>
      <c r="L203" t="s">
        <v>160</v>
      </c>
      <c r="N203" t="s">
        <v>198</v>
      </c>
      <c r="O203" t="s">
        <v>172</v>
      </c>
      <c r="P203">
        <v>0.31023681065747322</v>
      </c>
      <c r="Q203" t="s">
        <v>160</v>
      </c>
      <c r="S203" t="s">
        <v>208</v>
      </c>
      <c r="T203" t="s">
        <v>172</v>
      </c>
      <c r="U203">
        <v>0.31023681065747322</v>
      </c>
      <c r="V203" t="s">
        <v>160</v>
      </c>
    </row>
    <row r="204" spans="9:22" x14ac:dyDescent="0.45">
      <c r="I204" t="s">
        <v>188</v>
      </c>
      <c r="J204" t="s">
        <v>173</v>
      </c>
      <c r="K204">
        <v>8.6897039755575098E-2</v>
      </c>
      <c r="L204" t="s">
        <v>160</v>
      </c>
      <c r="N204" t="s">
        <v>198</v>
      </c>
      <c r="O204" t="s">
        <v>173</v>
      </c>
      <c r="P204">
        <v>0.18216433907821003</v>
      </c>
      <c r="Q204" t="s">
        <v>160</v>
      </c>
      <c r="S204" t="s">
        <v>208</v>
      </c>
      <c r="T204" t="s">
        <v>173</v>
      </c>
      <c r="U204">
        <v>0.18216433907821003</v>
      </c>
      <c r="V204" t="s">
        <v>160</v>
      </c>
    </row>
    <row r="205" spans="9:22" x14ac:dyDescent="0.45">
      <c r="I205" t="s">
        <v>188</v>
      </c>
      <c r="J205" t="s">
        <v>174</v>
      </c>
      <c r="K205">
        <v>0</v>
      </c>
      <c r="L205" t="s">
        <v>160</v>
      </c>
      <c r="N205" t="s">
        <v>198</v>
      </c>
      <c r="O205" t="s">
        <v>174</v>
      </c>
      <c r="P205">
        <v>2.5470370401614349E-2</v>
      </c>
      <c r="Q205" t="s">
        <v>160</v>
      </c>
      <c r="S205" t="s">
        <v>208</v>
      </c>
      <c r="T205" t="s">
        <v>174</v>
      </c>
      <c r="U205">
        <v>2.5470370401614349E-2</v>
      </c>
      <c r="V205" t="s">
        <v>160</v>
      </c>
    </row>
    <row r="206" spans="9:22" x14ac:dyDescent="0.45">
      <c r="I206" t="s">
        <v>188</v>
      </c>
      <c r="J206" t="s">
        <v>175</v>
      </c>
      <c r="K206">
        <v>0</v>
      </c>
      <c r="L206" t="s">
        <v>160</v>
      </c>
      <c r="N206" t="s">
        <v>198</v>
      </c>
      <c r="O206" t="s">
        <v>175</v>
      </c>
      <c r="P206">
        <v>1.1963138888610328E-2</v>
      </c>
      <c r="Q206" t="s">
        <v>160</v>
      </c>
      <c r="S206" t="s">
        <v>208</v>
      </c>
      <c r="T206" t="s">
        <v>175</v>
      </c>
      <c r="U206">
        <v>1.1963138888610328E-2</v>
      </c>
      <c r="V206" t="s">
        <v>160</v>
      </c>
    </row>
    <row r="207" spans="9:22" x14ac:dyDescent="0.45">
      <c r="I207" t="s">
        <v>188</v>
      </c>
      <c r="J207" t="s">
        <v>176</v>
      </c>
      <c r="K207">
        <v>0</v>
      </c>
      <c r="L207" t="s">
        <v>160</v>
      </c>
      <c r="N207" t="s">
        <v>198</v>
      </c>
      <c r="O207" t="s">
        <v>176</v>
      </c>
      <c r="P207">
        <v>2.4080301956438369E-3</v>
      </c>
      <c r="Q207" t="s">
        <v>160</v>
      </c>
      <c r="S207" t="s">
        <v>208</v>
      </c>
      <c r="T207" t="s">
        <v>176</v>
      </c>
      <c r="U207">
        <v>2.4080301956438369E-3</v>
      </c>
      <c r="V207" t="s">
        <v>160</v>
      </c>
    </row>
    <row r="208" spans="9:22" x14ac:dyDescent="0.45">
      <c r="I208" t="s">
        <v>188</v>
      </c>
      <c r="J208" t="s">
        <v>177</v>
      </c>
      <c r="K208">
        <v>6.7789931432189416E-3</v>
      </c>
      <c r="L208" t="s">
        <v>160</v>
      </c>
      <c r="N208" t="s">
        <v>198</v>
      </c>
      <c r="O208" t="s">
        <v>177</v>
      </c>
      <c r="P208">
        <v>2.3528229936837525E-2</v>
      </c>
      <c r="Q208" t="s">
        <v>160</v>
      </c>
      <c r="S208" t="s">
        <v>208</v>
      </c>
      <c r="T208" t="s">
        <v>177</v>
      </c>
      <c r="U208">
        <v>2.3528229936837525E-2</v>
      </c>
      <c r="V208" t="s">
        <v>160</v>
      </c>
    </row>
    <row r="209" spans="9:22" x14ac:dyDescent="0.45">
      <c r="I209" t="s">
        <v>188</v>
      </c>
      <c r="J209" t="s">
        <v>178</v>
      </c>
      <c r="K209">
        <v>0</v>
      </c>
      <c r="L209" t="s">
        <v>160</v>
      </c>
      <c r="N209" t="s">
        <v>198</v>
      </c>
      <c r="O209" t="s">
        <v>178</v>
      </c>
      <c r="P209">
        <v>1.2570733243986682E-2</v>
      </c>
      <c r="Q209" t="s">
        <v>160</v>
      </c>
      <c r="S209" t="s">
        <v>208</v>
      </c>
      <c r="T209" t="s">
        <v>178</v>
      </c>
      <c r="U209">
        <v>1.2570733243986682E-2</v>
      </c>
      <c r="V209" t="s">
        <v>160</v>
      </c>
    </row>
    <row r="210" spans="9:22" x14ac:dyDescent="0.45">
      <c r="I210" t="s">
        <v>188</v>
      </c>
      <c r="J210" t="s">
        <v>179</v>
      </c>
      <c r="K210">
        <v>0</v>
      </c>
      <c r="L210" t="s">
        <v>160</v>
      </c>
      <c r="N210" t="s">
        <v>198</v>
      </c>
      <c r="O210" t="s">
        <v>179</v>
      </c>
      <c r="P210">
        <v>2.1980906448304032E-3</v>
      </c>
      <c r="Q210" t="s">
        <v>160</v>
      </c>
      <c r="S210" t="s">
        <v>208</v>
      </c>
      <c r="T210" t="s">
        <v>179</v>
      </c>
      <c r="U210">
        <v>2.1980906448304032E-3</v>
      </c>
      <c r="V210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9609-665E-47E2-89AF-0945AA16DA6D}">
  <dimension ref="A9:AN26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221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157</v>
      </c>
      <c r="L10" t="s">
        <v>30</v>
      </c>
      <c r="N10" t="s">
        <v>13</v>
      </c>
      <c r="O10" t="s">
        <v>115</v>
      </c>
      <c r="P10" t="s">
        <v>157</v>
      </c>
      <c r="Q10" t="s">
        <v>30</v>
      </c>
      <c r="S10" t="s">
        <v>13</v>
      </c>
      <c r="T10" t="s">
        <v>115</v>
      </c>
      <c r="U10" t="s">
        <v>157</v>
      </c>
      <c r="V10" t="s">
        <v>30</v>
      </c>
      <c r="X10" t="s">
        <v>209</v>
      </c>
      <c r="Y10" t="s">
        <v>157</v>
      </c>
      <c r="Z10" t="s">
        <v>115</v>
      </c>
      <c r="AA10" t="s">
        <v>13</v>
      </c>
      <c r="AC10" t="s">
        <v>13</v>
      </c>
      <c r="AD10" t="s">
        <v>115</v>
      </c>
      <c r="AE10" t="s">
        <v>157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219</v>
      </c>
      <c r="G11" t="s">
        <v>146</v>
      </c>
      <c r="I11" t="s">
        <v>158</v>
      </c>
      <c r="J11" t="s">
        <v>159</v>
      </c>
      <c r="K11">
        <v>0</v>
      </c>
      <c r="L11" t="s">
        <v>160</v>
      </c>
      <c r="N11" t="s">
        <v>189</v>
      </c>
      <c r="O11" t="s">
        <v>159</v>
      </c>
      <c r="P11">
        <v>4.1155501762094072E-2</v>
      </c>
      <c r="Q11" t="s">
        <v>160</v>
      </c>
      <c r="S11" t="s">
        <v>199</v>
      </c>
      <c r="T11" t="s">
        <v>159</v>
      </c>
      <c r="U11">
        <v>4.1155501762094072E-2</v>
      </c>
      <c r="V11" t="s">
        <v>160</v>
      </c>
      <c r="X11">
        <v>3.5958904109589039E-2</v>
      </c>
      <c r="Y11">
        <v>5.5967978519752383E-3</v>
      </c>
      <c r="Z11" t="s">
        <v>159</v>
      </c>
      <c r="AA11" t="s">
        <v>25</v>
      </c>
      <c r="AC11" t="s">
        <v>22</v>
      </c>
      <c r="AD11" t="s">
        <v>159</v>
      </c>
      <c r="AE11">
        <v>3.1141394414270687E-2</v>
      </c>
      <c r="AG11" t="s">
        <v>96</v>
      </c>
      <c r="AH11" t="s">
        <v>159</v>
      </c>
      <c r="AI11">
        <v>5.2672297986369632E-2</v>
      </c>
      <c r="AK11">
        <v>2020</v>
      </c>
      <c r="AL11" t="s">
        <v>145</v>
      </c>
      <c r="AM11">
        <v>0.35170000000000007</v>
      </c>
      <c r="AN11" t="s">
        <v>218</v>
      </c>
    </row>
    <row r="12" spans="1:40" x14ac:dyDescent="0.45">
      <c r="C12" t="s">
        <v>149</v>
      </c>
      <c r="E12" t="s">
        <v>150</v>
      </c>
      <c r="G12" t="s">
        <v>146</v>
      </c>
      <c r="I12" t="s">
        <v>158</v>
      </c>
      <c r="J12" t="s">
        <v>161</v>
      </c>
      <c r="K12">
        <v>0</v>
      </c>
      <c r="L12" t="s">
        <v>160</v>
      </c>
      <c r="N12" t="s">
        <v>189</v>
      </c>
      <c r="O12" t="s">
        <v>161</v>
      </c>
      <c r="P12">
        <v>8.6781296194825015E-3</v>
      </c>
      <c r="Q12" t="s">
        <v>160</v>
      </c>
      <c r="S12" t="s">
        <v>199</v>
      </c>
      <c r="T12" t="s">
        <v>161</v>
      </c>
      <c r="U12">
        <v>8.6781296194825015E-3</v>
      </c>
      <c r="V12" t="s">
        <v>160</v>
      </c>
      <c r="X12">
        <v>7.1917808219178082E-3</v>
      </c>
      <c r="Y12">
        <v>3.6337418889690002E-3</v>
      </c>
      <c r="Z12" t="s">
        <v>161</v>
      </c>
      <c r="AA12" t="s">
        <v>25</v>
      </c>
      <c r="AC12" t="s">
        <v>22</v>
      </c>
      <c r="AD12" t="s">
        <v>161</v>
      </c>
      <c r="AE12">
        <v>6.4757562058127159E-3</v>
      </c>
      <c r="AG12" t="s">
        <v>96</v>
      </c>
      <c r="AH12" t="s">
        <v>161</v>
      </c>
      <c r="AI12">
        <v>3.6927882191096773E-2</v>
      </c>
      <c r="AK12">
        <v>2020</v>
      </c>
      <c r="AL12" t="s">
        <v>149</v>
      </c>
      <c r="AM12">
        <v>0.39240000000000003</v>
      </c>
      <c r="AN12" t="s">
        <v>218</v>
      </c>
    </row>
    <row r="13" spans="1:40" x14ac:dyDescent="0.45">
      <c r="C13" t="s">
        <v>151</v>
      </c>
      <c r="E13" t="s">
        <v>152</v>
      </c>
      <c r="G13" t="s">
        <v>146</v>
      </c>
      <c r="I13" t="s">
        <v>158</v>
      </c>
      <c r="J13" t="s">
        <v>162</v>
      </c>
      <c r="K13">
        <v>8.4162389889362491E-2</v>
      </c>
      <c r="L13" t="s">
        <v>160</v>
      </c>
      <c r="N13" t="s">
        <v>189</v>
      </c>
      <c r="O13" t="s">
        <v>162</v>
      </c>
      <c r="P13">
        <v>9.5211009036241703E-2</v>
      </c>
      <c r="Q13" t="s">
        <v>160</v>
      </c>
      <c r="S13" t="s">
        <v>199</v>
      </c>
      <c r="T13" t="s">
        <v>162</v>
      </c>
      <c r="U13">
        <v>9.5211009036241703E-2</v>
      </c>
      <c r="V13" t="s">
        <v>160</v>
      </c>
      <c r="X13">
        <v>7.9109589041095885E-2</v>
      </c>
      <c r="Y13">
        <v>0.11137210053949236</v>
      </c>
      <c r="Z13" t="s">
        <v>162</v>
      </c>
      <c r="AA13" t="s">
        <v>25</v>
      </c>
      <c r="AC13" t="s">
        <v>22</v>
      </c>
      <c r="AD13" t="s">
        <v>162</v>
      </c>
      <c r="AE13">
        <v>9.8216023127855961E-2</v>
      </c>
      <c r="AG13" t="s">
        <v>96</v>
      </c>
      <c r="AH13" t="s">
        <v>162</v>
      </c>
      <c r="AI13">
        <v>6.3293877830872258E-2</v>
      </c>
      <c r="AK13">
        <v>2020</v>
      </c>
      <c r="AL13" t="s">
        <v>151</v>
      </c>
      <c r="AM13">
        <v>0.32618749999999996</v>
      </c>
      <c r="AN13" t="s">
        <v>218</v>
      </c>
    </row>
    <row r="14" spans="1:40" x14ac:dyDescent="0.45">
      <c r="C14" t="s">
        <v>153</v>
      </c>
      <c r="E14" t="s">
        <v>154</v>
      </c>
      <c r="G14" t="s">
        <v>146</v>
      </c>
      <c r="I14" t="s">
        <v>158</v>
      </c>
      <c r="J14" t="s">
        <v>163</v>
      </c>
      <c r="K14">
        <v>2.4335131491943032E-3</v>
      </c>
      <c r="L14" t="s">
        <v>160</v>
      </c>
      <c r="N14" t="s">
        <v>189</v>
      </c>
      <c r="O14" t="s">
        <v>163</v>
      </c>
      <c r="P14">
        <v>5.3085890478889258E-2</v>
      </c>
      <c r="Q14" t="s">
        <v>160</v>
      </c>
      <c r="S14" t="s">
        <v>199</v>
      </c>
      <c r="T14" t="s">
        <v>163</v>
      </c>
      <c r="U14">
        <v>5.3085890478889258E-2</v>
      </c>
      <c r="V14" t="s">
        <v>160</v>
      </c>
      <c r="X14">
        <v>4.3150684931506852E-2</v>
      </c>
      <c r="Y14">
        <v>5.0120577778882736E-2</v>
      </c>
      <c r="Z14" t="s">
        <v>163</v>
      </c>
      <c r="AA14" t="s">
        <v>25</v>
      </c>
      <c r="AC14" t="s">
        <v>22</v>
      </c>
      <c r="AD14" t="s">
        <v>163</v>
      </c>
      <c r="AE14">
        <v>5.3016457443800583E-2</v>
      </c>
      <c r="AG14" t="s">
        <v>96</v>
      </c>
      <c r="AH14" t="s">
        <v>163</v>
      </c>
      <c r="AI14">
        <v>6.9971871066313751E-2</v>
      </c>
      <c r="AK14">
        <v>2020</v>
      </c>
      <c r="AL14" t="s">
        <v>153</v>
      </c>
      <c r="AM14">
        <v>0.32336666666666664</v>
      </c>
      <c r="AN14" t="s">
        <v>218</v>
      </c>
    </row>
    <row r="15" spans="1:40" x14ac:dyDescent="0.45">
      <c r="C15" t="s">
        <v>220</v>
      </c>
      <c r="E15" t="s">
        <v>155</v>
      </c>
      <c r="G15" t="s">
        <v>146</v>
      </c>
      <c r="I15" t="s">
        <v>158</v>
      </c>
      <c r="J15" t="s">
        <v>164</v>
      </c>
      <c r="K15">
        <v>0</v>
      </c>
      <c r="L15" t="s">
        <v>160</v>
      </c>
      <c r="N15" t="s">
        <v>189</v>
      </c>
      <c r="O15" t="s">
        <v>164</v>
      </c>
      <c r="P15">
        <v>7.7621946437447849E-3</v>
      </c>
      <c r="Q15" t="s">
        <v>160</v>
      </c>
      <c r="S15" t="s">
        <v>199</v>
      </c>
      <c r="T15" t="s">
        <v>164</v>
      </c>
      <c r="U15">
        <v>7.7621946437447849E-3</v>
      </c>
      <c r="V15" t="s">
        <v>160</v>
      </c>
      <c r="X15">
        <v>7.1917808219178082E-3</v>
      </c>
      <c r="Y15">
        <v>1.8795216667081035E-3</v>
      </c>
      <c r="Z15" t="s">
        <v>164</v>
      </c>
      <c r="AA15" t="s">
        <v>25</v>
      </c>
      <c r="AC15" t="s">
        <v>22</v>
      </c>
      <c r="AD15" t="s">
        <v>164</v>
      </c>
      <c r="AE15">
        <v>7.0114123586230955E-3</v>
      </c>
      <c r="AG15" t="s">
        <v>96</v>
      </c>
      <c r="AH15" t="s">
        <v>164</v>
      </c>
      <c r="AI15">
        <v>2.7108783097258504E-2</v>
      </c>
      <c r="AK15">
        <v>2020</v>
      </c>
      <c r="AL15" t="s">
        <v>220</v>
      </c>
      <c r="AM15">
        <v>0.24210000000000001</v>
      </c>
      <c r="AN15" t="s">
        <v>218</v>
      </c>
    </row>
    <row r="16" spans="1:40" x14ac:dyDescent="0.45">
      <c r="I16" t="s">
        <v>158</v>
      </c>
      <c r="J16" t="s">
        <v>165</v>
      </c>
      <c r="K16">
        <v>0</v>
      </c>
      <c r="L16" t="s">
        <v>160</v>
      </c>
      <c r="N16" t="s">
        <v>189</v>
      </c>
      <c r="O16" t="s">
        <v>165</v>
      </c>
      <c r="P16">
        <v>1.7018012852012661E-2</v>
      </c>
      <c r="Q16" t="s">
        <v>160</v>
      </c>
      <c r="S16" t="s">
        <v>199</v>
      </c>
      <c r="T16" t="s">
        <v>165</v>
      </c>
      <c r="U16">
        <v>1.7018012852012661E-2</v>
      </c>
      <c r="V16" t="s">
        <v>160</v>
      </c>
      <c r="X16">
        <v>1.0273972602739725E-2</v>
      </c>
      <c r="Y16">
        <v>1.599085100564354E-3</v>
      </c>
      <c r="Z16" t="s">
        <v>165</v>
      </c>
      <c r="AA16" t="s">
        <v>25</v>
      </c>
      <c r="AC16" t="s">
        <v>22</v>
      </c>
      <c r="AD16" t="s">
        <v>165</v>
      </c>
      <c r="AE16">
        <v>8.3317502367068665E-3</v>
      </c>
      <c r="AG16" t="s">
        <v>96</v>
      </c>
      <c r="AH16" t="s">
        <v>165</v>
      </c>
      <c r="AI16">
        <v>6.0593287124430573E-2</v>
      </c>
      <c r="AK16">
        <v>2021</v>
      </c>
      <c r="AL16" t="s">
        <v>145</v>
      </c>
      <c r="AM16">
        <v>0.33969999999999995</v>
      </c>
      <c r="AN16" t="s">
        <v>218</v>
      </c>
    </row>
    <row r="17" spans="9:40" x14ac:dyDescent="0.45">
      <c r="I17" t="s">
        <v>158</v>
      </c>
      <c r="J17" t="s">
        <v>166</v>
      </c>
      <c r="K17">
        <v>0</v>
      </c>
      <c r="L17" t="s">
        <v>160</v>
      </c>
      <c r="N17" t="s">
        <v>189</v>
      </c>
      <c r="O17" t="s">
        <v>166</v>
      </c>
      <c r="P17">
        <v>3.416384583744706E-3</v>
      </c>
      <c r="Q17" t="s">
        <v>160</v>
      </c>
      <c r="S17" t="s">
        <v>199</v>
      </c>
      <c r="T17" t="s">
        <v>166</v>
      </c>
      <c r="U17">
        <v>3.416384583744706E-3</v>
      </c>
      <c r="V17" t="s">
        <v>160</v>
      </c>
      <c r="X17">
        <v>2.054794520547945E-3</v>
      </c>
      <c r="Y17">
        <v>1.0382119682768567E-3</v>
      </c>
      <c r="Z17" t="s">
        <v>166</v>
      </c>
      <c r="AA17" t="s">
        <v>25</v>
      </c>
      <c r="AC17" t="s">
        <v>22</v>
      </c>
      <c r="AD17" t="s">
        <v>166</v>
      </c>
      <c r="AE17">
        <v>1.7364280853536004E-3</v>
      </c>
      <c r="AG17" t="s">
        <v>96</v>
      </c>
      <c r="AH17" t="s">
        <v>166</v>
      </c>
      <c r="AI17">
        <v>3.9740180945412984E-2</v>
      </c>
      <c r="AK17">
        <v>2021</v>
      </c>
      <c r="AL17" t="s">
        <v>149</v>
      </c>
      <c r="AM17">
        <v>0.31530000000000002</v>
      </c>
      <c r="AN17" t="s">
        <v>218</v>
      </c>
    </row>
    <row r="18" spans="9:40" x14ac:dyDescent="0.45">
      <c r="I18" t="s">
        <v>158</v>
      </c>
      <c r="J18" t="s">
        <v>167</v>
      </c>
      <c r="K18">
        <v>3.7453489256400088E-2</v>
      </c>
      <c r="L18" t="s">
        <v>160</v>
      </c>
      <c r="N18" t="s">
        <v>189</v>
      </c>
      <c r="O18" t="s">
        <v>167</v>
      </c>
      <c r="P18">
        <v>4.2722037029379857E-2</v>
      </c>
      <c r="Q18" t="s">
        <v>160</v>
      </c>
      <c r="S18" t="s">
        <v>199</v>
      </c>
      <c r="T18" t="s">
        <v>167</v>
      </c>
      <c r="U18">
        <v>4.2722037029379857E-2</v>
      </c>
      <c r="V18" t="s">
        <v>160</v>
      </c>
      <c r="X18">
        <v>2.2602739726027398E-2</v>
      </c>
      <c r="Y18">
        <v>3.182060015414067E-2</v>
      </c>
      <c r="Z18" t="s">
        <v>167</v>
      </c>
      <c r="AA18" t="s">
        <v>25</v>
      </c>
      <c r="AC18" t="s">
        <v>22</v>
      </c>
      <c r="AD18" t="s">
        <v>167</v>
      </c>
      <c r="AE18">
        <v>2.711175168044596E-2</v>
      </c>
      <c r="AG18" t="s">
        <v>96</v>
      </c>
      <c r="AH18" t="s">
        <v>167</v>
      </c>
      <c r="AI18">
        <v>7.0368426684058072E-2</v>
      </c>
      <c r="AK18">
        <v>2021</v>
      </c>
      <c r="AL18" t="s">
        <v>151</v>
      </c>
      <c r="AM18">
        <v>0.31061250000000001</v>
      </c>
      <c r="AN18" t="s">
        <v>218</v>
      </c>
    </row>
    <row r="19" spans="9:40" x14ac:dyDescent="0.45">
      <c r="I19" t="s">
        <v>158</v>
      </c>
      <c r="J19" t="s">
        <v>168</v>
      </c>
      <c r="K19">
        <v>2.3442299612880676E-3</v>
      </c>
      <c r="L19" t="s">
        <v>160</v>
      </c>
      <c r="N19" t="s">
        <v>189</v>
      </c>
      <c r="O19" t="s">
        <v>168</v>
      </c>
      <c r="P19">
        <v>2.5782480190125055E-2</v>
      </c>
      <c r="Q19" t="s">
        <v>160</v>
      </c>
      <c r="S19" t="s">
        <v>199</v>
      </c>
      <c r="T19" t="s">
        <v>168</v>
      </c>
      <c r="U19">
        <v>2.5782480190125055E-2</v>
      </c>
      <c r="V19" t="s">
        <v>160</v>
      </c>
      <c r="X19">
        <v>1.2328767123287671E-2</v>
      </c>
      <c r="Y19">
        <v>1.4320165079680784E-2</v>
      </c>
      <c r="Z19" t="s">
        <v>168</v>
      </c>
      <c r="AA19" t="s">
        <v>25</v>
      </c>
      <c r="AC19" t="s">
        <v>22</v>
      </c>
      <c r="AD19" t="s">
        <v>168</v>
      </c>
      <c r="AE19">
        <v>1.4611232257323022E-2</v>
      </c>
      <c r="AG19" t="s">
        <v>96</v>
      </c>
      <c r="AH19" t="s">
        <v>168</v>
      </c>
      <c r="AI19">
        <v>8.0017809480957158E-2</v>
      </c>
      <c r="AK19">
        <v>2021</v>
      </c>
      <c r="AL19" t="s">
        <v>153</v>
      </c>
      <c r="AM19">
        <v>0.18703333333333336</v>
      </c>
      <c r="AN19" t="s">
        <v>218</v>
      </c>
    </row>
    <row r="20" spans="9:40" x14ac:dyDescent="0.45">
      <c r="I20" t="s">
        <v>158</v>
      </c>
      <c r="J20" t="s">
        <v>169</v>
      </c>
      <c r="K20">
        <v>0</v>
      </c>
      <c r="L20" t="s">
        <v>160</v>
      </c>
      <c r="N20" t="s">
        <v>189</v>
      </c>
      <c r="O20" t="s">
        <v>169</v>
      </c>
      <c r="P20">
        <v>3.7269722542967879E-3</v>
      </c>
      <c r="Q20" t="s">
        <v>160</v>
      </c>
      <c r="S20" t="s">
        <v>199</v>
      </c>
      <c r="T20" t="s">
        <v>169</v>
      </c>
      <c r="U20">
        <v>3.7269722542967879E-3</v>
      </c>
      <c r="V20" t="s">
        <v>160</v>
      </c>
      <c r="X20">
        <v>2.054794520547945E-3</v>
      </c>
      <c r="Y20">
        <v>5.3700619048802935E-4</v>
      </c>
      <c r="Z20" t="s">
        <v>169</v>
      </c>
      <c r="AA20" t="s">
        <v>25</v>
      </c>
      <c r="AC20" t="s">
        <v>22</v>
      </c>
      <c r="AD20" t="s">
        <v>169</v>
      </c>
      <c r="AE20">
        <v>1.8797004298796826E-3</v>
      </c>
      <c r="AG20" t="s">
        <v>96</v>
      </c>
      <c r="AH20" t="s">
        <v>169</v>
      </c>
      <c r="AI20">
        <v>2.6263652527305004E-2</v>
      </c>
      <c r="AK20">
        <v>2021</v>
      </c>
      <c r="AL20" t="s">
        <v>220</v>
      </c>
      <c r="AM20">
        <v>0.2074</v>
      </c>
      <c r="AN20" t="s">
        <v>218</v>
      </c>
    </row>
    <row r="21" spans="9:40" x14ac:dyDescent="0.45">
      <c r="I21" t="s">
        <v>158</v>
      </c>
      <c r="J21" t="s">
        <v>170</v>
      </c>
      <c r="K21">
        <v>0</v>
      </c>
      <c r="L21" t="s">
        <v>160</v>
      </c>
      <c r="N21" t="s">
        <v>189</v>
      </c>
      <c r="O21" t="s">
        <v>170</v>
      </c>
      <c r="P21">
        <v>7.6240706827950491E-2</v>
      </c>
      <c r="Q21" t="s">
        <v>160</v>
      </c>
      <c r="S21" t="s">
        <v>199</v>
      </c>
      <c r="T21" t="s">
        <v>170</v>
      </c>
      <c r="U21">
        <v>7.6240706827950491E-2</v>
      </c>
      <c r="V21" t="s">
        <v>160</v>
      </c>
      <c r="X21">
        <v>0.11244292237442922</v>
      </c>
      <c r="Y21">
        <v>1.750109804506543E-2</v>
      </c>
      <c r="Z21" t="s">
        <v>170</v>
      </c>
      <c r="AA21" t="s">
        <v>25</v>
      </c>
      <c r="AC21" t="s">
        <v>22</v>
      </c>
      <c r="AD21" t="s">
        <v>170</v>
      </c>
      <c r="AE21">
        <v>7.7154975208739374E-2</v>
      </c>
      <c r="AG21" t="s">
        <v>96</v>
      </c>
      <c r="AH21" t="s">
        <v>170</v>
      </c>
      <c r="AI21">
        <v>0.20593654588648547</v>
      </c>
      <c r="AK21">
        <v>2022</v>
      </c>
      <c r="AL21" t="s">
        <v>145</v>
      </c>
      <c r="AM21">
        <v>0.32436666666666664</v>
      </c>
      <c r="AN21" t="s">
        <v>218</v>
      </c>
    </row>
    <row r="22" spans="9:40" x14ac:dyDescent="0.45">
      <c r="I22" t="s">
        <v>158</v>
      </c>
      <c r="J22" t="s">
        <v>171</v>
      </c>
      <c r="K22">
        <v>8.2861854494402434E-3</v>
      </c>
      <c r="L22" t="s">
        <v>160</v>
      </c>
      <c r="N22" t="s">
        <v>189</v>
      </c>
      <c r="O22" t="s">
        <v>171</v>
      </c>
      <c r="P22">
        <v>1.4825650169229581E-2</v>
      </c>
      <c r="Q22" t="s">
        <v>160</v>
      </c>
      <c r="S22" t="s">
        <v>199</v>
      </c>
      <c r="T22" t="s">
        <v>171</v>
      </c>
      <c r="U22">
        <v>1.4825650169229581E-2</v>
      </c>
      <c r="V22" t="s">
        <v>160</v>
      </c>
      <c r="X22">
        <v>2.2488584474885845E-2</v>
      </c>
      <c r="Y22">
        <v>1.1362653208363377E-2</v>
      </c>
      <c r="Z22" t="s">
        <v>171</v>
      </c>
      <c r="AA22" t="s">
        <v>25</v>
      </c>
      <c r="AC22" t="s">
        <v>22</v>
      </c>
      <c r="AD22" t="s">
        <v>171</v>
      </c>
      <c r="AE22">
        <v>1.6076452155147639E-2</v>
      </c>
      <c r="AG22" t="s">
        <v>96</v>
      </c>
      <c r="AH22" t="s">
        <v>171</v>
      </c>
      <c r="AI22">
        <v>0.14753689866995057</v>
      </c>
      <c r="AK22">
        <v>2022</v>
      </c>
      <c r="AL22" t="s">
        <v>149</v>
      </c>
      <c r="AM22">
        <v>0.28210000000000002</v>
      </c>
      <c r="AN22" t="s">
        <v>218</v>
      </c>
    </row>
    <row r="23" spans="9:40" x14ac:dyDescent="0.45">
      <c r="I23" t="s">
        <v>158</v>
      </c>
      <c r="J23" t="s">
        <v>172</v>
      </c>
      <c r="K23">
        <v>0.67608943434523006</v>
      </c>
      <c r="L23" t="s">
        <v>160</v>
      </c>
      <c r="N23" t="s">
        <v>189</v>
      </c>
      <c r="O23" t="s">
        <v>172</v>
      </c>
      <c r="P23">
        <v>0.19725369160744383</v>
      </c>
      <c r="Q23" t="s">
        <v>160</v>
      </c>
      <c r="S23" t="s">
        <v>199</v>
      </c>
      <c r="T23" t="s">
        <v>172</v>
      </c>
      <c r="U23">
        <v>0.19725369160744383</v>
      </c>
      <c r="V23" t="s">
        <v>160</v>
      </c>
      <c r="X23">
        <v>0.24737442922374428</v>
      </c>
      <c r="Y23">
        <v>0.34825879057587289</v>
      </c>
      <c r="Z23" t="s">
        <v>172</v>
      </c>
      <c r="AA23" t="s">
        <v>25</v>
      </c>
      <c r="AC23" t="s">
        <v>22</v>
      </c>
      <c r="AD23" t="s">
        <v>172</v>
      </c>
      <c r="AE23">
        <v>0.25284752252682674</v>
      </c>
      <c r="AG23" t="s">
        <v>96</v>
      </c>
      <c r="AH23" t="s">
        <v>172</v>
      </c>
      <c r="AI23">
        <v>0.19535049221563217</v>
      </c>
      <c r="AK23">
        <v>2022</v>
      </c>
      <c r="AL23" t="s">
        <v>151</v>
      </c>
      <c r="AM23">
        <v>0.24274999999999997</v>
      </c>
      <c r="AN23" t="s">
        <v>218</v>
      </c>
    </row>
    <row r="24" spans="9:40" x14ac:dyDescent="0.45">
      <c r="I24" t="s">
        <v>158</v>
      </c>
      <c r="J24" t="s">
        <v>173</v>
      </c>
      <c r="K24">
        <v>7.5672142133041562E-2</v>
      </c>
      <c r="L24" t="s">
        <v>160</v>
      </c>
      <c r="N24" t="s">
        <v>189</v>
      </c>
      <c r="O24" t="s">
        <v>173</v>
      </c>
      <c r="P24">
        <v>0.12839206135976083</v>
      </c>
      <c r="Q24" t="s">
        <v>160</v>
      </c>
      <c r="S24" t="s">
        <v>199</v>
      </c>
      <c r="T24" t="s">
        <v>173</v>
      </c>
      <c r="U24">
        <v>0.12839206135976083</v>
      </c>
      <c r="V24" t="s">
        <v>160</v>
      </c>
      <c r="X24">
        <v>0.13493150684931507</v>
      </c>
      <c r="Y24">
        <v>0.15672625114983968</v>
      </c>
      <c r="Z24" t="s">
        <v>173</v>
      </c>
      <c r="AA24" t="s">
        <v>25</v>
      </c>
      <c r="AC24" t="s">
        <v>22</v>
      </c>
      <c r="AD24" t="s">
        <v>173</v>
      </c>
      <c r="AE24">
        <v>0.13775976898201678</v>
      </c>
      <c r="AG24" t="s">
        <v>96</v>
      </c>
      <c r="AH24" t="s">
        <v>173</v>
      </c>
      <c r="AI24">
        <v>0.18698901916725985</v>
      </c>
      <c r="AK24">
        <v>2022</v>
      </c>
      <c r="AL24" t="s">
        <v>153</v>
      </c>
      <c r="AM24">
        <v>0.22900000000000001</v>
      </c>
      <c r="AN24" t="s">
        <v>218</v>
      </c>
    </row>
    <row r="25" spans="9:40" x14ac:dyDescent="0.45">
      <c r="I25" t="s">
        <v>158</v>
      </c>
      <c r="J25" t="s">
        <v>174</v>
      </c>
      <c r="K25">
        <v>0</v>
      </c>
      <c r="L25" t="s">
        <v>160</v>
      </c>
      <c r="N25" t="s">
        <v>189</v>
      </c>
      <c r="O25" t="s">
        <v>174</v>
      </c>
      <c r="P25">
        <v>1.4915566188731886E-2</v>
      </c>
      <c r="Q25" t="s">
        <v>160</v>
      </c>
      <c r="S25" t="s">
        <v>199</v>
      </c>
      <c r="T25" t="s">
        <v>174</v>
      </c>
      <c r="U25">
        <v>1.4915566188731886E-2</v>
      </c>
      <c r="V25" t="s">
        <v>160</v>
      </c>
      <c r="X25">
        <v>2.2488584474885845E-2</v>
      </c>
      <c r="Y25">
        <v>5.8772344181189885E-3</v>
      </c>
      <c r="Z25" t="s">
        <v>174</v>
      </c>
      <c r="AA25" t="s">
        <v>25</v>
      </c>
      <c r="AC25" t="s">
        <v>22</v>
      </c>
      <c r="AD25" t="s">
        <v>174</v>
      </c>
      <c r="AE25">
        <v>1.8854016473595921E-2</v>
      </c>
      <c r="AG25" t="s">
        <v>96</v>
      </c>
      <c r="AH25" t="s">
        <v>174</v>
      </c>
      <c r="AI25">
        <v>0.13544204976775487</v>
      </c>
      <c r="AK25">
        <v>2022</v>
      </c>
      <c r="AL25" t="s">
        <v>220</v>
      </c>
      <c r="AM25">
        <v>0.24890000000000001</v>
      </c>
      <c r="AN25" t="s">
        <v>218</v>
      </c>
    </row>
    <row r="26" spans="9:40" x14ac:dyDescent="0.45">
      <c r="I26" t="s">
        <v>158</v>
      </c>
      <c r="J26" t="s">
        <v>175</v>
      </c>
      <c r="K26">
        <v>0</v>
      </c>
      <c r="L26" t="s">
        <v>160</v>
      </c>
      <c r="N26" t="s">
        <v>189</v>
      </c>
      <c r="O26" t="s">
        <v>175</v>
      </c>
      <c r="P26">
        <v>4.5050939865147251E-2</v>
      </c>
      <c r="Q26" t="s">
        <v>160</v>
      </c>
      <c r="S26" t="s">
        <v>199</v>
      </c>
      <c r="T26" t="s">
        <v>175</v>
      </c>
      <c r="U26">
        <v>4.5050939865147251E-2</v>
      </c>
      <c r="V26" t="s">
        <v>160</v>
      </c>
      <c r="X26">
        <v>4.509132420091324E-2</v>
      </c>
      <c r="Y26">
        <v>7.0182068302546644E-3</v>
      </c>
      <c r="Z26" t="s">
        <v>175</v>
      </c>
      <c r="AA26" t="s">
        <v>25</v>
      </c>
      <c r="AC26" t="s">
        <v>22</v>
      </c>
      <c r="AD26" t="s">
        <v>175</v>
      </c>
      <c r="AE26">
        <v>3.4255833790178845E-2</v>
      </c>
      <c r="AG26" t="s">
        <v>96</v>
      </c>
      <c r="AH26" t="s">
        <v>175</v>
      </c>
      <c r="AI26">
        <v>0.10639062012207479</v>
      </c>
      <c r="AK26">
        <v>2025</v>
      </c>
      <c r="AL26" t="s">
        <v>145</v>
      </c>
      <c r="AM26">
        <v>0.36503333333333332</v>
      </c>
      <c r="AN26" t="s">
        <v>218</v>
      </c>
    </row>
    <row r="27" spans="9:40" x14ac:dyDescent="0.45">
      <c r="I27" t="s">
        <v>158</v>
      </c>
      <c r="J27" t="s">
        <v>176</v>
      </c>
      <c r="K27">
        <v>0</v>
      </c>
      <c r="L27" t="s">
        <v>160</v>
      </c>
      <c r="N27" t="s">
        <v>189</v>
      </c>
      <c r="O27" t="s">
        <v>176</v>
      </c>
      <c r="P27">
        <v>8.8870433484291769E-3</v>
      </c>
      <c r="Q27" t="s">
        <v>160</v>
      </c>
      <c r="S27" t="s">
        <v>199</v>
      </c>
      <c r="T27" t="s">
        <v>176</v>
      </c>
      <c r="U27">
        <v>8.8870433484291769E-3</v>
      </c>
      <c r="V27" t="s">
        <v>160</v>
      </c>
      <c r="X27">
        <v>9.0182648401826489E-3</v>
      </c>
      <c r="Y27">
        <v>4.5565969718817621E-3</v>
      </c>
      <c r="Z27" t="s">
        <v>176</v>
      </c>
      <c r="AA27" t="s">
        <v>25</v>
      </c>
      <c r="AC27" t="s">
        <v>22</v>
      </c>
      <c r="AD27" t="s">
        <v>176</v>
      </c>
      <c r="AE27">
        <v>7.0469691286152141E-3</v>
      </c>
      <c r="AG27" t="s">
        <v>96</v>
      </c>
      <c r="AH27" t="s">
        <v>176</v>
      </c>
      <c r="AI27">
        <v>9.2647963367960662E-2</v>
      </c>
      <c r="AK27">
        <v>2025</v>
      </c>
      <c r="AL27" t="s">
        <v>149</v>
      </c>
      <c r="AM27">
        <v>0.36420000000000002</v>
      </c>
      <c r="AN27" t="s">
        <v>218</v>
      </c>
    </row>
    <row r="28" spans="9:40" x14ac:dyDescent="0.45">
      <c r="I28" t="s">
        <v>158</v>
      </c>
      <c r="J28" t="s">
        <v>177</v>
      </c>
      <c r="K28">
        <v>0.10353733641524834</v>
      </c>
      <c r="L28" t="s">
        <v>160</v>
      </c>
      <c r="N28" t="s">
        <v>189</v>
      </c>
      <c r="O28" t="s">
        <v>177</v>
      </c>
      <c r="P28">
        <v>0.10479766910280527</v>
      </c>
      <c r="Q28" t="s">
        <v>160</v>
      </c>
      <c r="S28" t="s">
        <v>199</v>
      </c>
      <c r="T28" t="s">
        <v>177</v>
      </c>
      <c r="U28">
        <v>0.10479766910280527</v>
      </c>
      <c r="V28" t="s">
        <v>160</v>
      </c>
      <c r="X28">
        <v>9.9200913242009137E-2</v>
      </c>
      <c r="Y28">
        <v>0.13965707845428404</v>
      </c>
      <c r="Z28" t="s">
        <v>177</v>
      </c>
      <c r="AA28" t="s">
        <v>25</v>
      </c>
      <c r="AC28" t="s">
        <v>22</v>
      </c>
      <c r="AD28" t="s">
        <v>177</v>
      </c>
      <c r="AE28">
        <v>0.11278103883813273</v>
      </c>
      <c r="AG28" t="s">
        <v>96</v>
      </c>
      <c r="AH28" t="s">
        <v>177</v>
      </c>
      <c r="AI28">
        <v>0.14205070207886727</v>
      </c>
      <c r="AK28">
        <v>2025</v>
      </c>
      <c r="AL28" t="s">
        <v>151</v>
      </c>
      <c r="AM28">
        <v>0.30730000000000002</v>
      </c>
      <c r="AN28" t="s">
        <v>218</v>
      </c>
    </row>
    <row r="29" spans="9:40" x14ac:dyDescent="0.45">
      <c r="I29" t="s">
        <v>158</v>
      </c>
      <c r="J29" t="s">
        <v>178</v>
      </c>
      <c r="K29">
        <v>8.1019495928191657E-4</v>
      </c>
      <c r="L29" t="s">
        <v>160</v>
      </c>
      <c r="N29" t="s">
        <v>189</v>
      </c>
      <c r="O29" t="s">
        <v>178</v>
      </c>
      <c r="P29">
        <v>6.5797212235970473E-2</v>
      </c>
      <c r="Q29" t="s">
        <v>160</v>
      </c>
      <c r="S29" t="s">
        <v>199</v>
      </c>
      <c r="T29" t="s">
        <v>178</v>
      </c>
      <c r="U29">
        <v>6.5797212235970473E-2</v>
      </c>
      <c r="V29" t="s">
        <v>160</v>
      </c>
      <c r="X29">
        <v>5.410958904109589E-2</v>
      </c>
      <c r="Y29">
        <v>6.2849613405265667E-2</v>
      </c>
      <c r="Z29" t="s">
        <v>178</v>
      </c>
      <c r="AA29" t="s">
        <v>25</v>
      </c>
      <c r="AC29" t="s">
        <v>22</v>
      </c>
      <c r="AD29" t="s">
        <v>178</v>
      </c>
      <c r="AE29">
        <v>6.1777637056352322E-2</v>
      </c>
      <c r="AG29" t="s">
        <v>96</v>
      </c>
      <c r="AH29" t="s">
        <v>178</v>
      </c>
      <c r="AI29">
        <v>0.1425147721168547</v>
      </c>
      <c r="AK29">
        <v>2025</v>
      </c>
      <c r="AL29" t="s">
        <v>153</v>
      </c>
      <c r="AM29">
        <v>0.26766666666666666</v>
      </c>
      <c r="AN29" t="s">
        <v>218</v>
      </c>
    </row>
    <row r="30" spans="9:40" x14ac:dyDescent="0.45">
      <c r="I30" t="s">
        <v>158</v>
      </c>
      <c r="J30" t="s">
        <v>179</v>
      </c>
      <c r="K30">
        <v>0</v>
      </c>
      <c r="L30" t="s">
        <v>160</v>
      </c>
      <c r="N30" t="s">
        <v>189</v>
      </c>
      <c r="O30" t="s">
        <v>179</v>
      </c>
      <c r="P30">
        <v>9.2770704465932295E-3</v>
      </c>
      <c r="Q30" t="s">
        <v>160</v>
      </c>
      <c r="S30" t="s">
        <v>199</v>
      </c>
      <c r="T30" t="s">
        <v>179</v>
      </c>
      <c r="U30">
        <v>9.2770704465932295E-3</v>
      </c>
      <c r="V30" t="s">
        <v>160</v>
      </c>
      <c r="X30">
        <v>9.0182648401826489E-3</v>
      </c>
      <c r="Y30">
        <v>2.3568605026974632E-3</v>
      </c>
      <c r="Z30" t="s">
        <v>179</v>
      </c>
      <c r="AA30" t="s">
        <v>25</v>
      </c>
      <c r="AC30" t="s">
        <v>22</v>
      </c>
      <c r="AD30" t="s">
        <v>179</v>
      </c>
      <c r="AE30">
        <v>8.0765728405708861E-3</v>
      </c>
      <c r="AG30" t="s">
        <v>96</v>
      </c>
      <c r="AH30" t="s">
        <v>179</v>
      </c>
      <c r="AI30">
        <v>8.7776500668527602E-2</v>
      </c>
      <c r="AK30">
        <v>2025</v>
      </c>
      <c r="AL30" t="s">
        <v>220</v>
      </c>
      <c r="AM30">
        <v>0.29809999999999998</v>
      </c>
      <c r="AN30" t="s">
        <v>218</v>
      </c>
    </row>
    <row r="31" spans="9:40" x14ac:dyDescent="0.45">
      <c r="I31" t="s">
        <v>158</v>
      </c>
      <c r="J31" t="s">
        <v>222</v>
      </c>
      <c r="K31">
        <v>0</v>
      </c>
      <c r="L31" t="s">
        <v>160</v>
      </c>
      <c r="N31" t="s">
        <v>189</v>
      </c>
      <c r="O31" t="s">
        <v>222</v>
      </c>
      <c r="P31">
        <v>8.2646883938381505E-3</v>
      </c>
      <c r="Q31" t="s">
        <v>160</v>
      </c>
      <c r="S31" t="s">
        <v>199</v>
      </c>
      <c r="T31" t="s">
        <v>222</v>
      </c>
      <c r="U31">
        <v>8.2646883938381505E-3</v>
      </c>
      <c r="V31" t="s">
        <v>160</v>
      </c>
      <c r="X31">
        <v>4.5662100456621002E-3</v>
      </c>
      <c r="Y31">
        <v>7.1070448913971283E-4</v>
      </c>
      <c r="Z31" t="s">
        <v>222</v>
      </c>
      <c r="AA31" t="s">
        <v>25</v>
      </c>
      <c r="AC31" t="s">
        <v>22</v>
      </c>
      <c r="AD31" t="s">
        <v>222</v>
      </c>
      <c r="AE31">
        <v>3.6523561306375154E-3</v>
      </c>
      <c r="AG31" t="s">
        <v>96</v>
      </c>
      <c r="AH31" t="s">
        <v>222</v>
      </c>
      <c r="AI31">
        <v>5.8326120247686131E-2</v>
      </c>
      <c r="AK31">
        <v>2026</v>
      </c>
      <c r="AL31" t="s">
        <v>145</v>
      </c>
      <c r="AM31">
        <v>0.37803333333333339</v>
      </c>
      <c r="AN31" t="s">
        <v>218</v>
      </c>
    </row>
    <row r="32" spans="9:40" x14ac:dyDescent="0.45">
      <c r="I32" t="s">
        <v>158</v>
      </c>
      <c r="J32" t="s">
        <v>223</v>
      </c>
      <c r="K32">
        <v>0</v>
      </c>
      <c r="L32" t="s">
        <v>160</v>
      </c>
      <c r="N32" t="s">
        <v>189</v>
      </c>
      <c r="O32" t="s">
        <v>223</v>
      </c>
      <c r="P32">
        <v>1.6596467158874121E-3</v>
      </c>
      <c r="Q32" t="s">
        <v>160</v>
      </c>
      <c r="S32" t="s">
        <v>199</v>
      </c>
      <c r="T32" t="s">
        <v>223</v>
      </c>
      <c r="U32">
        <v>1.6596467158874121E-3</v>
      </c>
      <c r="V32" t="s">
        <v>160</v>
      </c>
      <c r="X32">
        <v>9.1324200913242006E-4</v>
      </c>
      <c r="Y32">
        <v>4.6142754145638075E-4</v>
      </c>
      <c r="Z32" t="s">
        <v>223</v>
      </c>
      <c r="AA32" t="s">
        <v>25</v>
      </c>
      <c r="AC32" t="s">
        <v>22</v>
      </c>
      <c r="AD32" t="s">
        <v>223</v>
      </c>
      <c r="AE32">
        <v>7.5667448383326798E-4</v>
      </c>
      <c r="AG32" t="s">
        <v>96</v>
      </c>
      <c r="AH32" t="s">
        <v>223</v>
      </c>
      <c r="AI32">
        <v>3.8808884549670575E-2</v>
      </c>
      <c r="AK32">
        <v>2026</v>
      </c>
      <c r="AL32" t="s">
        <v>149</v>
      </c>
      <c r="AM32">
        <v>0.40710000000000002</v>
      </c>
      <c r="AN32" t="s">
        <v>218</v>
      </c>
    </row>
    <row r="33" spans="9:40" x14ac:dyDescent="0.45">
      <c r="I33" t="s">
        <v>158</v>
      </c>
      <c r="J33" t="s">
        <v>224</v>
      </c>
      <c r="K33">
        <v>9.2110844415148833E-3</v>
      </c>
      <c r="L33" t="s">
        <v>160</v>
      </c>
      <c r="N33" t="s">
        <v>189</v>
      </c>
      <c r="O33" t="s">
        <v>224</v>
      </c>
      <c r="P33">
        <v>1.5359535817441268E-2</v>
      </c>
      <c r="Q33" t="s">
        <v>160</v>
      </c>
      <c r="S33" t="s">
        <v>199</v>
      </c>
      <c r="T33" t="s">
        <v>224</v>
      </c>
      <c r="U33">
        <v>1.5359535817441268E-2</v>
      </c>
      <c r="V33" t="s">
        <v>160</v>
      </c>
      <c r="X33">
        <v>1.0045662100456621E-2</v>
      </c>
      <c r="Y33">
        <v>1.4142488957395854E-2</v>
      </c>
      <c r="Z33" t="s">
        <v>224</v>
      </c>
      <c r="AA33" t="s">
        <v>25</v>
      </c>
      <c r="AC33" t="s">
        <v>22</v>
      </c>
      <c r="AD33" t="s">
        <v>224</v>
      </c>
      <c r="AE33">
        <v>1.2094341729601268E-2</v>
      </c>
      <c r="AG33" t="s">
        <v>96</v>
      </c>
      <c r="AH33" t="s">
        <v>224</v>
      </c>
      <c r="AI33">
        <v>7.0492276640088392E-2</v>
      </c>
      <c r="AK33">
        <v>2026</v>
      </c>
      <c r="AL33" t="s">
        <v>151</v>
      </c>
      <c r="AM33">
        <v>0.30759999999999998</v>
      </c>
      <c r="AN33" t="s">
        <v>218</v>
      </c>
    </row>
    <row r="34" spans="9:40" x14ac:dyDescent="0.45">
      <c r="I34" t="s">
        <v>158</v>
      </c>
      <c r="J34" t="s">
        <v>225</v>
      </c>
      <c r="K34">
        <v>0</v>
      </c>
      <c r="L34" t="s">
        <v>160</v>
      </c>
      <c r="N34" t="s">
        <v>189</v>
      </c>
      <c r="O34" t="s">
        <v>225</v>
      </c>
      <c r="P34">
        <v>9.0760268405922686E-3</v>
      </c>
      <c r="Q34" t="s">
        <v>160</v>
      </c>
      <c r="S34" t="s">
        <v>199</v>
      </c>
      <c r="T34" t="s">
        <v>225</v>
      </c>
      <c r="U34">
        <v>9.0760268405922686E-3</v>
      </c>
      <c r="V34" t="s">
        <v>160</v>
      </c>
      <c r="X34">
        <v>5.4794520547945206E-3</v>
      </c>
      <c r="Y34">
        <v>6.3645178131914596E-3</v>
      </c>
      <c r="Z34" t="s">
        <v>225</v>
      </c>
      <c r="AA34" t="s">
        <v>25</v>
      </c>
      <c r="AC34" t="s">
        <v>22</v>
      </c>
      <c r="AD34" t="s">
        <v>225</v>
      </c>
      <c r="AE34">
        <v>6.5058137759551144E-3</v>
      </c>
      <c r="AG34" t="s">
        <v>96</v>
      </c>
      <c r="AH34" t="s">
        <v>225</v>
      </c>
      <c r="AI34">
        <v>7.9836715676671721E-2</v>
      </c>
      <c r="AK34">
        <v>2026</v>
      </c>
      <c r="AL34" t="s">
        <v>153</v>
      </c>
      <c r="AM34">
        <v>0.28956666666666669</v>
      </c>
      <c r="AN34" t="s">
        <v>218</v>
      </c>
    </row>
    <row r="35" spans="9:40" x14ac:dyDescent="0.45">
      <c r="I35" t="s">
        <v>158</v>
      </c>
      <c r="J35" t="s">
        <v>226</v>
      </c>
      <c r="K35">
        <v>0</v>
      </c>
      <c r="L35" t="s">
        <v>160</v>
      </c>
      <c r="N35" t="s">
        <v>189</v>
      </c>
      <c r="O35" t="s">
        <v>226</v>
      </c>
      <c r="P35">
        <v>1.6438786301674604E-3</v>
      </c>
      <c r="Q35" t="s">
        <v>160</v>
      </c>
      <c r="S35" t="s">
        <v>199</v>
      </c>
      <c r="T35" t="s">
        <v>226</v>
      </c>
      <c r="U35">
        <v>1.6438786301674604E-3</v>
      </c>
      <c r="V35" t="s">
        <v>160</v>
      </c>
      <c r="X35">
        <v>9.1324200913242006E-4</v>
      </c>
      <c r="Y35">
        <v>2.386694179946797E-4</v>
      </c>
      <c r="Z35" t="s">
        <v>226</v>
      </c>
      <c r="AA35" t="s">
        <v>25</v>
      </c>
      <c r="AC35" t="s">
        <v>22</v>
      </c>
      <c r="AD35" t="s">
        <v>226</v>
      </c>
      <c r="AE35">
        <v>8.2812063972425849E-4</v>
      </c>
      <c r="AG35" t="s">
        <v>96</v>
      </c>
      <c r="AH35" t="s">
        <v>226</v>
      </c>
      <c r="AI35">
        <v>1.8477344169286258E-2</v>
      </c>
      <c r="AK35">
        <v>2026</v>
      </c>
      <c r="AL35" t="s">
        <v>220</v>
      </c>
      <c r="AM35">
        <v>0.307</v>
      </c>
      <c r="AN35" t="s">
        <v>218</v>
      </c>
    </row>
    <row r="36" spans="9:40" x14ac:dyDescent="0.45">
      <c r="I36" t="s">
        <v>180</v>
      </c>
      <c r="J36" t="s">
        <v>159</v>
      </c>
      <c r="K36">
        <v>0</v>
      </c>
      <c r="L36" t="s">
        <v>160</v>
      </c>
      <c r="N36" t="s">
        <v>190</v>
      </c>
      <c r="O36" t="s">
        <v>159</v>
      </c>
      <c r="P36">
        <v>5.1341251055348099E-2</v>
      </c>
      <c r="Q36" t="s">
        <v>160</v>
      </c>
      <c r="S36" t="s">
        <v>200</v>
      </c>
      <c r="T36" t="s">
        <v>159</v>
      </c>
      <c r="U36">
        <v>5.1341251055348099E-2</v>
      </c>
      <c r="V36" t="s">
        <v>160</v>
      </c>
      <c r="AC36" t="s">
        <v>19</v>
      </c>
      <c r="AD36" t="s">
        <v>159</v>
      </c>
      <c r="AE36">
        <v>3.5323619973388766E-2</v>
      </c>
      <c r="AK36">
        <v>2027</v>
      </c>
      <c r="AL36" t="s">
        <v>145</v>
      </c>
      <c r="AM36">
        <v>0.32776666666666671</v>
      </c>
      <c r="AN36" t="s">
        <v>218</v>
      </c>
    </row>
    <row r="37" spans="9:40" x14ac:dyDescent="0.45">
      <c r="I37" t="s">
        <v>180</v>
      </c>
      <c r="J37" t="s">
        <v>161</v>
      </c>
      <c r="K37">
        <v>0</v>
      </c>
      <c r="L37" t="s">
        <v>160</v>
      </c>
      <c r="N37" t="s">
        <v>190</v>
      </c>
      <c r="O37" t="s">
        <v>161</v>
      </c>
      <c r="P37">
        <v>9.6990449423216447E-3</v>
      </c>
      <c r="Q37" t="s">
        <v>160</v>
      </c>
      <c r="S37" t="s">
        <v>200</v>
      </c>
      <c r="T37" t="s">
        <v>161</v>
      </c>
      <c r="U37">
        <v>9.6990449423216447E-3</v>
      </c>
      <c r="V37" t="s">
        <v>160</v>
      </c>
      <c r="AC37" t="s">
        <v>19</v>
      </c>
      <c r="AD37" t="s">
        <v>161</v>
      </c>
      <c r="AE37">
        <v>7.0817573991928612E-3</v>
      </c>
      <c r="AK37">
        <v>2027</v>
      </c>
      <c r="AL37" t="s">
        <v>149</v>
      </c>
      <c r="AM37">
        <v>0.37819999999999998</v>
      </c>
      <c r="AN37" t="s">
        <v>218</v>
      </c>
    </row>
    <row r="38" spans="9:40" x14ac:dyDescent="0.45">
      <c r="I38" t="s">
        <v>180</v>
      </c>
      <c r="J38" t="s">
        <v>162</v>
      </c>
      <c r="K38">
        <v>8.1939065354340535E-2</v>
      </c>
      <c r="L38" t="s">
        <v>160</v>
      </c>
      <c r="N38" t="s">
        <v>190</v>
      </c>
      <c r="O38" t="s">
        <v>162</v>
      </c>
      <c r="P38">
        <v>9.3503330820997058E-2</v>
      </c>
      <c r="Q38" t="s">
        <v>160</v>
      </c>
      <c r="S38" t="s">
        <v>200</v>
      </c>
      <c r="T38" t="s">
        <v>162</v>
      </c>
      <c r="U38">
        <v>9.3503330820997058E-2</v>
      </c>
      <c r="V38" t="s">
        <v>160</v>
      </c>
      <c r="AC38" t="s">
        <v>19</v>
      </c>
      <c r="AD38" t="s">
        <v>162</v>
      </c>
      <c r="AE38">
        <v>7.9756500853617115E-2</v>
      </c>
      <c r="AK38">
        <v>2027</v>
      </c>
      <c r="AL38" t="s">
        <v>151</v>
      </c>
      <c r="AM38">
        <v>0.30837499999999995</v>
      </c>
      <c r="AN38" t="s">
        <v>218</v>
      </c>
    </row>
    <row r="39" spans="9:40" x14ac:dyDescent="0.45">
      <c r="I39" t="s">
        <v>180</v>
      </c>
      <c r="J39" t="s">
        <v>163</v>
      </c>
      <c r="K39">
        <v>1.8739397970913754E-3</v>
      </c>
      <c r="L39" t="s">
        <v>160</v>
      </c>
      <c r="N39" t="s">
        <v>190</v>
      </c>
      <c r="O39" t="s">
        <v>163</v>
      </c>
      <c r="P39">
        <v>6.3360919969410331E-2</v>
      </c>
      <c r="Q39" t="s">
        <v>160</v>
      </c>
      <c r="S39" t="s">
        <v>200</v>
      </c>
      <c r="T39" t="s">
        <v>163</v>
      </c>
      <c r="U39">
        <v>6.3360919969410331E-2</v>
      </c>
      <c r="V39" t="s">
        <v>160</v>
      </c>
      <c r="AC39" t="s">
        <v>19</v>
      </c>
      <c r="AD39" t="s">
        <v>163</v>
      </c>
      <c r="AE39">
        <v>4.346528306109005E-2</v>
      </c>
      <c r="AK39">
        <v>2027</v>
      </c>
      <c r="AL39" t="s">
        <v>153</v>
      </c>
      <c r="AM39">
        <v>0.25089999999999996</v>
      </c>
      <c r="AN39" t="s">
        <v>218</v>
      </c>
    </row>
    <row r="40" spans="9:40" x14ac:dyDescent="0.45">
      <c r="I40" t="s">
        <v>180</v>
      </c>
      <c r="J40" t="s">
        <v>164</v>
      </c>
      <c r="K40">
        <v>0</v>
      </c>
      <c r="L40" t="s">
        <v>160</v>
      </c>
      <c r="N40" t="s">
        <v>190</v>
      </c>
      <c r="O40" t="s">
        <v>164</v>
      </c>
      <c r="P40">
        <v>1.0172661705980026E-2</v>
      </c>
      <c r="Q40" t="s">
        <v>160</v>
      </c>
      <c r="S40" t="s">
        <v>200</v>
      </c>
      <c r="T40" t="s">
        <v>164</v>
      </c>
      <c r="U40">
        <v>1.0172661705980026E-2</v>
      </c>
      <c r="V40" t="s">
        <v>160</v>
      </c>
      <c r="AC40" t="s">
        <v>19</v>
      </c>
      <c r="AD40" t="s">
        <v>164</v>
      </c>
      <c r="AE40">
        <v>7.1186256173501787E-3</v>
      </c>
      <c r="AK40">
        <v>2027</v>
      </c>
      <c r="AL40" t="s">
        <v>220</v>
      </c>
      <c r="AM40">
        <v>0.25559999999999999</v>
      </c>
      <c r="AN40" t="s">
        <v>218</v>
      </c>
    </row>
    <row r="41" spans="9:40" x14ac:dyDescent="0.45">
      <c r="I41" t="s">
        <v>180</v>
      </c>
      <c r="J41" t="s">
        <v>165</v>
      </c>
      <c r="K41">
        <v>0</v>
      </c>
      <c r="L41" t="s">
        <v>160</v>
      </c>
      <c r="N41" t="s">
        <v>190</v>
      </c>
      <c r="O41" t="s">
        <v>165</v>
      </c>
      <c r="P41">
        <v>1.5886989864887735E-2</v>
      </c>
      <c r="Q41" t="s">
        <v>160</v>
      </c>
      <c r="S41" t="s">
        <v>200</v>
      </c>
      <c r="T41" t="s">
        <v>165</v>
      </c>
      <c r="U41">
        <v>1.5886989864887735E-2</v>
      </c>
      <c r="V41" t="s">
        <v>160</v>
      </c>
      <c r="AC41" t="s">
        <v>19</v>
      </c>
      <c r="AD41" t="s">
        <v>165</v>
      </c>
      <c r="AE41">
        <v>1.0089401168233134E-2</v>
      </c>
      <c r="AK41">
        <v>2028</v>
      </c>
      <c r="AL41" t="s">
        <v>145</v>
      </c>
      <c r="AM41">
        <v>0.38636666666666669</v>
      </c>
      <c r="AN41" t="s">
        <v>218</v>
      </c>
    </row>
    <row r="42" spans="9:40" x14ac:dyDescent="0.45">
      <c r="I42" t="s">
        <v>180</v>
      </c>
      <c r="J42" t="s">
        <v>166</v>
      </c>
      <c r="K42">
        <v>0</v>
      </c>
      <c r="L42" t="s">
        <v>160</v>
      </c>
      <c r="N42" t="s">
        <v>190</v>
      </c>
      <c r="O42" t="s">
        <v>166</v>
      </c>
      <c r="P42">
        <v>3.1830102183227718E-3</v>
      </c>
      <c r="Q42" t="s">
        <v>160</v>
      </c>
      <c r="S42" t="s">
        <v>200</v>
      </c>
      <c r="T42" t="s">
        <v>166</v>
      </c>
      <c r="U42">
        <v>3.1830102183227718E-3</v>
      </c>
      <c r="V42" t="s">
        <v>160</v>
      </c>
      <c r="AC42" t="s">
        <v>19</v>
      </c>
      <c r="AD42" t="s">
        <v>166</v>
      </c>
      <c r="AE42">
        <v>2.0227035748514575E-3</v>
      </c>
      <c r="AK42">
        <v>2028</v>
      </c>
      <c r="AL42" t="s">
        <v>149</v>
      </c>
      <c r="AM42">
        <v>0.3881</v>
      </c>
      <c r="AN42" t="s">
        <v>218</v>
      </c>
    </row>
    <row r="43" spans="9:40" x14ac:dyDescent="0.45">
      <c r="I43" t="s">
        <v>180</v>
      </c>
      <c r="J43" t="s">
        <v>167</v>
      </c>
      <c r="K43">
        <v>3.6771139167306746E-2</v>
      </c>
      <c r="L43" t="s">
        <v>160</v>
      </c>
      <c r="N43" t="s">
        <v>190</v>
      </c>
      <c r="O43" t="s">
        <v>167</v>
      </c>
      <c r="P43">
        <v>3.5534474204620643E-2</v>
      </c>
      <c r="Q43" t="s">
        <v>160</v>
      </c>
      <c r="S43" t="s">
        <v>200</v>
      </c>
      <c r="T43" t="s">
        <v>167</v>
      </c>
      <c r="U43">
        <v>3.5534474204620643E-2</v>
      </c>
      <c r="V43" t="s">
        <v>160</v>
      </c>
      <c r="AC43" t="s">
        <v>19</v>
      </c>
      <c r="AD43" t="s">
        <v>167</v>
      </c>
      <c r="AE43">
        <v>2.2801124516859443E-2</v>
      </c>
      <c r="AK43">
        <v>2028</v>
      </c>
      <c r="AL43" t="s">
        <v>151</v>
      </c>
      <c r="AM43">
        <v>0.323125</v>
      </c>
      <c r="AN43" t="s">
        <v>218</v>
      </c>
    </row>
    <row r="44" spans="9:40" x14ac:dyDescent="0.45">
      <c r="I44" t="s">
        <v>180</v>
      </c>
      <c r="J44" t="s">
        <v>168</v>
      </c>
      <c r="K44">
        <v>1.8846201042063903E-3</v>
      </c>
      <c r="L44" t="s">
        <v>160</v>
      </c>
      <c r="N44" t="s">
        <v>190</v>
      </c>
      <c r="O44" t="s">
        <v>168</v>
      </c>
      <c r="P44">
        <v>2.2722800274724165E-2</v>
      </c>
      <c r="Q44" t="s">
        <v>160</v>
      </c>
      <c r="S44" t="s">
        <v>200</v>
      </c>
      <c r="T44" t="s">
        <v>168</v>
      </c>
      <c r="U44">
        <v>2.2722800274724165E-2</v>
      </c>
      <c r="V44" t="s">
        <v>160</v>
      </c>
      <c r="AC44" t="s">
        <v>19</v>
      </c>
      <c r="AD44" t="s">
        <v>168</v>
      </c>
      <c r="AE44">
        <v>1.2424794707919191E-2</v>
      </c>
      <c r="AK44">
        <v>2028</v>
      </c>
      <c r="AL44" t="s">
        <v>153</v>
      </c>
      <c r="AM44">
        <v>0.31020000000000003</v>
      </c>
      <c r="AN44" t="s">
        <v>218</v>
      </c>
    </row>
    <row r="45" spans="9:40" x14ac:dyDescent="0.45">
      <c r="I45" t="s">
        <v>180</v>
      </c>
      <c r="J45" t="s">
        <v>169</v>
      </c>
      <c r="K45">
        <v>0</v>
      </c>
      <c r="L45" t="s">
        <v>160</v>
      </c>
      <c r="N45" t="s">
        <v>190</v>
      </c>
      <c r="O45" t="s">
        <v>169</v>
      </c>
      <c r="P45">
        <v>3.5994618129933298E-3</v>
      </c>
      <c r="Q45" t="s">
        <v>160</v>
      </c>
      <c r="S45" t="s">
        <v>200</v>
      </c>
      <c r="T45" t="s">
        <v>169</v>
      </c>
      <c r="U45">
        <v>3.5994618129933298E-3</v>
      </c>
      <c r="V45" t="s">
        <v>160</v>
      </c>
      <c r="AC45" t="s">
        <v>19</v>
      </c>
      <c r="AD45" t="s">
        <v>169</v>
      </c>
      <c r="AE45">
        <v>2.032564744234436E-3</v>
      </c>
      <c r="AK45">
        <v>2028</v>
      </c>
      <c r="AL45" t="s">
        <v>220</v>
      </c>
      <c r="AM45">
        <v>0.33500000000000002</v>
      </c>
      <c r="AN45" t="s">
        <v>218</v>
      </c>
    </row>
    <row r="46" spans="9:40" x14ac:dyDescent="0.45">
      <c r="I46" t="s">
        <v>180</v>
      </c>
      <c r="J46" t="s">
        <v>170</v>
      </c>
      <c r="K46">
        <v>0</v>
      </c>
      <c r="L46" t="s">
        <v>160</v>
      </c>
      <c r="N46" t="s">
        <v>190</v>
      </c>
      <c r="O46" t="s">
        <v>170</v>
      </c>
      <c r="P46">
        <v>0.10974015536984016</v>
      </c>
      <c r="Q46" t="s">
        <v>160</v>
      </c>
      <c r="S46" t="s">
        <v>200</v>
      </c>
      <c r="T46" t="s">
        <v>170</v>
      </c>
      <c r="U46">
        <v>0.10974015536984016</v>
      </c>
      <c r="V46" t="s">
        <v>160</v>
      </c>
      <c r="AC46" t="s">
        <v>19</v>
      </c>
      <c r="AD46" t="s">
        <v>170</v>
      </c>
      <c r="AE46">
        <v>0.1104976312018439</v>
      </c>
      <c r="AK46">
        <v>2029</v>
      </c>
      <c r="AL46" t="s">
        <v>145</v>
      </c>
      <c r="AM46">
        <v>0.44436666666666663</v>
      </c>
      <c r="AN46" t="s">
        <v>218</v>
      </c>
    </row>
    <row r="47" spans="9:40" x14ac:dyDescent="0.45">
      <c r="I47" t="s">
        <v>180</v>
      </c>
      <c r="J47" t="s">
        <v>171</v>
      </c>
      <c r="K47">
        <v>8.657971142208511E-3</v>
      </c>
      <c r="L47" t="s">
        <v>160</v>
      </c>
      <c r="N47" t="s">
        <v>190</v>
      </c>
      <c r="O47" t="s">
        <v>171</v>
      </c>
      <c r="P47">
        <v>2.0865762402106986E-2</v>
      </c>
      <c r="Q47" t="s">
        <v>160</v>
      </c>
      <c r="S47" t="s">
        <v>200</v>
      </c>
      <c r="T47" t="s">
        <v>171</v>
      </c>
      <c r="U47">
        <v>2.0865762402106986E-2</v>
      </c>
      <c r="V47" t="s">
        <v>160</v>
      </c>
      <c r="AC47" t="s">
        <v>19</v>
      </c>
      <c r="AD47" t="s">
        <v>171</v>
      </c>
      <c r="AE47">
        <v>2.2143951854717018E-2</v>
      </c>
      <c r="AK47">
        <v>2029</v>
      </c>
      <c r="AL47" t="s">
        <v>149</v>
      </c>
      <c r="AM47">
        <v>0.46110000000000001</v>
      </c>
      <c r="AN47" t="s">
        <v>218</v>
      </c>
    </row>
    <row r="48" spans="9:40" x14ac:dyDescent="0.45">
      <c r="I48" t="s">
        <v>180</v>
      </c>
      <c r="J48" t="s">
        <v>172</v>
      </c>
      <c r="K48">
        <v>0.67742622261329555</v>
      </c>
      <c r="L48" t="s">
        <v>160</v>
      </c>
      <c r="N48" t="s">
        <v>190</v>
      </c>
      <c r="O48" t="s">
        <v>172</v>
      </c>
      <c r="P48">
        <v>0.17706525886605473</v>
      </c>
      <c r="Q48" t="s">
        <v>160</v>
      </c>
      <c r="S48" t="s">
        <v>200</v>
      </c>
      <c r="T48" t="s">
        <v>172</v>
      </c>
      <c r="U48">
        <v>0.17706525886605473</v>
      </c>
      <c r="V48" t="s">
        <v>160</v>
      </c>
      <c r="AC48" t="s">
        <v>19</v>
      </c>
      <c r="AD48" t="s">
        <v>172</v>
      </c>
      <c r="AE48">
        <v>0.24881485999497926</v>
      </c>
      <c r="AK48">
        <v>2029</v>
      </c>
      <c r="AL48" t="s">
        <v>151</v>
      </c>
      <c r="AM48">
        <v>0.3712375</v>
      </c>
      <c r="AN48" t="s">
        <v>218</v>
      </c>
    </row>
    <row r="49" spans="9:40" x14ac:dyDescent="0.45">
      <c r="I49" t="s">
        <v>180</v>
      </c>
      <c r="J49" t="s">
        <v>173</v>
      </c>
      <c r="K49">
        <v>7.6012573902401723E-2</v>
      </c>
      <c r="L49" t="s">
        <v>160</v>
      </c>
      <c r="N49" t="s">
        <v>190</v>
      </c>
      <c r="O49" t="s">
        <v>173</v>
      </c>
      <c r="P49">
        <v>0.142434817257201</v>
      </c>
      <c r="Q49" t="s">
        <v>160</v>
      </c>
      <c r="S49" t="s">
        <v>200</v>
      </c>
      <c r="T49" t="s">
        <v>173</v>
      </c>
      <c r="U49">
        <v>0.142434817257201</v>
      </c>
      <c r="V49" t="s">
        <v>160</v>
      </c>
      <c r="AC49" t="s">
        <v>19</v>
      </c>
      <c r="AD49" t="s">
        <v>173</v>
      </c>
      <c r="AE49">
        <v>0.13570638611043689</v>
      </c>
      <c r="AK49">
        <v>2029</v>
      </c>
      <c r="AL49" t="s">
        <v>153</v>
      </c>
      <c r="AM49">
        <v>0.2844666666666667</v>
      </c>
      <c r="AN49" t="s">
        <v>218</v>
      </c>
    </row>
    <row r="50" spans="9:40" x14ac:dyDescent="0.45">
      <c r="I50" t="s">
        <v>180</v>
      </c>
      <c r="J50" t="s">
        <v>174</v>
      </c>
      <c r="K50">
        <v>0</v>
      </c>
      <c r="L50" t="s">
        <v>160</v>
      </c>
      <c r="N50" t="s">
        <v>190</v>
      </c>
      <c r="O50" t="s">
        <v>174</v>
      </c>
      <c r="P50">
        <v>2.0681729801316308E-2</v>
      </c>
      <c r="Q50" t="s">
        <v>160</v>
      </c>
      <c r="S50" t="s">
        <v>200</v>
      </c>
      <c r="T50" t="s">
        <v>174</v>
      </c>
      <c r="U50">
        <v>2.0681729801316308E-2</v>
      </c>
      <c r="V50" t="s">
        <v>160</v>
      </c>
      <c r="AC50" t="s">
        <v>19</v>
      </c>
      <c r="AD50" t="s">
        <v>174</v>
      </c>
      <c r="AE50">
        <v>2.2335126448159572E-2</v>
      </c>
      <c r="AK50">
        <v>2029</v>
      </c>
      <c r="AL50" t="s">
        <v>220</v>
      </c>
      <c r="AM50">
        <v>0.31130000000000002</v>
      </c>
      <c r="AN50" t="s">
        <v>218</v>
      </c>
    </row>
    <row r="51" spans="9:40" x14ac:dyDescent="0.45">
      <c r="I51" t="s">
        <v>180</v>
      </c>
      <c r="J51" t="s">
        <v>175</v>
      </c>
      <c r="K51">
        <v>0</v>
      </c>
      <c r="L51" t="s">
        <v>160</v>
      </c>
      <c r="N51" t="s">
        <v>190</v>
      </c>
      <c r="O51" t="s">
        <v>175</v>
      </c>
      <c r="P51">
        <v>4.2598477054993644E-2</v>
      </c>
      <c r="Q51" t="s">
        <v>160</v>
      </c>
      <c r="S51" t="s">
        <v>200</v>
      </c>
      <c r="T51" t="s">
        <v>175</v>
      </c>
      <c r="U51">
        <v>4.2598477054993644E-2</v>
      </c>
      <c r="V51" t="s">
        <v>160</v>
      </c>
      <c r="AC51" t="s">
        <v>19</v>
      </c>
      <c r="AD51" t="s">
        <v>175</v>
      </c>
      <c r="AE51">
        <v>4.4242637346765611E-2</v>
      </c>
      <c r="AK51">
        <v>2030</v>
      </c>
      <c r="AL51" t="s">
        <v>145</v>
      </c>
      <c r="AM51">
        <v>0.33529999999999999</v>
      </c>
      <c r="AN51" t="s">
        <v>218</v>
      </c>
    </row>
    <row r="52" spans="9:40" x14ac:dyDescent="0.45">
      <c r="I52" t="s">
        <v>180</v>
      </c>
      <c r="J52" t="s">
        <v>176</v>
      </c>
      <c r="K52">
        <v>0</v>
      </c>
      <c r="L52" t="s">
        <v>160</v>
      </c>
      <c r="N52" t="s">
        <v>190</v>
      </c>
      <c r="O52" t="s">
        <v>176</v>
      </c>
      <c r="P52">
        <v>8.7883389112416097E-3</v>
      </c>
      <c r="Q52" t="s">
        <v>160</v>
      </c>
      <c r="S52" t="s">
        <v>200</v>
      </c>
      <c r="T52" t="s">
        <v>176</v>
      </c>
      <c r="U52">
        <v>8.7883389112416097E-3</v>
      </c>
      <c r="V52" t="s">
        <v>160</v>
      </c>
      <c r="AC52" t="s">
        <v>19</v>
      </c>
      <c r="AD52" t="s">
        <v>176</v>
      </c>
      <c r="AE52">
        <v>8.8620041828686262E-3</v>
      </c>
      <c r="AK52">
        <v>2030</v>
      </c>
      <c r="AL52" t="s">
        <v>149</v>
      </c>
      <c r="AM52">
        <v>0.30480000000000002</v>
      </c>
      <c r="AN52" t="s">
        <v>218</v>
      </c>
    </row>
    <row r="53" spans="9:40" x14ac:dyDescent="0.45">
      <c r="I53" t="s">
        <v>180</v>
      </c>
      <c r="J53" t="s">
        <v>177</v>
      </c>
      <c r="K53">
        <v>0.10558900121578826</v>
      </c>
      <c r="L53" t="s">
        <v>160</v>
      </c>
      <c r="N53" t="s">
        <v>190</v>
      </c>
      <c r="O53" t="s">
        <v>177</v>
      </c>
      <c r="P53">
        <v>8.6260272794864673E-2</v>
      </c>
      <c r="Q53" t="s">
        <v>160</v>
      </c>
      <c r="S53" t="s">
        <v>200</v>
      </c>
      <c r="T53" t="s">
        <v>177</v>
      </c>
      <c r="U53">
        <v>8.6260272794864673E-2</v>
      </c>
      <c r="V53" t="s">
        <v>160</v>
      </c>
      <c r="AC53" t="s">
        <v>19</v>
      </c>
      <c r="AD53" t="s">
        <v>177</v>
      </c>
      <c r="AE53">
        <v>9.9909227684113852E-2</v>
      </c>
      <c r="AK53">
        <v>2030</v>
      </c>
      <c r="AL53" t="s">
        <v>151</v>
      </c>
      <c r="AM53">
        <v>0.266125</v>
      </c>
      <c r="AN53" t="s">
        <v>218</v>
      </c>
    </row>
    <row r="54" spans="9:40" x14ac:dyDescent="0.45">
      <c r="I54" t="s">
        <v>180</v>
      </c>
      <c r="J54" t="s">
        <v>178</v>
      </c>
      <c r="K54">
        <v>8.0201557615846132E-4</v>
      </c>
      <c r="L54" t="s">
        <v>160</v>
      </c>
      <c r="N54" t="s">
        <v>190</v>
      </c>
      <c r="O54" t="s">
        <v>178</v>
      </c>
      <c r="P54">
        <v>5.7239926500921585E-2</v>
      </c>
      <c r="Q54" t="s">
        <v>160</v>
      </c>
      <c r="S54" t="s">
        <v>200</v>
      </c>
      <c r="T54" t="s">
        <v>178</v>
      </c>
      <c r="U54">
        <v>5.7239926500921585E-2</v>
      </c>
      <c r="V54" t="s">
        <v>160</v>
      </c>
      <c r="AC54" t="s">
        <v>19</v>
      </c>
      <c r="AD54" t="s">
        <v>178</v>
      </c>
      <c r="AE54">
        <v>5.4513886336695364E-2</v>
      </c>
      <c r="AK54">
        <v>2030</v>
      </c>
      <c r="AL54" t="s">
        <v>153</v>
      </c>
      <c r="AM54">
        <v>0.24580000000000002</v>
      </c>
      <c r="AN54" t="s">
        <v>218</v>
      </c>
    </row>
    <row r="55" spans="9:40" x14ac:dyDescent="0.45">
      <c r="I55" t="s">
        <v>180</v>
      </c>
      <c r="J55" t="s">
        <v>179</v>
      </c>
      <c r="K55">
        <v>0</v>
      </c>
      <c r="L55" t="s">
        <v>160</v>
      </c>
      <c r="N55" t="s">
        <v>190</v>
      </c>
      <c r="O55" t="s">
        <v>179</v>
      </c>
      <c r="P55">
        <v>8.0908226169788752E-3</v>
      </c>
      <c r="Q55" t="s">
        <v>160</v>
      </c>
      <c r="S55" t="s">
        <v>200</v>
      </c>
      <c r="T55" t="s">
        <v>179</v>
      </c>
      <c r="U55">
        <v>8.0908226169788752E-3</v>
      </c>
      <c r="V55" t="s">
        <v>160</v>
      </c>
      <c r="AC55" t="s">
        <v>19</v>
      </c>
      <c r="AD55" t="s">
        <v>179</v>
      </c>
      <c r="AE55">
        <v>8.93286989414405E-3</v>
      </c>
      <c r="AK55">
        <v>2030</v>
      </c>
      <c r="AL55" t="s">
        <v>220</v>
      </c>
      <c r="AM55">
        <v>0.28920000000000001</v>
      </c>
      <c r="AN55" t="s">
        <v>218</v>
      </c>
    </row>
    <row r="56" spans="9:40" x14ac:dyDescent="0.45">
      <c r="I56" t="s">
        <v>180</v>
      </c>
      <c r="J56" t="s">
        <v>222</v>
      </c>
      <c r="K56">
        <v>0</v>
      </c>
      <c r="L56" t="s">
        <v>160</v>
      </c>
      <c r="N56" t="s">
        <v>190</v>
      </c>
      <c r="O56" t="s">
        <v>222</v>
      </c>
      <c r="P56">
        <v>3.7796646614856036E-3</v>
      </c>
      <c r="Q56" t="s">
        <v>160</v>
      </c>
      <c r="S56" t="s">
        <v>200</v>
      </c>
      <c r="T56" t="s">
        <v>222</v>
      </c>
      <c r="U56">
        <v>3.7796646614856036E-3</v>
      </c>
      <c r="V56" t="s">
        <v>160</v>
      </c>
      <c r="AC56" t="s">
        <v>19</v>
      </c>
      <c r="AD56" t="s">
        <v>222</v>
      </c>
      <c r="AE56">
        <v>4.4772944258050064E-3</v>
      </c>
      <c r="AK56">
        <v>2031</v>
      </c>
      <c r="AL56" t="s">
        <v>145</v>
      </c>
      <c r="AM56">
        <v>0.3261</v>
      </c>
      <c r="AN56" t="s">
        <v>218</v>
      </c>
    </row>
    <row r="57" spans="9:40" x14ac:dyDescent="0.45">
      <c r="I57" t="s">
        <v>180</v>
      </c>
      <c r="J57" t="s">
        <v>223</v>
      </c>
      <c r="K57">
        <v>0</v>
      </c>
      <c r="L57" t="s">
        <v>160</v>
      </c>
      <c r="N57" t="s">
        <v>190</v>
      </c>
      <c r="O57" t="s">
        <v>223</v>
      </c>
      <c r="P57">
        <v>7.7497876792771226E-4</v>
      </c>
      <c r="Q57" t="s">
        <v>160</v>
      </c>
      <c r="S57" t="s">
        <v>200</v>
      </c>
      <c r="T57" t="s">
        <v>223</v>
      </c>
      <c r="U57">
        <v>7.7497876792771226E-4</v>
      </c>
      <c r="V57" t="s">
        <v>160</v>
      </c>
      <c r="AC57" t="s">
        <v>19</v>
      </c>
      <c r="AD57" t="s">
        <v>223</v>
      </c>
      <c r="AE57">
        <v>8.9726240672321968E-4</v>
      </c>
      <c r="AK57">
        <v>2031</v>
      </c>
      <c r="AL57" t="s">
        <v>149</v>
      </c>
      <c r="AM57">
        <v>0.39190000000000003</v>
      </c>
      <c r="AN57" t="s">
        <v>218</v>
      </c>
    </row>
    <row r="58" spans="9:40" x14ac:dyDescent="0.45">
      <c r="I58" t="s">
        <v>180</v>
      </c>
      <c r="J58" t="s">
        <v>224</v>
      </c>
      <c r="K58">
        <v>9.0434511272023121E-3</v>
      </c>
      <c r="L58" t="s">
        <v>160</v>
      </c>
      <c r="N58" t="s">
        <v>190</v>
      </c>
      <c r="O58" t="s">
        <v>224</v>
      </c>
      <c r="P58">
        <v>7.0502840496227256E-3</v>
      </c>
      <c r="Q58" t="s">
        <v>160</v>
      </c>
      <c r="S58" t="s">
        <v>200</v>
      </c>
      <c r="T58" t="s">
        <v>224</v>
      </c>
      <c r="U58">
        <v>7.0502840496227256E-3</v>
      </c>
      <c r="V58" t="s">
        <v>160</v>
      </c>
      <c r="AC58" t="s">
        <v>19</v>
      </c>
      <c r="AD58" t="s">
        <v>224</v>
      </c>
      <c r="AE58">
        <v>1.0129432059761192E-2</v>
      </c>
      <c r="AK58">
        <v>2031</v>
      </c>
      <c r="AL58" t="s">
        <v>151</v>
      </c>
      <c r="AM58">
        <v>0.26701249999999999</v>
      </c>
      <c r="AN58" t="s">
        <v>218</v>
      </c>
    </row>
    <row r="59" spans="9:40" x14ac:dyDescent="0.45">
      <c r="I59" t="s">
        <v>180</v>
      </c>
      <c r="J59" t="s">
        <v>225</v>
      </c>
      <c r="K59">
        <v>0</v>
      </c>
      <c r="L59" t="s">
        <v>160</v>
      </c>
      <c r="N59" t="s">
        <v>190</v>
      </c>
      <c r="O59" t="s">
        <v>225</v>
      </c>
      <c r="P59">
        <v>4.8733218190378123E-3</v>
      </c>
      <c r="Q59" t="s">
        <v>160</v>
      </c>
      <c r="S59" t="s">
        <v>200</v>
      </c>
      <c r="T59" t="s">
        <v>225</v>
      </c>
      <c r="U59">
        <v>4.8733218190378123E-3</v>
      </c>
      <c r="V59" t="s">
        <v>160</v>
      </c>
      <c r="AC59" t="s">
        <v>19</v>
      </c>
      <c r="AD59" t="s">
        <v>225</v>
      </c>
      <c r="AE59">
        <v>5.5188745233091573E-3</v>
      </c>
      <c r="AK59">
        <v>2031</v>
      </c>
      <c r="AL59" t="s">
        <v>153</v>
      </c>
      <c r="AM59">
        <v>0.20989999999999998</v>
      </c>
      <c r="AN59" t="s">
        <v>218</v>
      </c>
    </row>
    <row r="60" spans="9:40" x14ac:dyDescent="0.45">
      <c r="I60" t="s">
        <v>180</v>
      </c>
      <c r="J60" t="s">
        <v>226</v>
      </c>
      <c r="K60">
        <v>0</v>
      </c>
      <c r="L60" t="s">
        <v>160</v>
      </c>
      <c r="N60" t="s">
        <v>190</v>
      </c>
      <c r="O60" t="s">
        <v>226</v>
      </c>
      <c r="P60">
        <v>7.5224425680633423E-4</v>
      </c>
      <c r="Q60" t="s">
        <v>160</v>
      </c>
      <c r="S60" t="s">
        <v>200</v>
      </c>
      <c r="T60" t="s">
        <v>226</v>
      </c>
      <c r="U60">
        <v>7.5224425680633423E-4</v>
      </c>
      <c r="V60" t="s">
        <v>160</v>
      </c>
      <c r="AC60" t="s">
        <v>19</v>
      </c>
      <c r="AD60" t="s">
        <v>226</v>
      </c>
      <c r="AE60">
        <v>9.021799129407263E-4</v>
      </c>
      <c r="AK60">
        <v>2031</v>
      </c>
      <c r="AL60" t="s">
        <v>220</v>
      </c>
      <c r="AM60">
        <v>0.2535</v>
      </c>
      <c r="AN60" t="s">
        <v>218</v>
      </c>
    </row>
    <row r="61" spans="9:40" x14ac:dyDescent="0.45">
      <c r="I61" t="s">
        <v>181</v>
      </c>
      <c r="J61" t="s">
        <v>159</v>
      </c>
      <c r="K61">
        <v>0</v>
      </c>
      <c r="L61" t="s">
        <v>160</v>
      </c>
      <c r="N61" t="s">
        <v>191</v>
      </c>
      <c r="O61" t="s">
        <v>159</v>
      </c>
      <c r="P61">
        <v>4.7517086185757507E-2</v>
      </c>
      <c r="Q61" t="s">
        <v>160</v>
      </c>
      <c r="S61" t="s">
        <v>201</v>
      </c>
      <c r="T61" t="s">
        <v>159</v>
      </c>
      <c r="U61">
        <v>4.7517086185757507E-2</v>
      </c>
      <c r="V61" t="s">
        <v>160</v>
      </c>
      <c r="AK61">
        <v>2032</v>
      </c>
      <c r="AL61" t="s">
        <v>145</v>
      </c>
      <c r="AM61">
        <v>0.35066666666666668</v>
      </c>
      <c r="AN61" t="s">
        <v>218</v>
      </c>
    </row>
    <row r="62" spans="9:40" x14ac:dyDescent="0.45">
      <c r="I62" t="s">
        <v>181</v>
      </c>
      <c r="J62" t="s">
        <v>161</v>
      </c>
      <c r="K62">
        <v>0</v>
      </c>
      <c r="L62" t="s">
        <v>160</v>
      </c>
      <c r="N62" t="s">
        <v>191</v>
      </c>
      <c r="O62" t="s">
        <v>161</v>
      </c>
      <c r="P62">
        <v>9.4530816370655881E-3</v>
      </c>
      <c r="Q62" t="s">
        <v>160</v>
      </c>
      <c r="S62" t="s">
        <v>201</v>
      </c>
      <c r="T62" t="s">
        <v>161</v>
      </c>
      <c r="U62">
        <v>9.4530816370655881E-3</v>
      </c>
      <c r="V62" t="s">
        <v>160</v>
      </c>
      <c r="AK62">
        <v>2032</v>
      </c>
      <c r="AL62" t="s">
        <v>149</v>
      </c>
      <c r="AM62">
        <v>0.3579</v>
      </c>
      <c r="AN62" t="s">
        <v>218</v>
      </c>
    </row>
    <row r="63" spans="9:40" x14ac:dyDescent="0.45">
      <c r="I63" t="s">
        <v>181</v>
      </c>
      <c r="J63" t="s">
        <v>162</v>
      </c>
      <c r="K63">
        <v>8.2372366322492757E-2</v>
      </c>
      <c r="L63" t="s">
        <v>160</v>
      </c>
      <c r="N63" t="s">
        <v>191</v>
      </c>
      <c r="O63" t="s">
        <v>162</v>
      </c>
      <c r="P63">
        <v>9.1301769378490799E-2</v>
      </c>
      <c r="Q63" t="s">
        <v>160</v>
      </c>
      <c r="S63" t="s">
        <v>201</v>
      </c>
      <c r="T63" t="s">
        <v>162</v>
      </c>
      <c r="U63">
        <v>9.1301769378490799E-2</v>
      </c>
      <c r="V63" t="s">
        <v>160</v>
      </c>
      <c r="AK63">
        <v>2032</v>
      </c>
      <c r="AL63" t="s">
        <v>151</v>
      </c>
      <c r="AM63">
        <v>0.32572499999999993</v>
      </c>
      <c r="AN63" t="s">
        <v>218</v>
      </c>
    </row>
    <row r="64" spans="9:40" x14ac:dyDescent="0.45">
      <c r="I64" t="s">
        <v>181</v>
      </c>
      <c r="J64" t="s">
        <v>163</v>
      </c>
      <c r="K64">
        <v>2.0457273951829452E-3</v>
      </c>
      <c r="L64" t="s">
        <v>160</v>
      </c>
      <c r="N64" t="s">
        <v>191</v>
      </c>
      <c r="O64" t="s">
        <v>163</v>
      </c>
      <c r="P64">
        <v>5.1318451839071549E-2</v>
      </c>
      <c r="Q64" t="s">
        <v>160</v>
      </c>
      <c r="S64" t="s">
        <v>201</v>
      </c>
      <c r="T64" t="s">
        <v>163</v>
      </c>
      <c r="U64">
        <v>5.1318451839071549E-2</v>
      </c>
      <c r="V64" t="s">
        <v>160</v>
      </c>
      <c r="AK64">
        <v>2032</v>
      </c>
      <c r="AL64" t="s">
        <v>153</v>
      </c>
      <c r="AM64">
        <v>0.31279999999999997</v>
      </c>
      <c r="AN64" t="s">
        <v>218</v>
      </c>
    </row>
    <row r="65" spans="9:40" x14ac:dyDescent="0.45">
      <c r="I65" t="s">
        <v>181</v>
      </c>
      <c r="J65" t="s">
        <v>164</v>
      </c>
      <c r="K65">
        <v>0</v>
      </c>
      <c r="L65" t="s">
        <v>160</v>
      </c>
      <c r="N65" t="s">
        <v>191</v>
      </c>
      <c r="O65" t="s">
        <v>164</v>
      </c>
      <c r="P65">
        <v>8.3624543978783345E-3</v>
      </c>
      <c r="Q65" t="s">
        <v>160</v>
      </c>
      <c r="S65" t="s">
        <v>201</v>
      </c>
      <c r="T65" t="s">
        <v>164</v>
      </c>
      <c r="U65">
        <v>8.3624543978783345E-3</v>
      </c>
      <c r="V65" t="s">
        <v>160</v>
      </c>
      <c r="AK65">
        <v>2032</v>
      </c>
      <c r="AL65" t="s">
        <v>220</v>
      </c>
      <c r="AM65">
        <v>0.33129999999999998</v>
      </c>
      <c r="AN65" t="s">
        <v>218</v>
      </c>
    </row>
    <row r="66" spans="9:40" x14ac:dyDescent="0.45">
      <c r="I66" t="s">
        <v>181</v>
      </c>
      <c r="J66" t="s">
        <v>165</v>
      </c>
      <c r="K66">
        <v>0</v>
      </c>
      <c r="L66" t="s">
        <v>160</v>
      </c>
      <c r="N66" t="s">
        <v>191</v>
      </c>
      <c r="O66" t="s">
        <v>165</v>
      </c>
      <c r="P66">
        <v>1.6517950175620893E-2</v>
      </c>
      <c r="Q66" t="s">
        <v>160</v>
      </c>
      <c r="S66" t="s">
        <v>201</v>
      </c>
      <c r="T66" t="s">
        <v>165</v>
      </c>
      <c r="U66">
        <v>1.6517950175620893E-2</v>
      </c>
      <c r="V66" t="s">
        <v>160</v>
      </c>
      <c r="AK66">
        <v>2033</v>
      </c>
      <c r="AL66" t="s">
        <v>145</v>
      </c>
      <c r="AM66">
        <v>0.31049999999999994</v>
      </c>
      <c r="AN66" t="s">
        <v>218</v>
      </c>
    </row>
    <row r="67" spans="9:40" x14ac:dyDescent="0.45">
      <c r="I67" t="s">
        <v>181</v>
      </c>
      <c r="J67" t="s">
        <v>166</v>
      </c>
      <c r="K67">
        <v>0</v>
      </c>
      <c r="L67" t="s">
        <v>160</v>
      </c>
      <c r="N67" t="s">
        <v>191</v>
      </c>
      <c r="O67" t="s">
        <v>166</v>
      </c>
      <c r="P67">
        <v>3.0626058789753217E-3</v>
      </c>
      <c r="Q67" t="s">
        <v>160</v>
      </c>
      <c r="S67" t="s">
        <v>201</v>
      </c>
      <c r="T67" t="s">
        <v>166</v>
      </c>
      <c r="U67">
        <v>3.0626058789753217E-3</v>
      </c>
      <c r="V67" t="s">
        <v>160</v>
      </c>
      <c r="AK67">
        <v>2033</v>
      </c>
      <c r="AL67" t="s">
        <v>149</v>
      </c>
      <c r="AM67">
        <v>0.29659999999999997</v>
      </c>
      <c r="AN67" t="s">
        <v>218</v>
      </c>
    </row>
    <row r="68" spans="9:40" x14ac:dyDescent="0.45">
      <c r="I68" t="s">
        <v>181</v>
      </c>
      <c r="J68" t="s">
        <v>167</v>
      </c>
      <c r="K68">
        <v>3.8640766823799501E-2</v>
      </c>
      <c r="L68" t="s">
        <v>160</v>
      </c>
      <c r="N68" t="s">
        <v>191</v>
      </c>
      <c r="O68" t="s">
        <v>167</v>
      </c>
      <c r="P68">
        <v>4.1659276264508688E-2</v>
      </c>
      <c r="Q68" t="s">
        <v>160</v>
      </c>
      <c r="S68" t="s">
        <v>201</v>
      </c>
      <c r="T68" t="s">
        <v>167</v>
      </c>
      <c r="U68">
        <v>4.1659276264508688E-2</v>
      </c>
      <c r="V68" t="s">
        <v>160</v>
      </c>
      <c r="AK68">
        <v>2033</v>
      </c>
      <c r="AL68" t="s">
        <v>151</v>
      </c>
      <c r="AM68">
        <v>0.27778749999999997</v>
      </c>
      <c r="AN68" t="s">
        <v>218</v>
      </c>
    </row>
    <row r="69" spans="9:40" x14ac:dyDescent="0.45">
      <c r="I69" t="s">
        <v>181</v>
      </c>
      <c r="J69" t="s">
        <v>168</v>
      </c>
      <c r="K69">
        <v>2.8134883683241432E-3</v>
      </c>
      <c r="L69" t="s">
        <v>160</v>
      </c>
      <c r="N69" t="s">
        <v>191</v>
      </c>
      <c r="O69" t="s">
        <v>168</v>
      </c>
      <c r="P69">
        <v>2.5148624238235683E-2</v>
      </c>
      <c r="Q69" t="s">
        <v>160</v>
      </c>
      <c r="S69" t="s">
        <v>201</v>
      </c>
      <c r="T69" t="s">
        <v>168</v>
      </c>
      <c r="U69">
        <v>2.5148624238235683E-2</v>
      </c>
      <c r="V69" t="s">
        <v>160</v>
      </c>
      <c r="AK69">
        <v>2033</v>
      </c>
      <c r="AL69" t="s">
        <v>153</v>
      </c>
      <c r="AM69">
        <v>0.25266666666666665</v>
      </c>
      <c r="AN69" t="s">
        <v>218</v>
      </c>
    </row>
    <row r="70" spans="9:40" x14ac:dyDescent="0.45">
      <c r="I70" t="s">
        <v>181</v>
      </c>
      <c r="J70" t="s">
        <v>169</v>
      </c>
      <c r="K70">
        <v>0</v>
      </c>
      <c r="L70" t="s">
        <v>160</v>
      </c>
      <c r="N70" t="s">
        <v>191</v>
      </c>
      <c r="O70" t="s">
        <v>169</v>
      </c>
      <c r="P70">
        <v>3.4646171869251261E-3</v>
      </c>
      <c r="Q70" t="s">
        <v>160</v>
      </c>
      <c r="S70" t="s">
        <v>201</v>
      </c>
      <c r="T70" t="s">
        <v>169</v>
      </c>
      <c r="U70">
        <v>3.4646171869251261E-3</v>
      </c>
      <c r="V70" t="s">
        <v>160</v>
      </c>
      <c r="AK70">
        <v>2033</v>
      </c>
      <c r="AL70" t="s">
        <v>220</v>
      </c>
      <c r="AM70">
        <v>0.30480000000000002</v>
      </c>
      <c r="AN70" t="s">
        <v>218</v>
      </c>
    </row>
    <row r="71" spans="9:40" x14ac:dyDescent="0.45">
      <c r="I71" t="s">
        <v>181</v>
      </c>
      <c r="J71" t="s">
        <v>170</v>
      </c>
      <c r="K71">
        <v>0</v>
      </c>
      <c r="L71" t="s">
        <v>160</v>
      </c>
      <c r="N71" t="s">
        <v>191</v>
      </c>
      <c r="O71" t="s">
        <v>170</v>
      </c>
      <c r="P71">
        <v>9.7775200113214555E-2</v>
      </c>
      <c r="Q71" t="s">
        <v>160</v>
      </c>
      <c r="S71" t="s">
        <v>201</v>
      </c>
      <c r="T71" t="s">
        <v>170</v>
      </c>
      <c r="U71">
        <v>9.7775200113214555E-2</v>
      </c>
      <c r="V71" t="s">
        <v>160</v>
      </c>
      <c r="AK71">
        <v>2034</v>
      </c>
      <c r="AL71" t="s">
        <v>145</v>
      </c>
      <c r="AM71">
        <v>0.3934333333333333</v>
      </c>
      <c r="AN71" t="s">
        <v>218</v>
      </c>
    </row>
    <row r="72" spans="9:40" x14ac:dyDescent="0.45">
      <c r="I72" t="s">
        <v>181</v>
      </c>
      <c r="J72" t="s">
        <v>171</v>
      </c>
      <c r="K72">
        <v>7.1372202972043546E-3</v>
      </c>
      <c r="L72" t="s">
        <v>160</v>
      </c>
      <c r="N72" t="s">
        <v>191</v>
      </c>
      <c r="O72" t="s">
        <v>171</v>
      </c>
      <c r="P72">
        <v>1.6904275416511138E-2</v>
      </c>
      <c r="Q72" t="s">
        <v>160</v>
      </c>
      <c r="S72" t="s">
        <v>201</v>
      </c>
      <c r="T72" t="s">
        <v>171</v>
      </c>
      <c r="U72">
        <v>1.6904275416511138E-2</v>
      </c>
      <c r="V72" t="s">
        <v>160</v>
      </c>
      <c r="AK72">
        <v>2034</v>
      </c>
      <c r="AL72" t="s">
        <v>149</v>
      </c>
      <c r="AM72">
        <v>0.42249999999999999</v>
      </c>
      <c r="AN72" t="s">
        <v>218</v>
      </c>
    </row>
    <row r="73" spans="9:40" x14ac:dyDescent="0.45">
      <c r="I73" t="s">
        <v>181</v>
      </c>
      <c r="J73" t="s">
        <v>172</v>
      </c>
      <c r="K73">
        <v>0.66517932569755267</v>
      </c>
      <c r="L73" t="s">
        <v>160</v>
      </c>
      <c r="N73" t="s">
        <v>191</v>
      </c>
      <c r="O73" t="s">
        <v>172</v>
      </c>
      <c r="P73">
        <v>0.1796872399630276</v>
      </c>
      <c r="Q73" t="s">
        <v>160</v>
      </c>
      <c r="S73" t="s">
        <v>201</v>
      </c>
      <c r="T73" t="s">
        <v>172</v>
      </c>
      <c r="U73">
        <v>0.1796872399630276</v>
      </c>
      <c r="V73" t="s">
        <v>160</v>
      </c>
      <c r="AK73">
        <v>2034</v>
      </c>
      <c r="AL73" t="s">
        <v>151</v>
      </c>
      <c r="AM73">
        <v>0.3182625</v>
      </c>
      <c r="AN73" t="s">
        <v>218</v>
      </c>
    </row>
    <row r="74" spans="9:40" x14ac:dyDescent="0.45">
      <c r="I74" t="s">
        <v>181</v>
      </c>
      <c r="J74" t="s">
        <v>173</v>
      </c>
      <c r="K74">
        <v>7.6723074942619957E-2</v>
      </c>
      <c r="L74" t="s">
        <v>160</v>
      </c>
      <c r="N74" t="s">
        <v>191</v>
      </c>
      <c r="O74" t="s">
        <v>173</v>
      </c>
      <c r="P74">
        <v>0.11762193671579133</v>
      </c>
      <c r="Q74" t="s">
        <v>160</v>
      </c>
      <c r="S74" t="s">
        <v>201</v>
      </c>
      <c r="T74" t="s">
        <v>173</v>
      </c>
      <c r="U74">
        <v>0.11762193671579133</v>
      </c>
      <c r="V74" t="s">
        <v>160</v>
      </c>
      <c r="AK74">
        <v>2034</v>
      </c>
      <c r="AL74" t="s">
        <v>153</v>
      </c>
      <c r="AM74">
        <v>0.30166666666666669</v>
      </c>
      <c r="AN74" t="s">
        <v>218</v>
      </c>
    </row>
    <row r="75" spans="9:40" x14ac:dyDescent="0.45">
      <c r="I75" t="s">
        <v>181</v>
      </c>
      <c r="J75" t="s">
        <v>174</v>
      </c>
      <c r="K75">
        <v>0</v>
      </c>
      <c r="L75" t="s">
        <v>160</v>
      </c>
      <c r="N75" t="s">
        <v>191</v>
      </c>
      <c r="O75" t="s">
        <v>174</v>
      </c>
      <c r="P75">
        <v>1.9970776011905712E-2</v>
      </c>
      <c r="Q75" t="s">
        <v>160</v>
      </c>
      <c r="S75" t="s">
        <v>201</v>
      </c>
      <c r="T75" t="s">
        <v>174</v>
      </c>
      <c r="U75">
        <v>1.9970776011905712E-2</v>
      </c>
      <c r="V75" t="s">
        <v>160</v>
      </c>
      <c r="AK75">
        <v>2034</v>
      </c>
      <c r="AL75" t="s">
        <v>220</v>
      </c>
      <c r="AM75">
        <v>0.38979999999999998</v>
      </c>
      <c r="AN75" t="s">
        <v>218</v>
      </c>
    </row>
    <row r="76" spans="9:40" x14ac:dyDescent="0.45">
      <c r="I76" t="s">
        <v>181</v>
      </c>
      <c r="J76" t="s">
        <v>175</v>
      </c>
      <c r="K76">
        <v>0</v>
      </c>
      <c r="L76" t="s">
        <v>160</v>
      </c>
      <c r="N76" t="s">
        <v>191</v>
      </c>
      <c r="O76" t="s">
        <v>175</v>
      </c>
      <c r="P76">
        <v>4.7957057294859419E-2</v>
      </c>
      <c r="Q76" t="s">
        <v>160</v>
      </c>
      <c r="S76" t="s">
        <v>201</v>
      </c>
      <c r="T76" t="s">
        <v>175</v>
      </c>
      <c r="U76">
        <v>4.7957057294859419E-2</v>
      </c>
      <c r="V76" t="s">
        <v>160</v>
      </c>
      <c r="AK76">
        <v>2035</v>
      </c>
      <c r="AL76" t="s">
        <v>145</v>
      </c>
      <c r="AM76">
        <v>0.37483333333333335</v>
      </c>
      <c r="AN76" t="s">
        <v>218</v>
      </c>
    </row>
    <row r="77" spans="9:40" x14ac:dyDescent="0.45">
      <c r="I77" t="s">
        <v>181</v>
      </c>
      <c r="J77" t="s">
        <v>176</v>
      </c>
      <c r="K77">
        <v>0</v>
      </c>
      <c r="L77" t="s">
        <v>160</v>
      </c>
      <c r="N77" t="s">
        <v>191</v>
      </c>
      <c r="O77" t="s">
        <v>176</v>
      </c>
      <c r="P77">
        <v>9.130883728588635E-3</v>
      </c>
      <c r="Q77" t="s">
        <v>160</v>
      </c>
      <c r="S77" t="s">
        <v>201</v>
      </c>
      <c r="T77" t="s">
        <v>176</v>
      </c>
      <c r="U77">
        <v>9.130883728588635E-3</v>
      </c>
      <c r="V77" t="s">
        <v>160</v>
      </c>
      <c r="AK77">
        <v>2035</v>
      </c>
      <c r="AL77" t="s">
        <v>149</v>
      </c>
      <c r="AM77">
        <v>0.36720000000000003</v>
      </c>
      <c r="AN77" t="s">
        <v>218</v>
      </c>
    </row>
    <row r="78" spans="9:40" x14ac:dyDescent="0.45">
      <c r="I78" t="s">
        <v>181</v>
      </c>
      <c r="J78" t="s">
        <v>177</v>
      </c>
      <c r="K78">
        <v>0.11548209066068375</v>
      </c>
      <c r="L78" t="s">
        <v>160</v>
      </c>
      <c r="N78" t="s">
        <v>191</v>
      </c>
      <c r="O78" t="s">
        <v>177</v>
      </c>
      <c r="P78">
        <v>9.9864810809071974E-2</v>
      </c>
      <c r="Q78" t="s">
        <v>160</v>
      </c>
      <c r="S78" t="s">
        <v>201</v>
      </c>
      <c r="T78" t="s">
        <v>177</v>
      </c>
      <c r="U78">
        <v>9.9864810809071974E-2</v>
      </c>
      <c r="V78" t="s">
        <v>160</v>
      </c>
      <c r="AK78">
        <v>2035</v>
      </c>
      <c r="AL78" t="s">
        <v>151</v>
      </c>
      <c r="AM78">
        <v>0.30453750000000002</v>
      </c>
      <c r="AN78" t="s">
        <v>218</v>
      </c>
    </row>
    <row r="79" spans="9:40" x14ac:dyDescent="0.45">
      <c r="I79" t="s">
        <v>181</v>
      </c>
      <c r="J79" t="s">
        <v>178</v>
      </c>
      <c r="K79">
        <v>9.8567521371410033E-4</v>
      </c>
      <c r="L79" t="s">
        <v>160</v>
      </c>
      <c r="N79" t="s">
        <v>191</v>
      </c>
      <c r="O79" t="s">
        <v>178</v>
      </c>
      <c r="P79">
        <v>6.7589080646620198E-2</v>
      </c>
      <c r="Q79" t="s">
        <v>160</v>
      </c>
      <c r="S79" t="s">
        <v>201</v>
      </c>
      <c r="T79" t="s">
        <v>178</v>
      </c>
      <c r="U79">
        <v>6.7589080646620198E-2</v>
      </c>
      <c r="V79" t="s">
        <v>160</v>
      </c>
      <c r="AK79">
        <v>2035</v>
      </c>
      <c r="AL79" t="s">
        <v>153</v>
      </c>
      <c r="AM79">
        <v>0.27256666666666668</v>
      </c>
      <c r="AN79" t="s">
        <v>218</v>
      </c>
    </row>
    <row r="80" spans="9:40" x14ac:dyDescent="0.45">
      <c r="I80" t="s">
        <v>181</v>
      </c>
      <c r="J80" t="s">
        <v>179</v>
      </c>
      <c r="K80">
        <v>0</v>
      </c>
      <c r="L80" t="s">
        <v>160</v>
      </c>
      <c r="N80" t="s">
        <v>191</v>
      </c>
      <c r="O80" t="s">
        <v>179</v>
      </c>
      <c r="P80">
        <v>9.7955047421436677E-3</v>
      </c>
      <c r="Q80" t="s">
        <v>160</v>
      </c>
      <c r="S80" t="s">
        <v>201</v>
      </c>
      <c r="T80" t="s">
        <v>179</v>
      </c>
      <c r="U80">
        <v>9.7955047421436677E-3</v>
      </c>
      <c r="V80" t="s">
        <v>160</v>
      </c>
      <c r="AK80">
        <v>2035</v>
      </c>
      <c r="AL80" t="s">
        <v>220</v>
      </c>
      <c r="AM80">
        <v>0.31669999999999998</v>
      </c>
      <c r="AN80" t="s">
        <v>218</v>
      </c>
    </row>
    <row r="81" spans="9:40" x14ac:dyDescent="0.45">
      <c r="I81" t="s">
        <v>181</v>
      </c>
      <c r="J81" t="s">
        <v>222</v>
      </c>
      <c r="K81">
        <v>0</v>
      </c>
      <c r="L81" t="s">
        <v>160</v>
      </c>
      <c r="N81" t="s">
        <v>191</v>
      </c>
      <c r="O81" t="s">
        <v>222</v>
      </c>
      <c r="P81">
        <v>7.4481034317148594E-3</v>
      </c>
      <c r="Q81" t="s">
        <v>160</v>
      </c>
      <c r="S81" t="s">
        <v>201</v>
      </c>
      <c r="T81" t="s">
        <v>222</v>
      </c>
      <c r="U81">
        <v>7.4481034317148594E-3</v>
      </c>
      <c r="V81" t="s">
        <v>160</v>
      </c>
      <c r="AK81">
        <v>2036</v>
      </c>
      <c r="AL81" t="s">
        <v>145</v>
      </c>
      <c r="AM81">
        <v>0.34933333333333333</v>
      </c>
      <c r="AN81" t="s">
        <v>218</v>
      </c>
    </row>
    <row r="82" spans="9:40" x14ac:dyDescent="0.45">
      <c r="I82" t="s">
        <v>181</v>
      </c>
      <c r="J82" t="s">
        <v>223</v>
      </c>
      <c r="K82">
        <v>0</v>
      </c>
      <c r="L82" t="s">
        <v>160</v>
      </c>
      <c r="N82" t="s">
        <v>191</v>
      </c>
      <c r="O82" t="s">
        <v>223</v>
      </c>
      <c r="P82">
        <v>1.3876767864458624E-3</v>
      </c>
      <c r="Q82" t="s">
        <v>160</v>
      </c>
      <c r="S82" t="s">
        <v>201</v>
      </c>
      <c r="T82" t="s">
        <v>223</v>
      </c>
      <c r="U82">
        <v>1.3876767864458624E-3</v>
      </c>
      <c r="V82" t="s">
        <v>160</v>
      </c>
      <c r="AK82">
        <v>2036</v>
      </c>
      <c r="AL82" t="s">
        <v>149</v>
      </c>
      <c r="AM82">
        <v>0.37369999999999998</v>
      </c>
      <c r="AN82" t="s">
        <v>218</v>
      </c>
    </row>
    <row r="83" spans="9:40" x14ac:dyDescent="0.45">
      <c r="I83" t="s">
        <v>181</v>
      </c>
      <c r="J83" t="s">
        <v>224</v>
      </c>
      <c r="K83">
        <v>8.6202642784280921E-3</v>
      </c>
      <c r="L83" t="s">
        <v>160</v>
      </c>
      <c r="N83" t="s">
        <v>191</v>
      </c>
      <c r="O83" t="s">
        <v>224</v>
      </c>
      <c r="P83">
        <v>1.5156091611361186E-2</v>
      </c>
      <c r="Q83" t="s">
        <v>160</v>
      </c>
      <c r="S83" t="s">
        <v>201</v>
      </c>
      <c r="T83" t="s">
        <v>224</v>
      </c>
      <c r="U83">
        <v>1.5156091611361186E-2</v>
      </c>
      <c r="V83" t="s">
        <v>160</v>
      </c>
      <c r="AK83">
        <v>2036</v>
      </c>
      <c r="AL83" t="s">
        <v>151</v>
      </c>
      <c r="AM83">
        <v>0.3077375</v>
      </c>
      <c r="AN83" t="s">
        <v>218</v>
      </c>
    </row>
    <row r="84" spans="9:40" x14ac:dyDescent="0.45">
      <c r="I84" t="s">
        <v>181</v>
      </c>
      <c r="J84" t="s">
        <v>225</v>
      </c>
      <c r="K84">
        <v>0</v>
      </c>
      <c r="L84" t="s">
        <v>160</v>
      </c>
      <c r="N84" t="s">
        <v>191</v>
      </c>
      <c r="O84" t="s">
        <v>225</v>
      </c>
      <c r="P84">
        <v>1.0336147095105682E-2</v>
      </c>
      <c r="Q84" t="s">
        <v>160</v>
      </c>
      <c r="S84" t="s">
        <v>201</v>
      </c>
      <c r="T84" t="s">
        <v>225</v>
      </c>
      <c r="U84">
        <v>1.0336147095105682E-2</v>
      </c>
      <c r="V84" t="s">
        <v>160</v>
      </c>
      <c r="AK84">
        <v>2036</v>
      </c>
      <c r="AL84" t="s">
        <v>153</v>
      </c>
      <c r="AM84">
        <v>0.24229999999999999</v>
      </c>
      <c r="AN84" t="s">
        <v>218</v>
      </c>
    </row>
    <row r="85" spans="9:40" x14ac:dyDescent="0.45">
      <c r="I85" t="s">
        <v>181</v>
      </c>
      <c r="J85" t="s">
        <v>226</v>
      </c>
      <c r="K85">
        <v>0</v>
      </c>
      <c r="L85" t="s">
        <v>160</v>
      </c>
      <c r="N85" t="s">
        <v>191</v>
      </c>
      <c r="O85" t="s">
        <v>226</v>
      </c>
      <c r="P85">
        <v>1.5692984511109398E-3</v>
      </c>
      <c r="Q85" t="s">
        <v>160</v>
      </c>
      <c r="S85" t="s">
        <v>201</v>
      </c>
      <c r="T85" t="s">
        <v>226</v>
      </c>
      <c r="U85">
        <v>1.5692984511109398E-3</v>
      </c>
      <c r="V85" t="s">
        <v>160</v>
      </c>
      <c r="AK85">
        <v>2036</v>
      </c>
      <c r="AL85" t="s">
        <v>220</v>
      </c>
      <c r="AM85">
        <v>0.24510000000000001</v>
      </c>
      <c r="AN85" t="s">
        <v>218</v>
      </c>
    </row>
    <row r="86" spans="9:40" x14ac:dyDescent="0.45">
      <c r="I86" t="s">
        <v>182</v>
      </c>
      <c r="J86" t="s">
        <v>159</v>
      </c>
      <c r="K86">
        <v>0</v>
      </c>
      <c r="L86" t="s">
        <v>160</v>
      </c>
      <c r="N86" t="s">
        <v>192</v>
      </c>
      <c r="O86" t="s">
        <v>159</v>
      </c>
      <c r="P86">
        <v>4.8216141873245841E-2</v>
      </c>
      <c r="Q86" t="s">
        <v>160</v>
      </c>
      <c r="S86" t="s">
        <v>202</v>
      </c>
      <c r="T86" t="s">
        <v>159</v>
      </c>
      <c r="U86">
        <v>4.8216141873245841E-2</v>
      </c>
      <c r="V86" t="s">
        <v>160</v>
      </c>
      <c r="AK86">
        <v>2037</v>
      </c>
      <c r="AL86" t="s">
        <v>145</v>
      </c>
      <c r="AM86">
        <v>0.34579999999999994</v>
      </c>
      <c r="AN86" t="s">
        <v>218</v>
      </c>
    </row>
    <row r="87" spans="9:40" x14ac:dyDescent="0.45">
      <c r="I87" t="s">
        <v>182</v>
      </c>
      <c r="J87" t="s">
        <v>161</v>
      </c>
      <c r="K87">
        <v>0</v>
      </c>
      <c r="L87" t="s">
        <v>160</v>
      </c>
      <c r="N87" t="s">
        <v>192</v>
      </c>
      <c r="O87" t="s">
        <v>161</v>
      </c>
      <c r="P87">
        <v>1.229218137503988E-2</v>
      </c>
      <c r="Q87" t="s">
        <v>160</v>
      </c>
      <c r="S87" t="s">
        <v>202</v>
      </c>
      <c r="T87" t="s">
        <v>161</v>
      </c>
      <c r="U87">
        <v>1.229218137503988E-2</v>
      </c>
      <c r="V87" t="s">
        <v>160</v>
      </c>
      <c r="AK87">
        <v>2037</v>
      </c>
      <c r="AL87" t="s">
        <v>149</v>
      </c>
      <c r="AM87">
        <v>0.35049999999999998</v>
      </c>
      <c r="AN87" t="s">
        <v>218</v>
      </c>
    </row>
    <row r="88" spans="9:40" x14ac:dyDescent="0.45">
      <c r="I88" t="s">
        <v>182</v>
      </c>
      <c r="J88" t="s">
        <v>162</v>
      </c>
      <c r="K88">
        <v>8.5398407793452702E-2</v>
      </c>
      <c r="L88" t="s">
        <v>160</v>
      </c>
      <c r="N88" t="s">
        <v>192</v>
      </c>
      <c r="O88" t="s">
        <v>162</v>
      </c>
      <c r="P88">
        <v>0.10433131626679383</v>
      </c>
      <c r="Q88" t="s">
        <v>160</v>
      </c>
      <c r="S88" t="s">
        <v>202</v>
      </c>
      <c r="T88" t="s">
        <v>162</v>
      </c>
      <c r="U88">
        <v>0.10433131626679383</v>
      </c>
      <c r="V88" t="s">
        <v>160</v>
      </c>
      <c r="AK88">
        <v>2037</v>
      </c>
      <c r="AL88" t="s">
        <v>151</v>
      </c>
      <c r="AM88">
        <v>0.29371249999999999</v>
      </c>
      <c r="AN88" t="s">
        <v>218</v>
      </c>
    </row>
    <row r="89" spans="9:40" x14ac:dyDescent="0.45">
      <c r="I89" t="s">
        <v>182</v>
      </c>
      <c r="J89" t="s">
        <v>163</v>
      </c>
      <c r="K89">
        <v>2.5650423405872962E-3</v>
      </c>
      <c r="L89" t="s">
        <v>160</v>
      </c>
      <c r="N89" t="s">
        <v>192</v>
      </c>
      <c r="O89" t="s">
        <v>163</v>
      </c>
      <c r="P89">
        <v>5.2692795675209896E-2</v>
      </c>
      <c r="Q89" t="s">
        <v>160</v>
      </c>
      <c r="S89" t="s">
        <v>202</v>
      </c>
      <c r="T89" t="s">
        <v>163</v>
      </c>
      <c r="U89">
        <v>5.2692795675209896E-2</v>
      </c>
      <c r="V89" t="s">
        <v>160</v>
      </c>
      <c r="AK89">
        <v>2037</v>
      </c>
      <c r="AL89" t="s">
        <v>153</v>
      </c>
      <c r="AM89">
        <v>0.2717</v>
      </c>
      <c r="AN89" t="s">
        <v>218</v>
      </c>
    </row>
    <row r="90" spans="9:40" x14ac:dyDescent="0.45">
      <c r="I90" t="s">
        <v>182</v>
      </c>
      <c r="J90" t="s">
        <v>164</v>
      </c>
      <c r="K90">
        <v>0</v>
      </c>
      <c r="L90" t="s">
        <v>160</v>
      </c>
      <c r="N90" t="s">
        <v>192</v>
      </c>
      <c r="O90" t="s">
        <v>164</v>
      </c>
      <c r="P90">
        <v>7.406203042067518E-3</v>
      </c>
      <c r="Q90" t="s">
        <v>160</v>
      </c>
      <c r="S90" t="s">
        <v>202</v>
      </c>
      <c r="T90" t="s">
        <v>164</v>
      </c>
      <c r="U90">
        <v>7.406203042067518E-3</v>
      </c>
      <c r="V90" t="s">
        <v>160</v>
      </c>
      <c r="AK90">
        <v>2037</v>
      </c>
      <c r="AL90" t="s">
        <v>220</v>
      </c>
      <c r="AM90">
        <v>0.32829999999999998</v>
      </c>
      <c r="AN90" t="s">
        <v>218</v>
      </c>
    </row>
    <row r="91" spans="9:40" x14ac:dyDescent="0.45">
      <c r="I91" t="s">
        <v>182</v>
      </c>
      <c r="J91" t="s">
        <v>165</v>
      </c>
      <c r="K91">
        <v>0</v>
      </c>
      <c r="L91" t="s">
        <v>160</v>
      </c>
      <c r="N91" t="s">
        <v>192</v>
      </c>
      <c r="O91" t="s">
        <v>165</v>
      </c>
      <c r="P91">
        <v>1.8246956728213113E-2</v>
      </c>
      <c r="Q91" t="s">
        <v>160</v>
      </c>
      <c r="S91" t="s">
        <v>202</v>
      </c>
      <c r="T91" t="s">
        <v>165</v>
      </c>
      <c r="U91">
        <v>1.8246956728213113E-2</v>
      </c>
      <c r="V91" t="s">
        <v>160</v>
      </c>
      <c r="AK91">
        <v>2038</v>
      </c>
      <c r="AL91" t="s">
        <v>145</v>
      </c>
      <c r="AM91">
        <v>0.40466666666666667</v>
      </c>
      <c r="AN91" t="s">
        <v>218</v>
      </c>
    </row>
    <row r="92" spans="9:40" x14ac:dyDescent="0.45">
      <c r="I92" t="s">
        <v>182</v>
      </c>
      <c r="J92" t="s">
        <v>166</v>
      </c>
      <c r="K92">
        <v>0</v>
      </c>
      <c r="L92" t="s">
        <v>160</v>
      </c>
      <c r="N92" t="s">
        <v>192</v>
      </c>
      <c r="O92" t="s">
        <v>166</v>
      </c>
      <c r="P92">
        <v>3.5906525803744743E-3</v>
      </c>
      <c r="Q92" t="s">
        <v>160</v>
      </c>
      <c r="S92" t="s">
        <v>202</v>
      </c>
      <c r="T92" t="s">
        <v>166</v>
      </c>
      <c r="U92">
        <v>3.5906525803744743E-3</v>
      </c>
      <c r="V92" t="s">
        <v>160</v>
      </c>
      <c r="AK92">
        <v>2038</v>
      </c>
      <c r="AL92" t="s">
        <v>149</v>
      </c>
      <c r="AM92">
        <v>0.42409999999999998</v>
      </c>
      <c r="AN92" t="s">
        <v>218</v>
      </c>
    </row>
    <row r="93" spans="9:40" x14ac:dyDescent="0.45">
      <c r="I93" t="s">
        <v>182</v>
      </c>
      <c r="J93" t="s">
        <v>167</v>
      </c>
      <c r="K93">
        <v>3.6578912256695899E-2</v>
      </c>
      <c r="L93" t="s">
        <v>160</v>
      </c>
      <c r="N93" t="s">
        <v>192</v>
      </c>
      <c r="O93" t="s">
        <v>167</v>
      </c>
      <c r="P93">
        <v>5.3905355281898409E-2</v>
      </c>
      <c r="Q93" t="s">
        <v>160</v>
      </c>
      <c r="S93" t="s">
        <v>202</v>
      </c>
      <c r="T93" t="s">
        <v>167</v>
      </c>
      <c r="U93">
        <v>5.3905355281898409E-2</v>
      </c>
      <c r="V93" t="s">
        <v>160</v>
      </c>
      <c r="AK93">
        <v>2038</v>
      </c>
      <c r="AL93" t="s">
        <v>151</v>
      </c>
      <c r="AM93">
        <v>0.30637500000000001</v>
      </c>
      <c r="AN93" t="s">
        <v>218</v>
      </c>
    </row>
    <row r="94" spans="9:40" x14ac:dyDescent="0.45">
      <c r="I94" t="s">
        <v>182</v>
      </c>
      <c r="J94" t="s">
        <v>168</v>
      </c>
      <c r="K94">
        <v>3.4105233330218869E-3</v>
      </c>
      <c r="L94" t="s">
        <v>160</v>
      </c>
      <c r="N94" t="s">
        <v>192</v>
      </c>
      <c r="O94" t="s">
        <v>168</v>
      </c>
      <c r="P94">
        <v>3.007886958020484E-2</v>
      </c>
      <c r="Q94" t="s">
        <v>160</v>
      </c>
      <c r="S94" t="s">
        <v>202</v>
      </c>
      <c r="T94" t="s">
        <v>168</v>
      </c>
      <c r="U94">
        <v>3.007886958020484E-2</v>
      </c>
      <c r="V94" t="s">
        <v>160</v>
      </c>
      <c r="AK94">
        <v>2038</v>
      </c>
      <c r="AL94" t="s">
        <v>153</v>
      </c>
      <c r="AM94">
        <v>0.25003333333333333</v>
      </c>
      <c r="AN94" t="s">
        <v>218</v>
      </c>
    </row>
    <row r="95" spans="9:40" x14ac:dyDescent="0.45">
      <c r="I95" t="s">
        <v>182</v>
      </c>
      <c r="J95" t="s">
        <v>169</v>
      </c>
      <c r="K95">
        <v>0</v>
      </c>
      <c r="L95" t="s">
        <v>160</v>
      </c>
      <c r="N95" t="s">
        <v>192</v>
      </c>
      <c r="O95" t="s">
        <v>169</v>
      </c>
      <c r="P95">
        <v>3.7967997822500551E-3</v>
      </c>
      <c r="Q95" t="s">
        <v>160</v>
      </c>
      <c r="S95" t="s">
        <v>202</v>
      </c>
      <c r="T95" t="s">
        <v>169</v>
      </c>
      <c r="U95">
        <v>3.7967997822500551E-3</v>
      </c>
      <c r="V95" t="s">
        <v>160</v>
      </c>
      <c r="AK95">
        <v>2038</v>
      </c>
      <c r="AL95" t="s">
        <v>220</v>
      </c>
      <c r="AM95">
        <v>0.29320000000000002</v>
      </c>
      <c r="AN95" t="s">
        <v>218</v>
      </c>
    </row>
    <row r="96" spans="9:40" x14ac:dyDescent="0.45">
      <c r="I96" t="s">
        <v>182</v>
      </c>
      <c r="J96" t="s">
        <v>170</v>
      </c>
      <c r="K96">
        <v>0</v>
      </c>
      <c r="L96" t="s">
        <v>160</v>
      </c>
      <c r="N96" t="s">
        <v>192</v>
      </c>
      <c r="O96" t="s">
        <v>170</v>
      </c>
      <c r="P96">
        <v>6.9496478602200235E-2</v>
      </c>
      <c r="Q96" t="s">
        <v>160</v>
      </c>
      <c r="S96" t="s">
        <v>202</v>
      </c>
      <c r="T96" t="s">
        <v>170</v>
      </c>
      <c r="U96">
        <v>6.9496478602200235E-2</v>
      </c>
      <c r="V96" t="s">
        <v>160</v>
      </c>
      <c r="AK96">
        <v>2039</v>
      </c>
      <c r="AL96" t="s">
        <v>145</v>
      </c>
      <c r="AM96">
        <v>0.33453333333333335</v>
      </c>
      <c r="AN96" t="s">
        <v>218</v>
      </c>
    </row>
    <row r="97" spans="9:40" x14ac:dyDescent="0.45">
      <c r="I97" t="s">
        <v>182</v>
      </c>
      <c r="J97" t="s">
        <v>171</v>
      </c>
      <c r="K97">
        <v>6.646631009320364E-3</v>
      </c>
      <c r="L97" t="s">
        <v>160</v>
      </c>
      <c r="N97" t="s">
        <v>192</v>
      </c>
      <c r="O97" t="s">
        <v>171</v>
      </c>
      <c r="P97">
        <v>1.169806674538504E-2</v>
      </c>
      <c r="Q97" t="s">
        <v>160</v>
      </c>
      <c r="S97" t="s">
        <v>202</v>
      </c>
      <c r="T97" t="s">
        <v>171</v>
      </c>
      <c r="U97">
        <v>1.169806674538504E-2</v>
      </c>
      <c r="V97" t="s">
        <v>160</v>
      </c>
      <c r="AK97">
        <v>2039</v>
      </c>
      <c r="AL97" t="s">
        <v>149</v>
      </c>
      <c r="AM97">
        <v>0.33660000000000001</v>
      </c>
      <c r="AN97" t="s">
        <v>218</v>
      </c>
    </row>
    <row r="98" spans="9:40" x14ac:dyDescent="0.45">
      <c r="I98" t="s">
        <v>182</v>
      </c>
      <c r="J98" t="s">
        <v>172</v>
      </c>
      <c r="K98">
        <v>0.66198667764140173</v>
      </c>
      <c r="L98" t="s">
        <v>160</v>
      </c>
      <c r="N98" t="s">
        <v>192</v>
      </c>
      <c r="O98" t="s">
        <v>172</v>
      </c>
      <c r="P98">
        <v>0.18550987388971563</v>
      </c>
      <c r="Q98" t="s">
        <v>160</v>
      </c>
      <c r="S98" t="s">
        <v>202</v>
      </c>
      <c r="T98" t="s">
        <v>172</v>
      </c>
      <c r="U98">
        <v>0.18550987388971563</v>
      </c>
      <c r="V98" t="s">
        <v>160</v>
      </c>
      <c r="AK98">
        <v>2039</v>
      </c>
      <c r="AL98" t="s">
        <v>151</v>
      </c>
      <c r="AM98">
        <v>0.2976125</v>
      </c>
      <c r="AN98" t="s">
        <v>218</v>
      </c>
    </row>
    <row r="99" spans="9:40" x14ac:dyDescent="0.45">
      <c r="I99" t="s">
        <v>182</v>
      </c>
      <c r="J99" t="s">
        <v>173</v>
      </c>
      <c r="K99">
        <v>8.0168998642715192E-2</v>
      </c>
      <c r="L99" t="s">
        <v>160</v>
      </c>
      <c r="N99" t="s">
        <v>192</v>
      </c>
      <c r="O99" t="s">
        <v>173</v>
      </c>
      <c r="P99">
        <v>0.12045481373318416</v>
      </c>
      <c r="Q99" t="s">
        <v>160</v>
      </c>
      <c r="S99" t="s">
        <v>202</v>
      </c>
      <c r="T99" t="s">
        <v>173</v>
      </c>
      <c r="U99">
        <v>0.12045481373318416</v>
      </c>
      <c r="V99" t="s">
        <v>160</v>
      </c>
      <c r="AK99">
        <v>2039</v>
      </c>
      <c r="AL99" t="s">
        <v>153</v>
      </c>
      <c r="AM99">
        <v>0.25993333333333335</v>
      </c>
      <c r="AN99" t="s">
        <v>218</v>
      </c>
    </row>
    <row r="100" spans="9:40" x14ac:dyDescent="0.45">
      <c r="I100" t="s">
        <v>182</v>
      </c>
      <c r="J100" t="s">
        <v>174</v>
      </c>
      <c r="K100">
        <v>0</v>
      </c>
      <c r="L100" t="s">
        <v>160</v>
      </c>
      <c r="N100" t="s">
        <v>192</v>
      </c>
      <c r="O100" t="s">
        <v>174</v>
      </c>
      <c r="P100">
        <v>1.4269523640515681E-2</v>
      </c>
      <c r="Q100" t="s">
        <v>160</v>
      </c>
      <c r="S100" t="s">
        <v>202</v>
      </c>
      <c r="T100" t="s">
        <v>174</v>
      </c>
      <c r="U100">
        <v>1.4269523640515681E-2</v>
      </c>
      <c r="V100" t="s">
        <v>160</v>
      </c>
      <c r="AK100">
        <v>2039</v>
      </c>
      <c r="AL100" t="s">
        <v>220</v>
      </c>
      <c r="AM100">
        <v>0.23980000000000001</v>
      </c>
      <c r="AN100" t="s">
        <v>218</v>
      </c>
    </row>
    <row r="101" spans="9:40" x14ac:dyDescent="0.45">
      <c r="I101" t="s">
        <v>182</v>
      </c>
      <c r="J101" t="s">
        <v>175</v>
      </c>
      <c r="K101">
        <v>0</v>
      </c>
      <c r="L101" t="s">
        <v>160</v>
      </c>
      <c r="N101" t="s">
        <v>192</v>
      </c>
      <c r="O101" t="s">
        <v>175</v>
      </c>
      <c r="P101">
        <v>4.5185201557847401E-2</v>
      </c>
      <c r="Q101" t="s">
        <v>160</v>
      </c>
      <c r="S101" t="s">
        <v>202</v>
      </c>
      <c r="T101" t="s">
        <v>175</v>
      </c>
      <c r="U101">
        <v>4.5185201557847401E-2</v>
      </c>
      <c r="V101" t="s">
        <v>160</v>
      </c>
      <c r="AK101">
        <v>2040</v>
      </c>
      <c r="AL101" t="s">
        <v>145</v>
      </c>
      <c r="AM101">
        <v>0.32953333333333329</v>
      </c>
      <c r="AN101" t="s">
        <v>218</v>
      </c>
    </row>
    <row r="102" spans="9:40" x14ac:dyDescent="0.45">
      <c r="I102" t="s">
        <v>182</v>
      </c>
      <c r="J102" t="s">
        <v>176</v>
      </c>
      <c r="K102">
        <v>0</v>
      </c>
      <c r="L102" t="s">
        <v>160</v>
      </c>
      <c r="N102" t="s">
        <v>192</v>
      </c>
      <c r="O102" t="s">
        <v>176</v>
      </c>
      <c r="P102">
        <v>8.984686698496485E-3</v>
      </c>
      <c r="Q102" t="s">
        <v>160</v>
      </c>
      <c r="S102" t="s">
        <v>202</v>
      </c>
      <c r="T102" t="s">
        <v>176</v>
      </c>
      <c r="U102">
        <v>8.984686698496485E-3</v>
      </c>
      <c r="V102" t="s">
        <v>160</v>
      </c>
      <c r="AK102">
        <v>2040</v>
      </c>
      <c r="AL102" t="s">
        <v>149</v>
      </c>
      <c r="AM102">
        <v>0.32500000000000001</v>
      </c>
      <c r="AN102" t="s">
        <v>218</v>
      </c>
    </row>
    <row r="103" spans="9:40" x14ac:dyDescent="0.45">
      <c r="I103" t="s">
        <v>182</v>
      </c>
      <c r="J103" t="s">
        <v>177</v>
      </c>
      <c r="K103">
        <v>0.11612421087887753</v>
      </c>
      <c r="L103" t="s">
        <v>160</v>
      </c>
      <c r="N103" t="s">
        <v>192</v>
      </c>
      <c r="O103" t="s">
        <v>177</v>
      </c>
      <c r="P103">
        <v>0.10975704495533237</v>
      </c>
      <c r="Q103" t="s">
        <v>160</v>
      </c>
      <c r="S103" t="s">
        <v>202</v>
      </c>
      <c r="T103" t="s">
        <v>177</v>
      </c>
      <c r="U103">
        <v>0.10975704495533237</v>
      </c>
      <c r="V103" t="s">
        <v>160</v>
      </c>
      <c r="AK103">
        <v>2040</v>
      </c>
      <c r="AL103" t="s">
        <v>151</v>
      </c>
      <c r="AM103">
        <v>0.28621249999999998</v>
      </c>
      <c r="AN103" t="s">
        <v>218</v>
      </c>
    </row>
    <row r="104" spans="9:40" x14ac:dyDescent="0.45">
      <c r="I104" t="s">
        <v>182</v>
      </c>
      <c r="J104" t="s">
        <v>178</v>
      </c>
      <c r="K104">
        <v>1.251756382412E-3</v>
      </c>
      <c r="L104" t="s">
        <v>160</v>
      </c>
      <c r="N104" t="s">
        <v>192</v>
      </c>
      <c r="O104" t="s">
        <v>178</v>
      </c>
      <c r="P104">
        <v>7.1366472278231896E-2</v>
      </c>
      <c r="Q104" t="s">
        <v>160</v>
      </c>
      <c r="S104" t="s">
        <v>202</v>
      </c>
      <c r="T104" t="s">
        <v>178</v>
      </c>
      <c r="U104">
        <v>7.1366472278231896E-2</v>
      </c>
      <c r="V104" t="s">
        <v>160</v>
      </c>
      <c r="AK104">
        <v>2040</v>
      </c>
      <c r="AL104" t="s">
        <v>153</v>
      </c>
      <c r="AM104">
        <v>0.26089999999999997</v>
      </c>
      <c r="AN104" t="s">
        <v>218</v>
      </c>
    </row>
    <row r="105" spans="9:40" x14ac:dyDescent="0.45">
      <c r="I105" t="s">
        <v>182</v>
      </c>
      <c r="J105" t="s">
        <v>179</v>
      </c>
      <c r="K105">
        <v>0</v>
      </c>
      <c r="L105" t="s">
        <v>160</v>
      </c>
      <c r="N105" t="s">
        <v>192</v>
      </c>
      <c r="O105" t="s">
        <v>179</v>
      </c>
      <c r="P105">
        <v>8.404593130463503E-3</v>
      </c>
      <c r="Q105" t="s">
        <v>160</v>
      </c>
      <c r="S105" t="s">
        <v>202</v>
      </c>
      <c r="T105" t="s">
        <v>179</v>
      </c>
      <c r="U105">
        <v>8.404593130463503E-3</v>
      </c>
      <c r="V105" t="s">
        <v>160</v>
      </c>
      <c r="AK105">
        <v>2040</v>
      </c>
      <c r="AL105" t="s">
        <v>220</v>
      </c>
      <c r="AM105">
        <v>0.28520000000000001</v>
      </c>
      <c r="AN105" t="s">
        <v>218</v>
      </c>
    </row>
    <row r="106" spans="9:40" x14ac:dyDescent="0.45">
      <c r="I106" t="s">
        <v>182</v>
      </c>
      <c r="J106" t="s">
        <v>222</v>
      </c>
      <c r="K106">
        <v>0</v>
      </c>
      <c r="L106" t="s">
        <v>160</v>
      </c>
      <c r="N106" t="s">
        <v>192</v>
      </c>
      <c r="O106" t="s">
        <v>222</v>
      </c>
      <c r="P106">
        <v>4.0498806649868681E-3</v>
      </c>
      <c r="Q106" t="s">
        <v>160</v>
      </c>
      <c r="S106" t="s">
        <v>202</v>
      </c>
      <c r="T106" t="s">
        <v>222</v>
      </c>
      <c r="U106">
        <v>4.0498806649868681E-3</v>
      </c>
      <c r="V106" t="s">
        <v>160</v>
      </c>
      <c r="AK106">
        <v>2041</v>
      </c>
      <c r="AL106" t="s">
        <v>145</v>
      </c>
      <c r="AM106">
        <v>0.33916666666666667</v>
      </c>
      <c r="AN106" t="s">
        <v>218</v>
      </c>
    </row>
    <row r="107" spans="9:40" x14ac:dyDescent="0.45">
      <c r="I107" t="s">
        <v>182</v>
      </c>
      <c r="J107" t="s">
        <v>223</v>
      </c>
      <c r="K107">
        <v>0</v>
      </c>
      <c r="L107" t="s">
        <v>160</v>
      </c>
      <c r="N107" t="s">
        <v>192</v>
      </c>
      <c r="O107" t="s">
        <v>223</v>
      </c>
      <c r="P107">
        <v>6.6148587591389433E-4</v>
      </c>
      <c r="Q107" t="s">
        <v>160</v>
      </c>
      <c r="S107" t="s">
        <v>202</v>
      </c>
      <c r="T107" t="s">
        <v>223</v>
      </c>
      <c r="U107">
        <v>6.6148587591389433E-4</v>
      </c>
      <c r="V107" t="s">
        <v>160</v>
      </c>
      <c r="AK107">
        <v>2041</v>
      </c>
      <c r="AL107" t="s">
        <v>149</v>
      </c>
      <c r="AM107">
        <v>0.31119999999999998</v>
      </c>
      <c r="AN107" t="s">
        <v>218</v>
      </c>
    </row>
    <row r="108" spans="9:40" x14ac:dyDescent="0.45">
      <c r="I108" t="s">
        <v>182</v>
      </c>
      <c r="J108" t="s">
        <v>224</v>
      </c>
      <c r="K108">
        <v>5.8688397215124226E-3</v>
      </c>
      <c r="L108" t="s">
        <v>160</v>
      </c>
      <c r="N108" t="s">
        <v>192</v>
      </c>
      <c r="O108" t="s">
        <v>224</v>
      </c>
      <c r="P108">
        <v>8.1390942384434901E-3</v>
      </c>
      <c r="Q108" t="s">
        <v>160</v>
      </c>
      <c r="S108" t="s">
        <v>202</v>
      </c>
      <c r="T108" t="s">
        <v>224</v>
      </c>
      <c r="U108">
        <v>8.1390942384434901E-3</v>
      </c>
      <c r="V108" t="s">
        <v>160</v>
      </c>
      <c r="AK108">
        <v>2041</v>
      </c>
      <c r="AL108" t="s">
        <v>151</v>
      </c>
      <c r="AM108">
        <v>0.28935</v>
      </c>
      <c r="AN108" t="s">
        <v>218</v>
      </c>
    </row>
    <row r="109" spans="9:40" x14ac:dyDescent="0.45">
      <c r="I109" t="s">
        <v>182</v>
      </c>
      <c r="J109" t="s">
        <v>225</v>
      </c>
      <c r="K109">
        <v>0</v>
      </c>
      <c r="L109" t="s">
        <v>160</v>
      </c>
      <c r="N109" t="s">
        <v>192</v>
      </c>
      <c r="O109" t="s">
        <v>225</v>
      </c>
      <c r="P109">
        <v>6.509393782977344E-3</v>
      </c>
      <c r="Q109" t="s">
        <v>160</v>
      </c>
      <c r="S109" t="s">
        <v>202</v>
      </c>
      <c r="T109" t="s">
        <v>225</v>
      </c>
      <c r="U109">
        <v>6.509393782977344E-3</v>
      </c>
      <c r="V109" t="s">
        <v>160</v>
      </c>
      <c r="AK109">
        <v>2041</v>
      </c>
      <c r="AL109" t="s">
        <v>153</v>
      </c>
      <c r="AM109">
        <v>0.309</v>
      </c>
      <c r="AN109" t="s">
        <v>218</v>
      </c>
    </row>
    <row r="110" spans="9:40" x14ac:dyDescent="0.45">
      <c r="I110" t="s">
        <v>182</v>
      </c>
      <c r="J110" t="s">
        <v>226</v>
      </c>
      <c r="K110">
        <v>0</v>
      </c>
      <c r="L110" t="s">
        <v>160</v>
      </c>
      <c r="N110" t="s">
        <v>192</v>
      </c>
      <c r="O110" t="s">
        <v>226</v>
      </c>
      <c r="P110">
        <v>9.5611802100749224E-4</v>
      </c>
      <c r="Q110" t="s">
        <v>160</v>
      </c>
      <c r="S110" t="s">
        <v>202</v>
      </c>
      <c r="T110" t="s">
        <v>226</v>
      </c>
      <c r="U110">
        <v>9.5611802100749224E-4</v>
      </c>
      <c r="V110" t="s">
        <v>160</v>
      </c>
      <c r="AK110">
        <v>2041</v>
      </c>
      <c r="AL110" t="s">
        <v>220</v>
      </c>
      <c r="AM110">
        <v>0.37759999999999999</v>
      </c>
      <c r="AN110" t="s">
        <v>218</v>
      </c>
    </row>
    <row r="111" spans="9:40" x14ac:dyDescent="0.45">
      <c r="I111" t="s">
        <v>183</v>
      </c>
      <c r="J111" t="s">
        <v>159</v>
      </c>
      <c r="K111">
        <v>0</v>
      </c>
      <c r="L111" t="s">
        <v>160</v>
      </c>
      <c r="N111" t="s">
        <v>193</v>
      </c>
      <c r="O111" t="s">
        <v>159</v>
      </c>
      <c r="P111">
        <v>4.8835019249688888E-2</v>
      </c>
      <c r="Q111" t="s">
        <v>160</v>
      </c>
      <c r="S111" t="s">
        <v>203</v>
      </c>
      <c r="T111" t="s">
        <v>159</v>
      </c>
      <c r="U111">
        <v>4.8835019249688888E-2</v>
      </c>
      <c r="V111" t="s">
        <v>160</v>
      </c>
      <c r="AK111">
        <v>2042</v>
      </c>
      <c r="AL111" t="s">
        <v>145</v>
      </c>
      <c r="AM111">
        <v>0.40050000000000002</v>
      </c>
      <c r="AN111" t="s">
        <v>218</v>
      </c>
    </row>
    <row r="112" spans="9:40" x14ac:dyDescent="0.45">
      <c r="I112" t="s">
        <v>183</v>
      </c>
      <c r="J112" t="s">
        <v>161</v>
      </c>
      <c r="K112">
        <v>0</v>
      </c>
      <c r="L112" t="s">
        <v>160</v>
      </c>
      <c r="N112" t="s">
        <v>193</v>
      </c>
      <c r="O112" t="s">
        <v>161</v>
      </c>
      <c r="P112">
        <v>1.0806926906424371E-2</v>
      </c>
      <c r="Q112" t="s">
        <v>160</v>
      </c>
      <c r="S112" t="s">
        <v>203</v>
      </c>
      <c r="T112" t="s">
        <v>161</v>
      </c>
      <c r="U112">
        <v>1.0806926906424371E-2</v>
      </c>
      <c r="V112" t="s">
        <v>160</v>
      </c>
      <c r="AK112">
        <v>2042</v>
      </c>
      <c r="AL112" t="s">
        <v>149</v>
      </c>
      <c r="AM112">
        <v>0.45419999999999999</v>
      </c>
      <c r="AN112" t="s">
        <v>218</v>
      </c>
    </row>
    <row r="113" spans="9:40" x14ac:dyDescent="0.45">
      <c r="I113" t="s">
        <v>183</v>
      </c>
      <c r="J113" t="s">
        <v>162</v>
      </c>
      <c r="K113">
        <v>8.4260614631882252E-2</v>
      </c>
      <c r="L113" t="s">
        <v>160</v>
      </c>
      <c r="N113" t="s">
        <v>193</v>
      </c>
      <c r="O113" t="s">
        <v>162</v>
      </c>
      <c r="P113">
        <v>9.8641609723234408E-2</v>
      </c>
      <c r="Q113" t="s">
        <v>160</v>
      </c>
      <c r="S113" t="s">
        <v>203</v>
      </c>
      <c r="T113" t="s">
        <v>162</v>
      </c>
      <c r="U113">
        <v>9.8641609723234408E-2</v>
      </c>
      <c r="V113" t="s">
        <v>160</v>
      </c>
      <c r="AK113">
        <v>2042</v>
      </c>
      <c r="AL113" t="s">
        <v>151</v>
      </c>
      <c r="AM113">
        <v>0.31375000000000003</v>
      </c>
      <c r="AN113" t="s">
        <v>218</v>
      </c>
    </row>
    <row r="114" spans="9:40" x14ac:dyDescent="0.45">
      <c r="I114" t="s">
        <v>183</v>
      </c>
      <c r="J114" t="s">
        <v>163</v>
      </c>
      <c r="K114">
        <v>2.4529142627105062E-3</v>
      </c>
      <c r="L114" t="s">
        <v>160</v>
      </c>
      <c r="N114" t="s">
        <v>193</v>
      </c>
      <c r="O114" t="s">
        <v>163</v>
      </c>
      <c r="P114">
        <v>5.9655145194983175E-2</v>
      </c>
      <c r="Q114" t="s">
        <v>160</v>
      </c>
      <c r="S114" t="s">
        <v>203</v>
      </c>
      <c r="T114" t="s">
        <v>163</v>
      </c>
      <c r="U114">
        <v>5.9655145194983175E-2</v>
      </c>
      <c r="V114" t="s">
        <v>160</v>
      </c>
      <c r="AK114">
        <v>2042</v>
      </c>
      <c r="AL114" t="s">
        <v>153</v>
      </c>
      <c r="AM114">
        <v>0.29896666666666666</v>
      </c>
      <c r="AN114" t="s">
        <v>218</v>
      </c>
    </row>
    <row r="115" spans="9:40" x14ac:dyDescent="0.45">
      <c r="I115" t="s">
        <v>183</v>
      </c>
      <c r="J115" t="s">
        <v>164</v>
      </c>
      <c r="K115">
        <v>0</v>
      </c>
      <c r="L115" t="s">
        <v>160</v>
      </c>
      <c r="N115" t="s">
        <v>193</v>
      </c>
      <c r="O115" t="s">
        <v>164</v>
      </c>
      <c r="P115">
        <v>8.7989867480882944E-3</v>
      </c>
      <c r="Q115" t="s">
        <v>160</v>
      </c>
      <c r="S115" t="s">
        <v>203</v>
      </c>
      <c r="T115" t="s">
        <v>164</v>
      </c>
      <c r="U115">
        <v>8.7989867480882944E-3</v>
      </c>
      <c r="V115" t="s">
        <v>160</v>
      </c>
      <c r="AK115">
        <v>2042</v>
      </c>
      <c r="AL115" t="s">
        <v>220</v>
      </c>
      <c r="AM115">
        <v>0.3322</v>
      </c>
      <c r="AN115" t="s">
        <v>218</v>
      </c>
    </row>
    <row r="116" spans="9:40" x14ac:dyDescent="0.45">
      <c r="I116" t="s">
        <v>183</v>
      </c>
      <c r="J116" t="s">
        <v>165</v>
      </c>
      <c r="K116">
        <v>0</v>
      </c>
      <c r="L116" t="s">
        <v>160</v>
      </c>
      <c r="N116" t="s">
        <v>193</v>
      </c>
      <c r="O116" t="s">
        <v>165</v>
      </c>
      <c r="P116">
        <v>1.1418247073781094E-2</v>
      </c>
      <c r="Q116" t="s">
        <v>160</v>
      </c>
      <c r="S116" t="s">
        <v>203</v>
      </c>
      <c r="T116" t="s">
        <v>165</v>
      </c>
      <c r="U116">
        <v>1.1418247073781094E-2</v>
      </c>
      <c r="V116" t="s">
        <v>160</v>
      </c>
      <c r="AK116">
        <v>2043</v>
      </c>
      <c r="AL116" t="s">
        <v>145</v>
      </c>
      <c r="AM116">
        <v>0.35776666666666662</v>
      </c>
      <c r="AN116" t="s">
        <v>218</v>
      </c>
    </row>
    <row r="117" spans="9:40" x14ac:dyDescent="0.45">
      <c r="I117" t="s">
        <v>183</v>
      </c>
      <c r="J117" t="s">
        <v>166</v>
      </c>
      <c r="K117">
        <v>0</v>
      </c>
      <c r="L117" t="s">
        <v>160</v>
      </c>
      <c r="N117" t="s">
        <v>193</v>
      </c>
      <c r="O117" t="s">
        <v>166</v>
      </c>
      <c r="P117">
        <v>2.1612110740030252E-3</v>
      </c>
      <c r="Q117" t="s">
        <v>160</v>
      </c>
      <c r="S117" t="s">
        <v>203</v>
      </c>
      <c r="T117" t="s">
        <v>166</v>
      </c>
      <c r="U117">
        <v>2.1612110740030252E-3</v>
      </c>
      <c r="V117" t="s">
        <v>160</v>
      </c>
      <c r="AK117">
        <v>2043</v>
      </c>
      <c r="AL117" t="s">
        <v>149</v>
      </c>
      <c r="AM117">
        <v>0.38269999999999998</v>
      </c>
      <c r="AN117" t="s">
        <v>218</v>
      </c>
    </row>
    <row r="118" spans="9:40" x14ac:dyDescent="0.45">
      <c r="I118" t="s">
        <v>183</v>
      </c>
      <c r="J118" t="s">
        <v>167</v>
      </c>
      <c r="K118">
        <v>3.7496955201309329E-2</v>
      </c>
      <c r="L118" t="s">
        <v>160</v>
      </c>
      <c r="N118" t="s">
        <v>193</v>
      </c>
      <c r="O118" t="s">
        <v>167</v>
      </c>
      <c r="P118">
        <v>2.9116636805631101E-2</v>
      </c>
      <c r="Q118" t="s">
        <v>160</v>
      </c>
      <c r="S118" t="s">
        <v>203</v>
      </c>
      <c r="T118" t="s">
        <v>167</v>
      </c>
      <c r="U118">
        <v>2.9116636805631101E-2</v>
      </c>
      <c r="V118" t="s">
        <v>160</v>
      </c>
      <c r="AK118">
        <v>2043</v>
      </c>
      <c r="AL118" t="s">
        <v>151</v>
      </c>
      <c r="AM118">
        <v>0.31463749999999996</v>
      </c>
      <c r="AN118" t="s">
        <v>218</v>
      </c>
    </row>
    <row r="119" spans="9:40" x14ac:dyDescent="0.45">
      <c r="I119" t="s">
        <v>183</v>
      </c>
      <c r="J119" t="s">
        <v>168</v>
      </c>
      <c r="K119">
        <v>3.1623103631219524E-3</v>
      </c>
      <c r="L119" t="s">
        <v>160</v>
      </c>
      <c r="N119" t="s">
        <v>193</v>
      </c>
      <c r="O119" t="s">
        <v>168</v>
      </c>
      <c r="P119">
        <v>1.9441586514216069E-2</v>
      </c>
      <c r="Q119" t="s">
        <v>160</v>
      </c>
      <c r="S119" t="s">
        <v>203</v>
      </c>
      <c r="T119" t="s">
        <v>168</v>
      </c>
      <c r="U119">
        <v>1.9441586514216069E-2</v>
      </c>
      <c r="V119" t="s">
        <v>160</v>
      </c>
      <c r="AK119">
        <v>2043</v>
      </c>
      <c r="AL119" t="s">
        <v>153</v>
      </c>
      <c r="AM119">
        <v>0.25509999999999999</v>
      </c>
      <c r="AN119" t="s">
        <v>218</v>
      </c>
    </row>
    <row r="120" spans="9:40" x14ac:dyDescent="0.45">
      <c r="I120" t="s">
        <v>183</v>
      </c>
      <c r="J120" t="s">
        <v>169</v>
      </c>
      <c r="K120">
        <v>0</v>
      </c>
      <c r="L120" t="s">
        <v>160</v>
      </c>
      <c r="N120" t="s">
        <v>193</v>
      </c>
      <c r="O120" t="s">
        <v>169</v>
      </c>
      <c r="P120">
        <v>2.6201445478587805E-3</v>
      </c>
      <c r="Q120" t="s">
        <v>160</v>
      </c>
      <c r="S120" t="s">
        <v>203</v>
      </c>
      <c r="T120" t="s">
        <v>169</v>
      </c>
      <c r="U120">
        <v>2.6201445478587805E-3</v>
      </c>
      <c r="V120" t="s">
        <v>160</v>
      </c>
      <c r="AK120">
        <v>2043</v>
      </c>
      <c r="AL120" t="s">
        <v>220</v>
      </c>
      <c r="AM120">
        <v>0.2258</v>
      </c>
      <c r="AN120" t="s">
        <v>218</v>
      </c>
    </row>
    <row r="121" spans="9:40" x14ac:dyDescent="0.45">
      <c r="I121" t="s">
        <v>183</v>
      </c>
      <c r="J121" t="s">
        <v>170</v>
      </c>
      <c r="K121">
        <v>0</v>
      </c>
      <c r="L121" t="s">
        <v>160</v>
      </c>
      <c r="N121" t="s">
        <v>193</v>
      </c>
      <c r="O121" t="s">
        <v>170</v>
      </c>
      <c r="P121">
        <v>0.10027743472100528</v>
      </c>
      <c r="Q121" t="s">
        <v>160</v>
      </c>
      <c r="S121" t="s">
        <v>203</v>
      </c>
      <c r="T121" t="s">
        <v>170</v>
      </c>
      <c r="U121">
        <v>0.10027743472100528</v>
      </c>
      <c r="V121" t="s">
        <v>160</v>
      </c>
      <c r="AK121">
        <v>2044</v>
      </c>
      <c r="AL121" t="s">
        <v>145</v>
      </c>
      <c r="AM121">
        <v>0.36853333333333332</v>
      </c>
      <c r="AN121" t="s">
        <v>218</v>
      </c>
    </row>
    <row r="122" spans="9:40" x14ac:dyDescent="0.45">
      <c r="I122" t="s">
        <v>183</v>
      </c>
      <c r="J122" t="s">
        <v>171</v>
      </c>
      <c r="K122">
        <v>7.3536392657358035E-3</v>
      </c>
      <c r="L122" t="s">
        <v>160</v>
      </c>
      <c r="N122" t="s">
        <v>193</v>
      </c>
      <c r="O122" t="s">
        <v>171</v>
      </c>
      <c r="P122">
        <v>1.6438688643473677E-2</v>
      </c>
      <c r="Q122" t="s">
        <v>160</v>
      </c>
      <c r="S122" t="s">
        <v>203</v>
      </c>
      <c r="T122" t="s">
        <v>171</v>
      </c>
      <c r="U122">
        <v>1.6438688643473677E-2</v>
      </c>
      <c r="V122" t="s">
        <v>160</v>
      </c>
      <c r="AK122">
        <v>2044</v>
      </c>
      <c r="AL122" t="s">
        <v>149</v>
      </c>
      <c r="AM122">
        <v>0.42199999999999999</v>
      </c>
      <c r="AN122" t="s">
        <v>218</v>
      </c>
    </row>
    <row r="123" spans="9:40" x14ac:dyDescent="0.45">
      <c r="I123" t="s">
        <v>183</v>
      </c>
      <c r="J123" t="s">
        <v>172</v>
      </c>
      <c r="K123">
        <v>0.67120454723621126</v>
      </c>
      <c r="L123" t="s">
        <v>160</v>
      </c>
      <c r="N123" t="s">
        <v>193</v>
      </c>
      <c r="O123" t="s">
        <v>172</v>
      </c>
      <c r="P123">
        <v>0.18008656716434604</v>
      </c>
      <c r="Q123" t="s">
        <v>160</v>
      </c>
      <c r="S123" t="s">
        <v>203</v>
      </c>
      <c r="T123" t="s">
        <v>172</v>
      </c>
      <c r="U123">
        <v>0.18008656716434604</v>
      </c>
      <c r="V123" t="s">
        <v>160</v>
      </c>
      <c r="AK123">
        <v>2044</v>
      </c>
      <c r="AL123" t="s">
        <v>151</v>
      </c>
      <c r="AM123">
        <v>0.32133749999999994</v>
      </c>
      <c r="AN123" t="s">
        <v>218</v>
      </c>
    </row>
    <row r="124" spans="9:40" x14ac:dyDescent="0.45">
      <c r="I124" t="s">
        <v>183</v>
      </c>
      <c r="J124" t="s">
        <v>173</v>
      </c>
      <c r="K124">
        <v>7.6153176762286182E-2</v>
      </c>
      <c r="L124" t="s">
        <v>160</v>
      </c>
      <c r="N124" t="s">
        <v>193</v>
      </c>
      <c r="O124" t="s">
        <v>173</v>
      </c>
      <c r="P124">
        <v>0.13519000096769193</v>
      </c>
      <c r="Q124" t="s">
        <v>160</v>
      </c>
      <c r="S124" t="s">
        <v>203</v>
      </c>
      <c r="T124" t="s">
        <v>173</v>
      </c>
      <c r="U124">
        <v>0.13519000096769193</v>
      </c>
      <c r="V124" t="s">
        <v>160</v>
      </c>
      <c r="AK124">
        <v>2044</v>
      </c>
      <c r="AL124" t="s">
        <v>153</v>
      </c>
      <c r="AM124">
        <v>0.26580000000000004</v>
      </c>
      <c r="AN124" t="s">
        <v>218</v>
      </c>
    </row>
    <row r="125" spans="9:40" x14ac:dyDescent="0.45">
      <c r="I125" t="s">
        <v>183</v>
      </c>
      <c r="J125" t="s">
        <v>174</v>
      </c>
      <c r="K125">
        <v>0</v>
      </c>
      <c r="L125" t="s">
        <v>160</v>
      </c>
      <c r="N125" t="s">
        <v>193</v>
      </c>
      <c r="O125" t="s">
        <v>174</v>
      </c>
      <c r="P125">
        <v>2.1513798810020589E-2</v>
      </c>
      <c r="Q125" t="s">
        <v>160</v>
      </c>
      <c r="S125" t="s">
        <v>203</v>
      </c>
      <c r="T125" t="s">
        <v>174</v>
      </c>
      <c r="U125">
        <v>2.1513798810020589E-2</v>
      </c>
      <c r="V125" t="s">
        <v>160</v>
      </c>
      <c r="AK125">
        <v>2044</v>
      </c>
      <c r="AL125" t="s">
        <v>220</v>
      </c>
      <c r="AM125">
        <v>0.29480000000000001</v>
      </c>
      <c r="AN125" t="s">
        <v>218</v>
      </c>
    </row>
    <row r="126" spans="9:40" x14ac:dyDescent="0.45">
      <c r="I126" t="s">
        <v>183</v>
      </c>
      <c r="J126" t="s">
        <v>175</v>
      </c>
      <c r="K126">
        <v>0</v>
      </c>
      <c r="L126" t="s">
        <v>160</v>
      </c>
      <c r="N126" t="s">
        <v>193</v>
      </c>
      <c r="O126" t="s">
        <v>175</v>
      </c>
      <c r="P126">
        <v>4.7614845861838069E-2</v>
      </c>
      <c r="Q126" t="s">
        <v>160</v>
      </c>
      <c r="S126" t="s">
        <v>203</v>
      </c>
      <c r="T126" t="s">
        <v>175</v>
      </c>
      <c r="U126">
        <v>4.7614845861838069E-2</v>
      </c>
      <c r="V126" t="s">
        <v>160</v>
      </c>
      <c r="AK126">
        <v>2045</v>
      </c>
      <c r="AL126" t="s">
        <v>145</v>
      </c>
      <c r="AM126">
        <v>0.37883333333333336</v>
      </c>
      <c r="AN126" t="s">
        <v>218</v>
      </c>
    </row>
    <row r="127" spans="9:40" x14ac:dyDescent="0.45">
      <c r="I127" t="s">
        <v>183</v>
      </c>
      <c r="J127" t="s">
        <v>176</v>
      </c>
      <c r="K127">
        <v>0</v>
      </c>
      <c r="L127" t="s">
        <v>160</v>
      </c>
      <c r="N127" t="s">
        <v>193</v>
      </c>
      <c r="O127" t="s">
        <v>176</v>
      </c>
      <c r="P127">
        <v>9.8438528434925277E-3</v>
      </c>
      <c r="Q127" t="s">
        <v>160</v>
      </c>
      <c r="S127" t="s">
        <v>203</v>
      </c>
      <c r="T127" t="s">
        <v>176</v>
      </c>
      <c r="U127">
        <v>9.8438528434925277E-3</v>
      </c>
      <c r="V127" t="s">
        <v>160</v>
      </c>
      <c r="AK127">
        <v>2045</v>
      </c>
      <c r="AL127" t="s">
        <v>149</v>
      </c>
      <c r="AM127">
        <v>0.3377</v>
      </c>
      <c r="AN127" t="s">
        <v>218</v>
      </c>
    </row>
    <row r="128" spans="9:40" x14ac:dyDescent="0.45">
      <c r="I128" t="s">
        <v>183</v>
      </c>
      <c r="J128" t="s">
        <v>177</v>
      </c>
      <c r="K128">
        <v>0.10890990435806278</v>
      </c>
      <c r="L128" t="s">
        <v>160</v>
      </c>
      <c r="N128" t="s">
        <v>193</v>
      </c>
      <c r="O128" t="s">
        <v>177</v>
      </c>
      <c r="P128">
        <v>9.765202164684253E-2</v>
      </c>
      <c r="Q128" t="s">
        <v>160</v>
      </c>
      <c r="S128" t="s">
        <v>203</v>
      </c>
      <c r="T128" t="s">
        <v>177</v>
      </c>
      <c r="U128">
        <v>9.765202164684253E-2</v>
      </c>
      <c r="V128" t="s">
        <v>160</v>
      </c>
      <c r="AK128">
        <v>2045</v>
      </c>
      <c r="AL128" t="s">
        <v>151</v>
      </c>
      <c r="AM128">
        <v>0.30004999999999993</v>
      </c>
      <c r="AN128" t="s">
        <v>218</v>
      </c>
    </row>
    <row r="129" spans="9:40" x14ac:dyDescent="0.45">
      <c r="I129" t="s">
        <v>183</v>
      </c>
      <c r="J129" t="s">
        <v>178</v>
      </c>
      <c r="K129">
        <v>9.677363254642677E-4</v>
      </c>
      <c r="L129" t="s">
        <v>160</v>
      </c>
      <c r="N129" t="s">
        <v>193</v>
      </c>
      <c r="O129" t="s">
        <v>178</v>
      </c>
      <c r="P129">
        <v>7.504865125738526E-2</v>
      </c>
      <c r="Q129" t="s">
        <v>160</v>
      </c>
      <c r="S129" t="s">
        <v>203</v>
      </c>
      <c r="T129" t="s">
        <v>178</v>
      </c>
      <c r="U129">
        <v>7.504865125738526E-2</v>
      </c>
      <c r="V129" t="s">
        <v>160</v>
      </c>
      <c r="AK129">
        <v>2045</v>
      </c>
      <c r="AL129" t="s">
        <v>153</v>
      </c>
      <c r="AM129">
        <v>0.28050000000000003</v>
      </c>
      <c r="AN129" t="s">
        <v>218</v>
      </c>
    </row>
    <row r="130" spans="9:40" x14ac:dyDescent="0.45">
      <c r="I130" t="s">
        <v>183</v>
      </c>
      <c r="J130" t="s">
        <v>179</v>
      </c>
      <c r="K130">
        <v>0</v>
      </c>
      <c r="L130" t="s">
        <v>160</v>
      </c>
      <c r="N130" t="s">
        <v>193</v>
      </c>
      <c r="O130" t="s">
        <v>179</v>
      </c>
      <c r="P130">
        <v>9.8601135877789282E-3</v>
      </c>
      <c r="Q130" t="s">
        <v>160</v>
      </c>
      <c r="S130" t="s">
        <v>203</v>
      </c>
      <c r="T130" t="s">
        <v>179</v>
      </c>
      <c r="U130">
        <v>9.8601135877789282E-3</v>
      </c>
      <c r="V130" t="s">
        <v>160</v>
      </c>
      <c r="AK130">
        <v>2045</v>
      </c>
      <c r="AL130" t="s">
        <v>220</v>
      </c>
      <c r="AM130">
        <v>0.31440000000000001</v>
      </c>
      <c r="AN130" t="s">
        <v>218</v>
      </c>
    </row>
    <row r="131" spans="9:40" x14ac:dyDescent="0.45">
      <c r="I131" t="s">
        <v>183</v>
      </c>
      <c r="J131" t="s">
        <v>222</v>
      </c>
      <c r="K131">
        <v>0</v>
      </c>
      <c r="L131" t="s">
        <v>160</v>
      </c>
      <c r="N131" t="s">
        <v>193</v>
      </c>
      <c r="O131" t="s">
        <v>222</v>
      </c>
      <c r="P131">
        <v>2.6854948432047531E-3</v>
      </c>
      <c r="Q131" t="s">
        <v>160</v>
      </c>
      <c r="S131" t="s">
        <v>203</v>
      </c>
      <c r="T131" t="s">
        <v>222</v>
      </c>
      <c r="U131">
        <v>2.6854948432047531E-3</v>
      </c>
      <c r="V131" t="s">
        <v>160</v>
      </c>
      <c r="AK131">
        <v>2046</v>
      </c>
      <c r="AL131" t="s">
        <v>145</v>
      </c>
      <c r="AM131">
        <v>0.33076666666666671</v>
      </c>
      <c r="AN131" t="s">
        <v>218</v>
      </c>
    </row>
    <row r="132" spans="9:40" x14ac:dyDescent="0.45">
      <c r="I132" t="s">
        <v>183</v>
      </c>
      <c r="J132" t="s">
        <v>223</v>
      </c>
      <c r="K132">
        <v>0</v>
      </c>
      <c r="L132" t="s">
        <v>160</v>
      </c>
      <c r="N132" t="s">
        <v>193</v>
      </c>
      <c r="O132" t="s">
        <v>223</v>
      </c>
      <c r="P132">
        <v>6.1805970879145545E-4</v>
      </c>
      <c r="Q132" t="s">
        <v>160</v>
      </c>
      <c r="S132" t="s">
        <v>203</v>
      </c>
      <c r="T132" t="s">
        <v>223</v>
      </c>
      <c r="U132">
        <v>6.1805970879145545E-4</v>
      </c>
      <c r="V132" t="s">
        <v>160</v>
      </c>
      <c r="AK132">
        <v>2046</v>
      </c>
      <c r="AL132" t="s">
        <v>149</v>
      </c>
      <c r="AM132">
        <v>0.40679999999999999</v>
      </c>
      <c r="AN132" t="s">
        <v>218</v>
      </c>
    </row>
    <row r="133" spans="9:40" x14ac:dyDescent="0.45">
      <c r="I133" t="s">
        <v>183</v>
      </c>
      <c r="J133" t="s">
        <v>224</v>
      </c>
      <c r="K133">
        <v>8.0382015932152166E-3</v>
      </c>
      <c r="L133" t="s">
        <v>160</v>
      </c>
      <c r="N133" t="s">
        <v>193</v>
      </c>
      <c r="O133" t="s">
        <v>224</v>
      </c>
      <c r="P133">
        <v>5.8577991165658398E-3</v>
      </c>
      <c r="Q133" t="s">
        <v>160</v>
      </c>
      <c r="S133" t="s">
        <v>203</v>
      </c>
      <c r="T133" t="s">
        <v>224</v>
      </c>
      <c r="U133">
        <v>5.8577991165658398E-3</v>
      </c>
      <c r="V133" t="s">
        <v>160</v>
      </c>
      <c r="AK133">
        <v>2046</v>
      </c>
      <c r="AL133" t="s">
        <v>151</v>
      </c>
      <c r="AM133">
        <v>0.29233750000000003</v>
      </c>
      <c r="AN133" t="s">
        <v>218</v>
      </c>
    </row>
    <row r="134" spans="9:40" x14ac:dyDescent="0.45">
      <c r="I134" t="s">
        <v>183</v>
      </c>
      <c r="J134" t="s">
        <v>225</v>
      </c>
      <c r="K134">
        <v>0</v>
      </c>
      <c r="L134" t="s">
        <v>160</v>
      </c>
      <c r="N134" t="s">
        <v>193</v>
      </c>
      <c r="O134" t="s">
        <v>225</v>
      </c>
      <c r="P134">
        <v>5.2121875659500647E-3</v>
      </c>
      <c r="Q134" t="s">
        <v>160</v>
      </c>
      <c r="S134" t="s">
        <v>203</v>
      </c>
      <c r="T134" t="s">
        <v>225</v>
      </c>
      <c r="U134">
        <v>5.2121875659500647E-3</v>
      </c>
      <c r="V134" t="s">
        <v>160</v>
      </c>
      <c r="AK134">
        <v>2046</v>
      </c>
      <c r="AL134" t="s">
        <v>153</v>
      </c>
      <c r="AM134">
        <v>0.29539999999999994</v>
      </c>
      <c r="AN134" t="s">
        <v>218</v>
      </c>
    </row>
    <row r="135" spans="9:40" x14ac:dyDescent="0.45">
      <c r="I135" t="s">
        <v>183</v>
      </c>
      <c r="J135" t="s">
        <v>226</v>
      </c>
      <c r="K135">
        <v>0</v>
      </c>
      <c r="L135" t="s">
        <v>160</v>
      </c>
      <c r="N135" t="s">
        <v>193</v>
      </c>
      <c r="O135" t="s">
        <v>226</v>
      </c>
      <c r="P135">
        <v>6.0496942370439873E-4</v>
      </c>
      <c r="Q135" t="s">
        <v>160</v>
      </c>
      <c r="S135" t="s">
        <v>203</v>
      </c>
      <c r="T135" t="s">
        <v>226</v>
      </c>
      <c r="U135">
        <v>6.0496942370439873E-4</v>
      </c>
      <c r="V135" t="s">
        <v>160</v>
      </c>
      <c r="AK135">
        <v>2046</v>
      </c>
      <c r="AL135" t="s">
        <v>220</v>
      </c>
      <c r="AM135">
        <v>0.33539999999999998</v>
      </c>
      <c r="AN135" t="s">
        <v>218</v>
      </c>
    </row>
    <row r="136" spans="9:40" x14ac:dyDescent="0.45">
      <c r="I136" t="s">
        <v>184</v>
      </c>
      <c r="J136" t="s">
        <v>159</v>
      </c>
      <c r="K136">
        <v>0</v>
      </c>
      <c r="L136" t="s">
        <v>160</v>
      </c>
      <c r="N136" t="s">
        <v>194</v>
      </c>
      <c r="O136" t="s">
        <v>159</v>
      </c>
      <c r="P136">
        <v>4.5653910572769942E-2</v>
      </c>
      <c r="Q136" t="s">
        <v>160</v>
      </c>
      <c r="S136" t="s">
        <v>204</v>
      </c>
      <c r="T136" t="s">
        <v>159</v>
      </c>
      <c r="U136">
        <v>4.5653910572769942E-2</v>
      </c>
      <c r="V136" t="s">
        <v>160</v>
      </c>
      <c r="AK136">
        <v>2047</v>
      </c>
      <c r="AL136" t="s">
        <v>145</v>
      </c>
      <c r="AM136">
        <v>0.35779999999999995</v>
      </c>
      <c r="AN136" t="s">
        <v>218</v>
      </c>
    </row>
    <row r="137" spans="9:40" x14ac:dyDescent="0.45">
      <c r="I137" t="s">
        <v>184</v>
      </c>
      <c r="J137" t="s">
        <v>161</v>
      </c>
      <c r="K137">
        <v>0</v>
      </c>
      <c r="L137" t="s">
        <v>160</v>
      </c>
      <c r="N137" t="s">
        <v>194</v>
      </c>
      <c r="O137" t="s">
        <v>161</v>
      </c>
      <c r="P137">
        <v>1.0427037711457268E-2</v>
      </c>
      <c r="Q137" t="s">
        <v>160</v>
      </c>
      <c r="S137" t="s">
        <v>204</v>
      </c>
      <c r="T137" t="s">
        <v>161</v>
      </c>
      <c r="U137">
        <v>1.0427037711457268E-2</v>
      </c>
      <c r="V137" t="s">
        <v>160</v>
      </c>
      <c r="AK137">
        <v>2047</v>
      </c>
      <c r="AL137" t="s">
        <v>149</v>
      </c>
      <c r="AM137">
        <v>0.39140000000000003</v>
      </c>
      <c r="AN137" t="s">
        <v>218</v>
      </c>
    </row>
    <row r="138" spans="9:40" x14ac:dyDescent="0.45">
      <c r="I138" t="s">
        <v>184</v>
      </c>
      <c r="J138" t="s">
        <v>162</v>
      </c>
      <c r="K138">
        <v>8.01643195251725E-2</v>
      </c>
      <c r="L138" t="s">
        <v>160</v>
      </c>
      <c r="N138" t="s">
        <v>194</v>
      </c>
      <c r="O138" t="s">
        <v>162</v>
      </c>
      <c r="P138">
        <v>9.547742914749828E-2</v>
      </c>
      <c r="Q138" t="s">
        <v>160</v>
      </c>
      <c r="S138" t="s">
        <v>204</v>
      </c>
      <c r="T138" t="s">
        <v>162</v>
      </c>
      <c r="U138">
        <v>9.547742914749828E-2</v>
      </c>
      <c r="V138" t="s">
        <v>160</v>
      </c>
      <c r="AK138">
        <v>2047</v>
      </c>
      <c r="AL138" t="s">
        <v>151</v>
      </c>
      <c r="AM138">
        <v>0.30146249999999997</v>
      </c>
      <c r="AN138" t="s">
        <v>218</v>
      </c>
    </row>
    <row r="139" spans="9:40" x14ac:dyDescent="0.45">
      <c r="I139" t="s">
        <v>184</v>
      </c>
      <c r="J139" t="s">
        <v>163</v>
      </c>
      <c r="K139">
        <v>2.7266823664138106E-3</v>
      </c>
      <c r="L139" t="s">
        <v>160</v>
      </c>
      <c r="N139" t="s">
        <v>194</v>
      </c>
      <c r="O139" t="s">
        <v>163</v>
      </c>
      <c r="P139">
        <v>4.9845014864635918E-2</v>
      </c>
      <c r="Q139" t="s">
        <v>160</v>
      </c>
      <c r="S139" t="s">
        <v>204</v>
      </c>
      <c r="T139" t="s">
        <v>163</v>
      </c>
      <c r="U139">
        <v>4.9845014864635918E-2</v>
      </c>
      <c r="V139" t="s">
        <v>160</v>
      </c>
      <c r="AK139">
        <v>2047</v>
      </c>
      <c r="AL139" t="s">
        <v>153</v>
      </c>
      <c r="AM139">
        <v>0.28550000000000003</v>
      </c>
      <c r="AN139" t="s">
        <v>218</v>
      </c>
    </row>
    <row r="140" spans="9:40" x14ac:dyDescent="0.45">
      <c r="I140" t="s">
        <v>184</v>
      </c>
      <c r="J140" t="s">
        <v>164</v>
      </c>
      <c r="K140">
        <v>0</v>
      </c>
      <c r="L140" t="s">
        <v>160</v>
      </c>
      <c r="N140" t="s">
        <v>194</v>
      </c>
      <c r="O140" t="s">
        <v>164</v>
      </c>
      <c r="P140">
        <v>7.580309348925127E-3</v>
      </c>
      <c r="Q140" t="s">
        <v>160</v>
      </c>
      <c r="S140" t="s">
        <v>204</v>
      </c>
      <c r="T140" t="s">
        <v>164</v>
      </c>
      <c r="U140">
        <v>7.580309348925127E-3</v>
      </c>
      <c r="V140" t="s">
        <v>160</v>
      </c>
      <c r="AK140">
        <v>2047</v>
      </c>
      <c r="AL140" t="s">
        <v>220</v>
      </c>
      <c r="AM140">
        <v>0.24010000000000001</v>
      </c>
      <c r="AN140" t="s">
        <v>218</v>
      </c>
    </row>
    <row r="141" spans="9:40" x14ac:dyDescent="0.45">
      <c r="I141" t="s">
        <v>184</v>
      </c>
      <c r="J141" t="s">
        <v>165</v>
      </c>
      <c r="K141">
        <v>0</v>
      </c>
      <c r="L141" t="s">
        <v>160</v>
      </c>
      <c r="N141" t="s">
        <v>194</v>
      </c>
      <c r="O141" t="s">
        <v>165</v>
      </c>
      <c r="P141">
        <v>2.0711331767795261E-2</v>
      </c>
      <c r="Q141" t="s">
        <v>160</v>
      </c>
      <c r="S141" t="s">
        <v>204</v>
      </c>
      <c r="T141" t="s">
        <v>165</v>
      </c>
      <c r="U141">
        <v>2.0711331767795261E-2</v>
      </c>
      <c r="V141" t="s">
        <v>160</v>
      </c>
      <c r="AK141">
        <v>2048</v>
      </c>
      <c r="AL141" t="s">
        <v>145</v>
      </c>
      <c r="AM141">
        <v>0.33396666666666669</v>
      </c>
      <c r="AN141" t="s">
        <v>218</v>
      </c>
    </row>
    <row r="142" spans="9:40" x14ac:dyDescent="0.45">
      <c r="I142" t="s">
        <v>184</v>
      </c>
      <c r="J142" t="s">
        <v>166</v>
      </c>
      <c r="K142">
        <v>0</v>
      </c>
      <c r="L142" t="s">
        <v>160</v>
      </c>
      <c r="N142" t="s">
        <v>194</v>
      </c>
      <c r="O142" t="s">
        <v>166</v>
      </c>
      <c r="P142">
        <v>3.8302970164901546E-3</v>
      </c>
      <c r="Q142" t="s">
        <v>160</v>
      </c>
      <c r="S142" t="s">
        <v>204</v>
      </c>
      <c r="T142" t="s">
        <v>166</v>
      </c>
      <c r="U142">
        <v>3.8302970164901546E-3</v>
      </c>
      <c r="V142" t="s">
        <v>160</v>
      </c>
      <c r="AK142">
        <v>2048</v>
      </c>
      <c r="AL142" t="s">
        <v>149</v>
      </c>
      <c r="AM142">
        <v>0.37459999999999999</v>
      </c>
      <c r="AN142" t="s">
        <v>218</v>
      </c>
    </row>
    <row r="143" spans="9:40" x14ac:dyDescent="0.45">
      <c r="I143" t="s">
        <v>184</v>
      </c>
      <c r="J143" t="s">
        <v>167</v>
      </c>
      <c r="K143">
        <v>4.0058837740745347E-2</v>
      </c>
      <c r="L143" t="s">
        <v>160</v>
      </c>
      <c r="N143" t="s">
        <v>194</v>
      </c>
      <c r="O143" t="s">
        <v>167</v>
      </c>
      <c r="P143">
        <v>5.7409868042795117E-2</v>
      </c>
      <c r="Q143" t="s">
        <v>160</v>
      </c>
      <c r="S143" t="s">
        <v>204</v>
      </c>
      <c r="T143" t="s">
        <v>167</v>
      </c>
      <c r="U143">
        <v>5.7409868042795117E-2</v>
      </c>
      <c r="V143" t="s">
        <v>160</v>
      </c>
      <c r="AK143">
        <v>2048</v>
      </c>
      <c r="AL143" t="s">
        <v>151</v>
      </c>
      <c r="AM143">
        <v>0.29086249999999997</v>
      </c>
      <c r="AN143" t="s">
        <v>218</v>
      </c>
    </row>
    <row r="144" spans="9:40" x14ac:dyDescent="0.45">
      <c r="I144" t="s">
        <v>184</v>
      </c>
      <c r="J144" t="s">
        <v>168</v>
      </c>
      <c r="K144">
        <v>3.0141974184474821E-3</v>
      </c>
      <c r="L144" t="s">
        <v>160</v>
      </c>
      <c r="N144" t="s">
        <v>194</v>
      </c>
      <c r="O144" t="s">
        <v>168</v>
      </c>
      <c r="P144">
        <v>3.2365345586724652E-2</v>
      </c>
      <c r="Q144" t="s">
        <v>160</v>
      </c>
      <c r="S144" t="s">
        <v>204</v>
      </c>
      <c r="T144" t="s">
        <v>168</v>
      </c>
      <c r="U144">
        <v>3.2365345586724652E-2</v>
      </c>
      <c r="V144" t="s">
        <v>160</v>
      </c>
      <c r="AK144">
        <v>2048</v>
      </c>
      <c r="AL144" t="s">
        <v>153</v>
      </c>
      <c r="AM144">
        <v>0.26713333333333339</v>
      </c>
      <c r="AN144" t="s">
        <v>218</v>
      </c>
    </row>
    <row r="145" spans="9:40" x14ac:dyDescent="0.45">
      <c r="I145" t="s">
        <v>184</v>
      </c>
      <c r="J145" t="s">
        <v>169</v>
      </c>
      <c r="K145">
        <v>0</v>
      </c>
      <c r="L145" t="s">
        <v>160</v>
      </c>
      <c r="N145" t="s">
        <v>194</v>
      </c>
      <c r="O145" t="s">
        <v>169</v>
      </c>
      <c r="P145">
        <v>4.3431456242320919E-3</v>
      </c>
      <c r="Q145" t="s">
        <v>160</v>
      </c>
      <c r="S145" t="s">
        <v>204</v>
      </c>
      <c r="T145" t="s">
        <v>169</v>
      </c>
      <c r="U145">
        <v>4.3431456242320919E-3</v>
      </c>
      <c r="V145" t="s">
        <v>160</v>
      </c>
      <c r="AK145">
        <v>2048</v>
      </c>
      <c r="AL145" t="s">
        <v>220</v>
      </c>
      <c r="AM145">
        <v>0.28360000000000002</v>
      </c>
      <c r="AN145" t="s">
        <v>218</v>
      </c>
    </row>
    <row r="146" spans="9:40" x14ac:dyDescent="0.45">
      <c r="I146" t="s">
        <v>184</v>
      </c>
      <c r="J146" t="s">
        <v>170</v>
      </c>
      <c r="K146">
        <v>0</v>
      </c>
      <c r="L146" t="s">
        <v>160</v>
      </c>
      <c r="N146" t="s">
        <v>194</v>
      </c>
      <c r="O146" t="s">
        <v>170</v>
      </c>
      <c r="P146">
        <v>7.0196530906585508E-2</v>
      </c>
      <c r="Q146" t="s">
        <v>160</v>
      </c>
      <c r="S146" t="s">
        <v>204</v>
      </c>
      <c r="T146" t="s">
        <v>170</v>
      </c>
      <c r="U146">
        <v>7.0196530906585508E-2</v>
      </c>
      <c r="V146" t="s">
        <v>160</v>
      </c>
      <c r="AK146">
        <v>2049</v>
      </c>
      <c r="AL146" t="s">
        <v>145</v>
      </c>
      <c r="AM146">
        <v>0.31613333333333338</v>
      </c>
      <c r="AN146" t="s">
        <v>218</v>
      </c>
    </row>
    <row r="147" spans="9:40" x14ac:dyDescent="0.45">
      <c r="I147" t="s">
        <v>184</v>
      </c>
      <c r="J147" t="s">
        <v>171</v>
      </c>
      <c r="K147">
        <v>4.9465239123663738E-3</v>
      </c>
      <c r="L147" t="s">
        <v>160</v>
      </c>
      <c r="N147" t="s">
        <v>194</v>
      </c>
      <c r="O147" t="s">
        <v>171</v>
      </c>
      <c r="P147">
        <v>1.3992673460249547E-2</v>
      </c>
      <c r="Q147" t="s">
        <v>160</v>
      </c>
      <c r="S147" t="s">
        <v>204</v>
      </c>
      <c r="T147" t="s">
        <v>171</v>
      </c>
      <c r="U147">
        <v>1.3992673460249547E-2</v>
      </c>
      <c r="V147" t="s">
        <v>160</v>
      </c>
      <c r="AK147">
        <v>2049</v>
      </c>
      <c r="AL147" t="s">
        <v>149</v>
      </c>
      <c r="AM147">
        <v>0.3553</v>
      </c>
      <c r="AN147" t="s">
        <v>218</v>
      </c>
    </row>
    <row r="148" spans="9:40" x14ac:dyDescent="0.45">
      <c r="I148" t="s">
        <v>184</v>
      </c>
      <c r="J148" t="s">
        <v>172</v>
      </c>
      <c r="K148">
        <v>0.66525344046825385</v>
      </c>
      <c r="L148" t="s">
        <v>160</v>
      </c>
      <c r="N148" t="s">
        <v>194</v>
      </c>
      <c r="O148" t="s">
        <v>172</v>
      </c>
      <c r="P148">
        <v>0.18581535518556089</v>
      </c>
      <c r="Q148" t="s">
        <v>160</v>
      </c>
      <c r="S148" t="s">
        <v>204</v>
      </c>
      <c r="T148" t="s">
        <v>172</v>
      </c>
      <c r="U148">
        <v>0.18581535518556089</v>
      </c>
      <c r="V148" t="s">
        <v>160</v>
      </c>
      <c r="AK148">
        <v>2049</v>
      </c>
      <c r="AL148" t="s">
        <v>151</v>
      </c>
      <c r="AM148">
        <v>0.30291250000000003</v>
      </c>
      <c r="AN148" t="s">
        <v>218</v>
      </c>
    </row>
    <row r="149" spans="9:40" x14ac:dyDescent="0.45">
      <c r="I149" t="s">
        <v>184</v>
      </c>
      <c r="J149" t="s">
        <v>173</v>
      </c>
      <c r="K149">
        <v>9.0343348744280766E-2</v>
      </c>
      <c r="L149" t="s">
        <v>160</v>
      </c>
      <c r="N149" t="s">
        <v>194</v>
      </c>
      <c r="O149" t="s">
        <v>173</v>
      </c>
      <c r="P149">
        <v>0.11209964005943336</v>
      </c>
      <c r="Q149" t="s">
        <v>160</v>
      </c>
      <c r="S149" t="s">
        <v>204</v>
      </c>
      <c r="T149" t="s">
        <v>173</v>
      </c>
      <c r="U149">
        <v>0.11209964005943336</v>
      </c>
      <c r="V149" t="s">
        <v>160</v>
      </c>
      <c r="AK149">
        <v>2049</v>
      </c>
      <c r="AL149" t="s">
        <v>153</v>
      </c>
      <c r="AM149">
        <v>0.26440000000000002</v>
      </c>
      <c r="AN149" t="s">
        <v>218</v>
      </c>
    </row>
    <row r="150" spans="9:40" x14ac:dyDescent="0.45">
      <c r="I150" t="s">
        <v>184</v>
      </c>
      <c r="J150" t="s">
        <v>174</v>
      </c>
      <c r="K150">
        <v>0</v>
      </c>
      <c r="L150" t="s">
        <v>160</v>
      </c>
      <c r="N150" t="s">
        <v>194</v>
      </c>
      <c r="O150" t="s">
        <v>174</v>
      </c>
      <c r="P150">
        <v>1.3591906317432231E-2</v>
      </c>
      <c r="Q150" t="s">
        <v>160</v>
      </c>
      <c r="S150" t="s">
        <v>204</v>
      </c>
      <c r="T150" t="s">
        <v>174</v>
      </c>
      <c r="U150">
        <v>1.3591906317432231E-2</v>
      </c>
      <c r="V150" t="s">
        <v>160</v>
      </c>
      <c r="AK150">
        <v>2049</v>
      </c>
      <c r="AL150" t="s">
        <v>220</v>
      </c>
      <c r="AM150">
        <v>0.30430000000000001</v>
      </c>
      <c r="AN150" t="s">
        <v>218</v>
      </c>
    </row>
    <row r="151" spans="9:40" x14ac:dyDescent="0.45">
      <c r="I151" t="s">
        <v>184</v>
      </c>
      <c r="J151" t="s">
        <v>175</v>
      </c>
      <c r="K151">
        <v>0</v>
      </c>
      <c r="L151" t="s">
        <v>160</v>
      </c>
      <c r="N151" t="s">
        <v>194</v>
      </c>
      <c r="O151" t="s">
        <v>175</v>
      </c>
      <c r="P151">
        <v>4.1080983765201556E-2</v>
      </c>
      <c r="Q151" t="s">
        <v>160</v>
      </c>
      <c r="S151" t="s">
        <v>204</v>
      </c>
      <c r="T151" t="s">
        <v>175</v>
      </c>
      <c r="U151">
        <v>4.1080983765201556E-2</v>
      </c>
      <c r="V151" t="s">
        <v>160</v>
      </c>
      <c r="AK151">
        <v>2050</v>
      </c>
      <c r="AL151" t="s">
        <v>145</v>
      </c>
      <c r="AM151">
        <v>0.33166666666666667</v>
      </c>
      <c r="AN151" t="s">
        <v>218</v>
      </c>
    </row>
    <row r="152" spans="9:40" x14ac:dyDescent="0.45">
      <c r="I152" t="s">
        <v>184</v>
      </c>
      <c r="J152" t="s">
        <v>176</v>
      </c>
      <c r="K152">
        <v>0</v>
      </c>
      <c r="L152" t="s">
        <v>160</v>
      </c>
      <c r="N152" t="s">
        <v>194</v>
      </c>
      <c r="O152" t="s">
        <v>176</v>
      </c>
      <c r="P152">
        <v>8.2562851005391104E-3</v>
      </c>
      <c r="Q152" t="s">
        <v>160</v>
      </c>
      <c r="S152" t="s">
        <v>204</v>
      </c>
      <c r="T152" t="s">
        <v>176</v>
      </c>
      <c r="U152">
        <v>8.2562851005391104E-3</v>
      </c>
      <c r="V152" t="s">
        <v>160</v>
      </c>
      <c r="AK152">
        <v>2050</v>
      </c>
      <c r="AL152" t="s">
        <v>149</v>
      </c>
      <c r="AM152">
        <v>0.30470000000000003</v>
      </c>
      <c r="AN152" t="s">
        <v>218</v>
      </c>
    </row>
    <row r="153" spans="9:40" x14ac:dyDescent="0.45">
      <c r="I153" t="s">
        <v>184</v>
      </c>
      <c r="J153" t="s">
        <v>177</v>
      </c>
      <c r="K153">
        <v>0.10483109237267627</v>
      </c>
      <c r="L153" t="s">
        <v>160</v>
      </c>
      <c r="N153" t="s">
        <v>194</v>
      </c>
      <c r="O153" t="s">
        <v>177</v>
      </c>
      <c r="P153">
        <v>0.10277357857106471</v>
      </c>
      <c r="Q153" t="s">
        <v>160</v>
      </c>
      <c r="S153" t="s">
        <v>204</v>
      </c>
      <c r="T153" t="s">
        <v>177</v>
      </c>
      <c r="U153">
        <v>0.10277357857106471</v>
      </c>
      <c r="V153" t="s">
        <v>160</v>
      </c>
      <c r="AK153">
        <v>2050</v>
      </c>
      <c r="AL153" t="s">
        <v>151</v>
      </c>
      <c r="AM153">
        <v>0.25342500000000001</v>
      </c>
      <c r="AN153" t="s">
        <v>218</v>
      </c>
    </row>
    <row r="154" spans="9:40" x14ac:dyDescent="0.45">
      <c r="I154" t="s">
        <v>184</v>
      </c>
      <c r="J154" t="s">
        <v>178</v>
      </c>
      <c r="K154">
        <v>1.7450666679961282E-3</v>
      </c>
      <c r="L154" t="s">
        <v>160</v>
      </c>
      <c r="N154" t="s">
        <v>194</v>
      </c>
      <c r="O154" t="s">
        <v>178</v>
      </c>
      <c r="P154">
        <v>6.5296014697036012E-2</v>
      </c>
      <c r="Q154" t="s">
        <v>160</v>
      </c>
      <c r="S154" t="s">
        <v>204</v>
      </c>
      <c r="T154" t="s">
        <v>178</v>
      </c>
      <c r="U154">
        <v>6.5296014697036012E-2</v>
      </c>
      <c r="V154" t="s">
        <v>160</v>
      </c>
      <c r="AK154">
        <v>2050</v>
      </c>
      <c r="AL154" t="s">
        <v>153</v>
      </c>
      <c r="AM154">
        <v>0.23236666666666664</v>
      </c>
      <c r="AN154" t="s">
        <v>218</v>
      </c>
    </row>
    <row r="155" spans="9:40" x14ac:dyDescent="0.45">
      <c r="I155" t="s">
        <v>184</v>
      </c>
      <c r="J155" t="s">
        <v>179</v>
      </c>
      <c r="K155">
        <v>0</v>
      </c>
      <c r="L155" t="s">
        <v>160</v>
      </c>
      <c r="N155" t="s">
        <v>194</v>
      </c>
      <c r="O155" t="s">
        <v>179</v>
      </c>
      <c r="P155">
        <v>8.5176282182870596E-3</v>
      </c>
      <c r="Q155" t="s">
        <v>160</v>
      </c>
      <c r="S155" t="s">
        <v>204</v>
      </c>
      <c r="T155" t="s">
        <v>179</v>
      </c>
      <c r="U155">
        <v>8.5176282182870596E-3</v>
      </c>
      <c r="V155" t="s">
        <v>160</v>
      </c>
      <c r="AK155">
        <v>2050</v>
      </c>
      <c r="AL155" t="s">
        <v>220</v>
      </c>
      <c r="AM155">
        <v>0.25629999999999997</v>
      </c>
      <c r="AN155" t="s">
        <v>218</v>
      </c>
    </row>
    <row r="156" spans="9:40" x14ac:dyDescent="0.45">
      <c r="I156" t="s">
        <v>184</v>
      </c>
      <c r="J156" t="s">
        <v>222</v>
      </c>
      <c r="K156">
        <v>0</v>
      </c>
      <c r="L156" t="s">
        <v>160</v>
      </c>
      <c r="N156" t="s">
        <v>194</v>
      </c>
      <c r="O156" t="s">
        <v>222</v>
      </c>
      <c r="P156">
        <v>1.1143821919017922E-2</v>
      </c>
      <c r="Q156" t="s">
        <v>160</v>
      </c>
      <c r="S156" t="s">
        <v>204</v>
      </c>
      <c r="T156" t="s">
        <v>222</v>
      </c>
      <c r="U156">
        <v>1.1143821919017922E-2</v>
      </c>
      <c r="V156" t="s">
        <v>160</v>
      </c>
    </row>
    <row r="157" spans="9:40" x14ac:dyDescent="0.45">
      <c r="I157" t="s">
        <v>184</v>
      </c>
      <c r="J157" t="s">
        <v>223</v>
      </c>
      <c r="K157">
        <v>0</v>
      </c>
      <c r="L157" t="s">
        <v>160</v>
      </c>
      <c r="N157" t="s">
        <v>194</v>
      </c>
      <c r="O157" t="s">
        <v>223</v>
      </c>
      <c r="P157">
        <v>1.9342411475700876E-3</v>
      </c>
      <c r="Q157" t="s">
        <v>160</v>
      </c>
      <c r="S157" t="s">
        <v>204</v>
      </c>
      <c r="T157" t="s">
        <v>223</v>
      </c>
      <c r="U157">
        <v>1.9342411475700876E-3</v>
      </c>
      <c r="V157" t="s">
        <v>160</v>
      </c>
    </row>
    <row r="158" spans="9:40" x14ac:dyDescent="0.45">
      <c r="I158" t="s">
        <v>184</v>
      </c>
      <c r="J158" t="s">
        <v>224</v>
      </c>
      <c r="K158">
        <v>6.916490783647756E-3</v>
      </c>
      <c r="L158" t="s">
        <v>160</v>
      </c>
      <c r="N158" t="s">
        <v>194</v>
      </c>
      <c r="O158" t="s">
        <v>224</v>
      </c>
      <c r="P158">
        <v>2.1655231417284704E-2</v>
      </c>
      <c r="Q158" t="s">
        <v>160</v>
      </c>
      <c r="S158" t="s">
        <v>204</v>
      </c>
      <c r="T158" t="s">
        <v>224</v>
      </c>
      <c r="U158">
        <v>2.1655231417284704E-2</v>
      </c>
      <c r="V158" t="s">
        <v>160</v>
      </c>
    </row>
    <row r="159" spans="9:40" x14ac:dyDescent="0.45">
      <c r="I159" t="s">
        <v>184</v>
      </c>
      <c r="J159" t="s">
        <v>225</v>
      </c>
      <c r="K159">
        <v>0</v>
      </c>
      <c r="L159" t="s">
        <v>160</v>
      </c>
      <c r="N159" t="s">
        <v>194</v>
      </c>
      <c r="O159" t="s">
        <v>225</v>
      </c>
      <c r="P159">
        <v>1.3679425416056273E-2</v>
      </c>
      <c r="Q159" t="s">
        <v>160</v>
      </c>
      <c r="S159" t="s">
        <v>204</v>
      </c>
      <c r="T159" t="s">
        <v>225</v>
      </c>
      <c r="U159">
        <v>1.3679425416056273E-2</v>
      </c>
      <c r="V159" t="s">
        <v>160</v>
      </c>
    </row>
    <row r="160" spans="9:40" x14ac:dyDescent="0.45">
      <c r="I160" t="s">
        <v>184</v>
      </c>
      <c r="J160" t="s">
        <v>226</v>
      </c>
      <c r="K160">
        <v>0</v>
      </c>
      <c r="L160" t="s">
        <v>160</v>
      </c>
      <c r="N160" t="s">
        <v>194</v>
      </c>
      <c r="O160" t="s">
        <v>226</v>
      </c>
      <c r="P160">
        <v>2.3229941353541698E-3</v>
      </c>
      <c r="Q160" t="s">
        <v>160</v>
      </c>
      <c r="S160" t="s">
        <v>204</v>
      </c>
      <c r="T160" t="s">
        <v>226</v>
      </c>
      <c r="U160">
        <v>2.3229941353541698E-3</v>
      </c>
      <c r="V160" t="s">
        <v>160</v>
      </c>
    </row>
    <row r="161" spans="9:22" x14ac:dyDescent="0.45">
      <c r="I161" t="s">
        <v>185</v>
      </c>
      <c r="J161" t="s">
        <v>159</v>
      </c>
      <c r="K161">
        <v>0</v>
      </c>
      <c r="L161" t="s">
        <v>160</v>
      </c>
      <c r="N161" t="s">
        <v>195</v>
      </c>
      <c r="O161" t="s">
        <v>159</v>
      </c>
      <c r="P161">
        <v>4.6302765885617707E-2</v>
      </c>
      <c r="Q161" t="s">
        <v>160</v>
      </c>
      <c r="S161" t="s">
        <v>205</v>
      </c>
      <c r="T161" t="s">
        <v>159</v>
      </c>
      <c r="U161">
        <v>4.6302765885617707E-2</v>
      </c>
      <c r="V161" t="s">
        <v>160</v>
      </c>
    </row>
    <row r="162" spans="9:22" x14ac:dyDescent="0.45">
      <c r="I162" t="s">
        <v>185</v>
      </c>
      <c r="J162" t="s">
        <v>161</v>
      </c>
      <c r="K162">
        <v>0</v>
      </c>
      <c r="L162" t="s">
        <v>160</v>
      </c>
      <c r="N162" t="s">
        <v>195</v>
      </c>
      <c r="O162" t="s">
        <v>161</v>
      </c>
      <c r="P162">
        <v>8.8779640842920962E-3</v>
      </c>
      <c r="Q162" t="s">
        <v>160</v>
      </c>
      <c r="S162" t="s">
        <v>205</v>
      </c>
      <c r="T162" t="s">
        <v>161</v>
      </c>
      <c r="U162">
        <v>8.8779640842920962E-3</v>
      </c>
      <c r="V162" t="s">
        <v>160</v>
      </c>
    </row>
    <row r="163" spans="9:22" x14ac:dyDescent="0.45">
      <c r="I163" t="s">
        <v>185</v>
      </c>
      <c r="J163" t="s">
        <v>162</v>
      </c>
      <c r="K163">
        <v>7.829348637532392E-2</v>
      </c>
      <c r="L163" t="s">
        <v>160</v>
      </c>
      <c r="N163" t="s">
        <v>195</v>
      </c>
      <c r="O163" t="s">
        <v>162</v>
      </c>
      <c r="P163">
        <v>8.5196865287787901E-2</v>
      </c>
      <c r="Q163" t="s">
        <v>160</v>
      </c>
      <c r="S163" t="s">
        <v>205</v>
      </c>
      <c r="T163" t="s">
        <v>162</v>
      </c>
      <c r="U163">
        <v>8.5196865287787901E-2</v>
      </c>
      <c r="V163" t="s">
        <v>160</v>
      </c>
    </row>
    <row r="164" spans="9:22" x14ac:dyDescent="0.45">
      <c r="I164" t="s">
        <v>185</v>
      </c>
      <c r="J164" t="s">
        <v>163</v>
      </c>
      <c r="K164">
        <v>2.5442916409049482E-3</v>
      </c>
      <c r="L164" t="s">
        <v>160</v>
      </c>
      <c r="N164" t="s">
        <v>195</v>
      </c>
      <c r="O164" t="s">
        <v>163</v>
      </c>
      <c r="P164">
        <v>5.017571835371494E-2</v>
      </c>
      <c r="Q164" t="s">
        <v>160</v>
      </c>
      <c r="S164" t="s">
        <v>205</v>
      </c>
      <c r="T164" t="s">
        <v>163</v>
      </c>
      <c r="U164">
        <v>5.017571835371494E-2</v>
      </c>
      <c r="V164" t="s">
        <v>160</v>
      </c>
    </row>
    <row r="165" spans="9:22" x14ac:dyDescent="0.45">
      <c r="I165" t="s">
        <v>185</v>
      </c>
      <c r="J165" t="s">
        <v>164</v>
      </c>
      <c r="K165">
        <v>0</v>
      </c>
      <c r="L165" t="s">
        <v>160</v>
      </c>
      <c r="N165" t="s">
        <v>195</v>
      </c>
      <c r="O165" t="s">
        <v>164</v>
      </c>
      <c r="P165">
        <v>8.5302299358310778E-3</v>
      </c>
      <c r="Q165" t="s">
        <v>160</v>
      </c>
      <c r="S165" t="s">
        <v>205</v>
      </c>
      <c r="T165" t="s">
        <v>164</v>
      </c>
      <c r="U165">
        <v>8.5302299358310778E-3</v>
      </c>
      <c r="V165" t="s">
        <v>160</v>
      </c>
    </row>
    <row r="166" spans="9:22" x14ac:dyDescent="0.45">
      <c r="I166" t="s">
        <v>185</v>
      </c>
      <c r="J166" t="s">
        <v>165</v>
      </c>
      <c r="K166">
        <v>0</v>
      </c>
      <c r="L166" t="s">
        <v>160</v>
      </c>
      <c r="N166" t="s">
        <v>195</v>
      </c>
      <c r="O166" t="s">
        <v>165</v>
      </c>
      <c r="P166">
        <v>1.7909950122031216E-2</v>
      </c>
      <c r="Q166" t="s">
        <v>160</v>
      </c>
      <c r="S166" t="s">
        <v>205</v>
      </c>
      <c r="T166" t="s">
        <v>165</v>
      </c>
      <c r="U166">
        <v>1.7909950122031216E-2</v>
      </c>
      <c r="V166" t="s">
        <v>160</v>
      </c>
    </row>
    <row r="167" spans="9:22" x14ac:dyDescent="0.45">
      <c r="I167" t="s">
        <v>185</v>
      </c>
      <c r="J167" t="s">
        <v>166</v>
      </c>
      <c r="K167">
        <v>0</v>
      </c>
      <c r="L167" t="s">
        <v>160</v>
      </c>
      <c r="N167" t="s">
        <v>195</v>
      </c>
      <c r="O167" t="s">
        <v>166</v>
      </c>
      <c r="P167">
        <v>3.5958614226057443E-3</v>
      </c>
      <c r="Q167" t="s">
        <v>160</v>
      </c>
      <c r="S167" t="s">
        <v>205</v>
      </c>
      <c r="T167" t="s">
        <v>166</v>
      </c>
      <c r="U167">
        <v>3.5958614226057443E-3</v>
      </c>
      <c r="V167" t="s">
        <v>160</v>
      </c>
    </row>
    <row r="168" spans="9:22" x14ac:dyDescent="0.45">
      <c r="I168" t="s">
        <v>185</v>
      </c>
      <c r="J168" t="s">
        <v>167</v>
      </c>
      <c r="K168">
        <v>3.8789810860150077E-2</v>
      </c>
      <c r="L168" t="s">
        <v>160</v>
      </c>
      <c r="N168" t="s">
        <v>195</v>
      </c>
      <c r="O168" t="s">
        <v>167</v>
      </c>
      <c r="P168">
        <v>4.3043654249876537E-2</v>
      </c>
      <c r="Q168" t="s">
        <v>160</v>
      </c>
      <c r="S168" t="s">
        <v>205</v>
      </c>
      <c r="T168" t="s">
        <v>167</v>
      </c>
      <c r="U168">
        <v>4.3043654249876537E-2</v>
      </c>
      <c r="V168" t="s">
        <v>160</v>
      </c>
    </row>
    <row r="169" spans="9:22" x14ac:dyDescent="0.45">
      <c r="I169" t="s">
        <v>185</v>
      </c>
      <c r="J169" t="s">
        <v>168</v>
      </c>
      <c r="K169">
        <v>2.9519928006074858E-3</v>
      </c>
      <c r="L169" t="s">
        <v>160</v>
      </c>
      <c r="N169" t="s">
        <v>195</v>
      </c>
      <c r="O169" t="s">
        <v>168</v>
      </c>
      <c r="P169">
        <v>2.3905722513042731E-2</v>
      </c>
      <c r="Q169" t="s">
        <v>160</v>
      </c>
      <c r="S169" t="s">
        <v>205</v>
      </c>
      <c r="T169" t="s">
        <v>168</v>
      </c>
      <c r="U169">
        <v>2.3905722513042731E-2</v>
      </c>
      <c r="V169" t="s">
        <v>160</v>
      </c>
    </row>
    <row r="170" spans="9:22" x14ac:dyDescent="0.45">
      <c r="I170" t="s">
        <v>185</v>
      </c>
      <c r="J170" t="s">
        <v>169</v>
      </c>
      <c r="K170">
        <v>0</v>
      </c>
      <c r="L170" t="s">
        <v>160</v>
      </c>
      <c r="N170" t="s">
        <v>195</v>
      </c>
      <c r="O170" t="s">
        <v>169</v>
      </c>
      <c r="P170">
        <v>3.6239334764351758E-3</v>
      </c>
      <c r="Q170" t="s">
        <v>160</v>
      </c>
      <c r="S170" t="s">
        <v>205</v>
      </c>
      <c r="T170" t="s">
        <v>169</v>
      </c>
      <c r="U170">
        <v>3.6239334764351758E-3</v>
      </c>
      <c r="V170" t="s">
        <v>160</v>
      </c>
    </row>
    <row r="171" spans="9:22" x14ac:dyDescent="0.45">
      <c r="I171" t="s">
        <v>185</v>
      </c>
      <c r="J171" t="s">
        <v>170</v>
      </c>
      <c r="K171">
        <v>0</v>
      </c>
      <c r="L171" t="s">
        <v>160</v>
      </c>
      <c r="N171" t="s">
        <v>195</v>
      </c>
      <c r="O171" t="s">
        <v>170</v>
      </c>
      <c r="P171">
        <v>0.10182516243460774</v>
      </c>
      <c r="Q171" t="s">
        <v>160</v>
      </c>
      <c r="S171" t="s">
        <v>205</v>
      </c>
      <c r="T171" t="s">
        <v>170</v>
      </c>
      <c r="U171">
        <v>0.10182516243460774</v>
      </c>
      <c r="V171" t="s">
        <v>160</v>
      </c>
    </row>
    <row r="172" spans="9:22" x14ac:dyDescent="0.45">
      <c r="I172" t="s">
        <v>185</v>
      </c>
      <c r="J172" t="s">
        <v>171</v>
      </c>
      <c r="K172">
        <v>5.154131848143533E-3</v>
      </c>
      <c r="L172" t="s">
        <v>160</v>
      </c>
      <c r="N172" t="s">
        <v>195</v>
      </c>
      <c r="O172" t="s">
        <v>171</v>
      </c>
      <c r="P172">
        <v>1.9404524071064275E-2</v>
      </c>
      <c r="Q172" t="s">
        <v>160</v>
      </c>
      <c r="S172" t="s">
        <v>205</v>
      </c>
      <c r="T172" t="s">
        <v>171</v>
      </c>
      <c r="U172">
        <v>1.9404524071064275E-2</v>
      </c>
      <c r="V172" t="s">
        <v>160</v>
      </c>
    </row>
    <row r="173" spans="9:22" x14ac:dyDescent="0.45">
      <c r="I173" t="s">
        <v>185</v>
      </c>
      <c r="J173" t="s">
        <v>172</v>
      </c>
      <c r="K173">
        <v>0.67370900324363314</v>
      </c>
      <c r="L173" t="s">
        <v>160</v>
      </c>
      <c r="N173" t="s">
        <v>195</v>
      </c>
      <c r="O173" t="s">
        <v>172</v>
      </c>
      <c r="P173">
        <v>0.18529457664986526</v>
      </c>
      <c r="Q173" t="s">
        <v>160</v>
      </c>
      <c r="S173" t="s">
        <v>205</v>
      </c>
      <c r="T173" t="s">
        <v>172</v>
      </c>
      <c r="U173">
        <v>0.18529457664986526</v>
      </c>
      <c r="V173" t="s">
        <v>160</v>
      </c>
    </row>
    <row r="174" spans="9:22" x14ac:dyDescent="0.45">
      <c r="I174" t="s">
        <v>185</v>
      </c>
      <c r="J174" t="s">
        <v>173</v>
      </c>
      <c r="K174">
        <v>9.174240727674593E-2</v>
      </c>
      <c r="L174" t="s">
        <v>160</v>
      </c>
      <c r="N174" t="s">
        <v>195</v>
      </c>
      <c r="O174" t="s">
        <v>173</v>
      </c>
      <c r="P174">
        <v>0.11911721111170316</v>
      </c>
      <c r="Q174" t="s">
        <v>160</v>
      </c>
      <c r="S174" t="s">
        <v>205</v>
      </c>
      <c r="T174" t="s">
        <v>173</v>
      </c>
      <c r="U174">
        <v>0.11911721111170316</v>
      </c>
      <c r="V174" t="s">
        <v>160</v>
      </c>
    </row>
    <row r="175" spans="9:22" x14ac:dyDescent="0.45">
      <c r="I175" t="s">
        <v>185</v>
      </c>
      <c r="J175" t="s">
        <v>174</v>
      </c>
      <c r="K175">
        <v>0</v>
      </c>
      <c r="L175" t="s">
        <v>160</v>
      </c>
      <c r="N175" t="s">
        <v>195</v>
      </c>
      <c r="O175" t="s">
        <v>174</v>
      </c>
      <c r="P175">
        <v>2.1209617862382901E-2</v>
      </c>
      <c r="Q175" t="s">
        <v>160</v>
      </c>
      <c r="S175" t="s">
        <v>205</v>
      </c>
      <c r="T175" t="s">
        <v>174</v>
      </c>
      <c r="U175">
        <v>2.1209617862382901E-2</v>
      </c>
      <c r="V175" t="s">
        <v>160</v>
      </c>
    </row>
    <row r="176" spans="9:22" x14ac:dyDescent="0.45">
      <c r="I176" t="s">
        <v>185</v>
      </c>
      <c r="J176" t="s">
        <v>175</v>
      </c>
      <c r="K176">
        <v>0</v>
      </c>
      <c r="L176" t="s">
        <v>160</v>
      </c>
      <c r="N176" t="s">
        <v>195</v>
      </c>
      <c r="O176" t="s">
        <v>175</v>
      </c>
      <c r="P176">
        <v>4.3909698130504583E-2</v>
      </c>
      <c r="Q176" t="s">
        <v>160</v>
      </c>
      <c r="S176" t="s">
        <v>205</v>
      </c>
      <c r="T176" t="s">
        <v>175</v>
      </c>
      <c r="U176">
        <v>4.3909698130504583E-2</v>
      </c>
      <c r="V176" t="s">
        <v>160</v>
      </c>
    </row>
    <row r="177" spans="9:22" x14ac:dyDescent="0.45">
      <c r="I177" t="s">
        <v>185</v>
      </c>
      <c r="J177" t="s">
        <v>176</v>
      </c>
      <c r="K177">
        <v>0</v>
      </c>
      <c r="L177" t="s">
        <v>160</v>
      </c>
      <c r="N177" t="s">
        <v>195</v>
      </c>
      <c r="O177" t="s">
        <v>176</v>
      </c>
      <c r="P177">
        <v>8.9300667843087243E-3</v>
      </c>
      <c r="Q177" t="s">
        <v>160</v>
      </c>
      <c r="S177" t="s">
        <v>205</v>
      </c>
      <c r="T177" t="s">
        <v>176</v>
      </c>
      <c r="U177">
        <v>8.9300667843087243E-3</v>
      </c>
      <c r="V177" t="s">
        <v>160</v>
      </c>
    </row>
    <row r="178" spans="9:22" x14ac:dyDescent="0.45">
      <c r="I178" t="s">
        <v>185</v>
      </c>
      <c r="J178" t="s">
        <v>177</v>
      </c>
      <c r="K178">
        <v>9.9202955386197431E-2</v>
      </c>
      <c r="L178" t="s">
        <v>160</v>
      </c>
      <c r="N178" t="s">
        <v>195</v>
      </c>
      <c r="O178" t="s">
        <v>177</v>
      </c>
      <c r="P178">
        <v>9.5762462708348275E-2</v>
      </c>
      <c r="Q178" t="s">
        <v>160</v>
      </c>
      <c r="S178" t="s">
        <v>205</v>
      </c>
      <c r="T178" t="s">
        <v>177</v>
      </c>
      <c r="U178">
        <v>9.5762462708348275E-2</v>
      </c>
      <c r="V178" t="s">
        <v>160</v>
      </c>
    </row>
    <row r="179" spans="9:22" x14ac:dyDescent="0.45">
      <c r="I179" t="s">
        <v>185</v>
      </c>
      <c r="J179" t="s">
        <v>178</v>
      </c>
      <c r="K179">
        <v>1.419290371292323E-3</v>
      </c>
      <c r="L179" t="s">
        <v>160</v>
      </c>
      <c r="N179" t="s">
        <v>195</v>
      </c>
      <c r="O179" t="s">
        <v>178</v>
      </c>
      <c r="P179">
        <v>6.0906586940269784E-2</v>
      </c>
      <c r="Q179" t="s">
        <v>160</v>
      </c>
      <c r="S179" t="s">
        <v>205</v>
      </c>
      <c r="T179" t="s">
        <v>178</v>
      </c>
      <c r="U179">
        <v>6.0906586940269784E-2</v>
      </c>
      <c r="V179" t="s">
        <v>160</v>
      </c>
    </row>
    <row r="180" spans="9:22" x14ac:dyDescent="0.45">
      <c r="I180" t="s">
        <v>185</v>
      </c>
      <c r="J180" t="s">
        <v>179</v>
      </c>
      <c r="K180">
        <v>0</v>
      </c>
      <c r="L180" t="s">
        <v>160</v>
      </c>
      <c r="N180" t="s">
        <v>195</v>
      </c>
      <c r="O180" t="s">
        <v>179</v>
      </c>
      <c r="P180">
        <v>9.2597383456809908E-3</v>
      </c>
      <c r="Q180" t="s">
        <v>160</v>
      </c>
      <c r="S180" t="s">
        <v>205</v>
      </c>
      <c r="T180" t="s">
        <v>179</v>
      </c>
      <c r="U180">
        <v>9.2597383456809908E-3</v>
      </c>
      <c r="V180" t="s">
        <v>160</v>
      </c>
    </row>
    <row r="181" spans="9:22" x14ac:dyDescent="0.45">
      <c r="I181" t="s">
        <v>185</v>
      </c>
      <c r="J181" t="s">
        <v>222</v>
      </c>
      <c r="K181">
        <v>0</v>
      </c>
      <c r="L181" t="s">
        <v>160</v>
      </c>
      <c r="N181" t="s">
        <v>195</v>
      </c>
      <c r="O181" t="s">
        <v>222</v>
      </c>
      <c r="P181">
        <v>9.4478933029978063E-3</v>
      </c>
      <c r="Q181" t="s">
        <v>160</v>
      </c>
      <c r="S181" t="s">
        <v>205</v>
      </c>
      <c r="T181" t="s">
        <v>222</v>
      </c>
      <c r="U181">
        <v>9.4478933029978063E-3</v>
      </c>
      <c r="V181" t="s">
        <v>160</v>
      </c>
    </row>
    <row r="182" spans="9:22" x14ac:dyDescent="0.45">
      <c r="I182" t="s">
        <v>185</v>
      </c>
      <c r="J182" t="s">
        <v>223</v>
      </c>
      <c r="K182">
        <v>0</v>
      </c>
      <c r="L182" t="s">
        <v>160</v>
      </c>
      <c r="N182" t="s">
        <v>195</v>
      </c>
      <c r="O182" t="s">
        <v>223</v>
      </c>
      <c r="P182">
        <v>1.7056952691674779E-3</v>
      </c>
      <c r="Q182" t="s">
        <v>160</v>
      </c>
      <c r="S182" t="s">
        <v>205</v>
      </c>
      <c r="T182" t="s">
        <v>223</v>
      </c>
      <c r="U182">
        <v>1.7056952691674779E-3</v>
      </c>
      <c r="V182" t="s">
        <v>160</v>
      </c>
    </row>
    <row r="183" spans="9:22" x14ac:dyDescent="0.45">
      <c r="I183" t="s">
        <v>185</v>
      </c>
      <c r="J183" t="s">
        <v>224</v>
      </c>
      <c r="K183">
        <v>6.1926301970025889E-3</v>
      </c>
      <c r="L183" t="s">
        <v>160</v>
      </c>
      <c r="N183" t="s">
        <v>195</v>
      </c>
      <c r="O183" t="s">
        <v>224</v>
      </c>
      <c r="P183">
        <v>1.8843877458962145E-2</v>
      </c>
      <c r="Q183" t="s">
        <v>160</v>
      </c>
      <c r="S183" t="s">
        <v>205</v>
      </c>
      <c r="T183" t="s">
        <v>224</v>
      </c>
      <c r="U183">
        <v>1.8843877458962145E-2</v>
      </c>
      <c r="V183" t="s">
        <v>160</v>
      </c>
    </row>
    <row r="184" spans="9:22" x14ac:dyDescent="0.45">
      <c r="I184" t="s">
        <v>185</v>
      </c>
      <c r="J184" t="s">
        <v>225</v>
      </c>
      <c r="K184">
        <v>0</v>
      </c>
      <c r="L184" t="s">
        <v>160</v>
      </c>
      <c r="N184" t="s">
        <v>195</v>
      </c>
      <c r="O184" t="s">
        <v>225</v>
      </c>
      <c r="P184">
        <v>1.1335066149400641E-2</v>
      </c>
      <c r="Q184" t="s">
        <v>160</v>
      </c>
      <c r="S184" t="s">
        <v>205</v>
      </c>
      <c r="T184" t="s">
        <v>225</v>
      </c>
      <c r="U184">
        <v>1.1335066149400641E-2</v>
      </c>
      <c r="V184" t="s">
        <v>160</v>
      </c>
    </row>
    <row r="185" spans="9:22" x14ac:dyDescent="0.45">
      <c r="I185" t="s">
        <v>185</v>
      </c>
      <c r="J185" t="s">
        <v>226</v>
      </c>
      <c r="K185">
        <v>0</v>
      </c>
      <c r="L185" t="s">
        <v>160</v>
      </c>
      <c r="N185" t="s">
        <v>195</v>
      </c>
      <c r="O185" t="s">
        <v>226</v>
      </c>
      <c r="P185">
        <v>1.8851574495014037E-3</v>
      </c>
      <c r="Q185" t="s">
        <v>160</v>
      </c>
      <c r="S185" t="s">
        <v>205</v>
      </c>
      <c r="T185" t="s">
        <v>226</v>
      </c>
      <c r="U185">
        <v>1.8851574495014037E-3</v>
      </c>
      <c r="V185" t="s">
        <v>160</v>
      </c>
    </row>
    <row r="186" spans="9:22" x14ac:dyDescent="0.45">
      <c r="I186" t="s">
        <v>186</v>
      </c>
      <c r="J186" t="s">
        <v>159</v>
      </c>
      <c r="K186">
        <v>0</v>
      </c>
      <c r="L186" t="s">
        <v>160</v>
      </c>
      <c r="N186" t="s">
        <v>196</v>
      </c>
      <c r="O186" t="s">
        <v>159</v>
      </c>
      <c r="P186">
        <v>4.2866583612532455E-2</v>
      </c>
      <c r="Q186" t="s">
        <v>160</v>
      </c>
      <c r="S186" t="s">
        <v>206</v>
      </c>
      <c r="T186" t="s">
        <v>159</v>
      </c>
      <c r="U186">
        <v>4.2866583612532455E-2</v>
      </c>
      <c r="V186" t="s">
        <v>160</v>
      </c>
    </row>
    <row r="187" spans="9:22" x14ac:dyDescent="0.45">
      <c r="I187" t="s">
        <v>186</v>
      </c>
      <c r="J187" t="s">
        <v>161</v>
      </c>
      <c r="K187">
        <v>0</v>
      </c>
      <c r="L187" t="s">
        <v>160</v>
      </c>
      <c r="N187" t="s">
        <v>196</v>
      </c>
      <c r="O187" t="s">
        <v>161</v>
      </c>
      <c r="P187">
        <v>8.8476362235652122E-3</v>
      </c>
      <c r="Q187" t="s">
        <v>160</v>
      </c>
      <c r="S187" t="s">
        <v>206</v>
      </c>
      <c r="T187" t="s">
        <v>161</v>
      </c>
      <c r="U187">
        <v>8.8476362235652122E-3</v>
      </c>
      <c r="V187" t="s">
        <v>160</v>
      </c>
    </row>
    <row r="188" spans="9:22" x14ac:dyDescent="0.45">
      <c r="I188" t="s">
        <v>186</v>
      </c>
      <c r="J188" t="s">
        <v>162</v>
      </c>
      <c r="K188">
        <v>7.7034729321143705E-2</v>
      </c>
      <c r="L188" t="s">
        <v>160</v>
      </c>
      <c r="N188" t="s">
        <v>196</v>
      </c>
      <c r="O188" t="s">
        <v>162</v>
      </c>
      <c r="P188">
        <v>8.8656894242059317E-2</v>
      </c>
      <c r="Q188" t="s">
        <v>160</v>
      </c>
      <c r="S188" t="s">
        <v>206</v>
      </c>
      <c r="T188" t="s">
        <v>162</v>
      </c>
      <c r="U188">
        <v>8.8656894242059317E-2</v>
      </c>
      <c r="V188" t="s">
        <v>160</v>
      </c>
    </row>
    <row r="189" spans="9:22" x14ac:dyDescent="0.45">
      <c r="I189" t="s">
        <v>186</v>
      </c>
      <c r="J189" t="s">
        <v>163</v>
      </c>
      <c r="K189">
        <v>2.1037784739632204E-3</v>
      </c>
      <c r="L189" t="s">
        <v>160</v>
      </c>
      <c r="N189" t="s">
        <v>196</v>
      </c>
      <c r="O189" t="s">
        <v>163</v>
      </c>
      <c r="P189">
        <v>4.9328282960585036E-2</v>
      </c>
      <c r="Q189" t="s">
        <v>160</v>
      </c>
      <c r="S189" t="s">
        <v>206</v>
      </c>
      <c r="T189" t="s">
        <v>163</v>
      </c>
      <c r="U189">
        <v>4.9328282960585036E-2</v>
      </c>
      <c r="V189" t="s">
        <v>160</v>
      </c>
    </row>
    <row r="190" spans="9:22" x14ac:dyDescent="0.45">
      <c r="I190" t="s">
        <v>186</v>
      </c>
      <c r="J190" t="s">
        <v>164</v>
      </c>
      <c r="K190">
        <v>0</v>
      </c>
      <c r="L190" t="s">
        <v>160</v>
      </c>
      <c r="N190" t="s">
        <v>196</v>
      </c>
      <c r="O190" t="s">
        <v>164</v>
      </c>
      <c r="P190">
        <v>7.7475182035916254E-3</v>
      </c>
      <c r="Q190" t="s">
        <v>160</v>
      </c>
      <c r="S190" t="s">
        <v>206</v>
      </c>
      <c r="T190" t="s">
        <v>164</v>
      </c>
      <c r="U190">
        <v>7.7475182035916254E-3</v>
      </c>
      <c r="V190" t="s">
        <v>160</v>
      </c>
    </row>
    <row r="191" spans="9:22" x14ac:dyDescent="0.45">
      <c r="I191" t="s">
        <v>186</v>
      </c>
      <c r="J191" t="s">
        <v>165</v>
      </c>
      <c r="K191">
        <v>0</v>
      </c>
      <c r="L191" t="s">
        <v>160</v>
      </c>
      <c r="N191" t="s">
        <v>196</v>
      </c>
      <c r="O191" t="s">
        <v>165</v>
      </c>
      <c r="P191">
        <v>1.776502672468145E-2</v>
      </c>
      <c r="Q191" t="s">
        <v>160</v>
      </c>
      <c r="S191" t="s">
        <v>206</v>
      </c>
      <c r="T191" t="s">
        <v>165</v>
      </c>
      <c r="U191">
        <v>1.776502672468145E-2</v>
      </c>
      <c r="V191" t="s">
        <v>160</v>
      </c>
    </row>
    <row r="192" spans="9:22" x14ac:dyDescent="0.45">
      <c r="I192" t="s">
        <v>186</v>
      </c>
      <c r="J192" t="s">
        <v>166</v>
      </c>
      <c r="K192">
        <v>0</v>
      </c>
      <c r="L192" t="s">
        <v>160</v>
      </c>
      <c r="N192" t="s">
        <v>196</v>
      </c>
      <c r="O192" t="s">
        <v>166</v>
      </c>
      <c r="P192">
        <v>3.6243985222273642E-3</v>
      </c>
      <c r="Q192" t="s">
        <v>160</v>
      </c>
      <c r="S192" t="s">
        <v>206</v>
      </c>
      <c r="T192" t="s">
        <v>166</v>
      </c>
      <c r="U192">
        <v>3.6243985222273642E-3</v>
      </c>
      <c r="V192" t="s">
        <v>160</v>
      </c>
    </row>
    <row r="193" spans="9:22" x14ac:dyDescent="0.45">
      <c r="I193" t="s">
        <v>186</v>
      </c>
      <c r="J193" t="s">
        <v>167</v>
      </c>
      <c r="K193">
        <v>3.8525009780415023E-2</v>
      </c>
      <c r="L193" t="s">
        <v>160</v>
      </c>
      <c r="N193" t="s">
        <v>196</v>
      </c>
      <c r="O193" t="s">
        <v>167</v>
      </c>
      <c r="P193">
        <v>4.4659503425994285E-2</v>
      </c>
      <c r="Q193" t="s">
        <v>160</v>
      </c>
      <c r="S193" t="s">
        <v>206</v>
      </c>
      <c r="T193" t="s">
        <v>167</v>
      </c>
      <c r="U193">
        <v>4.4659503425994285E-2</v>
      </c>
      <c r="V193" t="s">
        <v>160</v>
      </c>
    </row>
    <row r="194" spans="9:22" x14ac:dyDescent="0.45">
      <c r="I194" t="s">
        <v>186</v>
      </c>
      <c r="J194" t="s">
        <v>168</v>
      </c>
      <c r="K194">
        <v>2.7963306209112977E-3</v>
      </c>
      <c r="L194" t="s">
        <v>160</v>
      </c>
      <c r="N194" t="s">
        <v>196</v>
      </c>
      <c r="O194" t="s">
        <v>168</v>
      </c>
      <c r="P194">
        <v>2.4337607104250359E-2</v>
      </c>
      <c r="Q194" t="s">
        <v>160</v>
      </c>
      <c r="S194" t="s">
        <v>206</v>
      </c>
      <c r="T194" t="s">
        <v>168</v>
      </c>
      <c r="U194">
        <v>2.4337607104250359E-2</v>
      </c>
      <c r="V194" t="s">
        <v>160</v>
      </c>
    </row>
    <row r="195" spans="9:22" x14ac:dyDescent="0.45">
      <c r="I195" t="s">
        <v>186</v>
      </c>
      <c r="J195" t="s">
        <v>169</v>
      </c>
      <c r="K195">
        <v>0</v>
      </c>
      <c r="L195" t="s">
        <v>160</v>
      </c>
      <c r="N195" t="s">
        <v>196</v>
      </c>
      <c r="O195" t="s">
        <v>169</v>
      </c>
      <c r="P195">
        <v>3.5336194149845675E-3</v>
      </c>
      <c r="Q195" t="s">
        <v>160</v>
      </c>
      <c r="S195" t="s">
        <v>206</v>
      </c>
      <c r="T195" t="s">
        <v>169</v>
      </c>
      <c r="U195">
        <v>3.5336194149845675E-3</v>
      </c>
      <c r="V195" t="s">
        <v>160</v>
      </c>
    </row>
    <row r="196" spans="9:22" x14ac:dyDescent="0.45">
      <c r="I196" t="s">
        <v>186</v>
      </c>
      <c r="J196" t="s">
        <v>170</v>
      </c>
      <c r="K196">
        <v>0</v>
      </c>
      <c r="L196" t="s">
        <v>160</v>
      </c>
      <c r="N196" t="s">
        <v>196</v>
      </c>
      <c r="O196" t="s">
        <v>170</v>
      </c>
      <c r="P196">
        <v>7.9826328039679734E-2</v>
      </c>
      <c r="Q196" t="s">
        <v>160</v>
      </c>
      <c r="S196" t="s">
        <v>206</v>
      </c>
      <c r="T196" t="s">
        <v>170</v>
      </c>
      <c r="U196">
        <v>7.9826328039679734E-2</v>
      </c>
      <c r="V196" t="s">
        <v>160</v>
      </c>
    </row>
    <row r="197" spans="9:22" x14ac:dyDescent="0.45">
      <c r="I197" t="s">
        <v>186</v>
      </c>
      <c r="J197" t="s">
        <v>171</v>
      </c>
      <c r="K197">
        <v>5.4819922893314431E-3</v>
      </c>
      <c r="L197" t="s">
        <v>160</v>
      </c>
      <c r="N197" t="s">
        <v>196</v>
      </c>
      <c r="O197" t="s">
        <v>171</v>
      </c>
      <c r="P197">
        <v>1.5920714098381611E-2</v>
      </c>
      <c r="Q197" t="s">
        <v>160</v>
      </c>
      <c r="S197" t="s">
        <v>206</v>
      </c>
      <c r="T197" t="s">
        <v>171</v>
      </c>
      <c r="U197">
        <v>1.5920714098381611E-2</v>
      </c>
      <c r="V197" t="s">
        <v>160</v>
      </c>
    </row>
    <row r="198" spans="9:22" x14ac:dyDescent="0.45">
      <c r="I198" t="s">
        <v>186</v>
      </c>
      <c r="J198" t="s">
        <v>172</v>
      </c>
      <c r="K198">
        <v>0.66917036649085548</v>
      </c>
      <c r="L198" t="s">
        <v>160</v>
      </c>
      <c r="N198" t="s">
        <v>196</v>
      </c>
      <c r="O198" t="s">
        <v>172</v>
      </c>
      <c r="P198">
        <v>0.18397634391414008</v>
      </c>
      <c r="Q198" t="s">
        <v>160</v>
      </c>
      <c r="S198" t="s">
        <v>206</v>
      </c>
      <c r="T198" t="s">
        <v>172</v>
      </c>
      <c r="U198">
        <v>0.18397634391414008</v>
      </c>
      <c r="V198" t="s">
        <v>160</v>
      </c>
    </row>
    <row r="199" spans="9:22" x14ac:dyDescent="0.45">
      <c r="I199" t="s">
        <v>186</v>
      </c>
      <c r="J199" t="s">
        <v>173</v>
      </c>
      <c r="K199">
        <v>8.6557383550529179E-2</v>
      </c>
      <c r="L199" t="s">
        <v>160</v>
      </c>
      <c r="N199" t="s">
        <v>196</v>
      </c>
      <c r="O199" t="s">
        <v>173</v>
      </c>
      <c r="P199">
        <v>0.11129779255946412</v>
      </c>
      <c r="Q199" t="s">
        <v>160</v>
      </c>
      <c r="S199" t="s">
        <v>206</v>
      </c>
      <c r="T199" t="s">
        <v>173</v>
      </c>
      <c r="U199">
        <v>0.11129779255946412</v>
      </c>
      <c r="V199" t="s">
        <v>160</v>
      </c>
    </row>
    <row r="200" spans="9:22" x14ac:dyDescent="0.45">
      <c r="I200" t="s">
        <v>186</v>
      </c>
      <c r="J200" t="s">
        <v>174</v>
      </c>
      <c r="K200">
        <v>0</v>
      </c>
      <c r="L200" t="s">
        <v>160</v>
      </c>
      <c r="N200" t="s">
        <v>196</v>
      </c>
      <c r="O200" t="s">
        <v>174</v>
      </c>
      <c r="P200">
        <v>1.6041877948353316E-2</v>
      </c>
      <c r="Q200" t="s">
        <v>160</v>
      </c>
      <c r="S200" t="s">
        <v>206</v>
      </c>
      <c r="T200" t="s">
        <v>174</v>
      </c>
      <c r="U200">
        <v>1.6041877948353316E-2</v>
      </c>
      <c r="V200" t="s">
        <v>160</v>
      </c>
    </row>
    <row r="201" spans="9:22" x14ac:dyDescent="0.45">
      <c r="I201" t="s">
        <v>186</v>
      </c>
      <c r="J201" t="s">
        <v>175</v>
      </c>
      <c r="K201">
        <v>0</v>
      </c>
      <c r="L201" t="s">
        <v>160</v>
      </c>
      <c r="N201" t="s">
        <v>196</v>
      </c>
      <c r="O201" t="s">
        <v>175</v>
      </c>
      <c r="P201">
        <v>4.8276358263581655E-2</v>
      </c>
      <c r="Q201" t="s">
        <v>160</v>
      </c>
      <c r="S201" t="s">
        <v>206</v>
      </c>
      <c r="T201" t="s">
        <v>175</v>
      </c>
      <c r="U201">
        <v>4.8276358263581655E-2</v>
      </c>
      <c r="V201" t="s">
        <v>160</v>
      </c>
    </row>
    <row r="202" spans="9:22" x14ac:dyDescent="0.45">
      <c r="I202" t="s">
        <v>186</v>
      </c>
      <c r="J202" t="s">
        <v>176</v>
      </c>
      <c r="K202">
        <v>0</v>
      </c>
      <c r="L202" t="s">
        <v>160</v>
      </c>
      <c r="N202" t="s">
        <v>196</v>
      </c>
      <c r="O202" t="s">
        <v>176</v>
      </c>
      <c r="P202">
        <v>9.7943475729131979E-3</v>
      </c>
      <c r="Q202" t="s">
        <v>160</v>
      </c>
      <c r="S202" t="s">
        <v>206</v>
      </c>
      <c r="T202" t="s">
        <v>176</v>
      </c>
      <c r="U202">
        <v>9.7943475729131979E-3</v>
      </c>
      <c r="V202" t="s">
        <v>160</v>
      </c>
    </row>
    <row r="203" spans="9:22" x14ac:dyDescent="0.45">
      <c r="I203" t="s">
        <v>186</v>
      </c>
      <c r="J203" t="s">
        <v>177</v>
      </c>
      <c r="K203">
        <v>0.11002490306634088</v>
      </c>
      <c r="L203" t="s">
        <v>160</v>
      </c>
      <c r="N203" t="s">
        <v>196</v>
      </c>
      <c r="O203" t="s">
        <v>177</v>
      </c>
      <c r="P203">
        <v>0.1121866116620118</v>
      </c>
      <c r="Q203" t="s">
        <v>160</v>
      </c>
      <c r="S203" t="s">
        <v>206</v>
      </c>
      <c r="T203" t="s">
        <v>177</v>
      </c>
      <c r="U203">
        <v>0.1121866116620118</v>
      </c>
      <c r="V203" t="s">
        <v>160</v>
      </c>
    </row>
    <row r="204" spans="9:22" x14ac:dyDescent="0.45">
      <c r="I204" t="s">
        <v>186</v>
      </c>
      <c r="J204" t="s">
        <v>178</v>
      </c>
      <c r="K204">
        <v>1.4270893940352852E-3</v>
      </c>
      <c r="L204" t="s">
        <v>160</v>
      </c>
      <c r="N204" t="s">
        <v>196</v>
      </c>
      <c r="O204" t="s">
        <v>178</v>
      </c>
      <c r="P204">
        <v>6.6131384692052514E-2</v>
      </c>
      <c r="Q204" t="s">
        <v>160</v>
      </c>
      <c r="S204" t="s">
        <v>206</v>
      </c>
      <c r="T204" t="s">
        <v>178</v>
      </c>
      <c r="U204">
        <v>6.6131384692052514E-2</v>
      </c>
      <c r="V204" t="s">
        <v>160</v>
      </c>
    </row>
    <row r="205" spans="9:22" x14ac:dyDescent="0.45">
      <c r="I205" t="s">
        <v>186</v>
      </c>
      <c r="J205" t="s">
        <v>179</v>
      </c>
      <c r="K205">
        <v>0</v>
      </c>
      <c r="L205" t="s">
        <v>160</v>
      </c>
      <c r="N205" t="s">
        <v>196</v>
      </c>
      <c r="O205" t="s">
        <v>179</v>
      </c>
      <c r="P205">
        <v>9.7333360643698449E-3</v>
      </c>
      <c r="Q205" t="s">
        <v>160</v>
      </c>
      <c r="S205" t="s">
        <v>206</v>
      </c>
      <c r="T205" t="s">
        <v>179</v>
      </c>
      <c r="U205">
        <v>9.7333360643698449E-3</v>
      </c>
      <c r="V205" t="s">
        <v>160</v>
      </c>
    </row>
    <row r="206" spans="9:22" x14ac:dyDescent="0.45">
      <c r="I206" t="s">
        <v>186</v>
      </c>
      <c r="J206" t="s">
        <v>222</v>
      </c>
      <c r="K206">
        <v>0</v>
      </c>
      <c r="L206" t="s">
        <v>160</v>
      </c>
      <c r="N206" t="s">
        <v>196</v>
      </c>
      <c r="O206" t="s">
        <v>222</v>
      </c>
      <c r="P206">
        <v>1.2786807409882243E-2</v>
      </c>
      <c r="Q206" t="s">
        <v>160</v>
      </c>
      <c r="S206" t="s">
        <v>206</v>
      </c>
      <c r="T206" t="s">
        <v>222</v>
      </c>
      <c r="U206">
        <v>1.2786807409882243E-2</v>
      </c>
      <c r="V206" t="s">
        <v>160</v>
      </c>
    </row>
    <row r="207" spans="9:22" x14ac:dyDescent="0.45">
      <c r="I207" t="s">
        <v>186</v>
      </c>
      <c r="J207" t="s">
        <v>223</v>
      </c>
      <c r="K207">
        <v>0</v>
      </c>
      <c r="L207" t="s">
        <v>160</v>
      </c>
      <c r="N207" t="s">
        <v>196</v>
      </c>
      <c r="O207" t="s">
        <v>223</v>
      </c>
      <c r="P207">
        <v>2.4119093138519196E-3</v>
      </c>
      <c r="Q207" t="s">
        <v>160</v>
      </c>
      <c r="S207" t="s">
        <v>206</v>
      </c>
      <c r="T207" t="s">
        <v>223</v>
      </c>
      <c r="U207">
        <v>2.4119093138519196E-3</v>
      </c>
      <c r="V207" t="s">
        <v>160</v>
      </c>
    </row>
    <row r="208" spans="9:22" x14ac:dyDescent="0.45">
      <c r="I208" t="s">
        <v>186</v>
      </c>
      <c r="J208" t="s">
        <v>224</v>
      </c>
      <c r="K208">
        <v>6.8784170124738747E-3</v>
      </c>
      <c r="L208" t="s">
        <v>160</v>
      </c>
      <c r="N208" t="s">
        <v>196</v>
      </c>
      <c r="O208" t="s">
        <v>224</v>
      </c>
      <c r="P208">
        <v>2.4088134610373815E-2</v>
      </c>
      <c r="Q208" t="s">
        <v>160</v>
      </c>
      <c r="S208" t="s">
        <v>206</v>
      </c>
      <c r="T208" t="s">
        <v>224</v>
      </c>
      <c r="U208">
        <v>2.4088134610373815E-2</v>
      </c>
      <c r="V208" t="s">
        <v>160</v>
      </c>
    </row>
    <row r="209" spans="9:22" x14ac:dyDescent="0.45">
      <c r="I209" t="s">
        <v>186</v>
      </c>
      <c r="J209" t="s">
        <v>225</v>
      </c>
      <c r="K209">
        <v>0</v>
      </c>
      <c r="L209" t="s">
        <v>160</v>
      </c>
      <c r="N209" t="s">
        <v>196</v>
      </c>
      <c r="O209" t="s">
        <v>225</v>
      </c>
      <c r="P209">
        <v>1.3770014215548895E-2</v>
      </c>
      <c r="Q209" t="s">
        <v>160</v>
      </c>
      <c r="S209" t="s">
        <v>206</v>
      </c>
      <c r="T209" t="s">
        <v>225</v>
      </c>
      <c r="U209">
        <v>1.3770014215548895E-2</v>
      </c>
      <c r="V209" t="s">
        <v>160</v>
      </c>
    </row>
    <row r="210" spans="9:22" x14ac:dyDescent="0.45">
      <c r="I210" t="s">
        <v>186</v>
      </c>
      <c r="J210" t="s">
        <v>226</v>
      </c>
      <c r="K210">
        <v>0</v>
      </c>
      <c r="L210" t="s">
        <v>160</v>
      </c>
      <c r="N210" t="s">
        <v>196</v>
      </c>
      <c r="O210" t="s">
        <v>226</v>
      </c>
      <c r="P210">
        <v>2.3909692009220617E-3</v>
      </c>
      <c r="Q210" t="s">
        <v>160</v>
      </c>
      <c r="S210" t="s">
        <v>206</v>
      </c>
      <c r="T210" t="s">
        <v>226</v>
      </c>
      <c r="U210">
        <v>2.3909692009220617E-3</v>
      </c>
      <c r="V210" t="s">
        <v>160</v>
      </c>
    </row>
    <row r="211" spans="9:22" x14ac:dyDescent="0.45">
      <c r="I211" t="s">
        <v>187</v>
      </c>
      <c r="J211" t="s">
        <v>159</v>
      </c>
      <c r="K211">
        <v>0</v>
      </c>
      <c r="L211" t="s">
        <v>160</v>
      </c>
      <c r="N211" t="s">
        <v>197</v>
      </c>
      <c r="O211" t="s">
        <v>159</v>
      </c>
      <c r="P211">
        <v>4.15405640347805E-2</v>
      </c>
      <c r="Q211" t="s">
        <v>160</v>
      </c>
      <c r="S211" t="s">
        <v>207</v>
      </c>
      <c r="T211" t="s">
        <v>159</v>
      </c>
      <c r="U211">
        <v>4.15405640347805E-2</v>
      </c>
      <c r="V211" t="s">
        <v>160</v>
      </c>
    </row>
    <row r="212" spans="9:22" x14ac:dyDescent="0.45">
      <c r="I212" t="s">
        <v>187</v>
      </c>
      <c r="J212" t="s">
        <v>161</v>
      </c>
      <c r="K212">
        <v>0</v>
      </c>
      <c r="L212" t="s">
        <v>160</v>
      </c>
      <c r="N212" t="s">
        <v>197</v>
      </c>
      <c r="O212" t="s">
        <v>161</v>
      </c>
      <c r="P212">
        <v>9.0335141600405185E-3</v>
      </c>
      <c r="Q212" t="s">
        <v>160</v>
      </c>
      <c r="S212" t="s">
        <v>207</v>
      </c>
      <c r="T212" t="s">
        <v>161</v>
      </c>
      <c r="U212">
        <v>9.0335141600405185E-3</v>
      </c>
      <c r="V212" t="s">
        <v>160</v>
      </c>
    </row>
    <row r="213" spans="9:22" x14ac:dyDescent="0.45">
      <c r="I213" t="s">
        <v>187</v>
      </c>
      <c r="J213" t="s">
        <v>162</v>
      </c>
      <c r="K213">
        <v>8.161821725604719E-2</v>
      </c>
      <c r="L213" t="s">
        <v>160</v>
      </c>
      <c r="N213" t="s">
        <v>197</v>
      </c>
      <c r="O213" t="s">
        <v>162</v>
      </c>
      <c r="P213">
        <v>0.1017740245845169</v>
      </c>
      <c r="Q213" t="s">
        <v>160</v>
      </c>
      <c r="S213" t="s">
        <v>207</v>
      </c>
      <c r="T213" t="s">
        <v>162</v>
      </c>
      <c r="U213">
        <v>0.1017740245845169</v>
      </c>
      <c r="V213" t="s">
        <v>160</v>
      </c>
    </row>
    <row r="214" spans="9:22" x14ac:dyDescent="0.45">
      <c r="I214" t="s">
        <v>187</v>
      </c>
      <c r="J214" t="s">
        <v>163</v>
      </c>
      <c r="K214">
        <v>2.6852494666850064E-3</v>
      </c>
      <c r="L214" t="s">
        <v>160</v>
      </c>
      <c r="N214" t="s">
        <v>197</v>
      </c>
      <c r="O214" t="s">
        <v>163</v>
      </c>
      <c r="P214">
        <v>5.2613609772951382E-2</v>
      </c>
      <c r="Q214" t="s">
        <v>160</v>
      </c>
      <c r="S214" t="s">
        <v>207</v>
      </c>
      <c r="T214" t="s">
        <v>163</v>
      </c>
      <c r="U214">
        <v>5.2613609772951382E-2</v>
      </c>
      <c r="V214" t="s">
        <v>160</v>
      </c>
    </row>
    <row r="215" spans="9:22" x14ac:dyDescent="0.45">
      <c r="I215" t="s">
        <v>187</v>
      </c>
      <c r="J215" t="s">
        <v>164</v>
      </c>
      <c r="K215">
        <v>0</v>
      </c>
      <c r="L215" t="s">
        <v>160</v>
      </c>
      <c r="N215" t="s">
        <v>197</v>
      </c>
      <c r="O215" t="s">
        <v>164</v>
      </c>
      <c r="P215">
        <v>7.4203298532911658E-3</v>
      </c>
      <c r="Q215" t="s">
        <v>160</v>
      </c>
      <c r="S215" t="s">
        <v>207</v>
      </c>
      <c r="T215" t="s">
        <v>164</v>
      </c>
      <c r="U215">
        <v>7.4203298532911658E-3</v>
      </c>
      <c r="V215" t="s">
        <v>160</v>
      </c>
    </row>
    <row r="216" spans="9:22" x14ac:dyDescent="0.45">
      <c r="I216" t="s">
        <v>187</v>
      </c>
      <c r="J216" t="s">
        <v>165</v>
      </c>
      <c r="K216">
        <v>0</v>
      </c>
      <c r="L216" t="s">
        <v>160</v>
      </c>
      <c r="N216" t="s">
        <v>197</v>
      </c>
      <c r="O216" t="s">
        <v>165</v>
      </c>
      <c r="P216">
        <v>1.4924663708972861E-2</v>
      </c>
      <c r="Q216" t="s">
        <v>160</v>
      </c>
      <c r="S216" t="s">
        <v>207</v>
      </c>
      <c r="T216" t="s">
        <v>165</v>
      </c>
      <c r="U216">
        <v>1.4924663708972861E-2</v>
      </c>
      <c r="V216" t="s">
        <v>160</v>
      </c>
    </row>
    <row r="217" spans="9:22" x14ac:dyDescent="0.45">
      <c r="I217" t="s">
        <v>187</v>
      </c>
      <c r="J217" t="s">
        <v>166</v>
      </c>
      <c r="K217">
        <v>0</v>
      </c>
      <c r="L217" t="s">
        <v>160</v>
      </c>
      <c r="N217" t="s">
        <v>197</v>
      </c>
      <c r="O217" t="s">
        <v>166</v>
      </c>
      <c r="P217">
        <v>3.0910439617310784E-3</v>
      </c>
      <c r="Q217" t="s">
        <v>160</v>
      </c>
      <c r="S217" t="s">
        <v>207</v>
      </c>
      <c r="T217" t="s">
        <v>166</v>
      </c>
      <c r="U217">
        <v>3.0910439617310784E-3</v>
      </c>
      <c r="V217" t="s">
        <v>160</v>
      </c>
    </row>
    <row r="218" spans="9:22" x14ac:dyDescent="0.45">
      <c r="I218" t="s">
        <v>187</v>
      </c>
      <c r="J218" t="s">
        <v>167</v>
      </c>
      <c r="K218">
        <v>3.7334114072095664E-2</v>
      </c>
      <c r="L218" t="s">
        <v>160</v>
      </c>
      <c r="N218" t="s">
        <v>197</v>
      </c>
      <c r="O218" t="s">
        <v>167</v>
      </c>
      <c r="P218">
        <v>4.1623211878268035E-2</v>
      </c>
      <c r="Q218" t="s">
        <v>160</v>
      </c>
      <c r="S218" t="s">
        <v>207</v>
      </c>
      <c r="T218" t="s">
        <v>167</v>
      </c>
      <c r="U218">
        <v>4.1623211878268035E-2</v>
      </c>
      <c r="V218" t="s">
        <v>160</v>
      </c>
    </row>
    <row r="219" spans="9:22" x14ac:dyDescent="0.45">
      <c r="I219" t="s">
        <v>187</v>
      </c>
      <c r="J219" t="s">
        <v>168</v>
      </c>
      <c r="K219">
        <v>3.2115200853897324E-3</v>
      </c>
      <c r="L219" t="s">
        <v>160</v>
      </c>
      <c r="N219" t="s">
        <v>197</v>
      </c>
      <c r="O219" t="s">
        <v>168</v>
      </c>
      <c r="P219">
        <v>2.2330165495354801E-2</v>
      </c>
      <c r="Q219" t="s">
        <v>160</v>
      </c>
      <c r="S219" t="s">
        <v>207</v>
      </c>
      <c r="T219" t="s">
        <v>168</v>
      </c>
      <c r="U219">
        <v>2.2330165495354801E-2</v>
      </c>
      <c r="V219" t="s">
        <v>160</v>
      </c>
    </row>
    <row r="220" spans="9:22" x14ac:dyDescent="0.45">
      <c r="I220" t="s">
        <v>187</v>
      </c>
      <c r="J220" t="s">
        <v>169</v>
      </c>
      <c r="K220">
        <v>0</v>
      </c>
      <c r="L220" t="s">
        <v>160</v>
      </c>
      <c r="N220" t="s">
        <v>197</v>
      </c>
      <c r="O220" t="s">
        <v>169</v>
      </c>
      <c r="P220">
        <v>2.8727484436211043E-3</v>
      </c>
      <c r="Q220" t="s">
        <v>160</v>
      </c>
      <c r="S220" t="s">
        <v>207</v>
      </c>
      <c r="T220" t="s">
        <v>169</v>
      </c>
      <c r="U220">
        <v>2.8727484436211043E-3</v>
      </c>
      <c r="V220" t="s">
        <v>160</v>
      </c>
    </row>
    <row r="221" spans="9:22" x14ac:dyDescent="0.45">
      <c r="I221" t="s">
        <v>187</v>
      </c>
      <c r="J221" t="s">
        <v>170</v>
      </c>
      <c r="K221">
        <v>0</v>
      </c>
      <c r="L221" t="s">
        <v>160</v>
      </c>
      <c r="N221" t="s">
        <v>197</v>
      </c>
      <c r="O221" t="s">
        <v>170</v>
      </c>
      <c r="P221">
        <v>4.8984664246970122E-2</v>
      </c>
      <c r="Q221" t="s">
        <v>160</v>
      </c>
      <c r="S221" t="s">
        <v>207</v>
      </c>
      <c r="T221" t="s">
        <v>170</v>
      </c>
      <c r="U221">
        <v>4.8984664246970122E-2</v>
      </c>
      <c r="V221" t="s">
        <v>160</v>
      </c>
    </row>
    <row r="222" spans="9:22" x14ac:dyDescent="0.45">
      <c r="I222" t="s">
        <v>187</v>
      </c>
      <c r="J222" t="s">
        <v>171</v>
      </c>
      <c r="K222">
        <v>5.8409501088978856E-3</v>
      </c>
      <c r="L222" t="s">
        <v>160</v>
      </c>
      <c r="N222" t="s">
        <v>197</v>
      </c>
      <c r="O222" t="s">
        <v>171</v>
      </c>
      <c r="P222">
        <v>1.002914459856102E-2</v>
      </c>
      <c r="Q222" t="s">
        <v>160</v>
      </c>
      <c r="S222" t="s">
        <v>207</v>
      </c>
      <c r="T222" t="s">
        <v>171</v>
      </c>
      <c r="U222">
        <v>1.002914459856102E-2</v>
      </c>
      <c r="V222" t="s">
        <v>160</v>
      </c>
    </row>
    <row r="223" spans="9:22" x14ac:dyDescent="0.45">
      <c r="I223" t="s">
        <v>187</v>
      </c>
      <c r="J223" t="s">
        <v>172</v>
      </c>
      <c r="K223">
        <v>0.67156737566815261</v>
      </c>
      <c r="L223" t="s">
        <v>160</v>
      </c>
      <c r="N223" t="s">
        <v>197</v>
      </c>
      <c r="O223" t="s">
        <v>172</v>
      </c>
      <c r="P223">
        <v>0.17797256879368709</v>
      </c>
      <c r="Q223" t="s">
        <v>160</v>
      </c>
      <c r="S223" t="s">
        <v>207</v>
      </c>
      <c r="T223" t="s">
        <v>172</v>
      </c>
      <c r="U223">
        <v>0.17797256879368709</v>
      </c>
      <c r="V223" t="s">
        <v>160</v>
      </c>
    </row>
    <row r="224" spans="9:22" x14ac:dyDescent="0.45">
      <c r="I224" t="s">
        <v>187</v>
      </c>
      <c r="J224" t="s">
        <v>173</v>
      </c>
      <c r="K224">
        <v>8.6157480442954751E-2</v>
      </c>
      <c r="L224" t="s">
        <v>160</v>
      </c>
      <c r="N224" t="s">
        <v>197</v>
      </c>
      <c r="O224" t="s">
        <v>173</v>
      </c>
      <c r="P224">
        <v>9.40713317273075E-2</v>
      </c>
      <c r="Q224" t="s">
        <v>160</v>
      </c>
      <c r="S224" t="s">
        <v>207</v>
      </c>
      <c r="T224" t="s">
        <v>173</v>
      </c>
      <c r="U224">
        <v>9.40713317273075E-2</v>
      </c>
      <c r="V224" t="s">
        <v>160</v>
      </c>
    </row>
    <row r="225" spans="9:22" x14ac:dyDescent="0.45">
      <c r="I225" t="s">
        <v>187</v>
      </c>
      <c r="J225" t="s">
        <v>174</v>
      </c>
      <c r="K225">
        <v>0</v>
      </c>
      <c r="L225" t="s">
        <v>160</v>
      </c>
      <c r="N225" t="s">
        <v>197</v>
      </c>
      <c r="O225" t="s">
        <v>174</v>
      </c>
      <c r="P225">
        <v>1.060673847140702E-2</v>
      </c>
      <c r="Q225" t="s">
        <v>160</v>
      </c>
      <c r="S225" t="s">
        <v>207</v>
      </c>
      <c r="T225" t="s">
        <v>174</v>
      </c>
      <c r="U225">
        <v>1.060673847140702E-2</v>
      </c>
      <c r="V225" t="s">
        <v>160</v>
      </c>
    </row>
    <row r="226" spans="9:22" x14ac:dyDescent="0.45">
      <c r="I226" t="s">
        <v>187</v>
      </c>
      <c r="J226" t="s">
        <v>175</v>
      </c>
      <c r="K226">
        <v>0</v>
      </c>
      <c r="L226" t="s">
        <v>160</v>
      </c>
      <c r="N226" t="s">
        <v>197</v>
      </c>
      <c r="O226" t="s">
        <v>175</v>
      </c>
      <c r="P226">
        <v>6.1789841286941108E-2</v>
      </c>
      <c r="Q226" t="s">
        <v>160</v>
      </c>
      <c r="S226" t="s">
        <v>207</v>
      </c>
      <c r="T226" t="s">
        <v>175</v>
      </c>
      <c r="U226">
        <v>6.1789841286941108E-2</v>
      </c>
      <c r="V226" t="s">
        <v>160</v>
      </c>
    </row>
    <row r="227" spans="9:22" x14ac:dyDescent="0.45">
      <c r="I227" t="s">
        <v>187</v>
      </c>
      <c r="J227" t="s">
        <v>176</v>
      </c>
      <c r="K227">
        <v>0</v>
      </c>
      <c r="L227" t="s">
        <v>160</v>
      </c>
      <c r="N227" t="s">
        <v>197</v>
      </c>
      <c r="O227" t="s">
        <v>176</v>
      </c>
      <c r="P227">
        <v>1.2104462015324075E-2</v>
      </c>
      <c r="Q227" t="s">
        <v>160</v>
      </c>
      <c r="S227" t="s">
        <v>207</v>
      </c>
      <c r="T227" t="s">
        <v>176</v>
      </c>
      <c r="U227">
        <v>1.2104462015324075E-2</v>
      </c>
      <c r="V227" t="s">
        <v>160</v>
      </c>
    </row>
    <row r="228" spans="9:22" x14ac:dyDescent="0.45">
      <c r="I228" t="s">
        <v>187</v>
      </c>
      <c r="J228" t="s">
        <v>177</v>
      </c>
      <c r="K228">
        <v>0.1046241035594364</v>
      </c>
      <c r="L228" t="s">
        <v>160</v>
      </c>
      <c r="N228" t="s">
        <v>197</v>
      </c>
      <c r="O228" t="s">
        <v>177</v>
      </c>
      <c r="P228">
        <v>0.12727857936438977</v>
      </c>
      <c r="Q228" t="s">
        <v>160</v>
      </c>
      <c r="S228" t="s">
        <v>207</v>
      </c>
      <c r="T228" t="s">
        <v>177</v>
      </c>
      <c r="U228">
        <v>0.12727857936438977</v>
      </c>
      <c r="V228" t="s">
        <v>160</v>
      </c>
    </row>
    <row r="229" spans="9:22" x14ac:dyDescent="0.45">
      <c r="I229" t="s">
        <v>187</v>
      </c>
      <c r="J229" t="s">
        <v>178</v>
      </c>
      <c r="K229">
        <v>1.38858816626753E-3</v>
      </c>
      <c r="L229" t="s">
        <v>160</v>
      </c>
      <c r="N229" t="s">
        <v>197</v>
      </c>
      <c r="O229" t="s">
        <v>178</v>
      </c>
      <c r="P229">
        <v>8.0848557828975903E-2</v>
      </c>
      <c r="Q229" t="s">
        <v>160</v>
      </c>
      <c r="S229" t="s">
        <v>207</v>
      </c>
      <c r="T229" t="s">
        <v>178</v>
      </c>
      <c r="U229">
        <v>8.0848557828975903E-2</v>
      </c>
      <c r="V229" t="s">
        <v>160</v>
      </c>
    </row>
    <row r="230" spans="9:22" x14ac:dyDescent="0.45">
      <c r="I230" t="s">
        <v>187</v>
      </c>
      <c r="J230" t="s">
        <v>179</v>
      </c>
      <c r="K230">
        <v>0</v>
      </c>
      <c r="L230" t="s">
        <v>160</v>
      </c>
      <c r="N230" t="s">
        <v>197</v>
      </c>
      <c r="O230" t="s">
        <v>179</v>
      </c>
      <c r="P230">
        <v>1.2793066136611375E-2</v>
      </c>
      <c r="Q230" t="s">
        <v>160</v>
      </c>
      <c r="S230" t="s">
        <v>207</v>
      </c>
      <c r="T230" t="s">
        <v>179</v>
      </c>
      <c r="U230">
        <v>1.2793066136611375E-2</v>
      </c>
      <c r="V230" t="s">
        <v>160</v>
      </c>
    </row>
    <row r="231" spans="9:22" x14ac:dyDescent="0.45">
      <c r="I231" t="s">
        <v>187</v>
      </c>
      <c r="J231" t="s">
        <v>222</v>
      </c>
      <c r="K231">
        <v>0</v>
      </c>
      <c r="L231" t="s">
        <v>160</v>
      </c>
      <c r="N231" t="s">
        <v>197</v>
      </c>
      <c r="O231" t="s">
        <v>222</v>
      </c>
      <c r="P231">
        <v>1.5010711846567482E-2</v>
      </c>
      <c r="Q231" t="s">
        <v>160</v>
      </c>
      <c r="S231" t="s">
        <v>207</v>
      </c>
      <c r="T231" t="s">
        <v>222</v>
      </c>
      <c r="U231">
        <v>1.5010711846567482E-2</v>
      </c>
      <c r="V231" t="s">
        <v>160</v>
      </c>
    </row>
    <row r="232" spans="9:22" x14ac:dyDescent="0.45">
      <c r="I232" t="s">
        <v>187</v>
      </c>
      <c r="J232" t="s">
        <v>223</v>
      </c>
      <c r="K232">
        <v>0</v>
      </c>
      <c r="L232" t="s">
        <v>160</v>
      </c>
      <c r="N232" t="s">
        <v>197</v>
      </c>
      <c r="O232" t="s">
        <v>223</v>
      </c>
      <c r="P232">
        <v>2.9951098010292392E-3</v>
      </c>
      <c r="Q232" t="s">
        <v>160</v>
      </c>
      <c r="S232" t="s">
        <v>207</v>
      </c>
      <c r="T232" t="s">
        <v>223</v>
      </c>
      <c r="U232">
        <v>2.9951098010292392E-3</v>
      </c>
      <c r="V232" t="s">
        <v>160</v>
      </c>
    </row>
    <row r="233" spans="9:22" x14ac:dyDescent="0.45">
      <c r="I233" t="s">
        <v>187</v>
      </c>
      <c r="J233" t="s">
        <v>224</v>
      </c>
      <c r="K233">
        <v>5.5724011740717156E-3</v>
      </c>
      <c r="L233" t="s">
        <v>160</v>
      </c>
      <c r="N233" t="s">
        <v>197</v>
      </c>
      <c r="O233" t="s">
        <v>224</v>
      </c>
      <c r="P233">
        <v>2.9913188870300641E-2</v>
      </c>
      <c r="Q233" t="s">
        <v>160</v>
      </c>
      <c r="S233" t="s">
        <v>207</v>
      </c>
      <c r="T233" t="s">
        <v>224</v>
      </c>
      <c r="U233">
        <v>2.9913188870300641E-2</v>
      </c>
      <c r="V233" t="s">
        <v>160</v>
      </c>
    </row>
    <row r="234" spans="9:22" x14ac:dyDescent="0.45">
      <c r="I234" t="s">
        <v>187</v>
      </c>
      <c r="J234" t="s">
        <v>225</v>
      </c>
      <c r="K234">
        <v>0</v>
      </c>
      <c r="L234" t="s">
        <v>160</v>
      </c>
      <c r="N234" t="s">
        <v>197</v>
      </c>
      <c r="O234" t="s">
        <v>225</v>
      </c>
      <c r="P234">
        <v>1.5819024127644108E-2</v>
      </c>
      <c r="Q234" t="s">
        <v>160</v>
      </c>
      <c r="S234" t="s">
        <v>207</v>
      </c>
      <c r="T234" t="s">
        <v>225</v>
      </c>
      <c r="U234">
        <v>1.5819024127644108E-2</v>
      </c>
      <c r="V234" t="s">
        <v>160</v>
      </c>
    </row>
    <row r="235" spans="9:22" x14ac:dyDescent="0.45">
      <c r="I235" t="s">
        <v>187</v>
      </c>
      <c r="J235" t="s">
        <v>226</v>
      </c>
      <c r="K235">
        <v>0</v>
      </c>
      <c r="L235" t="s">
        <v>160</v>
      </c>
      <c r="N235" t="s">
        <v>197</v>
      </c>
      <c r="O235" t="s">
        <v>226</v>
      </c>
      <c r="P235">
        <v>2.5591349907561297E-3</v>
      </c>
      <c r="Q235" t="s">
        <v>160</v>
      </c>
      <c r="S235" t="s">
        <v>207</v>
      </c>
      <c r="T235" t="s">
        <v>226</v>
      </c>
      <c r="U235">
        <v>2.5591349907561297E-3</v>
      </c>
      <c r="V235" t="s">
        <v>160</v>
      </c>
    </row>
    <row r="236" spans="9:22" x14ac:dyDescent="0.45">
      <c r="I236" t="s">
        <v>188</v>
      </c>
      <c r="J236" t="s">
        <v>159</v>
      </c>
      <c r="K236">
        <v>0</v>
      </c>
      <c r="L236" t="s">
        <v>160</v>
      </c>
      <c r="N236" t="s">
        <v>198</v>
      </c>
      <c r="O236" t="s">
        <v>159</v>
      </c>
      <c r="P236">
        <v>3.7633847327752053E-2</v>
      </c>
      <c r="Q236" t="s">
        <v>160</v>
      </c>
      <c r="S236" t="s">
        <v>208</v>
      </c>
      <c r="T236" t="s">
        <v>159</v>
      </c>
      <c r="U236">
        <v>3.7633847327752053E-2</v>
      </c>
      <c r="V236" t="s">
        <v>160</v>
      </c>
    </row>
    <row r="237" spans="9:22" x14ac:dyDescent="0.45">
      <c r="I237" t="s">
        <v>188</v>
      </c>
      <c r="J237" t="s">
        <v>161</v>
      </c>
      <c r="K237">
        <v>0</v>
      </c>
      <c r="L237" t="s">
        <v>160</v>
      </c>
      <c r="N237" t="s">
        <v>198</v>
      </c>
      <c r="O237" t="s">
        <v>161</v>
      </c>
      <c r="P237">
        <v>8.0137447116049761E-3</v>
      </c>
      <c r="Q237" t="s">
        <v>160</v>
      </c>
      <c r="S237" t="s">
        <v>208</v>
      </c>
      <c r="T237" t="s">
        <v>161</v>
      </c>
      <c r="U237">
        <v>8.0137447116049761E-3</v>
      </c>
      <c r="V237" t="s">
        <v>160</v>
      </c>
    </row>
    <row r="238" spans="9:22" x14ac:dyDescent="0.45">
      <c r="I238" t="s">
        <v>188</v>
      </c>
      <c r="J238" t="s">
        <v>162</v>
      </c>
      <c r="K238">
        <v>7.7749040057166777E-2</v>
      </c>
      <c r="L238" t="s">
        <v>160</v>
      </c>
      <c r="N238" t="s">
        <v>198</v>
      </c>
      <c r="O238" t="s">
        <v>162</v>
      </c>
      <c r="P238">
        <v>9.1781037132361437E-2</v>
      </c>
      <c r="Q238" t="s">
        <v>160</v>
      </c>
      <c r="S238" t="s">
        <v>208</v>
      </c>
      <c r="T238" t="s">
        <v>162</v>
      </c>
      <c r="U238">
        <v>9.1781037132361437E-2</v>
      </c>
      <c r="V238" t="s">
        <v>160</v>
      </c>
    </row>
    <row r="239" spans="9:22" x14ac:dyDescent="0.45">
      <c r="I239" t="s">
        <v>188</v>
      </c>
      <c r="J239" t="s">
        <v>163</v>
      </c>
      <c r="K239">
        <v>2.545086941339376E-3</v>
      </c>
      <c r="L239" t="s">
        <v>160</v>
      </c>
      <c r="N239" t="s">
        <v>198</v>
      </c>
      <c r="O239" t="s">
        <v>163</v>
      </c>
      <c r="P239">
        <v>5.0000040672449224E-2</v>
      </c>
      <c r="Q239" t="s">
        <v>160</v>
      </c>
      <c r="S239" t="s">
        <v>208</v>
      </c>
      <c r="T239" t="s">
        <v>163</v>
      </c>
      <c r="U239">
        <v>5.0000040672449224E-2</v>
      </c>
      <c r="V239" t="s">
        <v>160</v>
      </c>
    </row>
    <row r="240" spans="9:22" x14ac:dyDescent="0.45">
      <c r="I240" t="s">
        <v>188</v>
      </c>
      <c r="J240" t="s">
        <v>164</v>
      </c>
      <c r="K240">
        <v>0</v>
      </c>
      <c r="L240" t="s">
        <v>160</v>
      </c>
      <c r="N240" t="s">
        <v>198</v>
      </c>
      <c r="O240" t="s">
        <v>164</v>
      </c>
      <c r="P240">
        <v>7.4351119617156571E-3</v>
      </c>
      <c r="Q240" t="s">
        <v>160</v>
      </c>
      <c r="S240" t="s">
        <v>208</v>
      </c>
      <c r="T240" t="s">
        <v>164</v>
      </c>
      <c r="U240">
        <v>7.4351119617156571E-3</v>
      </c>
      <c r="V240" t="s">
        <v>160</v>
      </c>
    </row>
    <row r="241" spans="9:22" x14ac:dyDescent="0.45">
      <c r="I241" t="s">
        <v>188</v>
      </c>
      <c r="J241" t="s">
        <v>165</v>
      </c>
      <c r="K241">
        <v>0</v>
      </c>
      <c r="L241" t="s">
        <v>160</v>
      </c>
      <c r="N241" t="s">
        <v>198</v>
      </c>
      <c r="O241" t="s">
        <v>165</v>
      </c>
      <c r="P241">
        <v>1.6421333491817101E-2</v>
      </c>
      <c r="Q241" t="s">
        <v>160</v>
      </c>
      <c r="S241" t="s">
        <v>208</v>
      </c>
      <c r="T241" t="s">
        <v>165</v>
      </c>
      <c r="U241">
        <v>1.6421333491817101E-2</v>
      </c>
      <c r="V241" t="s">
        <v>160</v>
      </c>
    </row>
    <row r="242" spans="9:22" x14ac:dyDescent="0.45">
      <c r="I242" t="s">
        <v>188</v>
      </c>
      <c r="J242" t="s">
        <v>166</v>
      </c>
      <c r="K242">
        <v>0</v>
      </c>
      <c r="L242" t="s">
        <v>160</v>
      </c>
      <c r="N242" t="s">
        <v>198</v>
      </c>
      <c r="O242" t="s">
        <v>166</v>
      </c>
      <c r="P242">
        <v>3.333155179373333E-3</v>
      </c>
      <c r="Q242" t="s">
        <v>160</v>
      </c>
      <c r="S242" t="s">
        <v>208</v>
      </c>
      <c r="T242" t="s">
        <v>166</v>
      </c>
      <c r="U242">
        <v>3.333155179373333E-3</v>
      </c>
      <c r="V242" t="s">
        <v>160</v>
      </c>
    </row>
    <row r="243" spans="9:22" x14ac:dyDescent="0.45">
      <c r="I243" t="s">
        <v>188</v>
      </c>
      <c r="J243" t="s">
        <v>167</v>
      </c>
      <c r="K243">
        <v>3.6902238546303104E-2</v>
      </c>
      <c r="L243" t="s">
        <v>160</v>
      </c>
      <c r="N243" t="s">
        <v>198</v>
      </c>
      <c r="O243" t="s">
        <v>167</v>
      </c>
      <c r="P243">
        <v>3.8673161805696209E-2</v>
      </c>
      <c r="Q243" t="s">
        <v>160</v>
      </c>
      <c r="S243" t="s">
        <v>208</v>
      </c>
      <c r="T243" t="s">
        <v>167</v>
      </c>
      <c r="U243">
        <v>3.8673161805696209E-2</v>
      </c>
      <c r="V243" t="s">
        <v>160</v>
      </c>
    </row>
    <row r="244" spans="9:22" x14ac:dyDescent="0.45">
      <c r="I244" t="s">
        <v>188</v>
      </c>
      <c r="J244" t="s">
        <v>168</v>
      </c>
      <c r="K244">
        <v>3.3094616394464412E-3</v>
      </c>
      <c r="L244" t="s">
        <v>160</v>
      </c>
      <c r="N244" t="s">
        <v>198</v>
      </c>
      <c r="O244" t="s">
        <v>168</v>
      </c>
      <c r="P244">
        <v>2.2259359318243958E-2</v>
      </c>
      <c r="Q244" t="s">
        <v>160</v>
      </c>
      <c r="S244" t="s">
        <v>208</v>
      </c>
      <c r="T244" t="s">
        <v>168</v>
      </c>
      <c r="U244">
        <v>2.2259359318243958E-2</v>
      </c>
      <c r="V244" t="s">
        <v>160</v>
      </c>
    </row>
    <row r="245" spans="9:22" x14ac:dyDescent="0.45">
      <c r="I245" t="s">
        <v>188</v>
      </c>
      <c r="J245" t="s">
        <v>169</v>
      </c>
      <c r="K245">
        <v>0</v>
      </c>
      <c r="L245" t="s">
        <v>160</v>
      </c>
      <c r="N245" t="s">
        <v>198</v>
      </c>
      <c r="O245" t="s">
        <v>169</v>
      </c>
      <c r="P245">
        <v>3.2962254958358557E-3</v>
      </c>
      <c r="Q245" t="s">
        <v>160</v>
      </c>
      <c r="S245" t="s">
        <v>208</v>
      </c>
      <c r="T245" t="s">
        <v>169</v>
      </c>
      <c r="U245">
        <v>3.2962254958358557E-3</v>
      </c>
      <c r="V245" t="s">
        <v>160</v>
      </c>
    </row>
    <row r="246" spans="9:22" x14ac:dyDescent="0.45">
      <c r="I246" t="s">
        <v>188</v>
      </c>
      <c r="J246" t="s">
        <v>170</v>
      </c>
      <c r="K246">
        <v>0</v>
      </c>
      <c r="L246" t="s">
        <v>160</v>
      </c>
      <c r="N246" t="s">
        <v>198</v>
      </c>
      <c r="O246" t="s">
        <v>170</v>
      </c>
      <c r="P246">
        <v>6.7516082208989692E-2</v>
      </c>
      <c r="Q246" t="s">
        <v>160</v>
      </c>
      <c r="S246" t="s">
        <v>208</v>
      </c>
      <c r="T246" t="s">
        <v>170</v>
      </c>
      <c r="U246">
        <v>6.7516082208989692E-2</v>
      </c>
      <c r="V246" t="s">
        <v>160</v>
      </c>
    </row>
    <row r="247" spans="9:22" x14ac:dyDescent="0.45">
      <c r="I247" t="s">
        <v>188</v>
      </c>
      <c r="J247" t="s">
        <v>171</v>
      </c>
      <c r="K247">
        <v>5.9922506252941795E-3</v>
      </c>
      <c r="L247" t="s">
        <v>160</v>
      </c>
      <c r="N247" t="s">
        <v>198</v>
      </c>
      <c r="O247" t="s">
        <v>171</v>
      </c>
      <c r="P247">
        <v>1.3966617667829643E-2</v>
      </c>
      <c r="Q247" t="s">
        <v>160</v>
      </c>
      <c r="S247" t="s">
        <v>208</v>
      </c>
      <c r="T247" t="s">
        <v>171</v>
      </c>
      <c r="U247">
        <v>1.3966617667829643E-2</v>
      </c>
      <c r="V247" t="s">
        <v>160</v>
      </c>
    </row>
    <row r="248" spans="9:22" x14ac:dyDescent="0.45">
      <c r="I248" t="s">
        <v>188</v>
      </c>
      <c r="J248" t="s">
        <v>172</v>
      </c>
      <c r="K248">
        <v>0.67100580916887831</v>
      </c>
      <c r="L248" t="s">
        <v>160</v>
      </c>
      <c r="N248" t="s">
        <v>198</v>
      </c>
      <c r="O248" t="s">
        <v>172</v>
      </c>
      <c r="P248">
        <v>0.18302888623182634</v>
      </c>
      <c r="Q248" t="s">
        <v>160</v>
      </c>
      <c r="S248" t="s">
        <v>208</v>
      </c>
      <c r="T248" t="s">
        <v>172</v>
      </c>
      <c r="U248">
        <v>0.18302888623182634</v>
      </c>
      <c r="V248" t="s">
        <v>160</v>
      </c>
    </row>
    <row r="249" spans="9:22" x14ac:dyDescent="0.45">
      <c r="I249" t="s">
        <v>188</v>
      </c>
      <c r="J249" t="s">
        <v>173</v>
      </c>
      <c r="K249">
        <v>8.5228484872039934E-2</v>
      </c>
      <c r="L249" t="s">
        <v>160</v>
      </c>
      <c r="N249" t="s">
        <v>198</v>
      </c>
      <c r="O249" t="s">
        <v>173</v>
      </c>
      <c r="P249">
        <v>0.10414732162312176</v>
      </c>
      <c r="Q249" t="s">
        <v>160</v>
      </c>
      <c r="S249" t="s">
        <v>208</v>
      </c>
      <c r="T249" t="s">
        <v>173</v>
      </c>
      <c r="U249">
        <v>0.10414732162312176</v>
      </c>
      <c r="V249" t="s">
        <v>160</v>
      </c>
    </row>
    <row r="250" spans="9:22" x14ac:dyDescent="0.45">
      <c r="I250" t="s">
        <v>188</v>
      </c>
      <c r="J250" t="s">
        <v>174</v>
      </c>
      <c r="K250">
        <v>0</v>
      </c>
      <c r="L250" t="s">
        <v>160</v>
      </c>
      <c r="N250" t="s">
        <v>198</v>
      </c>
      <c r="O250" t="s">
        <v>174</v>
      </c>
      <c r="P250">
        <v>1.3522242243235439E-2</v>
      </c>
      <c r="Q250" t="s">
        <v>160</v>
      </c>
      <c r="S250" t="s">
        <v>208</v>
      </c>
      <c r="T250" t="s">
        <v>174</v>
      </c>
      <c r="U250">
        <v>1.3522242243235439E-2</v>
      </c>
      <c r="V250" t="s">
        <v>160</v>
      </c>
    </row>
    <row r="251" spans="9:22" x14ac:dyDescent="0.45">
      <c r="I251" t="s">
        <v>188</v>
      </c>
      <c r="J251" t="s">
        <v>175</v>
      </c>
      <c r="K251">
        <v>0</v>
      </c>
      <c r="L251" t="s">
        <v>160</v>
      </c>
      <c r="N251" t="s">
        <v>198</v>
      </c>
      <c r="O251" t="s">
        <v>175</v>
      </c>
      <c r="P251">
        <v>5.7522596458711189E-2</v>
      </c>
      <c r="Q251" t="s">
        <v>160</v>
      </c>
      <c r="S251" t="s">
        <v>208</v>
      </c>
      <c r="T251" t="s">
        <v>175</v>
      </c>
      <c r="U251">
        <v>5.7522596458711189E-2</v>
      </c>
      <c r="V251" t="s">
        <v>160</v>
      </c>
    </row>
    <row r="252" spans="9:22" x14ac:dyDescent="0.45">
      <c r="I252" t="s">
        <v>188</v>
      </c>
      <c r="J252" t="s">
        <v>176</v>
      </c>
      <c r="K252">
        <v>0</v>
      </c>
      <c r="L252" t="s">
        <v>160</v>
      </c>
      <c r="N252" t="s">
        <v>198</v>
      </c>
      <c r="O252" t="s">
        <v>176</v>
      </c>
      <c r="P252">
        <v>1.1607943520410578E-2</v>
      </c>
      <c r="Q252" t="s">
        <v>160</v>
      </c>
      <c r="S252" t="s">
        <v>208</v>
      </c>
      <c r="T252" t="s">
        <v>176</v>
      </c>
      <c r="U252">
        <v>1.1607943520410578E-2</v>
      </c>
      <c r="V252" t="s">
        <v>160</v>
      </c>
    </row>
    <row r="253" spans="9:22" x14ac:dyDescent="0.45">
      <c r="I253" t="s">
        <v>188</v>
      </c>
      <c r="J253" t="s">
        <v>177</v>
      </c>
      <c r="K253">
        <v>0.10882008012277891</v>
      </c>
      <c r="L253" t="s">
        <v>160</v>
      </c>
      <c r="N253" t="s">
        <v>198</v>
      </c>
      <c r="O253" t="s">
        <v>177</v>
      </c>
      <c r="P253">
        <v>0.12720792442564691</v>
      </c>
      <c r="Q253" t="s">
        <v>160</v>
      </c>
      <c r="S253" t="s">
        <v>208</v>
      </c>
      <c r="T253" t="s">
        <v>177</v>
      </c>
      <c r="U253">
        <v>0.12720792442564691</v>
      </c>
      <c r="V253" t="s">
        <v>160</v>
      </c>
    </row>
    <row r="254" spans="9:22" x14ac:dyDescent="0.45">
      <c r="I254" t="s">
        <v>188</v>
      </c>
      <c r="J254" t="s">
        <v>178</v>
      </c>
      <c r="K254">
        <v>1.6685548835351706E-3</v>
      </c>
      <c r="L254" t="s">
        <v>160</v>
      </c>
      <c r="N254" t="s">
        <v>198</v>
      </c>
      <c r="O254" t="s">
        <v>178</v>
      </c>
      <c r="P254">
        <v>7.8017017455088267E-2</v>
      </c>
      <c r="Q254" t="s">
        <v>160</v>
      </c>
      <c r="S254" t="s">
        <v>208</v>
      </c>
      <c r="T254" t="s">
        <v>178</v>
      </c>
      <c r="U254">
        <v>7.8017017455088267E-2</v>
      </c>
      <c r="V254" t="s">
        <v>160</v>
      </c>
    </row>
    <row r="255" spans="9:22" x14ac:dyDescent="0.45">
      <c r="I255" t="s">
        <v>188</v>
      </c>
      <c r="J255" t="s">
        <v>179</v>
      </c>
      <c r="K255">
        <v>0</v>
      </c>
      <c r="L255" t="s">
        <v>160</v>
      </c>
      <c r="N255" t="s">
        <v>198</v>
      </c>
      <c r="O255" t="s">
        <v>179</v>
      </c>
      <c r="P255">
        <v>1.194812815837891E-2</v>
      </c>
      <c r="Q255" t="s">
        <v>160</v>
      </c>
      <c r="S255" t="s">
        <v>208</v>
      </c>
      <c r="T255" t="s">
        <v>179</v>
      </c>
      <c r="U255">
        <v>1.194812815837891E-2</v>
      </c>
      <c r="V255" t="s">
        <v>160</v>
      </c>
    </row>
    <row r="256" spans="9:22" x14ac:dyDescent="0.45">
      <c r="I256" t="s">
        <v>188</v>
      </c>
      <c r="J256" t="s">
        <v>222</v>
      </c>
      <c r="K256">
        <v>0</v>
      </c>
      <c r="L256" t="s">
        <v>160</v>
      </c>
      <c r="N256" t="s">
        <v>198</v>
      </c>
      <c r="O256" t="s">
        <v>222</v>
      </c>
      <c r="P256">
        <v>1.1963138888610328E-2</v>
      </c>
      <c r="Q256" t="s">
        <v>160</v>
      </c>
      <c r="S256" t="s">
        <v>208</v>
      </c>
      <c r="T256" t="s">
        <v>222</v>
      </c>
      <c r="U256">
        <v>1.1963138888610328E-2</v>
      </c>
      <c r="V256" t="s">
        <v>160</v>
      </c>
    </row>
    <row r="257" spans="9:22" x14ac:dyDescent="0.45">
      <c r="I257" t="s">
        <v>188</v>
      </c>
      <c r="J257" t="s">
        <v>223</v>
      </c>
      <c r="K257">
        <v>0</v>
      </c>
      <c r="L257" t="s">
        <v>160</v>
      </c>
      <c r="N257" t="s">
        <v>198</v>
      </c>
      <c r="O257" t="s">
        <v>223</v>
      </c>
      <c r="P257">
        <v>2.4080301956438369E-3</v>
      </c>
      <c r="Q257" t="s">
        <v>160</v>
      </c>
      <c r="S257" t="s">
        <v>208</v>
      </c>
      <c r="T257" t="s">
        <v>223</v>
      </c>
      <c r="U257">
        <v>2.4080301956438369E-3</v>
      </c>
      <c r="V257" t="s">
        <v>160</v>
      </c>
    </row>
    <row r="258" spans="9:22" x14ac:dyDescent="0.45">
      <c r="I258" t="s">
        <v>188</v>
      </c>
      <c r="J258" t="s">
        <v>224</v>
      </c>
      <c r="K258">
        <v>6.7789931432189416E-3</v>
      </c>
      <c r="L258" t="s">
        <v>160</v>
      </c>
      <c r="N258" t="s">
        <v>198</v>
      </c>
      <c r="O258" t="s">
        <v>224</v>
      </c>
      <c r="P258">
        <v>2.3528229936837525E-2</v>
      </c>
      <c r="Q258" t="s">
        <v>160</v>
      </c>
      <c r="S258" t="s">
        <v>208</v>
      </c>
      <c r="T258" t="s">
        <v>224</v>
      </c>
      <c r="U258">
        <v>2.3528229936837525E-2</v>
      </c>
      <c r="V258" t="s">
        <v>160</v>
      </c>
    </row>
    <row r="259" spans="9:22" x14ac:dyDescent="0.45">
      <c r="I259" t="s">
        <v>188</v>
      </c>
      <c r="J259" t="s">
        <v>225</v>
      </c>
      <c r="K259">
        <v>0</v>
      </c>
      <c r="L259" t="s">
        <v>160</v>
      </c>
      <c r="N259" t="s">
        <v>198</v>
      </c>
      <c r="O259" t="s">
        <v>225</v>
      </c>
      <c r="P259">
        <v>1.2570733243986682E-2</v>
      </c>
      <c r="Q259" t="s">
        <v>160</v>
      </c>
      <c r="S259" t="s">
        <v>208</v>
      </c>
      <c r="T259" t="s">
        <v>225</v>
      </c>
      <c r="U259">
        <v>1.2570733243986682E-2</v>
      </c>
      <c r="V259" t="s">
        <v>160</v>
      </c>
    </row>
    <row r="260" spans="9:22" x14ac:dyDescent="0.45">
      <c r="I260" t="s">
        <v>188</v>
      </c>
      <c r="J260" t="s">
        <v>226</v>
      </c>
      <c r="K260">
        <v>0</v>
      </c>
      <c r="L260" t="s">
        <v>160</v>
      </c>
      <c r="N260" t="s">
        <v>198</v>
      </c>
      <c r="O260" t="s">
        <v>226</v>
      </c>
      <c r="P260">
        <v>2.1980906448304032E-3</v>
      </c>
      <c r="Q260" t="s">
        <v>160</v>
      </c>
      <c r="S260" t="s">
        <v>208</v>
      </c>
      <c r="T260" t="s">
        <v>226</v>
      </c>
      <c r="U260">
        <v>2.1980906448304032E-3</v>
      </c>
      <c r="V260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0CD9-068C-4229-A2AF-FDA5ABF93072}">
  <dimension ref="A9:AN36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157</v>
      </c>
      <c r="L10" t="s">
        <v>30</v>
      </c>
      <c r="N10" t="s">
        <v>13</v>
      </c>
      <c r="O10" t="s">
        <v>115</v>
      </c>
      <c r="P10" t="s">
        <v>157</v>
      </c>
      <c r="Q10" t="s">
        <v>30</v>
      </c>
      <c r="S10" t="s">
        <v>13</v>
      </c>
      <c r="T10" t="s">
        <v>115</v>
      </c>
      <c r="U10" t="s">
        <v>157</v>
      </c>
      <c r="V10" t="s">
        <v>30</v>
      </c>
      <c r="X10" t="s">
        <v>209</v>
      </c>
      <c r="Y10" t="s">
        <v>157</v>
      </c>
      <c r="Z10" t="s">
        <v>115</v>
      </c>
      <c r="AA10" t="s">
        <v>13</v>
      </c>
      <c r="AC10" t="s">
        <v>13</v>
      </c>
      <c r="AD10" t="s">
        <v>115</v>
      </c>
      <c r="AE10" t="s">
        <v>157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219</v>
      </c>
      <c r="G11" t="s">
        <v>146</v>
      </c>
      <c r="I11" t="s">
        <v>158</v>
      </c>
      <c r="J11" t="s">
        <v>159</v>
      </c>
      <c r="K11">
        <v>0</v>
      </c>
      <c r="L11" t="s">
        <v>160</v>
      </c>
      <c r="N11" t="s">
        <v>189</v>
      </c>
      <c r="O11" t="s">
        <v>159</v>
      </c>
      <c r="P11">
        <v>4.1155501762094072E-2</v>
      </c>
      <c r="Q11" t="s">
        <v>160</v>
      </c>
      <c r="S11" t="s">
        <v>199</v>
      </c>
      <c r="T11" t="s">
        <v>159</v>
      </c>
      <c r="U11">
        <v>4.1155501762094072E-2</v>
      </c>
      <c r="V11" t="s">
        <v>160</v>
      </c>
      <c r="X11">
        <v>3.5958904109589039E-2</v>
      </c>
      <c r="Y11">
        <v>5.5967978519752383E-3</v>
      </c>
      <c r="Z11" t="s">
        <v>159</v>
      </c>
      <c r="AA11" t="s">
        <v>25</v>
      </c>
      <c r="AC11" t="s">
        <v>22</v>
      </c>
      <c r="AD11" t="s">
        <v>159</v>
      </c>
      <c r="AE11">
        <v>3.1141394414270687E-2</v>
      </c>
      <c r="AG11" t="s">
        <v>96</v>
      </c>
      <c r="AH11" t="s">
        <v>159</v>
      </c>
      <c r="AI11">
        <v>5.2672297986369632E-2</v>
      </c>
      <c r="AK11">
        <v>2020</v>
      </c>
      <c r="AL11" t="s">
        <v>145</v>
      </c>
      <c r="AM11">
        <v>0.35170000000000007</v>
      </c>
      <c r="AN11" t="s">
        <v>218</v>
      </c>
    </row>
    <row r="12" spans="1:40" x14ac:dyDescent="0.45">
      <c r="C12" t="s">
        <v>149</v>
      </c>
      <c r="E12" t="s">
        <v>150</v>
      </c>
      <c r="G12" t="s">
        <v>146</v>
      </c>
      <c r="I12" t="s">
        <v>158</v>
      </c>
      <c r="J12" t="s">
        <v>161</v>
      </c>
      <c r="K12">
        <v>0</v>
      </c>
      <c r="L12" t="s">
        <v>160</v>
      </c>
      <c r="N12" t="s">
        <v>189</v>
      </c>
      <c r="O12" t="s">
        <v>161</v>
      </c>
      <c r="P12">
        <v>8.6781296194825015E-3</v>
      </c>
      <c r="Q12" t="s">
        <v>160</v>
      </c>
      <c r="S12" t="s">
        <v>199</v>
      </c>
      <c r="T12" t="s">
        <v>161</v>
      </c>
      <c r="U12">
        <v>8.6781296194825015E-3</v>
      </c>
      <c r="V12" t="s">
        <v>160</v>
      </c>
      <c r="X12">
        <v>7.1917808219178082E-3</v>
      </c>
      <c r="Y12">
        <v>3.6337418889690002E-3</v>
      </c>
      <c r="Z12" t="s">
        <v>161</v>
      </c>
      <c r="AA12" t="s">
        <v>25</v>
      </c>
      <c r="AC12" t="s">
        <v>22</v>
      </c>
      <c r="AD12" t="s">
        <v>161</v>
      </c>
      <c r="AE12">
        <v>6.4757562058127159E-3</v>
      </c>
      <c r="AG12" t="s">
        <v>96</v>
      </c>
      <c r="AH12" t="s">
        <v>161</v>
      </c>
      <c r="AI12">
        <v>3.6927882191096773E-2</v>
      </c>
      <c r="AK12">
        <v>2020</v>
      </c>
      <c r="AL12" t="s">
        <v>149</v>
      </c>
      <c r="AM12">
        <v>0.39240000000000003</v>
      </c>
      <c r="AN12" t="s">
        <v>218</v>
      </c>
    </row>
    <row r="13" spans="1:40" x14ac:dyDescent="0.45">
      <c r="C13" t="s">
        <v>151</v>
      </c>
      <c r="E13" t="s">
        <v>152</v>
      </c>
      <c r="G13" t="s">
        <v>146</v>
      </c>
      <c r="I13" t="s">
        <v>158</v>
      </c>
      <c r="J13" t="s">
        <v>162</v>
      </c>
      <c r="K13">
        <v>0</v>
      </c>
      <c r="L13" t="s">
        <v>160</v>
      </c>
      <c r="N13" t="s">
        <v>189</v>
      </c>
      <c r="O13" t="s">
        <v>162</v>
      </c>
      <c r="P13">
        <v>8.5617937894069268E-3</v>
      </c>
      <c r="Q13" t="s">
        <v>160</v>
      </c>
      <c r="S13" t="s">
        <v>199</v>
      </c>
      <c r="T13" t="s">
        <v>162</v>
      </c>
      <c r="U13">
        <v>8.5617937894069268E-3</v>
      </c>
      <c r="V13" t="s">
        <v>160</v>
      </c>
      <c r="X13">
        <v>7.1917808219178082E-3</v>
      </c>
      <c r="Y13">
        <v>1.0650622778012582E-2</v>
      </c>
      <c r="Z13" t="s">
        <v>162</v>
      </c>
      <c r="AA13" t="s">
        <v>25</v>
      </c>
      <c r="AC13" t="s">
        <v>22</v>
      </c>
      <c r="AD13" t="s">
        <v>162</v>
      </c>
      <c r="AE13">
        <v>7.5655476036153874E-3</v>
      </c>
      <c r="AG13" t="s">
        <v>96</v>
      </c>
      <c r="AH13" t="s">
        <v>162</v>
      </c>
      <c r="AI13">
        <v>6.1997147937536301E-2</v>
      </c>
      <c r="AK13">
        <v>2020</v>
      </c>
      <c r="AL13" t="s">
        <v>151</v>
      </c>
      <c r="AM13">
        <v>0.32618749999999996</v>
      </c>
      <c r="AN13" t="s">
        <v>218</v>
      </c>
    </row>
    <row r="14" spans="1:40" x14ac:dyDescent="0.45">
      <c r="C14" t="s">
        <v>153</v>
      </c>
      <c r="E14" t="s">
        <v>154</v>
      </c>
      <c r="G14" t="s">
        <v>146</v>
      </c>
      <c r="I14" t="s">
        <v>158</v>
      </c>
      <c r="J14" t="s">
        <v>163</v>
      </c>
      <c r="K14">
        <v>1.3063496508257534E-2</v>
      </c>
      <c r="L14" t="s">
        <v>160</v>
      </c>
      <c r="N14" t="s">
        <v>189</v>
      </c>
      <c r="O14" t="s">
        <v>163</v>
      </c>
      <c r="P14">
        <v>2.5597636527126131E-2</v>
      </c>
      <c r="Q14" t="s">
        <v>160</v>
      </c>
      <c r="S14" t="s">
        <v>199</v>
      </c>
      <c r="T14" t="s">
        <v>163</v>
      </c>
      <c r="U14">
        <v>2.5597636527126131E-2</v>
      </c>
      <c r="V14" t="s">
        <v>160</v>
      </c>
      <c r="X14">
        <v>2.1575342465753426E-2</v>
      </c>
      <c r="Y14">
        <v>3.0302065982149524E-2</v>
      </c>
      <c r="Z14" t="s">
        <v>163</v>
      </c>
      <c r="AA14" t="s">
        <v>25</v>
      </c>
      <c r="AC14" t="s">
        <v>22</v>
      </c>
      <c r="AD14" t="s">
        <v>163</v>
      </c>
      <c r="AE14">
        <v>2.6503715833064091E-2</v>
      </c>
      <c r="AG14" t="s">
        <v>96</v>
      </c>
      <c r="AH14" t="s">
        <v>163</v>
      </c>
      <c r="AI14">
        <v>7.1593979158625976E-2</v>
      </c>
      <c r="AK14">
        <v>2020</v>
      </c>
      <c r="AL14" t="s">
        <v>153</v>
      </c>
      <c r="AM14">
        <v>0.32336666666666664</v>
      </c>
      <c r="AN14" t="s">
        <v>218</v>
      </c>
    </row>
    <row r="15" spans="1:40" x14ac:dyDescent="0.45">
      <c r="C15" t="s">
        <v>220</v>
      </c>
      <c r="E15" t="s">
        <v>155</v>
      </c>
      <c r="G15" t="s">
        <v>146</v>
      </c>
      <c r="I15" t="s">
        <v>158</v>
      </c>
      <c r="J15" t="s">
        <v>164</v>
      </c>
      <c r="K15">
        <v>7.1098893381104949E-2</v>
      </c>
      <c r="L15" t="s">
        <v>160</v>
      </c>
      <c r="N15" t="s">
        <v>189</v>
      </c>
      <c r="O15" t="s">
        <v>164</v>
      </c>
      <c r="P15">
        <v>6.1051578719708649E-2</v>
      </c>
      <c r="Q15" t="s">
        <v>160</v>
      </c>
      <c r="S15" t="s">
        <v>199</v>
      </c>
      <c r="T15" t="s">
        <v>164</v>
      </c>
      <c r="U15">
        <v>6.1051578719708649E-2</v>
      </c>
      <c r="V15" t="s">
        <v>160</v>
      </c>
      <c r="X15">
        <v>5.0342465753424659E-2</v>
      </c>
      <c r="Y15">
        <v>7.041941177933024E-2</v>
      </c>
      <c r="Z15" t="s">
        <v>164</v>
      </c>
      <c r="AA15" t="s">
        <v>25</v>
      </c>
      <c r="AC15" t="s">
        <v>22</v>
      </c>
      <c r="AD15" t="s">
        <v>164</v>
      </c>
      <c r="AE15">
        <v>6.4146759691176489E-2</v>
      </c>
      <c r="AG15" t="s">
        <v>96</v>
      </c>
      <c r="AH15" t="s">
        <v>164</v>
      </c>
      <c r="AI15">
        <v>4.070554228691714E-2</v>
      </c>
      <c r="AK15">
        <v>2020</v>
      </c>
      <c r="AL15" t="s">
        <v>220</v>
      </c>
      <c r="AM15">
        <v>0.24210000000000001</v>
      </c>
      <c r="AN15" t="s">
        <v>218</v>
      </c>
    </row>
    <row r="16" spans="1:40" x14ac:dyDescent="0.45">
      <c r="E16" t="s">
        <v>229</v>
      </c>
      <c r="G16" t="s">
        <v>146</v>
      </c>
      <c r="I16" t="s">
        <v>158</v>
      </c>
      <c r="J16" t="s">
        <v>231</v>
      </c>
      <c r="K16">
        <v>2.4335131491943032E-3</v>
      </c>
      <c r="L16" t="s">
        <v>160</v>
      </c>
      <c r="N16" t="s">
        <v>189</v>
      </c>
      <c r="O16" t="s">
        <v>231</v>
      </c>
      <c r="P16">
        <v>5.3085890478889258E-2</v>
      </c>
      <c r="Q16" t="s">
        <v>160</v>
      </c>
      <c r="S16" t="s">
        <v>199</v>
      </c>
      <c r="T16" t="s">
        <v>231</v>
      </c>
      <c r="U16">
        <v>5.3085890478889258E-2</v>
      </c>
      <c r="V16" t="s">
        <v>160</v>
      </c>
      <c r="X16">
        <v>4.3150684931506852E-2</v>
      </c>
      <c r="Y16">
        <v>5.0120577778882736E-2</v>
      </c>
      <c r="Z16" t="s">
        <v>231</v>
      </c>
      <c r="AA16" t="s">
        <v>25</v>
      </c>
      <c r="AC16" t="s">
        <v>22</v>
      </c>
      <c r="AD16" t="s">
        <v>231</v>
      </c>
      <c r="AE16">
        <v>5.3016457443800583E-2</v>
      </c>
      <c r="AG16" t="s">
        <v>96</v>
      </c>
      <c r="AH16" t="s">
        <v>231</v>
      </c>
      <c r="AI16">
        <v>6.9971871066313751E-2</v>
      </c>
      <c r="AK16">
        <v>2021</v>
      </c>
      <c r="AL16" t="s">
        <v>145</v>
      </c>
      <c r="AM16">
        <v>0.33969999999999995</v>
      </c>
      <c r="AN16" t="s">
        <v>218</v>
      </c>
    </row>
    <row r="17" spans="5:40" x14ac:dyDescent="0.45">
      <c r="E17" t="s">
        <v>230</v>
      </c>
      <c r="G17" t="s">
        <v>146</v>
      </c>
      <c r="I17" t="s">
        <v>158</v>
      </c>
      <c r="J17" t="s">
        <v>232</v>
      </c>
      <c r="K17">
        <v>0</v>
      </c>
      <c r="L17" t="s">
        <v>160</v>
      </c>
      <c r="N17" t="s">
        <v>189</v>
      </c>
      <c r="O17" t="s">
        <v>232</v>
      </c>
      <c r="P17">
        <v>7.7621946437447849E-3</v>
      </c>
      <c r="Q17" t="s">
        <v>160</v>
      </c>
      <c r="S17" t="s">
        <v>199</v>
      </c>
      <c r="T17" t="s">
        <v>232</v>
      </c>
      <c r="U17">
        <v>7.7621946437447849E-3</v>
      </c>
      <c r="V17" t="s">
        <v>160</v>
      </c>
      <c r="X17">
        <v>7.1917808219178082E-3</v>
      </c>
      <c r="Y17">
        <v>1.8795216667081035E-3</v>
      </c>
      <c r="Z17" t="s">
        <v>232</v>
      </c>
      <c r="AA17" t="s">
        <v>25</v>
      </c>
      <c r="AC17" t="s">
        <v>22</v>
      </c>
      <c r="AD17" t="s">
        <v>232</v>
      </c>
      <c r="AE17">
        <v>7.0114123586230955E-3</v>
      </c>
      <c r="AG17" t="s">
        <v>96</v>
      </c>
      <c r="AH17" t="s">
        <v>232</v>
      </c>
      <c r="AI17">
        <v>2.7108783097258504E-2</v>
      </c>
      <c r="AK17">
        <v>2021</v>
      </c>
      <c r="AL17" t="s">
        <v>149</v>
      </c>
      <c r="AM17">
        <v>0.31530000000000002</v>
      </c>
      <c r="AN17" t="s">
        <v>218</v>
      </c>
    </row>
    <row r="18" spans="5:40" x14ac:dyDescent="0.45">
      <c r="I18" t="s">
        <v>158</v>
      </c>
      <c r="J18" t="s">
        <v>165</v>
      </c>
      <c r="K18">
        <v>0</v>
      </c>
      <c r="L18" t="s">
        <v>160</v>
      </c>
      <c r="N18" t="s">
        <v>189</v>
      </c>
      <c r="O18" t="s">
        <v>165</v>
      </c>
      <c r="P18">
        <v>1.7018012852012661E-2</v>
      </c>
      <c r="Q18" t="s">
        <v>160</v>
      </c>
      <c r="S18" t="s">
        <v>199</v>
      </c>
      <c r="T18" t="s">
        <v>165</v>
      </c>
      <c r="U18">
        <v>1.7018012852012661E-2</v>
      </c>
      <c r="V18" t="s">
        <v>160</v>
      </c>
      <c r="X18">
        <v>1.0273972602739725E-2</v>
      </c>
      <c r="Y18">
        <v>1.599085100564354E-3</v>
      </c>
      <c r="Z18" t="s">
        <v>165</v>
      </c>
      <c r="AA18" t="s">
        <v>25</v>
      </c>
      <c r="AC18" t="s">
        <v>22</v>
      </c>
      <c r="AD18" t="s">
        <v>165</v>
      </c>
      <c r="AE18">
        <v>8.3317502367068665E-3</v>
      </c>
      <c r="AG18" t="s">
        <v>96</v>
      </c>
      <c r="AH18" t="s">
        <v>165</v>
      </c>
      <c r="AI18">
        <v>6.0593287124430573E-2</v>
      </c>
      <c r="AK18">
        <v>2021</v>
      </c>
      <c r="AL18" t="s">
        <v>151</v>
      </c>
      <c r="AM18">
        <v>0.31061250000000001</v>
      </c>
      <c r="AN18" t="s">
        <v>218</v>
      </c>
    </row>
    <row r="19" spans="5:40" x14ac:dyDescent="0.45">
      <c r="I19" t="s">
        <v>158</v>
      </c>
      <c r="J19" t="s">
        <v>166</v>
      </c>
      <c r="K19">
        <v>0</v>
      </c>
      <c r="L19" t="s">
        <v>160</v>
      </c>
      <c r="N19" t="s">
        <v>189</v>
      </c>
      <c r="O19" t="s">
        <v>166</v>
      </c>
      <c r="P19">
        <v>3.416384583744706E-3</v>
      </c>
      <c r="Q19" t="s">
        <v>160</v>
      </c>
      <c r="S19" t="s">
        <v>199</v>
      </c>
      <c r="T19" t="s">
        <v>166</v>
      </c>
      <c r="U19">
        <v>3.416384583744706E-3</v>
      </c>
      <c r="V19" t="s">
        <v>160</v>
      </c>
      <c r="X19">
        <v>2.054794520547945E-3</v>
      </c>
      <c r="Y19">
        <v>1.0382119682768567E-3</v>
      </c>
      <c r="Z19" t="s">
        <v>166</v>
      </c>
      <c r="AA19" t="s">
        <v>25</v>
      </c>
      <c r="AC19" t="s">
        <v>22</v>
      </c>
      <c r="AD19" t="s">
        <v>166</v>
      </c>
      <c r="AE19">
        <v>1.7364280853536004E-3</v>
      </c>
      <c r="AG19" t="s">
        <v>96</v>
      </c>
      <c r="AH19" t="s">
        <v>166</v>
      </c>
      <c r="AI19">
        <v>3.9740180945412984E-2</v>
      </c>
      <c r="AK19">
        <v>2021</v>
      </c>
      <c r="AL19" t="s">
        <v>153</v>
      </c>
      <c r="AM19">
        <v>0.1870333333333333</v>
      </c>
      <c r="AN19" t="s">
        <v>218</v>
      </c>
    </row>
    <row r="20" spans="5:40" x14ac:dyDescent="0.45">
      <c r="I20" t="s">
        <v>158</v>
      </c>
      <c r="J20" t="s">
        <v>167</v>
      </c>
      <c r="K20">
        <v>0</v>
      </c>
      <c r="L20" t="s">
        <v>160</v>
      </c>
      <c r="N20" t="s">
        <v>189</v>
      </c>
      <c r="O20" t="s">
        <v>167</v>
      </c>
      <c r="P20">
        <v>3.4737944620407924E-3</v>
      </c>
      <c r="Q20" t="s">
        <v>160</v>
      </c>
      <c r="S20" t="s">
        <v>199</v>
      </c>
      <c r="T20" t="s">
        <v>167</v>
      </c>
      <c r="U20">
        <v>3.4737944620407924E-3</v>
      </c>
      <c r="V20" t="s">
        <v>160</v>
      </c>
      <c r="X20">
        <v>2.054794520547945E-3</v>
      </c>
      <c r="Y20">
        <v>3.0430350794321669E-3</v>
      </c>
      <c r="Z20" t="s">
        <v>167</v>
      </c>
      <c r="AA20" t="s">
        <v>25</v>
      </c>
      <c r="AC20" t="s">
        <v>22</v>
      </c>
      <c r="AD20" t="s">
        <v>167</v>
      </c>
      <c r="AE20">
        <v>2.0894785046234421E-3</v>
      </c>
      <c r="AG20" t="s">
        <v>96</v>
      </c>
      <c r="AH20" t="s">
        <v>167</v>
      </c>
      <c r="AI20">
        <v>6.3477808763057197E-2</v>
      </c>
      <c r="AK20">
        <v>2021</v>
      </c>
      <c r="AL20" t="s">
        <v>220</v>
      </c>
      <c r="AM20">
        <v>0.2074</v>
      </c>
      <c r="AN20" t="s">
        <v>218</v>
      </c>
    </row>
    <row r="21" spans="5:40" x14ac:dyDescent="0.45">
      <c r="I21" t="s">
        <v>158</v>
      </c>
      <c r="J21" t="s">
        <v>168</v>
      </c>
      <c r="K21">
        <v>7.566776763329776E-3</v>
      </c>
      <c r="L21" t="s">
        <v>160</v>
      </c>
      <c r="N21" t="s">
        <v>189</v>
      </c>
      <c r="O21" t="s">
        <v>168</v>
      </c>
      <c r="P21">
        <v>1.0335361629185909E-2</v>
      </c>
      <c r="Q21" t="s">
        <v>160</v>
      </c>
      <c r="S21" t="s">
        <v>199</v>
      </c>
      <c r="T21" t="s">
        <v>168</v>
      </c>
      <c r="U21">
        <v>1.0335361629185909E-2</v>
      </c>
      <c r="V21" t="s">
        <v>160</v>
      </c>
      <c r="X21">
        <v>6.1643835616438354E-3</v>
      </c>
      <c r="Y21">
        <v>8.6577331377570062E-3</v>
      </c>
      <c r="Z21" t="s">
        <v>168</v>
      </c>
      <c r="AA21" t="s">
        <v>25</v>
      </c>
      <c r="AC21" t="s">
        <v>22</v>
      </c>
      <c r="AD21" t="s">
        <v>168</v>
      </c>
      <c r="AE21">
        <v>7.3624547759511185E-3</v>
      </c>
      <c r="AG21" t="s">
        <v>96</v>
      </c>
      <c r="AH21" t="s">
        <v>168</v>
      </c>
      <c r="AI21">
        <v>7.3457550727829002E-2</v>
      </c>
      <c r="AK21">
        <v>2022</v>
      </c>
      <c r="AL21" t="s">
        <v>145</v>
      </c>
      <c r="AM21">
        <v>0.32436666666666669</v>
      </c>
      <c r="AN21" t="s">
        <v>218</v>
      </c>
    </row>
    <row r="22" spans="5:40" x14ac:dyDescent="0.45">
      <c r="I22" t="s">
        <v>158</v>
      </c>
      <c r="J22" t="s">
        <v>169</v>
      </c>
      <c r="K22">
        <v>2.9886712493070317E-2</v>
      </c>
      <c r="L22" t="s">
        <v>160</v>
      </c>
      <c r="N22" t="s">
        <v>189</v>
      </c>
      <c r="O22" t="s">
        <v>169</v>
      </c>
      <c r="P22">
        <v>2.8912880938153154E-2</v>
      </c>
      <c r="Q22" t="s">
        <v>160</v>
      </c>
      <c r="S22" t="s">
        <v>199</v>
      </c>
      <c r="T22" t="s">
        <v>169</v>
      </c>
      <c r="U22">
        <v>2.8912880938153154E-2</v>
      </c>
      <c r="V22" t="s">
        <v>160</v>
      </c>
      <c r="X22">
        <v>1.4383561643835616E-2</v>
      </c>
      <c r="Y22">
        <v>2.0119831936951497E-2</v>
      </c>
      <c r="Z22" t="s">
        <v>169</v>
      </c>
      <c r="AA22" t="s">
        <v>25</v>
      </c>
      <c r="AC22" t="s">
        <v>22</v>
      </c>
      <c r="AD22" t="s">
        <v>169</v>
      </c>
      <c r="AE22">
        <v>1.7659818399871397E-2</v>
      </c>
      <c r="AG22" t="s">
        <v>96</v>
      </c>
      <c r="AH22" t="s">
        <v>169</v>
      </c>
      <c r="AI22">
        <v>5.2326656879607469E-2</v>
      </c>
      <c r="AK22">
        <v>2022</v>
      </c>
      <c r="AL22" t="s">
        <v>149</v>
      </c>
      <c r="AM22">
        <v>0.28210000000000002</v>
      </c>
      <c r="AN22" t="s">
        <v>218</v>
      </c>
    </row>
    <row r="23" spans="5:40" x14ac:dyDescent="0.45">
      <c r="I23" t="s">
        <v>158</v>
      </c>
      <c r="J23" t="s">
        <v>233</v>
      </c>
      <c r="K23">
        <v>2.3442299612880676E-3</v>
      </c>
      <c r="L23" t="s">
        <v>160</v>
      </c>
      <c r="N23" t="s">
        <v>189</v>
      </c>
      <c r="O23" t="s">
        <v>233</v>
      </c>
      <c r="P23">
        <v>2.5782480190125055E-2</v>
      </c>
      <c r="Q23" t="s">
        <v>160</v>
      </c>
      <c r="S23" t="s">
        <v>199</v>
      </c>
      <c r="T23" t="s">
        <v>233</v>
      </c>
      <c r="U23">
        <v>2.5782480190125055E-2</v>
      </c>
      <c r="V23" t="s">
        <v>160</v>
      </c>
      <c r="X23">
        <v>1.2328767123287671E-2</v>
      </c>
      <c r="Y23">
        <v>1.4320165079680784E-2</v>
      </c>
      <c r="Z23" t="s">
        <v>233</v>
      </c>
      <c r="AA23" t="s">
        <v>25</v>
      </c>
      <c r="AC23" t="s">
        <v>22</v>
      </c>
      <c r="AD23" t="s">
        <v>233</v>
      </c>
      <c r="AE23">
        <v>1.4611232257323022E-2</v>
      </c>
      <c r="AG23" t="s">
        <v>96</v>
      </c>
      <c r="AH23" t="s">
        <v>233</v>
      </c>
      <c r="AI23">
        <v>8.0017809480957158E-2</v>
      </c>
      <c r="AK23">
        <v>2022</v>
      </c>
      <c r="AL23" t="s">
        <v>151</v>
      </c>
      <c r="AM23">
        <v>0.24274999999999999</v>
      </c>
      <c r="AN23" t="s">
        <v>218</v>
      </c>
    </row>
    <row r="24" spans="5:40" x14ac:dyDescent="0.45">
      <c r="I24" t="s">
        <v>158</v>
      </c>
      <c r="J24" t="s">
        <v>234</v>
      </c>
      <c r="K24">
        <v>0</v>
      </c>
      <c r="L24" t="s">
        <v>160</v>
      </c>
      <c r="N24" t="s">
        <v>189</v>
      </c>
      <c r="O24" t="s">
        <v>234</v>
      </c>
      <c r="P24">
        <v>3.7269722542967879E-3</v>
      </c>
      <c r="Q24" t="s">
        <v>160</v>
      </c>
      <c r="S24" t="s">
        <v>199</v>
      </c>
      <c r="T24" t="s">
        <v>234</v>
      </c>
      <c r="U24">
        <v>3.7269722542967879E-3</v>
      </c>
      <c r="V24" t="s">
        <v>160</v>
      </c>
      <c r="X24">
        <v>2.054794520547945E-3</v>
      </c>
      <c r="Y24">
        <v>5.3700619048802935E-4</v>
      </c>
      <c r="Z24" t="s">
        <v>234</v>
      </c>
      <c r="AA24" t="s">
        <v>25</v>
      </c>
      <c r="AC24" t="s">
        <v>22</v>
      </c>
      <c r="AD24" t="s">
        <v>234</v>
      </c>
      <c r="AE24">
        <v>1.8797004298796826E-3</v>
      </c>
      <c r="AG24" t="s">
        <v>96</v>
      </c>
      <c r="AH24" t="s">
        <v>234</v>
      </c>
      <c r="AI24">
        <v>2.6263652527305004E-2</v>
      </c>
      <c r="AK24">
        <v>2022</v>
      </c>
      <c r="AL24" t="s">
        <v>153</v>
      </c>
      <c r="AM24">
        <v>0.22900000000000001</v>
      </c>
      <c r="AN24" t="s">
        <v>218</v>
      </c>
    </row>
    <row r="25" spans="5:40" x14ac:dyDescent="0.45">
      <c r="I25" t="s">
        <v>158</v>
      </c>
      <c r="J25" t="s">
        <v>170</v>
      </c>
      <c r="K25">
        <v>0</v>
      </c>
      <c r="L25" t="s">
        <v>160</v>
      </c>
      <c r="N25" t="s">
        <v>189</v>
      </c>
      <c r="O25" t="s">
        <v>170</v>
      </c>
      <c r="P25">
        <v>7.6240706827950491E-2</v>
      </c>
      <c r="Q25" t="s">
        <v>160</v>
      </c>
      <c r="S25" t="s">
        <v>199</v>
      </c>
      <c r="T25" t="s">
        <v>170</v>
      </c>
      <c r="U25">
        <v>7.6240706827950491E-2</v>
      </c>
      <c r="V25" t="s">
        <v>160</v>
      </c>
      <c r="X25">
        <v>0.11244292237442922</v>
      </c>
      <c r="Y25">
        <v>1.750109804506543E-2</v>
      </c>
      <c r="Z25" t="s">
        <v>170</v>
      </c>
      <c r="AA25" t="s">
        <v>25</v>
      </c>
      <c r="AC25" t="s">
        <v>22</v>
      </c>
      <c r="AD25" t="s">
        <v>170</v>
      </c>
      <c r="AE25">
        <v>7.7154975208739374E-2</v>
      </c>
      <c r="AG25" t="s">
        <v>96</v>
      </c>
      <c r="AH25" t="s">
        <v>170</v>
      </c>
      <c r="AI25">
        <v>0.20593654588648547</v>
      </c>
      <c r="AK25">
        <v>2022</v>
      </c>
      <c r="AL25" t="s">
        <v>220</v>
      </c>
      <c r="AM25">
        <v>0.24890000000000001</v>
      </c>
      <c r="AN25" t="s">
        <v>218</v>
      </c>
    </row>
    <row r="26" spans="5:40" x14ac:dyDescent="0.45">
      <c r="I26" t="s">
        <v>158</v>
      </c>
      <c r="J26" t="s">
        <v>171</v>
      </c>
      <c r="K26">
        <v>8.2861854494402434E-3</v>
      </c>
      <c r="L26" t="s">
        <v>160</v>
      </c>
      <c r="N26" t="s">
        <v>189</v>
      </c>
      <c r="O26" t="s">
        <v>171</v>
      </c>
      <c r="P26">
        <v>1.4825650169229581E-2</v>
      </c>
      <c r="Q26" t="s">
        <v>160</v>
      </c>
      <c r="S26" t="s">
        <v>199</v>
      </c>
      <c r="T26" t="s">
        <v>171</v>
      </c>
      <c r="U26">
        <v>1.4825650169229581E-2</v>
      </c>
      <c r="V26" t="s">
        <v>160</v>
      </c>
      <c r="X26">
        <v>2.2488584474885845E-2</v>
      </c>
      <c r="Y26">
        <v>1.1362653208363377E-2</v>
      </c>
      <c r="Z26" t="s">
        <v>171</v>
      </c>
      <c r="AA26" t="s">
        <v>25</v>
      </c>
      <c r="AC26" t="s">
        <v>22</v>
      </c>
      <c r="AD26" t="s">
        <v>171</v>
      </c>
      <c r="AE26">
        <v>1.6076452155147639E-2</v>
      </c>
      <c r="AG26" t="s">
        <v>96</v>
      </c>
      <c r="AH26" t="s">
        <v>171</v>
      </c>
      <c r="AI26">
        <v>0.14753689866995057</v>
      </c>
      <c r="AK26">
        <v>2025</v>
      </c>
      <c r="AL26" t="s">
        <v>145</v>
      </c>
      <c r="AM26">
        <v>0.36503333333333332</v>
      </c>
      <c r="AN26" t="s">
        <v>218</v>
      </c>
    </row>
    <row r="27" spans="5:40" x14ac:dyDescent="0.45">
      <c r="I27" t="s">
        <v>158</v>
      </c>
      <c r="J27" t="s">
        <v>172</v>
      </c>
      <c r="K27">
        <v>2.5766723914800185E-2</v>
      </c>
      <c r="L27" t="s">
        <v>160</v>
      </c>
      <c r="N27" t="s">
        <v>189</v>
      </c>
      <c r="O27" t="s">
        <v>172</v>
      </c>
      <c r="P27">
        <v>1.418147523419854E-2</v>
      </c>
      <c r="Q27" t="s">
        <v>160</v>
      </c>
      <c r="S27" t="s">
        <v>199</v>
      </c>
      <c r="T27" t="s">
        <v>172</v>
      </c>
      <c r="U27">
        <v>1.418147523419854E-2</v>
      </c>
      <c r="V27" t="s">
        <v>160</v>
      </c>
      <c r="X27">
        <v>2.2488584474885845E-2</v>
      </c>
      <c r="Y27">
        <v>3.3304328369340927E-2</v>
      </c>
      <c r="Z27" t="s">
        <v>172</v>
      </c>
      <c r="AA27" t="s">
        <v>25</v>
      </c>
      <c r="AC27" t="s">
        <v>22</v>
      </c>
      <c r="AD27" t="s">
        <v>172</v>
      </c>
      <c r="AE27">
        <v>1.8510846905672708E-2</v>
      </c>
      <c r="AG27" t="s">
        <v>96</v>
      </c>
      <c r="AH27" t="s">
        <v>172</v>
      </c>
      <c r="AI27">
        <v>0.22062770634317252</v>
      </c>
      <c r="AK27">
        <v>2025</v>
      </c>
      <c r="AL27" t="s">
        <v>149</v>
      </c>
      <c r="AM27">
        <v>0.36420000000000002</v>
      </c>
      <c r="AN27" t="s">
        <v>218</v>
      </c>
    </row>
    <row r="28" spans="5:40" x14ac:dyDescent="0.45">
      <c r="I28" t="s">
        <v>158</v>
      </c>
      <c r="J28" t="s">
        <v>173</v>
      </c>
      <c r="K28">
        <v>0.17585509295287094</v>
      </c>
      <c r="L28" t="s">
        <v>160</v>
      </c>
      <c r="N28" t="s">
        <v>189</v>
      </c>
      <c r="O28" t="s">
        <v>173</v>
      </c>
      <c r="P28">
        <v>4.4937148390859535E-2</v>
      </c>
      <c r="Q28" t="s">
        <v>160</v>
      </c>
      <c r="S28" t="s">
        <v>199</v>
      </c>
      <c r="T28" t="s">
        <v>173</v>
      </c>
      <c r="U28">
        <v>4.4937148390859535E-2</v>
      </c>
      <c r="V28" t="s">
        <v>160</v>
      </c>
      <c r="X28">
        <v>6.7465753424657535E-2</v>
      </c>
      <c r="Y28">
        <v>9.4754079341007241E-2</v>
      </c>
      <c r="Z28" t="s">
        <v>173</v>
      </c>
      <c r="AA28" t="s">
        <v>25</v>
      </c>
      <c r="AC28" t="s">
        <v>22</v>
      </c>
      <c r="AD28" t="s">
        <v>173</v>
      </c>
      <c r="AE28">
        <v>6.7400535778455672E-2</v>
      </c>
      <c r="AG28" t="s">
        <v>96</v>
      </c>
      <c r="AH28" t="s">
        <v>173</v>
      </c>
      <c r="AI28">
        <v>0.21433396722826159</v>
      </c>
      <c r="AK28">
        <v>2025</v>
      </c>
      <c r="AL28" t="s">
        <v>151</v>
      </c>
      <c r="AM28">
        <v>0.30729999999999996</v>
      </c>
      <c r="AN28" t="s">
        <v>218</v>
      </c>
    </row>
    <row r="29" spans="5:40" x14ac:dyDescent="0.45">
      <c r="I29" t="s">
        <v>158</v>
      </c>
      <c r="J29" t="s">
        <v>174</v>
      </c>
      <c r="K29">
        <v>0.47446761747755895</v>
      </c>
      <c r="L29" t="s">
        <v>160</v>
      </c>
      <c r="N29" t="s">
        <v>189</v>
      </c>
      <c r="O29" t="s">
        <v>174</v>
      </c>
      <c r="P29">
        <v>0.13813506798238573</v>
      </c>
      <c r="Q29" t="s">
        <v>160</v>
      </c>
      <c r="S29" t="s">
        <v>199</v>
      </c>
      <c r="T29" t="s">
        <v>174</v>
      </c>
      <c r="U29">
        <v>0.13813506798238573</v>
      </c>
      <c r="V29" t="s">
        <v>160</v>
      </c>
      <c r="X29">
        <v>0.1574200913242009</v>
      </c>
      <c r="Y29">
        <v>0.22020038286552474</v>
      </c>
      <c r="Z29" t="s">
        <v>174</v>
      </c>
      <c r="AA29" t="s">
        <v>25</v>
      </c>
      <c r="AC29" t="s">
        <v>22</v>
      </c>
      <c r="AD29" t="s">
        <v>174</v>
      </c>
      <c r="AE29">
        <v>0.16693613984269839</v>
      </c>
      <c r="AG29" t="s">
        <v>96</v>
      </c>
      <c r="AH29" t="s">
        <v>174</v>
      </c>
      <c r="AI29">
        <v>0.15578379663564457</v>
      </c>
      <c r="AK29">
        <v>2025</v>
      </c>
      <c r="AL29" t="s">
        <v>153</v>
      </c>
      <c r="AM29">
        <v>0.26766666666666666</v>
      </c>
      <c r="AN29" t="s">
        <v>218</v>
      </c>
    </row>
    <row r="30" spans="5:40" x14ac:dyDescent="0.45">
      <c r="I30" t="s">
        <v>158</v>
      </c>
      <c r="J30" t="s">
        <v>235</v>
      </c>
      <c r="K30">
        <v>7.5672142133041562E-2</v>
      </c>
      <c r="L30" t="s">
        <v>160</v>
      </c>
      <c r="N30" t="s">
        <v>189</v>
      </c>
      <c r="O30" t="s">
        <v>235</v>
      </c>
      <c r="P30">
        <v>0.12839206135976083</v>
      </c>
      <c r="Q30" t="s">
        <v>160</v>
      </c>
      <c r="S30" t="s">
        <v>199</v>
      </c>
      <c r="T30" t="s">
        <v>235</v>
      </c>
      <c r="U30">
        <v>0.12839206135976083</v>
      </c>
      <c r="V30" t="s">
        <v>160</v>
      </c>
      <c r="X30">
        <v>0.13493150684931507</v>
      </c>
      <c r="Y30">
        <v>0.15672625114983968</v>
      </c>
      <c r="Z30" t="s">
        <v>235</v>
      </c>
      <c r="AA30" t="s">
        <v>25</v>
      </c>
      <c r="AC30" t="s">
        <v>22</v>
      </c>
      <c r="AD30" t="s">
        <v>235</v>
      </c>
      <c r="AE30">
        <v>0.13775976898201678</v>
      </c>
      <c r="AG30" t="s">
        <v>96</v>
      </c>
      <c r="AH30" t="s">
        <v>235</v>
      </c>
      <c r="AI30">
        <v>0.18698901916725985</v>
      </c>
      <c r="AK30">
        <v>2025</v>
      </c>
      <c r="AL30" t="s">
        <v>220</v>
      </c>
      <c r="AM30">
        <v>0.29809999999999998</v>
      </c>
      <c r="AN30" t="s">
        <v>218</v>
      </c>
    </row>
    <row r="31" spans="5:40" x14ac:dyDescent="0.45">
      <c r="I31" t="s">
        <v>158</v>
      </c>
      <c r="J31" t="s">
        <v>236</v>
      </c>
      <c r="K31">
        <v>0</v>
      </c>
      <c r="L31" t="s">
        <v>160</v>
      </c>
      <c r="N31" t="s">
        <v>189</v>
      </c>
      <c r="O31" t="s">
        <v>236</v>
      </c>
      <c r="P31">
        <v>1.4915566188731886E-2</v>
      </c>
      <c r="Q31" t="s">
        <v>160</v>
      </c>
      <c r="S31" t="s">
        <v>199</v>
      </c>
      <c r="T31" t="s">
        <v>236</v>
      </c>
      <c r="U31">
        <v>1.4915566188731886E-2</v>
      </c>
      <c r="V31" t="s">
        <v>160</v>
      </c>
      <c r="X31">
        <v>2.2488584474885845E-2</v>
      </c>
      <c r="Y31">
        <v>5.8772344181189885E-3</v>
      </c>
      <c r="Z31" t="s">
        <v>236</v>
      </c>
      <c r="AA31" t="s">
        <v>25</v>
      </c>
      <c r="AC31" t="s">
        <v>22</v>
      </c>
      <c r="AD31" t="s">
        <v>236</v>
      </c>
      <c r="AE31">
        <v>1.8854016473595921E-2</v>
      </c>
      <c r="AG31" t="s">
        <v>96</v>
      </c>
      <c r="AH31" t="s">
        <v>236</v>
      </c>
      <c r="AI31">
        <v>0.13544204976775487</v>
      </c>
      <c r="AK31">
        <v>2026</v>
      </c>
      <c r="AL31" t="s">
        <v>145</v>
      </c>
      <c r="AM31">
        <v>0.37803333333333339</v>
      </c>
      <c r="AN31" t="s">
        <v>218</v>
      </c>
    </row>
    <row r="32" spans="5:40" x14ac:dyDescent="0.45">
      <c r="I32" t="s">
        <v>158</v>
      </c>
      <c r="J32" t="s">
        <v>175</v>
      </c>
      <c r="K32">
        <v>0</v>
      </c>
      <c r="L32" t="s">
        <v>160</v>
      </c>
      <c r="N32" t="s">
        <v>189</v>
      </c>
      <c r="O32" t="s">
        <v>175</v>
      </c>
      <c r="P32">
        <v>4.5050939865147251E-2</v>
      </c>
      <c r="Q32" t="s">
        <v>160</v>
      </c>
      <c r="S32" t="s">
        <v>199</v>
      </c>
      <c r="T32" t="s">
        <v>175</v>
      </c>
      <c r="U32">
        <v>4.5050939865147251E-2</v>
      </c>
      <c r="V32" t="s">
        <v>160</v>
      </c>
      <c r="X32">
        <v>4.509132420091324E-2</v>
      </c>
      <c r="Y32">
        <v>7.0182068302546644E-3</v>
      </c>
      <c r="Z32" t="s">
        <v>175</v>
      </c>
      <c r="AA32" t="s">
        <v>25</v>
      </c>
      <c r="AC32" t="s">
        <v>22</v>
      </c>
      <c r="AD32" t="s">
        <v>175</v>
      </c>
      <c r="AE32">
        <v>3.4255833790178845E-2</v>
      </c>
      <c r="AG32" t="s">
        <v>96</v>
      </c>
      <c r="AH32" t="s">
        <v>175</v>
      </c>
      <c r="AI32">
        <v>0.10639062012207479</v>
      </c>
      <c r="AK32">
        <v>2026</v>
      </c>
      <c r="AL32" t="s">
        <v>149</v>
      </c>
      <c r="AM32">
        <v>0.40710000000000002</v>
      </c>
      <c r="AN32" t="s">
        <v>218</v>
      </c>
    </row>
    <row r="33" spans="9:40" x14ac:dyDescent="0.45">
      <c r="I33" t="s">
        <v>158</v>
      </c>
      <c r="J33" t="s">
        <v>176</v>
      </c>
      <c r="K33">
        <v>0</v>
      </c>
      <c r="L33" t="s">
        <v>160</v>
      </c>
      <c r="N33" t="s">
        <v>189</v>
      </c>
      <c r="O33" t="s">
        <v>176</v>
      </c>
      <c r="P33">
        <v>8.8870433484291769E-3</v>
      </c>
      <c r="Q33" t="s">
        <v>160</v>
      </c>
      <c r="S33" t="s">
        <v>199</v>
      </c>
      <c r="T33" t="s">
        <v>176</v>
      </c>
      <c r="U33">
        <v>8.8870433484291769E-3</v>
      </c>
      <c r="V33" t="s">
        <v>160</v>
      </c>
      <c r="X33">
        <v>9.0182648401826489E-3</v>
      </c>
      <c r="Y33">
        <v>4.5565969718817621E-3</v>
      </c>
      <c r="Z33" t="s">
        <v>176</v>
      </c>
      <c r="AA33" t="s">
        <v>25</v>
      </c>
      <c r="AC33" t="s">
        <v>22</v>
      </c>
      <c r="AD33" t="s">
        <v>176</v>
      </c>
      <c r="AE33">
        <v>7.0469691286152141E-3</v>
      </c>
      <c r="AG33" t="s">
        <v>96</v>
      </c>
      <c r="AH33" t="s">
        <v>176</v>
      </c>
      <c r="AI33">
        <v>9.2647963367960662E-2</v>
      </c>
      <c r="AK33">
        <v>2026</v>
      </c>
      <c r="AL33" t="s">
        <v>151</v>
      </c>
      <c r="AM33">
        <v>0.30760000000000004</v>
      </c>
      <c r="AN33" t="s">
        <v>218</v>
      </c>
    </row>
    <row r="34" spans="9:40" x14ac:dyDescent="0.45">
      <c r="I34" t="s">
        <v>158</v>
      </c>
      <c r="J34" t="s">
        <v>177</v>
      </c>
      <c r="K34">
        <v>0</v>
      </c>
      <c r="L34" t="s">
        <v>160</v>
      </c>
      <c r="N34" t="s">
        <v>189</v>
      </c>
      <c r="O34" t="s">
        <v>177</v>
      </c>
      <c r="P34">
        <v>8.6839737562235016E-3</v>
      </c>
      <c r="Q34" t="s">
        <v>160</v>
      </c>
      <c r="S34" t="s">
        <v>199</v>
      </c>
      <c r="T34" t="s">
        <v>177</v>
      </c>
      <c r="U34">
        <v>8.6839737562235016E-3</v>
      </c>
      <c r="V34" t="s">
        <v>160</v>
      </c>
      <c r="X34">
        <v>9.0182648401826489E-3</v>
      </c>
      <c r="Y34">
        <v>1.3355542848618951E-2</v>
      </c>
      <c r="Z34" t="s">
        <v>177</v>
      </c>
      <c r="AA34" t="s">
        <v>25</v>
      </c>
      <c r="AC34" t="s">
        <v>22</v>
      </c>
      <c r="AD34" t="s">
        <v>177</v>
      </c>
      <c r="AE34">
        <v>8.2447373298355844E-3</v>
      </c>
      <c r="AG34" t="s">
        <v>96</v>
      </c>
      <c r="AH34" t="s">
        <v>177</v>
      </c>
      <c r="AI34">
        <v>0.14421230420397491</v>
      </c>
      <c r="AK34">
        <v>2026</v>
      </c>
      <c r="AL34" t="s">
        <v>153</v>
      </c>
      <c r="AM34">
        <v>0.28956666666666669</v>
      </c>
      <c r="AN34" t="s">
        <v>218</v>
      </c>
    </row>
    <row r="35" spans="9:40" x14ac:dyDescent="0.45">
      <c r="I35" t="s">
        <v>158</v>
      </c>
      <c r="J35" t="s">
        <v>178</v>
      </c>
      <c r="K35">
        <v>1.9547346408393257E-2</v>
      </c>
      <c r="L35" t="s">
        <v>160</v>
      </c>
      <c r="N35" t="s">
        <v>189</v>
      </c>
      <c r="O35" t="s">
        <v>178</v>
      </c>
      <c r="P35">
        <v>2.5738214822087796E-2</v>
      </c>
      <c r="Q35" t="s">
        <v>160</v>
      </c>
      <c r="S35" t="s">
        <v>199</v>
      </c>
      <c r="T35" t="s">
        <v>178</v>
      </c>
      <c r="U35">
        <v>2.5738214822087796E-2</v>
      </c>
      <c r="V35" t="s">
        <v>160</v>
      </c>
      <c r="X35">
        <v>2.7054794520547945E-2</v>
      </c>
      <c r="Y35">
        <v>3.7997828771266867E-2</v>
      </c>
      <c r="Z35" t="s">
        <v>178</v>
      </c>
      <c r="AA35" t="s">
        <v>25</v>
      </c>
      <c r="AC35" t="s">
        <v>22</v>
      </c>
      <c r="AD35" t="s">
        <v>178</v>
      </c>
      <c r="AE35">
        <v>3.0246254414040868E-2</v>
      </c>
      <c r="AG35" t="s">
        <v>96</v>
      </c>
      <c r="AH35" t="s">
        <v>178</v>
      </c>
      <c r="AI35">
        <v>0.13143574296065719</v>
      </c>
      <c r="AK35">
        <v>2026</v>
      </c>
      <c r="AL35" t="s">
        <v>220</v>
      </c>
      <c r="AM35">
        <v>0.307</v>
      </c>
      <c r="AN35" t="s">
        <v>218</v>
      </c>
    </row>
    <row r="36" spans="9:40" x14ac:dyDescent="0.45">
      <c r="I36" t="s">
        <v>158</v>
      </c>
      <c r="J36" t="s">
        <v>179</v>
      </c>
      <c r="K36">
        <v>8.3989990006855086E-2</v>
      </c>
      <c r="L36" t="s">
        <v>160</v>
      </c>
      <c r="N36" t="s">
        <v>189</v>
      </c>
      <c r="O36" t="s">
        <v>179</v>
      </c>
      <c r="P36">
        <v>7.0375480524493966E-2</v>
      </c>
      <c r="Q36" t="s">
        <v>160</v>
      </c>
      <c r="S36" t="s">
        <v>199</v>
      </c>
      <c r="T36" t="s">
        <v>179</v>
      </c>
      <c r="U36">
        <v>7.0375480524493966E-2</v>
      </c>
      <c r="V36" t="s">
        <v>160</v>
      </c>
      <c r="X36">
        <v>6.3127853881278534E-2</v>
      </c>
      <c r="Y36">
        <v>8.8303706834398255E-2</v>
      </c>
      <c r="Z36" t="s">
        <v>179</v>
      </c>
      <c r="AA36" t="s">
        <v>25</v>
      </c>
      <c r="AC36" t="s">
        <v>22</v>
      </c>
      <c r="AD36" t="s">
        <v>179</v>
      </c>
      <c r="AE36">
        <v>7.4290047094256267E-2</v>
      </c>
      <c r="AG36" t="s">
        <v>96</v>
      </c>
      <c r="AH36" t="s">
        <v>179</v>
      </c>
      <c r="AI36">
        <v>0.11405440896315056</v>
      </c>
      <c r="AK36">
        <v>2027</v>
      </c>
      <c r="AL36" t="s">
        <v>145</v>
      </c>
      <c r="AM36">
        <v>0.32776666666666665</v>
      </c>
      <c r="AN36" t="s">
        <v>218</v>
      </c>
    </row>
    <row r="37" spans="9:40" x14ac:dyDescent="0.45">
      <c r="I37" t="s">
        <v>158</v>
      </c>
      <c r="J37" t="s">
        <v>237</v>
      </c>
      <c r="K37">
        <v>8.1019495928191657E-4</v>
      </c>
      <c r="L37" t="s">
        <v>160</v>
      </c>
      <c r="N37" t="s">
        <v>189</v>
      </c>
      <c r="O37" t="s">
        <v>237</v>
      </c>
      <c r="P37">
        <v>6.5797212235970473E-2</v>
      </c>
      <c r="Q37" t="s">
        <v>160</v>
      </c>
      <c r="S37" t="s">
        <v>199</v>
      </c>
      <c r="T37" t="s">
        <v>237</v>
      </c>
      <c r="U37">
        <v>6.5797212235970473E-2</v>
      </c>
      <c r="V37" t="s">
        <v>160</v>
      </c>
      <c r="X37">
        <v>5.410958904109589E-2</v>
      </c>
      <c r="Y37">
        <v>6.2849613405265667E-2</v>
      </c>
      <c r="Z37" t="s">
        <v>237</v>
      </c>
      <c r="AA37" t="s">
        <v>25</v>
      </c>
      <c r="AC37" t="s">
        <v>22</v>
      </c>
      <c r="AD37" t="s">
        <v>237</v>
      </c>
      <c r="AE37">
        <v>6.1777637056352322E-2</v>
      </c>
      <c r="AG37" t="s">
        <v>96</v>
      </c>
      <c r="AH37" t="s">
        <v>237</v>
      </c>
      <c r="AI37">
        <v>0.1425147721168547</v>
      </c>
      <c r="AK37">
        <v>2027</v>
      </c>
      <c r="AL37" t="s">
        <v>149</v>
      </c>
      <c r="AM37">
        <v>0.37819999999999998</v>
      </c>
      <c r="AN37" t="s">
        <v>218</v>
      </c>
    </row>
    <row r="38" spans="9:40" x14ac:dyDescent="0.45">
      <c r="I38" t="s">
        <v>158</v>
      </c>
      <c r="J38" t="s">
        <v>238</v>
      </c>
      <c r="K38">
        <v>0</v>
      </c>
      <c r="L38" t="s">
        <v>160</v>
      </c>
      <c r="N38" t="s">
        <v>189</v>
      </c>
      <c r="O38" t="s">
        <v>238</v>
      </c>
      <c r="P38">
        <v>9.2770704465932295E-3</v>
      </c>
      <c r="Q38" t="s">
        <v>160</v>
      </c>
      <c r="S38" t="s">
        <v>199</v>
      </c>
      <c r="T38" t="s">
        <v>238</v>
      </c>
      <c r="U38">
        <v>9.2770704465932295E-3</v>
      </c>
      <c r="V38" t="s">
        <v>160</v>
      </c>
      <c r="X38">
        <v>9.0182648401826489E-3</v>
      </c>
      <c r="Y38">
        <v>2.3568605026974632E-3</v>
      </c>
      <c r="Z38" t="s">
        <v>238</v>
      </c>
      <c r="AA38" t="s">
        <v>25</v>
      </c>
      <c r="AC38" t="s">
        <v>22</v>
      </c>
      <c r="AD38" t="s">
        <v>238</v>
      </c>
      <c r="AE38">
        <v>8.0765728405708861E-3</v>
      </c>
      <c r="AG38" t="s">
        <v>96</v>
      </c>
      <c r="AH38" t="s">
        <v>238</v>
      </c>
      <c r="AI38">
        <v>8.7776500668527602E-2</v>
      </c>
      <c r="AK38">
        <v>2027</v>
      </c>
      <c r="AL38" t="s">
        <v>151</v>
      </c>
      <c r="AM38">
        <v>0.30837500000000001</v>
      </c>
      <c r="AN38" t="s">
        <v>218</v>
      </c>
    </row>
    <row r="39" spans="9:40" x14ac:dyDescent="0.45">
      <c r="I39" t="s">
        <v>158</v>
      </c>
      <c r="J39" t="s">
        <v>222</v>
      </c>
      <c r="K39">
        <v>0</v>
      </c>
      <c r="L39" t="s">
        <v>160</v>
      </c>
      <c r="N39" t="s">
        <v>189</v>
      </c>
      <c r="O39" t="s">
        <v>222</v>
      </c>
      <c r="P39">
        <v>8.2646883938381505E-3</v>
      </c>
      <c r="Q39" t="s">
        <v>160</v>
      </c>
      <c r="S39" t="s">
        <v>199</v>
      </c>
      <c r="T39" t="s">
        <v>222</v>
      </c>
      <c r="U39">
        <v>8.2646883938381505E-3</v>
      </c>
      <c r="V39" t="s">
        <v>160</v>
      </c>
      <c r="X39">
        <v>4.5662100456621002E-3</v>
      </c>
      <c r="Y39">
        <v>7.1070448913971283E-4</v>
      </c>
      <c r="Z39" t="s">
        <v>222</v>
      </c>
      <c r="AA39" t="s">
        <v>25</v>
      </c>
      <c r="AC39" t="s">
        <v>22</v>
      </c>
      <c r="AD39" t="s">
        <v>222</v>
      </c>
      <c r="AE39">
        <v>3.6523561306375154E-3</v>
      </c>
      <c r="AG39" t="s">
        <v>96</v>
      </c>
      <c r="AH39" t="s">
        <v>222</v>
      </c>
      <c r="AI39">
        <v>5.8326120247686131E-2</v>
      </c>
      <c r="AK39">
        <v>2027</v>
      </c>
      <c r="AL39" t="s">
        <v>153</v>
      </c>
      <c r="AM39">
        <v>0.25090000000000001</v>
      </c>
      <c r="AN39" t="s">
        <v>218</v>
      </c>
    </row>
    <row r="40" spans="9:40" x14ac:dyDescent="0.45">
      <c r="I40" t="s">
        <v>158</v>
      </c>
      <c r="J40" t="s">
        <v>223</v>
      </c>
      <c r="K40">
        <v>0</v>
      </c>
      <c r="L40" t="s">
        <v>160</v>
      </c>
      <c r="N40" t="s">
        <v>189</v>
      </c>
      <c r="O40" t="s">
        <v>223</v>
      </c>
      <c r="P40">
        <v>1.6596467158874121E-3</v>
      </c>
      <c r="Q40" t="s">
        <v>160</v>
      </c>
      <c r="S40" t="s">
        <v>199</v>
      </c>
      <c r="T40" t="s">
        <v>223</v>
      </c>
      <c r="U40">
        <v>1.6596467158874121E-3</v>
      </c>
      <c r="V40" t="s">
        <v>160</v>
      </c>
      <c r="X40">
        <v>9.1324200913242006E-4</v>
      </c>
      <c r="Y40">
        <v>4.6142754145638075E-4</v>
      </c>
      <c r="Z40" t="s">
        <v>223</v>
      </c>
      <c r="AA40" t="s">
        <v>25</v>
      </c>
      <c r="AC40" t="s">
        <v>22</v>
      </c>
      <c r="AD40" t="s">
        <v>223</v>
      </c>
      <c r="AE40">
        <v>7.5667448383326798E-4</v>
      </c>
      <c r="AG40" t="s">
        <v>96</v>
      </c>
      <c r="AH40" t="s">
        <v>223</v>
      </c>
      <c r="AI40">
        <v>3.8808884549670575E-2</v>
      </c>
      <c r="AK40">
        <v>2027</v>
      </c>
      <c r="AL40" t="s">
        <v>220</v>
      </c>
      <c r="AM40">
        <v>0.25559999999999999</v>
      </c>
      <c r="AN40" t="s">
        <v>218</v>
      </c>
    </row>
    <row r="41" spans="9:40" x14ac:dyDescent="0.45">
      <c r="I41" t="s">
        <v>158</v>
      </c>
      <c r="J41" t="s">
        <v>224</v>
      </c>
      <c r="K41">
        <v>0</v>
      </c>
      <c r="L41" t="s">
        <v>160</v>
      </c>
      <c r="N41" t="s">
        <v>189</v>
      </c>
      <c r="O41" t="s">
        <v>224</v>
      </c>
      <c r="P41">
        <v>1.6424686586469393E-3</v>
      </c>
      <c r="Q41" t="s">
        <v>160</v>
      </c>
      <c r="S41" t="s">
        <v>199</v>
      </c>
      <c r="T41" t="s">
        <v>224</v>
      </c>
      <c r="U41">
        <v>1.6424686586469393E-3</v>
      </c>
      <c r="V41" t="s">
        <v>160</v>
      </c>
      <c r="X41">
        <v>9.1324200913242006E-4</v>
      </c>
      <c r="Y41">
        <v>1.3524600353031851E-3</v>
      </c>
      <c r="Z41" t="s">
        <v>224</v>
      </c>
      <c r="AA41" t="s">
        <v>25</v>
      </c>
      <c r="AC41" t="s">
        <v>22</v>
      </c>
      <c r="AD41" t="s">
        <v>224</v>
      </c>
      <c r="AE41">
        <v>9.1301045393782246E-4</v>
      </c>
      <c r="AG41" t="s">
        <v>96</v>
      </c>
      <c r="AH41" t="s">
        <v>224</v>
      </c>
      <c r="AI41">
        <v>7.2579198507516152E-2</v>
      </c>
      <c r="AK41">
        <v>2028</v>
      </c>
      <c r="AL41" t="s">
        <v>145</v>
      </c>
      <c r="AM41">
        <v>0.38636666666666669</v>
      </c>
      <c r="AN41" t="s">
        <v>218</v>
      </c>
    </row>
    <row r="42" spans="9:40" x14ac:dyDescent="0.45">
      <c r="I42" t="s">
        <v>158</v>
      </c>
      <c r="J42" t="s">
        <v>225</v>
      </c>
      <c r="K42">
        <v>7.8055458054324578E-4</v>
      </c>
      <c r="L42" t="s">
        <v>160</v>
      </c>
      <c r="N42" t="s">
        <v>189</v>
      </c>
      <c r="O42" t="s">
        <v>225</v>
      </c>
      <c r="P42">
        <v>4.7462703583100938E-3</v>
      </c>
      <c r="Q42" t="s">
        <v>160</v>
      </c>
      <c r="S42" t="s">
        <v>199</v>
      </c>
      <c r="T42" t="s">
        <v>225</v>
      </c>
      <c r="U42">
        <v>4.7462703583100938E-3</v>
      </c>
      <c r="V42" t="s">
        <v>160</v>
      </c>
      <c r="X42">
        <v>2.7397260273972603E-3</v>
      </c>
      <c r="Y42">
        <v>3.8478813945586701E-3</v>
      </c>
      <c r="Z42" t="s">
        <v>225</v>
      </c>
      <c r="AA42" t="s">
        <v>25</v>
      </c>
      <c r="AC42" t="s">
        <v>22</v>
      </c>
      <c r="AD42" t="s">
        <v>225</v>
      </c>
      <c r="AE42">
        <v>3.2604837908130711E-3</v>
      </c>
      <c r="AG42" t="s">
        <v>96</v>
      </c>
      <c r="AH42" t="s">
        <v>225</v>
      </c>
      <c r="AI42">
        <v>7.2434352403907054E-2</v>
      </c>
      <c r="AK42">
        <v>2028</v>
      </c>
      <c r="AL42" t="s">
        <v>149</v>
      </c>
      <c r="AM42">
        <v>0.3881</v>
      </c>
      <c r="AN42" t="s">
        <v>218</v>
      </c>
    </row>
    <row r="43" spans="9:40" x14ac:dyDescent="0.45">
      <c r="I43" t="s">
        <v>158</v>
      </c>
      <c r="J43" t="s">
        <v>226</v>
      </c>
      <c r="K43">
        <v>8.4305298609716368E-3</v>
      </c>
      <c r="L43" t="s">
        <v>160</v>
      </c>
      <c r="N43" t="s">
        <v>189</v>
      </c>
      <c r="O43" t="s">
        <v>226</v>
      </c>
      <c r="P43">
        <v>8.9707968004842358E-3</v>
      </c>
      <c r="Q43" t="s">
        <v>160</v>
      </c>
      <c r="S43" t="s">
        <v>199</v>
      </c>
      <c r="T43" t="s">
        <v>226</v>
      </c>
      <c r="U43">
        <v>8.9707968004842358E-3</v>
      </c>
      <c r="V43" t="s">
        <v>160</v>
      </c>
      <c r="X43">
        <v>6.392694063926941E-3</v>
      </c>
      <c r="Y43">
        <v>8.9421475275340001E-3</v>
      </c>
      <c r="Z43" t="s">
        <v>226</v>
      </c>
      <c r="AA43" t="s">
        <v>25</v>
      </c>
      <c r="AC43" t="s">
        <v>22</v>
      </c>
      <c r="AD43" t="s">
        <v>226</v>
      </c>
      <c r="AE43">
        <v>7.9208474848503751E-3</v>
      </c>
      <c r="AG43" t="s">
        <v>96</v>
      </c>
      <c r="AH43" t="s">
        <v>226</v>
      </c>
      <c r="AI43">
        <v>4.8241639318299834E-2</v>
      </c>
      <c r="AK43">
        <v>2028</v>
      </c>
      <c r="AL43" t="s">
        <v>151</v>
      </c>
      <c r="AM43">
        <v>0.323125</v>
      </c>
      <c r="AN43" t="s">
        <v>218</v>
      </c>
    </row>
    <row r="44" spans="9:40" x14ac:dyDescent="0.45">
      <c r="I44" t="s">
        <v>158</v>
      </c>
      <c r="J44" t="s">
        <v>239</v>
      </c>
      <c r="K44">
        <v>0</v>
      </c>
      <c r="L44" t="s">
        <v>160</v>
      </c>
      <c r="N44" t="s">
        <v>189</v>
      </c>
      <c r="O44" t="s">
        <v>239</v>
      </c>
      <c r="P44">
        <v>9.0760268405922686E-3</v>
      </c>
      <c r="Q44" t="s">
        <v>160</v>
      </c>
      <c r="S44" t="s">
        <v>199</v>
      </c>
      <c r="T44" t="s">
        <v>239</v>
      </c>
      <c r="U44">
        <v>9.0760268405922686E-3</v>
      </c>
      <c r="V44" t="s">
        <v>160</v>
      </c>
      <c r="X44">
        <v>5.4794520547945206E-3</v>
      </c>
      <c r="Y44">
        <v>6.3645178131914596E-3</v>
      </c>
      <c r="Z44" t="s">
        <v>239</v>
      </c>
      <c r="AA44" t="s">
        <v>25</v>
      </c>
      <c r="AC44" t="s">
        <v>22</v>
      </c>
      <c r="AD44" t="s">
        <v>239</v>
      </c>
      <c r="AE44">
        <v>6.5058137759551144E-3</v>
      </c>
      <c r="AG44" t="s">
        <v>96</v>
      </c>
      <c r="AH44" t="s">
        <v>239</v>
      </c>
      <c r="AI44">
        <v>7.9836715676671721E-2</v>
      </c>
      <c r="AK44">
        <v>2028</v>
      </c>
      <c r="AL44" t="s">
        <v>153</v>
      </c>
      <c r="AM44">
        <v>0.31020000000000003</v>
      </c>
      <c r="AN44" t="s">
        <v>218</v>
      </c>
    </row>
    <row r="45" spans="9:40" x14ac:dyDescent="0.45">
      <c r="I45" t="s">
        <v>158</v>
      </c>
      <c r="J45" t="s">
        <v>240</v>
      </c>
      <c r="K45">
        <v>0</v>
      </c>
      <c r="L45" t="s">
        <v>160</v>
      </c>
      <c r="N45" t="s">
        <v>189</v>
      </c>
      <c r="O45" t="s">
        <v>240</v>
      </c>
      <c r="P45">
        <v>1.6438786301674604E-3</v>
      </c>
      <c r="Q45" t="s">
        <v>160</v>
      </c>
      <c r="S45" t="s">
        <v>199</v>
      </c>
      <c r="T45" t="s">
        <v>240</v>
      </c>
      <c r="U45">
        <v>1.6438786301674604E-3</v>
      </c>
      <c r="V45" t="s">
        <v>160</v>
      </c>
      <c r="X45">
        <v>9.1324200913242006E-4</v>
      </c>
      <c r="Y45">
        <v>2.386694179946797E-4</v>
      </c>
      <c r="Z45" t="s">
        <v>240</v>
      </c>
      <c r="AA45" t="s">
        <v>25</v>
      </c>
      <c r="AC45" t="s">
        <v>22</v>
      </c>
      <c r="AD45" t="s">
        <v>240</v>
      </c>
      <c r="AE45">
        <v>8.2812063972425849E-4</v>
      </c>
      <c r="AG45" t="s">
        <v>96</v>
      </c>
      <c r="AH45" t="s">
        <v>240</v>
      </c>
      <c r="AI45">
        <v>1.8477344169286258E-2</v>
      </c>
      <c r="AK45">
        <v>2028</v>
      </c>
      <c r="AL45" t="s">
        <v>220</v>
      </c>
      <c r="AM45">
        <v>0.33500000000000002</v>
      </c>
      <c r="AN45" t="s">
        <v>218</v>
      </c>
    </row>
    <row r="46" spans="9:40" x14ac:dyDescent="0.45">
      <c r="I46" t="s">
        <v>180</v>
      </c>
      <c r="J46" t="s">
        <v>159</v>
      </c>
      <c r="K46">
        <v>0</v>
      </c>
      <c r="L46" t="s">
        <v>160</v>
      </c>
      <c r="N46" t="s">
        <v>190</v>
      </c>
      <c r="O46" t="s">
        <v>159</v>
      </c>
      <c r="P46">
        <v>5.1341251055348099E-2</v>
      </c>
      <c r="Q46" t="s">
        <v>160</v>
      </c>
      <c r="S46" t="s">
        <v>200</v>
      </c>
      <c r="T46" t="s">
        <v>159</v>
      </c>
      <c r="U46">
        <v>5.1341251055348099E-2</v>
      </c>
      <c r="V46" t="s">
        <v>160</v>
      </c>
      <c r="AC46" t="s">
        <v>19</v>
      </c>
      <c r="AD46" t="s">
        <v>159</v>
      </c>
      <c r="AE46">
        <v>3.5323619973388766E-2</v>
      </c>
      <c r="AK46">
        <v>2029</v>
      </c>
      <c r="AL46" t="s">
        <v>145</v>
      </c>
      <c r="AM46">
        <v>0.44436666666666663</v>
      </c>
      <c r="AN46" t="s">
        <v>218</v>
      </c>
    </row>
    <row r="47" spans="9:40" x14ac:dyDescent="0.45">
      <c r="I47" t="s">
        <v>180</v>
      </c>
      <c r="J47" t="s">
        <v>161</v>
      </c>
      <c r="K47">
        <v>0</v>
      </c>
      <c r="L47" t="s">
        <v>160</v>
      </c>
      <c r="N47" t="s">
        <v>190</v>
      </c>
      <c r="O47" t="s">
        <v>161</v>
      </c>
      <c r="P47">
        <v>9.6990449423216447E-3</v>
      </c>
      <c r="Q47" t="s">
        <v>160</v>
      </c>
      <c r="S47" t="s">
        <v>200</v>
      </c>
      <c r="T47" t="s">
        <v>161</v>
      </c>
      <c r="U47">
        <v>9.6990449423216447E-3</v>
      </c>
      <c r="V47" t="s">
        <v>160</v>
      </c>
      <c r="AC47" t="s">
        <v>19</v>
      </c>
      <c r="AD47" t="s">
        <v>161</v>
      </c>
      <c r="AE47">
        <v>7.0817573991928612E-3</v>
      </c>
      <c r="AK47">
        <v>2029</v>
      </c>
      <c r="AL47" t="s">
        <v>149</v>
      </c>
      <c r="AM47">
        <v>0.46110000000000001</v>
      </c>
      <c r="AN47" t="s">
        <v>218</v>
      </c>
    </row>
    <row r="48" spans="9:40" x14ac:dyDescent="0.45">
      <c r="I48" t="s">
        <v>180</v>
      </c>
      <c r="J48" t="s">
        <v>162</v>
      </c>
      <c r="K48">
        <v>0</v>
      </c>
      <c r="L48" t="s">
        <v>160</v>
      </c>
      <c r="N48" t="s">
        <v>190</v>
      </c>
      <c r="O48" t="s">
        <v>162</v>
      </c>
      <c r="P48">
        <v>9.5278307979427424E-3</v>
      </c>
      <c r="Q48" t="s">
        <v>160</v>
      </c>
      <c r="S48" t="s">
        <v>200</v>
      </c>
      <c r="T48" t="s">
        <v>162</v>
      </c>
      <c r="U48">
        <v>9.5278307979427424E-3</v>
      </c>
      <c r="V48" t="s">
        <v>160</v>
      </c>
      <c r="AC48" t="s">
        <v>19</v>
      </c>
      <c r="AD48" t="s">
        <v>162</v>
      </c>
      <c r="AE48">
        <v>7.1567657171023149E-3</v>
      </c>
      <c r="AK48">
        <v>2029</v>
      </c>
      <c r="AL48" t="s">
        <v>151</v>
      </c>
      <c r="AM48">
        <v>0.3712375</v>
      </c>
      <c r="AN48" t="s">
        <v>218</v>
      </c>
    </row>
    <row r="49" spans="9:40" x14ac:dyDescent="0.45">
      <c r="I49" t="s">
        <v>180</v>
      </c>
      <c r="J49" t="s">
        <v>163</v>
      </c>
      <c r="K49">
        <v>1.150141301299786E-2</v>
      </c>
      <c r="L49" t="s">
        <v>160</v>
      </c>
      <c r="N49" t="s">
        <v>190</v>
      </c>
      <c r="O49" t="s">
        <v>163</v>
      </c>
      <c r="P49">
        <v>2.6238080405692126E-2</v>
      </c>
      <c r="Q49" t="s">
        <v>160</v>
      </c>
      <c r="S49" t="s">
        <v>200</v>
      </c>
      <c r="T49" t="s">
        <v>163</v>
      </c>
      <c r="U49">
        <v>2.6238080405692126E-2</v>
      </c>
      <c r="V49" t="s">
        <v>160</v>
      </c>
      <c r="AC49" t="s">
        <v>19</v>
      </c>
      <c r="AD49" t="s">
        <v>163</v>
      </c>
      <c r="AE49">
        <v>2.1732330916787935E-2</v>
      </c>
      <c r="AK49">
        <v>2029</v>
      </c>
      <c r="AL49" t="s">
        <v>153</v>
      </c>
      <c r="AM49">
        <v>0.28446666666666665</v>
      </c>
      <c r="AN49" t="s">
        <v>218</v>
      </c>
    </row>
    <row r="50" spans="9:40" x14ac:dyDescent="0.45">
      <c r="I50" t="s">
        <v>180</v>
      </c>
      <c r="J50" t="s">
        <v>164</v>
      </c>
      <c r="K50">
        <v>7.043765234134268E-2</v>
      </c>
      <c r="L50" t="s">
        <v>160</v>
      </c>
      <c r="N50" t="s">
        <v>190</v>
      </c>
      <c r="O50" t="s">
        <v>164</v>
      </c>
      <c r="P50">
        <v>5.773741961736218E-2</v>
      </c>
      <c r="Q50" t="s">
        <v>160</v>
      </c>
      <c r="S50" t="s">
        <v>200</v>
      </c>
      <c r="T50" t="s">
        <v>164</v>
      </c>
      <c r="U50">
        <v>5.773741961736218E-2</v>
      </c>
      <c r="V50" t="s">
        <v>160</v>
      </c>
      <c r="AC50" t="s">
        <v>19</v>
      </c>
      <c r="AD50" t="s">
        <v>164</v>
      </c>
      <c r="AE50">
        <v>5.0867404219726874E-2</v>
      </c>
      <c r="AK50">
        <v>2029</v>
      </c>
      <c r="AL50" t="s">
        <v>220</v>
      </c>
      <c r="AM50">
        <v>0.31130000000000002</v>
      </c>
      <c r="AN50" t="s">
        <v>218</v>
      </c>
    </row>
    <row r="51" spans="9:40" x14ac:dyDescent="0.45">
      <c r="I51" t="s">
        <v>180</v>
      </c>
      <c r="J51" t="s">
        <v>231</v>
      </c>
      <c r="K51">
        <v>1.8739397970913754E-3</v>
      </c>
      <c r="L51" t="s">
        <v>160</v>
      </c>
      <c r="N51" t="s">
        <v>190</v>
      </c>
      <c r="O51" t="s">
        <v>231</v>
      </c>
      <c r="P51">
        <v>6.3360919969410331E-2</v>
      </c>
      <c r="Q51" t="s">
        <v>160</v>
      </c>
      <c r="S51" t="s">
        <v>200</v>
      </c>
      <c r="T51" t="s">
        <v>231</v>
      </c>
      <c r="U51">
        <v>6.3360919969410331E-2</v>
      </c>
      <c r="V51" t="s">
        <v>160</v>
      </c>
      <c r="AC51" t="s">
        <v>19</v>
      </c>
      <c r="AD51" t="s">
        <v>231</v>
      </c>
      <c r="AE51">
        <v>4.346528306109005E-2</v>
      </c>
      <c r="AK51">
        <v>2030</v>
      </c>
      <c r="AL51" t="s">
        <v>145</v>
      </c>
      <c r="AM51">
        <v>0.33529999999999999</v>
      </c>
      <c r="AN51" t="s">
        <v>218</v>
      </c>
    </row>
    <row r="52" spans="9:40" x14ac:dyDescent="0.45">
      <c r="I52" t="s">
        <v>180</v>
      </c>
      <c r="J52" t="s">
        <v>232</v>
      </c>
      <c r="K52">
        <v>0</v>
      </c>
      <c r="L52" t="s">
        <v>160</v>
      </c>
      <c r="N52" t="s">
        <v>190</v>
      </c>
      <c r="O52" t="s">
        <v>232</v>
      </c>
      <c r="P52">
        <v>1.0172661705980026E-2</v>
      </c>
      <c r="Q52" t="s">
        <v>160</v>
      </c>
      <c r="S52" t="s">
        <v>200</v>
      </c>
      <c r="T52" t="s">
        <v>232</v>
      </c>
      <c r="U52">
        <v>1.0172661705980026E-2</v>
      </c>
      <c r="V52" t="s">
        <v>160</v>
      </c>
      <c r="AC52" t="s">
        <v>19</v>
      </c>
      <c r="AD52" t="s">
        <v>232</v>
      </c>
      <c r="AE52">
        <v>7.1186256173501787E-3</v>
      </c>
      <c r="AK52">
        <v>2030</v>
      </c>
      <c r="AL52" t="s">
        <v>149</v>
      </c>
      <c r="AM52">
        <v>0.30480000000000002</v>
      </c>
      <c r="AN52" t="s">
        <v>218</v>
      </c>
    </row>
    <row r="53" spans="9:40" x14ac:dyDescent="0.45">
      <c r="I53" t="s">
        <v>180</v>
      </c>
      <c r="J53" t="s">
        <v>165</v>
      </c>
      <c r="K53">
        <v>0</v>
      </c>
      <c r="L53" t="s">
        <v>160</v>
      </c>
      <c r="N53" t="s">
        <v>190</v>
      </c>
      <c r="O53" t="s">
        <v>165</v>
      </c>
      <c r="P53">
        <v>1.5886989864887735E-2</v>
      </c>
      <c r="Q53" t="s">
        <v>160</v>
      </c>
      <c r="S53" t="s">
        <v>200</v>
      </c>
      <c r="T53" t="s">
        <v>165</v>
      </c>
      <c r="U53">
        <v>1.5886989864887735E-2</v>
      </c>
      <c r="V53" t="s">
        <v>160</v>
      </c>
      <c r="AC53" t="s">
        <v>19</v>
      </c>
      <c r="AD53" t="s">
        <v>165</v>
      </c>
      <c r="AE53">
        <v>1.0089401168233134E-2</v>
      </c>
      <c r="AK53">
        <v>2030</v>
      </c>
      <c r="AL53" t="s">
        <v>151</v>
      </c>
      <c r="AM53">
        <v>0.26612500000000006</v>
      </c>
      <c r="AN53" t="s">
        <v>218</v>
      </c>
    </row>
    <row r="54" spans="9:40" x14ac:dyDescent="0.45">
      <c r="I54" t="s">
        <v>180</v>
      </c>
      <c r="J54" t="s">
        <v>166</v>
      </c>
      <c r="K54">
        <v>0</v>
      </c>
      <c r="L54" t="s">
        <v>160</v>
      </c>
      <c r="N54" t="s">
        <v>190</v>
      </c>
      <c r="O54" t="s">
        <v>166</v>
      </c>
      <c r="P54">
        <v>3.1830102183227718E-3</v>
      </c>
      <c r="Q54" t="s">
        <v>160</v>
      </c>
      <c r="S54" t="s">
        <v>200</v>
      </c>
      <c r="T54" t="s">
        <v>166</v>
      </c>
      <c r="U54">
        <v>3.1830102183227718E-3</v>
      </c>
      <c r="V54" t="s">
        <v>160</v>
      </c>
      <c r="AC54" t="s">
        <v>19</v>
      </c>
      <c r="AD54" t="s">
        <v>166</v>
      </c>
      <c r="AE54">
        <v>2.0227035748514575E-3</v>
      </c>
      <c r="AK54">
        <v>2030</v>
      </c>
      <c r="AL54" t="s">
        <v>153</v>
      </c>
      <c r="AM54">
        <v>0.24580000000000002</v>
      </c>
      <c r="AN54" t="s">
        <v>218</v>
      </c>
    </row>
    <row r="55" spans="9:40" x14ac:dyDescent="0.45">
      <c r="I55" t="s">
        <v>180</v>
      </c>
      <c r="J55" t="s">
        <v>167</v>
      </c>
      <c r="K55">
        <v>0</v>
      </c>
      <c r="L55" t="s">
        <v>160</v>
      </c>
      <c r="N55" t="s">
        <v>190</v>
      </c>
      <c r="O55" t="s">
        <v>167</v>
      </c>
      <c r="P55">
        <v>3.2028376935584967E-3</v>
      </c>
      <c r="Q55" t="s">
        <v>160</v>
      </c>
      <c r="S55" t="s">
        <v>200</v>
      </c>
      <c r="T55" t="s">
        <v>167</v>
      </c>
      <c r="U55">
        <v>3.2028376935584967E-3</v>
      </c>
      <c r="V55" t="s">
        <v>160</v>
      </c>
      <c r="AC55" t="s">
        <v>19</v>
      </c>
      <c r="AD55" t="s">
        <v>167</v>
      </c>
      <c r="AE55">
        <v>2.0470033795113702E-3</v>
      </c>
      <c r="AK55">
        <v>2030</v>
      </c>
      <c r="AL55" t="s">
        <v>220</v>
      </c>
      <c r="AM55">
        <v>0.28920000000000001</v>
      </c>
      <c r="AN55" t="s">
        <v>218</v>
      </c>
    </row>
    <row r="56" spans="9:40" x14ac:dyDescent="0.45">
      <c r="I56" t="s">
        <v>180</v>
      </c>
      <c r="J56" t="s">
        <v>168</v>
      </c>
      <c r="K56">
        <v>7.8934100792123589E-3</v>
      </c>
      <c r="L56" t="s">
        <v>160</v>
      </c>
      <c r="N56" t="s">
        <v>190</v>
      </c>
      <c r="O56" t="s">
        <v>168</v>
      </c>
      <c r="P56">
        <v>8.7764874050883512E-3</v>
      </c>
      <c r="Q56" t="s">
        <v>160</v>
      </c>
      <c r="S56" t="s">
        <v>200</v>
      </c>
      <c r="T56" t="s">
        <v>168</v>
      </c>
      <c r="U56">
        <v>8.7764874050883512E-3</v>
      </c>
      <c r="V56" t="s">
        <v>160</v>
      </c>
      <c r="AC56" t="s">
        <v>19</v>
      </c>
      <c r="AD56" t="s">
        <v>168</v>
      </c>
      <c r="AE56">
        <v>6.2163094524896791E-3</v>
      </c>
      <c r="AK56">
        <v>2031</v>
      </c>
      <c r="AL56" t="s">
        <v>145</v>
      </c>
      <c r="AM56">
        <v>0.3261</v>
      </c>
      <c r="AN56" t="s">
        <v>218</v>
      </c>
    </row>
    <row r="57" spans="9:40" x14ac:dyDescent="0.45">
      <c r="I57" t="s">
        <v>180</v>
      </c>
      <c r="J57" t="s">
        <v>169</v>
      </c>
      <c r="K57">
        <v>2.8877729088094387E-2</v>
      </c>
      <c r="L57" t="s">
        <v>160</v>
      </c>
      <c r="N57" t="s">
        <v>190</v>
      </c>
      <c r="O57" t="s">
        <v>169</v>
      </c>
      <c r="P57">
        <v>2.3555149105973797E-2</v>
      </c>
      <c r="Q57" t="s">
        <v>160</v>
      </c>
      <c r="S57" t="s">
        <v>200</v>
      </c>
      <c r="T57" t="s">
        <v>169</v>
      </c>
      <c r="U57">
        <v>2.3555149105973797E-2</v>
      </c>
      <c r="V57" t="s">
        <v>160</v>
      </c>
      <c r="AC57" t="s">
        <v>19</v>
      </c>
      <c r="AD57" t="s">
        <v>169</v>
      </c>
      <c r="AE57">
        <v>1.453781168485839E-2</v>
      </c>
      <c r="AK57">
        <v>2031</v>
      </c>
      <c r="AL57" t="s">
        <v>149</v>
      </c>
      <c r="AM57">
        <v>0.39190000000000003</v>
      </c>
      <c r="AN57" t="s">
        <v>218</v>
      </c>
    </row>
    <row r="58" spans="9:40" x14ac:dyDescent="0.45">
      <c r="I58" t="s">
        <v>180</v>
      </c>
      <c r="J58" t="s">
        <v>233</v>
      </c>
      <c r="K58">
        <v>1.8846201042063903E-3</v>
      </c>
      <c r="L58" t="s">
        <v>160</v>
      </c>
      <c r="N58" t="s">
        <v>190</v>
      </c>
      <c r="O58" t="s">
        <v>233</v>
      </c>
      <c r="P58">
        <v>2.2722800274724165E-2</v>
      </c>
      <c r="Q58" t="s">
        <v>160</v>
      </c>
      <c r="S58" t="s">
        <v>200</v>
      </c>
      <c r="T58" t="s">
        <v>233</v>
      </c>
      <c r="U58">
        <v>2.2722800274724165E-2</v>
      </c>
      <c r="V58" t="s">
        <v>160</v>
      </c>
      <c r="AC58" t="s">
        <v>19</v>
      </c>
      <c r="AD58" t="s">
        <v>233</v>
      </c>
      <c r="AE58">
        <v>1.2424794707919191E-2</v>
      </c>
      <c r="AK58">
        <v>2031</v>
      </c>
      <c r="AL58" t="s">
        <v>151</v>
      </c>
      <c r="AM58">
        <v>0.26701249999999999</v>
      </c>
      <c r="AN58" t="s">
        <v>218</v>
      </c>
    </row>
    <row r="59" spans="9:40" x14ac:dyDescent="0.45">
      <c r="I59" t="s">
        <v>180</v>
      </c>
      <c r="J59" t="s">
        <v>234</v>
      </c>
      <c r="K59">
        <v>0</v>
      </c>
      <c r="L59" t="s">
        <v>160</v>
      </c>
      <c r="N59" t="s">
        <v>190</v>
      </c>
      <c r="O59" t="s">
        <v>234</v>
      </c>
      <c r="P59">
        <v>3.5994618129933298E-3</v>
      </c>
      <c r="Q59" t="s">
        <v>160</v>
      </c>
      <c r="S59" t="s">
        <v>200</v>
      </c>
      <c r="T59" t="s">
        <v>234</v>
      </c>
      <c r="U59">
        <v>3.5994618129933298E-3</v>
      </c>
      <c r="V59" t="s">
        <v>160</v>
      </c>
      <c r="AC59" t="s">
        <v>19</v>
      </c>
      <c r="AD59" t="s">
        <v>234</v>
      </c>
      <c r="AE59">
        <v>2.032564744234436E-3</v>
      </c>
      <c r="AK59">
        <v>2031</v>
      </c>
      <c r="AL59" t="s">
        <v>153</v>
      </c>
      <c r="AM59">
        <v>0.2099</v>
      </c>
      <c r="AN59" t="s">
        <v>218</v>
      </c>
    </row>
    <row r="60" spans="9:40" x14ac:dyDescent="0.45">
      <c r="I60" t="s">
        <v>180</v>
      </c>
      <c r="J60" t="s">
        <v>170</v>
      </c>
      <c r="K60">
        <v>0</v>
      </c>
      <c r="L60" t="s">
        <v>160</v>
      </c>
      <c r="N60" t="s">
        <v>190</v>
      </c>
      <c r="O60" t="s">
        <v>170</v>
      </c>
      <c r="P60">
        <v>0.10974015536984016</v>
      </c>
      <c r="Q60" t="s">
        <v>160</v>
      </c>
      <c r="S60" t="s">
        <v>200</v>
      </c>
      <c r="T60" t="s">
        <v>170</v>
      </c>
      <c r="U60">
        <v>0.10974015536984016</v>
      </c>
      <c r="V60" t="s">
        <v>160</v>
      </c>
      <c r="AC60" t="s">
        <v>19</v>
      </c>
      <c r="AD60" t="s">
        <v>170</v>
      </c>
      <c r="AE60">
        <v>0.1104976312018439</v>
      </c>
      <c r="AK60">
        <v>2031</v>
      </c>
      <c r="AL60" t="s">
        <v>220</v>
      </c>
      <c r="AM60">
        <v>0.2535</v>
      </c>
      <c r="AN60" t="s">
        <v>218</v>
      </c>
    </row>
    <row r="61" spans="9:40" x14ac:dyDescent="0.45">
      <c r="I61" t="s">
        <v>180</v>
      </c>
      <c r="J61" t="s">
        <v>171</v>
      </c>
      <c r="K61">
        <v>8.657971142208511E-3</v>
      </c>
      <c r="L61" t="s">
        <v>160</v>
      </c>
      <c r="N61" t="s">
        <v>190</v>
      </c>
      <c r="O61" t="s">
        <v>171</v>
      </c>
      <c r="P61">
        <v>2.0865762402106986E-2</v>
      </c>
      <c r="Q61" t="s">
        <v>160</v>
      </c>
      <c r="S61" t="s">
        <v>200</v>
      </c>
      <c r="T61" t="s">
        <v>171</v>
      </c>
      <c r="U61">
        <v>2.0865762402106986E-2</v>
      </c>
      <c r="V61" t="s">
        <v>160</v>
      </c>
      <c r="AC61" t="s">
        <v>19</v>
      </c>
      <c r="AD61" t="s">
        <v>171</v>
      </c>
      <c r="AE61">
        <v>2.2143951854717018E-2</v>
      </c>
      <c r="AK61">
        <v>2032</v>
      </c>
      <c r="AL61" t="s">
        <v>145</v>
      </c>
      <c r="AM61">
        <v>0.35066666666666668</v>
      </c>
      <c r="AN61" t="s">
        <v>218</v>
      </c>
    </row>
    <row r="62" spans="9:40" x14ac:dyDescent="0.45">
      <c r="I62" t="s">
        <v>180</v>
      </c>
      <c r="J62" t="s">
        <v>172</v>
      </c>
      <c r="K62">
        <v>2.6078235906357092E-2</v>
      </c>
      <c r="L62" t="s">
        <v>160</v>
      </c>
      <c r="N62" t="s">
        <v>190</v>
      </c>
      <c r="O62" t="s">
        <v>172</v>
      </c>
      <c r="P62">
        <v>1.8753742092239518E-2</v>
      </c>
      <c r="Q62" t="s">
        <v>160</v>
      </c>
      <c r="S62" t="s">
        <v>200</v>
      </c>
      <c r="T62" t="s">
        <v>172</v>
      </c>
      <c r="U62">
        <v>1.8753742092239518E-2</v>
      </c>
      <c r="V62" t="s">
        <v>160</v>
      </c>
      <c r="AC62" t="s">
        <v>19</v>
      </c>
      <c r="AD62" t="s">
        <v>172</v>
      </c>
      <c r="AE62">
        <v>2.2311506724146762E-2</v>
      </c>
      <c r="AK62">
        <v>2032</v>
      </c>
      <c r="AL62" t="s">
        <v>149</v>
      </c>
      <c r="AM62">
        <v>0.3579</v>
      </c>
      <c r="AN62" t="s">
        <v>218</v>
      </c>
    </row>
    <row r="63" spans="9:40" x14ac:dyDescent="0.45">
      <c r="I63" t="s">
        <v>180</v>
      </c>
      <c r="J63" t="s">
        <v>173</v>
      </c>
      <c r="K63">
        <v>0.17470248243952377</v>
      </c>
      <c r="L63" t="s">
        <v>160</v>
      </c>
      <c r="N63" t="s">
        <v>190</v>
      </c>
      <c r="O63" t="s">
        <v>173</v>
      </c>
      <c r="P63">
        <v>4.670162897200892E-2</v>
      </c>
      <c r="Q63" t="s">
        <v>160</v>
      </c>
      <c r="S63" t="s">
        <v>200</v>
      </c>
      <c r="T63" t="s">
        <v>173</v>
      </c>
      <c r="U63">
        <v>4.670162897200892E-2</v>
      </c>
      <c r="V63" t="s">
        <v>160</v>
      </c>
      <c r="AC63" t="s">
        <v>19</v>
      </c>
      <c r="AD63" t="s">
        <v>173</v>
      </c>
      <c r="AE63">
        <v>6.7751372230835161E-2</v>
      </c>
      <c r="AK63">
        <v>2032</v>
      </c>
      <c r="AL63" t="s">
        <v>151</v>
      </c>
      <c r="AM63">
        <v>0.32572499999999999</v>
      </c>
      <c r="AN63" t="s">
        <v>218</v>
      </c>
    </row>
    <row r="64" spans="9:40" x14ac:dyDescent="0.45">
      <c r="I64" t="s">
        <v>180</v>
      </c>
      <c r="J64" t="s">
        <v>174</v>
      </c>
      <c r="K64">
        <v>0.4766455042674147</v>
      </c>
      <c r="L64" t="s">
        <v>160</v>
      </c>
      <c r="N64" t="s">
        <v>190</v>
      </c>
      <c r="O64" t="s">
        <v>174</v>
      </c>
      <c r="P64">
        <v>0.11160988780180631</v>
      </c>
      <c r="Q64" t="s">
        <v>160</v>
      </c>
      <c r="S64" t="s">
        <v>200</v>
      </c>
      <c r="T64" t="s">
        <v>174</v>
      </c>
      <c r="U64">
        <v>0.11160988780180631</v>
      </c>
      <c r="V64" t="s">
        <v>160</v>
      </c>
      <c r="AC64" t="s">
        <v>19</v>
      </c>
      <c r="AD64" t="s">
        <v>174</v>
      </c>
      <c r="AE64">
        <v>0.15875198103999733</v>
      </c>
      <c r="AK64">
        <v>2032</v>
      </c>
      <c r="AL64" t="s">
        <v>153</v>
      </c>
      <c r="AM64">
        <v>0.31279999999999997</v>
      </c>
      <c r="AN64" t="s">
        <v>218</v>
      </c>
    </row>
    <row r="65" spans="9:40" x14ac:dyDescent="0.45">
      <c r="I65" t="s">
        <v>180</v>
      </c>
      <c r="J65" t="s">
        <v>235</v>
      </c>
      <c r="K65">
        <v>7.6012573902401723E-2</v>
      </c>
      <c r="L65" t="s">
        <v>160</v>
      </c>
      <c r="N65" t="s">
        <v>190</v>
      </c>
      <c r="O65" t="s">
        <v>235</v>
      </c>
      <c r="P65">
        <v>0.142434817257201</v>
      </c>
      <c r="Q65" t="s">
        <v>160</v>
      </c>
      <c r="S65" t="s">
        <v>200</v>
      </c>
      <c r="T65" t="s">
        <v>235</v>
      </c>
      <c r="U65">
        <v>0.142434817257201</v>
      </c>
      <c r="V65" t="s">
        <v>160</v>
      </c>
      <c r="AC65" t="s">
        <v>19</v>
      </c>
      <c r="AD65" t="s">
        <v>235</v>
      </c>
      <c r="AE65">
        <v>0.13570638611043689</v>
      </c>
      <c r="AK65">
        <v>2032</v>
      </c>
      <c r="AL65" t="s">
        <v>220</v>
      </c>
      <c r="AM65">
        <v>0.33129999999999998</v>
      </c>
      <c r="AN65" t="s">
        <v>218</v>
      </c>
    </row>
    <row r="66" spans="9:40" x14ac:dyDescent="0.45">
      <c r="I66" t="s">
        <v>180</v>
      </c>
      <c r="J66" t="s">
        <v>236</v>
      </c>
      <c r="K66">
        <v>0</v>
      </c>
      <c r="L66" t="s">
        <v>160</v>
      </c>
      <c r="N66" t="s">
        <v>190</v>
      </c>
      <c r="O66" t="s">
        <v>236</v>
      </c>
      <c r="P66">
        <v>2.0681729801316308E-2</v>
      </c>
      <c r="Q66" t="s">
        <v>160</v>
      </c>
      <c r="S66" t="s">
        <v>200</v>
      </c>
      <c r="T66" t="s">
        <v>236</v>
      </c>
      <c r="U66">
        <v>2.0681729801316308E-2</v>
      </c>
      <c r="V66" t="s">
        <v>160</v>
      </c>
      <c r="AC66" t="s">
        <v>19</v>
      </c>
      <c r="AD66" t="s">
        <v>236</v>
      </c>
      <c r="AE66">
        <v>2.2335126448159572E-2</v>
      </c>
      <c r="AK66">
        <v>2033</v>
      </c>
      <c r="AL66" t="s">
        <v>145</v>
      </c>
      <c r="AM66">
        <v>0.3105</v>
      </c>
      <c r="AN66" t="s">
        <v>218</v>
      </c>
    </row>
    <row r="67" spans="9:40" x14ac:dyDescent="0.45">
      <c r="I67" t="s">
        <v>180</v>
      </c>
      <c r="J67" t="s">
        <v>175</v>
      </c>
      <c r="K67">
        <v>0</v>
      </c>
      <c r="L67" t="s">
        <v>160</v>
      </c>
      <c r="N67" t="s">
        <v>190</v>
      </c>
      <c r="O67" t="s">
        <v>175</v>
      </c>
      <c r="P67">
        <v>4.2598477054993644E-2</v>
      </c>
      <c r="Q67" t="s">
        <v>160</v>
      </c>
      <c r="S67" t="s">
        <v>200</v>
      </c>
      <c r="T67" t="s">
        <v>175</v>
      </c>
      <c r="U67">
        <v>4.2598477054993644E-2</v>
      </c>
      <c r="V67" t="s">
        <v>160</v>
      </c>
      <c r="AC67" t="s">
        <v>19</v>
      </c>
      <c r="AD67" t="s">
        <v>175</v>
      </c>
      <c r="AE67">
        <v>4.4242637346765611E-2</v>
      </c>
      <c r="AK67">
        <v>2033</v>
      </c>
      <c r="AL67" t="s">
        <v>149</v>
      </c>
      <c r="AM67">
        <v>0.29659999999999997</v>
      </c>
      <c r="AN67" t="s">
        <v>218</v>
      </c>
    </row>
    <row r="68" spans="9:40" x14ac:dyDescent="0.45">
      <c r="I68" t="s">
        <v>180</v>
      </c>
      <c r="J68" t="s">
        <v>176</v>
      </c>
      <c r="K68">
        <v>0</v>
      </c>
      <c r="L68" t="s">
        <v>160</v>
      </c>
      <c r="N68" t="s">
        <v>190</v>
      </c>
      <c r="O68" t="s">
        <v>176</v>
      </c>
      <c r="P68">
        <v>8.7883389112416097E-3</v>
      </c>
      <c r="Q68" t="s">
        <v>160</v>
      </c>
      <c r="S68" t="s">
        <v>200</v>
      </c>
      <c r="T68" t="s">
        <v>176</v>
      </c>
      <c r="U68">
        <v>8.7883389112416097E-3</v>
      </c>
      <c r="V68" t="s">
        <v>160</v>
      </c>
      <c r="AC68" t="s">
        <v>19</v>
      </c>
      <c r="AD68" t="s">
        <v>176</v>
      </c>
      <c r="AE68">
        <v>8.8620041828686262E-3</v>
      </c>
      <c r="AK68">
        <v>2033</v>
      </c>
      <c r="AL68" t="s">
        <v>151</v>
      </c>
      <c r="AM68">
        <v>0.27778750000000002</v>
      </c>
      <c r="AN68" t="s">
        <v>218</v>
      </c>
    </row>
    <row r="69" spans="9:40" x14ac:dyDescent="0.45">
      <c r="I69" t="s">
        <v>180</v>
      </c>
      <c r="J69" t="s">
        <v>177</v>
      </c>
      <c r="K69">
        <v>0</v>
      </c>
      <c r="L69" t="s">
        <v>160</v>
      </c>
      <c r="N69" t="s">
        <v>190</v>
      </c>
      <c r="O69" t="s">
        <v>177</v>
      </c>
      <c r="P69">
        <v>8.6622934665177721E-3</v>
      </c>
      <c r="Q69" t="s">
        <v>160</v>
      </c>
      <c r="S69" t="s">
        <v>200</v>
      </c>
      <c r="T69" t="s">
        <v>177</v>
      </c>
      <c r="U69">
        <v>8.6622934665177721E-3</v>
      </c>
      <c r="V69" t="s">
        <v>160</v>
      </c>
      <c r="AC69" t="s">
        <v>19</v>
      </c>
      <c r="AD69" t="s">
        <v>177</v>
      </c>
      <c r="AE69">
        <v>8.9444443436187664E-3</v>
      </c>
      <c r="AK69">
        <v>2033</v>
      </c>
      <c r="AL69" t="s">
        <v>153</v>
      </c>
      <c r="AM69">
        <v>0.25266666666666665</v>
      </c>
      <c r="AN69" t="s">
        <v>218</v>
      </c>
    </row>
    <row r="70" spans="9:40" x14ac:dyDescent="0.45">
      <c r="I70" t="s">
        <v>180</v>
      </c>
      <c r="J70" t="s">
        <v>178</v>
      </c>
      <c r="K70">
        <v>1.9557271639814831E-2</v>
      </c>
      <c r="L70" t="s">
        <v>160</v>
      </c>
      <c r="N70" t="s">
        <v>190</v>
      </c>
      <c r="O70" t="s">
        <v>178</v>
      </c>
      <c r="P70">
        <v>2.3421445225312691E-2</v>
      </c>
      <c r="Q70" t="s">
        <v>160</v>
      </c>
      <c r="S70" t="s">
        <v>200</v>
      </c>
      <c r="T70" t="s">
        <v>178</v>
      </c>
      <c r="U70">
        <v>2.3421445225312691E-2</v>
      </c>
      <c r="V70" t="s">
        <v>160</v>
      </c>
      <c r="AC70" t="s">
        <v>19</v>
      </c>
      <c r="AD70" t="s">
        <v>178</v>
      </c>
      <c r="AE70">
        <v>2.7212716673765833E-2</v>
      </c>
      <c r="AK70">
        <v>2033</v>
      </c>
      <c r="AL70" t="s">
        <v>220</v>
      </c>
      <c r="AM70">
        <v>0.30480000000000002</v>
      </c>
      <c r="AN70" t="s">
        <v>218</v>
      </c>
    </row>
    <row r="71" spans="9:40" x14ac:dyDescent="0.45">
      <c r="I71" t="s">
        <v>180</v>
      </c>
      <c r="J71" t="s">
        <v>179</v>
      </c>
      <c r="K71">
        <v>8.6031729575973437E-2</v>
      </c>
      <c r="L71" t="s">
        <v>160</v>
      </c>
      <c r="N71" t="s">
        <v>190</v>
      </c>
      <c r="O71" t="s">
        <v>179</v>
      </c>
      <c r="P71">
        <v>5.4176534103034205E-2</v>
      </c>
      <c r="Q71" t="s">
        <v>160</v>
      </c>
      <c r="S71" t="s">
        <v>200</v>
      </c>
      <c r="T71" t="s">
        <v>179</v>
      </c>
      <c r="U71">
        <v>5.4176534103034205E-2</v>
      </c>
      <c r="V71" t="s">
        <v>160</v>
      </c>
      <c r="AC71" t="s">
        <v>19</v>
      </c>
      <c r="AD71" t="s">
        <v>179</v>
      </c>
      <c r="AE71">
        <v>6.3752066666729251E-2</v>
      </c>
      <c r="AK71">
        <v>2034</v>
      </c>
      <c r="AL71" t="s">
        <v>145</v>
      </c>
      <c r="AM71">
        <v>0.3934333333333333</v>
      </c>
      <c r="AN71" t="s">
        <v>218</v>
      </c>
    </row>
    <row r="72" spans="9:40" x14ac:dyDescent="0.45">
      <c r="I72" t="s">
        <v>180</v>
      </c>
      <c r="J72" t="s">
        <v>237</v>
      </c>
      <c r="K72">
        <v>8.0201557615846132E-4</v>
      </c>
      <c r="L72" t="s">
        <v>160</v>
      </c>
      <c r="N72" t="s">
        <v>190</v>
      </c>
      <c r="O72" t="s">
        <v>237</v>
      </c>
      <c r="P72">
        <v>5.7239926500921585E-2</v>
      </c>
      <c r="Q72" t="s">
        <v>160</v>
      </c>
      <c r="S72" t="s">
        <v>200</v>
      </c>
      <c r="T72" t="s">
        <v>237</v>
      </c>
      <c r="U72">
        <v>5.7239926500921585E-2</v>
      </c>
      <c r="V72" t="s">
        <v>160</v>
      </c>
      <c r="AC72" t="s">
        <v>19</v>
      </c>
      <c r="AD72" t="s">
        <v>237</v>
      </c>
      <c r="AE72">
        <v>5.4513886336695364E-2</v>
      </c>
      <c r="AK72">
        <v>2034</v>
      </c>
      <c r="AL72" t="s">
        <v>149</v>
      </c>
      <c r="AM72">
        <v>0.42249999999999999</v>
      </c>
      <c r="AN72" t="s">
        <v>218</v>
      </c>
    </row>
    <row r="73" spans="9:40" x14ac:dyDescent="0.45">
      <c r="I73" t="s">
        <v>180</v>
      </c>
      <c r="J73" t="s">
        <v>238</v>
      </c>
      <c r="K73">
        <v>0</v>
      </c>
      <c r="L73" t="s">
        <v>160</v>
      </c>
      <c r="N73" t="s">
        <v>190</v>
      </c>
      <c r="O73" t="s">
        <v>238</v>
      </c>
      <c r="P73">
        <v>8.0908226169788752E-3</v>
      </c>
      <c r="Q73" t="s">
        <v>160</v>
      </c>
      <c r="S73" t="s">
        <v>200</v>
      </c>
      <c r="T73" t="s">
        <v>238</v>
      </c>
      <c r="U73">
        <v>8.0908226169788752E-3</v>
      </c>
      <c r="V73" t="s">
        <v>160</v>
      </c>
      <c r="AC73" t="s">
        <v>19</v>
      </c>
      <c r="AD73" t="s">
        <v>238</v>
      </c>
      <c r="AE73">
        <v>8.93286989414405E-3</v>
      </c>
      <c r="AK73">
        <v>2034</v>
      </c>
      <c r="AL73" t="s">
        <v>151</v>
      </c>
      <c r="AM73">
        <v>0.3182625</v>
      </c>
      <c r="AN73" t="s">
        <v>218</v>
      </c>
    </row>
    <row r="74" spans="9:40" x14ac:dyDescent="0.45">
      <c r="I74" t="s">
        <v>180</v>
      </c>
      <c r="J74" t="s">
        <v>222</v>
      </c>
      <c r="K74">
        <v>0</v>
      </c>
      <c r="L74" t="s">
        <v>160</v>
      </c>
      <c r="N74" t="s">
        <v>190</v>
      </c>
      <c r="O74" t="s">
        <v>222</v>
      </c>
      <c r="P74">
        <v>3.7796646614856036E-3</v>
      </c>
      <c r="Q74" t="s">
        <v>160</v>
      </c>
      <c r="S74" t="s">
        <v>200</v>
      </c>
      <c r="T74" t="s">
        <v>222</v>
      </c>
      <c r="U74">
        <v>3.7796646614856036E-3</v>
      </c>
      <c r="V74" t="s">
        <v>160</v>
      </c>
      <c r="AC74" t="s">
        <v>19</v>
      </c>
      <c r="AD74" t="s">
        <v>222</v>
      </c>
      <c r="AE74">
        <v>4.4772944258050064E-3</v>
      </c>
      <c r="AK74">
        <v>2034</v>
      </c>
      <c r="AL74" t="s">
        <v>153</v>
      </c>
      <c r="AM74">
        <v>0.30166666666666669</v>
      </c>
      <c r="AN74" t="s">
        <v>218</v>
      </c>
    </row>
    <row r="75" spans="9:40" x14ac:dyDescent="0.45">
      <c r="I75" t="s">
        <v>180</v>
      </c>
      <c r="J75" t="s">
        <v>223</v>
      </c>
      <c r="K75">
        <v>0</v>
      </c>
      <c r="L75" t="s">
        <v>160</v>
      </c>
      <c r="N75" t="s">
        <v>190</v>
      </c>
      <c r="O75" t="s">
        <v>223</v>
      </c>
      <c r="P75">
        <v>7.7497876792771226E-4</v>
      </c>
      <c r="Q75" t="s">
        <v>160</v>
      </c>
      <c r="S75" t="s">
        <v>200</v>
      </c>
      <c r="T75" t="s">
        <v>223</v>
      </c>
      <c r="U75">
        <v>7.7497876792771226E-4</v>
      </c>
      <c r="V75" t="s">
        <v>160</v>
      </c>
      <c r="AC75" t="s">
        <v>19</v>
      </c>
      <c r="AD75" t="s">
        <v>223</v>
      </c>
      <c r="AE75">
        <v>8.9726240672321968E-4</v>
      </c>
      <c r="AK75">
        <v>2034</v>
      </c>
      <c r="AL75" t="s">
        <v>220</v>
      </c>
      <c r="AM75">
        <v>0.38979999999999998</v>
      </c>
      <c r="AN75" t="s">
        <v>218</v>
      </c>
    </row>
    <row r="76" spans="9:40" x14ac:dyDescent="0.45">
      <c r="I76" t="s">
        <v>180</v>
      </c>
      <c r="J76" t="s">
        <v>224</v>
      </c>
      <c r="K76">
        <v>0</v>
      </c>
      <c r="L76" t="s">
        <v>160</v>
      </c>
      <c r="N76" t="s">
        <v>190</v>
      </c>
      <c r="O76" t="s">
        <v>224</v>
      </c>
      <c r="P76">
        <v>7.9928810303132197E-4</v>
      </c>
      <c r="Q76" t="s">
        <v>160</v>
      </c>
      <c r="S76" t="s">
        <v>200</v>
      </c>
      <c r="T76" t="s">
        <v>224</v>
      </c>
      <c r="U76">
        <v>7.9928810303132197E-4</v>
      </c>
      <c r="V76" t="s">
        <v>160</v>
      </c>
      <c r="AC76" t="s">
        <v>19</v>
      </c>
      <c r="AD76" t="s">
        <v>224</v>
      </c>
      <c r="AE76">
        <v>9.0802272119251096E-4</v>
      </c>
      <c r="AK76">
        <v>2035</v>
      </c>
      <c r="AL76" t="s">
        <v>145</v>
      </c>
      <c r="AM76">
        <v>0.37483333333333335</v>
      </c>
      <c r="AN76" t="s">
        <v>218</v>
      </c>
    </row>
    <row r="77" spans="9:40" x14ac:dyDescent="0.45">
      <c r="I77" t="s">
        <v>180</v>
      </c>
      <c r="J77" t="s">
        <v>225</v>
      </c>
      <c r="K77">
        <v>6.5445098741714653E-4</v>
      </c>
      <c r="L77" t="s">
        <v>160</v>
      </c>
      <c r="N77" t="s">
        <v>190</v>
      </c>
      <c r="O77" t="s">
        <v>225</v>
      </c>
      <c r="P77">
        <v>2.1953415552057637E-3</v>
      </c>
      <c r="Q77" t="s">
        <v>160</v>
      </c>
      <c r="S77" t="s">
        <v>200</v>
      </c>
      <c r="T77" t="s">
        <v>225</v>
      </c>
      <c r="U77">
        <v>2.1953415552057637E-3</v>
      </c>
      <c r="V77" t="s">
        <v>160</v>
      </c>
      <c r="AC77" t="s">
        <v>19</v>
      </c>
      <c r="AD77" t="s">
        <v>225</v>
      </c>
      <c r="AE77">
        <v>2.75995876580464E-3</v>
      </c>
      <c r="AK77">
        <v>2035</v>
      </c>
      <c r="AL77" t="s">
        <v>149</v>
      </c>
      <c r="AM77">
        <v>0.36720000000000003</v>
      </c>
      <c r="AN77" t="s">
        <v>218</v>
      </c>
    </row>
    <row r="78" spans="9:40" x14ac:dyDescent="0.45">
      <c r="I78" t="s">
        <v>180</v>
      </c>
      <c r="J78" t="s">
        <v>226</v>
      </c>
      <c r="K78">
        <v>8.3890001397851667E-3</v>
      </c>
      <c r="L78" t="s">
        <v>160</v>
      </c>
      <c r="N78" t="s">
        <v>190</v>
      </c>
      <c r="O78" t="s">
        <v>226</v>
      </c>
      <c r="P78">
        <v>4.0556543913856397E-3</v>
      </c>
      <c r="Q78" t="s">
        <v>160</v>
      </c>
      <c r="S78" t="s">
        <v>200</v>
      </c>
      <c r="T78" t="s">
        <v>226</v>
      </c>
      <c r="U78">
        <v>4.0556543913856397E-3</v>
      </c>
      <c r="V78" t="s">
        <v>160</v>
      </c>
      <c r="AC78" t="s">
        <v>19</v>
      </c>
      <c r="AD78" t="s">
        <v>226</v>
      </c>
      <c r="AE78">
        <v>6.4614505727640416E-3</v>
      </c>
      <c r="AK78">
        <v>2035</v>
      </c>
      <c r="AL78" t="s">
        <v>151</v>
      </c>
      <c r="AM78">
        <v>0.30453749999999996</v>
      </c>
      <c r="AN78" t="s">
        <v>218</v>
      </c>
    </row>
    <row r="79" spans="9:40" x14ac:dyDescent="0.45">
      <c r="I79" t="s">
        <v>180</v>
      </c>
      <c r="J79" t="s">
        <v>239</v>
      </c>
      <c r="K79">
        <v>0</v>
      </c>
      <c r="L79" t="s">
        <v>160</v>
      </c>
      <c r="N79" t="s">
        <v>190</v>
      </c>
      <c r="O79" t="s">
        <v>239</v>
      </c>
      <c r="P79">
        <v>4.8733218190378123E-3</v>
      </c>
      <c r="Q79" t="s">
        <v>160</v>
      </c>
      <c r="S79" t="s">
        <v>200</v>
      </c>
      <c r="T79" t="s">
        <v>239</v>
      </c>
      <c r="U79">
        <v>4.8733218190378123E-3</v>
      </c>
      <c r="V79" t="s">
        <v>160</v>
      </c>
      <c r="AC79" t="s">
        <v>19</v>
      </c>
      <c r="AD79" t="s">
        <v>239</v>
      </c>
      <c r="AE79">
        <v>5.5188745233091573E-3</v>
      </c>
      <c r="AK79">
        <v>2035</v>
      </c>
      <c r="AL79" t="s">
        <v>153</v>
      </c>
      <c r="AM79">
        <v>0.27256666666666662</v>
      </c>
      <c r="AN79" t="s">
        <v>218</v>
      </c>
    </row>
    <row r="80" spans="9:40" x14ac:dyDescent="0.45">
      <c r="I80" t="s">
        <v>180</v>
      </c>
      <c r="J80" t="s">
        <v>240</v>
      </c>
      <c r="K80">
        <v>0</v>
      </c>
      <c r="L80" t="s">
        <v>160</v>
      </c>
      <c r="N80" t="s">
        <v>190</v>
      </c>
      <c r="O80" t="s">
        <v>240</v>
      </c>
      <c r="P80">
        <v>7.5224425680633423E-4</v>
      </c>
      <c r="Q80" t="s">
        <v>160</v>
      </c>
      <c r="S80" t="s">
        <v>200</v>
      </c>
      <c r="T80" t="s">
        <v>240</v>
      </c>
      <c r="U80">
        <v>7.5224425680633423E-4</v>
      </c>
      <c r="V80" t="s">
        <v>160</v>
      </c>
      <c r="AC80" t="s">
        <v>19</v>
      </c>
      <c r="AD80" t="s">
        <v>240</v>
      </c>
      <c r="AE80">
        <v>9.021799129407263E-4</v>
      </c>
      <c r="AK80">
        <v>2035</v>
      </c>
      <c r="AL80" t="s">
        <v>220</v>
      </c>
      <c r="AM80">
        <v>0.31669999999999998</v>
      </c>
      <c r="AN80" t="s">
        <v>218</v>
      </c>
    </row>
    <row r="81" spans="9:40" x14ac:dyDescent="0.45">
      <c r="I81" t="s">
        <v>181</v>
      </c>
      <c r="J81" t="s">
        <v>159</v>
      </c>
      <c r="K81">
        <v>0</v>
      </c>
      <c r="L81" t="s">
        <v>160</v>
      </c>
      <c r="N81" t="s">
        <v>191</v>
      </c>
      <c r="O81" t="s">
        <v>159</v>
      </c>
      <c r="P81">
        <v>4.7517086185757507E-2</v>
      </c>
      <c r="Q81" t="s">
        <v>160</v>
      </c>
      <c r="S81" t="s">
        <v>201</v>
      </c>
      <c r="T81" t="s">
        <v>159</v>
      </c>
      <c r="U81">
        <v>4.7517086185757507E-2</v>
      </c>
      <c r="V81" t="s">
        <v>160</v>
      </c>
      <c r="AK81">
        <v>2036</v>
      </c>
      <c r="AL81" t="s">
        <v>145</v>
      </c>
      <c r="AM81">
        <v>0.34933333333333333</v>
      </c>
      <c r="AN81" t="s">
        <v>218</v>
      </c>
    </row>
    <row r="82" spans="9:40" x14ac:dyDescent="0.45">
      <c r="I82" t="s">
        <v>181</v>
      </c>
      <c r="J82" t="s">
        <v>161</v>
      </c>
      <c r="K82">
        <v>0</v>
      </c>
      <c r="L82" t="s">
        <v>160</v>
      </c>
      <c r="N82" t="s">
        <v>191</v>
      </c>
      <c r="O82" t="s">
        <v>161</v>
      </c>
      <c r="P82">
        <v>9.4530816370655881E-3</v>
      </c>
      <c r="Q82" t="s">
        <v>160</v>
      </c>
      <c r="S82" t="s">
        <v>201</v>
      </c>
      <c r="T82" t="s">
        <v>161</v>
      </c>
      <c r="U82">
        <v>9.4530816370655881E-3</v>
      </c>
      <c r="V82" t="s">
        <v>160</v>
      </c>
      <c r="AK82">
        <v>2036</v>
      </c>
      <c r="AL82" t="s">
        <v>149</v>
      </c>
      <c r="AM82">
        <v>0.37369999999999998</v>
      </c>
      <c r="AN82" t="s">
        <v>218</v>
      </c>
    </row>
    <row r="83" spans="9:40" x14ac:dyDescent="0.45">
      <c r="I83" t="s">
        <v>181</v>
      </c>
      <c r="J83" t="s">
        <v>162</v>
      </c>
      <c r="K83">
        <v>0</v>
      </c>
      <c r="L83" t="s">
        <v>160</v>
      </c>
      <c r="N83" t="s">
        <v>191</v>
      </c>
      <c r="O83" t="s">
        <v>162</v>
      </c>
      <c r="P83">
        <v>9.099676221342258E-3</v>
      </c>
      <c r="Q83" t="s">
        <v>160</v>
      </c>
      <c r="S83" t="s">
        <v>201</v>
      </c>
      <c r="T83" t="s">
        <v>162</v>
      </c>
      <c r="U83">
        <v>9.099676221342258E-3</v>
      </c>
      <c r="V83" t="s">
        <v>160</v>
      </c>
      <c r="AK83">
        <v>2036</v>
      </c>
      <c r="AL83" t="s">
        <v>151</v>
      </c>
      <c r="AM83">
        <v>0.30773750000000005</v>
      </c>
      <c r="AN83" t="s">
        <v>218</v>
      </c>
    </row>
    <row r="84" spans="9:40" x14ac:dyDescent="0.45">
      <c r="I84" t="s">
        <v>181</v>
      </c>
      <c r="J84" t="s">
        <v>163</v>
      </c>
      <c r="K84">
        <v>1.0033395075319055E-2</v>
      </c>
      <c r="L84" t="s">
        <v>160</v>
      </c>
      <c r="N84" t="s">
        <v>191</v>
      </c>
      <c r="O84" t="s">
        <v>163</v>
      </c>
      <c r="P84">
        <v>2.5088130082385959E-2</v>
      </c>
      <c r="Q84" t="s">
        <v>160</v>
      </c>
      <c r="S84" t="s">
        <v>201</v>
      </c>
      <c r="T84" t="s">
        <v>163</v>
      </c>
      <c r="U84">
        <v>2.5088130082385959E-2</v>
      </c>
      <c r="V84" t="s">
        <v>160</v>
      </c>
      <c r="AK84">
        <v>2036</v>
      </c>
      <c r="AL84" t="s">
        <v>153</v>
      </c>
      <c r="AM84">
        <v>0.24229999999999999</v>
      </c>
      <c r="AN84" t="s">
        <v>218</v>
      </c>
    </row>
    <row r="85" spans="9:40" x14ac:dyDescent="0.45">
      <c r="I85" t="s">
        <v>181</v>
      </c>
      <c r="J85" t="s">
        <v>164</v>
      </c>
      <c r="K85">
        <v>7.2338971247173714E-2</v>
      </c>
      <c r="L85" t="s">
        <v>160</v>
      </c>
      <c r="N85" t="s">
        <v>191</v>
      </c>
      <c r="O85" t="s">
        <v>164</v>
      </c>
      <c r="P85">
        <v>5.7113963074762582E-2</v>
      </c>
      <c r="Q85" t="s">
        <v>160</v>
      </c>
      <c r="S85" t="s">
        <v>201</v>
      </c>
      <c r="T85" t="s">
        <v>164</v>
      </c>
      <c r="U85">
        <v>5.7113963074762582E-2</v>
      </c>
      <c r="V85" t="s">
        <v>160</v>
      </c>
      <c r="AK85">
        <v>2036</v>
      </c>
      <c r="AL85" t="s">
        <v>220</v>
      </c>
      <c r="AM85">
        <v>0.24510000000000001</v>
      </c>
      <c r="AN85" t="s">
        <v>218</v>
      </c>
    </row>
    <row r="86" spans="9:40" x14ac:dyDescent="0.45">
      <c r="I86" t="s">
        <v>181</v>
      </c>
      <c r="J86" t="s">
        <v>231</v>
      </c>
      <c r="K86">
        <v>2.0457273951829452E-3</v>
      </c>
      <c r="L86" t="s">
        <v>160</v>
      </c>
      <c r="N86" t="s">
        <v>191</v>
      </c>
      <c r="O86" t="s">
        <v>231</v>
      </c>
      <c r="P86">
        <v>5.1318451839071549E-2</v>
      </c>
      <c r="Q86" t="s">
        <v>160</v>
      </c>
      <c r="S86" t="s">
        <v>201</v>
      </c>
      <c r="T86" t="s">
        <v>231</v>
      </c>
      <c r="U86">
        <v>5.1318451839071549E-2</v>
      </c>
      <c r="V86" t="s">
        <v>160</v>
      </c>
      <c r="AK86">
        <v>2037</v>
      </c>
      <c r="AL86" t="s">
        <v>145</v>
      </c>
      <c r="AM86">
        <v>0.34580000000000005</v>
      </c>
      <c r="AN86" t="s">
        <v>218</v>
      </c>
    </row>
    <row r="87" spans="9:40" x14ac:dyDescent="0.45">
      <c r="I87" t="s">
        <v>181</v>
      </c>
      <c r="J87" t="s">
        <v>232</v>
      </c>
      <c r="K87">
        <v>0</v>
      </c>
      <c r="L87" t="s">
        <v>160</v>
      </c>
      <c r="N87" t="s">
        <v>191</v>
      </c>
      <c r="O87" t="s">
        <v>232</v>
      </c>
      <c r="P87">
        <v>8.3624543978783345E-3</v>
      </c>
      <c r="Q87" t="s">
        <v>160</v>
      </c>
      <c r="S87" t="s">
        <v>201</v>
      </c>
      <c r="T87" t="s">
        <v>232</v>
      </c>
      <c r="U87">
        <v>8.3624543978783345E-3</v>
      </c>
      <c r="V87" t="s">
        <v>160</v>
      </c>
      <c r="AK87">
        <v>2037</v>
      </c>
      <c r="AL87" t="s">
        <v>149</v>
      </c>
      <c r="AM87">
        <v>0.35049999999999998</v>
      </c>
      <c r="AN87" t="s">
        <v>218</v>
      </c>
    </row>
    <row r="88" spans="9:40" x14ac:dyDescent="0.45">
      <c r="I88" t="s">
        <v>181</v>
      </c>
      <c r="J88" t="s">
        <v>165</v>
      </c>
      <c r="K88">
        <v>0</v>
      </c>
      <c r="L88" t="s">
        <v>160</v>
      </c>
      <c r="N88" t="s">
        <v>191</v>
      </c>
      <c r="O88" t="s">
        <v>165</v>
      </c>
      <c r="P88">
        <v>1.6517950175620893E-2</v>
      </c>
      <c r="Q88" t="s">
        <v>160</v>
      </c>
      <c r="S88" t="s">
        <v>201</v>
      </c>
      <c r="T88" t="s">
        <v>165</v>
      </c>
      <c r="U88">
        <v>1.6517950175620893E-2</v>
      </c>
      <c r="V88" t="s">
        <v>160</v>
      </c>
      <c r="AK88">
        <v>2037</v>
      </c>
      <c r="AL88" t="s">
        <v>151</v>
      </c>
      <c r="AM88">
        <v>0.29371249999999999</v>
      </c>
      <c r="AN88" t="s">
        <v>218</v>
      </c>
    </row>
    <row r="89" spans="9:40" x14ac:dyDescent="0.45">
      <c r="I89" t="s">
        <v>181</v>
      </c>
      <c r="J89" t="s">
        <v>166</v>
      </c>
      <c r="K89">
        <v>0</v>
      </c>
      <c r="L89" t="s">
        <v>160</v>
      </c>
      <c r="N89" t="s">
        <v>191</v>
      </c>
      <c r="O89" t="s">
        <v>166</v>
      </c>
      <c r="P89">
        <v>3.0626058789753217E-3</v>
      </c>
      <c r="Q89" t="s">
        <v>160</v>
      </c>
      <c r="S89" t="s">
        <v>201</v>
      </c>
      <c r="T89" t="s">
        <v>166</v>
      </c>
      <c r="U89">
        <v>3.0626058789753217E-3</v>
      </c>
      <c r="V89" t="s">
        <v>160</v>
      </c>
      <c r="AK89">
        <v>2037</v>
      </c>
      <c r="AL89" t="s">
        <v>153</v>
      </c>
      <c r="AM89">
        <v>0.2717</v>
      </c>
      <c r="AN89" t="s">
        <v>218</v>
      </c>
    </row>
    <row r="90" spans="9:40" x14ac:dyDescent="0.45">
      <c r="I90" t="s">
        <v>181</v>
      </c>
      <c r="J90" t="s">
        <v>167</v>
      </c>
      <c r="K90">
        <v>0</v>
      </c>
      <c r="L90" t="s">
        <v>160</v>
      </c>
      <c r="N90" t="s">
        <v>191</v>
      </c>
      <c r="O90" t="s">
        <v>167</v>
      </c>
      <c r="P90">
        <v>3.2605399279790636E-3</v>
      </c>
      <c r="Q90" t="s">
        <v>160</v>
      </c>
      <c r="S90" t="s">
        <v>201</v>
      </c>
      <c r="T90" t="s">
        <v>167</v>
      </c>
      <c r="U90">
        <v>3.2605399279790636E-3</v>
      </c>
      <c r="V90" t="s">
        <v>160</v>
      </c>
      <c r="AK90">
        <v>2037</v>
      </c>
      <c r="AL90" t="s">
        <v>220</v>
      </c>
      <c r="AM90">
        <v>0.32829999999999998</v>
      </c>
      <c r="AN90" t="s">
        <v>218</v>
      </c>
    </row>
    <row r="91" spans="9:40" x14ac:dyDescent="0.45">
      <c r="I91" t="s">
        <v>181</v>
      </c>
      <c r="J91" t="s">
        <v>168</v>
      </c>
      <c r="K91">
        <v>7.285202252238417E-3</v>
      </c>
      <c r="L91" t="s">
        <v>160</v>
      </c>
      <c r="N91" t="s">
        <v>191</v>
      </c>
      <c r="O91" t="s">
        <v>168</v>
      </c>
      <c r="P91">
        <v>9.5108736638066654E-3</v>
      </c>
      <c r="Q91" t="s">
        <v>160</v>
      </c>
      <c r="S91" t="s">
        <v>201</v>
      </c>
      <c r="T91" t="s">
        <v>168</v>
      </c>
      <c r="U91">
        <v>9.5108736638066654E-3</v>
      </c>
      <c r="V91" t="s">
        <v>160</v>
      </c>
      <c r="AK91">
        <v>2038</v>
      </c>
      <c r="AL91" t="s">
        <v>145</v>
      </c>
      <c r="AM91">
        <v>0.40466666666666667</v>
      </c>
      <c r="AN91" t="s">
        <v>218</v>
      </c>
    </row>
    <row r="92" spans="9:40" x14ac:dyDescent="0.45">
      <c r="I92" t="s">
        <v>181</v>
      </c>
      <c r="J92" t="s">
        <v>169</v>
      </c>
      <c r="K92">
        <v>3.1355564571561086E-2</v>
      </c>
      <c r="L92" t="s">
        <v>160</v>
      </c>
      <c r="N92" t="s">
        <v>191</v>
      </c>
      <c r="O92" t="s">
        <v>169</v>
      </c>
      <c r="P92">
        <v>2.8887862672722957E-2</v>
      </c>
      <c r="Q92" t="s">
        <v>160</v>
      </c>
      <c r="S92" t="s">
        <v>201</v>
      </c>
      <c r="T92" t="s">
        <v>169</v>
      </c>
      <c r="U92">
        <v>2.8887862672722957E-2</v>
      </c>
      <c r="V92" t="s">
        <v>160</v>
      </c>
      <c r="AK92">
        <v>2038</v>
      </c>
      <c r="AL92" t="s">
        <v>149</v>
      </c>
      <c r="AM92">
        <v>0.42409999999999998</v>
      </c>
      <c r="AN92" t="s">
        <v>218</v>
      </c>
    </row>
    <row r="93" spans="9:40" x14ac:dyDescent="0.45">
      <c r="I93" t="s">
        <v>181</v>
      </c>
      <c r="J93" t="s">
        <v>233</v>
      </c>
      <c r="K93">
        <v>2.8134883683241432E-3</v>
      </c>
      <c r="L93" t="s">
        <v>160</v>
      </c>
      <c r="N93" t="s">
        <v>191</v>
      </c>
      <c r="O93" t="s">
        <v>233</v>
      </c>
      <c r="P93">
        <v>2.5148624238235683E-2</v>
      </c>
      <c r="Q93" t="s">
        <v>160</v>
      </c>
      <c r="S93" t="s">
        <v>201</v>
      </c>
      <c r="T93" t="s">
        <v>233</v>
      </c>
      <c r="U93">
        <v>2.5148624238235683E-2</v>
      </c>
      <c r="V93" t="s">
        <v>160</v>
      </c>
      <c r="AK93">
        <v>2038</v>
      </c>
      <c r="AL93" t="s">
        <v>151</v>
      </c>
      <c r="AM93">
        <v>0.30637500000000001</v>
      </c>
      <c r="AN93" t="s">
        <v>218</v>
      </c>
    </row>
    <row r="94" spans="9:40" x14ac:dyDescent="0.45">
      <c r="I94" t="s">
        <v>181</v>
      </c>
      <c r="J94" t="s">
        <v>234</v>
      </c>
      <c r="K94">
        <v>0</v>
      </c>
      <c r="L94" t="s">
        <v>160</v>
      </c>
      <c r="N94" t="s">
        <v>191</v>
      </c>
      <c r="O94" t="s">
        <v>234</v>
      </c>
      <c r="P94">
        <v>3.4646171869251261E-3</v>
      </c>
      <c r="Q94" t="s">
        <v>160</v>
      </c>
      <c r="S94" t="s">
        <v>201</v>
      </c>
      <c r="T94" t="s">
        <v>234</v>
      </c>
      <c r="U94">
        <v>3.4646171869251261E-3</v>
      </c>
      <c r="V94" t="s">
        <v>160</v>
      </c>
      <c r="AK94">
        <v>2038</v>
      </c>
      <c r="AL94" t="s">
        <v>153</v>
      </c>
      <c r="AM94">
        <v>0.25003333333333333</v>
      </c>
      <c r="AN94" t="s">
        <v>218</v>
      </c>
    </row>
    <row r="95" spans="9:40" x14ac:dyDescent="0.45">
      <c r="I95" t="s">
        <v>181</v>
      </c>
      <c r="J95" t="s">
        <v>170</v>
      </c>
      <c r="K95">
        <v>0</v>
      </c>
      <c r="L95" t="s">
        <v>160</v>
      </c>
      <c r="N95" t="s">
        <v>191</v>
      </c>
      <c r="O95" t="s">
        <v>170</v>
      </c>
      <c r="P95">
        <v>9.7775200113214555E-2</v>
      </c>
      <c r="Q95" t="s">
        <v>160</v>
      </c>
      <c r="S95" t="s">
        <v>201</v>
      </c>
      <c r="T95" t="s">
        <v>170</v>
      </c>
      <c r="U95">
        <v>9.7775200113214555E-2</v>
      </c>
      <c r="V95" t="s">
        <v>160</v>
      </c>
      <c r="AK95">
        <v>2038</v>
      </c>
      <c r="AL95" t="s">
        <v>220</v>
      </c>
      <c r="AM95">
        <v>0.29320000000000002</v>
      </c>
      <c r="AN95" t="s">
        <v>218</v>
      </c>
    </row>
    <row r="96" spans="9:40" x14ac:dyDescent="0.45">
      <c r="I96" t="s">
        <v>181</v>
      </c>
      <c r="J96" t="s">
        <v>171</v>
      </c>
      <c r="K96">
        <v>7.1372202972043546E-3</v>
      </c>
      <c r="L96" t="s">
        <v>160</v>
      </c>
      <c r="N96" t="s">
        <v>191</v>
      </c>
      <c r="O96" t="s">
        <v>171</v>
      </c>
      <c r="P96">
        <v>1.6904275416511138E-2</v>
      </c>
      <c r="Q96" t="s">
        <v>160</v>
      </c>
      <c r="S96" t="s">
        <v>201</v>
      </c>
      <c r="T96" t="s">
        <v>171</v>
      </c>
      <c r="U96">
        <v>1.6904275416511138E-2</v>
      </c>
      <c r="V96" t="s">
        <v>160</v>
      </c>
      <c r="AK96">
        <v>2039</v>
      </c>
      <c r="AL96" t="s">
        <v>145</v>
      </c>
      <c r="AM96">
        <v>0.33453333333333335</v>
      </c>
      <c r="AN96" t="s">
        <v>218</v>
      </c>
    </row>
    <row r="97" spans="9:40" x14ac:dyDescent="0.45">
      <c r="I97" t="s">
        <v>181</v>
      </c>
      <c r="J97" t="s">
        <v>172</v>
      </c>
      <c r="K97">
        <v>2.4279149838968721E-2</v>
      </c>
      <c r="L97" t="s">
        <v>160</v>
      </c>
      <c r="N97" t="s">
        <v>191</v>
      </c>
      <c r="O97" t="s">
        <v>172</v>
      </c>
      <c r="P97">
        <v>1.5533821656665994E-2</v>
      </c>
      <c r="Q97" t="s">
        <v>160</v>
      </c>
      <c r="S97" t="s">
        <v>201</v>
      </c>
      <c r="T97" t="s">
        <v>172</v>
      </c>
      <c r="U97">
        <v>1.5533821656665994E-2</v>
      </c>
      <c r="V97" t="s">
        <v>160</v>
      </c>
      <c r="AK97">
        <v>2039</v>
      </c>
      <c r="AL97" t="s">
        <v>149</v>
      </c>
      <c r="AM97">
        <v>0.33660000000000001</v>
      </c>
      <c r="AN97" t="s">
        <v>218</v>
      </c>
    </row>
    <row r="98" spans="9:40" x14ac:dyDescent="0.45">
      <c r="I98" t="s">
        <v>181</v>
      </c>
      <c r="J98" t="s">
        <v>173</v>
      </c>
      <c r="K98">
        <v>0.17188588514739042</v>
      </c>
      <c r="L98" t="s">
        <v>160</v>
      </c>
      <c r="N98" t="s">
        <v>191</v>
      </c>
      <c r="O98" t="s">
        <v>173</v>
      </c>
      <c r="P98">
        <v>4.1666067459341698E-2</v>
      </c>
      <c r="Q98" t="s">
        <v>160</v>
      </c>
      <c r="S98" t="s">
        <v>201</v>
      </c>
      <c r="T98" t="s">
        <v>173</v>
      </c>
      <c r="U98">
        <v>4.1666067459341698E-2</v>
      </c>
      <c r="V98" t="s">
        <v>160</v>
      </c>
      <c r="AK98">
        <v>2039</v>
      </c>
      <c r="AL98" t="s">
        <v>151</v>
      </c>
      <c r="AM98">
        <v>0.2976125</v>
      </c>
      <c r="AN98" t="s">
        <v>218</v>
      </c>
    </row>
    <row r="99" spans="9:40" x14ac:dyDescent="0.45">
      <c r="I99" t="s">
        <v>181</v>
      </c>
      <c r="J99" t="s">
        <v>174</v>
      </c>
      <c r="K99">
        <v>0.46901429071119355</v>
      </c>
      <c r="L99" t="s">
        <v>160</v>
      </c>
      <c r="N99" t="s">
        <v>191</v>
      </c>
      <c r="O99" t="s">
        <v>174</v>
      </c>
      <c r="P99">
        <v>0.12248735084701992</v>
      </c>
      <c r="Q99" t="s">
        <v>160</v>
      </c>
      <c r="S99" t="s">
        <v>201</v>
      </c>
      <c r="T99" t="s">
        <v>174</v>
      </c>
      <c r="U99">
        <v>0.12248735084701992</v>
      </c>
      <c r="V99" t="s">
        <v>160</v>
      </c>
      <c r="AK99">
        <v>2039</v>
      </c>
      <c r="AL99" t="s">
        <v>153</v>
      </c>
      <c r="AM99">
        <v>0.25993333333333335</v>
      </c>
      <c r="AN99" t="s">
        <v>218</v>
      </c>
    </row>
    <row r="100" spans="9:40" x14ac:dyDescent="0.45">
      <c r="I100" t="s">
        <v>181</v>
      </c>
      <c r="J100" t="s">
        <v>235</v>
      </c>
      <c r="K100">
        <v>7.6723074942619957E-2</v>
      </c>
      <c r="L100" t="s">
        <v>160</v>
      </c>
      <c r="N100" t="s">
        <v>191</v>
      </c>
      <c r="O100" t="s">
        <v>235</v>
      </c>
      <c r="P100">
        <v>0.11762193671579133</v>
      </c>
      <c r="Q100" t="s">
        <v>160</v>
      </c>
      <c r="S100" t="s">
        <v>201</v>
      </c>
      <c r="T100" t="s">
        <v>235</v>
      </c>
      <c r="U100">
        <v>0.11762193671579133</v>
      </c>
      <c r="V100" t="s">
        <v>160</v>
      </c>
      <c r="AK100">
        <v>2039</v>
      </c>
      <c r="AL100" t="s">
        <v>220</v>
      </c>
      <c r="AM100">
        <v>0.23980000000000001</v>
      </c>
      <c r="AN100" t="s">
        <v>218</v>
      </c>
    </row>
    <row r="101" spans="9:40" x14ac:dyDescent="0.45">
      <c r="I101" t="s">
        <v>181</v>
      </c>
      <c r="J101" t="s">
        <v>236</v>
      </c>
      <c r="K101">
        <v>0</v>
      </c>
      <c r="L101" t="s">
        <v>160</v>
      </c>
      <c r="N101" t="s">
        <v>191</v>
      </c>
      <c r="O101" t="s">
        <v>236</v>
      </c>
      <c r="P101">
        <v>1.9970776011905712E-2</v>
      </c>
      <c r="Q101" t="s">
        <v>160</v>
      </c>
      <c r="S101" t="s">
        <v>201</v>
      </c>
      <c r="T101" t="s">
        <v>236</v>
      </c>
      <c r="U101">
        <v>1.9970776011905712E-2</v>
      </c>
      <c r="V101" t="s">
        <v>160</v>
      </c>
      <c r="AK101">
        <v>2040</v>
      </c>
      <c r="AL101" t="s">
        <v>145</v>
      </c>
      <c r="AM101">
        <v>0.32953333333333329</v>
      </c>
      <c r="AN101" t="s">
        <v>218</v>
      </c>
    </row>
    <row r="102" spans="9:40" x14ac:dyDescent="0.45">
      <c r="I102" t="s">
        <v>181</v>
      </c>
      <c r="J102" t="s">
        <v>175</v>
      </c>
      <c r="K102">
        <v>0</v>
      </c>
      <c r="L102" t="s">
        <v>160</v>
      </c>
      <c r="N102" t="s">
        <v>191</v>
      </c>
      <c r="O102" t="s">
        <v>175</v>
      </c>
      <c r="P102">
        <v>4.7957057294859419E-2</v>
      </c>
      <c r="Q102" t="s">
        <v>160</v>
      </c>
      <c r="S102" t="s">
        <v>201</v>
      </c>
      <c r="T102" t="s">
        <v>175</v>
      </c>
      <c r="U102">
        <v>4.7957057294859419E-2</v>
      </c>
      <c r="V102" t="s">
        <v>160</v>
      </c>
      <c r="AK102">
        <v>2040</v>
      </c>
      <c r="AL102" t="s">
        <v>149</v>
      </c>
      <c r="AM102">
        <v>0.32500000000000001</v>
      </c>
      <c r="AN102" t="s">
        <v>218</v>
      </c>
    </row>
    <row r="103" spans="9:40" x14ac:dyDescent="0.45">
      <c r="I103" t="s">
        <v>181</v>
      </c>
      <c r="J103" t="s">
        <v>176</v>
      </c>
      <c r="K103">
        <v>0</v>
      </c>
      <c r="L103" t="s">
        <v>160</v>
      </c>
      <c r="N103" t="s">
        <v>191</v>
      </c>
      <c r="O103" t="s">
        <v>176</v>
      </c>
      <c r="P103">
        <v>9.130883728588635E-3</v>
      </c>
      <c r="Q103" t="s">
        <v>160</v>
      </c>
      <c r="S103" t="s">
        <v>201</v>
      </c>
      <c r="T103" t="s">
        <v>176</v>
      </c>
      <c r="U103">
        <v>9.130883728588635E-3</v>
      </c>
      <c r="V103" t="s">
        <v>160</v>
      </c>
      <c r="AK103">
        <v>2040</v>
      </c>
      <c r="AL103" t="s">
        <v>151</v>
      </c>
      <c r="AM103">
        <v>0.28621249999999998</v>
      </c>
      <c r="AN103" t="s">
        <v>218</v>
      </c>
    </row>
    <row r="104" spans="9:40" x14ac:dyDescent="0.45">
      <c r="I104" t="s">
        <v>181</v>
      </c>
      <c r="J104" t="s">
        <v>177</v>
      </c>
      <c r="K104">
        <v>0</v>
      </c>
      <c r="L104" t="s">
        <v>160</v>
      </c>
      <c r="N104" t="s">
        <v>191</v>
      </c>
      <c r="O104" t="s">
        <v>177</v>
      </c>
      <c r="P104">
        <v>8.9294778395101367E-3</v>
      </c>
      <c r="Q104" t="s">
        <v>160</v>
      </c>
      <c r="S104" t="s">
        <v>201</v>
      </c>
      <c r="T104" t="s">
        <v>177</v>
      </c>
      <c r="U104">
        <v>8.9294778395101367E-3</v>
      </c>
      <c r="V104" t="s">
        <v>160</v>
      </c>
      <c r="AK104">
        <v>2040</v>
      </c>
      <c r="AL104" t="s">
        <v>153</v>
      </c>
      <c r="AM104">
        <v>0.26089999999999997</v>
      </c>
      <c r="AN104" t="s">
        <v>218</v>
      </c>
    </row>
    <row r="105" spans="9:40" x14ac:dyDescent="0.45">
      <c r="I105" t="s">
        <v>181</v>
      </c>
      <c r="J105" t="s">
        <v>178</v>
      </c>
      <c r="K105">
        <v>1.8499736373260151E-2</v>
      </c>
      <c r="L105" t="s">
        <v>160</v>
      </c>
      <c r="N105" t="s">
        <v>191</v>
      </c>
      <c r="O105" t="s">
        <v>178</v>
      </c>
      <c r="P105">
        <v>2.557291889255961E-2</v>
      </c>
      <c r="Q105" t="s">
        <v>160</v>
      </c>
      <c r="S105" t="s">
        <v>201</v>
      </c>
      <c r="T105" t="s">
        <v>178</v>
      </c>
      <c r="U105">
        <v>2.557291889255961E-2</v>
      </c>
      <c r="V105" t="s">
        <v>160</v>
      </c>
      <c r="AK105">
        <v>2040</v>
      </c>
      <c r="AL105" t="s">
        <v>220</v>
      </c>
      <c r="AM105">
        <v>0.28520000000000001</v>
      </c>
      <c r="AN105" t="s">
        <v>218</v>
      </c>
    </row>
    <row r="106" spans="9:40" x14ac:dyDescent="0.45">
      <c r="I106" t="s">
        <v>181</v>
      </c>
      <c r="J106" t="s">
        <v>179</v>
      </c>
      <c r="K106">
        <v>9.6982354287423606E-2</v>
      </c>
      <c r="L106" t="s">
        <v>160</v>
      </c>
      <c r="N106" t="s">
        <v>191</v>
      </c>
      <c r="O106" t="s">
        <v>179</v>
      </c>
      <c r="P106">
        <v>6.5362414077002232E-2</v>
      </c>
      <c r="Q106" t="s">
        <v>160</v>
      </c>
      <c r="S106" t="s">
        <v>201</v>
      </c>
      <c r="T106" t="s">
        <v>179</v>
      </c>
      <c r="U106">
        <v>6.5362414077002232E-2</v>
      </c>
      <c r="V106" t="s">
        <v>160</v>
      </c>
      <c r="AK106">
        <v>2041</v>
      </c>
      <c r="AL106" t="s">
        <v>145</v>
      </c>
      <c r="AM106">
        <v>0.33916666666666667</v>
      </c>
      <c r="AN106" t="s">
        <v>218</v>
      </c>
    </row>
    <row r="107" spans="9:40" x14ac:dyDescent="0.45">
      <c r="I107" t="s">
        <v>181</v>
      </c>
      <c r="J107" t="s">
        <v>237</v>
      </c>
      <c r="K107">
        <v>9.8567521371410033E-4</v>
      </c>
      <c r="L107" t="s">
        <v>160</v>
      </c>
      <c r="N107" t="s">
        <v>191</v>
      </c>
      <c r="O107" t="s">
        <v>237</v>
      </c>
      <c r="P107">
        <v>6.7589080646620198E-2</v>
      </c>
      <c r="Q107" t="s">
        <v>160</v>
      </c>
      <c r="S107" t="s">
        <v>201</v>
      </c>
      <c r="T107" t="s">
        <v>237</v>
      </c>
      <c r="U107">
        <v>6.7589080646620198E-2</v>
      </c>
      <c r="V107" t="s">
        <v>160</v>
      </c>
      <c r="AK107">
        <v>2041</v>
      </c>
      <c r="AL107" t="s">
        <v>149</v>
      </c>
      <c r="AM107">
        <v>0.31119999999999998</v>
      </c>
      <c r="AN107" t="s">
        <v>218</v>
      </c>
    </row>
    <row r="108" spans="9:40" x14ac:dyDescent="0.45">
      <c r="I108" t="s">
        <v>181</v>
      </c>
      <c r="J108" t="s">
        <v>238</v>
      </c>
      <c r="K108">
        <v>0</v>
      </c>
      <c r="L108" t="s">
        <v>160</v>
      </c>
      <c r="N108" t="s">
        <v>191</v>
      </c>
      <c r="O108" t="s">
        <v>238</v>
      </c>
      <c r="P108">
        <v>9.7955047421436677E-3</v>
      </c>
      <c r="Q108" t="s">
        <v>160</v>
      </c>
      <c r="S108" t="s">
        <v>201</v>
      </c>
      <c r="T108" t="s">
        <v>238</v>
      </c>
      <c r="U108">
        <v>9.7955047421436677E-3</v>
      </c>
      <c r="V108" t="s">
        <v>160</v>
      </c>
      <c r="AK108">
        <v>2041</v>
      </c>
      <c r="AL108" t="s">
        <v>151</v>
      </c>
      <c r="AM108">
        <v>0.28935</v>
      </c>
      <c r="AN108" t="s">
        <v>218</v>
      </c>
    </row>
    <row r="109" spans="9:40" x14ac:dyDescent="0.45">
      <c r="I109" t="s">
        <v>181</v>
      </c>
      <c r="J109" t="s">
        <v>222</v>
      </c>
      <c r="K109">
        <v>0</v>
      </c>
      <c r="L109" t="s">
        <v>160</v>
      </c>
      <c r="N109" t="s">
        <v>191</v>
      </c>
      <c r="O109" t="s">
        <v>222</v>
      </c>
      <c r="P109">
        <v>7.4481034317148594E-3</v>
      </c>
      <c r="Q109" t="s">
        <v>160</v>
      </c>
      <c r="S109" t="s">
        <v>201</v>
      </c>
      <c r="T109" t="s">
        <v>222</v>
      </c>
      <c r="U109">
        <v>7.4481034317148594E-3</v>
      </c>
      <c r="V109" t="s">
        <v>160</v>
      </c>
      <c r="AK109">
        <v>2041</v>
      </c>
      <c r="AL109" t="s">
        <v>153</v>
      </c>
      <c r="AM109">
        <v>0.309</v>
      </c>
      <c r="AN109" t="s">
        <v>218</v>
      </c>
    </row>
    <row r="110" spans="9:40" x14ac:dyDescent="0.45">
      <c r="I110" t="s">
        <v>181</v>
      </c>
      <c r="J110" t="s">
        <v>223</v>
      </c>
      <c r="K110">
        <v>0</v>
      </c>
      <c r="L110" t="s">
        <v>160</v>
      </c>
      <c r="N110" t="s">
        <v>191</v>
      </c>
      <c r="O110" t="s">
        <v>223</v>
      </c>
      <c r="P110">
        <v>1.3876767864458624E-3</v>
      </c>
      <c r="Q110" t="s">
        <v>160</v>
      </c>
      <c r="S110" t="s">
        <v>201</v>
      </c>
      <c r="T110" t="s">
        <v>223</v>
      </c>
      <c r="U110">
        <v>1.3876767864458624E-3</v>
      </c>
      <c r="V110" t="s">
        <v>160</v>
      </c>
      <c r="AK110">
        <v>2041</v>
      </c>
      <c r="AL110" t="s">
        <v>220</v>
      </c>
      <c r="AM110">
        <v>0.37759999999999999</v>
      </c>
      <c r="AN110" t="s">
        <v>218</v>
      </c>
    </row>
    <row r="111" spans="9:40" x14ac:dyDescent="0.45">
      <c r="I111" t="s">
        <v>181</v>
      </c>
      <c r="J111" t="s">
        <v>224</v>
      </c>
      <c r="K111">
        <v>0</v>
      </c>
      <c r="L111" t="s">
        <v>160</v>
      </c>
      <c r="N111" t="s">
        <v>191</v>
      </c>
      <c r="O111" t="s">
        <v>224</v>
      </c>
      <c r="P111">
        <v>1.329859989317356E-3</v>
      </c>
      <c r="Q111" t="s">
        <v>160</v>
      </c>
      <c r="S111" t="s">
        <v>201</v>
      </c>
      <c r="T111" t="s">
        <v>224</v>
      </c>
      <c r="U111">
        <v>1.329859989317356E-3</v>
      </c>
      <c r="V111" t="s">
        <v>160</v>
      </c>
      <c r="AK111">
        <v>2042</v>
      </c>
      <c r="AL111" t="s">
        <v>145</v>
      </c>
      <c r="AM111">
        <v>0.40050000000000002</v>
      </c>
      <c r="AN111" t="s">
        <v>218</v>
      </c>
    </row>
    <row r="112" spans="9:40" x14ac:dyDescent="0.45">
      <c r="I112" t="s">
        <v>181</v>
      </c>
      <c r="J112" t="s">
        <v>225</v>
      </c>
      <c r="K112">
        <v>6.0476088818037449E-4</v>
      </c>
      <c r="L112" t="s">
        <v>160</v>
      </c>
      <c r="N112" t="s">
        <v>191</v>
      </c>
      <c r="O112" t="s">
        <v>225</v>
      </c>
      <c r="P112">
        <v>3.9884003554938804E-3</v>
      </c>
      <c r="Q112" t="s">
        <v>160</v>
      </c>
      <c r="S112" t="s">
        <v>201</v>
      </c>
      <c r="T112" t="s">
        <v>225</v>
      </c>
      <c r="U112">
        <v>3.9884003554938804E-3</v>
      </c>
      <c r="V112" t="s">
        <v>160</v>
      </c>
      <c r="AK112">
        <v>2042</v>
      </c>
      <c r="AL112" t="s">
        <v>149</v>
      </c>
      <c r="AM112">
        <v>0.45419999999999999</v>
      </c>
      <c r="AN112" t="s">
        <v>218</v>
      </c>
    </row>
    <row r="113" spans="9:40" x14ac:dyDescent="0.45">
      <c r="I113" t="s">
        <v>181</v>
      </c>
      <c r="J113" t="s">
        <v>226</v>
      </c>
      <c r="K113">
        <v>8.0155033902477163E-3</v>
      </c>
      <c r="L113" t="s">
        <v>160</v>
      </c>
      <c r="N113" t="s">
        <v>191</v>
      </c>
      <c r="O113" t="s">
        <v>226</v>
      </c>
      <c r="P113">
        <v>9.8378312665499488E-3</v>
      </c>
      <c r="Q113" t="s">
        <v>160</v>
      </c>
      <c r="S113" t="s">
        <v>201</v>
      </c>
      <c r="T113" t="s">
        <v>226</v>
      </c>
      <c r="U113">
        <v>9.8378312665499488E-3</v>
      </c>
      <c r="V113" t="s">
        <v>160</v>
      </c>
      <c r="AK113">
        <v>2042</v>
      </c>
      <c r="AL113" t="s">
        <v>151</v>
      </c>
      <c r="AM113">
        <v>0.31375000000000003</v>
      </c>
      <c r="AN113" t="s">
        <v>218</v>
      </c>
    </row>
    <row r="114" spans="9:40" x14ac:dyDescent="0.45">
      <c r="I114" t="s">
        <v>181</v>
      </c>
      <c r="J114" t="s">
        <v>239</v>
      </c>
      <c r="K114">
        <v>0</v>
      </c>
      <c r="L114" t="s">
        <v>160</v>
      </c>
      <c r="N114" t="s">
        <v>191</v>
      </c>
      <c r="O114" t="s">
        <v>239</v>
      </c>
      <c r="P114">
        <v>1.0336147095105682E-2</v>
      </c>
      <c r="Q114" t="s">
        <v>160</v>
      </c>
      <c r="S114" t="s">
        <v>201</v>
      </c>
      <c r="T114" t="s">
        <v>239</v>
      </c>
      <c r="U114">
        <v>1.0336147095105682E-2</v>
      </c>
      <c r="V114" t="s">
        <v>160</v>
      </c>
      <c r="AK114">
        <v>2042</v>
      </c>
      <c r="AL114" t="s">
        <v>153</v>
      </c>
      <c r="AM114">
        <v>0.29896666666666666</v>
      </c>
      <c r="AN114" t="s">
        <v>218</v>
      </c>
    </row>
    <row r="115" spans="9:40" x14ac:dyDescent="0.45">
      <c r="I115" t="s">
        <v>181</v>
      </c>
      <c r="J115" t="s">
        <v>240</v>
      </c>
      <c r="K115">
        <v>0</v>
      </c>
      <c r="L115" t="s">
        <v>160</v>
      </c>
      <c r="N115" t="s">
        <v>191</v>
      </c>
      <c r="O115" t="s">
        <v>240</v>
      </c>
      <c r="P115">
        <v>1.5692984511109398E-3</v>
      </c>
      <c r="Q115" t="s">
        <v>160</v>
      </c>
      <c r="S115" t="s">
        <v>201</v>
      </c>
      <c r="T115" t="s">
        <v>240</v>
      </c>
      <c r="U115">
        <v>1.5692984511109398E-3</v>
      </c>
      <c r="V115" t="s">
        <v>160</v>
      </c>
      <c r="AK115">
        <v>2042</v>
      </c>
      <c r="AL115" t="s">
        <v>220</v>
      </c>
      <c r="AM115">
        <v>0.3322</v>
      </c>
      <c r="AN115" t="s">
        <v>218</v>
      </c>
    </row>
    <row r="116" spans="9:40" x14ac:dyDescent="0.45">
      <c r="I116" t="s">
        <v>182</v>
      </c>
      <c r="J116" t="s">
        <v>159</v>
      </c>
      <c r="K116">
        <v>0</v>
      </c>
      <c r="L116" t="s">
        <v>160</v>
      </c>
      <c r="N116" t="s">
        <v>192</v>
      </c>
      <c r="O116" t="s">
        <v>159</v>
      </c>
      <c r="P116">
        <v>4.8216141873245841E-2</v>
      </c>
      <c r="Q116" t="s">
        <v>160</v>
      </c>
      <c r="S116" t="s">
        <v>202</v>
      </c>
      <c r="T116" t="s">
        <v>159</v>
      </c>
      <c r="U116">
        <v>4.8216141873245841E-2</v>
      </c>
      <c r="V116" t="s">
        <v>160</v>
      </c>
      <c r="AK116">
        <v>2043</v>
      </c>
      <c r="AL116" t="s">
        <v>145</v>
      </c>
      <c r="AM116">
        <v>0.35776666666666662</v>
      </c>
      <c r="AN116" t="s">
        <v>218</v>
      </c>
    </row>
    <row r="117" spans="9:40" x14ac:dyDescent="0.45">
      <c r="I117" t="s">
        <v>182</v>
      </c>
      <c r="J117" t="s">
        <v>161</v>
      </c>
      <c r="K117">
        <v>0</v>
      </c>
      <c r="L117" t="s">
        <v>160</v>
      </c>
      <c r="N117" t="s">
        <v>192</v>
      </c>
      <c r="O117" t="s">
        <v>161</v>
      </c>
      <c r="P117">
        <v>1.229218137503988E-2</v>
      </c>
      <c r="Q117" t="s">
        <v>160</v>
      </c>
      <c r="S117" t="s">
        <v>202</v>
      </c>
      <c r="T117" t="s">
        <v>161</v>
      </c>
      <c r="U117">
        <v>1.229218137503988E-2</v>
      </c>
      <c r="V117" t="s">
        <v>160</v>
      </c>
      <c r="AK117">
        <v>2043</v>
      </c>
      <c r="AL117" t="s">
        <v>149</v>
      </c>
      <c r="AM117">
        <v>0.38269999999999998</v>
      </c>
      <c r="AN117" t="s">
        <v>218</v>
      </c>
    </row>
    <row r="118" spans="9:40" x14ac:dyDescent="0.45">
      <c r="I118" t="s">
        <v>182</v>
      </c>
      <c r="J118" t="s">
        <v>162</v>
      </c>
      <c r="K118">
        <v>0</v>
      </c>
      <c r="L118" t="s">
        <v>160</v>
      </c>
      <c r="N118" t="s">
        <v>192</v>
      </c>
      <c r="O118" t="s">
        <v>162</v>
      </c>
      <c r="P118">
        <v>1.127870479693103E-2</v>
      </c>
      <c r="Q118" t="s">
        <v>160</v>
      </c>
      <c r="S118" t="s">
        <v>202</v>
      </c>
      <c r="T118" t="s">
        <v>162</v>
      </c>
      <c r="U118">
        <v>1.127870479693103E-2</v>
      </c>
      <c r="V118" t="s">
        <v>160</v>
      </c>
      <c r="AK118">
        <v>2043</v>
      </c>
      <c r="AL118" t="s">
        <v>151</v>
      </c>
      <c r="AM118">
        <v>0.31463749999999996</v>
      </c>
      <c r="AN118" t="s">
        <v>218</v>
      </c>
    </row>
    <row r="119" spans="9:40" x14ac:dyDescent="0.45">
      <c r="I119" t="s">
        <v>182</v>
      </c>
      <c r="J119" t="s">
        <v>163</v>
      </c>
      <c r="K119">
        <v>1.1321257894417685E-2</v>
      </c>
      <c r="L119" t="s">
        <v>160</v>
      </c>
      <c r="N119" t="s">
        <v>192</v>
      </c>
      <c r="O119" t="s">
        <v>163</v>
      </c>
      <c r="P119">
        <v>2.9255282182200918E-2</v>
      </c>
      <c r="Q119" t="s">
        <v>160</v>
      </c>
      <c r="S119" t="s">
        <v>202</v>
      </c>
      <c r="T119" t="s">
        <v>163</v>
      </c>
      <c r="U119">
        <v>2.9255282182200918E-2</v>
      </c>
      <c r="V119" t="s">
        <v>160</v>
      </c>
      <c r="AK119">
        <v>2043</v>
      </c>
      <c r="AL119" t="s">
        <v>153</v>
      </c>
      <c r="AM119">
        <v>0.25509999999999999</v>
      </c>
      <c r="AN119" t="s">
        <v>218</v>
      </c>
    </row>
    <row r="120" spans="9:40" x14ac:dyDescent="0.45">
      <c r="I120" t="s">
        <v>182</v>
      </c>
      <c r="J120" t="s">
        <v>164</v>
      </c>
      <c r="K120">
        <v>7.4077149899035008E-2</v>
      </c>
      <c r="L120" t="s">
        <v>160</v>
      </c>
      <c r="N120" t="s">
        <v>192</v>
      </c>
      <c r="O120" t="s">
        <v>164</v>
      </c>
      <c r="P120">
        <v>6.379732928766188E-2</v>
      </c>
      <c r="Q120" t="s">
        <v>160</v>
      </c>
      <c r="S120" t="s">
        <v>202</v>
      </c>
      <c r="T120" t="s">
        <v>164</v>
      </c>
      <c r="U120">
        <v>6.379732928766188E-2</v>
      </c>
      <c r="V120" t="s">
        <v>160</v>
      </c>
      <c r="AK120">
        <v>2043</v>
      </c>
      <c r="AL120" t="s">
        <v>220</v>
      </c>
      <c r="AM120">
        <v>0.2258</v>
      </c>
      <c r="AN120" t="s">
        <v>218</v>
      </c>
    </row>
    <row r="121" spans="9:40" x14ac:dyDescent="0.45">
      <c r="I121" t="s">
        <v>182</v>
      </c>
      <c r="J121" t="s">
        <v>231</v>
      </c>
      <c r="K121">
        <v>2.5650423405872962E-3</v>
      </c>
      <c r="L121" t="s">
        <v>160</v>
      </c>
      <c r="N121" t="s">
        <v>192</v>
      </c>
      <c r="O121" t="s">
        <v>231</v>
      </c>
      <c r="P121">
        <v>5.2692795675209896E-2</v>
      </c>
      <c r="Q121" t="s">
        <v>160</v>
      </c>
      <c r="S121" t="s">
        <v>202</v>
      </c>
      <c r="T121" t="s">
        <v>231</v>
      </c>
      <c r="U121">
        <v>5.2692795675209896E-2</v>
      </c>
      <c r="V121" t="s">
        <v>160</v>
      </c>
      <c r="AK121">
        <v>2044</v>
      </c>
      <c r="AL121" t="s">
        <v>145</v>
      </c>
      <c r="AM121">
        <v>0.36853333333333332</v>
      </c>
      <c r="AN121" t="s">
        <v>218</v>
      </c>
    </row>
    <row r="122" spans="9:40" x14ac:dyDescent="0.45">
      <c r="I122" t="s">
        <v>182</v>
      </c>
      <c r="J122" t="s">
        <v>232</v>
      </c>
      <c r="K122">
        <v>0</v>
      </c>
      <c r="L122" t="s">
        <v>160</v>
      </c>
      <c r="N122" t="s">
        <v>192</v>
      </c>
      <c r="O122" t="s">
        <v>232</v>
      </c>
      <c r="P122">
        <v>7.406203042067518E-3</v>
      </c>
      <c r="Q122" t="s">
        <v>160</v>
      </c>
      <c r="S122" t="s">
        <v>202</v>
      </c>
      <c r="T122" t="s">
        <v>232</v>
      </c>
      <c r="U122">
        <v>7.406203042067518E-3</v>
      </c>
      <c r="V122" t="s">
        <v>160</v>
      </c>
      <c r="AK122">
        <v>2044</v>
      </c>
      <c r="AL122" t="s">
        <v>149</v>
      </c>
      <c r="AM122">
        <v>0.42199999999999999</v>
      </c>
      <c r="AN122" t="s">
        <v>218</v>
      </c>
    </row>
    <row r="123" spans="9:40" x14ac:dyDescent="0.45">
      <c r="I123" t="s">
        <v>182</v>
      </c>
      <c r="J123" t="s">
        <v>165</v>
      </c>
      <c r="K123">
        <v>0</v>
      </c>
      <c r="L123" t="s">
        <v>160</v>
      </c>
      <c r="N123" t="s">
        <v>192</v>
      </c>
      <c r="O123" t="s">
        <v>165</v>
      </c>
      <c r="P123">
        <v>1.8246956728213113E-2</v>
      </c>
      <c r="Q123" t="s">
        <v>160</v>
      </c>
      <c r="S123" t="s">
        <v>202</v>
      </c>
      <c r="T123" t="s">
        <v>165</v>
      </c>
      <c r="U123">
        <v>1.8246956728213113E-2</v>
      </c>
      <c r="V123" t="s">
        <v>160</v>
      </c>
      <c r="AK123">
        <v>2044</v>
      </c>
      <c r="AL123" t="s">
        <v>151</v>
      </c>
      <c r="AM123">
        <v>0.32133749999999994</v>
      </c>
      <c r="AN123" t="s">
        <v>218</v>
      </c>
    </row>
    <row r="124" spans="9:40" x14ac:dyDescent="0.45">
      <c r="I124" t="s">
        <v>182</v>
      </c>
      <c r="J124" t="s">
        <v>166</v>
      </c>
      <c r="K124">
        <v>0</v>
      </c>
      <c r="L124" t="s">
        <v>160</v>
      </c>
      <c r="N124" t="s">
        <v>192</v>
      </c>
      <c r="O124" t="s">
        <v>166</v>
      </c>
      <c r="P124">
        <v>3.5906525803744743E-3</v>
      </c>
      <c r="Q124" t="s">
        <v>160</v>
      </c>
      <c r="S124" t="s">
        <v>202</v>
      </c>
      <c r="T124" t="s">
        <v>166</v>
      </c>
      <c r="U124">
        <v>3.5906525803744743E-3</v>
      </c>
      <c r="V124" t="s">
        <v>160</v>
      </c>
      <c r="AK124">
        <v>2044</v>
      </c>
      <c r="AL124" t="s">
        <v>153</v>
      </c>
      <c r="AM124">
        <v>0.26579999999999998</v>
      </c>
      <c r="AN124" t="s">
        <v>218</v>
      </c>
    </row>
    <row r="125" spans="9:40" x14ac:dyDescent="0.45">
      <c r="I125" t="s">
        <v>182</v>
      </c>
      <c r="J125" t="s">
        <v>167</v>
      </c>
      <c r="K125">
        <v>0</v>
      </c>
      <c r="L125" t="s">
        <v>160</v>
      </c>
      <c r="N125" t="s">
        <v>192</v>
      </c>
      <c r="O125" t="s">
        <v>167</v>
      </c>
      <c r="P125">
        <v>3.6621829864271725E-3</v>
      </c>
      <c r="Q125" t="s">
        <v>160</v>
      </c>
      <c r="S125" t="s">
        <v>202</v>
      </c>
      <c r="T125" t="s">
        <v>167</v>
      </c>
      <c r="U125">
        <v>3.6621829864271725E-3</v>
      </c>
      <c r="V125" t="s">
        <v>160</v>
      </c>
      <c r="AK125">
        <v>2044</v>
      </c>
      <c r="AL125" t="s">
        <v>220</v>
      </c>
      <c r="AM125">
        <v>0.29480000000000001</v>
      </c>
      <c r="AN125" t="s">
        <v>218</v>
      </c>
    </row>
    <row r="126" spans="9:40" x14ac:dyDescent="0.45">
      <c r="I126" t="s">
        <v>182</v>
      </c>
      <c r="J126" t="s">
        <v>168</v>
      </c>
      <c r="K126">
        <v>6.3374328847377332E-3</v>
      </c>
      <c r="L126" t="s">
        <v>160</v>
      </c>
      <c r="N126" t="s">
        <v>192</v>
      </c>
      <c r="O126" t="s">
        <v>168</v>
      </c>
      <c r="P126">
        <v>1.1435170634702431E-2</v>
      </c>
      <c r="Q126" t="s">
        <v>160</v>
      </c>
      <c r="S126" t="s">
        <v>202</v>
      </c>
      <c r="T126" t="s">
        <v>168</v>
      </c>
      <c r="U126">
        <v>1.1435170634702431E-2</v>
      </c>
      <c r="V126" t="s">
        <v>160</v>
      </c>
      <c r="AK126">
        <v>2045</v>
      </c>
      <c r="AL126" t="s">
        <v>145</v>
      </c>
      <c r="AM126">
        <v>0.3788333333333333</v>
      </c>
      <c r="AN126" t="s">
        <v>218</v>
      </c>
    </row>
    <row r="127" spans="9:40" x14ac:dyDescent="0.45">
      <c r="I127" t="s">
        <v>182</v>
      </c>
      <c r="J127" t="s">
        <v>169</v>
      </c>
      <c r="K127">
        <v>3.0241479371958164E-2</v>
      </c>
      <c r="L127" t="s">
        <v>160</v>
      </c>
      <c r="N127" t="s">
        <v>192</v>
      </c>
      <c r="O127" t="s">
        <v>169</v>
      </c>
      <c r="P127">
        <v>3.8808001660768809E-2</v>
      </c>
      <c r="Q127" t="s">
        <v>160</v>
      </c>
      <c r="S127" t="s">
        <v>202</v>
      </c>
      <c r="T127" t="s">
        <v>169</v>
      </c>
      <c r="U127">
        <v>3.8808001660768809E-2</v>
      </c>
      <c r="V127" t="s">
        <v>160</v>
      </c>
      <c r="AK127">
        <v>2045</v>
      </c>
      <c r="AL127" t="s">
        <v>149</v>
      </c>
      <c r="AM127">
        <v>0.3377</v>
      </c>
      <c r="AN127" t="s">
        <v>218</v>
      </c>
    </row>
    <row r="128" spans="9:40" x14ac:dyDescent="0.45">
      <c r="I128" t="s">
        <v>182</v>
      </c>
      <c r="J128" t="s">
        <v>233</v>
      </c>
      <c r="K128">
        <v>3.4105233330218869E-3</v>
      </c>
      <c r="L128" t="s">
        <v>160</v>
      </c>
      <c r="N128" t="s">
        <v>192</v>
      </c>
      <c r="O128" t="s">
        <v>233</v>
      </c>
      <c r="P128">
        <v>3.007886958020484E-2</v>
      </c>
      <c r="Q128" t="s">
        <v>160</v>
      </c>
      <c r="S128" t="s">
        <v>202</v>
      </c>
      <c r="T128" t="s">
        <v>233</v>
      </c>
      <c r="U128">
        <v>3.007886958020484E-2</v>
      </c>
      <c r="V128" t="s">
        <v>160</v>
      </c>
      <c r="AK128">
        <v>2045</v>
      </c>
      <c r="AL128" t="s">
        <v>151</v>
      </c>
      <c r="AM128">
        <v>0.30004999999999998</v>
      </c>
      <c r="AN128" t="s">
        <v>218</v>
      </c>
    </row>
    <row r="129" spans="9:40" x14ac:dyDescent="0.45">
      <c r="I129" t="s">
        <v>182</v>
      </c>
      <c r="J129" t="s">
        <v>234</v>
      </c>
      <c r="K129">
        <v>0</v>
      </c>
      <c r="L129" t="s">
        <v>160</v>
      </c>
      <c r="N129" t="s">
        <v>192</v>
      </c>
      <c r="O129" t="s">
        <v>234</v>
      </c>
      <c r="P129">
        <v>3.7967997822500551E-3</v>
      </c>
      <c r="Q129" t="s">
        <v>160</v>
      </c>
      <c r="S129" t="s">
        <v>202</v>
      </c>
      <c r="T129" t="s">
        <v>234</v>
      </c>
      <c r="U129">
        <v>3.7967997822500551E-3</v>
      </c>
      <c r="V129" t="s">
        <v>160</v>
      </c>
      <c r="AK129">
        <v>2045</v>
      </c>
      <c r="AL129" t="s">
        <v>153</v>
      </c>
      <c r="AM129">
        <v>0.28050000000000003</v>
      </c>
      <c r="AN129" t="s">
        <v>218</v>
      </c>
    </row>
    <row r="130" spans="9:40" x14ac:dyDescent="0.45">
      <c r="I130" t="s">
        <v>182</v>
      </c>
      <c r="J130" t="s">
        <v>170</v>
      </c>
      <c r="K130">
        <v>0</v>
      </c>
      <c r="L130" t="s">
        <v>160</v>
      </c>
      <c r="N130" t="s">
        <v>192</v>
      </c>
      <c r="O130" t="s">
        <v>170</v>
      </c>
      <c r="P130">
        <v>6.9496478602200235E-2</v>
      </c>
      <c r="Q130" t="s">
        <v>160</v>
      </c>
      <c r="S130" t="s">
        <v>202</v>
      </c>
      <c r="T130" t="s">
        <v>170</v>
      </c>
      <c r="U130">
        <v>6.9496478602200235E-2</v>
      </c>
      <c r="V130" t="s">
        <v>160</v>
      </c>
      <c r="AK130">
        <v>2045</v>
      </c>
      <c r="AL130" t="s">
        <v>220</v>
      </c>
      <c r="AM130">
        <v>0.31440000000000001</v>
      </c>
      <c r="AN130" t="s">
        <v>218</v>
      </c>
    </row>
    <row r="131" spans="9:40" x14ac:dyDescent="0.45">
      <c r="I131" t="s">
        <v>182</v>
      </c>
      <c r="J131" t="s">
        <v>171</v>
      </c>
      <c r="K131">
        <v>6.646631009320364E-3</v>
      </c>
      <c r="L131" t="s">
        <v>160</v>
      </c>
      <c r="N131" t="s">
        <v>192</v>
      </c>
      <c r="O131" t="s">
        <v>171</v>
      </c>
      <c r="P131">
        <v>1.169806674538504E-2</v>
      </c>
      <c r="Q131" t="s">
        <v>160</v>
      </c>
      <c r="S131" t="s">
        <v>202</v>
      </c>
      <c r="T131" t="s">
        <v>171</v>
      </c>
      <c r="U131">
        <v>1.169806674538504E-2</v>
      </c>
      <c r="V131" t="s">
        <v>160</v>
      </c>
      <c r="AK131">
        <v>2046</v>
      </c>
      <c r="AL131" t="s">
        <v>145</v>
      </c>
      <c r="AM131">
        <v>0.33076666666666665</v>
      </c>
      <c r="AN131" t="s">
        <v>218</v>
      </c>
    </row>
    <row r="132" spans="9:40" x14ac:dyDescent="0.45">
      <c r="I132" t="s">
        <v>182</v>
      </c>
      <c r="J132" t="s">
        <v>172</v>
      </c>
      <c r="K132">
        <v>2.4591927297432602E-2</v>
      </c>
      <c r="L132" t="s">
        <v>160</v>
      </c>
      <c r="N132" t="s">
        <v>192</v>
      </c>
      <c r="O132" t="s">
        <v>172</v>
      </c>
      <c r="P132">
        <v>1.0921345439774594E-2</v>
      </c>
      <c r="Q132" t="s">
        <v>160</v>
      </c>
      <c r="S132" t="s">
        <v>202</v>
      </c>
      <c r="T132" t="s">
        <v>172</v>
      </c>
      <c r="U132">
        <v>1.0921345439774594E-2</v>
      </c>
      <c r="V132" t="s">
        <v>160</v>
      </c>
      <c r="AK132">
        <v>2046</v>
      </c>
      <c r="AL132" t="s">
        <v>149</v>
      </c>
      <c r="AM132">
        <v>0.40679999999999999</v>
      </c>
      <c r="AN132" t="s">
        <v>218</v>
      </c>
    </row>
    <row r="133" spans="9:40" x14ac:dyDescent="0.45">
      <c r="I133" t="s">
        <v>182</v>
      </c>
      <c r="J133" t="s">
        <v>173</v>
      </c>
      <c r="K133">
        <v>0.17497659676925997</v>
      </c>
      <c r="L133" t="s">
        <v>160</v>
      </c>
      <c r="N133" t="s">
        <v>192</v>
      </c>
      <c r="O133" t="s">
        <v>173</v>
      </c>
      <c r="P133">
        <v>3.067185482921506E-2</v>
      </c>
      <c r="Q133" t="s">
        <v>160</v>
      </c>
      <c r="S133" t="s">
        <v>202</v>
      </c>
      <c r="T133" t="s">
        <v>173</v>
      </c>
      <c r="U133">
        <v>3.067185482921506E-2</v>
      </c>
      <c r="V133" t="s">
        <v>160</v>
      </c>
      <c r="AK133">
        <v>2046</v>
      </c>
      <c r="AL133" t="s">
        <v>151</v>
      </c>
      <c r="AM133">
        <v>0.29233750000000003</v>
      </c>
      <c r="AN133" t="s">
        <v>218</v>
      </c>
    </row>
    <row r="134" spans="9:40" x14ac:dyDescent="0.45">
      <c r="I134" t="s">
        <v>182</v>
      </c>
      <c r="J134" t="s">
        <v>174</v>
      </c>
      <c r="K134">
        <v>0.46241815357470922</v>
      </c>
      <c r="L134" t="s">
        <v>160</v>
      </c>
      <c r="N134" t="s">
        <v>192</v>
      </c>
      <c r="O134" t="s">
        <v>174</v>
      </c>
      <c r="P134">
        <v>0.14391667362072597</v>
      </c>
      <c r="Q134" t="s">
        <v>160</v>
      </c>
      <c r="S134" t="s">
        <v>202</v>
      </c>
      <c r="T134" t="s">
        <v>174</v>
      </c>
      <c r="U134">
        <v>0.14391667362072597</v>
      </c>
      <c r="V134" t="s">
        <v>160</v>
      </c>
      <c r="AK134">
        <v>2046</v>
      </c>
      <c r="AL134" t="s">
        <v>153</v>
      </c>
      <c r="AM134">
        <v>0.2954</v>
      </c>
      <c r="AN134" t="s">
        <v>218</v>
      </c>
    </row>
    <row r="135" spans="9:40" x14ac:dyDescent="0.45">
      <c r="I135" t="s">
        <v>182</v>
      </c>
      <c r="J135" t="s">
        <v>235</v>
      </c>
      <c r="K135">
        <v>8.0168998642715192E-2</v>
      </c>
      <c r="L135" t="s">
        <v>160</v>
      </c>
      <c r="N135" t="s">
        <v>192</v>
      </c>
      <c r="O135" t="s">
        <v>235</v>
      </c>
      <c r="P135">
        <v>0.12045481373318416</v>
      </c>
      <c r="Q135" t="s">
        <v>160</v>
      </c>
      <c r="S135" t="s">
        <v>202</v>
      </c>
      <c r="T135" t="s">
        <v>235</v>
      </c>
      <c r="U135">
        <v>0.12045481373318416</v>
      </c>
      <c r="V135" t="s">
        <v>160</v>
      </c>
      <c r="AK135">
        <v>2046</v>
      </c>
      <c r="AL135" t="s">
        <v>220</v>
      </c>
      <c r="AM135">
        <v>0.33539999999999998</v>
      </c>
      <c r="AN135" t="s">
        <v>218</v>
      </c>
    </row>
    <row r="136" spans="9:40" x14ac:dyDescent="0.45">
      <c r="I136" t="s">
        <v>182</v>
      </c>
      <c r="J136" t="s">
        <v>236</v>
      </c>
      <c r="K136">
        <v>0</v>
      </c>
      <c r="L136" t="s">
        <v>160</v>
      </c>
      <c r="N136" t="s">
        <v>192</v>
      </c>
      <c r="O136" t="s">
        <v>236</v>
      </c>
      <c r="P136">
        <v>1.4269523640515681E-2</v>
      </c>
      <c r="Q136" t="s">
        <v>160</v>
      </c>
      <c r="S136" t="s">
        <v>202</v>
      </c>
      <c r="T136" t="s">
        <v>236</v>
      </c>
      <c r="U136">
        <v>1.4269523640515681E-2</v>
      </c>
      <c r="V136" t="s">
        <v>160</v>
      </c>
      <c r="AK136">
        <v>2047</v>
      </c>
      <c r="AL136" t="s">
        <v>145</v>
      </c>
      <c r="AM136">
        <v>0.35779999999999995</v>
      </c>
      <c r="AN136" t="s">
        <v>218</v>
      </c>
    </row>
    <row r="137" spans="9:40" x14ac:dyDescent="0.45">
      <c r="I137" t="s">
        <v>182</v>
      </c>
      <c r="J137" t="s">
        <v>175</v>
      </c>
      <c r="K137">
        <v>0</v>
      </c>
      <c r="L137" t="s">
        <v>160</v>
      </c>
      <c r="N137" t="s">
        <v>192</v>
      </c>
      <c r="O137" t="s">
        <v>175</v>
      </c>
      <c r="P137">
        <v>4.5185201557847401E-2</v>
      </c>
      <c r="Q137" t="s">
        <v>160</v>
      </c>
      <c r="S137" t="s">
        <v>202</v>
      </c>
      <c r="T137" t="s">
        <v>175</v>
      </c>
      <c r="U137">
        <v>4.5185201557847401E-2</v>
      </c>
      <c r="V137" t="s">
        <v>160</v>
      </c>
      <c r="AK137">
        <v>2047</v>
      </c>
      <c r="AL137" t="s">
        <v>149</v>
      </c>
      <c r="AM137">
        <v>0.39140000000000003</v>
      </c>
      <c r="AN137" t="s">
        <v>218</v>
      </c>
    </row>
    <row r="138" spans="9:40" x14ac:dyDescent="0.45">
      <c r="I138" t="s">
        <v>182</v>
      </c>
      <c r="J138" t="s">
        <v>176</v>
      </c>
      <c r="K138">
        <v>0</v>
      </c>
      <c r="L138" t="s">
        <v>160</v>
      </c>
      <c r="N138" t="s">
        <v>192</v>
      </c>
      <c r="O138" t="s">
        <v>176</v>
      </c>
      <c r="P138">
        <v>8.984686698496485E-3</v>
      </c>
      <c r="Q138" t="s">
        <v>160</v>
      </c>
      <c r="S138" t="s">
        <v>202</v>
      </c>
      <c r="T138" t="s">
        <v>176</v>
      </c>
      <c r="U138">
        <v>8.984686698496485E-3</v>
      </c>
      <c r="V138" t="s">
        <v>160</v>
      </c>
      <c r="AK138">
        <v>2047</v>
      </c>
      <c r="AL138" t="s">
        <v>151</v>
      </c>
      <c r="AM138">
        <v>0.30146249999999997</v>
      </c>
      <c r="AN138" t="s">
        <v>218</v>
      </c>
    </row>
    <row r="139" spans="9:40" x14ac:dyDescent="0.45">
      <c r="I139" t="s">
        <v>182</v>
      </c>
      <c r="J139" t="s">
        <v>177</v>
      </c>
      <c r="K139">
        <v>0</v>
      </c>
      <c r="L139" t="s">
        <v>160</v>
      </c>
      <c r="N139" t="s">
        <v>192</v>
      </c>
      <c r="O139" t="s">
        <v>177</v>
      </c>
      <c r="P139">
        <v>9.0182661615139034E-3</v>
      </c>
      <c r="Q139" t="s">
        <v>160</v>
      </c>
      <c r="S139" t="s">
        <v>202</v>
      </c>
      <c r="T139" t="s">
        <v>177</v>
      </c>
      <c r="U139">
        <v>9.0182661615139034E-3</v>
      </c>
      <c r="V139" t="s">
        <v>160</v>
      </c>
      <c r="AK139">
        <v>2047</v>
      </c>
      <c r="AL139" t="s">
        <v>153</v>
      </c>
      <c r="AM139">
        <v>0.28550000000000003</v>
      </c>
      <c r="AN139" t="s">
        <v>218</v>
      </c>
    </row>
    <row r="140" spans="9:40" x14ac:dyDescent="0.45">
      <c r="I140" t="s">
        <v>182</v>
      </c>
      <c r="J140" t="s">
        <v>178</v>
      </c>
      <c r="K140">
        <v>1.8478644911687218E-2</v>
      </c>
      <c r="L140" t="s">
        <v>160</v>
      </c>
      <c r="N140" t="s">
        <v>192</v>
      </c>
      <c r="O140" t="s">
        <v>178</v>
      </c>
      <c r="P140">
        <v>2.5674448888280844E-2</v>
      </c>
      <c r="Q140" t="s">
        <v>160</v>
      </c>
      <c r="S140" t="s">
        <v>202</v>
      </c>
      <c r="T140" t="s">
        <v>178</v>
      </c>
      <c r="U140">
        <v>2.5674448888280844E-2</v>
      </c>
      <c r="V140" t="s">
        <v>160</v>
      </c>
      <c r="AK140">
        <v>2047</v>
      </c>
      <c r="AL140" t="s">
        <v>220</v>
      </c>
      <c r="AM140">
        <v>0.24010000000000001</v>
      </c>
      <c r="AN140" t="s">
        <v>218</v>
      </c>
    </row>
    <row r="141" spans="9:40" x14ac:dyDescent="0.45">
      <c r="I141" t="s">
        <v>182</v>
      </c>
      <c r="J141" t="s">
        <v>179</v>
      </c>
      <c r="K141">
        <v>9.7645565967190318E-2</v>
      </c>
      <c r="L141" t="s">
        <v>160</v>
      </c>
      <c r="N141" t="s">
        <v>192</v>
      </c>
      <c r="O141" t="s">
        <v>179</v>
      </c>
      <c r="P141">
        <v>7.5064329905537616E-2</v>
      </c>
      <c r="Q141" t="s">
        <v>160</v>
      </c>
      <c r="S141" t="s">
        <v>202</v>
      </c>
      <c r="T141" t="s">
        <v>179</v>
      </c>
      <c r="U141">
        <v>7.5064329905537616E-2</v>
      </c>
      <c r="V141" t="s">
        <v>160</v>
      </c>
      <c r="AK141">
        <v>2048</v>
      </c>
      <c r="AL141" t="s">
        <v>145</v>
      </c>
      <c r="AM141">
        <v>0.33396666666666669</v>
      </c>
      <c r="AN141" t="s">
        <v>218</v>
      </c>
    </row>
    <row r="142" spans="9:40" x14ac:dyDescent="0.45">
      <c r="I142" t="s">
        <v>182</v>
      </c>
      <c r="J142" t="s">
        <v>237</v>
      </c>
      <c r="K142">
        <v>1.251756382412E-3</v>
      </c>
      <c r="L142" t="s">
        <v>160</v>
      </c>
      <c r="N142" t="s">
        <v>192</v>
      </c>
      <c r="O142" t="s">
        <v>237</v>
      </c>
      <c r="P142">
        <v>7.1366472278231896E-2</v>
      </c>
      <c r="Q142" t="s">
        <v>160</v>
      </c>
      <c r="S142" t="s">
        <v>202</v>
      </c>
      <c r="T142" t="s">
        <v>237</v>
      </c>
      <c r="U142">
        <v>7.1366472278231896E-2</v>
      </c>
      <c r="V142" t="s">
        <v>160</v>
      </c>
      <c r="AK142">
        <v>2048</v>
      </c>
      <c r="AL142" t="s">
        <v>149</v>
      </c>
      <c r="AM142">
        <v>0.37459999999999999</v>
      </c>
      <c r="AN142" t="s">
        <v>218</v>
      </c>
    </row>
    <row r="143" spans="9:40" x14ac:dyDescent="0.45">
      <c r="I143" t="s">
        <v>182</v>
      </c>
      <c r="J143" t="s">
        <v>238</v>
      </c>
      <c r="K143">
        <v>0</v>
      </c>
      <c r="L143" t="s">
        <v>160</v>
      </c>
      <c r="N143" t="s">
        <v>192</v>
      </c>
      <c r="O143" t="s">
        <v>238</v>
      </c>
      <c r="P143">
        <v>8.404593130463503E-3</v>
      </c>
      <c r="Q143" t="s">
        <v>160</v>
      </c>
      <c r="S143" t="s">
        <v>202</v>
      </c>
      <c r="T143" t="s">
        <v>238</v>
      </c>
      <c r="U143">
        <v>8.404593130463503E-3</v>
      </c>
      <c r="V143" t="s">
        <v>160</v>
      </c>
      <c r="AK143">
        <v>2048</v>
      </c>
      <c r="AL143" t="s">
        <v>151</v>
      </c>
      <c r="AM143">
        <v>0.29086250000000002</v>
      </c>
      <c r="AN143" t="s">
        <v>218</v>
      </c>
    </row>
    <row r="144" spans="9:40" x14ac:dyDescent="0.45">
      <c r="I144" t="s">
        <v>182</v>
      </c>
      <c r="J144" t="s">
        <v>222</v>
      </c>
      <c r="K144">
        <v>0</v>
      </c>
      <c r="L144" t="s">
        <v>160</v>
      </c>
      <c r="N144" t="s">
        <v>192</v>
      </c>
      <c r="O144" t="s">
        <v>222</v>
      </c>
      <c r="P144">
        <v>4.0498806649868681E-3</v>
      </c>
      <c r="Q144" t="s">
        <v>160</v>
      </c>
      <c r="S144" t="s">
        <v>202</v>
      </c>
      <c r="T144" t="s">
        <v>222</v>
      </c>
      <c r="U144">
        <v>4.0498806649868681E-3</v>
      </c>
      <c r="V144" t="s">
        <v>160</v>
      </c>
      <c r="AK144">
        <v>2048</v>
      </c>
      <c r="AL144" t="s">
        <v>153</v>
      </c>
      <c r="AM144">
        <v>0.26713333333333339</v>
      </c>
      <c r="AN144" t="s">
        <v>218</v>
      </c>
    </row>
    <row r="145" spans="9:40" x14ac:dyDescent="0.45">
      <c r="I145" t="s">
        <v>182</v>
      </c>
      <c r="J145" t="s">
        <v>223</v>
      </c>
      <c r="K145">
        <v>0</v>
      </c>
      <c r="L145" t="s">
        <v>160</v>
      </c>
      <c r="N145" t="s">
        <v>192</v>
      </c>
      <c r="O145" t="s">
        <v>223</v>
      </c>
      <c r="P145">
        <v>6.6148587591389433E-4</v>
      </c>
      <c r="Q145" t="s">
        <v>160</v>
      </c>
      <c r="S145" t="s">
        <v>202</v>
      </c>
      <c r="T145" t="s">
        <v>223</v>
      </c>
      <c r="U145">
        <v>6.6148587591389433E-4</v>
      </c>
      <c r="V145" t="s">
        <v>160</v>
      </c>
      <c r="AK145">
        <v>2048</v>
      </c>
      <c r="AL145" t="s">
        <v>220</v>
      </c>
      <c r="AM145">
        <v>0.28360000000000002</v>
      </c>
      <c r="AN145" t="s">
        <v>218</v>
      </c>
    </row>
    <row r="146" spans="9:40" x14ac:dyDescent="0.45">
      <c r="I146" t="s">
        <v>182</v>
      </c>
      <c r="J146" t="s">
        <v>224</v>
      </c>
      <c r="K146">
        <v>0</v>
      </c>
      <c r="L146" t="s">
        <v>160</v>
      </c>
      <c r="N146" t="s">
        <v>192</v>
      </c>
      <c r="O146" t="s">
        <v>224</v>
      </c>
      <c r="P146">
        <v>6.2835163223476918E-4</v>
      </c>
      <c r="Q146" t="s">
        <v>160</v>
      </c>
      <c r="S146" t="s">
        <v>202</v>
      </c>
      <c r="T146" t="s">
        <v>224</v>
      </c>
      <c r="U146">
        <v>6.2835163223476918E-4</v>
      </c>
      <c r="V146" t="s">
        <v>160</v>
      </c>
      <c r="AK146">
        <v>2049</v>
      </c>
      <c r="AL146" t="s">
        <v>145</v>
      </c>
      <c r="AM146">
        <v>0.31613333333333332</v>
      </c>
      <c r="AN146" t="s">
        <v>218</v>
      </c>
    </row>
    <row r="147" spans="9:40" x14ac:dyDescent="0.45">
      <c r="I147" t="s">
        <v>182</v>
      </c>
      <c r="J147" t="s">
        <v>225</v>
      </c>
      <c r="K147">
        <v>3.8737044102549667E-4</v>
      </c>
      <c r="L147" t="s">
        <v>160</v>
      </c>
      <c r="N147" t="s">
        <v>192</v>
      </c>
      <c r="O147" t="s">
        <v>225</v>
      </c>
      <c r="P147">
        <v>2.0844055802744415E-3</v>
      </c>
      <c r="Q147" t="s">
        <v>160</v>
      </c>
      <c r="S147" t="s">
        <v>202</v>
      </c>
      <c r="T147" t="s">
        <v>225</v>
      </c>
      <c r="U147">
        <v>2.0844055802744415E-3</v>
      </c>
      <c r="V147" t="s">
        <v>160</v>
      </c>
      <c r="AK147">
        <v>2049</v>
      </c>
      <c r="AL147" t="s">
        <v>149</v>
      </c>
      <c r="AM147">
        <v>0.3553</v>
      </c>
      <c r="AN147" t="s">
        <v>218</v>
      </c>
    </row>
    <row r="148" spans="9:40" x14ac:dyDescent="0.45">
      <c r="I148" t="s">
        <v>182</v>
      </c>
      <c r="J148" t="s">
        <v>226</v>
      </c>
      <c r="K148">
        <v>5.4814692804869263E-3</v>
      </c>
      <c r="L148" t="s">
        <v>160</v>
      </c>
      <c r="N148" t="s">
        <v>192</v>
      </c>
      <c r="O148" t="s">
        <v>226</v>
      </c>
      <c r="P148">
        <v>5.4263370259342806E-3</v>
      </c>
      <c r="Q148" t="s">
        <v>160</v>
      </c>
      <c r="S148" t="s">
        <v>202</v>
      </c>
      <c r="T148" t="s">
        <v>226</v>
      </c>
      <c r="U148">
        <v>5.4263370259342806E-3</v>
      </c>
      <c r="V148" t="s">
        <v>160</v>
      </c>
      <c r="AK148">
        <v>2049</v>
      </c>
      <c r="AL148" t="s">
        <v>151</v>
      </c>
      <c r="AM148">
        <v>0.30291250000000003</v>
      </c>
      <c r="AN148" t="s">
        <v>218</v>
      </c>
    </row>
    <row r="149" spans="9:40" x14ac:dyDescent="0.45">
      <c r="I149" t="s">
        <v>182</v>
      </c>
      <c r="J149" t="s">
        <v>239</v>
      </c>
      <c r="K149">
        <v>0</v>
      </c>
      <c r="L149" t="s">
        <v>160</v>
      </c>
      <c r="N149" t="s">
        <v>192</v>
      </c>
      <c r="O149" t="s">
        <v>239</v>
      </c>
      <c r="P149">
        <v>6.509393782977344E-3</v>
      </c>
      <c r="Q149" t="s">
        <v>160</v>
      </c>
      <c r="S149" t="s">
        <v>202</v>
      </c>
      <c r="T149" t="s">
        <v>239</v>
      </c>
      <c r="U149">
        <v>6.509393782977344E-3</v>
      </c>
      <c r="V149" t="s">
        <v>160</v>
      </c>
      <c r="AK149">
        <v>2049</v>
      </c>
      <c r="AL149" t="s">
        <v>153</v>
      </c>
      <c r="AM149">
        <v>0.26440000000000002</v>
      </c>
      <c r="AN149" t="s">
        <v>218</v>
      </c>
    </row>
    <row r="150" spans="9:40" x14ac:dyDescent="0.45">
      <c r="I150" t="s">
        <v>182</v>
      </c>
      <c r="J150" t="s">
        <v>240</v>
      </c>
      <c r="K150">
        <v>0</v>
      </c>
      <c r="L150" t="s">
        <v>160</v>
      </c>
      <c r="N150" t="s">
        <v>192</v>
      </c>
      <c r="O150" t="s">
        <v>240</v>
      </c>
      <c r="P150">
        <v>9.5611802100749224E-4</v>
      </c>
      <c r="Q150" t="s">
        <v>160</v>
      </c>
      <c r="S150" t="s">
        <v>202</v>
      </c>
      <c r="T150" t="s">
        <v>240</v>
      </c>
      <c r="U150">
        <v>9.5611802100749224E-4</v>
      </c>
      <c r="V150" t="s">
        <v>160</v>
      </c>
      <c r="AK150">
        <v>2049</v>
      </c>
      <c r="AL150" t="s">
        <v>220</v>
      </c>
      <c r="AM150">
        <v>0.30430000000000001</v>
      </c>
      <c r="AN150" t="s">
        <v>218</v>
      </c>
    </row>
    <row r="151" spans="9:40" x14ac:dyDescent="0.45">
      <c r="I151" t="s">
        <v>183</v>
      </c>
      <c r="J151" t="s">
        <v>159</v>
      </c>
      <c r="K151">
        <v>0</v>
      </c>
      <c r="L151" t="s">
        <v>160</v>
      </c>
      <c r="N151" t="s">
        <v>193</v>
      </c>
      <c r="O151" t="s">
        <v>159</v>
      </c>
      <c r="P151">
        <v>4.8835019249688888E-2</v>
      </c>
      <c r="Q151" t="s">
        <v>160</v>
      </c>
      <c r="S151" t="s">
        <v>203</v>
      </c>
      <c r="T151" t="s">
        <v>159</v>
      </c>
      <c r="U151">
        <v>4.8835019249688888E-2</v>
      </c>
      <c r="V151" t="s">
        <v>160</v>
      </c>
      <c r="AK151">
        <v>2050</v>
      </c>
      <c r="AL151" t="s">
        <v>145</v>
      </c>
      <c r="AM151">
        <v>0.33166666666666661</v>
      </c>
      <c r="AN151" t="s">
        <v>218</v>
      </c>
    </row>
    <row r="152" spans="9:40" x14ac:dyDescent="0.45">
      <c r="I152" t="s">
        <v>183</v>
      </c>
      <c r="J152" t="s">
        <v>161</v>
      </c>
      <c r="K152">
        <v>0</v>
      </c>
      <c r="L152" t="s">
        <v>160</v>
      </c>
      <c r="N152" t="s">
        <v>193</v>
      </c>
      <c r="O152" t="s">
        <v>161</v>
      </c>
      <c r="P152">
        <v>1.0806926906424371E-2</v>
      </c>
      <c r="Q152" t="s">
        <v>160</v>
      </c>
      <c r="S152" t="s">
        <v>203</v>
      </c>
      <c r="T152" t="s">
        <v>161</v>
      </c>
      <c r="U152">
        <v>1.0806926906424371E-2</v>
      </c>
      <c r="V152" t="s">
        <v>160</v>
      </c>
      <c r="AK152">
        <v>2050</v>
      </c>
      <c r="AL152" t="s">
        <v>149</v>
      </c>
      <c r="AM152">
        <v>0.30470000000000003</v>
      </c>
      <c r="AN152" t="s">
        <v>218</v>
      </c>
    </row>
    <row r="153" spans="9:40" x14ac:dyDescent="0.45">
      <c r="I153" t="s">
        <v>183</v>
      </c>
      <c r="J153" t="s">
        <v>162</v>
      </c>
      <c r="K153">
        <v>0</v>
      </c>
      <c r="L153" t="s">
        <v>160</v>
      </c>
      <c r="N153" t="s">
        <v>193</v>
      </c>
      <c r="O153" t="s">
        <v>162</v>
      </c>
      <c r="P153">
        <v>1.0588226568145681E-2</v>
      </c>
      <c r="Q153" t="s">
        <v>160</v>
      </c>
      <c r="S153" t="s">
        <v>203</v>
      </c>
      <c r="T153" t="s">
        <v>162</v>
      </c>
      <c r="U153">
        <v>1.0588226568145681E-2</v>
      </c>
      <c r="V153" t="s">
        <v>160</v>
      </c>
      <c r="AK153">
        <v>2050</v>
      </c>
      <c r="AL153" t="s">
        <v>151</v>
      </c>
      <c r="AM153">
        <v>0.25342499999999996</v>
      </c>
      <c r="AN153" t="s">
        <v>218</v>
      </c>
    </row>
    <row r="154" spans="9:40" x14ac:dyDescent="0.45">
      <c r="I154" t="s">
        <v>183</v>
      </c>
      <c r="J154" t="s">
        <v>163</v>
      </c>
      <c r="K154">
        <v>1.2602061045800056E-2</v>
      </c>
      <c r="L154" t="s">
        <v>160</v>
      </c>
      <c r="N154" t="s">
        <v>193</v>
      </c>
      <c r="O154" t="s">
        <v>163</v>
      </c>
      <c r="P154">
        <v>2.7753848638366229E-2</v>
      </c>
      <c r="Q154" t="s">
        <v>160</v>
      </c>
      <c r="S154" t="s">
        <v>203</v>
      </c>
      <c r="T154" t="s">
        <v>163</v>
      </c>
      <c r="U154">
        <v>2.7753848638366229E-2</v>
      </c>
      <c r="V154" t="s">
        <v>160</v>
      </c>
      <c r="AK154">
        <v>2050</v>
      </c>
      <c r="AL154" t="s">
        <v>153</v>
      </c>
      <c r="AM154">
        <v>0.23236666666666664</v>
      </c>
      <c r="AN154" t="s">
        <v>218</v>
      </c>
    </row>
    <row r="155" spans="9:40" x14ac:dyDescent="0.45">
      <c r="I155" t="s">
        <v>183</v>
      </c>
      <c r="J155" t="s">
        <v>164</v>
      </c>
      <c r="K155">
        <v>7.1658553586082196E-2</v>
      </c>
      <c r="L155" t="s">
        <v>160</v>
      </c>
      <c r="N155" t="s">
        <v>193</v>
      </c>
      <c r="O155" t="s">
        <v>164</v>
      </c>
      <c r="P155">
        <v>6.0299534516722493E-2</v>
      </c>
      <c r="Q155" t="s">
        <v>160</v>
      </c>
      <c r="S155" t="s">
        <v>203</v>
      </c>
      <c r="T155" t="s">
        <v>164</v>
      </c>
      <c r="U155">
        <v>6.0299534516722493E-2</v>
      </c>
      <c r="V155" t="s">
        <v>160</v>
      </c>
      <c r="AK155">
        <v>2050</v>
      </c>
      <c r="AL155" t="s">
        <v>220</v>
      </c>
      <c r="AM155">
        <v>0.25629999999999997</v>
      </c>
      <c r="AN155" t="s">
        <v>218</v>
      </c>
    </row>
    <row r="156" spans="9:40" x14ac:dyDescent="0.45">
      <c r="I156" t="s">
        <v>183</v>
      </c>
      <c r="J156" t="s">
        <v>231</v>
      </c>
      <c r="K156">
        <v>2.4529142627105062E-3</v>
      </c>
      <c r="L156" t="s">
        <v>160</v>
      </c>
      <c r="N156" t="s">
        <v>193</v>
      </c>
      <c r="O156" t="s">
        <v>231</v>
      </c>
      <c r="P156">
        <v>5.9655145194983175E-2</v>
      </c>
      <c r="Q156" t="s">
        <v>160</v>
      </c>
      <c r="S156" t="s">
        <v>203</v>
      </c>
      <c r="T156" t="s">
        <v>231</v>
      </c>
      <c r="U156">
        <v>5.9655145194983175E-2</v>
      </c>
      <c r="V156" t="s">
        <v>160</v>
      </c>
    </row>
    <row r="157" spans="9:40" x14ac:dyDescent="0.45">
      <c r="I157" t="s">
        <v>183</v>
      </c>
      <c r="J157" t="s">
        <v>232</v>
      </c>
      <c r="K157">
        <v>0</v>
      </c>
      <c r="L157" t="s">
        <v>160</v>
      </c>
      <c r="N157" t="s">
        <v>193</v>
      </c>
      <c r="O157" t="s">
        <v>232</v>
      </c>
      <c r="P157">
        <v>8.7989867480882944E-3</v>
      </c>
      <c r="Q157" t="s">
        <v>160</v>
      </c>
      <c r="S157" t="s">
        <v>203</v>
      </c>
      <c r="T157" t="s">
        <v>232</v>
      </c>
      <c r="U157">
        <v>8.7989867480882944E-3</v>
      </c>
      <c r="V157" t="s">
        <v>160</v>
      </c>
    </row>
    <row r="158" spans="9:40" x14ac:dyDescent="0.45">
      <c r="I158" t="s">
        <v>183</v>
      </c>
      <c r="J158" t="s">
        <v>165</v>
      </c>
      <c r="K158">
        <v>0</v>
      </c>
      <c r="L158" t="s">
        <v>160</v>
      </c>
      <c r="N158" t="s">
        <v>193</v>
      </c>
      <c r="O158" t="s">
        <v>165</v>
      </c>
      <c r="P158">
        <v>1.1418247073781094E-2</v>
      </c>
      <c r="Q158" t="s">
        <v>160</v>
      </c>
      <c r="S158" t="s">
        <v>203</v>
      </c>
      <c r="T158" t="s">
        <v>165</v>
      </c>
      <c r="U158">
        <v>1.1418247073781094E-2</v>
      </c>
      <c r="V158" t="s">
        <v>160</v>
      </c>
    </row>
    <row r="159" spans="9:40" x14ac:dyDescent="0.45">
      <c r="I159" t="s">
        <v>183</v>
      </c>
      <c r="J159" t="s">
        <v>166</v>
      </c>
      <c r="K159">
        <v>0</v>
      </c>
      <c r="L159" t="s">
        <v>160</v>
      </c>
      <c r="N159" t="s">
        <v>193</v>
      </c>
      <c r="O159" t="s">
        <v>166</v>
      </c>
      <c r="P159">
        <v>2.1612110740030252E-3</v>
      </c>
      <c r="Q159" t="s">
        <v>160</v>
      </c>
      <c r="S159" t="s">
        <v>203</v>
      </c>
      <c r="T159" t="s">
        <v>166</v>
      </c>
      <c r="U159">
        <v>2.1612110740030252E-3</v>
      </c>
      <c r="V159" t="s">
        <v>160</v>
      </c>
    </row>
    <row r="160" spans="9:40" x14ac:dyDescent="0.45">
      <c r="I160" t="s">
        <v>183</v>
      </c>
      <c r="J160" t="s">
        <v>167</v>
      </c>
      <c r="K160">
        <v>0</v>
      </c>
      <c r="L160" t="s">
        <v>160</v>
      </c>
      <c r="N160" t="s">
        <v>193</v>
      </c>
      <c r="O160" t="s">
        <v>167</v>
      </c>
      <c r="P160">
        <v>2.1463136445254959E-3</v>
      </c>
      <c r="Q160" t="s">
        <v>160</v>
      </c>
      <c r="S160" t="s">
        <v>203</v>
      </c>
      <c r="T160" t="s">
        <v>167</v>
      </c>
      <c r="U160">
        <v>2.1463136445254959E-3</v>
      </c>
      <c r="V160" t="s">
        <v>160</v>
      </c>
    </row>
    <row r="161" spans="9:22" x14ac:dyDescent="0.45">
      <c r="I161" t="s">
        <v>183</v>
      </c>
      <c r="J161" t="s">
        <v>168</v>
      </c>
      <c r="K161">
        <v>7.1014175567220023E-3</v>
      </c>
      <c r="L161" t="s">
        <v>160</v>
      </c>
      <c r="N161" t="s">
        <v>193</v>
      </c>
      <c r="O161" t="s">
        <v>168</v>
      </c>
      <c r="P161">
        <v>6.0153203544430385E-3</v>
      </c>
      <c r="Q161" t="s">
        <v>160</v>
      </c>
      <c r="S161" t="s">
        <v>203</v>
      </c>
      <c r="T161" t="s">
        <v>168</v>
      </c>
      <c r="U161">
        <v>6.0153203544430385E-3</v>
      </c>
      <c r="V161" t="s">
        <v>160</v>
      </c>
    </row>
    <row r="162" spans="9:22" x14ac:dyDescent="0.45">
      <c r="I162" t="s">
        <v>183</v>
      </c>
      <c r="J162" t="s">
        <v>169</v>
      </c>
      <c r="K162">
        <v>3.0395537644587325E-2</v>
      </c>
      <c r="L162" t="s">
        <v>160</v>
      </c>
      <c r="N162" t="s">
        <v>193</v>
      </c>
      <c r="O162" t="s">
        <v>169</v>
      </c>
      <c r="P162">
        <v>2.0955002806662567E-2</v>
      </c>
      <c r="Q162" t="s">
        <v>160</v>
      </c>
      <c r="S162" t="s">
        <v>203</v>
      </c>
      <c r="T162" t="s">
        <v>169</v>
      </c>
      <c r="U162">
        <v>2.0955002806662567E-2</v>
      </c>
      <c r="V162" t="s">
        <v>160</v>
      </c>
    </row>
    <row r="163" spans="9:22" x14ac:dyDescent="0.45">
      <c r="I163" t="s">
        <v>183</v>
      </c>
      <c r="J163" t="s">
        <v>233</v>
      </c>
      <c r="K163">
        <v>3.1623103631219524E-3</v>
      </c>
      <c r="L163" t="s">
        <v>160</v>
      </c>
      <c r="N163" t="s">
        <v>193</v>
      </c>
      <c r="O163" t="s">
        <v>233</v>
      </c>
      <c r="P163">
        <v>1.9441586514216069E-2</v>
      </c>
      <c r="Q163" t="s">
        <v>160</v>
      </c>
      <c r="S163" t="s">
        <v>203</v>
      </c>
      <c r="T163" t="s">
        <v>233</v>
      </c>
      <c r="U163">
        <v>1.9441586514216069E-2</v>
      </c>
      <c r="V163" t="s">
        <v>160</v>
      </c>
    </row>
    <row r="164" spans="9:22" x14ac:dyDescent="0.45">
      <c r="I164" t="s">
        <v>183</v>
      </c>
      <c r="J164" t="s">
        <v>234</v>
      </c>
      <c r="K164">
        <v>0</v>
      </c>
      <c r="L164" t="s">
        <v>160</v>
      </c>
      <c r="N164" t="s">
        <v>193</v>
      </c>
      <c r="O164" t="s">
        <v>234</v>
      </c>
      <c r="P164">
        <v>2.6201445478587805E-3</v>
      </c>
      <c r="Q164" t="s">
        <v>160</v>
      </c>
      <c r="S164" t="s">
        <v>203</v>
      </c>
      <c r="T164" t="s">
        <v>234</v>
      </c>
      <c r="U164">
        <v>2.6201445478587805E-3</v>
      </c>
      <c r="V164" t="s">
        <v>160</v>
      </c>
    </row>
    <row r="165" spans="9:22" x14ac:dyDescent="0.45">
      <c r="I165" t="s">
        <v>183</v>
      </c>
      <c r="J165" t="s">
        <v>170</v>
      </c>
      <c r="K165">
        <v>0</v>
      </c>
      <c r="L165" t="s">
        <v>160</v>
      </c>
      <c r="N165" t="s">
        <v>193</v>
      </c>
      <c r="O165" t="s">
        <v>170</v>
      </c>
      <c r="P165">
        <v>0.10027743472100528</v>
      </c>
      <c r="Q165" t="s">
        <v>160</v>
      </c>
      <c r="S165" t="s">
        <v>203</v>
      </c>
      <c r="T165" t="s">
        <v>170</v>
      </c>
      <c r="U165">
        <v>0.10027743472100528</v>
      </c>
      <c r="V165" t="s">
        <v>160</v>
      </c>
    </row>
    <row r="166" spans="9:22" x14ac:dyDescent="0.45">
      <c r="I166" t="s">
        <v>183</v>
      </c>
      <c r="J166" t="s">
        <v>171</v>
      </c>
      <c r="K166">
        <v>7.3536392657358035E-3</v>
      </c>
      <c r="L166" t="s">
        <v>160</v>
      </c>
      <c r="N166" t="s">
        <v>193</v>
      </c>
      <c r="O166" t="s">
        <v>171</v>
      </c>
      <c r="P166">
        <v>1.6438688643473677E-2</v>
      </c>
      <c r="Q166" t="s">
        <v>160</v>
      </c>
      <c r="S166" t="s">
        <v>203</v>
      </c>
      <c r="T166" t="s">
        <v>171</v>
      </c>
      <c r="U166">
        <v>1.6438688643473677E-2</v>
      </c>
      <c r="V166" t="s">
        <v>160</v>
      </c>
    </row>
    <row r="167" spans="9:22" x14ac:dyDescent="0.45">
      <c r="I167" t="s">
        <v>183</v>
      </c>
      <c r="J167" t="s">
        <v>172</v>
      </c>
      <c r="K167">
        <v>2.5370728060320185E-2</v>
      </c>
      <c r="L167" t="s">
        <v>160</v>
      </c>
      <c r="N167" t="s">
        <v>193</v>
      </c>
      <c r="O167" t="s">
        <v>172</v>
      </c>
      <c r="P167">
        <v>1.5407815812732397E-2</v>
      </c>
      <c r="Q167" t="s">
        <v>160</v>
      </c>
      <c r="S167" t="s">
        <v>203</v>
      </c>
      <c r="T167" t="s">
        <v>172</v>
      </c>
      <c r="U167">
        <v>1.5407815812732397E-2</v>
      </c>
      <c r="V167" t="s">
        <v>160</v>
      </c>
    </row>
    <row r="168" spans="9:22" x14ac:dyDescent="0.45">
      <c r="I168" t="s">
        <v>183</v>
      </c>
      <c r="J168" t="s">
        <v>173</v>
      </c>
      <c r="K168">
        <v>0.17723889146170965</v>
      </c>
      <c r="L168" t="s">
        <v>160</v>
      </c>
      <c r="N168" t="s">
        <v>193</v>
      </c>
      <c r="O168" t="s">
        <v>173</v>
      </c>
      <c r="P168">
        <v>4.2222990526166036E-2</v>
      </c>
      <c r="Q168" t="s">
        <v>160</v>
      </c>
      <c r="S168" t="s">
        <v>203</v>
      </c>
      <c r="T168" t="s">
        <v>173</v>
      </c>
      <c r="U168">
        <v>4.2222990526166036E-2</v>
      </c>
      <c r="V168" t="s">
        <v>160</v>
      </c>
    </row>
    <row r="169" spans="9:22" x14ac:dyDescent="0.45">
      <c r="I169" t="s">
        <v>183</v>
      </c>
      <c r="J169" t="s">
        <v>174</v>
      </c>
      <c r="K169">
        <v>0.46859492771418149</v>
      </c>
      <c r="L169" t="s">
        <v>160</v>
      </c>
      <c r="N169" t="s">
        <v>193</v>
      </c>
      <c r="O169" t="s">
        <v>174</v>
      </c>
      <c r="P169">
        <v>0.12245576082544761</v>
      </c>
      <c r="Q169" t="s">
        <v>160</v>
      </c>
      <c r="S169" t="s">
        <v>203</v>
      </c>
      <c r="T169" t="s">
        <v>174</v>
      </c>
      <c r="U169">
        <v>0.12245576082544761</v>
      </c>
      <c r="V169" t="s">
        <v>160</v>
      </c>
    </row>
    <row r="170" spans="9:22" x14ac:dyDescent="0.45">
      <c r="I170" t="s">
        <v>183</v>
      </c>
      <c r="J170" t="s">
        <v>235</v>
      </c>
      <c r="K170">
        <v>7.6153176762286182E-2</v>
      </c>
      <c r="L170" t="s">
        <v>160</v>
      </c>
      <c r="N170" t="s">
        <v>193</v>
      </c>
      <c r="O170" t="s">
        <v>235</v>
      </c>
      <c r="P170">
        <v>0.13519000096769193</v>
      </c>
      <c r="Q170" t="s">
        <v>160</v>
      </c>
      <c r="S170" t="s">
        <v>203</v>
      </c>
      <c r="T170" t="s">
        <v>235</v>
      </c>
      <c r="U170">
        <v>0.13519000096769193</v>
      </c>
      <c r="V170" t="s">
        <v>160</v>
      </c>
    </row>
    <row r="171" spans="9:22" x14ac:dyDescent="0.45">
      <c r="I171" t="s">
        <v>183</v>
      </c>
      <c r="J171" t="s">
        <v>236</v>
      </c>
      <c r="K171">
        <v>0</v>
      </c>
      <c r="L171" t="s">
        <v>160</v>
      </c>
      <c r="N171" t="s">
        <v>193</v>
      </c>
      <c r="O171" t="s">
        <v>236</v>
      </c>
      <c r="P171">
        <v>2.1513798810020589E-2</v>
      </c>
      <c r="Q171" t="s">
        <v>160</v>
      </c>
      <c r="S171" t="s">
        <v>203</v>
      </c>
      <c r="T171" t="s">
        <v>236</v>
      </c>
      <c r="U171">
        <v>2.1513798810020589E-2</v>
      </c>
      <c r="V171" t="s">
        <v>160</v>
      </c>
    </row>
    <row r="172" spans="9:22" x14ac:dyDescent="0.45">
      <c r="I172" t="s">
        <v>183</v>
      </c>
      <c r="J172" t="s">
        <v>175</v>
      </c>
      <c r="K172">
        <v>0</v>
      </c>
      <c r="L172" t="s">
        <v>160</v>
      </c>
      <c r="N172" t="s">
        <v>193</v>
      </c>
      <c r="O172" t="s">
        <v>175</v>
      </c>
      <c r="P172">
        <v>4.7614845861838069E-2</v>
      </c>
      <c r="Q172" t="s">
        <v>160</v>
      </c>
      <c r="S172" t="s">
        <v>203</v>
      </c>
      <c r="T172" t="s">
        <v>175</v>
      </c>
      <c r="U172">
        <v>4.7614845861838069E-2</v>
      </c>
      <c r="V172" t="s">
        <v>160</v>
      </c>
    </row>
    <row r="173" spans="9:22" x14ac:dyDescent="0.45">
      <c r="I173" t="s">
        <v>183</v>
      </c>
      <c r="J173" t="s">
        <v>176</v>
      </c>
      <c r="K173">
        <v>0</v>
      </c>
      <c r="L173" t="s">
        <v>160</v>
      </c>
      <c r="N173" t="s">
        <v>193</v>
      </c>
      <c r="O173" t="s">
        <v>176</v>
      </c>
      <c r="P173">
        <v>9.8438528434925277E-3</v>
      </c>
      <c r="Q173" t="s">
        <v>160</v>
      </c>
      <c r="S173" t="s">
        <v>203</v>
      </c>
      <c r="T173" t="s">
        <v>176</v>
      </c>
      <c r="U173">
        <v>9.8438528434925277E-3</v>
      </c>
      <c r="V173" t="s">
        <v>160</v>
      </c>
    </row>
    <row r="174" spans="9:22" x14ac:dyDescent="0.45">
      <c r="I174" t="s">
        <v>183</v>
      </c>
      <c r="J174" t="s">
        <v>177</v>
      </c>
      <c r="K174">
        <v>0</v>
      </c>
      <c r="L174" t="s">
        <v>160</v>
      </c>
      <c r="N174" t="s">
        <v>193</v>
      </c>
      <c r="O174" t="s">
        <v>177</v>
      </c>
      <c r="P174">
        <v>9.8338571246407366E-3</v>
      </c>
      <c r="Q174" t="s">
        <v>160</v>
      </c>
      <c r="S174" t="s">
        <v>203</v>
      </c>
      <c r="T174" t="s">
        <v>177</v>
      </c>
      <c r="U174">
        <v>9.8338571246407366E-3</v>
      </c>
      <c r="V174" t="s">
        <v>160</v>
      </c>
    </row>
    <row r="175" spans="9:22" x14ac:dyDescent="0.45">
      <c r="I175" t="s">
        <v>183</v>
      </c>
      <c r="J175" t="s">
        <v>178</v>
      </c>
      <c r="K175">
        <v>1.8605002290817969E-2</v>
      </c>
      <c r="L175" t="s">
        <v>160</v>
      </c>
      <c r="N175" t="s">
        <v>193</v>
      </c>
      <c r="O175" t="s">
        <v>178</v>
      </c>
      <c r="P175">
        <v>2.6263910593022466E-2</v>
      </c>
      <c r="Q175" t="s">
        <v>160</v>
      </c>
      <c r="S175" t="s">
        <v>203</v>
      </c>
      <c r="T175" t="s">
        <v>178</v>
      </c>
      <c r="U175">
        <v>2.6263910593022466E-2</v>
      </c>
      <c r="V175" t="s">
        <v>160</v>
      </c>
    </row>
    <row r="176" spans="9:22" x14ac:dyDescent="0.45">
      <c r="I176" t="s">
        <v>183</v>
      </c>
      <c r="J176" t="s">
        <v>179</v>
      </c>
      <c r="K176">
        <v>9.0304902067244799E-2</v>
      </c>
      <c r="L176" t="s">
        <v>160</v>
      </c>
      <c r="N176" t="s">
        <v>193</v>
      </c>
      <c r="O176" t="s">
        <v>179</v>
      </c>
      <c r="P176">
        <v>6.155425392917932E-2</v>
      </c>
      <c r="Q176" t="s">
        <v>160</v>
      </c>
      <c r="S176" t="s">
        <v>203</v>
      </c>
      <c r="T176" t="s">
        <v>179</v>
      </c>
      <c r="U176">
        <v>6.155425392917932E-2</v>
      </c>
      <c r="V176" t="s">
        <v>160</v>
      </c>
    </row>
    <row r="177" spans="9:22" x14ac:dyDescent="0.45">
      <c r="I177" t="s">
        <v>183</v>
      </c>
      <c r="J177" t="s">
        <v>237</v>
      </c>
      <c r="K177">
        <v>9.677363254642677E-4</v>
      </c>
      <c r="L177" t="s">
        <v>160</v>
      </c>
      <c r="N177" t="s">
        <v>193</v>
      </c>
      <c r="O177" t="s">
        <v>237</v>
      </c>
      <c r="P177">
        <v>7.504865125738526E-2</v>
      </c>
      <c r="Q177" t="s">
        <v>160</v>
      </c>
      <c r="S177" t="s">
        <v>203</v>
      </c>
      <c r="T177" t="s">
        <v>237</v>
      </c>
      <c r="U177">
        <v>7.504865125738526E-2</v>
      </c>
      <c r="V177" t="s">
        <v>160</v>
      </c>
    </row>
    <row r="178" spans="9:22" x14ac:dyDescent="0.45">
      <c r="I178" t="s">
        <v>183</v>
      </c>
      <c r="J178" t="s">
        <v>238</v>
      </c>
      <c r="K178">
        <v>0</v>
      </c>
      <c r="L178" t="s">
        <v>160</v>
      </c>
      <c r="N178" t="s">
        <v>193</v>
      </c>
      <c r="O178" t="s">
        <v>238</v>
      </c>
      <c r="P178">
        <v>9.8601135877789282E-3</v>
      </c>
      <c r="Q178" t="s">
        <v>160</v>
      </c>
      <c r="S178" t="s">
        <v>203</v>
      </c>
      <c r="T178" t="s">
        <v>238</v>
      </c>
      <c r="U178">
        <v>9.8601135877789282E-3</v>
      </c>
      <c r="V178" t="s">
        <v>160</v>
      </c>
    </row>
    <row r="179" spans="9:22" x14ac:dyDescent="0.45">
      <c r="I179" t="s">
        <v>183</v>
      </c>
      <c r="J179" t="s">
        <v>222</v>
      </c>
      <c r="K179">
        <v>0</v>
      </c>
      <c r="L179" t="s">
        <v>160</v>
      </c>
      <c r="N179" t="s">
        <v>193</v>
      </c>
      <c r="O179" t="s">
        <v>222</v>
      </c>
      <c r="P179">
        <v>2.6854948432047531E-3</v>
      </c>
      <c r="Q179" t="s">
        <v>160</v>
      </c>
      <c r="S179" t="s">
        <v>203</v>
      </c>
      <c r="T179" t="s">
        <v>222</v>
      </c>
      <c r="U179">
        <v>2.6854948432047531E-3</v>
      </c>
      <c r="V179" t="s">
        <v>160</v>
      </c>
    </row>
    <row r="180" spans="9:22" x14ac:dyDescent="0.45">
      <c r="I180" t="s">
        <v>183</v>
      </c>
      <c r="J180" t="s">
        <v>223</v>
      </c>
      <c r="K180">
        <v>0</v>
      </c>
      <c r="L180" t="s">
        <v>160</v>
      </c>
      <c r="N180" t="s">
        <v>193</v>
      </c>
      <c r="O180" t="s">
        <v>223</v>
      </c>
      <c r="P180">
        <v>6.1805970879145545E-4</v>
      </c>
      <c r="Q180" t="s">
        <v>160</v>
      </c>
      <c r="S180" t="s">
        <v>203</v>
      </c>
      <c r="T180" t="s">
        <v>223</v>
      </c>
      <c r="U180">
        <v>6.1805970879145545E-4</v>
      </c>
      <c r="V180" t="s">
        <v>160</v>
      </c>
    </row>
    <row r="181" spans="9:22" x14ac:dyDescent="0.45">
      <c r="I181" t="s">
        <v>183</v>
      </c>
      <c r="J181" t="s">
        <v>224</v>
      </c>
      <c r="K181">
        <v>0</v>
      </c>
      <c r="L181" t="s">
        <v>160</v>
      </c>
      <c r="N181" t="s">
        <v>193</v>
      </c>
      <c r="O181" t="s">
        <v>224</v>
      </c>
      <c r="P181">
        <v>6.7446483734846135E-4</v>
      </c>
      <c r="Q181" t="s">
        <v>160</v>
      </c>
      <c r="S181" t="s">
        <v>203</v>
      </c>
      <c r="T181" t="s">
        <v>224</v>
      </c>
      <c r="U181">
        <v>6.7446483734846135E-4</v>
      </c>
      <c r="V181" t="s">
        <v>160</v>
      </c>
    </row>
    <row r="182" spans="9:22" x14ac:dyDescent="0.45">
      <c r="I182" t="s">
        <v>183</v>
      </c>
      <c r="J182" t="s">
        <v>225</v>
      </c>
      <c r="K182">
        <v>6.2404741361421219E-4</v>
      </c>
      <c r="L182" t="s">
        <v>160</v>
      </c>
      <c r="N182" t="s">
        <v>193</v>
      </c>
      <c r="O182" t="s">
        <v>225</v>
      </c>
      <c r="P182">
        <v>1.8636171852636969E-3</v>
      </c>
      <c r="Q182" t="s">
        <v>160</v>
      </c>
      <c r="S182" t="s">
        <v>203</v>
      </c>
      <c r="T182" t="s">
        <v>225</v>
      </c>
      <c r="U182">
        <v>1.8636171852636969E-3</v>
      </c>
      <c r="V182" t="s">
        <v>160</v>
      </c>
    </row>
    <row r="183" spans="9:22" x14ac:dyDescent="0.45">
      <c r="I183" t="s">
        <v>183</v>
      </c>
      <c r="J183" t="s">
        <v>226</v>
      </c>
      <c r="K183">
        <v>7.4141541796010051E-3</v>
      </c>
      <c r="L183" t="s">
        <v>160</v>
      </c>
      <c r="N183" t="s">
        <v>193</v>
      </c>
      <c r="O183" t="s">
        <v>226</v>
      </c>
      <c r="P183">
        <v>3.3197170939536814E-3</v>
      </c>
      <c r="Q183" t="s">
        <v>160</v>
      </c>
      <c r="S183" t="s">
        <v>203</v>
      </c>
      <c r="T183" t="s">
        <v>226</v>
      </c>
      <c r="U183">
        <v>3.3197170939536814E-3</v>
      </c>
      <c r="V183" t="s">
        <v>160</v>
      </c>
    </row>
    <row r="184" spans="9:22" x14ac:dyDescent="0.45">
      <c r="I184" t="s">
        <v>183</v>
      </c>
      <c r="J184" t="s">
        <v>239</v>
      </c>
      <c r="K184">
        <v>0</v>
      </c>
      <c r="L184" t="s">
        <v>160</v>
      </c>
      <c r="N184" t="s">
        <v>193</v>
      </c>
      <c r="O184" t="s">
        <v>239</v>
      </c>
      <c r="P184">
        <v>5.2121875659500647E-3</v>
      </c>
      <c r="Q184" t="s">
        <v>160</v>
      </c>
      <c r="S184" t="s">
        <v>203</v>
      </c>
      <c r="T184" t="s">
        <v>239</v>
      </c>
      <c r="U184">
        <v>5.2121875659500647E-3</v>
      </c>
      <c r="V184" t="s">
        <v>160</v>
      </c>
    </row>
    <row r="185" spans="9:22" x14ac:dyDescent="0.45">
      <c r="I185" t="s">
        <v>183</v>
      </c>
      <c r="J185" t="s">
        <v>240</v>
      </c>
      <c r="K185">
        <v>0</v>
      </c>
      <c r="L185" t="s">
        <v>160</v>
      </c>
      <c r="N185" t="s">
        <v>193</v>
      </c>
      <c r="O185" t="s">
        <v>240</v>
      </c>
      <c r="P185">
        <v>6.0496942370439873E-4</v>
      </c>
      <c r="Q185" t="s">
        <v>160</v>
      </c>
      <c r="S185" t="s">
        <v>203</v>
      </c>
      <c r="T185" t="s">
        <v>240</v>
      </c>
      <c r="U185">
        <v>6.0496942370439873E-4</v>
      </c>
      <c r="V185" t="s">
        <v>160</v>
      </c>
    </row>
    <row r="186" spans="9:22" x14ac:dyDescent="0.45">
      <c r="I186" t="s">
        <v>184</v>
      </c>
      <c r="J186" t="s">
        <v>159</v>
      </c>
      <c r="K186">
        <v>0</v>
      </c>
      <c r="L186" t="s">
        <v>160</v>
      </c>
      <c r="N186" t="s">
        <v>194</v>
      </c>
      <c r="O186" t="s">
        <v>159</v>
      </c>
      <c r="P186">
        <v>4.5653910572769942E-2</v>
      </c>
      <c r="Q186" t="s">
        <v>160</v>
      </c>
      <c r="S186" t="s">
        <v>204</v>
      </c>
      <c r="T186" t="s">
        <v>159</v>
      </c>
      <c r="U186">
        <v>4.5653910572769942E-2</v>
      </c>
      <c r="V186" t="s">
        <v>160</v>
      </c>
    </row>
    <row r="187" spans="9:22" x14ac:dyDescent="0.45">
      <c r="I187" t="s">
        <v>184</v>
      </c>
      <c r="J187" t="s">
        <v>161</v>
      </c>
      <c r="K187">
        <v>0</v>
      </c>
      <c r="L187" t="s">
        <v>160</v>
      </c>
      <c r="N187" t="s">
        <v>194</v>
      </c>
      <c r="O187" t="s">
        <v>161</v>
      </c>
      <c r="P187">
        <v>1.0427037711457268E-2</v>
      </c>
      <c r="Q187" t="s">
        <v>160</v>
      </c>
      <c r="S187" t="s">
        <v>204</v>
      </c>
      <c r="T187" t="s">
        <v>161</v>
      </c>
      <c r="U187">
        <v>1.0427037711457268E-2</v>
      </c>
      <c r="V187" t="s">
        <v>160</v>
      </c>
    </row>
    <row r="188" spans="9:22" x14ac:dyDescent="0.45">
      <c r="I188" t="s">
        <v>184</v>
      </c>
      <c r="J188" t="s">
        <v>162</v>
      </c>
      <c r="K188">
        <v>0</v>
      </c>
      <c r="L188" t="s">
        <v>160</v>
      </c>
      <c r="N188" t="s">
        <v>194</v>
      </c>
      <c r="O188" t="s">
        <v>162</v>
      </c>
      <c r="P188">
        <v>1.0111890496853921E-2</v>
      </c>
      <c r="Q188" t="s">
        <v>160</v>
      </c>
      <c r="S188" t="s">
        <v>204</v>
      </c>
      <c r="T188" t="s">
        <v>162</v>
      </c>
      <c r="U188">
        <v>1.0111890496853921E-2</v>
      </c>
      <c r="V188" t="s">
        <v>160</v>
      </c>
    </row>
    <row r="189" spans="9:22" x14ac:dyDescent="0.45">
      <c r="I189" t="s">
        <v>184</v>
      </c>
      <c r="J189" t="s">
        <v>163</v>
      </c>
      <c r="K189">
        <v>8.8574031463763518E-3</v>
      </c>
      <c r="L189" t="s">
        <v>160</v>
      </c>
      <c r="N189" t="s">
        <v>194</v>
      </c>
      <c r="O189" t="s">
        <v>163</v>
      </c>
      <c r="P189">
        <v>2.9375742205746576E-2</v>
      </c>
      <c r="Q189" t="s">
        <v>160</v>
      </c>
      <c r="S189" t="s">
        <v>204</v>
      </c>
      <c r="T189" t="s">
        <v>163</v>
      </c>
      <c r="U189">
        <v>2.9375742205746576E-2</v>
      </c>
      <c r="V189" t="s">
        <v>160</v>
      </c>
    </row>
    <row r="190" spans="9:22" x14ac:dyDescent="0.45">
      <c r="I190" t="s">
        <v>184</v>
      </c>
      <c r="J190" t="s">
        <v>164</v>
      </c>
      <c r="K190">
        <v>7.1306916378796145E-2</v>
      </c>
      <c r="L190" t="s">
        <v>160</v>
      </c>
      <c r="N190" t="s">
        <v>194</v>
      </c>
      <c r="O190" t="s">
        <v>164</v>
      </c>
      <c r="P190">
        <v>5.5989796444897787E-2</v>
      </c>
      <c r="Q190" t="s">
        <v>160</v>
      </c>
      <c r="S190" t="s">
        <v>204</v>
      </c>
      <c r="T190" t="s">
        <v>164</v>
      </c>
      <c r="U190">
        <v>5.5989796444897787E-2</v>
      </c>
      <c r="V190" t="s">
        <v>160</v>
      </c>
    </row>
    <row r="191" spans="9:22" x14ac:dyDescent="0.45">
      <c r="I191" t="s">
        <v>184</v>
      </c>
      <c r="J191" t="s">
        <v>231</v>
      </c>
      <c r="K191">
        <v>2.7266823664138106E-3</v>
      </c>
      <c r="L191" t="s">
        <v>160</v>
      </c>
      <c r="N191" t="s">
        <v>194</v>
      </c>
      <c r="O191" t="s">
        <v>231</v>
      </c>
      <c r="P191">
        <v>4.9845014864635918E-2</v>
      </c>
      <c r="Q191" t="s">
        <v>160</v>
      </c>
      <c r="S191" t="s">
        <v>204</v>
      </c>
      <c r="T191" t="s">
        <v>231</v>
      </c>
      <c r="U191">
        <v>4.9845014864635918E-2</v>
      </c>
      <c r="V191" t="s">
        <v>160</v>
      </c>
    </row>
    <row r="192" spans="9:22" x14ac:dyDescent="0.45">
      <c r="I192" t="s">
        <v>184</v>
      </c>
      <c r="J192" t="s">
        <v>232</v>
      </c>
      <c r="K192">
        <v>0</v>
      </c>
      <c r="L192" t="s">
        <v>160</v>
      </c>
      <c r="N192" t="s">
        <v>194</v>
      </c>
      <c r="O192" t="s">
        <v>232</v>
      </c>
      <c r="P192">
        <v>7.580309348925127E-3</v>
      </c>
      <c r="Q192" t="s">
        <v>160</v>
      </c>
      <c r="S192" t="s">
        <v>204</v>
      </c>
      <c r="T192" t="s">
        <v>232</v>
      </c>
      <c r="U192">
        <v>7.580309348925127E-3</v>
      </c>
      <c r="V192" t="s">
        <v>160</v>
      </c>
    </row>
    <row r="193" spans="9:22" x14ac:dyDescent="0.45">
      <c r="I193" t="s">
        <v>184</v>
      </c>
      <c r="J193" t="s">
        <v>165</v>
      </c>
      <c r="K193">
        <v>0</v>
      </c>
      <c r="L193" t="s">
        <v>160</v>
      </c>
      <c r="N193" t="s">
        <v>194</v>
      </c>
      <c r="O193" t="s">
        <v>165</v>
      </c>
      <c r="P193">
        <v>2.0711331767795261E-2</v>
      </c>
      <c r="Q193" t="s">
        <v>160</v>
      </c>
      <c r="S193" t="s">
        <v>204</v>
      </c>
      <c r="T193" t="s">
        <v>165</v>
      </c>
      <c r="U193">
        <v>2.0711331767795261E-2</v>
      </c>
      <c r="V193" t="s">
        <v>160</v>
      </c>
    </row>
    <row r="194" spans="9:22" x14ac:dyDescent="0.45">
      <c r="I194" t="s">
        <v>184</v>
      </c>
      <c r="J194" t="s">
        <v>166</v>
      </c>
      <c r="K194">
        <v>0</v>
      </c>
      <c r="L194" t="s">
        <v>160</v>
      </c>
      <c r="N194" t="s">
        <v>194</v>
      </c>
      <c r="O194" t="s">
        <v>166</v>
      </c>
      <c r="P194">
        <v>3.8302970164901546E-3</v>
      </c>
      <c r="Q194" t="s">
        <v>160</v>
      </c>
      <c r="S194" t="s">
        <v>204</v>
      </c>
      <c r="T194" t="s">
        <v>166</v>
      </c>
      <c r="U194">
        <v>3.8302970164901546E-3</v>
      </c>
      <c r="V194" t="s">
        <v>160</v>
      </c>
    </row>
    <row r="195" spans="9:22" x14ac:dyDescent="0.45">
      <c r="I195" t="s">
        <v>184</v>
      </c>
      <c r="J195" t="s">
        <v>167</v>
      </c>
      <c r="K195">
        <v>0</v>
      </c>
      <c r="L195" t="s">
        <v>160</v>
      </c>
      <c r="N195" t="s">
        <v>194</v>
      </c>
      <c r="O195" t="s">
        <v>167</v>
      </c>
      <c r="P195">
        <v>3.9491881854282372E-3</v>
      </c>
      <c r="Q195" t="s">
        <v>160</v>
      </c>
      <c r="S195" t="s">
        <v>204</v>
      </c>
      <c r="T195" t="s">
        <v>167</v>
      </c>
      <c r="U195">
        <v>3.9491881854282372E-3</v>
      </c>
      <c r="V195" t="s">
        <v>160</v>
      </c>
    </row>
    <row r="196" spans="9:22" x14ac:dyDescent="0.45">
      <c r="I196" t="s">
        <v>184</v>
      </c>
      <c r="J196" t="s">
        <v>168</v>
      </c>
      <c r="K196">
        <v>8.4252688253661483E-3</v>
      </c>
      <c r="L196" t="s">
        <v>160</v>
      </c>
      <c r="N196" t="s">
        <v>194</v>
      </c>
      <c r="O196" t="s">
        <v>168</v>
      </c>
      <c r="P196">
        <v>1.2920290891829458E-2</v>
      </c>
      <c r="Q196" t="s">
        <v>160</v>
      </c>
      <c r="S196" t="s">
        <v>204</v>
      </c>
      <c r="T196" t="s">
        <v>168</v>
      </c>
      <c r="U196">
        <v>1.2920290891829458E-2</v>
      </c>
      <c r="V196" t="s">
        <v>160</v>
      </c>
    </row>
    <row r="197" spans="9:22" x14ac:dyDescent="0.45">
      <c r="I197" t="s">
        <v>184</v>
      </c>
      <c r="J197" t="s">
        <v>169</v>
      </c>
      <c r="K197">
        <v>3.1633568915379204E-2</v>
      </c>
      <c r="L197" t="s">
        <v>160</v>
      </c>
      <c r="N197" t="s">
        <v>194</v>
      </c>
      <c r="O197" t="s">
        <v>169</v>
      </c>
      <c r="P197">
        <v>4.0540388965537417E-2</v>
      </c>
      <c r="Q197" t="s">
        <v>160</v>
      </c>
      <c r="S197" t="s">
        <v>204</v>
      </c>
      <c r="T197" t="s">
        <v>169</v>
      </c>
      <c r="U197">
        <v>4.0540388965537417E-2</v>
      </c>
      <c r="V197" t="s">
        <v>160</v>
      </c>
    </row>
    <row r="198" spans="9:22" x14ac:dyDescent="0.45">
      <c r="I198" t="s">
        <v>184</v>
      </c>
      <c r="J198" t="s">
        <v>233</v>
      </c>
      <c r="K198">
        <v>3.0141974184474821E-3</v>
      </c>
      <c r="L198" t="s">
        <v>160</v>
      </c>
      <c r="N198" t="s">
        <v>194</v>
      </c>
      <c r="O198" t="s">
        <v>233</v>
      </c>
      <c r="P198">
        <v>3.2365345586724652E-2</v>
      </c>
      <c r="Q198" t="s">
        <v>160</v>
      </c>
      <c r="S198" t="s">
        <v>204</v>
      </c>
      <c r="T198" t="s">
        <v>233</v>
      </c>
      <c r="U198">
        <v>3.2365345586724652E-2</v>
      </c>
      <c r="V198" t="s">
        <v>160</v>
      </c>
    </row>
    <row r="199" spans="9:22" x14ac:dyDescent="0.45">
      <c r="I199" t="s">
        <v>184</v>
      </c>
      <c r="J199" t="s">
        <v>234</v>
      </c>
      <c r="K199">
        <v>0</v>
      </c>
      <c r="L199" t="s">
        <v>160</v>
      </c>
      <c r="N199" t="s">
        <v>194</v>
      </c>
      <c r="O199" t="s">
        <v>234</v>
      </c>
      <c r="P199">
        <v>4.3431456242320919E-3</v>
      </c>
      <c r="Q199" t="s">
        <v>160</v>
      </c>
      <c r="S199" t="s">
        <v>204</v>
      </c>
      <c r="T199" t="s">
        <v>234</v>
      </c>
      <c r="U199">
        <v>4.3431456242320919E-3</v>
      </c>
      <c r="V199" t="s">
        <v>160</v>
      </c>
    </row>
    <row r="200" spans="9:22" x14ac:dyDescent="0.45">
      <c r="I200" t="s">
        <v>184</v>
      </c>
      <c r="J200" t="s">
        <v>170</v>
      </c>
      <c r="K200">
        <v>0</v>
      </c>
      <c r="L200" t="s">
        <v>160</v>
      </c>
      <c r="N200" t="s">
        <v>194</v>
      </c>
      <c r="O200" t="s">
        <v>170</v>
      </c>
      <c r="P200">
        <v>7.0196530906585508E-2</v>
      </c>
      <c r="Q200" t="s">
        <v>160</v>
      </c>
      <c r="S200" t="s">
        <v>204</v>
      </c>
      <c r="T200" t="s">
        <v>170</v>
      </c>
      <c r="U200">
        <v>7.0196530906585508E-2</v>
      </c>
      <c r="V200" t="s">
        <v>160</v>
      </c>
    </row>
    <row r="201" spans="9:22" x14ac:dyDescent="0.45">
      <c r="I201" t="s">
        <v>184</v>
      </c>
      <c r="J201" t="s">
        <v>171</v>
      </c>
      <c r="K201">
        <v>4.9465239123663738E-3</v>
      </c>
      <c r="L201" t="s">
        <v>160</v>
      </c>
      <c r="N201" t="s">
        <v>194</v>
      </c>
      <c r="O201" t="s">
        <v>171</v>
      </c>
      <c r="P201">
        <v>1.3992673460249547E-2</v>
      </c>
      <c r="Q201" t="s">
        <v>160</v>
      </c>
      <c r="S201" t="s">
        <v>204</v>
      </c>
      <c r="T201" t="s">
        <v>171</v>
      </c>
      <c r="U201">
        <v>1.3992673460249547E-2</v>
      </c>
      <c r="V201" t="s">
        <v>160</v>
      </c>
    </row>
    <row r="202" spans="9:22" x14ac:dyDescent="0.45">
      <c r="I202" t="s">
        <v>184</v>
      </c>
      <c r="J202" t="s">
        <v>172</v>
      </c>
      <c r="K202">
        <v>2.2142933334595535E-2</v>
      </c>
      <c r="L202" t="s">
        <v>160</v>
      </c>
      <c r="N202" t="s">
        <v>194</v>
      </c>
      <c r="O202" t="s">
        <v>172</v>
      </c>
      <c r="P202">
        <v>1.3273877469905508E-2</v>
      </c>
      <c r="Q202" t="s">
        <v>160</v>
      </c>
      <c r="S202" t="s">
        <v>204</v>
      </c>
      <c r="T202" t="s">
        <v>172</v>
      </c>
      <c r="U202">
        <v>1.3273877469905508E-2</v>
      </c>
      <c r="V202" t="s">
        <v>160</v>
      </c>
    </row>
    <row r="203" spans="9:22" x14ac:dyDescent="0.45">
      <c r="I203" t="s">
        <v>184</v>
      </c>
      <c r="J203" t="s">
        <v>173</v>
      </c>
      <c r="K203">
        <v>0.16807969020484628</v>
      </c>
      <c r="L203" t="s">
        <v>160</v>
      </c>
      <c r="N203" t="s">
        <v>194</v>
      </c>
      <c r="O203" t="s">
        <v>173</v>
      </c>
      <c r="P203">
        <v>3.8917128460564124E-2</v>
      </c>
      <c r="Q203" t="s">
        <v>160</v>
      </c>
      <c r="S203" t="s">
        <v>204</v>
      </c>
      <c r="T203" t="s">
        <v>173</v>
      </c>
      <c r="U203">
        <v>3.8917128460564124E-2</v>
      </c>
      <c r="V203" t="s">
        <v>160</v>
      </c>
    </row>
    <row r="204" spans="9:22" x14ac:dyDescent="0.45">
      <c r="I204" t="s">
        <v>184</v>
      </c>
      <c r="J204" t="s">
        <v>174</v>
      </c>
      <c r="K204">
        <v>0.47503081692881205</v>
      </c>
      <c r="L204" t="s">
        <v>160</v>
      </c>
      <c r="N204" t="s">
        <v>194</v>
      </c>
      <c r="O204" t="s">
        <v>174</v>
      </c>
      <c r="P204">
        <v>0.13362434925509126</v>
      </c>
      <c r="Q204" t="s">
        <v>160</v>
      </c>
      <c r="S204" t="s">
        <v>204</v>
      </c>
      <c r="T204" t="s">
        <v>174</v>
      </c>
      <c r="U204">
        <v>0.13362434925509126</v>
      </c>
      <c r="V204" t="s">
        <v>160</v>
      </c>
    </row>
    <row r="205" spans="9:22" x14ac:dyDescent="0.45">
      <c r="I205" t="s">
        <v>184</v>
      </c>
      <c r="J205" t="s">
        <v>235</v>
      </c>
      <c r="K205">
        <v>9.0343348744280766E-2</v>
      </c>
      <c r="L205" t="s">
        <v>160</v>
      </c>
      <c r="N205" t="s">
        <v>194</v>
      </c>
      <c r="O205" t="s">
        <v>235</v>
      </c>
      <c r="P205">
        <v>0.11209964005943336</v>
      </c>
      <c r="Q205" t="s">
        <v>160</v>
      </c>
      <c r="S205" t="s">
        <v>204</v>
      </c>
      <c r="T205" t="s">
        <v>235</v>
      </c>
      <c r="U205">
        <v>0.11209964005943336</v>
      </c>
      <c r="V205" t="s">
        <v>160</v>
      </c>
    </row>
    <row r="206" spans="9:22" x14ac:dyDescent="0.45">
      <c r="I206" t="s">
        <v>184</v>
      </c>
      <c r="J206" t="s">
        <v>236</v>
      </c>
      <c r="K206">
        <v>0</v>
      </c>
      <c r="L206" t="s">
        <v>160</v>
      </c>
      <c r="N206" t="s">
        <v>194</v>
      </c>
      <c r="O206" t="s">
        <v>236</v>
      </c>
      <c r="P206">
        <v>1.3591906317432231E-2</v>
      </c>
      <c r="Q206" t="s">
        <v>160</v>
      </c>
      <c r="S206" t="s">
        <v>204</v>
      </c>
      <c r="T206" t="s">
        <v>236</v>
      </c>
      <c r="U206">
        <v>1.3591906317432231E-2</v>
      </c>
      <c r="V206" t="s">
        <v>160</v>
      </c>
    </row>
    <row r="207" spans="9:22" x14ac:dyDescent="0.45">
      <c r="I207" t="s">
        <v>184</v>
      </c>
      <c r="J207" t="s">
        <v>175</v>
      </c>
      <c r="K207">
        <v>0</v>
      </c>
      <c r="L207" t="s">
        <v>160</v>
      </c>
      <c r="N207" t="s">
        <v>194</v>
      </c>
      <c r="O207" t="s">
        <v>175</v>
      </c>
      <c r="P207">
        <v>4.1080983765201556E-2</v>
      </c>
      <c r="Q207" t="s">
        <v>160</v>
      </c>
      <c r="S207" t="s">
        <v>204</v>
      </c>
      <c r="T207" t="s">
        <v>175</v>
      </c>
      <c r="U207">
        <v>4.1080983765201556E-2</v>
      </c>
      <c r="V207" t="s">
        <v>160</v>
      </c>
    </row>
    <row r="208" spans="9:22" x14ac:dyDescent="0.45">
      <c r="I208" t="s">
        <v>184</v>
      </c>
      <c r="J208" t="s">
        <v>176</v>
      </c>
      <c r="K208">
        <v>0</v>
      </c>
      <c r="L208" t="s">
        <v>160</v>
      </c>
      <c r="N208" t="s">
        <v>194</v>
      </c>
      <c r="O208" t="s">
        <v>176</v>
      </c>
      <c r="P208">
        <v>8.2562851005391104E-3</v>
      </c>
      <c r="Q208" t="s">
        <v>160</v>
      </c>
      <c r="S208" t="s">
        <v>204</v>
      </c>
      <c r="T208" t="s">
        <v>176</v>
      </c>
      <c r="U208">
        <v>8.2562851005391104E-3</v>
      </c>
      <c r="V208" t="s">
        <v>160</v>
      </c>
    </row>
    <row r="209" spans="9:22" x14ac:dyDescent="0.45">
      <c r="I209" t="s">
        <v>184</v>
      </c>
      <c r="J209" t="s">
        <v>177</v>
      </c>
      <c r="K209">
        <v>0</v>
      </c>
      <c r="L209" t="s">
        <v>160</v>
      </c>
      <c r="N209" t="s">
        <v>194</v>
      </c>
      <c r="O209" t="s">
        <v>177</v>
      </c>
      <c r="P209">
        <v>8.1736343165134378E-3</v>
      </c>
      <c r="Q209" t="s">
        <v>160</v>
      </c>
      <c r="S209" t="s">
        <v>204</v>
      </c>
      <c r="T209" t="s">
        <v>177</v>
      </c>
      <c r="U209">
        <v>8.1736343165134378E-3</v>
      </c>
      <c r="V209" t="s">
        <v>160</v>
      </c>
    </row>
    <row r="210" spans="9:22" x14ac:dyDescent="0.45">
      <c r="I210" t="s">
        <v>184</v>
      </c>
      <c r="J210" t="s">
        <v>178</v>
      </c>
      <c r="K210">
        <v>1.5798757289932422E-2</v>
      </c>
      <c r="L210" t="s">
        <v>160</v>
      </c>
      <c r="N210" t="s">
        <v>194</v>
      </c>
      <c r="O210" t="s">
        <v>178</v>
      </c>
      <c r="P210">
        <v>2.4493006812916933E-2</v>
      </c>
      <c r="Q210" t="s">
        <v>160</v>
      </c>
      <c r="S210" t="s">
        <v>204</v>
      </c>
      <c r="T210" t="s">
        <v>178</v>
      </c>
      <c r="U210">
        <v>2.4493006812916933E-2</v>
      </c>
      <c r="V210" t="s">
        <v>160</v>
      </c>
    </row>
    <row r="211" spans="9:22" x14ac:dyDescent="0.45">
      <c r="I211" t="s">
        <v>184</v>
      </c>
      <c r="J211" t="s">
        <v>179</v>
      </c>
      <c r="K211">
        <v>8.9032335082743844E-2</v>
      </c>
      <c r="L211" t="s">
        <v>160</v>
      </c>
      <c r="N211" t="s">
        <v>194</v>
      </c>
      <c r="O211" t="s">
        <v>179</v>
      </c>
      <c r="P211">
        <v>7.0106937441634348E-2</v>
      </c>
      <c r="Q211" t="s">
        <v>160</v>
      </c>
      <c r="S211" t="s">
        <v>204</v>
      </c>
      <c r="T211" t="s">
        <v>179</v>
      </c>
      <c r="U211">
        <v>7.0106937441634348E-2</v>
      </c>
      <c r="V211" t="s">
        <v>160</v>
      </c>
    </row>
    <row r="212" spans="9:22" x14ac:dyDescent="0.45">
      <c r="I212" t="s">
        <v>184</v>
      </c>
      <c r="J212" t="s">
        <v>237</v>
      </c>
      <c r="K212">
        <v>1.7450666679961282E-3</v>
      </c>
      <c r="L212" t="s">
        <v>160</v>
      </c>
      <c r="N212" t="s">
        <v>194</v>
      </c>
      <c r="O212" t="s">
        <v>237</v>
      </c>
      <c r="P212">
        <v>6.5296014697036012E-2</v>
      </c>
      <c r="Q212" t="s">
        <v>160</v>
      </c>
      <c r="S212" t="s">
        <v>204</v>
      </c>
      <c r="T212" t="s">
        <v>237</v>
      </c>
      <c r="U212">
        <v>6.5296014697036012E-2</v>
      </c>
      <c r="V212" t="s">
        <v>160</v>
      </c>
    </row>
    <row r="213" spans="9:22" x14ac:dyDescent="0.45">
      <c r="I213" t="s">
        <v>184</v>
      </c>
      <c r="J213" t="s">
        <v>238</v>
      </c>
      <c r="K213">
        <v>0</v>
      </c>
      <c r="L213" t="s">
        <v>160</v>
      </c>
      <c r="N213" t="s">
        <v>194</v>
      </c>
      <c r="O213" t="s">
        <v>238</v>
      </c>
      <c r="P213">
        <v>8.5176282182870596E-3</v>
      </c>
      <c r="Q213" t="s">
        <v>160</v>
      </c>
      <c r="S213" t="s">
        <v>204</v>
      </c>
      <c r="T213" t="s">
        <v>238</v>
      </c>
      <c r="U213">
        <v>8.5176282182870596E-3</v>
      </c>
      <c r="V213" t="s">
        <v>160</v>
      </c>
    </row>
    <row r="214" spans="9:22" x14ac:dyDescent="0.45">
      <c r="I214" t="s">
        <v>184</v>
      </c>
      <c r="J214" t="s">
        <v>222</v>
      </c>
      <c r="K214">
        <v>0</v>
      </c>
      <c r="L214" t="s">
        <v>160</v>
      </c>
      <c r="N214" t="s">
        <v>194</v>
      </c>
      <c r="O214" t="s">
        <v>222</v>
      </c>
      <c r="P214">
        <v>1.1143821919017922E-2</v>
      </c>
      <c r="Q214" t="s">
        <v>160</v>
      </c>
      <c r="S214" t="s">
        <v>204</v>
      </c>
      <c r="T214" t="s">
        <v>222</v>
      </c>
      <c r="U214">
        <v>1.1143821919017922E-2</v>
      </c>
      <c r="V214" t="s">
        <v>160</v>
      </c>
    </row>
    <row r="215" spans="9:22" x14ac:dyDescent="0.45">
      <c r="I215" t="s">
        <v>184</v>
      </c>
      <c r="J215" t="s">
        <v>223</v>
      </c>
      <c r="K215">
        <v>0</v>
      </c>
      <c r="L215" t="s">
        <v>160</v>
      </c>
      <c r="N215" t="s">
        <v>194</v>
      </c>
      <c r="O215" t="s">
        <v>223</v>
      </c>
      <c r="P215">
        <v>1.9342411475700876E-3</v>
      </c>
      <c r="Q215" t="s">
        <v>160</v>
      </c>
      <c r="S215" t="s">
        <v>204</v>
      </c>
      <c r="T215" t="s">
        <v>223</v>
      </c>
      <c r="U215">
        <v>1.9342411475700876E-3</v>
      </c>
      <c r="V215" t="s">
        <v>160</v>
      </c>
    </row>
    <row r="216" spans="9:22" x14ac:dyDescent="0.45">
      <c r="I216" t="s">
        <v>184</v>
      </c>
      <c r="J216" t="s">
        <v>224</v>
      </c>
      <c r="K216">
        <v>0</v>
      </c>
      <c r="L216" t="s">
        <v>160</v>
      </c>
      <c r="N216" t="s">
        <v>194</v>
      </c>
      <c r="O216" t="s">
        <v>224</v>
      </c>
      <c r="P216">
        <v>1.8808224579511983E-3</v>
      </c>
      <c r="Q216" t="s">
        <v>160</v>
      </c>
      <c r="S216" t="s">
        <v>204</v>
      </c>
      <c r="T216" t="s">
        <v>224</v>
      </c>
      <c r="U216">
        <v>1.8808224579511983E-3</v>
      </c>
      <c r="V216" t="s">
        <v>160</v>
      </c>
    </row>
    <row r="217" spans="9:22" x14ac:dyDescent="0.45">
      <c r="I217" t="s">
        <v>184</v>
      </c>
      <c r="J217" t="s">
        <v>225</v>
      </c>
      <c r="K217">
        <v>3.6859367012280459E-4</v>
      </c>
      <c r="L217" t="s">
        <v>160</v>
      </c>
      <c r="N217" t="s">
        <v>194</v>
      </c>
      <c r="O217" t="s">
        <v>225</v>
      </c>
      <c r="P217">
        <v>5.8985136564233178E-3</v>
      </c>
      <c r="Q217" t="s">
        <v>160</v>
      </c>
      <c r="S217" t="s">
        <v>204</v>
      </c>
      <c r="T217" t="s">
        <v>225</v>
      </c>
      <c r="U217">
        <v>5.8985136564233178E-3</v>
      </c>
      <c r="V217" t="s">
        <v>160</v>
      </c>
    </row>
    <row r="218" spans="9:22" x14ac:dyDescent="0.45">
      <c r="I218" t="s">
        <v>184</v>
      </c>
      <c r="J218" t="s">
        <v>226</v>
      </c>
      <c r="K218">
        <v>6.547897113524952E-3</v>
      </c>
      <c r="L218" t="s">
        <v>160</v>
      </c>
      <c r="N218" t="s">
        <v>194</v>
      </c>
      <c r="O218" t="s">
        <v>226</v>
      </c>
      <c r="P218">
        <v>1.3875895302910187E-2</v>
      </c>
      <c r="Q218" t="s">
        <v>160</v>
      </c>
      <c r="S218" t="s">
        <v>204</v>
      </c>
      <c r="T218" t="s">
        <v>226</v>
      </c>
      <c r="U218">
        <v>1.3875895302910187E-2</v>
      </c>
      <c r="V218" t="s">
        <v>160</v>
      </c>
    </row>
    <row r="219" spans="9:22" x14ac:dyDescent="0.45">
      <c r="I219" t="s">
        <v>184</v>
      </c>
      <c r="J219" t="s">
        <v>239</v>
      </c>
      <c r="K219">
        <v>0</v>
      </c>
      <c r="L219" t="s">
        <v>160</v>
      </c>
      <c r="N219" t="s">
        <v>194</v>
      </c>
      <c r="O219" t="s">
        <v>239</v>
      </c>
      <c r="P219">
        <v>1.3679425416056273E-2</v>
      </c>
      <c r="Q219" t="s">
        <v>160</v>
      </c>
      <c r="S219" t="s">
        <v>204</v>
      </c>
      <c r="T219" t="s">
        <v>239</v>
      </c>
      <c r="U219">
        <v>1.3679425416056273E-2</v>
      </c>
      <c r="V219" t="s">
        <v>160</v>
      </c>
    </row>
    <row r="220" spans="9:22" x14ac:dyDescent="0.45">
      <c r="I220" t="s">
        <v>184</v>
      </c>
      <c r="J220" t="s">
        <v>240</v>
      </c>
      <c r="K220">
        <v>0</v>
      </c>
      <c r="L220" t="s">
        <v>160</v>
      </c>
      <c r="N220" t="s">
        <v>194</v>
      </c>
      <c r="O220" t="s">
        <v>240</v>
      </c>
      <c r="P220">
        <v>2.3229941353541698E-3</v>
      </c>
      <c r="Q220" t="s">
        <v>160</v>
      </c>
      <c r="S220" t="s">
        <v>204</v>
      </c>
      <c r="T220" t="s">
        <v>240</v>
      </c>
      <c r="U220">
        <v>2.3229941353541698E-3</v>
      </c>
      <c r="V220" t="s">
        <v>160</v>
      </c>
    </row>
    <row r="221" spans="9:22" x14ac:dyDescent="0.45">
      <c r="I221" t="s">
        <v>185</v>
      </c>
      <c r="J221" t="s">
        <v>159</v>
      </c>
      <c r="K221">
        <v>0</v>
      </c>
      <c r="L221" t="s">
        <v>160</v>
      </c>
      <c r="N221" t="s">
        <v>195</v>
      </c>
      <c r="O221" t="s">
        <v>159</v>
      </c>
      <c r="P221">
        <v>4.6302765885617707E-2</v>
      </c>
      <c r="Q221" t="s">
        <v>160</v>
      </c>
      <c r="S221" t="s">
        <v>205</v>
      </c>
      <c r="T221" t="s">
        <v>159</v>
      </c>
      <c r="U221">
        <v>4.6302765885617707E-2</v>
      </c>
      <c r="V221" t="s">
        <v>160</v>
      </c>
    </row>
    <row r="222" spans="9:22" x14ac:dyDescent="0.45">
      <c r="I222" t="s">
        <v>185</v>
      </c>
      <c r="J222" t="s">
        <v>161</v>
      </c>
      <c r="K222">
        <v>0</v>
      </c>
      <c r="L222" t="s">
        <v>160</v>
      </c>
      <c r="N222" t="s">
        <v>195</v>
      </c>
      <c r="O222" t="s">
        <v>161</v>
      </c>
      <c r="P222">
        <v>8.8779640842920962E-3</v>
      </c>
      <c r="Q222" t="s">
        <v>160</v>
      </c>
      <c r="S222" t="s">
        <v>205</v>
      </c>
      <c r="T222" t="s">
        <v>161</v>
      </c>
      <c r="U222">
        <v>8.8779640842920962E-3</v>
      </c>
      <c r="V222" t="s">
        <v>160</v>
      </c>
    </row>
    <row r="223" spans="9:22" x14ac:dyDescent="0.45">
      <c r="I223" t="s">
        <v>185</v>
      </c>
      <c r="J223" t="s">
        <v>162</v>
      </c>
      <c r="K223">
        <v>0</v>
      </c>
      <c r="L223" t="s">
        <v>160</v>
      </c>
      <c r="N223" t="s">
        <v>195</v>
      </c>
      <c r="O223" t="s">
        <v>162</v>
      </c>
      <c r="P223">
        <v>8.8482448946801268E-3</v>
      </c>
      <c r="Q223" t="s">
        <v>160</v>
      </c>
      <c r="S223" t="s">
        <v>205</v>
      </c>
      <c r="T223" t="s">
        <v>162</v>
      </c>
      <c r="U223">
        <v>8.8482448946801268E-3</v>
      </c>
      <c r="V223" t="s">
        <v>160</v>
      </c>
    </row>
    <row r="224" spans="9:22" x14ac:dyDescent="0.45">
      <c r="I224" t="s">
        <v>185</v>
      </c>
      <c r="J224" t="s">
        <v>163</v>
      </c>
      <c r="K224">
        <v>8.6189055295567557E-3</v>
      </c>
      <c r="L224" t="s">
        <v>160</v>
      </c>
      <c r="N224" t="s">
        <v>195</v>
      </c>
      <c r="O224" t="s">
        <v>163</v>
      </c>
      <c r="P224">
        <v>2.533886774035618E-2</v>
      </c>
      <c r="Q224" t="s">
        <v>160</v>
      </c>
      <c r="S224" t="s">
        <v>205</v>
      </c>
      <c r="T224" t="s">
        <v>163</v>
      </c>
      <c r="U224">
        <v>2.533886774035618E-2</v>
      </c>
      <c r="V224" t="s">
        <v>160</v>
      </c>
    </row>
    <row r="225" spans="9:22" x14ac:dyDescent="0.45">
      <c r="I225" t="s">
        <v>185</v>
      </c>
      <c r="J225" t="s">
        <v>164</v>
      </c>
      <c r="K225">
        <v>6.9674580845767164E-2</v>
      </c>
      <c r="L225" t="s">
        <v>160</v>
      </c>
      <c r="N225" t="s">
        <v>195</v>
      </c>
      <c r="O225" t="s">
        <v>164</v>
      </c>
      <c r="P225">
        <v>5.1009752652751594E-2</v>
      </c>
      <c r="Q225" t="s">
        <v>160</v>
      </c>
      <c r="S225" t="s">
        <v>205</v>
      </c>
      <c r="T225" t="s">
        <v>164</v>
      </c>
      <c r="U225">
        <v>5.1009752652751594E-2</v>
      </c>
      <c r="V225" t="s">
        <v>160</v>
      </c>
    </row>
    <row r="226" spans="9:22" x14ac:dyDescent="0.45">
      <c r="I226" t="s">
        <v>185</v>
      </c>
      <c r="J226" t="s">
        <v>231</v>
      </c>
      <c r="K226">
        <v>2.5442916409049482E-3</v>
      </c>
      <c r="L226" t="s">
        <v>160</v>
      </c>
      <c r="N226" t="s">
        <v>195</v>
      </c>
      <c r="O226" t="s">
        <v>231</v>
      </c>
      <c r="P226">
        <v>5.017571835371494E-2</v>
      </c>
      <c r="Q226" t="s">
        <v>160</v>
      </c>
      <c r="S226" t="s">
        <v>205</v>
      </c>
      <c r="T226" t="s">
        <v>231</v>
      </c>
      <c r="U226">
        <v>5.017571835371494E-2</v>
      </c>
      <c r="V226" t="s">
        <v>160</v>
      </c>
    </row>
    <row r="227" spans="9:22" x14ac:dyDescent="0.45">
      <c r="I227" t="s">
        <v>185</v>
      </c>
      <c r="J227" t="s">
        <v>232</v>
      </c>
      <c r="K227">
        <v>0</v>
      </c>
      <c r="L227" t="s">
        <v>160</v>
      </c>
      <c r="N227" t="s">
        <v>195</v>
      </c>
      <c r="O227" t="s">
        <v>232</v>
      </c>
      <c r="P227">
        <v>8.5302299358310778E-3</v>
      </c>
      <c r="Q227" t="s">
        <v>160</v>
      </c>
      <c r="S227" t="s">
        <v>205</v>
      </c>
      <c r="T227" t="s">
        <v>232</v>
      </c>
      <c r="U227">
        <v>8.5302299358310778E-3</v>
      </c>
      <c r="V227" t="s">
        <v>160</v>
      </c>
    </row>
    <row r="228" spans="9:22" x14ac:dyDescent="0.45">
      <c r="I228" t="s">
        <v>185</v>
      </c>
      <c r="J228" t="s">
        <v>165</v>
      </c>
      <c r="K228">
        <v>0</v>
      </c>
      <c r="L228" t="s">
        <v>160</v>
      </c>
      <c r="N228" t="s">
        <v>195</v>
      </c>
      <c r="O228" t="s">
        <v>165</v>
      </c>
      <c r="P228">
        <v>1.7909950122031216E-2</v>
      </c>
      <c r="Q228" t="s">
        <v>160</v>
      </c>
      <c r="S228" t="s">
        <v>205</v>
      </c>
      <c r="T228" t="s">
        <v>165</v>
      </c>
      <c r="U228">
        <v>1.7909950122031216E-2</v>
      </c>
      <c r="V228" t="s">
        <v>160</v>
      </c>
    </row>
    <row r="229" spans="9:22" x14ac:dyDescent="0.45">
      <c r="I229" t="s">
        <v>185</v>
      </c>
      <c r="J229" t="s">
        <v>166</v>
      </c>
      <c r="K229">
        <v>0</v>
      </c>
      <c r="L229" t="s">
        <v>160</v>
      </c>
      <c r="N229" t="s">
        <v>195</v>
      </c>
      <c r="O229" t="s">
        <v>166</v>
      </c>
      <c r="P229">
        <v>3.5958614226057443E-3</v>
      </c>
      <c r="Q229" t="s">
        <v>160</v>
      </c>
      <c r="S229" t="s">
        <v>205</v>
      </c>
      <c r="T229" t="s">
        <v>166</v>
      </c>
      <c r="U229">
        <v>3.5958614226057443E-3</v>
      </c>
      <c r="V229" t="s">
        <v>160</v>
      </c>
    </row>
    <row r="230" spans="9:22" x14ac:dyDescent="0.45">
      <c r="I230" t="s">
        <v>185</v>
      </c>
      <c r="J230" t="s">
        <v>167</v>
      </c>
      <c r="K230">
        <v>0</v>
      </c>
      <c r="L230" t="s">
        <v>160</v>
      </c>
      <c r="N230" t="s">
        <v>195</v>
      </c>
      <c r="O230" t="s">
        <v>167</v>
      </c>
      <c r="P230">
        <v>3.6664179139362686E-3</v>
      </c>
      <c r="Q230" t="s">
        <v>160</v>
      </c>
      <c r="S230" t="s">
        <v>205</v>
      </c>
      <c r="T230" t="s">
        <v>167</v>
      </c>
      <c r="U230">
        <v>3.6664179139362686E-3</v>
      </c>
      <c r="V230" t="s">
        <v>160</v>
      </c>
    </row>
    <row r="231" spans="9:22" x14ac:dyDescent="0.45">
      <c r="I231" t="s">
        <v>185</v>
      </c>
      <c r="J231" t="s">
        <v>168</v>
      </c>
      <c r="K231">
        <v>8.1594208281556817E-3</v>
      </c>
      <c r="L231" t="s">
        <v>160</v>
      </c>
      <c r="N231" t="s">
        <v>195</v>
      </c>
      <c r="O231" t="s">
        <v>168</v>
      </c>
      <c r="P231">
        <v>1.0769577387091913E-2</v>
      </c>
      <c r="Q231" t="s">
        <v>160</v>
      </c>
      <c r="S231" t="s">
        <v>205</v>
      </c>
      <c r="T231" t="s">
        <v>168</v>
      </c>
      <c r="U231">
        <v>1.0769577387091913E-2</v>
      </c>
      <c r="V231" t="s">
        <v>160</v>
      </c>
    </row>
    <row r="232" spans="9:22" x14ac:dyDescent="0.45">
      <c r="I232" t="s">
        <v>185</v>
      </c>
      <c r="J232" t="s">
        <v>169</v>
      </c>
      <c r="K232">
        <v>3.0630390031994394E-2</v>
      </c>
      <c r="L232" t="s">
        <v>160</v>
      </c>
      <c r="N232" t="s">
        <v>195</v>
      </c>
      <c r="O232" t="s">
        <v>169</v>
      </c>
      <c r="P232">
        <v>2.8607658948848355E-2</v>
      </c>
      <c r="Q232" t="s">
        <v>160</v>
      </c>
      <c r="S232" t="s">
        <v>205</v>
      </c>
      <c r="T232" t="s">
        <v>169</v>
      </c>
      <c r="U232">
        <v>2.8607658948848355E-2</v>
      </c>
      <c r="V232" t="s">
        <v>160</v>
      </c>
    </row>
    <row r="233" spans="9:22" x14ac:dyDescent="0.45">
      <c r="I233" t="s">
        <v>185</v>
      </c>
      <c r="J233" t="s">
        <v>233</v>
      </c>
      <c r="K233">
        <v>2.9519928006074858E-3</v>
      </c>
      <c r="L233" t="s">
        <v>160</v>
      </c>
      <c r="N233" t="s">
        <v>195</v>
      </c>
      <c r="O233" t="s">
        <v>233</v>
      </c>
      <c r="P233">
        <v>2.3905722513042731E-2</v>
      </c>
      <c r="Q233" t="s">
        <v>160</v>
      </c>
      <c r="S233" t="s">
        <v>205</v>
      </c>
      <c r="T233" t="s">
        <v>233</v>
      </c>
      <c r="U233">
        <v>2.3905722513042731E-2</v>
      </c>
      <c r="V233" t="s">
        <v>160</v>
      </c>
    </row>
    <row r="234" spans="9:22" x14ac:dyDescent="0.45">
      <c r="I234" t="s">
        <v>185</v>
      </c>
      <c r="J234" t="s">
        <v>234</v>
      </c>
      <c r="K234">
        <v>0</v>
      </c>
      <c r="L234" t="s">
        <v>160</v>
      </c>
      <c r="N234" t="s">
        <v>195</v>
      </c>
      <c r="O234" t="s">
        <v>234</v>
      </c>
      <c r="P234">
        <v>3.6239334764351758E-3</v>
      </c>
      <c r="Q234" t="s">
        <v>160</v>
      </c>
      <c r="S234" t="s">
        <v>205</v>
      </c>
      <c r="T234" t="s">
        <v>234</v>
      </c>
      <c r="U234">
        <v>3.6239334764351758E-3</v>
      </c>
      <c r="V234" t="s">
        <v>160</v>
      </c>
    </row>
    <row r="235" spans="9:22" x14ac:dyDescent="0.45">
      <c r="I235" t="s">
        <v>185</v>
      </c>
      <c r="J235" t="s">
        <v>170</v>
      </c>
      <c r="K235">
        <v>0</v>
      </c>
      <c r="L235" t="s">
        <v>160</v>
      </c>
      <c r="N235" t="s">
        <v>195</v>
      </c>
      <c r="O235" t="s">
        <v>170</v>
      </c>
      <c r="P235">
        <v>0.10182516243460774</v>
      </c>
      <c r="Q235" t="s">
        <v>160</v>
      </c>
      <c r="S235" t="s">
        <v>205</v>
      </c>
      <c r="T235" t="s">
        <v>170</v>
      </c>
      <c r="U235">
        <v>0.10182516243460774</v>
      </c>
      <c r="V235" t="s">
        <v>160</v>
      </c>
    </row>
    <row r="236" spans="9:22" x14ac:dyDescent="0.45">
      <c r="I236" t="s">
        <v>185</v>
      </c>
      <c r="J236" t="s">
        <v>171</v>
      </c>
      <c r="K236">
        <v>5.154131848143533E-3</v>
      </c>
      <c r="L236" t="s">
        <v>160</v>
      </c>
      <c r="N236" t="s">
        <v>195</v>
      </c>
      <c r="O236" t="s">
        <v>171</v>
      </c>
      <c r="P236">
        <v>1.9404524071064275E-2</v>
      </c>
      <c r="Q236" t="s">
        <v>160</v>
      </c>
      <c r="S236" t="s">
        <v>205</v>
      </c>
      <c r="T236" t="s">
        <v>171</v>
      </c>
      <c r="U236">
        <v>1.9404524071064275E-2</v>
      </c>
      <c r="V236" t="s">
        <v>160</v>
      </c>
    </row>
    <row r="237" spans="9:22" x14ac:dyDescent="0.45">
      <c r="I237" t="s">
        <v>185</v>
      </c>
      <c r="J237" t="s">
        <v>172</v>
      </c>
      <c r="K237">
        <v>2.2030888732295008E-2</v>
      </c>
      <c r="L237" t="s">
        <v>160</v>
      </c>
      <c r="N237" t="s">
        <v>195</v>
      </c>
      <c r="O237" t="s">
        <v>172</v>
      </c>
      <c r="P237">
        <v>1.78063162810474E-2</v>
      </c>
      <c r="Q237" t="s">
        <v>160</v>
      </c>
      <c r="S237" t="s">
        <v>205</v>
      </c>
      <c r="T237" t="s">
        <v>172</v>
      </c>
      <c r="U237">
        <v>1.78063162810474E-2</v>
      </c>
      <c r="V237" t="s">
        <v>160</v>
      </c>
    </row>
    <row r="238" spans="9:22" x14ac:dyDescent="0.45">
      <c r="I238" t="s">
        <v>185</v>
      </c>
      <c r="J238" t="s">
        <v>173</v>
      </c>
      <c r="K238">
        <v>0.16899826954967359</v>
      </c>
      <c r="L238" t="s">
        <v>160</v>
      </c>
      <c r="N238" t="s">
        <v>195</v>
      </c>
      <c r="O238" t="s">
        <v>173</v>
      </c>
      <c r="P238">
        <v>4.813719550677599E-2</v>
      </c>
      <c r="Q238" t="s">
        <v>160</v>
      </c>
      <c r="S238" t="s">
        <v>205</v>
      </c>
      <c r="T238" t="s">
        <v>173</v>
      </c>
      <c r="U238">
        <v>4.813719550677599E-2</v>
      </c>
      <c r="V238" t="s">
        <v>160</v>
      </c>
    </row>
    <row r="239" spans="9:22" x14ac:dyDescent="0.45">
      <c r="I239" t="s">
        <v>185</v>
      </c>
      <c r="J239" t="s">
        <v>174</v>
      </c>
      <c r="K239">
        <v>0.48267984496166449</v>
      </c>
      <c r="L239" t="s">
        <v>160</v>
      </c>
      <c r="N239" t="s">
        <v>195</v>
      </c>
      <c r="O239" t="s">
        <v>174</v>
      </c>
      <c r="P239">
        <v>0.11935106486204186</v>
      </c>
      <c r="Q239" t="s">
        <v>160</v>
      </c>
      <c r="S239" t="s">
        <v>205</v>
      </c>
      <c r="T239" t="s">
        <v>174</v>
      </c>
      <c r="U239">
        <v>0.11935106486204186</v>
      </c>
      <c r="V239" t="s">
        <v>160</v>
      </c>
    </row>
    <row r="240" spans="9:22" x14ac:dyDescent="0.45">
      <c r="I240" t="s">
        <v>185</v>
      </c>
      <c r="J240" t="s">
        <v>235</v>
      </c>
      <c r="K240">
        <v>9.174240727674593E-2</v>
      </c>
      <c r="L240" t="s">
        <v>160</v>
      </c>
      <c r="N240" t="s">
        <v>195</v>
      </c>
      <c r="O240" t="s">
        <v>235</v>
      </c>
      <c r="P240">
        <v>0.11911721111170316</v>
      </c>
      <c r="Q240" t="s">
        <v>160</v>
      </c>
      <c r="S240" t="s">
        <v>205</v>
      </c>
      <c r="T240" t="s">
        <v>235</v>
      </c>
      <c r="U240">
        <v>0.11911721111170316</v>
      </c>
      <c r="V240" t="s">
        <v>160</v>
      </c>
    </row>
    <row r="241" spans="9:22" x14ac:dyDescent="0.45">
      <c r="I241" t="s">
        <v>185</v>
      </c>
      <c r="J241" t="s">
        <v>236</v>
      </c>
      <c r="K241">
        <v>0</v>
      </c>
      <c r="L241" t="s">
        <v>160</v>
      </c>
      <c r="N241" t="s">
        <v>195</v>
      </c>
      <c r="O241" t="s">
        <v>236</v>
      </c>
      <c r="P241">
        <v>2.1209617862382901E-2</v>
      </c>
      <c r="Q241" t="s">
        <v>160</v>
      </c>
      <c r="S241" t="s">
        <v>205</v>
      </c>
      <c r="T241" t="s">
        <v>236</v>
      </c>
      <c r="U241">
        <v>2.1209617862382901E-2</v>
      </c>
      <c r="V241" t="s">
        <v>160</v>
      </c>
    </row>
    <row r="242" spans="9:22" x14ac:dyDescent="0.45">
      <c r="I242" t="s">
        <v>185</v>
      </c>
      <c r="J242" t="s">
        <v>175</v>
      </c>
      <c r="K242">
        <v>0</v>
      </c>
      <c r="L242" t="s">
        <v>160</v>
      </c>
      <c r="N242" t="s">
        <v>195</v>
      </c>
      <c r="O242" t="s">
        <v>175</v>
      </c>
      <c r="P242">
        <v>4.3909698130504583E-2</v>
      </c>
      <c r="Q242" t="s">
        <v>160</v>
      </c>
      <c r="S242" t="s">
        <v>205</v>
      </c>
      <c r="T242" t="s">
        <v>175</v>
      </c>
      <c r="U242">
        <v>4.3909698130504583E-2</v>
      </c>
      <c r="V242" t="s">
        <v>160</v>
      </c>
    </row>
    <row r="243" spans="9:22" x14ac:dyDescent="0.45">
      <c r="I243" t="s">
        <v>185</v>
      </c>
      <c r="J243" t="s">
        <v>176</v>
      </c>
      <c r="K243">
        <v>0</v>
      </c>
      <c r="L243" t="s">
        <v>160</v>
      </c>
      <c r="N243" t="s">
        <v>195</v>
      </c>
      <c r="O243" t="s">
        <v>176</v>
      </c>
      <c r="P243">
        <v>8.9300667843087243E-3</v>
      </c>
      <c r="Q243" t="s">
        <v>160</v>
      </c>
      <c r="S243" t="s">
        <v>205</v>
      </c>
      <c r="T243" t="s">
        <v>176</v>
      </c>
      <c r="U243">
        <v>8.9300667843087243E-3</v>
      </c>
      <c r="V243" t="s">
        <v>160</v>
      </c>
    </row>
    <row r="244" spans="9:22" x14ac:dyDescent="0.45">
      <c r="I244" t="s">
        <v>185</v>
      </c>
      <c r="J244" t="s">
        <v>177</v>
      </c>
      <c r="K244">
        <v>0</v>
      </c>
      <c r="L244" t="s">
        <v>160</v>
      </c>
      <c r="N244" t="s">
        <v>195</v>
      </c>
      <c r="O244" t="s">
        <v>177</v>
      </c>
      <c r="P244">
        <v>8.8786186416007409E-3</v>
      </c>
      <c r="Q244" t="s">
        <v>160</v>
      </c>
      <c r="S244" t="s">
        <v>205</v>
      </c>
      <c r="T244" t="s">
        <v>177</v>
      </c>
      <c r="U244">
        <v>8.8786186416007409E-3</v>
      </c>
      <c r="V244" t="s">
        <v>160</v>
      </c>
    </row>
    <row r="245" spans="9:22" x14ac:dyDescent="0.45">
      <c r="I245" t="s">
        <v>185</v>
      </c>
      <c r="J245" t="s">
        <v>178</v>
      </c>
      <c r="K245">
        <v>1.3868670929933912E-2</v>
      </c>
      <c r="L245" t="s">
        <v>160</v>
      </c>
      <c r="N245" t="s">
        <v>195</v>
      </c>
      <c r="O245" t="s">
        <v>178</v>
      </c>
      <c r="P245">
        <v>2.6121033668357895E-2</v>
      </c>
      <c r="Q245" t="s">
        <v>160</v>
      </c>
      <c r="S245" t="s">
        <v>205</v>
      </c>
      <c r="T245" t="s">
        <v>178</v>
      </c>
      <c r="U245">
        <v>2.6121033668357895E-2</v>
      </c>
      <c r="V245" t="s">
        <v>160</v>
      </c>
    </row>
    <row r="246" spans="9:22" x14ac:dyDescent="0.45">
      <c r="I246" t="s">
        <v>185</v>
      </c>
      <c r="J246" t="s">
        <v>179</v>
      </c>
      <c r="K246">
        <v>8.5334284456263509E-2</v>
      </c>
      <c r="L246" t="s">
        <v>160</v>
      </c>
      <c r="N246" t="s">
        <v>195</v>
      </c>
      <c r="O246" t="s">
        <v>179</v>
      </c>
      <c r="P246">
        <v>6.0762810398389641E-2</v>
      </c>
      <c r="Q246" t="s">
        <v>160</v>
      </c>
      <c r="S246" t="s">
        <v>205</v>
      </c>
      <c r="T246" t="s">
        <v>179</v>
      </c>
      <c r="U246">
        <v>6.0762810398389641E-2</v>
      </c>
      <c r="V246" t="s">
        <v>160</v>
      </c>
    </row>
    <row r="247" spans="9:22" x14ac:dyDescent="0.45">
      <c r="I247" t="s">
        <v>185</v>
      </c>
      <c r="J247" t="s">
        <v>237</v>
      </c>
      <c r="K247">
        <v>1.419290371292323E-3</v>
      </c>
      <c r="L247" t="s">
        <v>160</v>
      </c>
      <c r="N247" t="s">
        <v>195</v>
      </c>
      <c r="O247" t="s">
        <v>237</v>
      </c>
      <c r="P247">
        <v>6.0906586940269784E-2</v>
      </c>
      <c r="Q247" t="s">
        <v>160</v>
      </c>
      <c r="S247" t="s">
        <v>205</v>
      </c>
      <c r="T247" t="s">
        <v>237</v>
      </c>
      <c r="U247">
        <v>6.0906586940269784E-2</v>
      </c>
      <c r="V247" t="s">
        <v>160</v>
      </c>
    </row>
    <row r="248" spans="9:22" x14ac:dyDescent="0.45">
      <c r="I248" t="s">
        <v>185</v>
      </c>
      <c r="J248" t="s">
        <v>238</v>
      </c>
      <c r="K248">
        <v>0</v>
      </c>
      <c r="L248" t="s">
        <v>160</v>
      </c>
      <c r="N248" t="s">
        <v>195</v>
      </c>
      <c r="O248" t="s">
        <v>238</v>
      </c>
      <c r="P248">
        <v>9.2597383456809908E-3</v>
      </c>
      <c r="Q248" t="s">
        <v>160</v>
      </c>
      <c r="S248" t="s">
        <v>205</v>
      </c>
      <c r="T248" t="s">
        <v>238</v>
      </c>
      <c r="U248">
        <v>9.2597383456809908E-3</v>
      </c>
      <c r="V248" t="s">
        <v>160</v>
      </c>
    </row>
    <row r="249" spans="9:22" x14ac:dyDescent="0.45">
      <c r="I249" t="s">
        <v>185</v>
      </c>
      <c r="J249" t="s">
        <v>222</v>
      </c>
      <c r="K249">
        <v>0</v>
      </c>
      <c r="L249" t="s">
        <v>160</v>
      </c>
      <c r="N249" t="s">
        <v>195</v>
      </c>
      <c r="O249" t="s">
        <v>222</v>
      </c>
      <c r="P249">
        <v>9.4478933029978063E-3</v>
      </c>
      <c r="Q249" t="s">
        <v>160</v>
      </c>
      <c r="S249" t="s">
        <v>205</v>
      </c>
      <c r="T249" t="s">
        <v>222</v>
      </c>
      <c r="U249">
        <v>9.4478933029978063E-3</v>
      </c>
      <c r="V249" t="s">
        <v>160</v>
      </c>
    </row>
    <row r="250" spans="9:22" x14ac:dyDescent="0.45">
      <c r="I250" t="s">
        <v>185</v>
      </c>
      <c r="J250" t="s">
        <v>223</v>
      </c>
      <c r="K250">
        <v>0</v>
      </c>
      <c r="L250" t="s">
        <v>160</v>
      </c>
      <c r="N250" t="s">
        <v>195</v>
      </c>
      <c r="O250" t="s">
        <v>223</v>
      </c>
      <c r="P250">
        <v>1.7056952691674779E-3</v>
      </c>
      <c r="Q250" t="s">
        <v>160</v>
      </c>
      <c r="S250" t="s">
        <v>205</v>
      </c>
      <c r="T250" t="s">
        <v>223</v>
      </c>
      <c r="U250">
        <v>1.7056952691674779E-3</v>
      </c>
      <c r="V250" t="s">
        <v>160</v>
      </c>
    </row>
    <row r="251" spans="9:22" x14ac:dyDescent="0.45">
      <c r="I251" t="s">
        <v>185</v>
      </c>
      <c r="J251" t="s">
        <v>224</v>
      </c>
      <c r="K251">
        <v>0</v>
      </c>
      <c r="L251" t="s">
        <v>160</v>
      </c>
      <c r="N251" t="s">
        <v>195</v>
      </c>
      <c r="O251" t="s">
        <v>224</v>
      </c>
      <c r="P251">
        <v>1.699036934385723E-3</v>
      </c>
      <c r="Q251" t="s">
        <v>160</v>
      </c>
      <c r="S251" t="s">
        <v>205</v>
      </c>
      <c r="T251" t="s">
        <v>224</v>
      </c>
      <c r="U251">
        <v>1.699036934385723E-3</v>
      </c>
      <c r="V251" t="s">
        <v>160</v>
      </c>
    </row>
    <row r="252" spans="9:22" x14ac:dyDescent="0.45">
      <c r="I252" t="s">
        <v>185</v>
      </c>
      <c r="J252" t="s">
        <v>225</v>
      </c>
      <c r="K252">
        <v>3.1938156255322621E-4</v>
      </c>
      <c r="L252" t="s">
        <v>160</v>
      </c>
      <c r="N252" t="s">
        <v>195</v>
      </c>
      <c r="O252" t="s">
        <v>225</v>
      </c>
      <c r="P252">
        <v>5.1718902760299014E-3</v>
      </c>
      <c r="Q252" t="s">
        <v>160</v>
      </c>
      <c r="S252" t="s">
        <v>205</v>
      </c>
      <c r="T252" t="s">
        <v>225</v>
      </c>
      <c r="U252">
        <v>5.1718902760299014E-3</v>
      </c>
      <c r="V252" t="s">
        <v>160</v>
      </c>
    </row>
    <row r="253" spans="9:22" x14ac:dyDescent="0.45">
      <c r="I253" t="s">
        <v>185</v>
      </c>
      <c r="J253" t="s">
        <v>226</v>
      </c>
      <c r="K253">
        <v>5.873248634449363E-3</v>
      </c>
      <c r="L253" t="s">
        <v>160</v>
      </c>
      <c r="N253" t="s">
        <v>195</v>
      </c>
      <c r="O253" t="s">
        <v>226</v>
      </c>
      <c r="P253">
        <v>1.1972950248546521E-2</v>
      </c>
      <c r="Q253" t="s">
        <v>160</v>
      </c>
      <c r="S253" t="s">
        <v>205</v>
      </c>
      <c r="T253" t="s">
        <v>226</v>
      </c>
      <c r="U253">
        <v>1.1972950248546521E-2</v>
      </c>
      <c r="V253" t="s">
        <v>160</v>
      </c>
    </row>
    <row r="254" spans="9:22" x14ac:dyDescent="0.45">
      <c r="I254" t="s">
        <v>185</v>
      </c>
      <c r="J254" t="s">
        <v>239</v>
      </c>
      <c r="K254">
        <v>0</v>
      </c>
      <c r="L254" t="s">
        <v>160</v>
      </c>
      <c r="N254" t="s">
        <v>195</v>
      </c>
      <c r="O254" t="s">
        <v>239</v>
      </c>
      <c r="P254">
        <v>1.1335066149400641E-2</v>
      </c>
      <c r="Q254" t="s">
        <v>160</v>
      </c>
      <c r="S254" t="s">
        <v>205</v>
      </c>
      <c r="T254" t="s">
        <v>239</v>
      </c>
      <c r="U254">
        <v>1.1335066149400641E-2</v>
      </c>
      <c r="V254" t="s">
        <v>160</v>
      </c>
    </row>
    <row r="255" spans="9:22" x14ac:dyDescent="0.45">
      <c r="I255" t="s">
        <v>185</v>
      </c>
      <c r="J255" t="s">
        <v>240</v>
      </c>
      <c r="K255">
        <v>0</v>
      </c>
      <c r="L255" t="s">
        <v>160</v>
      </c>
      <c r="N255" t="s">
        <v>195</v>
      </c>
      <c r="O255" t="s">
        <v>240</v>
      </c>
      <c r="P255">
        <v>1.8851574495014037E-3</v>
      </c>
      <c r="Q255" t="s">
        <v>160</v>
      </c>
      <c r="S255" t="s">
        <v>205</v>
      </c>
      <c r="T255" t="s">
        <v>240</v>
      </c>
      <c r="U255">
        <v>1.8851574495014037E-3</v>
      </c>
      <c r="V255" t="s">
        <v>160</v>
      </c>
    </row>
    <row r="256" spans="9:22" x14ac:dyDescent="0.45">
      <c r="I256" t="s">
        <v>186</v>
      </c>
      <c r="J256" t="s">
        <v>159</v>
      </c>
      <c r="K256">
        <v>0</v>
      </c>
      <c r="L256" t="s">
        <v>160</v>
      </c>
      <c r="N256" t="s">
        <v>196</v>
      </c>
      <c r="O256" t="s">
        <v>159</v>
      </c>
      <c r="P256">
        <v>4.2866583612532455E-2</v>
      </c>
      <c r="Q256" t="s">
        <v>160</v>
      </c>
      <c r="S256" t="s">
        <v>206</v>
      </c>
      <c r="T256" t="s">
        <v>159</v>
      </c>
      <c r="U256">
        <v>4.2866583612532455E-2</v>
      </c>
      <c r="V256" t="s">
        <v>160</v>
      </c>
    </row>
    <row r="257" spans="9:22" x14ac:dyDescent="0.45">
      <c r="I257" t="s">
        <v>186</v>
      </c>
      <c r="J257" t="s">
        <v>161</v>
      </c>
      <c r="K257">
        <v>0</v>
      </c>
      <c r="L257" t="s">
        <v>160</v>
      </c>
      <c r="N257" t="s">
        <v>196</v>
      </c>
      <c r="O257" t="s">
        <v>161</v>
      </c>
      <c r="P257">
        <v>8.8476362235652122E-3</v>
      </c>
      <c r="Q257" t="s">
        <v>160</v>
      </c>
      <c r="S257" t="s">
        <v>206</v>
      </c>
      <c r="T257" t="s">
        <v>161</v>
      </c>
      <c r="U257">
        <v>8.8476362235652122E-3</v>
      </c>
      <c r="V257" t="s">
        <v>160</v>
      </c>
    </row>
    <row r="258" spans="9:22" x14ac:dyDescent="0.45">
      <c r="I258" t="s">
        <v>186</v>
      </c>
      <c r="J258" t="s">
        <v>162</v>
      </c>
      <c r="K258">
        <v>0</v>
      </c>
      <c r="L258" t="s">
        <v>160</v>
      </c>
      <c r="N258" t="s">
        <v>196</v>
      </c>
      <c r="O258" t="s">
        <v>162</v>
      </c>
      <c r="P258">
        <v>8.6690030241792018E-3</v>
      </c>
      <c r="Q258" t="s">
        <v>160</v>
      </c>
      <c r="S258" t="s">
        <v>206</v>
      </c>
      <c r="T258" t="s">
        <v>162</v>
      </c>
      <c r="U258">
        <v>8.6690030241792018E-3</v>
      </c>
      <c r="V258" t="s">
        <v>160</v>
      </c>
    </row>
    <row r="259" spans="9:22" x14ac:dyDescent="0.45">
      <c r="I259" t="s">
        <v>186</v>
      </c>
      <c r="J259" t="s">
        <v>163</v>
      </c>
      <c r="K259">
        <v>7.6149693798208103E-3</v>
      </c>
      <c r="L259" t="s">
        <v>160</v>
      </c>
      <c r="N259" t="s">
        <v>196</v>
      </c>
      <c r="O259" t="s">
        <v>163</v>
      </c>
      <c r="P259">
        <v>2.5576288472014028E-2</v>
      </c>
      <c r="Q259" t="s">
        <v>160</v>
      </c>
      <c r="S259" t="s">
        <v>206</v>
      </c>
      <c r="T259" t="s">
        <v>163</v>
      </c>
      <c r="U259">
        <v>2.5576288472014028E-2</v>
      </c>
      <c r="V259" t="s">
        <v>160</v>
      </c>
    </row>
    <row r="260" spans="9:22" x14ac:dyDescent="0.45">
      <c r="I260" t="s">
        <v>186</v>
      </c>
      <c r="J260" t="s">
        <v>164</v>
      </c>
      <c r="K260">
        <v>6.9419759941322892E-2</v>
      </c>
      <c r="L260" t="s">
        <v>160</v>
      </c>
      <c r="N260" t="s">
        <v>196</v>
      </c>
      <c r="O260" t="s">
        <v>164</v>
      </c>
      <c r="P260">
        <v>5.4411602745866094E-2</v>
      </c>
      <c r="Q260" t="s">
        <v>160</v>
      </c>
      <c r="S260" t="s">
        <v>206</v>
      </c>
      <c r="T260" t="s">
        <v>164</v>
      </c>
      <c r="U260">
        <v>5.4411602745866094E-2</v>
      </c>
      <c r="V260" t="s">
        <v>160</v>
      </c>
    </row>
    <row r="261" spans="9:22" x14ac:dyDescent="0.45">
      <c r="I261" t="s">
        <v>186</v>
      </c>
      <c r="J261" t="s">
        <v>231</v>
      </c>
      <c r="K261">
        <v>2.1037784739632204E-3</v>
      </c>
      <c r="L261" t="s">
        <v>160</v>
      </c>
      <c r="N261" t="s">
        <v>196</v>
      </c>
      <c r="O261" t="s">
        <v>231</v>
      </c>
      <c r="P261">
        <v>4.9328282960585036E-2</v>
      </c>
      <c r="Q261" t="s">
        <v>160</v>
      </c>
      <c r="S261" t="s">
        <v>206</v>
      </c>
      <c r="T261" t="s">
        <v>231</v>
      </c>
      <c r="U261">
        <v>4.9328282960585036E-2</v>
      </c>
      <c r="V261" t="s">
        <v>160</v>
      </c>
    </row>
    <row r="262" spans="9:22" x14ac:dyDescent="0.45">
      <c r="I262" t="s">
        <v>186</v>
      </c>
      <c r="J262" t="s">
        <v>232</v>
      </c>
      <c r="K262">
        <v>0</v>
      </c>
      <c r="L262" t="s">
        <v>160</v>
      </c>
      <c r="N262" t="s">
        <v>196</v>
      </c>
      <c r="O262" t="s">
        <v>232</v>
      </c>
      <c r="P262">
        <v>7.7475182035916254E-3</v>
      </c>
      <c r="Q262" t="s">
        <v>160</v>
      </c>
      <c r="S262" t="s">
        <v>206</v>
      </c>
      <c r="T262" t="s">
        <v>232</v>
      </c>
      <c r="U262">
        <v>7.7475182035916254E-3</v>
      </c>
      <c r="V262" t="s">
        <v>160</v>
      </c>
    </row>
    <row r="263" spans="9:22" x14ac:dyDescent="0.45">
      <c r="I263" t="s">
        <v>186</v>
      </c>
      <c r="J263" t="s">
        <v>165</v>
      </c>
      <c r="K263">
        <v>0</v>
      </c>
      <c r="L263" t="s">
        <v>160</v>
      </c>
      <c r="N263" t="s">
        <v>196</v>
      </c>
      <c r="O263" t="s">
        <v>165</v>
      </c>
      <c r="P263">
        <v>1.776502672468145E-2</v>
      </c>
      <c r="Q263" t="s">
        <v>160</v>
      </c>
      <c r="S263" t="s">
        <v>206</v>
      </c>
      <c r="T263" t="s">
        <v>165</v>
      </c>
      <c r="U263">
        <v>1.776502672468145E-2</v>
      </c>
      <c r="V263" t="s">
        <v>160</v>
      </c>
    </row>
    <row r="264" spans="9:22" x14ac:dyDescent="0.45">
      <c r="I264" t="s">
        <v>186</v>
      </c>
      <c r="J264" t="s">
        <v>166</v>
      </c>
      <c r="K264">
        <v>0</v>
      </c>
      <c r="L264" t="s">
        <v>160</v>
      </c>
      <c r="N264" t="s">
        <v>196</v>
      </c>
      <c r="O264" t="s">
        <v>166</v>
      </c>
      <c r="P264">
        <v>3.6243985222273642E-3</v>
      </c>
      <c r="Q264" t="s">
        <v>160</v>
      </c>
      <c r="S264" t="s">
        <v>206</v>
      </c>
      <c r="T264" t="s">
        <v>166</v>
      </c>
      <c r="U264">
        <v>3.6243985222273642E-3</v>
      </c>
      <c r="V264" t="s">
        <v>160</v>
      </c>
    </row>
    <row r="265" spans="9:22" x14ac:dyDescent="0.45">
      <c r="I265" t="s">
        <v>186</v>
      </c>
      <c r="J265" t="s">
        <v>167</v>
      </c>
      <c r="K265">
        <v>0</v>
      </c>
      <c r="L265" t="s">
        <v>160</v>
      </c>
      <c r="N265" t="s">
        <v>196</v>
      </c>
      <c r="O265" t="s">
        <v>167</v>
      </c>
      <c r="P265">
        <v>3.7244952867613304E-3</v>
      </c>
      <c r="Q265" t="s">
        <v>160</v>
      </c>
      <c r="S265" t="s">
        <v>206</v>
      </c>
      <c r="T265" t="s">
        <v>167</v>
      </c>
      <c r="U265">
        <v>3.7244952867613304E-3</v>
      </c>
      <c r="V265" t="s">
        <v>160</v>
      </c>
    </row>
    <row r="266" spans="9:22" x14ac:dyDescent="0.45">
      <c r="I266" t="s">
        <v>186</v>
      </c>
      <c r="J266" t="s">
        <v>168</v>
      </c>
      <c r="K266">
        <v>7.3231310132377764E-3</v>
      </c>
      <c r="L266" t="s">
        <v>160</v>
      </c>
      <c r="N266" t="s">
        <v>196</v>
      </c>
      <c r="O266" t="s">
        <v>168</v>
      </c>
      <c r="P266">
        <v>1.1458992300038212E-2</v>
      </c>
      <c r="Q266" t="s">
        <v>160</v>
      </c>
      <c r="S266" t="s">
        <v>206</v>
      </c>
      <c r="T266" t="s">
        <v>168</v>
      </c>
      <c r="U266">
        <v>1.1458992300038212E-2</v>
      </c>
      <c r="V266" t="s">
        <v>160</v>
      </c>
    </row>
    <row r="267" spans="9:22" x14ac:dyDescent="0.45">
      <c r="I267" t="s">
        <v>186</v>
      </c>
      <c r="J267" t="s">
        <v>169</v>
      </c>
      <c r="K267">
        <v>3.1201878767177248E-2</v>
      </c>
      <c r="L267" t="s">
        <v>160</v>
      </c>
      <c r="N267" t="s">
        <v>196</v>
      </c>
      <c r="O267" t="s">
        <v>169</v>
      </c>
      <c r="P267">
        <v>2.9476015839194739E-2</v>
      </c>
      <c r="Q267" t="s">
        <v>160</v>
      </c>
      <c r="S267" t="s">
        <v>206</v>
      </c>
      <c r="T267" t="s">
        <v>169</v>
      </c>
      <c r="U267">
        <v>2.9476015839194739E-2</v>
      </c>
      <c r="V267" t="s">
        <v>160</v>
      </c>
    </row>
    <row r="268" spans="9:22" x14ac:dyDescent="0.45">
      <c r="I268" t="s">
        <v>186</v>
      </c>
      <c r="J268" t="s">
        <v>233</v>
      </c>
      <c r="K268">
        <v>2.7963306209112977E-3</v>
      </c>
      <c r="L268" t="s">
        <v>160</v>
      </c>
      <c r="N268" t="s">
        <v>196</v>
      </c>
      <c r="O268" t="s">
        <v>233</v>
      </c>
      <c r="P268">
        <v>2.4337607104250359E-2</v>
      </c>
      <c r="Q268" t="s">
        <v>160</v>
      </c>
      <c r="S268" t="s">
        <v>206</v>
      </c>
      <c r="T268" t="s">
        <v>233</v>
      </c>
      <c r="U268">
        <v>2.4337607104250359E-2</v>
      </c>
      <c r="V268" t="s">
        <v>160</v>
      </c>
    </row>
    <row r="269" spans="9:22" x14ac:dyDescent="0.45">
      <c r="I269" t="s">
        <v>186</v>
      </c>
      <c r="J269" t="s">
        <v>234</v>
      </c>
      <c r="K269">
        <v>0</v>
      </c>
      <c r="L269" t="s">
        <v>160</v>
      </c>
      <c r="N269" t="s">
        <v>196</v>
      </c>
      <c r="O269" t="s">
        <v>234</v>
      </c>
      <c r="P269">
        <v>3.5336194149845675E-3</v>
      </c>
      <c r="Q269" t="s">
        <v>160</v>
      </c>
      <c r="S269" t="s">
        <v>206</v>
      </c>
      <c r="T269" t="s">
        <v>234</v>
      </c>
      <c r="U269">
        <v>3.5336194149845675E-3</v>
      </c>
      <c r="V269" t="s">
        <v>160</v>
      </c>
    </row>
    <row r="270" spans="9:22" x14ac:dyDescent="0.45">
      <c r="I270" t="s">
        <v>186</v>
      </c>
      <c r="J270" t="s">
        <v>170</v>
      </c>
      <c r="K270">
        <v>0</v>
      </c>
      <c r="L270" t="s">
        <v>160</v>
      </c>
      <c r="N270" t="s">
        <v>196</v>
      </c>
      <c r="O270" t="s">
        <v>170</v>
      </c>
      <c r="P270">
        <v>7.9826328039679734E-2</v>
      </c>
      <c r="Q270" t="s">
        <v>160</v>
      </c>
      <c r="S270" t="s">
        <v>206</v>
      </c>
      <c r="T270" t="s">
        <v>170</v>
      </c>
      <c r="U270">
        <v>7.9826328039679734E-2</v>
      </c>
      <c r="V270" t="s">
        <v>160</v>
      </c>
    </row>
    <row r="271" spans="9:22" x14ac:dyDescent="0.45">
      <c r="I271" t="s">
        <v>186</v>
      </c>
      <c r="J271" t="s">
        <v>171</v>
      </c>
      <c r="K271">
        <v>5.4819922893314431E-3</v>
      </c>
      <c r="L271" t="s">
        <v>160</v>
      </c>
      <c r="N271" t="s">
        <v>196</v>
      </c>
      <c r="O271" t="s">
        <v>171</v>
      </c>
      <c r="P271">
        <v>1.5920714098381611E-2</v>
      </c>
      <c r="Q271" t="s">
        <v>160</v>
      </c>
      <c r="S271" t="s">
        <v>206</v>
      </c>
      <c r="T271" t="s">
        <v>171</v>
      </c>
      <c r="U271">
        <v>1.5920714098381611E-2</v>
      </c>
      <c r="V271" t="s">
        <v>160</v>
      </c>
    </row>
    <row r="272" spans="9:22" x14ac:dyDescent="0.45">
      <c r="I272" t="s">
        <v>186</v>
      </c>
      <c r="J272" t="s">
        <v>172</v>
      </c>
      <c r="K272">
        <v>2.1871141294131223E-2</v>
      </c>
      <c r="L272" t="s">
        <v>160</v>
      </c>
      <c r="N272" t="s">
        <v>196</v>
      </c>
      <c r="O272" t="s">
        <v>172</v>
      </c>
      <c r="P272">
        <v>1.5255946583826844E-2</v>
      </c>
      <c r="Q272" t="s">
        <v>160</v>
      </c>
      <c r="S272" t="s">
        <v>206</v>
      </c>
      <c r="T272" t="s">
        <v>172</v>
      </c>
      <c r="U272">
        <v>1.5255946583826844E-2</v>
      </c>
      <c r="V272" t="s">
        <v>160</v>
      </c>
    </row>
    <row r="273" spans="9:22" x14ac:dyDescent="0.45">
      <c r="I273" t="s">
        <v>186</v>
      </c>
      <c r="J273" t="s">
        <v>173</v>
      </c>
      <c r="K273">
        <v>0.16606345928543451</v>
      </c>
      <c r="L273" t="s">
        <v>160</v>
      </c>
      <c r="N273" t="s">
        <v>196</v>
      </c>
      <c r="O273" t="s">
        <v>173</v>
      </c>
      <c r="P273">
        <v>4.5546817013623897E-2</v>
      </c>
      <c r="Q273" t="s">
        <v>160</v>
      </c>
      <c r="S273" t="s">
        <v>206</v>
      </c>
      <c r="T273" t="s">
        <v>173</v>
      </c>
      <c r="U273">
        <v>4.5546817013623897E-2</v>
      </c>
      <c r="V273" t="s">
        <v>160</v>
      </c>
    </row>
    <row r="274" spans="9:22" x14ac:dyDescent="0.45">
      <c r="I274" t="s">
        <v>186</v>
      </c>
      <c r="J274" t="s">
        <v>174</v>
      </c>
      <c r="K274">
        <v>0.48123576591128975</v>
      </c>
      <c r="L274" t="s">
        <v>160</v>
      </c>
      <c r="N274" t="s">
        <v>196</v>
      </c>
      <c r="O274" t="s">
        <v>174</v>
      </c>
      <c r="P274">
        <v>0.12317358031668935</v>
      </c>
      <c r="Q274" t="s">
        <v>160</v>
      </c>
      <c r="S274" t="s">
        <v>206</v>
      </c>
      <c r="T274" t="s">
        <v>174</v>
      </c>
      <c r="U274">
        <v>0.12317358031668935</v>
      </c>
      <c r="V274" t="s">
        <v>160</v>
      </c>
    </row>
    <row r="275" spans="9:22" x14ac:dyDescent="0.45">
      <c r="I275" t="s">
        <v>186</v>
      </c>
      <c r="J275" t="s">
        <v>235</v>
      </c>
      <c r="K275">
        <v>8.6557383550529179E-2</v>
      </c>
      <c r="L275" t="s">
        <v>160</v>
      </c>
      <c r="N275" t="s">
        <v>196</v>
      </c>
      <c r="O275" t="s">
        <v>235</v>
      </c>
      <c r="P275">
        <v>0.11129779255946412</v>
      </c>
      <c r="Q275" t="s">
        <v>160</v>
      </c>
      <c r="S275" t="s">
        <v>206</v>
      </c>
      <c r="T275" t="s">
        <v>235</v>
      </c>
      <c r="U275">
        <v>0.11129779255946412</v>
      </c>
      <c r="V275" t="s">
        <v>160</v>
      </c>
    </row>
    <row r="276" spans="9:22" x14ac:dyDescent="0.45">
      <c r="I276" t="s">
        <v>186</v>
      </c>
      <c r="J276" t="s">
        <v>236</v>
      </c>
      <c r="K276">
        <v>0</v>
      </c>
      <c r="L276" t="s">
        <v>160</v>
      </c>
      <c r="N276" t="s">
        <v>196</v>
      </c>
      <c r="O276" t="s">
        <v>236</v>
      </c>
      <c r="P276">
        <v>1.6041877948353316E-2</v>
      </c>
      <c r="Q276" t="s">
        <v>160</v>
      </c>
      <c r="S276" t="s">
        <v>206</v>
      </c>
      <c r="T276" t="s">
        <v>236</v>
      </c>
      <c r="U276">
        <v>1.6041877948353316E-2</v>
      </c>
      <c r="V276" t="s">
        <v>160</v>
      </c>
    </row>
    <row r="277" spans="9:22" x14ac:dyDescent="0.45">
      <c r="I277" t="s">
        <v>186</v>
      </c>
      <c r="J277" t="s">
        <v>175</v>
      </c>
      <c r="K277">
        <v>0</v>
      </c>
      <c r="L277" t="s">
        <v>160</v>
      </c>
      <c r="N277" t="s">
        <v>196</v>
      </c>
      <c r="O277" t="s">
        <v>175</v>
      </c>
      <c r="P277">
        <v>4.8276358263581655E-2</v>
      </c>
      <c r="Q277" t="s">
        <v>160</v>
      </c>
      <c r="S277" t="s">
        <v>206</v>
      </c>
      <c r="T277" t="s">
        <v>175</v>
      </c>
      <c r="U277">
        <v>4.8276358263581655E-2</v>
      </c>
      <c r="V277" t="s">
        <v>160</v>
      </c>
    </row>
    <row r="278" spans="9:22" x14ac:dyDescent="0.45">
      <c r="I278" t="s">
        <v>186</v>
      </c>
      <c r="J278" t="s">
        <v>176</v>
      </c>
      <c r="K278">
        <v>0</v>
      </c>
      <c r="L278" t="s">
        <v>160</v>
      </c>
      <c r="N278" t="s">
        <v>196</v>
      </c>
      <c r="O278" t="s">
        <v>176</v>
      </c>
      <c r="P278">
        <v>9.7943475729131979E-3</v>
      </c>
      <c r="Q278" t="s">
        <v>160</v>
      </c>
      <c r="S278" t="s">
        <v>206</v>
      </c>
      <c r="T278" t="s">
        <v>176</v>
      </c>
      <c r="U278">
        <v>9.7943475729131979E-3</v>
      </c>
      <c r="V278" t="s">
        <v>160</v>
      </c>
    </row>
    <row r="279" spans="9:22" x14ac:dyDescent="0.45">
      <c r="I279" t="s">
        <v>186</v>
      </c>
      <c r="J279" t="s">
        <v>177</v>
      </c>
      <c r="K279">
        <v>0</v>
      </c>
      <c r="L279" t="s">
        <v>160</v>
      </c>
      <c r="N279" t="s">
        <v>196</v>
      </c>
      <c r="O279" t="s">
        <v>177</v>
      </c>
      <c r="P279">
        <v>9.8049096268640456E-3</v>
      </c>
      <c r="Q279" t="s">
        <v>160</v>
      </c>
      <c r="S279" t="s">
        <v>206</v>
      </c>
      <c r="T279" t="s">
        <v>177</v>
      </c>
      <c r="U279">
        <v>9.8049096268640456E-3</v>
      </c>
      <c r="V279" t="s">
        <v>160</v>
      </c>
    </row>
    <row r="280" spans="9:22" x14ac:dyDescent="0.45">
      <c r="I280" t="s">
        <v>186</v>
      </c>
      <c r="J280" t="s">
        <v>178</v>
      </c>
      <c r="K280">
        <v>1.518087995038795E-2</v>
      </c>
      <c r="L280" t="s">
        <v>160</v>
      </c>
      <c r="N280" t="s">
        <v>196</v>
      </c>
      <c r="O280" t="s">
        <v>178</v>
      </c>
      <c r="P280">
        <v>2.9694146787134914E-2</v>
      </c>
      <c r="Q280" t="s">
        <v>160</v>
      </c>
      <c r="S280" t="s">
        <v>206</v>
      </c>
      <c r="T280" t="s">
        <v>178</v>
      </c>
      <c r="U280">
        <v>2.9694146787134914E-2</v>
      </c>
      <c r="V280" t="s">
        <v>160</v>
      </c>
    </row>
    <row r="281" spans="9:22" x14ac:dyDescent="0.45">
      <c r="I281" t="s">
        <v>186</v>
      </c>
      <c r="J281" t="s">
        <v>179</v>
      </c>
      <c r="K281">
        <v>9.4844023115952927E-2</v>
      </c>
      <c r="L281" t="s">
        <v>160</v>
      </c>
      <c r="N281" t="s">
        <v>196</v>
      </c>
      <c r="O281" t="s">
        <v>179</v>
      </c>
      <c r="P281">
        <v>7.2687555248012833E-2</v>
      </c>
      <c r="Q281" t="s">
        <v>160</v>
      </c>
      <c r="S281" t="s">
        <v>206</v>
      </c>
      <c r="T281" t="s">
        <v>179</v>
      </c>
      <c r="U281">
        <v>7.2687555248012833E-2</v>
      </c>
      <c r="V281" t="s">
        <v>160</v>
      </c>
    </row>
    <row r="282" spans="9:22" x14ac:dyDescent="0.45">
      <c r="I282" t="s">
        <v>186</v>
      </c>
      <c r="J282" t="s">
        <v>237</v>
      </c>
      <c r="K282">
        <v>1.4270893940352852E-3</v>
      </c>
      <c r="L282" t="s">
        <v>160</v>
      </c>
      <c r="N282" t="s">
        <v>196</v>
      </c>
      <c r="O282" t="s">
        <v>237</v>
      </c>
      <c r="P282">
        <v>6.6131384692052514E-2</v>
      </c>
      <c r="Q282" t="s">
        <v>160</v>
      </c>
      <c r="S282" t="s">
        <v>206</v>
      </c>
      <c r="T282" t="s">
        <v>237</v>
      </c>
      <c r="U282">
        <v>6.6131384692052514E-2</v>
      </c>
      <c r="V282" t="s">
        <v>160</v>
      </c>
    </row>
    <row r="283" spans="9:22" x14ac:dyDescent="0.45">
      <c r="I283" t="s">
        <v>186</v>
      </c>
      <c r="J283" t="s">
        <v>238</v>
      </c>
      <c r="K283">
        <v>0</v>
      </c>
      <c r="L283" t="s">
        <v>160</v>
      </c>
      <c r="N283" t="s">
        <v>196</v>
      </c>
      <c r="O283" t="s">
        <v>238</v>
      </c>
      <c r="P283">
        <v>9.7333360643698449E-3</v>
      </c>
      <c r="Q283" t="s">
        <v>160</v>
      </c>
      <c r="S283" t="s">
        <v>206</v>
      </c>
      <c r="T283" t="s">
        <v>238</v>
      </c>
      <c r="U283">
        <v>9.7333360643698449E-3</v>
      </c>
      <c r="V283" t="s">
        <v>160</v>
      </c>
    </row>
    <row r="284" spans="9:22" x14ac:dyDescent="0.45">
      <c r="I284" t="s">
        <v>186</v>
      </c>
      <c r="J284" t="s">
        <v>222</v>
      </c>
      <c r="K284">
        <v>0</v>
      </c>
      <c r="L284" t="s">
        <v>160</v>
      </c>
      <c r="N284" t="s">
        <v>196</v>
      </c>
      <c r="O284" t="s">
        <v>222</v>
      </c>
      <c r="P284">
        <v>1.2786807409882243E-2</v>
      </c>
      <c r="Q284" t="s">
        <v>160</v>
      </c>
      <c r="S284" t="s">
        <v>206</v>
      </c>
      <c r="T284" t="s">
        <v>222</v>
      </c>
      <c r="U284">
        <v>1.2786807409882243E-2</v>
      </c>
      <c r="V284" t="s">
        <v>160</v>
      </c>
    </row>
    <row r="285" spans="9:22" x14ac:dyDescent="0.45">
      <c r="I285" t="s">
        <v>186</v>
      </c>
      <c r="J285" t="s">
        <v>223</v>
      </c>
      <c r="K285">
        <v>0</v>
      </c>
      <c r="L285" t="s">
        <v>160</v>
      </c>
      <c r="N285" t="s">
        <v>196</v>
      </c>
      <c r="O285" t="s">
        <v>223</v>
      </c>
      <c r="P285">
        <v>2.4119093138519196E-3</v>
      </c>
      <c r="Q285" t="s">
        <v>160</v>
      </c>
      <c r="S285" t="s">
        <v>206</v>
      </c>
      <c r="T285" t="s">
        <v>223</v>
      </c>
      <c r="U285">
        <v>2.4119093138519196E-3</v>
      </c>
      <c r="V285" t="s">
        <v>160</v>
      </c>
    </row>
    <row r="286" spans="9:22" x14ac:dyDescent="0.45">
      <c r="I286" t="s">
        <v>186</v>
      </c>
      <c r="J286" t="s">
        <v>224</v>
      </c>
      <c r="K286">
        <v>0</v>
      </c>
      <c r="L286" t="s">
        <v>160</v>
      </c>
      <c r="N286" t="s">
        <v>196</v>
      </c>
      <c r="O286" t="s">
        <v>224</v>
      </c>
      <c r="P286">
        <v>2.3654746229273909E-3</v>
      </c>
      <c r="Q286" t="s">
        <v>160</v>
      </c>
      <c r="S286" t="s">
        <v>206</v>
      </c>
      <c r="T286" t="s">
        <v>224</v>
      </c>
      <c r="U286">
        <v>2.3654746229273909E-3</v>
      </c>
      <c r="V286" t="s">
        <v>160</v>
      </c>
    </row>
    <row r="287" spans="9:22" x14ac:dyDescent="0.45">
      <c r="I287" t="s">
        <v>186</v>
      </c>
      <c r="J287" t="s">
        <v>225</v>
      </c>
      <c r="K287">
        <v>4.1077855524583357E-4</v>
      </c>
      <c r="L287" t="s">
        <v>160</v>
      </c>
      <c r="N287" t="s">
        <v>196</v>
      </c>
      <c r="O287" t="s">
        <v>225</v>
      </c>
      <c r="P287">
        <v>6.7960354500286738E-3</v>
      </c>
      <c r="Q287" t="s">
        <v>160</v>
      </c>
      <c r="S287" t="s">
        <v>206</v>
      </c>
      <c r="T287" t="s">
        <v>225</v>
      </c>
      <c r="U287">
        <v>6.7960354500286738E-3</v>
      </c>
      <c r="V287" t="s">
        <v>160</v>
      </c>
    </row>
    <row r="288" spans="9:22" x14ac:dyDescent="0.45">
      <c r="I288" t="s">
        <v>186</v>
      </c>
      <c r="J288" t="s">
        <v>226</v>
      </c>
      <c r="K288">
        <v>6.4676384572280405E-3</v>
      </c>
      <c r="L288" t="s">
        <v>160</v>
      </c>
      <c r="N288" t="s">
        <v>196</v>
      </c>
      <c r="O288" t="s">
        <v>226</v>
      </c>
      <c r="P288">
        <v>1.4926624537417752E-2</v>
      </c>
      <c r="Q288" t="s">
        <v>160</v>
      </c>
      <c r="S288" t="s">
        <v>206</v>
      </c>
      <c r="T288" t="s">
        <v>226</v>
      </c>
      <c r="U288">
        <v>1.4926624537417752E-2</v>
      </c>
      <c r="V288" t="s">
        <v>160</v>
      </c>
    </row>
    <row r="289" spans="9:22" x14ac:dyDescent="0.45">
      <c r="I289" t="s">
        <v>186</v>
      </c>
      <c r="J289" t="s">
        <v>239</v>
      </c>
      <c r="K289">
        <v>0</v>
      </c>
      <c r="L289" t="s">
        <v>160</v>
      </c>
      <c r="N289" t="s">
        <v>196</v>
      </c>
      <c r="O289" t="s">
        <v>239</v>
      </c>
      <c r="P289">
        <v>1.3770014215548895E-2</v>
      </c>
      <c r="Q289" t="s">
        <v>160</v>
      </c>
      <c r="S289" t="s">
        <v>206</v>
      </c>
      <c r="T289" t="s">
        <v>239</v>
      </c>
      <c r="U289">
        <v>1.3770014215548895E-2</v>
      </c>
      <c r="V289" t="s">
        <v>160</v>
      </c>
    </row>
    <row r="290" spans="9:22" x14ac:dyDescent="0.45">
      <c r="I290" t="s">
        <v>186</v>
      </c>
      <c r="J290" t="s">
        <v>240</v>
      </c>
      <c r="K290">
        <v>0</v>
      </c>
      <c r="L290" t="s">
        <v>160</v>
      </c>
      <c r="N290" t="s">
        <v>196</v>
      </c>
      <c r="O290" t="s">
        <v>240</v>
      </c>
      <c r="P290">
        <v>2.3909692009220617E-3</v>
      </c>
      <c r="Q290" t="s">
        <v>160</v>
      </c>
      <c r="S290" t="s">
        <v>206</v>
      </c>
      <c r="T290" t="s">
        <v>240</v>
      </c>
      <c r="U290">
        <v>2.3909692009220617E-3</v>
      </c>
      <c r="V290" t="s">
        <v>160</v>
      </c>
    </row>
    <row r="291" spans="9:22" x14ac:dyDescent="0.45">
      <c r="I291" t="s">
        <v>187</v>
      </c>
      <c r="J291" t="s">
        <v>159</v>
      </c>
      <c r="K291">
        <v>0</v>
      </c>
      <c r="L291" t="s">
        <v>160</v>
      </c>
      <c r="N291" t="s">
        <v>197</v>
      </c>
      <c r="O291" t="s">
        <v>159</v>
      </c>
      <c r="P291">
        <v>4.15405640347805E-2</v>
      </c>
      <c r="Q291" t="s">
        <v>160</v>
      </c>
      <c r="S291" t="s">
        <v>207</v>
      </c>
      <c r="T291" t="s">
        <v>159</v>
      </c>
      <c r="U291">
        <v>4.15405640347805E-2</v>
      </c>
      <c r="V291" t="s">
        <v>160</v>
      </c>
    </row>
    <row r="292" spans="9:22" x14ac:dyDescent="0.45">
      <c r="I292" t="s">
        <v>187</v>
      </c>
      <c r="J292" t="s">
        <v>161</v>
      </c>
      <c r="K292">
        <v>0</v>
      </c>
      <c r="L292" t="s">
        <v>160</v>
      </c>
      <c r="N292" t="s">
        <v>197</v>
      </c>
      <c r="O292" t="s">
        <v>161</v>
      </c>
      <c r="P292">
        <v>9.0335141600405185E-3</v>
      </c>
      <c r="Q292" t="s">
        <v>160</v>
      </c>
      <c r="S292" t="s">
        <v>207</v>
      </c>
      <c r="T292" t="s">
        <v>161</v>
      </c>
      <c r="U292">
        <v>9.0335141600405185E-3</v>
      </c>
      <c r="V292" t="s">
        <v>160</v>
      </c>
    </row>
    <row r="293" spans="9:22" x14ac:dyDescent="0.45">
      <c r="I293" t="s">
        <v>187</v>
      </c>
      <c r="J293" t="s">
        <v>162</v>
      </c>
      <c r="K293">
        <v>0</v>
      </c>
      <c r="L293" t="s">
        <v>160</v>
      </c>
      <c r="N293" t="s">
        <v>197</v>
      </c>
      <c r="O293" t="s">
        <v>162</v>
      </c>
      <c r="P293">
        <v>8.9367058382849359E-3</v>
      </c>
      <c r="Q293" t="s">
        <v>160</v>
      </c>
      <c r="S293" t="s">
        <v>207</v>
      </c>
      <c r="T293" t="s">
        <v>162</v>
      </c>
      <c r="U293">
        <v>8.9367058382849359E-3</v>
      </c>
      <c r="V293" t="s">
        <v>160</v>
      </c>
    </row>
    <row r="294" spans="9:22" x14ac:dyDescent="0.45">
      <c r="I294" t="s">
        <v>187</v>
      </c>
      <c r="J294" t="s">
        <v>163</v>
      </c>
      <c r="K294">
        <v>9.2030394045281867E-3</v>
      </c>
      <c r="L294" t="s">
        <v>160</v>
      </c>
      <c r="N294" t="s">
        <v>197</v>
      </c>
      <c r="O294" t="s">
        <v>163</v>
      </c>
      <c r="P294">
        <v>2.6563385788689591E-2</v>
      </c>
      <c r="Q294" t="s">
        <v>160</v>
      </c>
      <c r="S294" t="s">
        <v>207</v>
      </c>
      <c r="T294" t="s">
        <v>163</v>
      </c>
      <c r="U294">
        <v>2.6563385788689591E-2</v>
      </c>
      <c r="V294" t="s">
        <v>160</v>
      </c>
    </row>
    <row r="295" spans="9:22" x14ac:dyDescent="0.45">
      <c r="I295" t="s">
        <v>187</v>
      </c>
      <c r="J295" t="s">
        <v>164</v>
      </c>
      <c r="K295">
        <v>7.2415177851519005E-2</v>
      </c>
      <c r="L295" t="s">
        <v>160</v>
      </c>
      <c r="N295" t="s">
        <v>197</v>
      </c>
      <c r="O295" t="s">
        <v>164</v>
      </c>
      <c r="P295">
        <v>6.6273932957542372E-2</v>
      </c>
      <c r="Q295" t="s">
        <v>160</v>
      </c>
      <c r="S295" t="s">
        <v>207</v>
      </c>
      <c r="T295" t="s">
        <v>164</v>
      </c>
      <c r="U295">
        <v>6.6273932957542372E-2</v>
      </c>
      <c r="V295" t="s">
        <v>160</v>
      </c>
    </row>
    <row r="296" spans="9:22" x14ac:dyDescent="0.45">
      <c r="I296" t="s">
        <v>187</v>
      </c>
      <c r="J296" t="s">
        <v>231</v>
      </c>
      <c r="K296">
        <v>2.6852494666850064E-3</v>
      </c>
      <c r="L296" t="s">
        <v>160</v>
      </c>
      <c r="N296" t="s">
        <v>197</v>
      </c>
      <c r="O296" t="s">
        <v>231</v>
      </c>
      <c r="P296">
        <v>5.2613609772951382E-2</v>
      </c>
      <c r="Q296" t="s">
        <v>160</v>
      </c>
      <c r="S296" t="s">
        <v>207</v>
      </c>
      <c r="T296" t="s">
        <v>231</v>
      </c>
      <c r="U296">
        <v>5.2613609772951382E-2</v>
      </c>
      <c r="V296" t="s">
        <v>160</v>
      </c>
    </row>
    <row r="297" spans="9:22" x14ac:dyDescent="0.45">
      <c r="I297" t="s">
        <v>187</v>
      </c>
      <c r="J297" t="s">
        <v>232</v>
      </c>
      <c r="K297">
        <v>0</v>
      </c>
      <c r="L297" t="s">
        <v>160</v>
      </c>
      <c r="N297" t="s">
        <v>197</v>
      </c>
      <c r="O297" t="s">
        <v>232</v>
      </c>
      <c r="P297">
        <v>7.4203298532911658E-3</v>
      </c>
      <c r="Q297" t="s">
        <v>160</v>
      </c>
      <c r="S297" t="s">
        <v>207</v>
      </c>
      <c r="T297" t="s">
        <v>232</v>
      </c>
      <c r="U297">
        <v>7.4203298532911658E-3</v>
      </c>
      <c r="V297" t="s">
        <v>160</v>
      </c>
    </row>
    <row r="298" spans="9:22" x14ac:dyDescent="0.45">
      <c r="I298" t="s">
        <v>187</v>
      </c>
      <c r="J298" t="s">
        <v>165</v>
      </c>
      <c r="K298">
        <v>0</v>
      </c>
      <c r="L298" t="s">
        <v>160</v>
      </c>
      <c r="N298" t="s">
        <v>197</v>
      </c>
      <c r="O298" t="s">
        <v>165</v>
      </c>
      <c r="P298">
        <v>1.4924663708972861E-2</v>
      </c>
      <c r="Q298" t="s">
        <v>160</v>
      </c>
      <c r="S298" t="s">
        <v>207</v>
      </c>
      <c r="T298" t="s">
        <v>165</v>
      </c>
      <c r="U298">
        <v>1.4924663708972861E-2</v>
      </c>
      <c r="V298" t="s">
        <v>160</v>
      </c>
    </row>
    <row r="299" spans="9:22" x14ac:dyDescent="0.45">
      <c r="I299" t="s">
        <v>187</v>
      </c>
      <c r="J299" t="s">
        <v>166</v>
      </c>
      <c r="K299">
        <v>0</v>
      </c>
      <c r="L299" t="s">
        <v>160</v>
      </c>
      <c r="N299" t="s">
        <v>197</v>
      </c>
      <c r="O299" t="s">
        <v>166</v>
      </c>
      <c r="P299">
        <v>3.0910439617310784E-3</v>
      </c>
      <c r="Q299" t="s">
        <v>160</v>
      </c>
      <c r="S299" t="s">
        <v>207</v>
      </c>
      <c r="T299" t="s">
        <v>166</v>
      </c>
      <c r="U299">
        <v>3.0910439617310784E-3</v>
      </c>
      <c r="V299" t="s">
        <v>160</v>
      </c>
    </row>
    <row r="300" spans="9:22" x14ac:dyDescent="0.45">
      <c r="I300" t="s">
        <v>187</v>
      </c>
      <c r="J300" t="s">
        <v>167</v>
      </c>
      <c r="K300">
        <v>0</v>
      </c>
      <c r="L300" t="s">
        <v>160</v>
      </c>
      <c r="N300" t="s">
        <v>197</v>
      </c>
      <c r="O300" t="s">
        <v>167</v>
      </c>
      <c r="P300">
        <v>3.1972710143799705E-3</v>
      </c>
      <c r="Q300" t="s">
        <v>160</v>
      </c>
      <c r="S300" t="s">
        <v>207</v>
      </c>
      <c r="T300" t="s">
        <v>167</v>
      </c>
      <c r="U300">
        <v>3.1972710143799705E-3</v>
      </c>
      <c r="V300" t="s">
        <v>160</v>
      </c>
    </row>
    <row r="301" spans="9:22" x14ac:dyDescent="0.45">
      <c r="I301" t="s">
        <v>187</v>
      </c>
      <c r="J301" t="s">
        <v>168</v>
      </c>
      <c r="K301">
        <v>7.0109862021250548E-3</v>
      </c>
      <c r="L301" t="s">
        <v>160</v>
      </c>
      <c r="N301" t="s">
        <v>197</v>
      </c>
      <c r="O301" t="s">
        <v>168</v>
      </c>
      <c r="P301">
        <v>9.4790404054004157E-3</v>
      </c>
      <c r="Q301" t="s">
        <v>160</v>
      </c>
      <c r="S301" t="s">
        <v>207</v>
      </c>
      <c r="T301" t="s">
        <v>168</v>
      </c>
      <c r="U301">
        <v>9.4790404054004157E-3</v>
      </c>
      <c r="V301" t="s">
        <v>160</v>
      </c>
    </row>
    <row r="302" spans="9:22" x14ac:dyDescent="0.45">
      <c r="I302" t="s">
        <v>187</v>
      </c>
      <c r="J302" t="s">
        <v>169</v>
      </c>
      <c r="K302">
        <v>3.0323127869970608E-2</v>
      </c>
      <c r="L302" t="s">
        <v>160</v>
      </c>
      <c r="N302" t="s">
        <v>197</v>
      </c>
      <c r="O302" t="s">
        <v>169</v>
      </c>
      <c r="P302">
        <v>2.8946900458487648E-2</v>
      </c>
      <c r="Q302" t="s">
        <v>160</v>
      </c>
      <c r="S302" t="s">
        <v>207</v>
      </c>
      <c r="T302" t="s">
        <v>169</v>
      </c>
      <c r="U302">
        <v>2.8946900458487648E-2</v>
      </c>
      <c r="V302" t="s">
        <v>160</v>
      </c>
    </row>
    <row r="303" spans="9:22" x14ac:dyDescent="0.45">
      <c r="I303" t="s">
        <v>187</v>
      </c>
      <c r="J303" t="s">
        <v>233</v>
      </c>
      <c r="K303">
        <v>3.2115200853897324E-3</v>
      </c>
      <c r="L303" t="s">
        <v>160</v>
      </c>
      <c r="N303" t="s">
        <v>197</v>
      </c>
      <c r="O303" t="s">
        <v>233</v>
      </c>
      <c r="P303">
        <v>2.2330165495354801E-2</v>
      </c>
      <c r="Q303" t="s">
        <v>160</v>
      </c>
      <c r="S303" t="s">
        <v>207</v>
      </c>
      <c r="T303" t="s">
        <v>233</v>
      </c>
      <c r="U303">
        <v>2.2330165495354801E-2</v>
      </c>
      <c r="V303" t="s">
        <v>160</v>
      </c>
    </row>
    <row r="304" spans="9:22" x14ac:dyDescent="0.45">
      <c r="I304" t="s">
        <v>187</v>
      </c>
      <c r="J304" t="s">
        <v>234</v>
      </c>
      <c r="K304">
        <v>0</v>
      </c>
      <c r="L304" t="s">
        <v>160</v>
      </c>
      <c r="N304" t="s">
        <v>197</v>
      </c>
      <c r="O304" t="s">
        <v>234</v>
      </c>
      <c r="P304">
        <v>2.8727484436211043E-3</v>
      </c>
      <c r="Q304" t="s">
        <v>160</v>
      </c>
      <c r="S304" t="s">
        <v>207</v>
      </c>
      <c r="T304" t="s">
        <v>234</v>
      </c>
      <c r="U304">
        <v>2.8727484436211043E-3</v>
      </c>
      <c r="V304" t="s">
        <v>160</v>
      </c>
    </row>
    <row r="305" spans="9:22" x14ac:dyDescent="0.45">
      <c r="I305" t="s">
        <v>187</v>
      </c>
      <c r="J305" t="s">
        <v>170</v>
      </c>
      <c r="K305">
        <v>0</v>
      </c>
      <c r="L305" t="s">
        <v>160</v>
      </c>
      <c r="N305" t="s">
        <v>197</v>
      </c>
      <c r="O305" t="s">
        <v>170</v>
      </c>
      <c r="P305">
        <v>4.8984664246970122E-2</v>
      </c>
      <c r="Q305" t="s">
        <v>160</v>
      </c>
      <c r="S305" t="s">
        <v>207</v>
      </c>
      <c r="T305" t="s">
        <v>170</v>
      </c>
      <c r="U305">
        <v>4.8984664246970122E-2</v>
      </c>
      <c r="V305" t="s">
        <v>160</v>
      </c>
    </row>
    <row r="306" spans="9:22" x14ac:dyDescent="0.45">
      <c r="I306" t="s">
        <v>187</v>
      </c>
      <c r="J306" t="s">
        <v>171</v>
      </c>
      <c r="K306">
        <v>5.8409501088978856E-3</v>
      </c>
      <c r="L306" t="s">
        <v>160</v>
      </c>
      <c r="N306" t="s">
        <v>197</v>
      </c>
      <c r="O306" t="s">
        <v>171</v>
      </c>
      <c r="P306">
        <v>1.002914459856102E-2</v>
      </c>
      <c r="Q306" t="s">
        <v>160</v>
      </c>
      <c r="S306" t="s">
        <v>207</v>
      </c>
      <c r="T306" t="s">
        <v>171</v>
      </c>
      <c r="U306">
        <v>1.002914459856102E-2</v>
      </c>
      <c r="V306" t="s">
        <v>160</v>
      </c>
    </row>
    <row r="307" spans="9:22" x14ac:dyDescent="0.45">
      <c r="I307" t="s">
        <v>187</v>
      </c>
      <c r="J307" t="s">
        <v>172</v>
      </c>
      <c r="K307">
        <v>2.3593198326275652E-2</v>
      </c>
      <c r="L307" t="s">
        <v>160</v>
      </c>
      <c r="N307" t="s">
        <v>197</v>
      </c>
      <c r="O307" t="s">
        <v>172</v>
      </c>
      <c r="P307">
        <v>1.0036961224137797E-2</v>
      </c>
      <c r="Q307" t="s">
        <v>160</v>
      </c>
      <c r="S307" t="s">
        <v>207</v>
      </c>
      <c r="T307" t="s">
        <v>172</v>
      </c>
      <c r="U307">
        <v>1.0036961224137797E-2</v>
      </c>
      <c r="V307" t="s">
        <v>160</v>
      </c>
    </row>
    <row r="308" spans="9:22" x14ac:dyDescent="0.45">
      <c r="I308" t="s">
        <v>187</v>
      </c>
      <c r="J308" t="s">
        <v>173</v>
      </c>
      <c r="K308">
        <v>0.17312263802306824</v>
      </c>
      <c r="L308" t="s">
        <v>160</v>
      </c>
      <c r="N308" t="s">
        <v>197</v>
      </c>
      <c r="O308" t="s">
        <v>173</v>
      </c>
      <c r="P308">
        <v>3.4281738296631496E-2</v>
      </c>
      <c r="Q308" t="s">
        <v>160</v>
      </c>
      <c r="S308" t="s">
        <v>207</v>
      </c>
      <c r="T308" t="s">
        <v>173</v>
      </c>
      <c r="U308">
        <v>3.4281738296631496E-2</v>
      </c>
      <c r="V308" t="s">
        <v>160</v>
      </c>
    </row>
    <row r="309" spans="9:22" x14ac:dyDescent="0.45">
      <c r="I309" t="s">
        <v>187</v>
      </c>
      <c r="J309" t="s">
        <v>174</v>
      </c>
      <c r="K309">
        <v>0.47485153931880875</v>
      </c>
      <c r="L309" t="s">
        <v>160</v>
      </c>
      <c r="N309" t="s">
        <v>197</v>
      </c>
      <c r="O309" t="s">
        <v>174</v>
      </c>
      <c r="P309">
        <v>0.13365386927291778</v>
      </c>
      <c r="Q309" t="s">
        <v>160</v>
      </c>
      <c r="S309" t="s">
        <v>207</v>
      </c>
      <c r="T309" t="s">
        <v>174</v>
      </c>
      <c r="U309">
        <v>0.13365386927291778</v>
      </c>
      <c r="V309" t="s">
        <v>160</v>
      </c>
    </row>
    <row r="310" spans="9:22" x14ac:dyDescent="0.45">
      <c r="I310" t="s">
        <v>187</v>
      </c>
      <c r="J310" t="s">
        <v>235</v>
      </c>
      <c r="K310">
        <v>8.6157480442954751E-2</v>
      </c>
      <c r="L310" t="s">
        <v>160</v>
      </c>
      <c r="N310" t="s">
        <v>197</v>
      </c>
      <c r="O310" t="s">
        <v>235</v>
      </c>
      <c r="P310">
        <v>9.40713317273075E-2</v>
      </c>
      <c r="Q310" t="s">
        <v>160</v>
      </c>
      <c r="S310" t="s">
        <v>207</v>
      </c>
      <c r="T310" t="s">
        <v>235</v>
      </c>
      <c r="U310">
        <v>9.40713317273075E-2</v>
      </c>
      <c r="V310" t="s">
        <v>160</v>
      </c>
    </row>
    <row r="311" spans="9:22" x14ac:dyDescent="0.45">
      <c r="I311" t="s">
        <v>187</v>
      </c>
      <c r="J311" t="s">
        <v>236</v>
      </c>
      <c r="K311">
        <v>0</v>
      </c>
      <c r="L311" t="s">
        <v>160</v>
      </c>
      <c r="N311" t="s">
        <v>197</v>
      </c>
      <c r="O311" t="s">
        <v>236</v>
      </c>
      <c r="P311">
        <v>1.060673847140702E-2</v>
      </c>
      <c r="Q311" t="s">
        <v>160</v>
      </c>
      <c r="S311" t="s">
        <v>207</v>
      </c>
      <c r="T311" t="s">
        <v>236</v>
      </c>
      <c r="U311">
        <v>1.060673847140702E-2</v>
      </c>
      <c r="V311" t="s">
        <v>160</v>
      </c>
    </row>
    <row r="312" spans="9:22" x14ac:dyDescent="0.45">
      <c r="I312" t="s">
        <v>187</v>
      </c>
      <c r="J312" t="s">
        <v>175</v>
      </c>
      <c r="K312">
        <v>0</v>
      </c>
      <c r="L312" t="s">
        <v>160</v>
      </c>
      <c r="N312" t="s">
        <v>197</v>
      </c>
      <c r="O312" t="s">
        <v>175</v>
      </c>
      <c r="P312">
        <v>6.1789841286941108E-2</v>
      </c>
      <c r="Q312" t="s">
        <v>160</v>
      </c>
      <c r="S312" t="s">
        <v>207</v>
      </c>
      <c r="T312" t="s">
        <v>175</v>
      </c>
      <c r="U312">
        <v>6.1789841286941108E-2</v>
      </c>
      <c r="V312" t="s">
        <v>160</v>
      </c>
    </row>
    <row r="313" spans="9:22" x14ac:dyDescent="0.45">
      <c r="I313" t="s">
        <v>187</v>
      </c>
      <c r="J313" t="s">
        <v>176</v>
      </c>
      <c r="K313">
        <v>0</v>
      </c>
      <c r="L313" t="s">
        <v>160</v>
      </c>
      <c r="N313" t="s">
        <v>197</v>
      </c>
      <c r="O313" t="s">
        <v>176</v>
      </c>
      <c r="P313">
        <v>1.2104462015324075E-2</v>
      </c>
      <c r="Q313" t="s">
        <v>160</v>
      </c>
      <c r="S313" t="s">
        <v>207</v>
      </c>
      <c r="T313" t="s">
        <v>176</v>
      </c>
      <c r="U313">
        <v>1.2104462015324075E-2</v>
      </c>
      <c r="V313" t="s">
        <v>160</v>
      </c>
    </row>
    <row r="314" spans="9:22" x14ac:dyDescent="0.45">
      <c r="I314" t="s">
        <v>187</v>
      </c>
      <c r="J314" t="s">
        <v>177</v>
      </c>
      <c r="K314">
        <v>0</v>
      </c>
      <c r="L314" t="s">
        <v>160</v>
      </c>
      <c r="N314" t="s">
        <v>197</v>
      </c>
      <c r="O314" t="s">
        <v>177</v>
      </c>
      <c r="P314">
        <v>1.1788815459312421E-2</v>
      </c>
      <c r="Q314" t="s">
        <v>160</v>
      </c>
      <c r="S314" t="s">
        <v>207</v>
      </c>
      <c r="T314" t="s">
        <v>177</v>
      </c>
      <c r="U314">
        <v>1.1788815459312421E-2</v>
      </c>
      <c r="V314" t="s">
        <v>160</v>
      </c>
    </row>
    <row r="315" spans="9:22" x14ac:dyDescent="0.45">
      <c r="I315" t="s">
        <v>187</v>
      </c>
      <c r="J315" t="s">
        <v>178</v>
      </c>
      <c r="K315">
        <v>1.5427332890164097E-2</v>
      </c>
      <c r="L315" t="s">
        <v>160</v>
      </c>
      <c r="N315" t="s">
        <v>197</v>
      </c>
      <c r="O315" t="s">
        <v>178</v>
      </c>
      <c r="P315">
        <v>3.4423195070518733E-2</v>
      </c>
      <c r="Q315" t="s">
        <v>160</v>
      </c>
      <c r="S315" t="s">
        <v>207</v>
      </c>
      <c r="T315" t="s">
        <v>178</v>
      </c>
      <c r="U315">
        <v>3.4423195070518733E-2</v>
      </c>
      <c r="V315" t="s">
        <v>160</v>
      </c>
    </row>
    <row r="316" spans="9:22" x14ac:dyDescent="0.45">
      <c r="I316" t="s">
        <v>187</v>
      </c>
      <c r="J316" t="s">
        <v>179</v>
      </c>
      <c r="K316">
        <v>8.9196770669272299E-2</v>
      </c>
      <c r="L316" t="s">
        <v>160</v>
      </c>
      <c r="N316" t="s">
        <v>197</v>
      </c>
      <c r="O316" t="s">
        <v>179</v>
      </c>
      <c r="P316">
        <v>8.1066568834558608E-2</v>
      </c>
      <c r="Q316" t="s">
        <v>160</v>
      </c>
      <c r="S316" t="s">
        <v>207</v>
      </c>
      <c r="T316" t="s">
        <v>179</v>
      </c>
      <c r="U316">
        <v>8.1066568834558608E-2</v>
      </c>
      <c r="V316" t="s">
        <v>160</v>
      </c>
    </row>
    <row r="317" spans="9:22" x14ac:dyDescent="0.45">
      <c r="I317" t="s">
        <v>187</v>
      </c>
      <c r="J317" t="s">
        <v>237</v>
      </c>
      <c r="K317">
        <v>1.38858816626753E-3</v>
      </c>
      <c r="L317" t="s">
        <v>160</v>
      </c>
      <c r="N317" t="s">
        <v>197</v>
      </c>
      <c r="O317" t="s">
        <v>237</v>
      </c>
      <c r="P317">
        <v>8.0848557828975903E-2</v>
      </c>
      <c r="Q317" t="s">
        <v>160</v>
      </c>
      <c r="S317" t="s">
        <v>207</v>
      </c>
      <c r="T317" t="s">
        <v>237</v>
      </c>
      <c r="U317">
        <v>8.0848557828975903E-2</v>
      </c>
      <c r="V317" t="s">
        <v>160</v>
      </c>
    </row>
    <row r="318" spans="9:22" x14ac:dyDescent="0.45">
      <c r="I318" t="s">
        <v>187</v>
      </c>
      <c r="J318" t="s">
        <v>238</v>
      </c>
      <c r="K318">
        <v>0</v>
      </c>
      <c r="L318" t="s">
        <v>160</v>
      </c>
      <c r="N318" t="s">
        <v>197</v>
      </c>
      <c r="O318" t="s">
        <v>238</v>
      </c>
      <c r="P318">
        <v>1.2793066136611375E-2</v>
      </c>
      <c r="Q318" t="s">
        <v>160</v>
      </c>
      <c r="S318" t="s">
        <v>207</v>
      </c>
      <c r="T318" t="s">
        <v>238</v>
      </c>
      <c r="U318">
        <v>1.2793066136611375E-2</v>
      </c>
      <c r="V318" t="s">
        <v>160</v>
      </c>
    </row>
    <row r="319" spans="9:22" x14ac:dyDescent="0.45">
      <c r="I319" t="s">
        <v>187</v>
      </c>
      <c r="J319" t="s">
        <v>222</v>
      </c>
      <c r="K319">
        <v>0</v>
      </c>
      <c r="L319" t="s">
        <v>160</v>
      </c>
      <c r="N319" t="s">
        <v>197</v>
      </c>
      <c r="O319" t="s">
        <v>222</v>
      </c>
      <c r="P319">
        <v>1.5010711846567482E-2</v>
      </c>
      <c r="Q319" t="s">
        <v>160</v>
      </c>
      <c r="S319" t="s">
        <v>207</v>
      </c>
      <c r="T319" t="s">
        <v>222</v>
      </c>
      <c r="U319">
        <v>1.5010711846567482E-2</v>
      </c>
      <c r="V319" t="s">
        <v>160</v>
      </c>
    </row>
    <row r="320" spans="9:22" x14ac:dyDescent="0.45">
      <c r="I320" t="s">
        <v>187</v>
      </c>
      <c r="J320" t="s">
        <v>223</v>
      </c>
      <c r="K320">
        <v>0</v>
      </c>
      <c r="L320" t="s">
        <v>160</v>
      </c>
      <c r="N320" t="s">
        <v>197</v>
      </c>
      <c r="O320" t="s">
        <v>223</v>
      </c>
      <c r="P320">
        <v>2.9951098010292392E-3</v>
      </c>
      <c r="Q320" t="s">
        <v>160</v>
      </c>
      <c r="S320" t="s">
        <v>207</v>
      </c>
      <c r="T320" t="s">
        <v>223</v>
      </c>
      <c r="U320">
        <v>2.9951098010292392E-3</v>
      </c>
      <c r="V320" t="s">
        <v>160</v>
      </c>
    </row>
    <row r="321" spans="9:22" x14ac:dyDescent="0.45">
      <c r="I321" t="s">
        <v>187</v>
      </c>
      <c r="J321" t="s">
        <v>224</v>
      </c>
      <c r="K321">
        <v>0</v>
      </c>
      <c r="L321" t="s">
        <v>160</v>
      </c>
      <c r="N321" t="s">
        <v>197</v>
      </c>
      <c r="O321" t="s">
        <v>224</v>
      </c>
      <c r="P321">
        <v>2.8722438661253225E-3</v>
      </c>
      <c r="Q321" t="s">
        <v>160</v>
      </c>
      <c r="S321" t="s">
        <v>207</v>
      </c>
      <c r="T321" t="s">
        <v>224</v>
      </c>
      <c r="U321">
        <v>2.8722438661253225E-3</v>
      </c>
      <c r="V321" t="s">
        <v>160</v>
      </c>
    </row>
    <row r="322" spans="9:22" x14ac:dyDescent="0.45">
      <c r="I322" t="s">
        <v>187</v>
      </c>
      <c r="J322" t="s">
        <v>225</v>
      </c>
      <c r="K322">
        <v>3.4716598204828246E-4</v>
      </c>
      <c r="L322" t="s">
        <v>160</v>
      </c>
      <c r="N322" t="s">
        <v>197</v>
      </c>
      <c r="O322" t="s">
        <v>225</v>
      </c>
      <c r="P322">
        <v>8.5659335979782186E-3</v>
      </c>
      <c r="Q322" t="s">
        <v>160</v>
      </c>
      <c r="S322" t="s">
        <v>207</v>
      </c>
      <c r="T322" t="s">
        <v>225</v>
      </c>
      <c r="U322">
        <v>8.5659335979782186E-3</v>
      </c>
      <c r="V322" t="s">
        <v>160</v>
      </c>
    </row>
    <row r="323" spans="9:22" x14ac:dyDescent="0.45">
      <c r="I323" t="s">
        <v>187</v>
      </c>
      <c r="J323" t="s">
        <v>226</v>
      </c>
      <c r="K323">
        <v>5.2252351920234336E-3</v>
      </c>
      <c r="L323" t="s">
        <v>160</v>
      </c>
      <c r="N323" t="s">
        <v>197</v>
      </c>
      <c r="O323" t="s">
        <v>226</v>
      </c>
      <c r="P323">
        <v>1.84750114061971E-2</v>
      </c>
      <c r="Q323" t="s">
        <v>160</v>
      </c>
      <c r="S323" t="s">
        <v>207</v>
      </c>
      <c r="T323" t="s">
        <v>226</v>
      </c>
      <c r="U323">
        <v>1.84750114061971E-2</v>
      </c>
      <c r="V323" t="s">
        <v>160</v>
      </c>
    </row>
    <row r="324" spans="9:22" x14ac:dyDescent="0.45">
      <c r="I324" t="s">
        <v>187</v>
      </c>
      <c r="J324" t="s">
        <v>239</v>
      </c>
      <c r="K324">
        <v>0</v>
      </c>
      <c r="L324" t="s">
        <v>160</v>
      </c>
      <c r="N324" t="s">
        <v>197</v>
      </c>
      <c r="O324" t="s">
        <v>239</v>
      </c>
      <c r="P324">
        <v>1.5819024127644108E-2</v>
      </c>
      <c r="Q324" t="s">
        <v>160</v>
      </c>
      <c r="S324" t="s">
        <v>207</v>
      </c>
      <c r="T324" t="s">
        <v>239</v>
      </c>
      <c r="U324">
        <v>1.5819024127644108E-2</v>
      </c>
      <c r="V324" t="s">
        <v>160</v>
      </c>
    </row>
    <row r="325" spans="9:22" x14ac:dyDescent="0.45">
      <c r="I325" t="s">
        <v>187</v>
      </c>
      <c r="J325" t="s">
        <v>240</v>
      </c>
      <c r="K325">
        <v>0</v>
      </c>
      <c r="L325" t="s">
        <v>160</v>
      </c>
      <c r="N325" t="s">
        <v>197</v>
      </c>
      <c r="O325" t="s">
        <v>240</v>
      </c>
      <c r="P325">
        <v>2.5591349907561297E-3</v>
      </c>
      <c r="Q325" t="s">
        <v>160</v>
      </c>
      <c r="S325" t="s">
        <v>207</v>
      </c>
      <c r="T325" t="s">
        <v>240</v>
      </c>
      <c r="U325">
        <v>2.5591349907561297E-3</v>
      </c>
      <c r="V325" t="s">
        <v>160</v>
      </c>
    </row>
    <row r="326" spans="9:22" x14ac:dyDescent="0.45">
      <c r="I326" t="s">
        <v>188</v>
      </c>
      <c r="J326" t="s">
        <v>159</v>
      </c>
      <c r="K326">
        <v>0</v>
      </c>
      <c r="L326" t="s">
        <v>160</v>
      </c>
      <c r="N326" t="s">
        <v>198</v>
      </c>
      <c r="O326" t="s">
        <v>159</v>
      </c>
      <c r="P326">
        <v>3.7633847327752053E-2</v>
      </c>
      <c r="Q326" t="s">
        <v>160</v>
      </c>
      <c r="S326" t="s">
        <v>208</v>
      </c>
      <c r="T326" t="s">
        <v>159</v>
      </c>
      <c r="U326">
        <v>3.7633847327752053E-2</v>
      </c>
      <c r="V326" t="s">
        <v>160</v>
      </c>
    </row>
    <row r="327" spans="9:22" x14ac:dyDescent="0.45">
      <c r="I327" t="s">
        <v>188</v>
      </c>
      <c r="J327" t="s">
        <v>161</v>
      </c>
      <c r="K327">
        <v>0</v>
      </c>
      <c r="L327" t="s">
        <v>160</v>
      </c>
      <c r="N327" t="s">
        <v>198</v>
      </c>
      <c r="O327" t="s">
        <v>161</v>
      </c>
      <c r="P327">
        <v>8.0137447116049761E-3</v>
      </c>
      <c r="Q327" t="s">
        <v>160</v>
      </c>
      <c r="S327" t="s">
        <v>208</v>
      </c>
      <c r="T327" t="s">
        <v>161</v>
      </c>
      <c r="U327">
        <v>8.0137447116049761E-3</v>
      </c>
      <c r="V327" t="s">
        <v>160</v>
      </c>
    </row>
    <row r="328" spans="9:22" x14ac:dyDescent="0.45">
      <c r="I328" t="s">
        <v>188</v>
      </c>
      <c r="J328" t="s">
        <v>162</v>
      </c>
      <c r="K328">
        <v>0</v>
      </c>
      <c r="L328" t="s">
        <v>160</v>
      </c>
      <c r="N328" t="s">
        <v>198</v>
      </c>
      <c r="O328" t="s">
        <v>162</v>
      </c>
      <c r="P328">
        <v>8.0284128634046555E-3</v>
      </c>
      <c r="Q328" t="s">
        <v>160</v>
      </c>
      <c r="S328" t="s">
        <v>208</v>
      </c>
      <c r="T328" t="s">
        <v>162</v>
      </c>
      <c r="U328">
        <v>8.0284128634046555E-3</v>
      </c>
      <c r="V328" t="s">
        <v>160</v>
      </c>
    </row>
    <row r="329" spans="9:22" x14ac:dyDescent="0.45">
      <c r="I329" t="s">
        <v>188</v>
      </c>
      <c r="J329" t="s">
        <v>163</v>
      </c>
      <c r="K329">
        <v>1.007877204351048E-2</v>
      </c>
      <c r="L329" t="s">
        <v>160</v>
      </c>
      <c r="N329" t="s">
        <v>198</v>
      </c>
      <c r="O329" t="s">
        <v>163</v>
      </c>
      <c r="P329">
        <v>2.4390612561227841E-2</v>
      </c>
      <c r="Q329" t="s">
        <v>160</v>
      </c>
      <c r="S329" t="s">
        <v>208</v>
      </c>
      <c r="T329" t="s">
        <v>163</v>
      </c>
      <c r="U329">
        <v>2.4390612561227841E-2</v>
      </c>
      <c r="V329" t="s">
        <v>160</v>
      </c>
    </row>
    <row r="330" spans="9:22" x14ac:dyDescent="0.45">
      <c r="I330" t="s">
        <v>188</v>
      </c>
      <c r="J330" t="s">
        <v>164</v>
      </c>
      <c r="K330">
        <v>6.7670268013656304E-2</v>
      </c>
      <c r="L330" t="s">
        <v>160</v>
      </c>
      <c r="N330" t="s">
        <v>198</v>
      </c>
      <c r="O330" t="s">
        <v>164</v>
      </c>
      <c r="P330">
        <v>5.9362011707728937E-2</v>
      </c>
      <c r="Q330" t="s">
        <v>160</v>
      </c>
      <c r="S330" t="s">
        <v>208</v>
      </c>
      <c r="T330" t="s">
        <v>164</v>
      </c>
      <c r="U330">
        <v>5.9362011707728937E-2</v>
      </c>
      <c r="V330" t="s">
        <v>160</v>
      </c>
    </row>
    <row r="331" spans="9:22" x14ac:dyDescent="0.45">
      <c r="I331" t="s">
        <v>188</v>
      </c>
      <c r="J331" t="s">
        <v>231</v>
      </c>
      <c r="K331">
        <v>2.545086941339376E-3</v>
      </c>
      <c r="L331" t="s">
        <v>160</v>
      </c>
      <c r="N331" t="s">
        <v>198</v>
      </c>
      <c r="O331" t="s">
        <v>231</v>
      </c>
      <c r="P331">
        <v>5.0000040672449224E-2</v>
      </c>
      <c r="Q331" t="s">
        <v>160</v>
      </c>
      <c r="S331" t="s">
        <v>208</v>
      </c>
      <c r="T331" t="s">
        <v>231</v>
      </c>
      <c r="U331">
        <v>5.0000040672449224E-2</v>
      </c>
      <c r="V331" t="s">
        <v>160</v>
      </c>
    </row>
    <row r="332" spans="9:22" x14ac:dyDescent="0.45">
      <c r="I332" t="s">
        <v>188</v>
      </c>
      <c r="J332" t="s">
        <v>232</v>
      </c>
      <c r="K332">
        <v>0</v>
      </c>
      <c r="L332" t="s">
        <v>160</v>
      </c>
      <c r="N332" t="s">
        <v>198</v>
      </c>
      <c r="O332" t="s">
        <v>232</v>
      </c>
      <c r="P332">
        <v>7.4351119617156571E-3</v>
      </c>
      <c r="Q332" t="s">
        <v>160</v>
      </c>
      <c r="S332" t="s">
        <v>208</v>
      </c>
      <c r="T332" t="s">
        <v>232</v>
      </c>
      <c r="U332">
        <v>7.4351119617156571E-3</v>
      </c>
      <c r="V332" t="s">
        <v>160</v>
      </c>
    </row>
    <row r="333" spans="9:22" x14ac:dyDescent="0.45">
      <c r="I333" t="s">
        <v>188</v>
      </c>
      <c r="J333" t="s">
        <v>165</v>
      </c>
      <c r="K333">
        <v>0</v>
      </c>
      <c r="L333" t="s">
        <v>160</v>
      </c>
      <c r="N333" t="s">
        <v>198</v>
      </c>
      <c r="O333" t="s">
        <v>165</v>
      </c>
      <c r="P333">
        <v>1.6421333491817101E-2</v>
      </c>
      <c r="Q333" t="s">
        <v>160</v>
      </c>
      <c r="S333" t="s">
        <v>208</v>
      </c>
      <c r="T333" t="s">
        <v>165</v>
      </c>
      <c r="U333">
        <v>1.6421333491817101E-2</v>
      </c>
      <c r="V333" t="s">
        <v>160</v>
      </c>
    </row>
    <row r="334" spans="9:22" x14ac:dyDescent="0.45">
      <c r="I334" t="s">
        <v>188</v>
      </c>
      <c r="J334" t="s">
        <v>166</v>
      </c>
      <c r="K334">
        <v>0</v>
      </c>
      <c r="L334" t="s">
        <v>160</v>
      </c>
      <c r="N334" t="s">
        <v>198</v>
      </c>
      <c r="O334" t="s">
        <v>166</v>
      </c>
      <c r="P334">
        <v>3.333155179373333E-3</v>
      </c>
      <c r="Q334" t="s">
        <v>160</v>
      </c>
      <c r="S334" t="s">
        <v>208</v>
      </c>
      <c r="T334" t="s">
        <v>166</v>
      </c>
      <c r="U334">
        <v>3.333155179373333E-3</v>
      </c>
      <c r="V334" t="s">
        <v>160</v>
      </c>
    </row>
    <row r="335" spans="9:22" x14ac:dyDescent="0.45">
      <c r="I335" t="s">
        <v>188</v>
      </c>
      <c r="J335" t="s">
        <v>167</v>
      </c>
      <c r="K335">
        <v>0</v>
      </c>
      <c r="L335" t="s">
        <v>160</v>
      </c>
      <c r="N335" t="s">
        <v>198</v>
      </c>
      <c r="O335" t="s">
        <v>167</v>
      </c>
      <c r="P335">
        <v>3.3815732366328662E-3</v>
      </c>
      <c r="Q335" t="s">
        <v>160</v>
      </c>
      <c r="S335" t="s">
        <v>208</v>
      </c>
      <c r="T335" t="s">
        <v>167</v>
      </c>
      <c r="U335">
        <v>3.3815732366328662E-3</v>
      </c>
      <c r="V335" t="s">
        <v>160</v>
      </c>
    </row>
    <row r="336" spans="9:22" x14ac:dyDescent="0.45">
      <c r="I336" t="s">
        <v>188</v>
      </c>
      <c r="J336" t="s">
        <v>168</v>
      </c>
      <c r="K336">
        <v>7.125136992621366E-3</v>
      </c>
      <c r="L336" t="s">
        <v>160</v>
      </c>
      <c r="N336" t="s">
        <v>198</v>
      </c>
      <c r="O336" t="s">
        <v>168</v>
      </c>
      <c r="P336">
        <v>1.0125915479482314E-2</v>
      </c>
      <c r="Q336" t="s">
        <v>160</v>
      </c>
      <c r="S336" t="s">
        <v>208</v>
      </c>
      <c r="T336" t="s">
        <v>168</v>
      </c>
      <c r="U336">
        <v>1.0125915479482314E-2</v>
      </c>
      <c r="V336" t="s">
        <v>160</v>
      </c>
    </row>
    <row r="337" spans="9:22" x14ac:dyDescent="0.45">
      <c r="I337" t="s">
        <v>188</v>
      </c>
      <c r="J337" t="s">
        <v>169</v>
      </c>
      <c r="K337">
        <v>2.977710155368174E-2</v>
      </c>
      <c r="L337" t="s">
        <v>160</v>
      </c>
      <c r="N337" t="s">
        <v>198</v>
      </c>
      <c r="O337" t="s">
        <v>169</v>
      </c>
      <c r="P337">
        <v>2.5165673089581026E-2</v>
      </c>
      <c r="Q337" t="s">
        <v>160</v>
      </c>
      <c r="S337" t="s">
        <v>208</v>
      </c>
      <c r="T337" t="s">
        <v>169</v>
      </c>
      <c r="U337">
        <v>2.5165673089581026E-2</v>
      </c>
      <c r="V337" t="s">
        <v>160</v>
      </c>
    </row>
    <row r="338" spans="9:22" x14ac:dyDescent="0.45">
      <c r="I338" t="s">
        <v>188</v>
      </c>
      <c r="J338" t="s">
        <v>233</v>
      </c>
      <c r="K338">
        <v>3.3094616394464412E-3</v>
      </c>
      <c r="L338" t="s">
        <v>160</v>
      </c>
      <c r="N338" t="s">
        <v>198</v>
      </c>
      <c r="O338" t="s">
        <v>233</v>
      </c>
      <c r="P338">
        <v>2.2259359318243958E-2</v>
      </c>
      <c r="Q338" t="s">
        <v>160</v>
      </c>
      <c r="S338" t="s">
        <v>208</v>
      </c>
      <c r="T338" t="s">
        <v>233</v>
      </c>
      <c r="U338">
        <v>2.2259359318243958E-2</v>
      </c>
      <c r="V338" t="s">
        <v>160</v>
      </c>
    </row>
    <row r="339" spans="9:22" x14ac:dyDescent="0.45">
      <c r="I339" t="s">
        <v>188</v>
      </c>
      <c r="J339" t="s">
        <v>234</v>
      </c>
      <c r="K339">
        <v>0</v>
      </c>
      <c r="L339" t="s">
        <v>160</v>
      </c>
      <c r="N339" t="s">
        <v>198</v>
      </c>
      <c r="O339" t="s">
        <v>234</v>
      </c>
      <c r="P339">
        <v>3.2962254958358557E-3</v>
      </c>
      <c r="Q339" t="s">
        <v>160</v>
      </c>
      <c r="S339" t="s">
        <v>208</v>
      </c>
      <c r="T339" t="s">
        <v>234</v>
      </c>
      <c r="U339">
        <v>3.2962254958358557E-3</v>
      </c>
      <c r="V339" t="s">
        <v>160</v>
      </c>
    </row>
    <row r="340" spans="9:22" x14ac:dyDescent="0.45">
      <c r="I340" t="s">
        <v>188</v>
      </c>
      <c r="J340" t="s">
        <v>170</v>
      </c>
      <c r="K340">
        <v>0</v>
      </c>
      <c r="L340" t="s">
        <v>160</v>
      </c>
      <c r="N340" t="s">
        <v>198</v>
      </c>
      <c r="O340" t="s">
        <v>170</v>
      </c>
      <c r="P340">
        <v>6.7516082208989692E-2</v>
      </c>
      <c r="Q340" t="s">
        <v>160</v>
      </c>
      <c r="S340" t="s">
        <v>208</v>
      </c>
      <c r="T340" t="s">
        <v>170</v>
      </c>
      <c r="U340">
        <v>6.7516082208989692E-2</v>
      </c>
      <c r="V340" t="s">
        <v>160</v>
      </c>
    </row>
    <row r="341" spans="9:22" x14ac:dyDescent="0.45">
      <c r="I341" t="s">
        <v>188</v>
      </c>
      <c r="J341" t="s">
        <v>171</v>
      </c>
      <c r="K341">
        <v>5.9922506252941795E-3</v>
      </c>
      <c r="L341" t="s">
        <v>160</v>
      </c>
      <c r="N341" t="s">
        <v>198</v>
      </c>
      <c r="O341" t="s">
        <v>171</v>
      </c>
      <c r="P341">
        <v>1.3966617667829643E-2</v>
      </c>
      <c r="Q341" t="s">
        <v>160</v>
      </c>
      <c r="S341" t="s">
        <v>208</v>
      </c>
      <c r="T341" t="s">
        <v>171</v>
      </c>
      <c r="U341">
        <v>1.3966617667829643E-2</v>
      </c>
      <c r="V341" t="s">
        <v>160</v>
      </c>
    </row>
    <row r="342" spans="9:22" x14ac:dyDescent="0.45">
      <c r="I342" t="s">
        <v>188</v>
      </c>
      <c r="J342" t="s">
        <v>172</v>
      </c>
      <c r="K342">
        <v>2.4090146658660289E-2</v>
      </c>
      <c r="L342" t="s">
        <v>160</v>
      </c>
      <c r="N342" t="s">
        <v>198</v>
      </c>
      <c r="O342" t="s">
        <v>172</v>
      </c>
      <c r="P342">
        <v>1.418730536640637E-2</v>
      </c>
      <c r="Q342" t="s">
        <v>160</v>
      </c>
      <c r="S342" t="s">
        <v>208</v>
      </c>
      <c r="T342" t="s">
        <v>172</v>
      </c>
      <c r="U342">
        <v>1.418730536640637E-2</v>
      </c>
      <c r="V342" t="s">
        <v>160</v>
      </c>
    </row>
    <row r="343" spans="9:22" x14ac:dyDescent="0.45">
      <c r="I343" t="s">
        <v>188</v>
      </c>
      <c r="J343" t="s">
        <v>173</v>
      </c>
      <c r="K343">
        <v>0.17416464698365902</v>
      </c>
      <c r="L343" t="s">
        <v>160</v>
      </c>
      <c r="N343" t="s">
        <v>198</v>
      </c>
      <c r="O343" t="s">
        <v>173</v>
      </c>
      <c r="P343">
        <v>4.6143349580928694E-2</v>
      </c>
      <c r="Q343" t="s">
        <v>160</v>
      </c>
      <c r="S343" t="s">
        <v>208</v>
      </c>
      <c r="T343" t="s">
        <v>173</v>
      </c>
      <c r="U343">
        <v>4.6143349580928694E-2</v>
      </c>
      <c r="V343" t="s">
        <v>160</v>
      </c>
    </row>
    <row r="344" spans="9:22" x14ac:dyDescent="0.45">
      <c r="I344" t="s">
        <v>188</v>
      </c>
      <c r="J344" t="s">
        <v>174</v>
      </c>
      <c r="K344">
        <v>0.47275101552655896</v>
      </c>
      <c r="L344" t="s">
        <v>160</v>
      </c>
      <c r="N344" t="s">
        <v>198</v>
      </c>
      <c r="O344" t="s">
        <v>174</v>
      </c>
      <c r="P344">
        <v>0.12269823128449128</v>
      </c>
      <c r="Q344" t="s">
        <v>160</v>
      </c>
      <c r="S344" t="s">
        <v>208</v>
      </c>
      <c r="T344" t="s">
        <v>174</v>
      </c>
      <c r="U344">
        <v>0.12269823128449128</v>
      </c>
      <c r="V344" t="s">
        <v>160</v>
      </c>
    </row>
    <row r="345" spans="9:22" x14ac:dyDescent="0.45">
      <c r="I345" t="s">
        <v>188</v>
      </c>
      <c r="J345" t="s">
        <v>235</v>
      </c>
      <c r="K345">
        <v>8.5228484872039934E-2</v>
      </c>
      <c r="L345" t="s">
        <v>160</v>
      </c>
      <c r="N345" t="s">
        <v>198</v>
      </c>
      <c r="O345" t="s">
        <v>235</v>
      </c>
      <c r="P345">
        <v>0.10414732162312176</v>
      </c>
      <c r="Q345" t="s">
        <v>160</v>
      </c>
      <c r="S345" t="s">
        <v>208</v>
      </c>
      <c r="T345" t="s">
        <v>235</v>
      </c>
      <c r="U345">
        <v>0.10414732162312176</v>
      </c>
      <c r="V345" t="s">
        <v>160</v>
      </c>
    </row>
    <row r="346" spans="9:22" x14ac:dyDescent="0.45">
      <c r="I346" t="s">
        <v>188</v>
      </c>
      <c r="J346" t="s">
        <v>236</v>
      </c>
      <c r="K346">
        <v>0</v>
      </c>
      <c r="L346" t="s">
        <v>160</v>
      </c>
      <c r="N346" t="s">
        <v>198</v>
      </c>
      <c r="O346" t="s">
        <v>236</v>
      </c>
      <c r="P346">
        <v>1.3522242243235439E-2</v>
      </c>
      <c r="Q346" t="s">
        <v>160</v>
      </c>
      <c r="S346" t="s">
        <v>208</v>
      </c>
      <c r="T346" t="s">
        <v>236</v>
      </c>
      <c r="U346">
        <v>1.3522242243235439E-2</v>
      </c>
      <c r="V346" t="s">
        <v>160</v>
      </c>
    </row>
    <row r="347" spans="9:22" x14ac:dyDescent="0.45">
      <c r="I347" t="s">
        <v>188</v>
      </c>
      <c r="J347" t="s">
        <v>175</v>
      </c>
      <c r="K347">
        <v>0</v>
      </c>
      <c r="L347" t="s">
        <v>160</v>
      </c>
      <c r="N347" t="s">
        <v>198</v>
      </c>
      <c r="O347" t="s">
        <v>175</v>
      </c>
      <c r="P347">
        <v>5.7522596458711189E-2</v>
      </c>
      <c r="Q347" t="s">
        <v>160</v>
      </c>
      <c r="S347" t="s">
        <v>208</v>
      </c>
      <c r="T347" t="s">
        <v>175</v>
      </c>
      <c r="U347">
        <v>5.7522596458711189E-2</v>
      </c>
      <c r="V347" t="s">
        <v>160</v>
      </c>
    </row>
    <row r="348" spans="9:22" x14ac:dyDescent="0.45">
      <c r="I348" t="s">
        <v>188</v>
      </c>
      <c r="J348" t="s">
        <v>176</v>
      </c>
      <c r="K348">
        <v>0</v>
      </c>
      <c r="L348" t="s">
        <v>160</v>
      </c>
      <c r="N348" t="s">
        <v>198</v>
      </c>
      <c r="O348" t="s">
        <v>176</v>
      </c>
      <c r="P348">
        <v>1.1607943520410578E-2</v>
      </c>
      <c r="Q348" t="s">
        <v>160</v>
      </c>
      <c r="S348" t="s">
        <v>208</v>
      </c>
      <c r="T348" t="s">
        <v>176</v>
      </c>
      <c r="U348">
        <v>1.1607943520410578E-2</v>
      </c>
      <c r="V348" t="s">
        <v>160</v>
      </c>
    </row>
    <row r="349" spans="9:22" x14ac:dyDescent="0.45">
      <c r="I349" t="s">
        <v>188</v>
      </c>
      <c r="J349" t="s">
        <v>177</v>
      </c>
      <c r="K349">
        <v>0</v>
      </c>
      <c r="L349" t="s">
        <v>160</v>
      </c>
      <c r="N349" t="s">
        <v>198</v>
      </c>
      <c r="O349" t="s">
        <v>177</v>
      </c>
      <c r="P349">
        <v>1.1409931233433175E-2</v>
      </c>
      <c r="Q349" t="s">
        <v>160</v>
      </c>
      <c r="S349" t="s">
        <v>208</v>
      </c>
      <c r="T349" t="s">
        <v>177</v>
      </c>
      <c r="U349">
        <v>1.1409931233433175E-2</v>
      </c>
      <c r="V349" t="s">
        <v>160</v>
      </c>
    </row>
    <row r="350" spans="9:22" x14ac:dyDescent="0.45">
      <c r="I350" t="s">
        <v>188</v>
      </c>
      <c r="J350" t="s">
        <v>178</v>
      </c>
      <c r="K350">
        <v>1.7822054024052573E-2</v>
      </c>
      <c r="L350" t="s">
        <v>160</v>
      </c>
      <c r="N350" t="s">
        <v>198</v>
      </c>
      <c r="O350" t="s">
        <v>178</v>
      </c>
      <c r="P350">
        <v>3.3938316721432958E-2</v>
      </c>
      <c r="Q350" t="s">
        <v>160</v>
      </c>
      <c r="S350" t="s">
        <v>208</v>
      </c>
      <c r="T350" t="s">
        <v>178</v>
      </c>
      <c r="U350">
        <v>3.3938316721432958E-2</v>
      </c>
      <c r="V350" t="s">
        <v>160</v>
      </c>
    </row>
    <row r="351" spans="9:22" x14ac:dyDescent="0.45">
      <c r="I351" t="s">
        <v>188</v>
      </c>
      <c r="J351" t="s">
        <v>179</v>
      </c>
      <c r="K351">
        <v>9.0998026098726328E-2</v>
      </c>
      <c r="L351" t="s">
        <v>160</v>
      </c>
      <c r="N351" t="s">
        <v>198</v>
      </c>
      <c r="O351" t="s">
        <v>179</v>
      </c>
      <c r="P351">
        <v>8.1859676470780768E-2</v>
      </c>
      <c r="Q351" t="s">
        <v>160</v>
      </c>
      <c r="S351" t="s">
        <v>208</v>
      </c>
      <c r="T351" t="s">
        <v>179</v>
      </c>
      <c r="U351">
        <v>8.1859676470780768E-2</v>
      </c>
      <c r="V351" t="s">
        <v>160</v>
      </c>
    </row>
    <row r="352" spans="9:22" x14ac:dyDescent="0.45">
      <c r="I352" t="s">
        <v>188</v>
      </c>
      <c r="J352" t="s">
        <v>237</v>
      </c>
      <c r="K352">
        <v>1.6685548835351706E-3</v>
      </c>
      <c r="L352" t="s">
        <v>160</v>
      </c>
      <c r="N352" t="s">
        <v>198</v>
      </c>
      <c r="O352" t="s">
        <v>237</v>
      </c>
      <c r="P352">
        <v>7.8017017455088267E-2</v>
      </c>
      <c r="Q352" t="s">
        <v>160</v>
      </c>
      <c r="S352" t="s">
        <v>208</v>
      </c>
      <c r="T352" t="s">
        <v>237</v>
      </c>
      <c r="U352">
        <v>7.8017017455088267E-2</v>
      </c>
      <c r="V352" t="s">
        <v>160</v>
      </c>
    </row>
    <row r="353" spans="9:22" x14ac:dyDescent="0.45">
      <c r="I353" t="s">
        <v>188</v>
      </c>
      <c r="J353" t="s">
        <v>238</v>
      </c>
      <c r="K353">
        <v>0</v>
      </c>
      <c r="L353" t="s">
        <v>160</v>
      </c>
      <c r="N353" t="s">
        <v>198</v>
      </c>
      <c r="O353" t="s">
        <v>238</v>
      </c>
      <c r="P353">
        <v>1.194812815837891E-2</v>
      </c>
      <c r="Q353" t="s">
        <v>160</v>
      </c>
      <c r="S353" t="s">
        <v>208</v>
      </c>
      <c r="T353" t="s">
        <v>238</v>
      </c>
      <c r="U353">
        <v>1.194812815837891E-2</v>
      </c>
      <c r="V353" t="s">
        <v>160</v>
      </c>
    </row>
    <row r="354" spans="9:22" x14ac:dyDescent="0.45">
      <c r="I354" t="s">
        <v>188</v>
      </c>
      <c r="J354" t="s">
        <v>222</v>
      </c>
      <c r="K354">
        <v>0</v>
      </c>
      <c r="L354" t="s">
        <v>160</v>
      </c>
      <c r="N354" t="s">
        <v>198</v>
      </c>
      <c r="O354" t="s">
        <v>222</v>
      </c>
      <c r="P354">
        <v>1.1963138888610328E-2</v>
      </c>
      <c r="Q354" t="s">
        <v>160</v>
      </c>
      <c r="S354" t="s">
        <v>208</v>
      </c>
      <c r="T354" t="s">
        <v>222</v>
      </c>
      <c r="U354">
        <v>1.1963138888610328E-2</v>
      </c>
      <c r="V354" t="s">
        <v>160</v>
      </c>
    </row>
    <row r="355" spans="9:22" x14ac:dyDescent="0.45">
      <c r="I355" t="s">
        <v>188</v>
      </c>
      <c r="J355" t="s">
        <v>223</v>
      </c>
      <c r="K355">
        <v>0</v>
      </c>
      <c r="L355" t="s">
        <v>160</v>
      </c>
      <c r="N355" t="s">
        <v>198</v>
      </c>
      <c r="O355" t="s">
        <v>223</v>
      </c>
      <c r="P355">
        <v>2.4080301956438369E-3</v>
      </c>
      <c r="Q355" t="s">
        <v>160</v>
      </c>
      <c r="S355" t="s">
        <v>208</v>
      </c>
      <c r="T355" t="s">
        <v>223</v>
      </c>
      <c r="U355">
        <v>2.4080301956438369E-3</v>
      </c>
      <c r="V355" t="s">
        <v>160</v>
      </c>
    </row>
    <row r="356" spans="9:22" x14ac:dyDescent="0.45">
      <c r="I356" t="s">
        <v>188</v>
      </c>
      <c r="J356" t="s">
        <v>224</v>
      </c>
      <c r="K356">
        <v>0</v>
      </c>
      <c r="L356" t="s">
        <v>160</v>
      </c>
      <c r="N356" t="s">
        <v>198</v>
      </c>
      <c r="O356" t="s">
        <v>224</v>
      </c>
      <c r="P356">
        <v>2.355634840479748E-3</v>
      </c>
      <c r="Q356" t="s">
        <v>160</v>
      </c>
      <c r="S356" t="s">
        <v>208</v>
      </c>
      <c r="T356" t="s">
        <v>224</v>
      </c>
      <c r="U356">
        <v>2.355634840479748E-3</v>
      </c>
      <c r="V356" t="s">
        <v>160</v>
      </c>
    </row>
    <row r="357" spans="9:22" x14ac:dyDescent="0.45">
      <c r="I357" t="s">
        <v>188</v>
      </c>
      <c r="J357" t="s">
        <v>225</v>
      </c>
      <c r="K357">
        <v>4.203064159522245E-4</v>
      </c>
      <c r="L357" t="s">
        <v>160</v>
      </c>
      <c r="N357" t="s">
        <v>198</v>
      </c>
      <c r="O357" t="s">
        <v>225</v>
      </c>
      <c r="P357">
        <v>6.9398647691496758E-3</v>
      </c>
      <c r="Q357" t="s">
        <v>160</v>
      </c>
      <c r="S357" t="s">
        <v>208</v>
      </c>
      <c r="T357" t="s">
        <v>225</v>
      </c>
      <c r="U357">
        <v>6.9398647691496758E-3</v>
      </c>
      <c r="V357" t="s">
        <v>160</v>
      </c>
    </row>
    <row r="358" spans="9:22" x14ac:dyDescent="0.45">
      <c r="I358" t="s">
        <v>188</v>
      </c>
      <c r="J358" t="s">
        <v>226</v>
      </c>
      <c r="K358">
        <v>6.3586867272667179E-3</v>
      </c>
      <c r="L358" t="s">
        <v>160</v>
      </c>
      <c r="N358" t="s">
        <v>198</v>
      </c>
      <c r="O358" t="s">
        <v>226</v>
      </c>
      <c r="P358">
        <v>1.4232730327208103E-2</v>
      </c>
      <c r="Q358" t="s">
        <v>160</v>
      </c>
      <c r="S358" t="s">
        <v>208</v>
      </c>
      <c r="T358" t="s">
        <v>226</v>
      </c>
      <c r="U358">
        <v>1.4232730327208103E-2</v>
      </c>
      <c r="V358" t="s">
        <v>160</v>
      </c>
    </row>
    <row r="359" spans="9:22" x14ac:dyDescent="0.45">
      <c r="I359" t="s">
        <v>188</v>
      </c>
      <c r="J359" t="s">
        <v>239</v>
      </c>
      <c r="K359">
        <v>0</v>
      </c>
      <c r="L359" t="s">
        <v>160</v>
      </c>
      <c r="N359" t="s">
        <v>198</v>
      </c>
      <c r="O359" t="s">
        <v>239</v>
      </c>
      <c r="P359">
        <v>1.2570733243986682E-2</v>
      </c>
      <c r="Q359" t="s">
        <v>160</v>
      </c>
      <c r="S359" t="s">
        <v>208</v>
      </c>
      <c r="T359" t="s">
        <v>239</v>
      </c>
      <c r="U359">
        <v>1.2570733243986682E-2</v>
      </c>
      <c r="V359" t="s">
        <v>160</v>
      </c>
    </row>
    <row r="360" spans="9:22" x14ac:dyDescent="0.45">
      <c r="I360" t="s">
        <v>188</v>
      </c>
      <c r="J360" t="s">
        <v>240</v>
      </c>
      <c r="K360">
        <v>0</v>
      </c>
      <c r="L360" t="s">
        <v>160</v>
      </c>
      <c r="N360" t="s">
        <v>198</v>
      </c>
      <c r="O360" t="s">
        <v>240</v>
      </c>
      <c r="P360">
        <v>2.1980906448304032E-3</v>
      </c>
      <c r="Q360" t="s">
        <v>160</v>
      </c>
      <c r="S360" t="s">
        <v>208</v>
      </c>
      <c r="T360" t="s">
        <v>240</v>
      </c>
      <c r="U360">
        <v>2.1980906448304032E-3</v>
      </c>
      <c r="V360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A293-B101-485A-B005-7EE280E0634C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157</v>
      </c>
      <c r="L10" t="s">
        <v>30</v>
      </c>
      <c r="N10" t="s">
        <v>13</v>
      </c>
      <c r="O10" t="s">
        <v>115</v>
      </c>
      <c r="P10" t="s">
        <v>157</v>
      </c>
      <c r="Q10" t="s">
        <v>30</v>
      </c>
      <c r="S10" t="s">
        <v>13</v>
      </c>
      <c r="T10" t="s">
        <v>115</v>
      </c>
      <c r="U10" t="s">
        <v>157</v>
      </c>
      <c r="V10" t="s">
        <v>30</v>
      </c>
      <c r="X10" t="s">
        <v>209</v>
      </c>
      <c r="Y10" t="s">
        <v>157</v>
      </c>
      <c r="Z10" t="s">
        <v>115</v>
      </c>
      <c r="AA10" t="s">
        <v>13</v>
      </c>
      <c r="AC10" t="s">
        <v>13</v>
      </c>
      <c r="AD10" t="s">
        <v>115</v>
      </c>
      <c r="AE10" t="s">
        <v>157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45">
      <c r="A11" t="str">
        <f>IFERROR(IF(Veda!D5=A10,"ok","x"),"")</f>
        <v>ok</v>
      </c>
      <c r="C11" t="s">
        <v>243</v>
      </c>
      <c r="D11" t="s">
        <v>146</v>
      </c>
      <c r="E11" t="s">
        <v>244</v>
      </c>
      <c r="F11" t="s">
        <v>243</v>
      </c>
      <c r="G11" t="s">
        <v>146</v>
      </c>
      <c r="I11" t="s">
        <v>158</v>
      </c>
      <c r="J11" t="s">
        <v>245</v>
      </c>
      <c r="K11">
        <v>1.000000000000002</v>
      </c>
      <c r="L11" t="s">
        <v>160</v>
      </c>
      <c r="N11" t="s">
        <v>189</v>
      </c>
      <c r="O11" t="s">
        <v>245</v>
      </c>
      <c r="P11">
        <v>1</v>
      </c>
      <c r="Q11" t="s">
        <v>160</v>
      </c>
      <c r="S11" t="s">
        <v>199</v>
      </c>
      <c r="T11" t="s">
        <v>245</v>
      </c>
      <c r="U11">
        <v>1</v>
      </c>
      <c r="V11" t="s">
        <v>160</v>
      </c>
      <c r="X11">
        <v>1</v>
      </c>
      <c r="Y11">
        <v>1.0000000000000002</v>
      </c>
      <c r="Z11" t="s">
        <v>245</v>
      </c>
      <c r="AA11" t="s">
        <v>25</v>
      </c>
      <c r="AC11" t="s">
        <v>22</v>
      </c>
      <c r="AD11" t="s">
        <v>245</v>
      </c>
      <c r="AE11">
        <v>1</v>
      </c>
      <c r="AG11" t="s">
        <v>96</v>
      </c>
      <c r="AH11" t="s">
        <v>245</v>
      </c>
      <c r="AI11">
        <v>0.25308128847033107</v>
      </c>
      <c r="AK11">
        <v>2020</v>
      </c>
      <c r="AL11" t="s">
        <v>243</v>
      </c>
      <c r="AM11">
        <v>0.3187416666666667</v>
      </c>
      <c r="AN11" t="s">
        <v>218</v>
      </c>
    </row>
    <row r="12" spans="1:40" x14ac:dyDescent="0.45">
      <c r="I12" t="s">
        <v>180</v>
      </c>
      <c r="J12" t="s">
        <v>245</v>
      </c>
      <c r="K12">
        <v>0.99999999999999989</v>
      </c>
      <c r="L12" t="s">
        <v>160</v>
      </c>
      <c r="N12" t="s">
        <v>190</v>
      </c>
      <c r="O12" t="s">
        <v>245</v>
      </c>
      <c r="P12">
        <v>1.0000000000000056</v>
      </c>
      <c r="Q12" t="s">
        <v>160</v>
      </c>
      <c r="S12" t="s">
        <v>200</v>
      </c>
      <c r="T12" t="s">
        <v>245</v>
      </c>
      <c r="U12">
        <v>1.0000000000000056</v>
      </c>
      <c r="V12" t="s">
        <v>160</v>
      </c>
      <c r="AC12" t="s">
        <v>19</v>
      </c>
      <c r="AD12" t="s">
        <v>245</v>
      </c>
      <c r="AE12">
        <v>1</v>
      </c>
      <c r="AK12">
        <v>2021</v>
      </c>
      <c r="AL12" t="s">
        <v>243</v>
      </c>
      <c r="AM12">
        <v>0.29658333333333337</v>
      </c>
      <c r="AN12" t="s">
        <v>218</v>
      </c>
    </row>
    <row r="13" spans="1:40" x14ac:dyDescent="0.45">
      <c r="I13" t="s">
        <v>181</v>
      </c>
      <c r="J13" t="s">
        <v>245</v>
      </c>
      <c r="K13">
        <v>1.0000000000000022</v>
      </c>
      <c r="L13" t="s">
        <v>160</v>
      </c>
      <c r="N13" t="s">
        <v>191</v>
      </c>
      <c r="O13" t="s">
        <v>245</v>
      </c>
      <c r="P13">
        <v>1.0000000000000022</v>
      </c>
      <c r="Q13" t="s">
        <v>160</v>
      </c>
      <c r="S13" t="s">
        <v>201</v>
      </c>
      <c r="T13" t="s">
        <v>245</v>
      </c>
      <c r="U13">
        <v>1.0000000000000022</v>
      </c>
      <c r="V13" t="s">
        <v>160</v>
      </c>
      <c r="AK13">
        <v>2022</v>
      </c>
      <c r="AL13" t="s">
        <v>243</v>
      </c>
      <c r="AM13">
        <v>0.25730833333333331</v>
      </c>
      <c r="AN13" t="s">
        <v>218</v>
      </c>
    </row>
    <row r="14" spans="1:40" x14ac:dyDescent="0.45">
      <c r="I14" t="s">
        <v>182</v>
      </c>
      <c r="J14" t="s">
        <v>245</v>
      </c>
      <c r="K14">
        <v>0.999999999999997</v>
      </c>
      <c r="L14" t="s">
        <v>160</v>
      </c>
      <c r="N14" t="s">
        <v>192</v>
      </c>
      <c r="O14" t="s">
        <v>245</v>
      </c>
      <c r="P14">
        <v>0.99999999999999933</v>
      </c>
      <c r="Q14" t="s">
        <v>160</v>
      </c>
      <c r="S14" t="s">
        <v>202</v>
      </c>
      <c r="T14" t="s">
        <v>245</v>
      </c>
      <c r="U14">
        <v>0.99999999999999933</v>
      </c>
      <c r="V14" t="s">
        <v>160</v>
      </c>
      <c r="AK14">
        <v>2025</v>
      </c>
      <c r="AL14" t="s">
        <v>243</v>
      </c>
      <c r="AM14">
        <v>0.31329999999999997</v>
      </c>
      <c r="AN14" t="s">
        <v>218</v>
      </c>
    </row>
    <row r="15" spans="1:40" x14ac:dyDescent="0.45">
      <c r="I15" t="s">
        <v>183</v>
      </c>
      <c r="J15" t="s">
        <v>245</v>
      </c>
      <c r="K15">
        <v>0.99999999999999956</v>
      </c>
      <c r="L15" t="s">
        <v>160</v>
      </c>
      <c r="N15" t="s">
        <v>193</v>
      </c>
      <c r="O15" t="s">
        <v>245</v>
      </c>
      <c r="P15">
        <v>1.0000000000000004</v>
      </c>
      <c r="Q15" t="s">
        <v>160</v>
      </c>
      <c r="S15" t="s">
        <v>203</v>
      </c>
      <c r="T15" t="s">
        <v>245</v>
      </c>
      <c r="U15">
        <v>1.0000000000000004</v>
      </c>
      <c r="V15" t="s">
        <v>160</v>
      </c>
      <c r="AK15">
        <v>2026</v>
      </c>
      <c r="AL15" t="s">
        <v>243</v>
      </c>
      <c r="AM15">
        <v>0.31809999999999999</v>
      </c>
      <c r="AN15" t="s">
        <v>218</v>
      </c>
    </row>
    <row r="16" spans="1:40" x14ac:dyDescent="0.45">
      <c r="I16" t="s">
        <v>184</v>
      </c>
      <c r="J16" t="s">
        <v>245</v>
      </c>
      <c r="K16">
        <v>1.0000000000000002</v>
      </c>
      <c r="L16" t="s">
        <v>160</v>
      </c>
      <c r="N16" t="s">
        <v>194</v>
      </c>
      <c r="O16" t="s">
        <v>245</v>
      </c>
      <c r="P16">
        <v>0.999999999999997</v>
      </c>
      <c r="Q16" t="s">
        <v>160</v>
      </c>
      <c r="S16" t="s">
        <v>204</v>
      </c>
      <c r="T16" t="s">
        <v>245</v>
      </c>
      <c r="U16">
        <v>0.999999999999997</v>
      </c>
      <c r="V16" t="s">
        <v>160</v>
      </c>
      <c r="AK16">
        <v>2027</v>
      </c>
      <c r="AL16" t="s">
        <v>243</v>
      </c>
      <c r="AM16">
        <v>0.29998333333333332</v>
      </c>
      <c r="AN16" t="s">
        <v>218</v>
      </c>
    </row>
    <row r="17" spans="9:40" x14ac:dyDescent="0.45">
      <c r="I17" t="s">
        <v>185</v>
      </c>
      <c r="J17" t="s">
        <v>245</v>
      </c>
      <c r="K17">
        <v>1.0000000000000013</v>
      </c>
      <c r="L17" t="s">
        <v>160</v>
      </c>
      <c r="N17" t="s">
        <v>195</v>
      </c>
      <c r="O17" t="s">
        <v>245</v>
      </c>
      <c r="P17">
        <v>1.0000000000000002</v>
      </c>
      <c r="Q17" t="s">
        <v>160</v>
      </c>
      <c r="S17" t="s">
        <v>205</v>
      </c>
      <c r="T17" t="s">
        <v>245</v>
      </c>
      <c r="U17">
        <v>1.0000000000000002</v>
      </c>
      <c r="V17" t="s">
        <v>160</v>
      </c>
      <c r="AK17">
        <v>2028</v>
      </c>
      <c r="AL17" t="s">
        <v>243</v>
      </c>
      <c r="AM17">
        <v>0.33596666666666669</v>
      </c>
      <c r="AN17" t="s">
        <v>218</v>
      </c>
    </row>
    <row r="18" spans="9:40" x14ac:dyDescent="0.45">
      <c r="I18" t="s">
        <v>186</v>
      </c>
      <c r="J18" t="s">
        <v>245</v>
      </c>
      <c r="K18">
        <v>0.99999999999999933</v>
      </c>
      <c r="L18" t="s">
        <v>160</v>
      </c>
      <c r="N18" t="s">
        <v>196</v>
      </c>
      <c r="O18" t="s">
        <v>245</v>
      </c>
      <c r="P18">
        <v>0.99999999999999845</v>
      </c>
      <c r="Q18" t="s">
        <v>160</v>
      </c>
      <c r="S18" t="s">
        <v>206</v>
      </c>
      <c r="T18" t="s">
        <v>245</v>
      </c>
      <c r="U18">
        <v>0.99999999999999845</v>
      </c>
      <c r="V18" t="s">
        <v>160</v>
      </c>
      <c r="AK18">
        <v>2029</v>
      </c>
      <c r="AL18" t="s">
        <v>243</v>
      </c>
      <c r="AM18">
        <v>0.36610833333333331</v>
      </c>
      <c r="AN18" t="s">
        <v>218</v>
      </c>
    </row>
    <row r="19" spans="9:40" x14ac:dyDescent="0.45">
      <c r="I19" t="s">
        <v>187</v>
      </c>
      <c r="J19" t="s">
        <v>245</v>
      </c>
      <c r="K19">
        <v>0.99999999999999845</v>
      </c>
      <c r="L19" t="s">
        <v>160</v>
      </c>
      <c r="N19" t="s">
        <v>197</v>
      </c>
      <c r="O19" t="s">
        <v>245</v>
      </c>
      <c r="P19">
        <v>1.0000000000000009</v>
      </c>
      <c r="Q19" t="s">
        <v>160</v>
      </c>
      <c r="S19" t="s">
        <v>207</v>
      </c>
      <c r="T19" t="s">
        <v>245</v>
      </c>
      <c r="U19">
        <v>1.0000000000000009</v>
      </c>
      <c r="V19" t="s">
        <v>160</v>
      </c>
      <c r="AK19">
        <v>2030</v>
      </c>
      <c r="AL19" t="s">
        <v>243</v>
      </c>
      <c r="AM19">
        <v>0.28152500000000003</v>
      </c>
      <c r="AN19" t="s">
        <v>218</v>
      </c>
    </row>
    <row r="20" spans="9:40" x14ac:dyDescent="0.45">
      <c r="I20" t="s">
        <v>188</v>
      </c>
      <c r="J20" t="s">
        <v>245</v>
      </c>
      <c r="K20">
        <v>1.0000000000000011</v>
      </c>
      <c r="L20" t="s">
        <v>160</v>
      </c>
      <c r="N20" t="s">
        <v>198</v>
      </c>
      <c r="O20" t="s">
        <v>245</v>
      </c>
      <c r="P20">
        <v>0.99999999999999734</v>
      </c>
      <c r="Q20" t="s">
        <v>160</v>
      </c>
      <c r="S20" t="s">
        <v>208</v>
      </c>
      <c r="T20" t="s">
        <v>245</v>
      </c>
      <c r="U20">
        <v>0.99999999999999734</v>
      </c>
      <c r="V20" t="s">
        <v>160</v>
      </c>
      <c r="AK20">
        <v>2031</v>
      </c>
      <c r="AL20" t="s">
        <v>243</v>
      </c>
      <c r="AM20">
        <v>0.26619999999999999</v>
      </c>
      <c r="AN20" t="s">
        <v>218</v>
      </c>
    </row>
    <row r="21" spans="9:40" x14ac:dyDescent="0.45">
      <c r="AK21">
        <v>2032</v>
      </c>
      <c r="AL21" t="s">
        <v>243</v>
      </c>
      <c r="AM21">
        <v>0.32881666666666659</v>
      </c>
      <c r="AN21" t="s">
        <v>218</v>
      </c>
    </row>
    <row r="22" spans="9:40" x14ac:dyDescent="0.45">
      <c r="AK22">
        <v>2033</v>
      </c>
      <c r="AL22" t="s">
        <v>243</v>
      </c>
      <c r="AM22">
        <v>0.28433333333333333</v>
      </c>
      <c r="AN22" t="s">
        <v>218</v>
      </c>
    </row>
    <row r="23" spans="9:40" x14ac:dyDescent="0.45">
      <c r="AK23">
        <v>2034</v>
      </c>
      <c r="AL23" t="s">
        <v>243</v>
      </c>
      <c r="AM23">
        <v>0.32951666666666668</v>
      </c>
      <c r="AN23" t="s">
        <v>218</v>
      </c>
    </row>
    <row r="24" spans="9:40" x14ac:dyDescent="0.45">
      <c r="AK24">
        <v>2035</v>
      </c>
      <c r="AL24" t="s">
        <v>243</v>
      </c>
      <c r="AM24">
        <v>0.31416666666666665</v>
      </c>
      <c r="AN24" t="s">
        <v>218</v>
      </c>
    </row>
    <row r="25" spans="9:40" x14ac:dyDescent="0.45">
      <c r="AK25">
        <v>2036</v>
      </c>
      <c r="AL25" t="s">
        <v>243</v>
      </c>
      <c r="AM25">
        <v>0.30009999999999998</v>
      </c>
      <c r="AN25" t="s">
        <v>218</v>
      </c>
    </row>
    <row r="26" spans="9:40" x14ac:dyDescent="0.45">
      <c r="AK26">
        <v>2037</v>
      </c>
      <c r="AL26" t="s">
        <v>243</v>
      </c>
      <c r="AM26">
        <v>0.30521666666666669</v>
      </c>
      <c r="AN26" t="s">
        <v>218</v>
      </c>
    </row>
    <row r="27" spans="9:40" x14ac:dyDescent="0.45">
      <c r="AK27">
        <v>2038</v>
      </c>
      <c r="AL27" t="s">
        <v>243</v>
      </c>
      <c r="AM27">
        <v>0.31427500000000003</v>
      </c>
      <c r="AN27" t="s">
        <v>218</v>
      </c>
    </row>
    <row r="28" spans="9:40" x14ac:dyDescent="0.45">
      <c r="AK28">
        <v>2039</v>
      </c>
      <c r="AL28" t="s">
        <v>243</v>
      </c>
      <c r="AM28">
        <v>0.30077500000000001</v>
      </c>
      <c r="AN28" t="s">
        <v>218</v>
      </c>
    </row>
    <row r="29" spans="9:40" x14ac:dyDescent="0.45">
      <c r="AK29">
        <v>2040</v>
      </c>
      <c r="AL29" t="s">
        <v>243</v>
      </c>
      <c r="AM29">
        <v>0.29268333333333335</v>
      </c>
      <c r="AN29" t="s">
        <v>218</v>
      </c>
    </row>
    <row r="30" spans="9:40" x14ac:dyDescent="0.45">
      <c r="AK30">
        <v>2041</v>
      </c>
      <c r="AL30" t="s">
        <v>243</v>
      </c>
      <c r="AM30">
        <v>0.30659999999999998</v>
      </c>
      <c r="AN30" t="s">
        <v>218</v>
      </c>
    </row>
    <row r="31" spans="9:40" x14ac:dyDescent="0.45">
      <c r="AK31">
        <v>2042</v>
      </c>
      <c r="AL31" t="s">
        <v>243</v>
      </c>
      <c r="AM31">
        <v>0.32305833333333339</v>
      </c>
      <c r="AN31" t="s">
        <v>218</v>
      </c>
    </row>
    <row r="32" spans="9:40" x14ac:dyDescent="0.45">
      <c r="AK32">
        <v>2043</v>
      </c>
      <c r="AL32" t="s">
        <v>243</v>
      </c>
      <c r="AM32">
        <v>0.30881666666666668</v>
      </c>
      <c r="AN32" t="s">
        <v>218</v>
      </c>
    </row>
    <row r="33" spans="37:40" x14ac:dyDescent="0.45">
      <c r="AK33">
        <v>2044</v>
      </c>
      <c r="AL33" t="s">
        <v>243</v>
      </c>
      <c r="AM33">
        <v>0.31766666666666665</v>
      </c>
      <c r="AN33" t="s">
        <v>218</v>
      </c>
    </row>
    <row r="34" spans="37:40" x14ac:dyDescent="0.45">
      <c r="AK34">
        <v>2045</v>
      </c>
      <c r="AL34" t="s">
        <v>243</v>
      </c>
      <c r="AM34">
        <v>0.31210833333333338</v>
      </c>
      <c r="AN34" t="s">
        <v>218</v>
      </c>
    </row>
    <row r="35" spans="37:40" x14ac:dyDescent="0.45">
      <c r="AK35">
        <v>2046</v>
      </c>
      <c r="AL35" t="s">
        <v>243</v>
      </c>
      <c r="AM35">
        <v>0.29810833333333336</v>
      </c>
      <c r="AN35" t="s">
        <v>218</v>
      </c>
    </row>
    <row r="36" spans="37:40" x14ac:dyDescent="0.45">
      <c r="AK36">
        <v>2047</v>
      </c>
      <c r="AL36" t="s">
        <v>243</v>
      </c>
      <c r="AM36">
        <v>0.3112166666666667</v>
      </c>
      <c r="AN36" t="s">
        <v>218</v>
      </c>
    </row>
    <row r="37" spans="37:40" x14ac:dyDescent="0.45">
      <c r="AK37">
        <v>2048</v>
      </c>
      <c r="AL37" t="s">
        <v>243</v>
      </c>
      <c r="AM37">
        <v>0.29210000000000003</v>
      </c>
      <c r="AN37" t="s">
        <v>218</v>
      </c>
    </row>
    <row r="38" spans="37:40" x14ac:dyDescent="0.45">
      <c r="AK38">
        <v>2049</v>
      </c>
      <c r="AL38" t="s">
        <v>243</v>
      </c>
      <c r="AM38">
        <v>0.30059166666666665</v>
      </c>
      <c r="AN38" t="s">
        <v>218</v>
      </c>
    </row>
    <row r="39" spans="37:40" x14ac:dyDescent="0.45">
      <c r="AK39">
        <v>2050</v>
      </c>
      <c r="AL39" t="s">
        <v>243</v>
      </c>
      <c r="AM39">
        <v>0.26502500000000001</v>
      </c>
      <c r="AN39" t="s">
        <v>218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FEFF-1743-419A-8ED5-C11CF1C37F0F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115</v>
      </c>
      <c r="K10" t="s">
        <v>157</v>
      </c>
      <c r="L10" t="s">
        <v>30</v>
      </c>
      <c r="N10" t="s">
        <v>13</v>
      </c>
      <c r="O10" t="s">
        <v>115</v>
      </c>
      <c r="P10" t="s">
        <v>157</v>
      </c>
      <c r="Q10" t="s">
        <v>30</v>
      </c>
      <c r="S10" t="s">
        <v>13</v>
      </c>
      <c r="T10" t="s">
        <v>115</v>
      </c>
      <c r="U10" t="s">
        <v>157</v>
      </c>
      <c r="V10" t="s">
        <v>30</v>
      </c>
      <c r="X10" t="s">
        <v>209</v>
      </c>
      <c r="Y10" t="s">
        <v>157</v>
      </c>
      <c r="Z10" t="s">
        <v>115</v>
      </c>
      <c r="AA10" t="s">
        <v>13</v>
      </c>
      <c r="AC10" t="s">
        <v>13</v>
      </c>
      <c r="AD10" t="s">
        <v>115</v>
      </c>
      <c r="AE10" t="s">
        <v>157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45">
      <c r="A11" t="str">
        <f>IFERROR(IF(Veda!D5=A10,"ok","x"),"")</f>
        <v>x</v>
      </c>
      <c r="C11" t="s">
        <v>246</v>
      </c>
      <c r="D11" t="s">
        <v>146</v>
      </c>
      <c r="E11" t="s">
        <v>211</v>
      </c>
      <c r="F11" t="s">
        <v>247</v>
      </c>
      <c r="G11" t="s">
        <v>146</v>
      </c>
      <c r="I11" t="s">
        <v>158</v>
      </c>
      <c r="J11" t="s">
        <v>252</v>
      </c>
      <c r="K11">
        <v>0.17944475377735306</v>
      </c>
      <c r="L11" t="s">
        <v>160</v>
      </c>
      <c r="N11" t="s">
        <v>189</v>
      </c>
      <c r="O11" t="s">
        <v>252</v>
      </c>
      <c r="P11">
        <v>0.11030562159434794</v>
      </c>
      <c r="Q11" t="s">
        <v>160</v>
      </c>
      <c r="S11" t="s">
        <v>199</v>
      </c>
      <c r="T11" t="s">
        <v>252</v>
      </c>
      <c r="U11">
        <v>0.11030562159434794</v>
      </c>
      <c r="V11" t="s">
        <v>160</v>
      </c>
      <c r="X11">
        <v>0.11426940639269406</v>
      </c>
      <c r="Y11">
        <v>0.16087081189037786</v>
      </c>
      <c r="Z11" t="s">
        <v>252</v>
      </c>
      <c r="AA11" t="s">
        <v>25</v>
      </c>
      <c r="AC11" t="s">
        <v>22</v>
      </c>
      <c r="AD11" t="s">
        <v>252</v>
      </c>
      <c r="AE11">
        <v>0.12266953670803631</v>
      </c>
      <c r="AG11" t="s">
        <v>96</v>
      </c>
      <c r="AH11" t="s">
        <v>252</v>
      </c>
      <c r="AI11">
        <v>0.18814414887274467</v>
      </c>
      <c r="AK11">
        <v>2020</v>
      </c>
      <c r="AL11" t="s">
        <v>246</v>
      </c>
      <c r="AM11">
        <v>0.3347</v>
      </c>
      <c r="AN11" t="s">
        <v>218</v>
      </c>
    </row>
    <row r="12" spans="1:40" x14ac:dyDescent="0.45">
      <c r="C12" t="s">
        <v>248</v>
      </c>
      <c r="E12" t="s">
        <v>213</v>
      </c>
      <c r="G12" t="s">
        <v>146</v>
      </c>
      <c r="I12" t="s">
        <v>158</v>
      </c>
      <c r="J12" t="s">
        <v>253</v>
      </c>
      <c r="K12">
        <v>0</v>
      </c>
      <c r="L12" t="s">
        <v>160</v>
      </c>
      <c r="N12" t="s">
        <v>189</v>
      </c>
      <c r="O12" t="s">
        <v>253</v>
      </c>
      <c r="P12">
        <v>0.1094940349223751</v>
      </c>
      <c r="Q12" t="s">
        <v>160</v>
      </c>
      <c r="S12" t="s">
        <v>199</v>
      </c>
      <c r="T12" t="s">
        <v>253</v>
      </c>
      <c r="U12">
        <v>0.1094940349223751</v>
      </c>
      <c r="V12" t="s">
        <v>160</v>
      </c>
      <c r="X12">
        <v>0.11426940639269406</v>
      </c>
      <c r="Y12">
        <v>5.2547713165767528E-2</v>
      </c>
      <c r="Z12" t="s">
        <v>253</v>
      </c>
      <c r="AA12" t="s">
        <v>25</v>
      </c>
      <c r="AC12" t="s">
        <v>22</v>
      </c>
      <c r="AD12" t="s">
        <v>253</v>
      </c>
      <c r="AE12">
        <v>9.8083365832514244E-2</v>
      </c>
      <c r="AG12" t="s">
        <v>96</v>
      </c>
      <c r="AH12" t="s">
        <v>253</v>
      </c>
      <c r="AI12">
        <v>0.38427777807706009</v>
      </c>
      <c r="AK12">
        <v>2020</v>
      </c>
      <c r="AL12" t="s">
        <v>248</v>
      </c>
      <c r="AM12">
        <v>0.2891333333333333</v>
      </c>
      <c r="AN12" t="s">
        <v>218</v>
      </c>
    </row>
    <row r="13" spans="1:40" x14ac:dyDescent="0.45">
      <c r="C13" t="s">
        <v>249</v>
      </c>
      <c r="E13" t="s">
        <v>250</v>
      </c>
      <c r="G13" t="s">
        <v>146</v>
      </c>
      <c r="I13" t="s">
        <v>158</v>
      </c>
      <c r="J13" t="s">
        <v>254</v>
      </c>
      <c r="K13">
        <v>7.5160213393578191E-3</v>
      </c>
      <c r="L13" t="s">
        <v>160</v>
      </c>
      <c r="N13" t="s">
        <v>189</v>
      </c>
      <c r="O13" t="s">
        <v>254</v>
      </c>
      <c r="P13">
        <v>2.5128984531260005E-2</v>
      </c>
      <c r="Q13" t="s">
        <v>160</v>
      </c>
      <c r="S13" t="s">
        <v>199</v>
      </c>
      <c r="T13" t="s">
        <v>254</v>
      </c>
      <c r="U13">
        <v>2.5128984531260005E-2</v>
      </c>
      <c r="V13" t="s">
        <v>160</v>
      </c>
      <c r="X13">
        <v>2.0776255707762557E-2</v>
      </c>
      <c r="Y13">
        <v>3.5896543437005365E-2</v>
      </c>
      <c r="Z13" t="s">
        <v>254</v>
      </c>
      <c r="AA13" t="s">
        <v>25</v>
      </c>
      <c r="AC13" t="s">
        <v>22</v>
      </c>
      <c r="AD13" t="s">
        <v>254</v>
      </c>
      <c r="AE13">
        <v>2.3270493623451981E-2</v>
      </c>
      <c r="AG13" t="s">
        <v>96</v>
      </c>
      <c r="AH13" t="s">
        <v>254</v>
      </c>
      <c r="AI13">
        <v>0.15697015489233079</v>
      </c>
      <c r="AK13">
        <v>2020</v>
      </c>
      <c r="AL13" t="s">
        <v>249</v>
      </c>
      <c r="AM13">
        <v>0.34953333333333331</v>
      </c>
      <c r="AN13" t="s">
        <v>218</v>
      </c>
    </row>
    <row r="14" spans="1:40" x14ac:dyDescent="0.45">
      <c r="C14" t="s">
        <v>251</v>
      </c>
      <c r="I14" t="s">
        <v>158</v>
      </c>
      <c r="J14" t="s">
        <v>255</v>
      </c>
      <c r="K14">
        <v>0.27948084865901629</v>
      </c>
      <c r="L14" t="s">
        <v>160</v>
      </c>
      <c r="N14" t="s">
        <v>189</v>
      </c>
      <c r="O14" t="s">
        <v>255</v>
      </c>
      <c r="P14">
        <v>0.13594089903656828</v>
      </c>
      <c r="Q14" t="s">
        <v>160</v>
      </c>
      <c r="S14" t="s">
        <v>199</v>
      </c>
      <c r="T14" t="s">
        <v>255</v>
      </c>
      <c r="U14">
        <v>0.13594089903656828</v>
      </c>
      <c r="V14" t="s">
        <v>160</v>
      </c>
      <c r="X14">
        <v>0.11552511415525114</v>
      </c>
      <c r="Y14">
        <v>0.16263862301005233</v>
      </c>
      <c r="Z14" t="s">
        <v>255</v>
      </c>
      <c r="AA14" t="s">
        <v>25</v>
      </c>
      <c r="AC14" t="s">
        <v>22</v>
      </c>
      <c r="AD14" t="s">
        <v>255</v>
      </c>
      <c r="AE14">
        <v>0.12528374575839515</v>
      </c>
      <c r="AG14" t="s">
        <v>96</v>
      </c>
      <c r="AH14" t="s">
        <v>255</v>
      </c>
      <c r="AI14">
        <v>0.15145053738512071</v>
      </c>
      <c r="AK14">
        <v>2020</v>
      </c>
      <c r="AL14" t="s">
        <v>251</v>
      </c>
      <c r="AM14">
        <v>0.30160000000000003</v>
      </c>
      <c r="AN14" t="s">
        <v>218</v>
      </c>
    </row>
    <row r="15" spans="1:40" x14ac:dyDescent="0.45">
      <c r="I15" t="s">
        <v>158</v>
      </c>
      <c r="J15" t="s">
        <v>256</v>
      </c>
      <c r="K15">
        <v>3.9964559764143291E-3</v>
      </c>
      <c r="L15" t="s">
        <v>160</v>
      </c>
      <c r="N15" t="s">
        <v>189</v>
      </c>
      <c r="O15" t="s">
        <v>256</v>
      </c>
      <c r="P15">
        <v>0.12345707301624423</v>
      </c>
      <c r="Q15" t="s">
        <v>160</v>
      </c>
      <c r="S15" t="s">
        <v>199</v>
      </c>
      <c r="T15" t="s">
        <v>256</v>
      </c>
      <c r="U15">
        <v>0.12345707301624423</v>
      </c>
      <c r="V15" t="s">
        <v>160</v>
      </c>
      <c r="X15">
        <v>0.11552511415525114</v>
      </c>
      <c r="Y15">
        <v>5.3125160563193538E-2</v>
      </c>
      <c r="Z15" t="s">
        <v>256</v>
      </c>
      <c r="AA15" t="s">
        <v>25</v>
      </c>
      <c r="AC15" t="s">
        <v>22</v>
      </c>
      <c r="AD15" t="s">
        <v>256</v>
      </c>
      <c r="AE15">
        <v>9.9999312219680475E-2</v>
      </c>
      <c r="AG15" t="s">
        <v>96</v>
      </c>
      <c r="AH15" t="s">
        <v>256</v>
      </c>
      <c r="AI15">
        <v>0.33937348496067732</v>
      </c>
      <c r="AK15">
        <v>2021</v>
      </c>
      <c r="AL15" t="s">
        <v>246</v>
      </c>
      <c r="AM15">
        <v>0.20933333333333329</v>
      </c>
      <c r="AN15" t="s">
        <v>218</v>
      </c>
    </row>
    <row r="16" spans="1:40" x14ac:dyDescent="0.45">
      <c r="I16" t="s">
        <v>158</v>
      </c>
      <c r="J16" t="s">
        <v>257</v>
      </c>
      <c r="K16">
        <v>2.4730661779845956E-2</v>
      </c>
      <c r="L16" t="s">
        <v>160</v>
      </c>
      <c r="N16" t="s">
        <v>189</v>
      </c>
      <c r="O16" t="s">
        <v>257</v>
      </c>
      <c r="P16">
        <v>2.6715807071980499E-2</v>
      </c>
      <c r="Q16" t="s">
        <v>160</v>
      </c>
      <c r="S16" t="s">
        <v>199</v>
      </c>
      <c r="T16" t="s">
        <v>257</v>
      </c>
      <c r="U16">
        <v>2.6715807071980499E-2</v>
      </c>
      <c r="V16" t="s">
        <v>160</v>
      </c>
      <c r="X16">
        <v>2.1004566210045664E-2</v>
      </c>
      <c r="Y16">
        <v>3.6291010947302131E-2</v>
      </c>
      <c r="Z16" t="s">
        <v>257</v>
      </c>
      <c r="AA16" t="s">
        <v>25</v>
      </c>
      <c r="AC16" t="s">
        <v>22</v>
      </c>
      <c r="AD16" t="s">
        <v>257</v>
      </c>
      <c r="AE16">
        <v>2.3461431903445545E-2</v>
      </c>
      <c r="AG16" t="s">
        <v>96</v>
      </c>
      <c r="AH16" t="s">
        <v>257</v>
      </c>
      <c r="AI16">
        <v>0.12603141819732078</v>
      </c>
      <c r="AK16">
        <v>2021</v>
      </c>
      <c r="AL16" t="s">
        <v>248</v>
      </c>
      <c r="AM16">
        <v>0.34893333333333337</v>
      </c>
      <c r="AN16" t="s">
        <v>218</v>
      </c>
    </row>
    <row r="17" spans="9:40" x14ac:dyDescent="0.45">
      <c r="I17" t="s">
        <v>158</v>
      </c>
      <c r="J17" t="s">
        <v>258</v>
      </c>
      <c r="K17">
        <v>0.34954342886020512</v>
      </c>
      <c r="L17" t="s">
        <v>160</v>
      </c>
      <c r="N17" t="s">
        <v>189</v>
      </c>
      <c r="O17" t="s">
        <v>258</v>
      </c>
      <c r="P17">
        <v>7.1923437082573219E-2</v>
      </c>
      <c r="Q17" t="s">
        <v>160</v>
      </c>
      <c r="S17" t="s">
        <v>199</v>
      </c>
      <c r="T17" t="s">
        <v>258</v>
      </c>
      <c r="U17">
        <v>7.1923437082573219E-2</v>
      </c>
      <c r="V17" t="s">
        <v>160</v>
      </c>
      <c r="X17">
        <v>0.11552511415525114</v>
      </c>
      <c r="Y17">
        <v>0.16263862301005233</v>
      </c>
      <c r="Z17" t="s">
        <v>258</v>
      </c>
      <c r="AA17" t="s">
        <v>25</v>
      </c>
      <c r="AC17" t="s">
        <v>22</v>
      </c>
      <c r="AD17" t="s">
        <v>258</v>
      </c>
      <c r="AE17">
        <v>0.11577088311985924</v>
      </c>
      <c r="AG17" t="s">
        <v>96</v>
      </c>
      <c r="AH17" t="s">
        <v>258</v>
      </c>
      <c r="AI17">
        <v>0.13424238013186596</v>
      </c>
      <c r="AK17">
        <v>2021</v>
      </c>
      <c r="AL17" t="s">
        <v>249</v>
      </c>
      <c r="AM17">
        <v>0.32433333333333331</v>
      </c>
      <c r="AN17" t="s">
        <v>218</v>
      </c>
    </row>
    <row r="18" spans="9:40" x14ac:dyDescent="0.45">
      <c r="I18" t="s">
        <v>158</v>
      </c>
      <c r="J18" t="s">
        <v>259</v>
      </c>
      <c r="K18">
        <v>1.3329141489379576E-2</v>
      </c>
      <c r="L18" t="s">
        <v>160</v>
      </c>
      <c r="N18" t="s">
        <v>189</v>
      </c>
      <c r="O18" t="s">
        <v>259</v>
      </c>
      <c r="P18">
        <v>7.7009500941299464E-2</v>
      </c>
      <c r="Q18" t="s">
        <v>160</v>
      </c>
      <c r="S18" t="s">
        <v>199</v>
      </c>
      <c r="T18" t="s">
        <v>259</v>
      </c>
      <c r="U18">
        <v>7.7009500941299464E-2</v>
      </c>
      <c r="V18" t="s">
        <v>160</v>
      </c>
      <c r="X18">
        <v>0.11552511415525114</v>
      </c>
      <c r="Y18">
        <v>5.3125160563193538E-2</v>
      </c>
      <c r="Z18" t="s">
        <v>259</v>
      </c>
      <c r="AA18" t="s">
        <v>25</v>
      </c>
      <c r="AC18" t="s">
        <v>22</v>
      </c>
      <c r="AD18" t="s">
        <v>259</v>
      </c>
      <c r="AE18">
        <v>9.3042834842526068E-2</v>
      </c>
      <c r="AG18" t="s">
        <v>96</v>
      </c>
      <c r="AH18" t="s">
        <v>259</v>
      </c>
      <c r="AI18">
        <v>0.25577230130238759</v>
      </c>
      <c r="AK18">
        <v>2021</v>
      </c>
      <c r="AL18" t="s">
        <v>251</v>
      </c>
      <c r="AM18">
        <v>0.30373333333333336</v>
      </c>
      <c r="AN18" t="s">
        <v>218</v>
      </c>
    </row>
    <row r="19" spans="9:40" x14ac:dyDescent="0.45">
      <c r="I19" t="s">
        <v>158</v>
      </c>
      <c r="J19" t="s">
        <v>260</v>
      </c>
      <c r="K19">
        <v>3.8198134754720649E-2</v>
      </c>
      <c r="L19" t="s">
        <v>160</v>
      </c>
      <c r="N19" t="s">
        <v>189</v>
      </c>
      <c r="O19" t="s">
        <v>260</v>
      </c>
      <c r="P19">
        <v>1.7607563276302217E-2</v>
      </c>
      <c r="Q19" t="s">
        <v>160</v>
      </c>
      <c r="S19" t="s">
        <v>199</v>
      </c>
      <c r="T19" t="s">
        <v>260</v>
      </c>
      <c r="U19">
        <v>1.7607563276302217E-2</v>
      </c>
      <c r="V19" t="s">
        <v>160</v>
      </c>
      <c r="X19">
        <v>2.1004566210045664E-2</v>
      </c>
      <c r="Y19">
        <v>3.6291010947302131E-2</v>
      </c>
      <c r="Z19" t="s">
        <v>260</v>
      </c>
      <c r="AA19" t="s">
        <v>25</v>
      </c>
      <c r="AC19" t="s">
        <v>22</v>
      </c>
      <c r="AD19" t="s">
        <v>260</v>
      </c>
      <c r="AE19">
        <v>2.147615780458079E-2</v>
      </c>
      <c r="AG19" t="s">
        <v>96</v>
      </c>
      <c r="AH19" t="s">
        <v>260</v>
      </c>
      <c r="AI19">
        <v>7.7818141754067982E-2</v>
      </c>
      <c r="AK19">
        <v>2022</v>
      </c>
      <c r="AL19" t="s">
        <v>246</v>
      </c>
      <c r="AM19">
        <v>0.21746666666666667</v>
      </c>
      <c r="AN19" t="s">
        <v>218</v>
      </c>
    </row>
    <row r="20" spans="9:40" x14ac:dyDescent="0.45">
      <c r="I20" t="s">
        <v>158</v>
      </c>
      <c r="J20" t="s">
        <v>261</v>
      </c>
      <c r="K20">
        <v>0.10198470305118139</v>
      </c>
      <c r="L20" t="s">
        <v>160</v>
      </c>
      <c r="N20" t="s">
        <v>189</v>
      </c>
      <c r="O20" t="s">
        <v>261</v>
      </c>
      <c r="P20">
        <v>0.13717398487982249</v>
      </c>
      <c r="Q20" t="s">
        <v>160</v>
      </c>
      <c r="S20" t="s">
        <v>199</v>
      </c>
      <c r="T20" t="s">
        <v>261</v>
      </c>
      <c r="U20">
        <v>0.13717398487982249</v>
      </c>
      <c r="V20" t="s">
        <v>160</v>
      </c>
      <c r="X20">
        <v>0.11301369863013698</v>
      </c>
      <c r="Y20">
        <v>0.15910300077070333</v>
      </c>
      <c r="Z20" t="s">
        <v>261</v>
      </c>
      <c r="AA20" t="s">
        <v>25</v>
      </c>
      <c r="AC20" t="s">
        <v>22</v>
      </c>
      <c r="AD20" t="s">
        <v>261</v>
      </c>
      <c r="AE20">
        <v>0.13932651231657195</v>
      </c>
      <c r="AG20" t="s">
        <v>96</v>
      </c>
      <c r="AH20" t="s">
        <v>261</v>
      </c>
      <c r="AI20">
        <v>6.8544049037255528E-2</v>
      </c>
      <c r="AK20">
        <v>2022</v>
      </c>
      <c r="AL20" t="s">
        <v>248</v>
      </c>
      <c r="AM20">
        <v>0.30783333333333335</v>
      </c>
      <c r="AN20" t="s">
        <v>218</v>
      </c>
    </row>
    <row r="21" spans="9:40" x14ac:dyDescent="0.45">
      <c r="I21" t="s">
        <v>158</v>
      </c>
      <c r="J21" t="s">
        <v>262</v>
      </c>
      <c r="K21">
        <v>0</v>
      </c>
      <c r="L21" t="s">
        <v>160</v>
      </c>
      <c r="N21" t="s">
        <v>189</v>
      </c>
      <c r="O21" t="s">
        <v>262</v>
      </c>
      <c r="P21">
        <v>0.13770016039283711</v>
      </c>
      <c r="Q21" t="s">
        <v>160</v>
      </c>
      <c r="S21" t="s">
        <v>199</v>
      </c>
      <c r="T21" t="s">
        <v>262</v>
      </c>
      <c r="U21">
        <v>0.13770016039283711</v>
      </c>
      <c r="V21" t="s">
        <v>160</v>
      </c>
      <c r="X21">
        <v>0.11301369863013698</v>
      </c>
      <c r="Y21">
        <v>5.197026576834151E-2</v>
      </c>
      <c r="Z21" t="s">
        <v>262</v>
      </c>
      <c r="AA21" t="s">
        <v>25</v>
      </c>
      <c r="AC21" t="s">
        <v>22</v>
      </c>
      <c r="AD21" t="s">
        <v>262</v>
      </c>
      <c r="AE21">
        <v>0.11119121564389053</v>
      </c>
      <c r="AG21" t="s">
        <v>96</v>
      </c>
      <c r="AH21" t="s">
        <v>262</v>
      </c>
      <c r="AI21">
        <v>0.25127227097509186</v>
      </c>
      <c r="AK21">
        <v>2022</v>
      </c>
      <c r="AL21" t="s">
        <v>249</v>
      </c>
      <c r="AM21">
        <v>0.19063333333333332</v>
      </c>
      <c r="AN21" t="s">
        <v>218</v>
      </c>
    </row>
    <row r="22" spans="9:40" x14ac:dyDescent="0.45">
      <c r="I22" t="s">
        <v>158</v>
      </c>
      <c r="J22" t="s">
        <v>263</v>
      </c>
      <c r="K22">
        <v>1.7758503125277622E-3</v>
      </c>
      <c r="L22" t="s">
        <v>160</v>
      </c>
      <c r="N22" t="s">
        <v>189</v>
      </c>
      <c r="O22" t="s">
        <v>263</v>
      </c>
      <c r="P22">
        <v>2.7542933254389442E-2</v>
      </c>
      <c r="Q22" t="s">
        <v>160</v>
      </c>
      <c r="S22" t="s">
        <v>199</v>
      </c>
      <c r="T22" t="s">
        <v>263</v>
      </c>
      <c r="U22">
        <v>2.7542933254389442E-2</v>
      </c>
      <c r="V22" t="s">
        <v>160</v>
      </c>
      <c r="X22">
        <v>2.0547945205479451E-2</v>
      </c>
      <c r="Y22">
        <v>3.5502075926708607E-2</v>
      </c>
      <c r="Z22" t="s">
        <v>263</v>
      </c>
      <c r="AA22" t="s">
        <v>25</v>
      </c>
      <c r="AC22" t="s">
        <v>22</v>
      </c>
      <c r="AD22" t="s">
        <v>263</v>
      </c>
      <c r="AE22">
        <v>2.6424510227047723E-2</v>
      </c>
      <c r="AG22" t="s">
        <v>96</v>
      </c>
      <c r="AH22" t="s">
        <v>263</v>
      </c>
      <c r="AI22">
        <v>3.4365602687106866E-2</v>
      </c>
      <c r="AK22">
        <v>2022</v>
      </c>
      <c r="AL22" t="s">
        <v>251</v>
      </c>
      <c r="AM22">
        <v>0.31329999999999997</v>
      </c>
      <c r="AN22" t="s">
        <v>218</v>
      </c>
    </row>
    <row r="23" spans="9:40" x14ac:dyDescent="0.45">
      <c r="I23" t="s">
        <v>180</v>
      </c>
      <c r="J23" t="s">
        <v>252</v>
      </c>
      <c r="K23">
        <v>0.17695313929535497</v>
      </c>
      <c r="L23" t="s">
        <v>160</v>
      </c>
      <c r="N23" t="s">
        <v>190</v>
      </c>
      <c r="O23" t="s">
        <v>252</v>
      </c>
      <c r="P23">
        <v>9.3667789818564814E-2</v>
      </c>
      <c r="Q23" t="s">
        <v>160</v>
      </c>
      <c r="S23" t="s">
        <v>200</v>
      </c>
      <c r="T23" t="s">
        <v>252</v>
      </c>
      <c r="U23">
        <v>9.3667789818564814E-2</v>
      </c>
      <c r="V23" t="s">
        <v>160</v>
      </c>
      <c r="AC23" t="s">
        <v>19</v>
      </c>
      <c r="AD23" t="s">
        <v>252</v>
      </c>
      <c r="AE23">
        <v>0.11499831548124173</v>
      </c>
      <c r="AK23">
        <v>2025</v>
      </c>
      <c r="AL23" t="s">
        <v>246</v>
      </c>
      <c r="AM23">
        <v>0.23886666666666667</v>
      </c>
      <c r="AN23" t="s">
        <v>218</v>
      </c>
    </row>
    <row r="24" spans="9:40" x14ac:dyDescent="0.45">
      <c r="I24" t="s">
        <v>180</v>
      </c>
      <c r="J24" t="s">
        <v>253</v>
      </c>
      <c r="K24">
        <v>0</v>
      </c>
      <c r="L24" t="s">
        <v>160</v>
      </c>
      <c r="N24" t="s">
        <v>190</v>
      </c>
      <c r="O24" t="s">
        <v>253</v>
      </c>
      <c r="P24">
        <v>0.1132657536494493</v>
      </c>
      <c r="Q24" t="s">
        <v>160</v>
      </c>
      <c r="S24" t="s">
        <v>200</v>
      </c>
      <c r="T24" t="s">
        <v>253</v>
      </c>
      <c r="U24">
        <v>0.1132657536494493</v>
      </c>
      <c r="V24" t="s">
        <v>160</v>
      </c>
      <c r="AC24" t="s">
        <v>19</v>
      </c>
      <c r="AD24" t="s">
        <v>253</v>
      </c>
      <c r="AE24">
        <v>0.11330609500223476</v>
      </c>
      <c r="AK24">
        <v>2025</v>
      </c>
      <c r="AL24" t="s">
        <v>248</v>
      </c>
      <c r="AM24">
        <v>0.35460000000000003</v>
      </c>
      <c r="AN24" t="s">
        <v>218</v>
      </c>
    </row>
    <row r="25" spans="9:40" x14ac:dyDescent="0.45">
      <c r="I25" t="s">
        <v>180</v>
      </c>
      <c r="J25" t="s">
        <v>254</v>
      </c>
      <c r="K25">
        <v>7.49808904038308E-3</v>
      </c>
      <c r="L25" t="s">
        <v>160</v>
      </c>
      <c r="N25" t="s">
        <v>190</v>
      </c>
      <c r="O25" t="s">
        <v>254</v>
      </c>
      <c r="P25">
        <v>2.3051163235158389E-2</v>
      </c>
      <c r="Q25" t="s">
        <v>160</v>
      </c>
      <c r="S25" t="s">
        <v>200</v>
      </c>
      <c r="T25" t="s">
        <v>254</v>
      </c>
      <c r="U25">
        <v>2.3051163235158389E-2</v>
      </c>
      <c r="V25" t="s">
        <v>160</v>
      </c>
      <c r="AC25" t="s">
        <v>19</v>
      </c>
      <c r="AD25" t="s">
        <v>254</v>
      </c>
      <c r="AE25">
        <v>2.0975337420194615E-2</v>
      </c>
      <c r="AK25">
        <v>2025</v>
      </c>
      <c r="AL25" t="s">
        <v>249</v>
      </c>
      <c r="AM25">
        <v>0.31673333333333337</v>
      </c>
      <c r="AN25" t="s">
        <v>218</v>
      </c>
    </row>
    <row r="26" spans="9:40" x14ac:dyDescent="0.45">
      <c r="I26" t="s">
        <v>180</v>
      </c>
      <c r="J26" t="s">
        <v>255</v>
      </c>
      <c r="K26">
        <v>0.28544732623345132</v>
      </c>
      <c r="L26" t="s">
        <v>160</v>
      </c>
      <c r="N26" t="s">
        <v>190</v>
      </c>
      <c r="O26" t="s">
        <v>255</v>
      </c>
      <c r="P26">
        <v>0.11924072378420429</v>
      </c>
      <c r="Q26" t="s">
        <v>160</v>
      </c>
      <c r="S26" t="s">
        <v>200</v>
      </c>
      <c r="T26" t="s">
        <v>255</v>
      </c>
      <c r="U26">
        <v>0.11924072378420429</v>
      </c>
      <c r="V26" t="s">
        <v>160</v>
      </c>
      <c r="AC26" t="s">
        <v>19</v>
      </c>
      <c r="AD26" t="s">
        <v>255</v>
      </c>
      <c r="AE26">
        <v>0.11629108319902846</v>
      </c>
      <c r="AK26">
        <v>2025</v>
      </c>
      <c r="AL26" t="s">
        <v>251</v>
      </c>
      <c r="AM26">
        <v>0.34299999999999997</v>
      </c>
      <c r="AN26" t="s">
        <v>218</v>
      </c>
    </row>
    <row r="27" spans="9:40" x14ac:dyDescent="0.45">
      <c r="I27" t="s">
        <v>180</v>
      </c>
      <c r="J27" t="s">
        <v>256</v>
      </c>
      <c r="K27">
        <v>4.1845304479134152E-3</v>
      </c>
      <c r="L27" t="s">
        <v>160</v>
      </c>
      <c r="N27" t="s">
        <v>190</v>
      </c>
      <c r="O27" t="s">
        <v>256</v>
      </c>
      <c r="P27">
        <v>0.144452281283974</v>
      </c>
      <c r="Q27" t="s">
        <v>160</v>
      </c>
      <c r="S27" t="s">
        <v>200</v>
      </c>
      <c r="T27" t="s">
        <v>256</v>
      </c>
      <c r="U27">
        <v>0.144452281283974</v>
      </c>
      <c r="V27" t="s">
        <v>160</v>
      </c>
      <c r="AC27" t="s">
        <v>19</v>
      </c>
      <c r="AD27" t="s">
        <v>256</v>
      </c>
      <c r="AE27">
        <v>0.11455080259775348</v>
      </c>
      <c r="AK27">
        <v>2026</v>
      </c>
      <c r="AL27" t="s">
        <v>246</v>
      </c>
      <c r="AM27">
        <v>0.26976666666666665</v>
      </c>
      <c r="AN27" t="s">
        <v>218</v>
      </c>
    </row>
    <row r="28" spans="9:40" x14ac:dyDescent="0.45">
      <c r="I28" t="s">
        <v>180</v>
      </c>
      <c r="J28" t="s">
        <v>257</v>
      </c>
      <c r="K28">
        <v>2.4445239460306207E-2</v>
      </c>
      <c r="L28" t="s">
        <v>160</v>
      </c>
      <c r="N28" t="s">
        <v>190</v>
      </c>
      <c r="O28" t="s">
        <v>257</v>
      </c>
      <c r="P28">
        <v>2.4876062235942662E-2</v>
      </c>
      <c r="Q28" t="s">
        <v>160</v>
      </c>
      <c r="S28" t="s">
        <v>200</v>
      </c>
      <c r="T28" t="s">
        <v>257</v>
      </c>
      <c r="U28">
        <v>2.4876062235942662E-2</v>
      </c>
      <c r="V28" t="s">
        <v>160</v>
      </c>
      <c r="AC28" t="s">
        <v>19</v>
      </c>
      <c r="AD28" t="s">
        <v>257</v>
      </c>
      <c r="AE28">
        <v>2.1190813268126548E-2</v>
      </c>
      <c r="AK28">
        <v>2026</v>
      </c>
      <c r="AL28" t="s">
        <v>248</v>
      </c>
      <c r="AM28">
        <v>0.38373333333333332</v>
      </c>
      <c r="AN28" t="s">
        <v>218</v>
      </c>
    </row>
    <row r="29" spans="9:40" x14ac:dyDescent="0.45">
      <c r="I29" t="s">
        <v>180</v>
      </c>
      <c r="J29" t="s">
        <v>258</v>
      </c>
      <c r="K29">
        <v>0.34492784025347056</v>
      </c>
      <c r="L29" t="s">
        <v>160</v>
      </c>
      <c r="N29" t="s">
        <v>190</v>
      </c>
      <c r="O29" t="s">
        <v>258</v>
      </c>
      <c r="P29">
        <v>6.8352374958815673E-2</v>
      </c>
      <c r="Q29" t="s">
        <v>160</v>
      </c>
      <c r="S29" t="s">
        <v>200</v>
      </c>
      <c r="T29" t="s">
        <v>258</v>
      </c>
      <c r="U29">
        <v>6.8352374958815673E-2</v>
      </c>
      <c r="V29" t="s">
        <v>160</v>
      </c>
      <c r="AC29" t="s">
        <v>19</v>
      </c>
      <c r="AD29" t="s">
        <v>258</v>
      </c>
      <c r="AE29">
        <v>0.11616204660160011</v>
      </c>
      <c r="AK29">
        <v>2026</v>
      </c>
      <c r="AL29" t="s">
        <v>249</v>
      </c>
      <c r="AM29">
        <v>0.27423333333333333</v>
      </c>
      <c r="AN29" t="s">
        <v>218</v>
      </c>
    </row>
    <row r="30" spans="9:40" x14ac:dyDescent="0.45">
      <c r="I30" t="s">
        <v>180</v>
      </c>
      <c r="J30" t="s">
        <v>259</v>
      </c>
      <c r="K30">
        <v>1.3769171847376518E-2</v>
      </c>
      <c r="L30" t="s">
        <v>160</v>
      </c>
      <c r="N30" t="s">
        <v>190</v>
      </c>
      <c r="O30" t="s">
        <v>259</v>
      </c>
      <c r="P30">
        <v>0.11138516171253281</v>
      </c>
      <c r="Q30" t="s">
        <v>160</v>
      </c>
      <c r="S30" t="s">
        <v>200</v>
      </c>
      <c r="T30" t="s">
        <v>259</v>
      </c>
      <c r="U30">
        <v>0.11138516171253281</v>
      </c>
      <c r="V30" t="s">
        <v>160</v>
      </c>
      <c r="AC30" t="s">
        <v>19</v>
      </c>
      <c r="AD30" t="s">
        <v>259</v>
      </c>
      <c r="AE30">
        <v>0.11459771725005177</v>
      </c>
      <c r="AK30">
        <v>2026</v>
      </c>
      <c r="AL30" t="s">
        <v>251</v>
      </c>
      <c r="AM30">
        <v>0.34466666666666662</v>
      </c>
      <c r="AN30" t="s">
        <v>218</v>
      </c>
    </row>
    <row r="31" spans="9:40" x14ac:dyDescent="0.45">
      <c r="I31" t="s">
        <v>180</v>
      </c>
      <c r="J31" t="s">
        <v>260</v>
      </c>
      <c r="K31">
        <v>3.7974373419949164E-2</v>
      </c>
      <c r="L31" t="s">
        <v>160</v>
      </c>
      <c r="N31" t="s">
        <v>190</v>
      </c>
      <c r="O31" t="s">
        <v>260</v>
      </c>
      <c r="P31">
        <v>1.6985779429401885E-2</v>
      </c>
      <c r="Q31" t="s">
        <v>160</v>
      </c>
      <c r="S31" t="s">
        <v>200</v>
      </c>
      <c r="T31" t="s">
        <v>260</v>
      </c>
      <c r="U31">
        <v>1.6985779429401885E-2</v>
      </c>
      <c r="V31" t="s">
        <v>160</v>
      </c>
      <c r="AC31" t="s">
        <v>19</v>
      </c>
      <c r="AD31" t="s">
        <v>260</v>
      </c>
      <c r="AE31">
        <v>2.1149755279088401E-2</v>
      </c>
      <c r="AK31">
        <v>2027</v>
      </c>
      <c r="AL31" t="s">
        <v>246</v>
      </c>
      <c r="AM31">
        <v>0.24926666666666666</v>
      </c>
      <c r="AN31" t="s">
        <v>218</v>
      </c>
    </row>
    <row r="32" spans="9:40" x14ac:dyDescent="0.45">
      <c r="I32" t="s">
        <v>180</v>
      </c>
      <c r="J32" t="s">
        <v>261</v>
      </c>
      <c r="K32">
        <v>0.10344057369565651</v>
      </c>
      <c r="L32" t="s">
        <v>160</v>
      </c>
      <c r="N32" t="s">
        <v>190</v>
      </c>
      <c r="O32" t="s">
        <v>261</v>
      </c>
      <c r="P32">
        <v>0.11815273217457505</v>
      </c>
      <c r="Q32" t="s">
        <v>160</v>
      </c>
      <c r="S32" t="s">
        <v>200</v>
      </c>
      <c r="T32" t="s">
        <v>261</v>
      </c>
      <c r="U32">
        <v>0.11815273217457505</v>
      </c>
      <c r="V32" t="s">
        <v>160</v>
      </c>
      <c r="AC32" t="s">
        <v>19</v>
      </c>
      <c r="AD32" t="s">
        <v>261</v>
      </c>
      <c r="AE32">
        <v>0.11395969982746053</v>
      </c>
      <c r="AK32">
        <v>2027</v>
      </c>
      <c r="AL32" t="s">
        <v>248</v>
      </c>
      <c r="AM32">
        <v>0.3614</v>
      </c>
      <c r="AN32" t="s">
        <v>218</v>
      </c>
    </row>
    <row r="33" spans="9:40" x14ac:dyDescent="0.45">
      <c r="I33" t="s">
        <v>180</v>
      </c>
      <c r="J33" t="s">
        <v>262</v>
      </c>
      <c r="K33">
        <v>0</v>
      </c>
      <c r="L33" t="s">
        <v>160</v>
      </c>
      <c r="N33" t="s">
        <v>190</v>
      </c>
      <c r="O33" t="s">
        <v>262</v>
      </c>
      <c r="P33">
        <v>0.14057816626888761</v>
      </c>
      <c r="Q33" t="s">
        <v>160</v>
      </c>
      <c r="S33" t="s">
        <v>200</v>
      </c>
      <c r="T33" t="s">
        <v>262</v>
      </c>
      <c r="U33">
        <v>0.14057816626888761</v>
      </c>
      <c r="V33" t="s">
        <v>160</v>
      </c>
      <c r="AC33" t="s">
        <v>19</v>
      </c>
      <c r="AD33" t="s">
        <v>262</v>
      </c>
      <c r="AE33">
        <v>0.11202319961140415</v>
      </c>
      <c r="AK33">
        <v>2027</v>
      </c>
      <c r="AL33" t="s">
        <v>249</v>
      </c>
      <c r="AM33">
        <v>0.30236666666666667</v>
      </c>
      <c r="AN33" t="s">
        <v>218</v>
      </c>
    </row>
    <row r="34" spans="9:40" x14ac:dyDescent="0.45">
      <c r="I34" t="s">
        <v>180</v>
      </c>
      <c r="J34" t="s">
        <v>263</v>
      </c>
      <c r="K34">
        <v>1.3597163061380732E-3</v>
      </c>
      <c r="L34" t="s">
        <v>160</v>
      </c>
      <c r="N34" t="s">
        <v>190</v>
      </c>
      <c r="O34" t="s">
        <v>263</v>
      </c>
      <c r="P34">
        <v>2.599201144849906E-2</v>
      </c>
      <c r="Q34" t="s">
        <v>160</v>
      </c>
      <c r="S34" t="s">
        <v>200</v>
      </c>
      <c r="T34" t="s">
        <v>263</v>
      </c>
      <c r="U34">
        <v>2.599201144849906E-2</v>
      </c>
      <c r="V34" t="s">
        <v>160</v>
      </c>
      <c r="AC34" t="s">
        <v>19</v>
      </c>
      <c r="AD34" t="s">
        <v>263</v>
      </c>
      <c r="AE34">
        <v>2.0795134461815495E-2</v>
      </c>
      <c r="AK34">
        <v>2027</v>
      </c>
      <c r="AL34" t="s">
        <v>251</v>
      </c>
      <c r="AM34">
        <v>0.28689999999999999</v>
      </c>
      <c r="AN34" t="s">
        <v>218</v>
      </c>
    </row>
    <row r="35" spans="9:40" x14ac:dyDescent="0.45">
      <c r="I35" t="s">
        <v>181</v>
      </c>
      <c r="J35" t="s">
        <v>252</v>
      </c>
      <c r="K35">
        <v>0.17983684084301194</v>
      </c>
      <c r="L35" t="s">
        <v>160</v>
      </c>
      <c r="N35" t="s">
        <v>191</v>
      </c>
      <c r="O35" t="s">
        <v>252</v>
      </c>
      <c r="P35">
        <v>0.12469403966041043</v>
      </c>
      <c r="Q35" t="s">
        <v>160</v>
      </c>
      <c r="S35" t="s">
        <v>201</v>
      </c>
      <c r="T35" t="s">
        <v>252</v>
      </c>
      <c r="U35">
        <v>0.12469403966041043</v>
      </c>
      <c r="V35" t="s">
        <v>160</v>
      </c>
      <c r="AK35">
        <v>2028</v>
      </c>
      <c r="AL35" t="s">
        <v>246</v>
      </c>
      <c r="AM35">
        <v>0.27966666666666667</v>
      </c>
      <c r="AN35" t="s">
        <v>218</v>
      </c>
    </row>
    <row r="36" spans="9:40" x14ac:dyDescent="0.45">
      <c r="I36" t="s">
        <v>181</v>
      </c>
      <c r="J36" t="s">
        <v>253</v>
      </c>
      <c r="K36">
        <v>0</v>
      </c>
      <c r="L36" t="s">
        <v>160</v>
      </c>
      <c r="N36" t="s">
        <v>191</v>
      </c>
      <c r="O36" t="s">
        <v>253</v>
      </c>
      <c r="P36">
        <v>0.12646145885493673</v>
      </c>
      <c r="Q36" t="s">
        <v>160</v>
      </c>
      <c r="S36" t="s">
        <v>201</v>
      </c>
      <c r="T36" t="s">
        <v>253</v>
      </c>
      <c r="U36">
        <v>0.12646145885493673</v>
      </c>
      <c r="V36" t="s">
        <v>160</v>
      </c>
      <c r="AK36">
        <v>2028</v>
      </c>
      <c r="AL36" t="s">
        <v>248</v>
      </c>
      <c r="AM36">
        <v>0.36466666666666664</v>
      </c>
      <c r="AN36" t="s">
        <v>218</v>
      </c>
    </row>
    <row r="37" spans="9:40" x14ac:dyDescent="0.45">
      <c r="I37" t="s">
        <v>181</v>
      </c>
      <c r="J37" t="s">
        <v>254</v>
      </c>
      <c r="K37">
        <v>7.7290643673221613E-3</v>
      </c>
      <c r="L37" t="s">
        <v>160</v>
      </c>
      <c r="N37" t="s">
        <v>191</v>
      </c>
      <c r="O37" t="s">
        <v>254</v>
      </c>
      <c r="P37">
        <v>2.7677640697848734E-2</v>
      </c>
      <c r="Q37" t="s">
        <v>160</v>
      </c>
      <c r="S37" t="s">
        <v>201</v>
      </c>
      <c r="T37" t="s">
        <v>254</v>
      </c>
      <c r="U37">
        <v>2.7677640697848734E-2</v>
      </c>
      <c r="V37" t="s">
        <v>160</v>
      </c>
      <c r="AK37">
        <v>2028</v>
      </c>
      <c r="AL37" t="s">
        <v>249</v>
      </c>
      <c r="AM37">
        <v>0.33086666666666664</v>
      </c>
      <c r="AN37" t="s">
        <v>218</v>
      </c>
    </row>
    <row r="38" spans="9:40" x14ac:dyDescent="0.45">
      <c r="I38" t="s">
        <v>181</v>
      </c>
      <c r="J38" t="s">
        <v>255</v>
      </c>
      <c r="K38">
        <v>0.28309807144543586</v>
      </c>
      <c r="L38" t="s">
        <v>160</v>
      </c>
      <c r="N38" t="s">
        <v>191</v>
      </c>
      <c r="O38" t="s">
        <v>255</v>
      </c>
      <c r="P38">
        <v>0.11771107729923708</v>
      </c>
      <c r="Q38" t="s">
        <v>160</v>
      </c>
      <c r="S38" t="s">
        <v>201</v>
      </c>
      <c r="T38" t="s">
        <v>255</v>
      </c>
      <c r="U38">
        <v>0.11771107729923708</v>
      </c>
      <c r="V38" t="s">
        <v>160</v>
      </c>
      <c r="AK38">
        <v>2028</v>
      </c>
      <c r="AL38" t="s">
        <v>251</v>
      </c>
      <c r="AM38">
        <v>0.36866666666666664</v>
      </c>
      <c r="AN38" t="s">
        <v>218</v>
      </c>
    </row>
    <row r="39" spans="9:40" x14ac:dyDescent="0.45">
      <c r="I39" t="s">
        <v>181</v>
      </c>
      <c r="J39" t="s">
        <v>256</v>
      </c>
      <c r="K39">
        <v>4.1621126886940696E-3</v>
      </c>
      <c r="L39" t="s">
        <v>160</v>
      </c>
      <c r="N39" t="s">
        <v>191</v>
      </c>
      <c r="O39" t="s">
        <v>256</v>
      </c>
      <c r="P39">
        <v>0.13397818838711148</v>
      </c>
      <c r="Q39" t="s">
        <v>160</v>
      </c>
      <c r="S39" t="s">
        <v>201</v>
      </c>
      <c r="T39" t="s">
        <v>256</v>
      </c>
      <c r="U39">
        <v>0.13397818838711148</v>
      </c>
      <c r="V39" t="s">
        <v>160</v>
      </c>
      <c r="AK39">
        <v>2029</v>
      </c>
      <c r="AL39" t="s">
        <v>246</v>
      </c>
      <c r="AM39">
        <v>0.27706666666666663</v>
      </c>
      <c r="AN39" t="s">
        <v>218</v>
      </c>
    </row>
    <row r="40" spans="9:40" x14ac:dyDescent="0.45">
      <c r="I40" t="s">
        <v>181</v>
      </c>
      <c r="J40" t="s">
        <v>257</v>
      </c>
      <c r="K40">
        <v>2.6002771974558372E-2</v>
      </c>
      <c r="L40" t="s">
        <v>160</v>
      </c>
      <c r="N40" t="s">
        <v>191</v>
      </c>
      <c r="O40" t="s">
        <v>257</v>
      </c>
      <c r="P40">
        <v>2.3870782493419663E-2</v>
      </c>
      <c r="Q40" t="s">
        <v>160</v>
      </c>
      <c r="S40" t="s">
        <v>201</v>
      </c>
      <c r="T40" t="s">
        <v>257</v>
      </c>
      <c r="U40">
        <v>2.3870782493419663E-2</v>
      </c>
      <c r="V40" t="s">
        <v>160</v>
      </c>
      <c r="AK40">
        <v>2029</v>
      </c>
      <c r="AL40" t="s">
        <v>248</v>
      </c>
      <c r="AM40">
        <v>0.4507666666666667</v>
      </c>
      <c r="AN40" t="s">
        <v>218</v>
      </c>
    </row>
    <row r="41" spans="9:40" x14ac:dyDescent="0.45">
      <c r="I41" t="s">
        <v>181</v>
      </c>
      <c r="J41" t="s">
        <v>258</v>
      </c>
      <c r="K41">
        <v>0.33518046406963609</v>
      </c>
      <c r="L41" t="s">
        <v>160</v>
      </c>
      <c r="N41" t="s">
        <v>191</v>
      </c>
      <c r="O41" t="s">
        <v>258</v>
      </c>
      <c r="P41">
        <v>5.4368131438717195E-2</v>
      </c>
      <c r="Q41" t="s">
        <v>160</v>
      </c>
      <c r="S41" t="s">
        <v>201</v>
      </c>
      <c r="T41" t="s">
        <v>258</v>
      </c>
      <c r="U41">
        <v>5.4368131438717195E-2</v>
      </c>
      <c r="V41" t="s">
        <v>160</v>
      </c>
      <c r="AK41">
        <v>2029</v>
      </c>
      <c r="AL41" t="s">
        <v>249</v>
      </c>
      <c r="AM41">
        <v>0.34216666666666667</v>
      </c>
      <c r="AN41" t="s">
        <v>218</v>
      </c>
    </row>
    <row r="42" spans="9:40" x14ac:dyDescent="0.45">
      <c r="I42" t="s">
        <v>181</v>
      </c>
      <c r="J42" t="s">
        <v>259</v>
      </c>
      <c r="K42">
        <v>1.4088563551736176E-2</v>
      </c>
      <c r="L42" t="s">
        <v>160</v>
      </c>
      <c r="N42" t="s">
        <v>191</v>
      </c>
      <c r="O42" t="s">
        <v>259</v>
      </c>
      <c r="P42">
        <v>7.4326136497643649E-2</v>
      </c>
      <c r="Q42" t="s">
        <v>160</v>
      </c>
      <c r="S42" t="s">
        <v>201</v>
      </c>
      <c r="T42" t="s">
        <v>259</v>
      </c>
      <c r="U42">
        <v>7.4326136497643649E-2</v>
      </c>
      <c r="V42" t="s">
        <v>160</v>
      </c>
      <c r="AK42">
        <v>2029</v>
      </c>
      <c r="AL42" t="s">
        <v>251</v>
      </c>
      <c r="AM42">
        <v>0.39443333333333336</v>
      </c>
      <c r="AN42" t="s">
        <v>218</v>
      </c>
    </row>
    <row r="43" spans="9:40" x14ac:dyDescent="0.45">
      <c r="I43" t="s">
        <v>181</v>
      </c>
      <c r="J43" t="s">
        <v>260</v>
      </c>
      <c r="K43">
        <v>3.6245704148402336E-2</v>
      </c>
      <c r="L43" t="s">
        <v>160</v>
      </c>
      <c r="N43" t="s">
        <v>191</v>
      </c>
      <c r="O43" t="s">
        <v>260</v>
      </c>
      <c r="P43">
        <v>1.3633846049252977E-2</v>
      </c>
      <c r="Q43" t="s">
        <v>160</v>
      </c>
      <c r="S43" t="s">
        <v>201</v>
      </c>
      <c r="T43" t="s">
        <v>260</v>
      </c>
      <c r="U43">
        <v>1.3633846049252977E-2</v>
      </c>
      <c r="V43" t="s">
        <v>160</v>
      </c>
      <c r="AK43">
        <v>2030</v>
      </c>
      <c r="AL43" t="s">
        <v>246</v>
      </c>
      <c r="AM43">
        <v>0.23340000000000002</v>
      </c>
      <c r="AN43" t="s">
        <v>218</v>
      </c>
    </row>
    <row r="44" spans="9:40" x14ac:dyDescent="0.45">
      <c r="I44" t="s">
        <v>181</v>
      </c>
      <c r="J44" t="s">
        <v>261</v>
      </c>
      <c r="K44">
        <v>0.11217943742487289</v>
      </c>
      <c r="L44" t="s">
        <v>160</v>
      </c>
      <c r="N44" t="s">
        <v>191</v>
      </c>
      <c r="O44" t="s">
        <v>261</v>
      </c>
      <c r="P44">
        <v>0.13089593962809556</v>
      </c>
      <c r="Q44" t="s">
        <v>160</v>
      </c>
      <c r="S44" t="s">
        <v>201</v>
      </c>
      <c r="T44" t="s">
        <v>261</v>
      </c>
      <c r="U44">
        <v>0.13089593962809556</v>
      </c>
      <c r="V44" t="s">
        <v>160</v>
      </c>
      <c r="AK44">
        <v>2030</v>
      </c>
      <c r="AL44" t="s">
        <v>248</v>
      </c>
      <c r="AM44">
        <v>0.31223333333333336</v>
      </c>
      <c r="AN44" t="s">
        <v>218</v>
      </c>
    </row>
    <row r="45" spans="9:40" x14ac:dyDescent="0.45">
      <c r="I45" t="s">
        <v>181</v>
      </c>
      <c r="J45" t="s">
        <v>262</v>
      </c>
      <c r="K45">
        <v>0</v>
      </c>
      <c r="L45" t="s">
        <v>160</v>
      </c>
      <c r="N45" t="s">
        <v>191</v>
      </c>
      <c r="O45" t="s">
        <v>262</v>
      </c>
      <c r="P45">
        <v>0.14781374800695338</v>
      </c>
      <c r="Q45" t="s">
        <v>160</v>
      </c>
      <c r="S45" t="s">
        <v>201</v>
      </c>
      <c r="T45" t="s">
        <v>262</v>
      </c>
      <c r="U45">
        <v>0.14781374800695338</v>
      </c>
      <c r="V45" t="s">
        <v>160</v>
      </c>
      <c r="AK45">
        <v>2030</v>
      </c>
      <c r="AL45" t="s">
        <v>249</v>
      </c>
      <c r="AM45">
        <v>0.25036666666666668</v>
      </c>
      <c r="AN45" t="s">
        <v>218</v>
      </c>
    </row>
    <row r="46" spans="9:40" x14ac:dyDescent="0.45">
      <c r="I46" t="s">
        <v>181</v>
      </c>
      <c r="J46" t="s">
        <v>263</v>
      </c>
      <c r="K46">
        <v>1.4769694863323785E-3</v>
      </c>
      <c r="L46" t="s">
        <v>160</v>
      </c>
      <c r="N46" t="s">
        <v>191</v>
      </c>
      <c r="O46" t="s">
        <v>263</v>
      </c>
      <c r="P46">
        <v>2.4569010986375393E-2</v>
      </c>
      <c r="Q46" t="s">
        <v>160</v>
      </c>
      <c r="S46" t="s">
        <v>201</v>
      </c>
      <c r="T46" t="s">
        <v>263</v>
      </c>
      <c r="U46">
        <v>2.4569010986375393E-2</v>
      </c>
      <c r="V46" t="s">
        <v>160</v>
      </c>
      <c r="AK46">
        <v>2030</v>
      </c>
      <c r="AL46" t="s">
        <v>251</v>
      </c>
      <c r="AM46">
        <v>0.3301</v>
      </c>
      <c r="AN46" t="s">
        <v>218</v>
      </c>
    </row>
    <row r="47" spans="9:40" x14ac:dyDescent="0.45">
      <c r="I47" t="s">
        <v>182</v>
      </c>
      <c r="J47" t="s">
        <v>252</v>
      </c>
      <c r="K47">
        <v>0.18175749882711253</v>
      </c>
      <c r="L47" t="s">
        <v>160</v>
      </c>
      <c r="N47" t="s">
        <v>192</v>
      </c>
      <c r="O47" t="s">
        <v>252</v>
      </c>
      <c r="P47">
        <v>0.12070022691155213</v>
      </c>
      <c r="Q47" t="s">
        <v>160</v>
      </c>
      <c r="S47" t="s">
        <v>202</v>
      </c>
      <c r="T47" t="s">
        <v>252</v>
      </c>
      <c r="U47">
        <v>0.12070022691155213</v>
      </c>
      <c r="V47" t="s">
        <v>160</v>
      </c>
      <c r="AK47">
        <v>2031</v>
      </c>
      <c r="AL47" t="s">
        <v>246</v>
      </c>
      <c r="AM47">
        <v>0.18566666666666667</v>
      </c>
      <c r="AN47" t="s">
        <v>218</v>
      </c>
    </row>
    <row r="48" spans="9:40" x14ac:dyDescent="0.45">
      <c r="I48" t="s">
        <v>182</v>
      </c>
      <c r="J48" t="s">
        <v>253</v>
      </c>
      <c r="K48">
        <v>0</v>
      </c>
      <c r="L48" t="s">
        <v>160</v>
      </c>
      <c r="N48" t="s">
        <v>192</v>
      </c>
      <c r="O48" t="s">
        <v>253</v>
      </c>
      <c r="P48">
        <v>0.11337300770232348</v>
      </c>
      <c r="Q48" t="s">
        <v>160</v>
      </c>
      <c r="S48" t="s">
        <v>202</v>
      </c>
      <c r="T48" t="s">
        <v>253</v>
      </c>
      <c r="U48">
        <v>0.11337300770232348</v>
      </c>
      <c r="V48" t="s">
        <v>160</v>
      </c>
      <c r="AK48">
        <v>2031</v>
      </c>
      <c r="AL48" t="s">
        <v>248</v>
      </c>
      <c r="AM48">
        <v>0.35146666666666665</v>
      </c>
      <c r="AN48" t="s">
        <v>218</v>
      </c>
    </row>
    <row r="49" spans="9:40" x14ac:dyDescent="0.45">
      <c r="I49" t="s">
        <v>182</v>
      </c>
      <c r="J49" t="s">
        <v>254</v>
      </c>
      <c r="K49">
        <v>8.6347714157945076E-3</v>
      </c>
      <c r="L49" t="s">
        <v>160</v>
      </c>
      <c r="N49" t="s">
        <v>192</v>
      </c>
      <c r="O49" t="s">
        <v>254</v>
      </c>
      <c r="P49">
        <v>3.1626404503399611E-2</v>
      </c>
      <c r="Q49" t="s">
        <v>160</v>
      </c>
      <c r="S49" t="s">
        <v>202</v>
      </c>
      <c r="T49" t="s">
        <v>254</v>
      </c>
      <c r="U49">
        <v>3.1626404503399611E-2</v>
      </c>
      <c r="V49" t="s">
        <v>160</v>
      </c>
      <c r="AK49">
        <v>2031</v>
      </c>
      <c r="AL49" t="s">
        <v>249</v>
      </c>
      <c r="AM49">
        <v>0.2477</v>
      </c>
      <c r="AN49" t="s">
        <v>218</v>
      </c>
    </row>
    <row r="50" spans="9:40" x14ac:dyDescent="0.45">
      <c r="I50" t="s">
        <v>182</v>
      </c>
      <c r="J50" t="s">
        <v>255</v>
      </c>
      <c r="K50">
        <v>0.26882053313991428</v>
      </c>
      <c r="L50" t="s">
        <v>160</v>
      </c>
      <c r="N50" t="s">
        <v>192</v>
      </c>
      <c r="O50" t="s">
        <v>255</v>
      </c>
      <c r="P50">
        <v>0.13680481007399381</v>
      </c>
      <c r="Q50" t="s">
        <v>160</v>
      </c>
      <c r="S50" t="s">
        <v>202</v>
      </c>
      <c r="T50" t="s">
        <v>255</v>
      </c>
      <c r="U50">
        <v>0.13680481007399381</v>
      </c>
      <c r="V50" t="s">
        <v>160</v>
      </c>
      <c r="AK50">
        <v>2031</v>
      </c>
      <c r="AL50" t="s">
        <v>251</v>
      </c>
      <c r="AM50">
        <v>0.27996666666666664</v>
      </c>
      <c r="AN50" t="s">
        <v>218</v>
      </c>
    </row>
    <row r="51" spans="9:40" x14ac:dyDescent="0.45">
      <c r="I51" t="s">
        <v>182</v>
      </c>
      <c r="J51" t="s">
        <v>256</v>
      </c>
      <c r="K51">
        <v>3.9325074039964613E-3</v>
      </c>
      <c r="L51" t="s">
        <v>160</v>
      </c>
      <c r="N51" t="s">
        <v>192</v>
      </c>
      <c r="O51" t="s">
        <v>256</v>
      </c>
      <c r="P51">
        <v>0.11830595479981657</v>
      </c>
      <c r="Q51" t="s">
        <v>160</v>
      </c>
      <c r="S51" t="s">
        <v>202</v>
      </c>
      <c r="T51" t="s">
        <v>256</v>
      </c>
      <c r="U51">
        <v>0.11830595479981657</v>
      </c>
      <c r="V51" t="s">
        <v>160</v>
      </c>
      <c r="AK51">
        <v>2032</v>
      </c>
      <c r="AL51" t="s">
        <v>246</v>
      </c>
      <c r="AM51">
        <v>0.29793333333333333</v>
      </c>
      <c r="AN51" t="s">
        <v>218</v>
      </c>
    </row>
    <row r="52" spans="9:40" x14ac:dyDescent="0.45">
      <c r="I52" t="s">
        <v>182</v>
      </c>
      <c r="J52" t="s">
        <v>257</v>
      </c>
      <c r="K52">
        <v>2.7351780289510044E-2</v>
      </c>
      <c r="L52" t="s">
        <v>160</v>
      </c>
      <c r="N52" t="s">
        <v>192</v>
      </c>
      <c r="O52" t="s">
        <v>257</v>
      </c>
      <c r="P52">
        <v>2.9155859780714277E-2</v>
      </c>
      <c r="Q52" t="s">
        <v>160</v>
      </c>
      <c r="S52" t="s">
        <v>202</v>
      </c>
      <c r="T52" t="s">
        <v>257</v>
      </c>
      <c r="U52">
        <v>2.9155859780714277E-2</v>
      </c>
      <c r="V52" t="s">
        <v>160</v>
      </c>
      <c r="AK52">
        <v>2032</v>
      </c>
      <c r="AL52" t="s">
        <v>248</v>
      </c>
      <c r="AM52">
        <v>0.39143333333333336</v>
      </c>
      <c r="AN52" t="s">
        <v>218</v>
      </c>
    </row>
    <row r="53" spans="9:40" x14ac:dyDescent="0.45">
      <c r="I53" t="s">
        <v>182</v>
      </c>
      <c r="J53" t="s">
        <v>258</v>
      </c>
      <c r="K53">
        <v>0.34189829647119296</v>
      </c>
      <c r="L53" t="s">
        <v>160</v>
      </c>
      <c r="N53" t="s">
        <v>192</v>
      </c>
      <c r="O53" t="s">
        <v>258</v>
      </c>
      <c r="P53">
        <v>5.4303684992173341E-2</v>
      </c>
      <c r="Q53" t="s">
        <v>160</v>
      </c>
      <c r="S53" t="s">
        <v>202</v>
      </c>
      <c r="T53" t="s">
        <v>258</v>
      </c>
      <c r="U53">
        <v>5.4303684992173341E-2</v>
      </c>
      <c r="V53" t="s">
        <v>160</v>
      </c>
      <c r="AK53">
        <v>2032</v>
      </c>
      <c r="AL53" t="s">
        <v>249</v>
      </c>
      <c r="AM53">
        <v>0.28410000000000002</v>
      </c>
      <c r="AN53" t="s">
        <v>218</v>
      </c>
    </row>
    <row r="54" spans="9:40" x14ac:dyDescent="0.45">
      <c r="I54" t="s">
        <v>182</v>
      </c>
      <c r="J54" t="s">
        <v>259</v>
      </c>
      <c r="K54">
        <v>1.473460227400551E-2</v>
      </c>
      <c r="L54" t="s">
        <v>160</v>
      </c>
      <c r="N54" t="s">
        <v>192</v>
      </c>
      <c r="O54" t="s">
        <v>259</v>
      </c>
      <c r="P54">
        <v>5.8452643245767183E-2</v>
      </c>
      <c r="Q54" t="s">
        <v>160</v>
      </c>
      <c r="S54" t="s">
        <v>202</v>
      </c>
      <c r="T54" t="s">
        <v>259</v>
      </c>
      <c r="U54">
        <v>5.8452643245767183E-2</v>
      </c>
      <c r="V54" t="s">
        <v>160</v>
      </c>
      <c r="AK54">
        <v>2032</v>
      </c>
      <c r="AL54" t="s">
        <v>251</v>
      </c>
      <c r="AM54">
        <v>0.34179999999999994</v>
      </c>
      <c r="AN54" t="s">
        <v>218</v>
      </c>
    </row>
    <row r="55" spans="9:40" x14ac:dyDescent="0.45">
      <c r="I55" t="s">
        <v>182</v>
      </c>
      <c r="J55" t="s">
        <v>260</v>
      </c>
      <c r="K55">
        <v>3.7627746315905965E-2</v>
      </c>
      <c r="L55" t="s">
        <v>160</v>
      </c>
      <c r="N55" t="s">
        <v>192</v>
      </c>
      <c r="O55" t="s">
        <v>260</v>
      </c>
      <c r="P55">
        <v>1.3583907181776171E-2</v>
      </c>
      <c r="Q55" t="s">
        <v>160</v>
      </c>
      <c r="S55" t="s">
        <v>202</v>
      </c>
      <c r="T55" t="s">
        <v>260</v>
      </c>
      <c r="U55">
        <v>1.3583907181776171E-2</v>
      </c>
      <c r="V55" t="s">
        <v>160</v>
      </c>
      <c r="AK55">
        <v>2033</v>
      </c>
      <c r="AL55" t="s">
        <v>246</v>
      </c>
      <c r="AM55">
        <v>0.23366666666666666</v>
      </c>
      <c r="AN55" t="s">
        <v>218</v>
      </c>
    </row>
    <row r="56" spans="9:40" x14ac:dyDescent="0.45">
      <c r="I56" t="s">
        <v>182</v>
      </c>
      <c r="J56" t="s">
        <v>261</v>
      </c>
      <c r="K56">
        <v>0.11348071985372056</v>
      </c>
      <c r="L56" t="s">
        <v>160</v>
      </c>
      <c r="N56" t="s">
        <v>192</v>
      </c>
      <c r="O56" t="s">
        <v>261</v>
      </c>
      <c r="P56">
        <v>0.14983396265446444</v>
      </c>
      <c r="Q56" t="s">
        <v>160</v>
      </c>
      <c r="S56" t="s">
        <v>202</v>
      </c>
      <c r="T56" t="s">
        <v>261</v>
      </c>
      <c r="U56">
        <v>0.14983396265446444</v>
      </c>
      <c r="V56" t="s">
        <v>160</v>
      </c>
      <c r="AK56">
        <v>2033</v>
      </c>
      <c r="AL56" t="s">
        <v>248</v>
      </c>
      <c r="AM56">
        <v>0.3450333333333333</v>
      </c>
      <c r="AN56" t="s">
        <v>218</v>
      </c>
    </row>
    <row r="57" spans="9:40" x14ac:dyDescent="0.45">
      <c r="I57" t="s">
        <v>182</v>
      </c>
      <c r="J57" t="s">
        <v>262</v>
      </c>
      <c r="K57">
        <v>0</v>
      </c>
      <c r="L57" t="s">
        <v>160</v>
      </c>
      <c r="N57" t="s">
        <v>192</v>
      </c>
      <c r="O57" t="s">
        <v>262</v>
      </c>
      <c r="P57">
        <v>0.14743969434576379</v>
      </c>
      <c r="Q57" t="s">
        <v>160</v>
      </c>
      <c r="S57" t="s">
        <v>202</v>
      </c>
      <c r="T57" t="s">
        <v>262</v>
      </c>
      <c r="U57">
        <v>0.14743969434576379</v>
      </c>
      <c r="V57" t="s">
        <v>160</v>
      </c>
      <c r="AK57">
        <v>2033</v>
      </c>
      <c r="AL57" t="s">
        <v>249</v>
      </c>
      <c r="AM57">
        <v>0.24540000000000003</v>
      </c>
      <c r="AN57" t="s">
        <v>218</v>
      </c>
    </row>
    <row r="58" spans="9:40" x14ac:dyDescent="0.45">
      <c r="I58" t="s">
        <v>182</v>
      </c>
      <c r="J58" t="s">
        <v>263</v>
      </c>
      <c r="K58">
        <v>1.7615440088442486E-3</v>
      </c>
      <c r="L58" t="s">
        <v>160</v>
      </c>
      <c r="N58" t="s">
        <v>192</v>
      </c>
      <c r="O58" t="s">
        <v>263</v>
      </c>
      <c r="P58">
        <v>2.6419843808254542E-2</v>
      </c>
      <c r="Q58" t="s">
        <v>160</v>
      </c>
      <c r="S58" t="s">
        <v>202</v>
      </c>
      <c r="T58" t="s">
        <v>263</v>
      </c>
      <c r="U58">
        <v>2.6419843808254542E-2</v>
      </c>
      <c r="V58" t="s">
        <v>160</v>
      </c>
      <c r="AK58">
        <v>2033</v>
      </c>
      <c r="AL58" t="s">
        <v>251</v>
      </c>
      <c r="AM58">
        <v>0.31323333333333331</v>
      </c>
      <c r="AN58" t="s">
        <v>218</v>
      </c>
    </row>
    <row r="59" spans="9:40" x14ac:dyDescent="0.45">
      <c r="I59" t="s">
        <v>183</v>
      </c>
      <c r="J59" t="s">
        <v>252</v>
      </c>
      <c r="K59">
        <v>0.18170009972225878</v>
      </c>
      <c r="L59" t="s">
        <v>160</v>
      </c>
      <c r="N59" t="s">
        <v>193</v>
      </c>
      <c r="O59" t="s">
        <v>252</v>
      </c>
      <c r="P59">
        <v>0.12135527336473635</v>
      </c>
      <c r="Q59" t="s">
        <v>160</v>
      </c>
      <c r="S59" t="s">
        <v>203</v>
      </c>
      <c r="T59" t="s">
        <v>252</v>
      </c>
      <c r="U59">
        <v>0.12135527336473635</v>
      </c>
      <c r="V59" t="s">
        <v>160</v>
      </c>
      <c r="AK59">
        <v>2034</v>
      </c>
      <c r="AL59" t="s">
        <v>246</v>
      </c>
      <c r="AM59">
        <v>0.25650000000000001</v>
      </c>
      <c r="AN59" t="s">
        <v>218</v>
      </c>
    </row>
    <row r="60" spans="9:40" x14ac:dyDescent="0.45">
      <c r="I60" t="s">
        <v>183</v>
      </c>
      <c r="J60" t="s">
        <v>253</v>
      </c>
      <c r="K60">
        <v>0</v>
      </c>
      <c r="L60" t="s">
        <v>160</v>
      </c>
      <c r="N60" t="s">
        <v>193</v>
      </c>
      <c r="O60" t="s">
        <v>253</v>
      </c>
      <c r="P60">
        <v>0.14160523497433883</v>
      </c>
      <c r="Q60" t="s">
        <v>160</v>
      </c>
      <c r="S60" t="s">
        <v>203</v>
      </c>
      <c r="T60" t="s">
        <v>253</v>
      </c>
      <c r="U60">
        <v>0.14160523497433883</v>
      </c>
      <c r="V60" t="s">
        <v>160</v>
      </c>
      <c r="AK60">
        <v>2034</v>
      </c>
      <c r="AL60" t="s">
        <v>248</v>
      </c>
      <c r="AM60">
        <v>0.38693333333333335</v>
      </c>
      <c r="AN60" t="s">
        <v>218</v>
      </c>
    </row>
    <row r="61" spans="9:40" x14ac:dyDescent="0.45">
      <c r="I61" t="s">
        <v>183</v>
      </c>
      <c r="J61" t="s">
        <v>254</v>
      </c>
      <c r="K61">
        <v>7.740599151258994E-3</v>
      </c>
      <c r="L61" t="s">
        <v>160</v>
      </c>
      <c r="N61" t="s">
        <v>193</v>
      </c>
      <c r="O61" t="s">
        <v>254</v>
      </c>
      <c r="P61">
        <v>3.0799367940797146E-2</v>
      </c>
      <c r="Q61" t="s">
        <v>160</v>
      </c>
      <c r="S61" t="s">
        <v>203</v>
      </c>
      <c r="T61" t="s">
        <v>254</v>
      </c>
      <c r="U61">
        <v>3.0799367940797146E-2</v>
      </c>
      <c r="V61" t="s">
        <v>160</v>
      </c>
      <c r="AK61">
        <v>2034</v>
      </c>
      <c r="AL61" t="s">
        <v>249</v>
      </c>
      <c r="AM61">
        <v>0.29209999999999997</v>
      </c>
      <c r="AN61" t="s">
        <v>218</v>
      </c>
    </row>
    <row r="62" spans="9:40" x14ac:dyDescent="0.45">
      <c r="I62" t="s">
        <v>183</v>
      </c>
      <c r="J62" t="s">
        <v>255</v>
      </c>
      <c r="K62">
        <v>0.27739059787482578</v>
      </c>
      <c r="L62" t="s">
        <v>160</v>
      </c>
      <c r="N62" t="s">
        <v>193</v>
      </c>
      <c r="O62" t="s">
        <v>255</v>
      </c>
      <c r="P62">
        <v>0.1156146480572328</v>
      </c>
      <c r="Q62" t="s">
        <v>160</v>
      </c>
      <c r="S62" t="s">
        <v>203</v>
      </c>
      <c r="T62" t="s">
        <v>255</v>
      </c>
      <c r="U62">
        <v>0.1156146480572328</v>
      </c>
      <c r="V62" t="s">
        <v>160</v>
      </c>
      <c r="AK62">
        <v>2034</v>
      </c>
      <c r="AL62" t="s">
        <v>251</v>
      </c>
      <c r="AM62">
        <v>0.38253333333333334</v>
      </c>
      <c r="AN62" t="s">
        <v>218</v>
      </c>
    </row>
    <row r="63" spans="9:40" x14ac:dyDescent="0.45">
      <c r="I63" t="s">
        <v>183</v>
      </c>
      <c r="J63" t="s">
        <v>256</v>
      </c>
      <c r="K63">
        <v>3.9440321048502631E-3</v>
      </c>
      <c r="L63" t="s">
        <v>160</v>
      </c>
      <c r="N63" t="s">
        <v>193</v>
      </c>
      <c r="O63" t="s">
        <v>256</v>
      </c>
      <c r="P63">
        <v>0.13476310572935016</v>
      </c>
      <c r="Q63" t="s">
        <v>160</v>
      </c>
      <c r="S63" t="s">
        <v>203</v>
      </c>
      <c r="T63" t="s">
        <v>256</v>
      </c>
      <c r="U63">
        <v>0.13476310572935016</v>
      </c>
      <c r="V63" t="s">
        <v>160</v>
      </c>
      <c r="AK63">
        <v>2035</v>
      </c>
      <c r="AL63" t="s">
        <v>246</v>
      </c>
      <c r="AM63">
        <v>0.23096666666666665</v>
      </c>
      <c r="AN63" t="s">
        <v>218</v>
      </c>
    </row>
    <row r="64" spans="9:40" x14ac:dyDescent="0.45">
      <c r="I64" t="s">
        <v>183</v>
      </c>
      <c r="J64" t="s">
        <v>257</v>
      </c>
      <c r="K64">
        <v>2.5667847201837898E-2</v>
      </c>
      <c r="L64" t="s">
        <v>160</v>
      </c>
      <c r="N64" t="s">
        <v>193</v>
      </c>
      <c r="O64" t="s">
        <v>257</v>
      </c>
      <c r="P64">
        <v>2.5754885879330471E-2</v>
      </c>
      <c r="Q64" t="s">
        <v>160</v>
      </c>
      <c r="S64" t="s">
        <v>203</v>
      </c>
      <c r="T64" t="s">
        <v>257</v>
      </c>
      <c r="U64">
        <v>2.5754885879330471E-2</v>
      </c>
      <c r="V64" t="s">
        <v>160</v>
      </c>
      <c r="AK64">
        <v>2035</v>
      </c>
      <c r="AL64" t="s">
        <v>248</v>
      </c>
      <c r="AM64">
        <v>0.3862666666666667</v>
      </c>
      <c r="AN64" t="s">
        <v>218</v>
      </c>
    </row>
    <row r="65" spans="9:40" x14ac:dyDescent="0.45">
      <c r="I65" t="s">
        <v>183</v>
      </c>
      <c r="J65" t="s">
        <v>258</v>
      </c>
      <c r="K65">
        <v>0.34360540896792946</v>
      </c>
      <c r="L65" t="s">
        <v>160</v>
      </c>
      <c r="N65" t="s">
        <v>193</v>
      </c>
      <c r="O65" t="s">
        <v>258</v>
      </c>
      <c r="P65">
        <v>4.2384777649555887E-2</v>
      </c>
      <c r="Q65" t="s">
        <v>160</v>
      </c>
      <c r="S65" t="s">
        <v>203</v>
      </c>
      <c r="T65" t="s">
        <v>258</v>
      </c>
      <c r="U65">
        <v>4.2384777649555887E-2</v>
      </c>
      <c r="V65" t="s">
        <v>160</v>
      </c>
      <c r="AK65">
        <v>2035</v>
      </c>
      <c r="AL65" t="s">
        <v>249</v>
      </c>
      <c r="AM65">
        <v>0.28143333333333337</v>
      </c>
      <c r="AN65" t="s">
        <v>218</v>
      </c>
    </row>
    <row r="66" spans="9:40" x14ac:dyDescent="0.45">
      <c r="I66" t="s">
        <v>183</v>
      </c>
      <c r="J66" t="s">
        <v>259</v>
      </c>
      <c r="K66">
        <v>1.3482802969066262E-2</v>
      </c>
      <c r="L66" t="s">
        <v>160</v>
      </c>
      <c r="N66" t="s">
        <v>193</v>
      </c>
      <c r="O66" t="s">
        <v>259</v>
      </c>
      <c r="P66">
        <v>7.2167469639232651E-2</v>
      </c>
      <c r="Q66" t="s">
        <v>160</v>
      </c>
      <c r="S66" t="s">
        <v>203</v>
      </c>
      <c r="T66" t="s">
        <v>259</v>
      </c>
      <c r="U66">
        <v>7.2167469639232651E-2</v>
      </c>
      <c r="V66" t="s">
        <v>160</v>
      </c>
      <c r="AK66">
        <v>2035</v>
      </c>
      <c r="AL66" t="s">
        <v>251</v>
      </c>
      <c r="AM66">
        <v>0.35800000000000004</v>
      </c>
      <c r="AN66" t="s">
        <v>218</v>
      </c>
    </row>
    <row r="67" spans="9:40" x14ac:dyDescent="0.45">
      <c r="I67" t="s">
        <v>183</v>
      </c>
      <c r="J67" t="s">
        <v>260</v>
      </c>
      <c r="K67">
        <v>3.7597134100616679E-2</v>
      </c>
      <c r="L67" t="s">
        <v>160</v>
      </c>
      <c r="N67" t="s">
        <v>193</v>
      </c>
      <c r="O67" t="s">
        <v>260</v>
      </c>
      <c r="P67">
        <v>1.0547025639099213E-2</v>
      </c>
      <c r="Q67" t="s">
        <v>160</v>
      </c>
      <c r="S67" t="s">
        <v>203</v>
      </c>
      <c r="T67" t="s">
        <v>260</v>
      </c>
      <c r="U67">
        <v>1.0547025639099213E-2</v>
      </c>
      <c r="V67" t="s">
        <v>160</v>
      </c>
      <c r="AK67">
        <v>2036</v>
      </c>
      <c r="AL67" t="s">
        <v>246</v>
      </c>
      <c r="AM67">
        <v>0.24816666666666665</v>
      </c>
      <c r="AN67" t="s">
        <v>218</v>
      </c>
    </row>
    <row r="68" spans="9:40" x14ac:dyDescent="0.45">
      <c r="I68" t="s">
        <v>183</v>
      </c>
      <c r="J68" t="s">
        <v>261</v>
      </c>
      <c r="K68">
        <v>0.10721411645566684</v>
      </c>
      <c r="L68" t="s">
        <v>160</v>
      </c>
      <c r="N68" t="s">
        <v>193</v>
      </c>
      <c r="O68" t="s">
        <v>261</v>
      </c>
      <c r="P68">
        <v>0.13199993538509486</v>
      </c>
      <c r="Q68" t="s">
        <v>160</v>
      </c>
      <c r="S68" t="s">
        <v>203</v>
      </c>
      <c r="T68" t="s">
        <v>261</v>
      </c>
      <c r="U68">
        <v>0.13199993538509486</v>
      </c>
      <c r="V68" t="s">
        <v>160</v>
      </c>
      <c r="AK68">
        <v>2036</v>
      </c>
      <c r="AL68" t="s">
        <v>248</v>
      </c>
      <c r="AM68">
        <v>0.37189999999999995</v>
      </c>
      <c r="AN68" t="s">
        <v>218</v>
      </c>
    </row>
    <row r="69" spans="9:40" x14ac:dyDescent="0.45">
      <c r="I69" t="s">
        <v>183</v>
      </c>
      <c r="J69" t="s">
        <v>262</v>
      </c>
      <c r="K69">
        <v>0</v>
      </c>
      <c r="L69" t="s">
        <v>160</v>
      </c>
      <c r="N69" t="s">
        <v>193</v>
      </c>
      <c r="O69" t="s">
        <v>262</v>
      </c>
      <c r="P69">
        <v>0.14541264677738636</v>
      </c>
      <c r="Q69" t="s">
        <v>160</v>
      </c>
      <c r="S69" t="s">
        <v>203</v>
      </c>
      <c r="T69" t="s">
        <v>262</v>
      </c>
      <c r="U69">
        <v>0.14541264677738636</v>
      </c>
      <c r="V69" t="s">
        <v>160</v>
      </c>
      <c r="AK69">
        <v>2036</v>
      </c>
      <c r="AL69" t="s">
        <v>249</v>
      </c>
      <c r="AM69">
        <v>0.2738666666666667</v>
      </c>
      <c r="AN69" t="s">
        <v>218</v>
      </c>
    </row>
    <row r="70" spans="9:40" x14ac:dyDescent="0.45">
      <c r="I70" t="s">
        <v>183</v>
      </c>
      <c r="J70" t="s">
        <v>263</v>
      </c>
      <c r="K70">
        <v>1.6573614516886188E-3</v>
      </c>
      <c r="L70" t="s">
        <v>160</v>
      </c>
      <c r="N70" t="s">
        <v>193</v>
      </c>
      <c r="O70" t="s">
        <v>263</v>
      </c>
      <c r="P70">
        <v>2.7595628963845785E-2</v>
      </c>
      <c r="Q70" t="s">
        <v>160</v>
      </c>
      <c r="S70" t="s">
        <v>203</v>
      </c>
      <c r="T70" t="s">
        <v>263</v>
      </c>
      <c r="U70">
        <v>2.7595628963845785E-2</v>
      </c>
      <c r="V70" t="s">
        <v>160</v>
      </c>
      <c r="AK70">
        <v>2036</v>
      </c>
      <c r="AL70" t="s">
        <v>251</v>
      </c>
      <c r="AM70">
        <v>0.30646666666666667</v>
      </c>
      <c r="AN70" t="s">
        <v>218</v>
      </c>
    </row>
    <row r="71" spans="9:40" x14ac:dyDescent="0.45">
      <c r="I71" t="s">
        <v>184</v>
      </c>
      <c r="J71" t="s">
        <v>252</v>
      </c>
      <c r="K71">
        <v>0.17549011424246508</v>
      </c>
      <c r="L71" t="s">
        <v>160</v>
      </c>
      <c r="N71" t="s">
        <v>194</v>
      </c>
      <c r="O71" t="s">
        <v>252</v>
      </c>
      <c r="P71">
        <v>0.1116883179362521</v>
      </c>
      <c r="Q71" t="s">
        <v>160</v>
      </c>
      <c r="S71" t="s">
        <v>204</v>
      </c>
      <c r="T71" t="s">
        <v>252</v>
      </c>
      <c r="U71">
        <v>0.1116883179362521</v>
      </c>
      <c r="V71" t="s">
        <v>160</v>
      </c>
      <c r="AK71">
        <v>2037</v>
      </c>
      <c r="AL71" t="s">
        <v>246</v>
      </c>
      <c r="AM71">
        <v>0.24890000000000001</v>
      </c>
      <c r="AN71" t="s">
        <v>218</v>
      </c>
    </row>
    <row r="72" spans="9:40" x14ac:dyDescent="0.45">
      <c r="I72" t="s">
        <v>184</v>
      </c>
      <c r="J72" t="s">
        <v>253</v>
      </c>
      <c r="K72">
        <v>0</v>
      </c>
      <c r="L72" t="s">
        <v>160</v>
      </c>
      <c r="N72" t="s">
        <v>194</v>
      </c>
      <c r="O72" t="s">
        <v>253</v>
      </c>
      <c r="P72">
        <v>9.8742843293982668E-2</v>
      </c>
      <c r="Q72" t="s">
        <v>160</v>
      </c>
      <c r="S72" t="s">
        <v>204</v>
      </c>
      <c r="T72" t="s">
        <v>253</v>
      </c>
      <c r="U72">
        <v>9.8742843293982668E-2</v>
      </c>
      <c r="V72" t="s">
        <v>160</v>
      </c>
      <c r="AK72">
        <v>2037</v>
      </c>
      <c r="AL72" t="s">
        <v>248</v>
      </c>
      <c r="AM72">
        <v>0.34873333333333334</v>
      </c>
      <c r="AN72" t="s">
        <v>218</v>
      </c>
    </row>
    <row r="73" spans="9:40" x14ac:dyDescent="0.45">
      <c r="I73" t="s">
        <v>184</v>
      </c>
      <c r="J73" t="s">
        <v>254</v>
      </c>
      <c r="K73">
        <v>8.5623059486902593E-3</v>
      </c>
      <c r="L73" t="s">
        <v>160</v>
      </c>
      <c r="N73" t="s">
        <v>194</v>
      </c>
      <c r="O73" t="s">
        <v>254</v>
      </c>
      <c r="P73">
        <v>2.5229276709115876E-2</v>
      </c>
      <c r="Q73" t="s">
        <v>160</v>
      </c>
      <c r="S73" t="s">
        <v>204</v>
      </c>
      <c r="T73" t="s">
        <v>254</v>
      </c>
      <c r="U73">
        <v>2.5229276709115876E-2</v>
      </c>
      <c r="V73" t="s">
        <v>160</v>
      </c>
      <c r="AK73">
        <v>2037</v>
      </c>
      <c r="AL73" t="s">
        <v>249</v>
      </c>
      <c r="AM73">
        <v>0.28483333333333333</v>
      </c>
      <c r="AN73" t="s">
        <v>218</v>
      </c>
    </row>
    <row r="74" spans="9:40" x14ac:dyDescent="0.45">
      <c r="I74" t="s">
        <v>184</v>
      </c>
      <c r="J74" t="s">
        <v>255</v>
      </c>
      <c r="K74">
        <v>0.27807957220700591</v>
      </c>
      <c r="L74" t="s">
        <v>160</v>
      </c>
      <c r="N74" t="s">
        <v>194</v>
      </c>
      <c r="O74" t="s">
        <v>255</v>
      </c>
      <c r="P74">
        <v>0.13890890245147827</v>
      </c>
      <c r="Q74" t="s">
        <v>160</v>
      </c>
      <c r="S74" t="s">
        <v>204</v>
      </c>
      <c r="T74" t="s">
        <v>255</v>
      </c>
      <c r="U74">
        <v>0.13890890245147827</v>
      </c>
      <c r="V74" t="s">
        <v>160</v>
      </c>
      <c r="AK74">
        <v>2037</v>
      </c>
      <c r="AL74" t="s">
        <v>251</v>
      </c>
      <c r="AM74">
        <v>0.33839999999999998</v>
      </c>
      <c r="AN74" t="s">
        <v>218</v>
      </c>
    </row>
    <row r="75" spans="9:40" x14ac:dyDescent="0.45">
      <c r="I75" t="s">
        <v>184</v>
      </c>
      <c r="J75" t="s">
        <v>256</v>
      </c>
      <c r="K75">
        <v>4.6543419018597329E-3</v>
      </c>
      <c r="L75" t="s">
        <v>160</v>
      </c>
      <c r="N75" t="s">
        <v>194</v>
      </c>
      <c r="O75" t="s">
        <v>256</v>
      </c>
      <c r="P75">
        <v>0.12427538775311366</v>
      </c>
      <c r="Q75" t="s">
        <v>160</v>
      </c>
      <c r="S75" t="s">
        <v>204</v>
      </c>
      <c r="T75" t="s">
        <v>256</v>
      </c>
      <c r="U75">
        <v>0.12427538775311366</v>
      </c>
      <c r="V75" t="s">
        <v>160</v>
      </c>
      <c r="AK75">
        <v>2038</v>
      </c>
      <c r="AL75" t="s">
        <v>246</v>
      </c>
      <c r="AM75">
        <v>0.22743333333333335</v>
      </c>
      <c r="AN75" t="s">
        <v>218</v>
      </c>
    </row>
    <row r="76" spans="9:40" x14ac:dyDescent="0.45">
      <c r="I76" t="s">
        <v>184</v>
      </c>
      <c r="J76" t="s">
        <v>257</v>
      </c>
      <c r="K76">
        <v>2.7348303940611014E-2</v>
      </c>
      <c r="L76" t="s">
        <v>160</v>
      </c>
      <c r="N76" t="s">
        <v>194</v>
      </c>
      <c r="O76" t="s">
        <v>257</v>
      </c>
      <c r="P76">
        <v>2.7157061542408396E-2</v>
      </c>
      <c r="Q76" t="s">
        <v>160</v>
      </c>
      <c r="S76" t="s">
        <v>204</v>
      </c>
      <c r="T76" t="s">
        <v>257</v>
      </c>
      <c r="U76">
        <v>2.7157061542408396E-2</v>
      </c>
      <c r="V76" t="s">
        <v>160</v>
      </c>
      <c r="AK76">
        <v>2038</v>
      </c>
      <c r="AL76" t="s">
        <v>248</v>
      </c>
      <c r="AM76">
        <v>0.39999999999999997</v>
      </c>
      <c r="AN76" t="s">
        <v>218</v>
      </c>
    </row>
    <row r="77" spans="9:40" x14ac:dyDescent="0.45">
      <c r="I77" t="s">
        <v>184</v>
      </c>
      <c r="J77" t="s">
        <v>258</v>
      </c>
      <c r="K77">
        <v>0.34618403409420401</v>
      </c>
      <c r="L77" t="s">
        <v>160</v>
      </c>
      <c r="N77" t="s">
        <v>194</v>
      </c>
      <c r="O77" t="s">
        <v>258</v>
      </c>
      <c r="P77">
        <v>6.9095708917165252E-2</v>
      </c>
      <c r="Q77" t="s">
        <v>160</v>
      </c>
      <c r="S77" t="s">
        <v>204</v>
      </c>
      <c r="T77" t="s">
        <v>258</v>
      </c>
      <c r="U77">
        <v>6.9095708917165252E-2</v>
      </c>
      <c r="V77" t="s">
        <v>160</v>
      </c>
      <c r="AK77">
        <v>2038</v>
      </c>
      <c r="AL77" t="s">
        <v>249</v>
      </c>
      <c r="AM77">
        <v>0.26863333333333334</v>
      </c>
      <c r="AN77" t="s">
        <v>218</v>
      </c>
    </row>
    <row r="78" spans="9:40" x14ac:dyDescent="0.45">
      <c r="I78" t="s">
        <v>184</v>
      </c>
      <c r="J78" t="s">
        <v>259</v>
      </c>
      <c r="K78">
        <v>1.6519956713637245E-2</v>
      </c>
      <c r="L78" t="s">
        <v>160</v>
      </c>
      <c r="N78" t="s">
        <v>194</v>
      </c>
      <c r="O78" t="s">
        <v>259</v>
      </c>
      <c r="P78">
        <v>7.1014616157033708E-2</v>
      </c>
      <c r="Q78" t="s">
        <v>160</v>
      </c>
      <c r="S78" t="s">
        <v>204</v>
      </c>
      <c r="T78" t="s">
        <v>259</v>
      </c>
      <c r="U78">
        <v>7.1014616157033708E-2</v>
      </c>
      <c r="V78" t="s">
        <v>160</v>
      </c>
      <c r="AK78">
        <v>2038</v>
      </c>
      <c r="AL78" t="s">
        <v>251</v>
      </c>
      <c r="AM78">
        <v>0.36103333333333332</v>
      </c>
      <c r="AN78" t="s">
        <v>218</v>
      </c>
    </row>
    <row r="79" spans="9:40" x14ac:dyDescent="0.45">
      <c r="I79" t="s">
        <v>184</v>
      </c>
      <c r="J79" t="s">
        <v>260</v>
      </c>
      <c r="K79">
        <v>4.3673004423833935E-2</v>
      </c>
      <c r="L79" t="s">
        <v>160</v>
      </c>
      <c r="N79" t="s">
        <v>194</v>
      </c>
      <c r="O79" t="s">
        <v>260</v>
      </c>
      <c r="P79">
        <v>1.6195357598118614E-2</v>
      </c>
      <c r="Q79" t="s">
        <v>160</v>
      </c>
      <c r="S79" t="s">
        <v>204</v>
      </c>
      <c r="T79" t="s">
        <v>260</v>
      </c>
      <c r="U79">
        <v>1.6195357598118614E-2</v>
      </c>
      <c r="V79" t="s">
        <v>160</v>
      </c>
      <c r="AK79">
        <v>2039</v>
      </c>
      <c r="AL79" t="s">
        <v>246</v>
      </c>
      <c r="AM79">
        <v>0.2616</v>
      </c>
      <c r="AN79" t="s">
        <v>218</v>
      </c>
    </row>
    <row r="80" spans="9:40" x14ac:dyDescent="0.45">
      <c r="I80" t="s">
        <v>184</v>
      </c>
      <c r="J80" t="s">
        <v>261</v>
      </c>
      <c r="K80">
        <v>9.7470460346820734E-2</v>
      </c>
      <c r="L80" t="s">
        <v>160</v>
      </c>
      <c r="N80" t="s">
        <v>194</v>
      </c>
      <c r="O80" t="s">
        <v>261</v>
      </c>
      <c r="P80">
        <v>0.14343853305930809</v>
      </c>
      <c r="Q80" t="s">
        <v>160</v>
      </c>
      <c r="S80" t="s">
        <v>204</v>
      </c>
      <c r="T80" t="s">
        <v>261</v>
      </c>
      <c r="U80">
        <v>0.14343853305930809</v>
      </c>
      <c r="V80" t="s">
        <v>160</v>
      </c>
      <c r="AK80">
        <v>2039</v>
      </c>
      <c r="AL80" t="s">
        <v>248</v>
      </c>
      <c r="AM80">
        <v>0.32903333333333334</v>
      </c>
      <c r="AN80" t="s">
        <v>218</v>
      </c>
    </row>
    <row r="81" spans="9:40" x14ac:dyDescent="0.45">
      <c r="I81" t="s">
        <v>184</v>
      </c>
      <c r="J81" t="s">
        <v>262</v>
      </c>
      <c r="K81">
        <v>0</v>
      </c>
      <c r="L81" t="s">
        <v>160</v>
      </c>
      <c r="N81" t="s">
        <v>194</v>
      </c>
      <c r="O81" t="s">
        <v>262</v>
      </c>
      <c r="P81">
        <v>0.14837820029085921</v>
      </c>
      <c r="Q81" t="s">
        <v>160</v>
      </c>
      <c r="S81" t="s">
        <v>204</v>
      </c>
      <c r="T81" t="s">
        <v>262</v>
      </c>
      <c r="U81">
        <v>0.14837820029085921</v>
      </c>
      <c r="V81" t="s">
        <v>160</v>
      </c>
      <c r="AK81">
        <v>2039</v>
      </c>
      <c r="AL81" t="s">
        <v>249</v>
      </c>
      <c r="AM81">
        <v>0.31020000000000003</v>
      </c>
      <c r="AN81" t="s">
        <v>218</v>
      </c>
    </row>
    <row r="82" spans="9:40" x14ac:dyDescent="0.45">
      <c r="I82" t="s">
        <v>184</v>
      </c>
      <c r="J82" t="s">
        <v>263</v>
      </c>
      <c r="K82">
        <v>2.0179061808723829E-3</v>
      </c>
      <c r="L82" t="s">
        <v>160</v>
      </c>
      <c r="N82" t="s">
        <v>194</v>
      </c>
      <c r="O82" t="s">
        <v>263</v>
      </c>
      <c r="P82">
        <v>2.5875794291161117E-2</v>
      </c>
      <c r="Q82" t="s">
        <v>160</v>
      </c>
      <c r="S82" t="s">
        <v>204</v>
      </c>
      <c r="T82" t="s">
        <v>263</v>
      </c>
      <c r="U82">
        <v>2.5875794291161117E-2</v>
      </c>
      <c r="V82" t="s">
        <v>160</v>
      </c>
      <c r="AK82">
        <v>2039</v>
      </c>
      <c r="AL82" t="s">
        <v>251</v>
      </c>
      <c r="AM82">
        <v>0.30226666666666668</v>
      </c>
      <c r="AN82" t="s">
        <v>218</v>
      </c>
    </row>
    <row r="83" spans="9:40" x14ac:dyDescent="0.45">
      <c r="I83" t="s">
        <v>185</v>
      </c>
      <c r="J83" t="s">
        <v>252</v>
      </c>
      <c r="K83">
        <v>0.17471029623128606</v>
      </c>
      <c r="L83" t="s">
        <v>160</v>
      </c>
      <c r="N83" t="s">
        <v>195</v>
      </c>
      <c r="O83" t="s">
        <v>252</v>
      </c>
      <c r="P83">
        <v>0.11235806492858484</v>
      </c>
      <c r="Q83" t="s">
        <v>160</v>
      </c>
      <c r="S83" t="s">
        <v>205</v>
      </c>
      <c r="T83" t="s">
        <v>252</v>
      </c>
      <c r="U83">
        <v>0.11235806492858484</v>
      </c>
      <c r="V83" t="s">
        <v>160</v>
      </c>
      <c r="AK83">
        <v>2040</v>
      </c>
      <c r="AL83" t="s">
        <v>246</v>
      </c>
      <c r="AM83">
        <v>0.23929999999999998</v>
      </c>
      <c r="AN83" t="s">
        <v>218</v>
      </c>
    </row>
    <row r="84" spans="9:40" x14ac:dyDescent="0.45">
      <c r="I84" t="s">
        <v>185</v>
      </c>
      <c r="J84" t="s">
        <v>253</v>
      </c>
      <c r="K84">
        <v>0</v>
      </c>
      <c r="L84" t="s">
        <v>160</v>
      </c>
      <c r="N84" t="s">
        <v>195</v>
      </c>
      <c r="O84" t="s">
        <v>253</v>
      </c>
      <c r="P84">
        <v>0.11233913552189634</v>
      </c>
      <c r="Q84" t="s">
        <v>160</v>
      </c>
      <c r="S84" t="s">
        <v>205</v>
      </c>
      <c r="T84" t="s">
        <v>253</v>
      </c>
      <c r="U84">
        <v>0.11233913552189634</v>
      </c>
      <c r="V84" t="s">
        <v>160</v>
      </c>
      <c r="AK84">
        <v>2040</v>
      </c>
      <c r="AL84" t="s">
        <v>248</v>
      </c>
      <c r="AM84">
        <v>0.32296666666666662</v>
      </c>
      <c r="AN84" t="s">
        <v>218</v>
      </c>
    </row>
    <row r="85" spans="9:40" x14ac:dyDescent="0.45">
      <c r="I85" t="s">
        <v>185</v>
      </c>
      <c r="J85" t="s">
        <v>254</v>
      </c>
      <c r="K85">
        <v>8.3451211883251736E-3</v>
      </c>
      <c r="L85" t="s">
        <v>160</v>
      </c>
      <c r="N85" t="s">
        <v>195</v>
      </c>
      <c r="O85" t="s">
        <v>254</v>
      </c>
      <c r="P85">
        <v>2.0811428215940869E-2</v>
      </c>
      <c r="Q85" t="s">
        <v>160</v>
      </c>
      <c r="S85" t="s">
        <v>205</v>
      </c>
      <c r="T85" t="s">
        <v>254</v>
      </c>
      <c r="U85">
        <v>2.0811428215940869E-2</v>
      </c>
      <c r="V85" t="s">
        <v>160</v>
      </c>
      <c r="AK85">
        <v>2040</v>
      </c>
      <c r="AL85" t="s">
        <v>249</v>
      </c>
      <c r="AM85">
        <v>0.29220000000000002</v>
      </c>
      <c r="AN85" t="s">
        <v>218</v>
      </c>
    </row>
    <row r="86" spans="9:40" x14ac:dyDescent="0.45">
      <c r="I86" t="s">
        <v>185</v>
      </c>
      <c r="J86" t="s">
        <v>255</v>
      </c>
      <c r="K86">
        <v>0.27560371944627865</v>
      </c>
      <c r="L86" t="s">
        <v>160</v>
      </c>
      <c r="N86" t="s">
        <v>195</v>
      </c>
      <c r="O86" t="s">
        <v>255</v>
      </c>
      <c r="P86">
        <v>0.11713574879027344</v>
      </c>
      <c r="Q86" t="s">
        <v>160</v>
      </c>
      <c r="S86" t="s">
        <v>205</v>
      </c>
      <c r="T86" t="s">
        <v>255</v>
      </c>
      <c r="U86">
        <v>0.11713574879027344</v>
      </c>
      <c r="V86" t="s">
        <v>160</v>
      </c>
      <c r="AK86">
        <v>2040</v>
      </c>
      <c r="AL86" t="s">
        <v>251</v>
      </c>
      <c r="AM86">
        <v>0.3162666666666667</v>
      </c>
      <c r="AN86" t="s">
        <v>218</v>
      </c>
    </row>
    <row r="87" spans="9:40" x14ac:dyDescent="0.45">
      <c r="I87" t="s">
        <v>185</v>
      </c>
      <c r="J87" t="s">
        <v>256</v>
      </c>
      <c r="K87">
        <v>4.6433201543206425E-3</v>
      </c>
      <c r="L87" t="s">
        <v>160</v>
      </c>
      <c r="N87" t="s">
        <v>195</v>
      </c>
      <c r="O87" t="s">
        <v>256</v>
      </c>
      <c r="P87">
        <v>0.13656831351095974</v>
      </c>
      <c r="Q87" t="s">
        <v>160</v>
      </c>
      <c r="S87" t="s">
        <v>205</v>
      </c>
      <c r="T87" t="s">
        <v>256</v>
      </c>
      <c r="U87">
        <v>0.13656831351095974</v>
      </c>
      <c r="V87" t="s">
        <v>160</v>
      </c>
      <c r="AK87">
        <v>2041</v>
      </c>
      <c r="AL87" t="s">
        <v>246</v>
      </c>
      <c r="AM87">
        <v>0.24809999999999999</v>
      </c>
      <c r="AN87" t="s">
        <v>218</v>
      </c>
    </row>
    <row r="88" spans="9:40" x14ac:dyDescent="0.45">
      <c r="I88" t="s">
        <v>185</v>
      </c>
      <c r="J88" t="s">
        <v>257</v>
      </c>
      <c r="K88">
        <v>2.7132399035953388E-2</v>
      </c>
      <c r="L88" t="s">
        <v>160</v>
      </c>
      <c r="N88" t="s">
        <v>195</v>
      </c>
      <c r="O88" t="s">
        <v>257</v>
      </c>
      <c r="P88">
        <v>2.2113859705780396E-2</v>
      </c>
      <c r="Q88" t="s">
        <v>160</v>
      </c>
      <c r="S88" t="s">
        <v>205</v>
      </c>
      <c r="T88" t="s">
        <v>257</v>
      </c>
      <c r="U88">
        <v>2.2113859705780396E-2</v>
      </c>
      <c r="V88" t="s">
        <v>160</v>
      </c>
      <c r="AK88">
        <v>2041</v>
      </c>
      <c r="AL88" t="s">
        <v>248</v>
      </c>
      <c r="AM88">
        <v>0.35220000000000001</v>
      </c>
      <c r="AN88" t="s">
        <v>218</v>
      </c>
    </row>
    <row r="89" spans="9:40" x14ac:dyDescent="0.45">
      <c r="I89" t="s">
        <v>185</v>
      </c>
      <c r="J89" t="s">
        <v>258</v>
      </c>
      <c r="K89">
        <v>0.35291170656437737</v>
      </c>
      <c r="L89" t="s">
        <v>160</v>
      </c>
      <c r="N89" t="s">
        <v>195</v>
      </c>
      <c r="O89" t="s">
        <v>258</v>
      </c>
      <c r="P89">
        <v>7.2744545840703903E-2</v>
      </c>
      <c r="Q89" t="s">
        <v>160</v>
      </c>
      <c r="S89" t="s">
        <v>205</v>
      </c>
      <c r="T89" t="s">
        <v>258</v>
      </c>
      <c r="U89">
        <v>7.2744545840703903E-2</v>
      </c>
      <c r="V89" t="s">
        <v>160</v>
      </c>
      <c r="AK89">
        <v>2041</v>
      </c>
      <c r="AL89" t="s">
        <v>249</v>
      </c>
      <c r="AM89">
        <v>0.26479999999999998</v>
      </c>
      <c r="AN89" t="s">
        <v>218</v>
      </c>
    </row>
    <row r="90" spans="9:40" x14ac:dyDescent="0.45">
      <c r="I90" t="s">
        <v>185</v>
      </c>
      <c r="J90" t="s">
        <v>259</v>
      </c>
      <c r="K90">
        <v>1.733727058075818E-2</v>
      </c>
      <c r="L90" t="s">
        <v>160</v>
      </c>
      <c r="N90" t="s">
        <v>195</v>
      </c>
      <c r="O90" t="s">
        <v>259</v>
      </c>
      <c r="P90">
        <v>9.6370326447266397E-2</v>
      </c>
      <c r="Q90" t="s">
        <v>160</v>
      </c>
      <c r="S90" t="s">
        <v>205</v>
      </c>
      <c r="T90" t="s">
        <v>259</v>
      </c>
      <c r="U90">
        <v>9.6370326447266397E-2</v>
      </c>
      <c r="V90" t="s">
        <v>160</v>
      </c>
      <c r="AK90">
        <v>2041</v>
      </c>
      <c r="AL90" t="s">
        <v>251</v>
      </c>
      <c r="AM90">
        <v>0.36130000000000001</v>
      </c>
      <c r="AN90" t="s">
        <v>218</v>
      </c>
    </row>
    <row r="91" spans="9:40" x14ac:dyDescent="0.45">
      <c r="I91" t="s">
        <v>185</v>
      </c>
      <c r="J91" t="s">
        <v>260</v>
      </c>
      <c r="K91">
        <v>4.4396021654450238E-2</v>
      </c>
      <c r="L91" t="s">
        <v>160</v>
      </c>
      <c r="N91" t="s">
        <v>195</v>
      </c>
      <c r="O91" t="s">
        <v>260</v>
      </c>
      <c r="P91">
        <v>1.5079753622533833E-2</v>
      </c>
      <c r="Q91" t="s">
        <v>160</v>
      </c>
      <c r="S91" t="s">
        <v>205</v>
      </c>
      <c r="T91" t="s">
        <v>260</v>
      </c>
      <c r="U91">
        <v>1.5079753622533833E-2</v>
      </c>
      <c r="V91" t="s">
        <v>160</v>
      </c>
      <c r="AK91">
        <v>2042</v>
      </c>
      <c r="AL91" t="s">
        <v>246</v>
      </c>
      <c r="AM91">
        <v>0.25783333333333336</v>
      </c>
      <c r="AN91" t="s">
        <v>218</v>
      </c>
    </row>
    <row r="92" spans="9:40" x14ac:dyDescent="0.45">
      <c r="I92" t="s">
        <v>185</v>
      </c>
      <c r="J92" t="s">
        <v>261</v>
      </c>
      <c r="K92">
        <v>9.2962163820365054E-2</v>
      </c>
      <c r="L92" t="s">
        <v>160</v>
      </c>
      <c r="N92" t="s">
        <v>195</v>
      </c>
      <c r="O92" t="s">
        <v>261</v>
      </c>
      <c r="P92">
        <v>0.1259030767952779</v>
      </c>
      <c r="Q92" t="s">
        <v>160</v>
      </c>
      <c r="S92" t="s">
        <v>205</v>
      </c>
      <c r="T92" t="s">
        <v>261</v>
      </c>
      <c r="U92">
        <v>0.1259030767952779</v>
      </c>
      <c r="V92" t="s">
        <v>160</v>
      </c>
      <c r="AK92">
        <v>2042</v>
      </c>
      <c r="AL92" t="s">
        <v>248</v>
      </c>
      <c r="AM92">
        <v>0.38863333333333333</v>
      </c>
      <c r="AN92" t="s">
        <v>218</v>
      </c>
    </row>
    <row r="93" spans="9:40" x14ac:dyDescent="0.45">
      <c r="I93" t="s">
        <v>185</v>
      </c>
      <c r="J93" t="s">
        <v>262</v>
      </c>
      <c r="K93">
        <v>0</v>
      </c>
      <c r="L93" t="s">
        <v>160</v>
      </c>
      <c r="N93" t="s">
        <v>195</v>
      </c>
      <c r="O93" t="s">
        <v>262</v>
      </c>
      <c r="P93">
        <v>0.14487204763292522</v>
      </c>
      <c r="Q93" t="s">
        <v>160</v>
      </c>
      <c r="S93" t="s">
        <v>205</v>
      </c>
      <c r="T93" t="s">
        <v>262</v>
      </c>
      <c r="U93">
        <v>0.14487204763292522</v>
      </c>
      <c r="V93" t="s">
        <v>160</v>
      </c>
      <c r="AK93">
        <v>2042</v>
      </c>
      <c r="AL93" t="s">
        <v>249</v>
      </c>
      <c r="AM93">
        <v>0.28593333333333332</v>
      </c>
      <c r="AN93" t="s">
        <v>218</v>
      </c>
    </row>
    <row r="94" spans="9:40" x14ac:dyDescent="0.45">
      <c r="I94" t="s">
        <v>185</v>
      </c>
      <c r="J94" t="s">
        <v>263</v>
      </c>
      <c r="K94">
        <v>1.9579813238865969E-3</v>
      </c>
      <c r="L94" t="s">
        <v>160</v>
      </c>
      <c r="N94" t="s">
        <v>195</v>
      </c>
      <c r="O94" t="s">
        <v>263</v>
      </c>
      <c r="P94">
        <v>2.3703698987857375E-2</v>
      </c>
      <c r="Q94" t="s">
        <v>160</v>
      </c>
      <c r="S94" t="s">
        <v>205</v>
      </c>
      <c r="T94" t="s">
        <v>263</v>
      </c>
      <c r="U94">
        <v>2.3703698987857375E-2</v>
      </c>
      <c r="V94" t="s">
        <v>160</v>
      </c>
      <c r="AK94">
        <v>2042</v>
      </c>
      <c r="AL94" t="s">
        <v>251</v>
      </c>
      <c r="AM94">
        <v>0.35983333333333328</v>
      </c>
      <c r="AN94" t="s">
        <v>218</v>
      </c>
    </row>
    <row r="95" spans="9:40" x14ac:dyDescent="0.45">
      <c r="I95" t="s">
        <v>186</v>
      </c>
      <c r="J95" t="s">
        <v>252</v>
      </c>
      <c r="K95">
        <v>0.17725829797731099</v>
      </c>
      <c r="L95" t="s">
        <v>160</v>
      </c>
      <c r="N95" t="s">
        <v>196</v>
      </c>
      <c r="O95" t="s">
        <v>252</v>
      </c>
      <c r="P95">
        <v>0.11792535869190737</v>
      </c>
      <c r="Q95" t="s">
        <v>160</v>
      </c>
      <c r="S95" t="s">
        <v>206</v>
      </c>
      <c r="T95" t="s">
        <v>252</v>
      </c>
      <c r="U95">
        <v>0.11792535869190737</v>
      </c>
      <c r="V95" t="s">
        <v>160</v>
      </c>
      <c r="AK95">
        <v>2043</v>
      </c>
      <c r="AL95" t="s">
        <v>246</v>
      </c>
      <c r="AM95">
        <v>0.25056666666666666</v>
      </c>
      <c r="AN95" t="s">
        <v>218</v>
      </c>
    </row>
    <row r="96" spans="9:40" x14ac:dyDescent="0.45">
      <c r="I96" t="s">
        <v>186</v>
      </c>
      <c r="J96" t="s">
        <v>253</v>
      </c>
      <c r="K96">
        <v>0</v>
      </c>
      <c r="L96" t="s">
        <v>160</v>
      </c>
      <c r="N96" t="s">
        <v>196</v>
      </c>
      <c r="O96" t="s">
        <v>253</v>
      </c>
      <c r="P96">
        <v>0.10908450431501718</v>
      </c>
      <c r="Q96" t="s">
        <v>160</v>
      </c>
      <c r="S96" t="s">
        <v>206</v>
      </c>
      <c r="T96" t="s">
        <v>253</v>
      </c>
      <c r="U96">
        <v>0.10908450431501718</v>
      </c>
      <c r="V96" t="s">
        <v>160</v>
      </c>
      <c r="AK96">
        <v>2043</v>
      </c>
      <c r="AL96" t="s">
        <v>248</v>
      </c>
      <c r="AM96">
        <v>0.37166666666666665</v>
      </c>
      <c r="AN96" t="s">
        <v>218</v>
      </c>
    </row>
    <row r="97" spans="9:40" x14ac:dyDescent="0.45">
      <c r="I97" t="s">
        <v>186</v>
      </c>
      <c r="J97" t="s">
        <v>254</v>
      </c>
      <c r="K97">
        <v>8.6424209758605101E-3</v>
      </c>
      <c r="L97" t="s">
        <v>160</v>
      </c>
      <c r="N97" t="s">
        <v>196</v>
      </c>
      <c r="O97" t="s">
        <v>254</v>
      </c>
      <c r="P97">
        <v>2.2644303441727947E-2</v>
      </c>
      <c r="Q97" t="s">
        <v>160</v>
      </c>
      <c r="S97" t="s">
        <v>206</v>
      </c>
      <c r="T97" t="s">
        <v>254</v>
      </c>
      <c r="U97">
        <v>2.2644303441727947E-2</v>
      </c>
      <c r="V97" t="s">
        <v>160</v>
      </c>
      <c r="AK97">
        <v>2043</v>
      </c>
      <c r="AL97" t="s">
        <v>249</v>
      </c>
      <c r="AM97">
        <v>0.30756666666666671</v>
      </c>
      <c r="AN97" t="s">
        <v>218</v>
      </c>
    </row>
    <row r="98" spans="9:40" x14ac:dyDescent="0.45">
      <c r="I98" t="s">
        <v>186</v>
      </c>
      <c r="J98" t="s">
        <v>255</v>
      </c>
      <c r="K98">
        <v>0.2768501276251083</v>
      </c>
      <c r="L98" t="s">
        <v>160</v>
      </c>
      <c r="N98" t="s">
        <v>196</v>
      </c>
      <c r="O98" t="s">
        <v>255</v>
      </c>
      <c r="P98">
        <v>0.12900417385589572</v>
      </c>
      <c r="Q98" t="s">
        <v>160</v>
      </c>
      <c r="S98" t="s">
        <v>206</v>
      </c>
      <c r="T98" t="s">
        <v>255</v>
      </c>
      <c r="U98">
        <v>0.12900417385589572</v>
      </c>
      <c r="V98" t="s">
        <v>160</v>
      </c>
      <c r="AK98">
        <v>2043</v>
      </c>
      <c r="AL98" t="s">
        <v>251</v>
      </c>
      <c r="AM98">
        <v>0.30546666666666672</v>
      </c>
      <c r="AN98" t="s">
        <v>218</v>
      </c>
    </row>
    <row r="99" spans="9:40" x14ac:dyDescent="0.45">
      <c r="I99" t="s">
        <v>186</v>
      </c>
      <c r="J99" t="s">
        <v>256</v>
      </c>
      <c r="K99">
        <v>4.4033558883019817E-3</v>
      </c>
      <c r="L99" t="s">
        <v>160</v>
      </c>
      <c r="N99" t="s">
        <v>196</v>
      </c>
      <c r="O99" t="s">
        <v>256</v>
      </c>
      <c r="P99">
        <v>0.12976682307260115</v>
      </c>
      <c r="Q99" t="s">
        <v>160</v>
      </c>
      <c r="S99" t="s">
        <v>206</v>
      </c>
      <c r="T99" t="s">
        <v>256</v>
      </c>
      <c r="U99">
        <v>0.12976682307260115</v>
      </c>
      <c r="V99" t="s">
        <v>160</v>
      </c>
      <c r="AK99">
        <v>2044</v>
      </c>
      <c r="AL99" t="s">
        <v>246</v>
      </c>
      <c r="AM99">
        <v>0.23493333333333333</v>
      </c>
      <c r="AN99" t="s">
        <v>218</v>
      </c>
    </row>
    <row r="100" spans="9:40" x14ac:dyDescent="0.45">
      <c r="I100" t="s">
        <v>186</v>
      </c>
      <c r="J100" t="s">
        <v>257</v>
      </c>
      <c r="K100">
        <v>2.726439009805395E-2</v>
      </c>
      <c r="L100" t="s">
        <v>160</v>
      </c>
      <c r="N100" t="s">
        <v>196</v>
      </c>
      <c r="O100" t="s">
        <v>257</v>
      </c>
      <c r="P100">
        <v>2.4459109733831388E-2</v>
      </c>
      <c r="Q100" t="s">
        <v>160</v>
      </c>
      <c r="S100" t="s">
        <v>206</v>
      </c>
      <c r="T100" t="s">
        <v>257</v>
      </c>
      <c r="U100">
        <v>2.4459109733831388E-2</v>
      </c>
      <c r="V100" t="s">
        <v>160</v>
      </c>
      <c r="AK100">
        <v>2044</v>
      </c>
      <c r="AL100" t="s">
        <v>248</v>
      </c>
      <c r="AM100">
        <v>0.4252333333333333</v>
      </c>
      <c r="AN100" t="s">
        <v>218</v>
      </c>
    </row>
    <row r="101" spans="9:40" x14ac:dyDescent="0.45">
      <c r="I101" t="s">
        <v>186</v>
      </c>
      <c r="J101" t="s">
        <v>258</v>
      </c>
      <c r="K101">
        <v>0.34516234159069531</v>
      </c>
      <c r="L101" t="s">
        <v>160</v>
      </c>
      <c r="N101" t="s">
        <v>196</v>
      </c>
      <c r="O101" t="s">
        <v>258</v>
      </c>
      <c r="P101">
        <v>6.4943259375088311E-2</v>
      </c>
      <c r="Q101" t="s">
        <v>160</v>
      </c>
      <c r="S101" t="s">
        <v>206</v>
      </c>
      <c r="T101" t="s">
        <v>258</v>
      </c>
      <c r="U101">
        <v>6.4943259375088311E-2</v>
      </c>
      <c r="V101" t="s">
        <v>160</v>
      </c>
      <c r="AK101">
        <v>2044</v>
      </c>
      <c r="AL101" t="s">
        <v>249</v>
      </c>
      <c r="AM101">
        <v>0.28436666666666666</v>
      </c>
      <c r="AN101" t="s">
        <v>218</v>
      </c>
    </row>
    <row r="102" spans="9:40" x14ac:dyDescent="0.45">
      <c r="I102" t="s">
        <v>186</v>
      </c>
      <c r="J102" t="s">
        <v>259</v>
      </c>
      <c r="K102">
        <v>1.6038722311216804E-2</v>
      </c>
      <c r="L102" t="s">
        <v>160</v>
      </c>
      <c r="N102" t="s">
        <v>196</v>
      </c>
      <c r="O102" t="s">
        <v>259</v>
      </c>
      <c r="P102">
        <v>6.960092719610525E-2</v>
      </c>
      <c r="Q102" t="s">
        <v>160</v>
      </c>
      <c r="S102" t="s">
        <v>206</v>
      </c>
      <c r="T102" t="s">
        <v>259</v>
      </c>
      <c r="U102">
        <v>6.960092719610525E-2</v>
      </c>
      <c r="V102" t="s">
        <v>160</v>
      </c>
      <c r="AK102">
        <v>2044</v>
      </c>
      <c r="AL102" t="s">
        <v>251</v>
      </c>
      <c r="AM102">
        <v>0.32613333333333333</v>
      </c>
      <c r="AN102" t="s">
        <v>218</v>
      </c>
    </row>
    <row r="103" spans="9:40" x14ac:dyDescent="0.45">
      <c r="I103" t="s">
        <v>186</v>
      </c>
      <c r="J103" t="s">
        <v>260</v>
      </c>
      <c r="K103">
        <v>4.0481230019599364E-2</v>
      </c>
      <c r="L103" t="s">
        <v>160</v>
      </c>
      <c r="N103" t="s">
        <v>196</v>
      </c>
      <c r="O103" t="s">
        <v>260</v>
      </c>
      <c r="P103">
        <v>1.3639470789671268E-2</v>
      </c>
      <c r="Q103" t="s">
        <v>160</v>
      </c>
      <c r="S103" t="s">
        <v>206</v>
      </c>
      <c r="T103" t="s">
        <v>260</v>
      </c>
      <c r="U103">
        <v>1.3639470789671268E-2</v>
      </c>
      <c r="V103" t="s">
        <v>160</v>
      </c>
      <c r="AK103">
        <v>2045</v>
      </c>
      <c r="AL103" t="s">
        <v>246</v>
      </c>
      <c r="AM103">
        <v>0.26843333333333336</v>
      </c>
      <c r="AN103" t="s">
        <v>218</v>
      </c>
    </row>
    <row r="104" spans="9:40" x14ac:dyDescent="0.45">
      <c r="I104" t="s">
        <v>186</v>
      </c>
      <c r="J104" t="s">
        <v>261</v>
      </c>
      <c r="K104">
        <v>0.10236265847811435</v>
      </c>
      <c r="L104" t="s">
        <v>160</v>
      </c>
      <c r="N104" t="s">
        <v>196</v>
      </c>
      <c r="O104" t="s">
        <v>261</v>
      </c>
      <c r="P104">
        <v>0.1416946959316879</v>
      </c>
      <c r="Q104" t="s">
        <v>160</v>
      </c>
      <c r="S104" t="s">
        <v>206</v>
      </c>
      <c r="T104" t="s">
        <v>261</v>
      </c>
      <c r="U104">
        <v>0.1416946959316879</v>
      </c>
      <c r="V104" t="s">
        <v>160</v>
      </c>
      <c r="AK104">
        <v>2045</v>
      </c>
      <c r="AL104" t="s">
        <v>248</v>
      </c>
      <c r="AM104">
        <v>0.3637333333333333</v>
      </c>
      <c r="AN104" t="s">
        <v>218</v>
      </c>
    </row>
    <row r="105" spans="9:40" x14ac:dyDescent="0.45">
      <c r="I105" t="s">
        <v>186</v>
      </c>
      <c r="J105" t="s">
        <v>262</v>
      </c>
      <c r="K105">
        <v>0</v>
      </c>
      <c r="L105" t="s">
        <v>160</v>
      </c>
      <c r="N105" t="s">
        <v>196</v>
      </c>
      <c r="O105" t="s">
        <v>262</v>
      </c>
      <c r="P105">
        <v>0.15031193360297035</v>
      </c>
      <c r="Q105" t="s">
        <v>160</v>
      </c>
      <c r="S105" t="s">
        <v>206</v>
      </c>
      <c r="T105" t="s">
        <v>262</v>
      </c>
      <c r="U105">
        <v>0.15031193360297035</v>
      </c>
      <c r="V105" t="s">
        <v>160</v>
      </c>
      <c r="AK105">
        <v>2045</v>
      </c>
      <c r="AL105" t="s">
        <v>249</v>
      </c>
      <c r="AM105">
        <v>0.2452</v>
      </c>
      <c r="AN105" t="s">
        <v>218</v>
      </c>
    </row>
    <row r="106" spans="9:40" x14ac:dyDescent="0.45">
      <c r="I106" t="s">
        <v>186</v>
      </c>
      <c r="J106" t="s">
        <v>263</v>
      </c>
      <c r="K106">
        <v>1.5364550357378102E-3</v>
      </c>
      <c r="L106" t="s">
        <v>160</v>
      </c>
      <c r="N106" t="s">
        <v>196</v>
      </c>
      <c r="O106" t="s">
        <v>263</v>
      </c>
      <c r="P106">
        <v>2.6925439993494643E-2</v>
      </c>
      <c r="Q106" t="s">
        <v>160</v>
      </c>
      <c r="S106" t="s">
        <v>206</v>
      </c>
      <c r="T106" t="s">
        <v>263</v>
      </c>
      <c r="U106">
        <v>2.6925439993494643E-2</v>
      </c>
      <c r="V106" t="s">
        <v>160</v>
      </c>
      <c r="AK106">
        <v>2045</v>
      </c>
      <c r="AL106" t="s">
        <v>251</v>
      </c>
      <c r="AM106">
        <v>0.37106666666666666</v>
      </c>
      <c r="AN106" t="s">
        <v>218</v>
      </c>
    </row>
    <row r="107" spans="9:40" x14ac:dyDescent="0.45">
      <c r="I107" t="s">
        <v>187</v>
      </c>
      <c r="J107" t="s">
        <v>252</v>
      </c>
      <c r="K107">
        <v>0.17479029374167801</v>
      </c>
      <c r="L107" t="s">
        <v>160</v>
      </c>
      <c r="N107" t="s">
        <v>197</v>
      </c>
      <c r="O107" t="s">
        <v>252</v>
      </c>
      <c r="P107">
        <v>0.12233021484812558</v>
      </c>
      <c r="Q107" t="s">
        <v>160</v>
      </c>
      <c r="S107" t="s">
        <v>207</v>
      </c>
      <c r="T107" t="s">
        <v>252</v>
      </c>
      <c r="U107">
        <v>0.12233021484812558</v>
      </c>
      <c r="V107" t="s">
        <v>160</v>
      </c>
      <c r="AK107">
        <v>2046</v>
      </c>
      <c r="AL107" t="s">
        <v>246</v>
      </c>
      <c r="AM107">
        <v>0.24913333333333332</v>
      </c>
      <c r="AN107" t="s">
        <v>218</v>
      </c>
    </row>
    <row r="108" spans="9:40" x14ac:dyDescent="0.45">
      <c r="I108" t="s">
        <v>187</v>
      </c>
      <c r="J108" t="s">
        <v>253</v>
      </c>
      <c r="K108">
        <v>0</v>
      </c>
      <c r="L108" t="s">
        <v>160</v>
      </c>
      <c r="N108" t="s">
        <v>197</v>
      </c>
      <c r="O108" t="s">
        <v>253</v>
      </c>
      <c r="P108">
        <v>0.11291443436388604</v>
      </c>
      <c r="Q108" t="s">
        <v>160</v>
      </c>
      <c r="S108" t="s">
        <v>207</v>
      </c>
      <c r="T108" t="s">
        <v>253</v>
      </c>
      <c r="U108">
        <v>0.11291443436388604</v>
      </c>
      <c r="V108" t="s">
        <v>160</v>
      </c>
      <c r="AK108">
        <v>2046</v>
      </c>
      <c r="AL108" t="s">
        <v>248</v>
      </c>
      <c r="AM108">
        <v>0.37690000000000001</v>
      </c>
      <c r="AN108" t="s">
        <v>218</v>
      </c>
    </row>
    <row r="109" spans="9:40" x14ac:dyDescent="0.45">
      <c r="I109" t="s">
        <v>187</v>
      </c>
      <c r="J109" t="s">
        <v>254</v>
      </c>
      <c r="K109">
        <v>8.7915563633750755E-3</v>
      </c>
      <c r="L109" t="s">
        <v>160</v>
      </c>
      <c r="N109" t="s">
        <v>197</v>
      </c>
      <c r="O109" t="s">
        <v>254</v>
      </c>
      <c r="P109">
        <v>2.6131438716147766E-2</v>
      </c>
      <c r="Q109" t="s">
        <v>160</v>
      </c>
      <c r="S109" t="s">
        <v>207</v>
      </c>
      <c r="T109" t="s">
        <v>254</v>
      </c>
      <c r="U109">
        <v>2.6131438716147766E-2</v>
      </c>
      <c r="V109" t="s">
        <v>160</v>
      </c>
      <c r="AK109">
        <v>2046</v>
      </c>
      <c r="AL109" t="s">
        <v>249</v>
      </c>
      <c r="AM109">
        <v>0.25943333333333335</v>
      </c>
      <c r="AN109" t="s">
        <v>218</v>
      </c>
    </row>
    <row r="110" spans="9:40" x14ac:dyDescent="0.45">
      <c r="I110" t="s">
        <v>187</v>
      </c>
      <c r="J110" t="s">
        <v>255</v>
      </c>
      <c r="K110">
        <v>0.26950755612244531</v>
      </c>
      <c r="L110" t="s">
        <v>160</v>
      </c>
      <c r="N110" t="s">
        <v>197</v>
      </c>
      <c r="O110" t="s">
        <v>255</v>
      </c>
      <c r="P110">
        <v>0.11997420341050234</v>
      </c>
      <c r="Q110" t="s">
        <v>160</v>
      </c>
      <c r="S110" t="s">
        <v>207</v>
      </c>
      <c r="T110" t="s">
        <v>255</v>
      </c>
      <c r="U110">
        <v>0.11997420341050234</v>
      </c>
      <c r="V110" t="s">
        <v>160</v>
      </c>
      <c r="AK110">
        <v>2046</v>
      </c>
      <c r="AL110" t="s">
        <v>251</v>
      </c>
      <c r="AM110">
        <v>0.30696666666666667</v>
      </c>
      <c r="AN110" t="s">
        <v>218</v>
      </c>
    </row>
    <row r="111" spans="9:40" x14ac:dyDescent="0.45">
      <c r="I111" t="s">
        <v>187</v>
      </c>
      <c r="J111" t="s">
        <v>256</v>
      </c>
      <c r="K111">
        <v>4.0576326886380392E-3</v>
      </c>
      <c r="L111" t="s">
        <v>160</v>
      </c>
      <c r="N111" t="s">
        <v>197</v>
      </c>
      <c r="O111" t="s">
        <v>256</v>
      </c>
      <c r="P111">
        <v>0.1014798800775842</v>
      </c>
      <c r="Q111" t="s">
        <v>160</v>
      </c>
      <c r="S111" t="s">
        <v>207</v>
      </c>
      <c r="T111" t="s">
        <v>256</v>
      </c>
      <c r="U111">
        <v>0.1014798800775842</v>
      </c>
      <c r="V111" t="s">
        <v>160</v>
      </c>
      <c r="AK111">
        <v>2047</v>
      </c>
      <c r="AL111" t="s">
        <v>246</v>
      </c>
      <c r="AM111">
        <v>0.27463333333333334</v>
      </c>
      <c r="AN111" t="s">
        <v>218</v>
      </c>
    </row>
    <row r="112" spans="9:40" x14ac:dyDescent="0.45">
      <c r="I112" t="s">
        <v>187</v>
      </c>
      <c r="J112" t="s">
        <v>257</v>
      </c>
      <c r="K112">
        <v>2.7132140448897855E-2</v>
      </c>
      <c r="L112" t="s">
        <v>160</v>
      </c>
      <c r="N112" t="s">
        <v>197</v>
      </c>
      <c r="O112" t="s">
        <v>257</v>
      </c>
      <c r="P112">
        <v>2.3517820640506414E-2</v>
      </c>
      <c r="Q112" t="s">
        <v>160</v>
      </c>
      <c r="S112" t="s">
        <v>207</v>
      </c>
      <c r="T112" t="s">
        <v>257</v>
      </c>
      <c r="U112">
        <v>2.3517820640506414E-2</v>
      </c>
      <c r="V112" t="s">
        <v>160</v>
      </c>
      <c r="AK112">
        <v>2047</v>
      </c>
      <c r="AL112" t="s">
        <v>248</v>
      </c>
      <c r="AM112">
        <v>0.37989999999999996</v>
      </c>
      <c r="AN112" t="s">
        <v>218</v>
      </c>
    </row>
    <row r="113" spans="9:40" x14ac:dyDescent="0.45">
      <c r="I113" t="s">
        <v>187</v>
      </c>
      <c r="J113" t="s">
        <v>258</v>
      </c>
      <c r="K113">
        <v>0.35325267730456794</v>
      </c>
      <c r="L113" t="s">
        <v>160</v>
      </c>
      <c r="N113" t="s">
        <v>197</v>
      </c>
      <c r="O113" t="s">
        <v>258</v>
      </c>
      <c r="P113">
        <v>5.7332095596119376E-2</v>
      </c>
      <c r="Q113" t="s">
        <v>160</v>
      </c>
      <c r="S113" t="s">
        <v>207</v>
      </c>
      <c r="T113" t="s">
        <v>258</v>
      </c>
      <c r="U113">
        <v>5.7332095596119376E-2</v>
      </c>
      <c r="V113" t="s">
        <v>160</v>
      </c>
      <c r="AK113">
        <v>2047</v>
      </c>
      <c r="AL113" t="s">
        <v>249</v>
      </c>
      <c r="AM113">
        <v>0.28296666666666664</v>
      </c>
      <c r="AN113" t="s">
        <v>218</v>
      </c>
    </row>
    <row r="114" spans="9:40" x14ac:dyDescent="0.45">
      <c r="I114" t="s">
        <v>187</v>
      </c>
      <c r="J114" t="s">
        <v>259</v>
      </c>
      <c r="K114">
        <v>1.6280533721279584E-2</v>
      </c>
      <c r="L114" t="s">
        <v>160</v>
      </c>
      <c r="N114" t="s">
        <v>197</v>
      </c>
      <c r="O114" t="s">
        <v>259</v>
      </c>
      <c r="P114">
        <v>3.3530835611641205E-2</v>
      </c>
      <c r="Q114" t="s">
        <v>160</v>
      </c>
      <c r="S114" t="s">
        <v>207</v>
      </c>
      <c r="T114" t="s">
        <v>259</v>
      </c>
      <c r="U114">
        <v>3.3530835611641205E-2</v>
      </c>
      <c r="V114" t="s">
        <v>160</v>
      </c>
      <c r="AK114">
        <v>2047</v>
      </c>
      <c r="AL114" t="s">
        <v>251</v>
      </c>
      <c r="AM114">
        <v>0.30736666666666662</v>
      </c>
      <c r="AN114" t="s">
        <v>218</v>
      </c>
    </row>
    <row r="115" spans="9:40" x14ac:dyDescent="0.45">
      <c r="I115" t="s">
        <v>187</v>
      </c>
      <c r="J115" t="s">
        <v>260</v>
      </c>
      <c r="K115">
        <v>4.1036473549637777E-2</v>
      </c>
      <c r="L115" t="s">
        <v>160</v>
      </c>
      <c r="N115" t="s">
        <v>197</v>
      </c>
      <c r="O115" t="s">
        <v>260</v>
      </c>
      <c r="P115">
        <v>1.2344916252045307E-2</v>
      </c>
      <c r="Q115" t="s">
        <v>160</v>
      </c>
      <c r="S115" t="s">
        <v>207</v>
      </c>
      <c r="T115" t="s">
        <v>260</v>
      </c>
      <c r="U115">
        <v>1.2344916252045307E-2</v>
      </c>
      <c r="V115" t="s">
        <v>160</v>
      </c>
      <c r="AK115">
        <v>2048</v>
      </c>
      <c r="AL115" t="s">
        <v>246</v>
      </c>
      <c r="AM115">
        <v>0.25659999999999999</v>
      </c>
      <c r="AN115" t="s">
        <v>218</v>
      </c>
    </row>
    <row r="116" spans="9:40" x14ac:dyDescent="0.45">
      <c r="I116" t="s">
        <v>187</v>
      </c>
      <c r="J116" t="s">
        <v>261</v>
      </c>
      <c r="K116">
        <v>0.10316568456111236</v>
      </c>
      <c r="L116" t="s">
        <v>160</v>
      </c>
      <c r="N116" t="s">
        <v>197</v>
      </c>
      <c r="O116" t="s">
        <v>261</v>
      </c>
      <c r="P116">
        <v>0.17892505963641514</v>
      </c>
      <c r="Q116" t="s">
        <v>160</v>
      </c>
      <c r="S116" t="s">
        <v>207</v>
      </c>
      <c r="T116" t="s">
        <v>261</v>
      </c>
      <c r="U116">
        <v>0.17892505963641514</v>
      </c>
      <c r="V116" t="s">
        <v>160</v>
      </c>
      <c r="AK116">
        <v>2048</v>
      </c>
      <c r="AL116" t="s">
        <v>248</v>
      </c>
      <c r="AM116">
        <v>0.33959999999999996</v>
      </c>
      <c r="AN116" t="s">
        <v>218</v>
      </c>
    </row>
    <row r="117" spans="9:40" x14ac:dyDescent="0.45">
      <c r="I117" t="s">
        <v>187</v>
      </c>
      <c r="J117" t="s">
        <v>262</v>
      </c>
      <c r="K117">
        <v>0</v>
      </c>
      <c r="L117" t="s">
        <v>160</v>
      </c>
      <c r="N117" t="s">
        <v>197</v>
      </c>
      <c r="O117" t="s">
        <v>262</v>
      </c>
      <c r="P117">
        <v>0.1778161603146852</v>
      </c>
      <c r="Q117" t="s">
        <v>160</v>
      </c>
      <c r="S117" t="s">
        <v>207</v>
      </c>
      <c r="T117" t="s">
        <v>262</v>
      </c>
      <c r="U117">
        <v>0.1778161603146852</v>
      </c>
      <c r="V117" t="s">
        <v>160</v>
      </c>
      <c r="AK117">
        <v>2048</v>
      </c>
      <c r="AL117" t="s">
        <v>249</v>
      </c>
      <c r="AM117">
        <v>0.26856666666666668</v>
      </c>
      <c r="AN117" t="s">
        <v>218</v>
      </c>
    </row>
    <row r="118" spans="9:40" x14ac:dyDescent="0.45">
      <c r="I118" t="s">
        <v>187</v>
      </c>
      <c r="J118" t="s">
        <v>263</v>
      </c>
      <c r="K118">
        <v>1.985451498366579E-3</v>
      </c>
      <c r="L118" t="s">
        <v>160</v>
      </c>
      <c r="N118" t="s">
        <v>197</v>
      </c>
      <c r="O118" t="s">
        <v>263</v>
      </c>
      <c r="P118">
        <v>3.3702940532342386E-2</v>
      </c>
      <c r="Q118" t="s">
        <v>160</v>
      </c>
      <c r="S118" t="s">
        <v>207</v>
      </c>
      <c r="T118" t="s">
        <v>263</v>
      </c>
      <c r="U118">
        <v>3.3702940532342386E-2</v>
      </c>
      <c r="V118" t="s">
        <v>160</v>
      </c>
      <c r="AK118">
        <v>2048</v>
      </c>
      <c r="AL118" t="s">
        <v>251</v>
      </c>
      <c r="AM118">
        <v>0.30363333333333337</v>
      </c>
      <c r="AN118" t="s">
        <v>218</v>
      </c>
    </row>
    <row r="119" spans="9:40" x14ac:dyDescent="0.45">
      <c r="I119" t="s">
        <v>188</v>
      </c>
      <c r="J119" t="s">
        <v>252</v>
      </c>
      <c r="K119">
        <v>0.18107840513715986</v>
      </c>
      <c r="L119" t="s">
        <v>160</v>
      </c>
      <c r="N119" t="s">
        <v>198</v>
      </c>
      <c r="O119" t="s">
        <v>252</v>
      </c>
      <c r="P119">
        <v>0.12485628947432369</v>
      </c>
      <c r="Q119" t="s">
        <v>160</v>
      </c>
      <c r="S119" t="s">
        <v>208</v>
      </c>
      <c r="T119" t="s">
        <v>252</v>
      </c>
      <c r="U119">
        <v>0.12485628947432369</v>
      </c>
      <c r="V119" t="s">
        <v>160</v>
      </c>
      <c r="AK119">
        <v>2049</v>
      </c>
      <c r="AL119" t="s">
        <v>246</v>
      </c>
      <c r="AM119">
        <v>0.23303333333333334</v>
      </c>
      <c r="AN119" t="s">
        <v>218</v>
      </c>
    </row>
    <row r="120" spans="9:40" x14ac:dyDescent="0.45">
      <c r="I120" t="s">
        <v>188</v>
      </c>
      <c r="J120" t="s">
        <v>253</v>
      </c>
      <c r="K120">
        <v>0</v>
      </c>
      <c r="L120" t="s">
        <v>160</v>
      </c>
      <c r="N120" t="s">
        <v>198</v>
      </c>
      <c r="O120" t="s">
        <v>253</v>
      </c>
      <c r="P120">
        <v>0.12346347098821883</v>
      </c>
      <c r="Q120" t="s">
        <v>160</v>
      </c>
      <c r="S120" t="s">
        <v>208</v>
      </c>
      <c r="T120" t="s">
        <v>253</v>
      </c>
      <c r="U120">
        <v>0.12346347098821883</v>
      </c>
      <c r="V120" t="s">
        <v>160</v>
      </c>
      <c r="AK120">
        <v>2049</v>
      </c>
      <c r="AL120" t="s">
        <v>248</v>
      </c>
      <c r="AM120">
        <v>0.35616666666666669</v>
      </c>
      <c r="AN120" t="s">
        <v>218</v>
      </c>
    </row>
    <row r="121" spans="9:40" x14ac:dyDescent="0.45">
      <c r="I121" t="s">
        <v>188</v>
      </c>
      <c r="J121" t="s">
        <v>254</v>
      </c>
      <c r="K121">
        <v>8.9653431274686543E-3</v>
      </c>
      <c r="L121" t="s">
        <v>160</v>
      </c>
      <c r="N121" t="s">
        <v>198</v>
      </c>
      <c r="O121" t="s">
        <v>254</v>
      </c>
      <c r="P121">
        <v>2.5562154969784048E-2</v>
      </c>
      <c r="Q121" t="s">
        <v>160</v>
      </c>
      <c r="S121" t="s">
        <v>208</v>
      </c>
      <c r="T121" t="s">
        <v>254</v>
      </c>
      <c r="U121">
        <v>2.5562154969784048E-2</v>
      </c>
      <c r="V121" t="s">
        <v>160</v>
      </c>
      <c r="AK121">
        <v>2049</v>
      </c>
      <c r="AL121" t="s">
        <v>249</v>
      </c>
      <c r="AM121">
        <v>0.31403333333333333</v>
      </c>
      <c r="AN121" t="s">
        <v>218</v>
      </c>
    </row>
    <row r="122" spans="9:40" x14ac:dyDescent="0.45">
      <c r="I122" t="s">
        <v>188</v>
      </c>
      <c r="J122" t="s">
        <v>255</v>
      </c>
      <c r="K122">
        <v>0.27090214253615563</v>
      </c>
      <c r="L122" t="s">
        <v>160</v>
      </c>
      <c r="N122" t="s">
        <v>198</v>
      </c>
      <c r="O122" t="s">
        <v>255</v>
      </c>
      <c r="P122">
        <v>0.12384841991480763</v>
      </c>
      <c r="Q122" t="s">
        <v>160</v>
      </c>
      <c r="S122" t="s">
        <v>208</v>
      </c>
      <c r="T122" t="s">
        <v>255</v>
      </c>
      <c r="U122">
        <v>0.12384841991480763</v>
      </c>
      <c r="V122" t="s">
        <v>160</v>
      </c>
      <c r="AK122">
        <v>2049</v>
      </c>
      <c r="AL122" t="s">
        <v>251</v>
      </c>
      <c r="AM122">
        <v>0.29913333333333336</v>
      </c>
      <c r="AN122" t="s">
        <v>218</v>
      </c>
    </row>
    <row r="123" spans="9:40" x14ac:dyDescent="0.45">
      <c r="I123" t="s">
        <v>188</v>
      </c>
      <c r="J123" t="s">
        <v>256</v>
      </c>
      <c r="K123">
        <v>4.1968287535708989E-3</v>
      </c>
      <c r="L123" t="s">
        <v>160</v>
      </c>
      <c r="N123" t="s">
        <v>198</v>
      </c>
      <c r="O123" t="s">
        <v>256</v>
      </c>
      <c r="P123">
        <v>0.11262384604870476</v>
      </c>
      <c r="Q123" t="s">
        <v>160</v>
      </c>
      <c r="S123" t="s">
        <v>208</v>
      </c>
      <c r="T123" t="s">
        <v>256</v>
      </c>
      <c r="U123">
        <v>0.11262384604870476</v>
      </c>
      <c r="V123" t="s">
        <v>160</v>
      </c>
      <c r="AK123">
        <v>2050</v>
      </c>
      <c r="AL123" t="s">
        <v>246</v>
      </c>
      <c r="AM123">
        <v>0.21543333333333334</v>
      </c>
      <c r="AN123" t="s">
        <v>218</v>
      </c>
    </row>
    <row r="124" spans="9:40" x14ac:dyDescent="0.45">
      <c r="I124" t="s">
        <v>188</v>
      </c>
      <c r="J124" t="s">
        <v>257</v>
      </c>
      <c r="K124">
        <v>2.7270336197928992E-2</v>
      </c>
      <c r="L124" t="s">
        <v>160</v>
      </c>
      <c r="N124" t="s">
        <v>198</v>
      </c>
      <c r="O124" t="s">
        <v>257</v>
      </c>
      <c r="P124">
        <v>2.2570140540621616E-2</v>
      </c>
      <c r="Q124" t="s">
        <v>160</v>
      </c>
      <c r="S124" t="s">
        <v>208</v>
      </c>
      <c r="T124" t="s">
        <v>257</v>
      </c>
      <c r="U124">
        <v>2.2570140540621616E-2</v>
      </c>
      <c r="V124" t="s">
        <v>160</v>
      </c>
      <c r="AK124">
        <v>2050</v>
      </c>
      <c r="AL124" t="s">
        <v>248</v>
      </c>
      <c r="AM124">
        <v>0.29656666666666665</v>
      </c>
      <c r="AN124" t="s">
        <v>218</v>
      </c>
    </row>
    <row r="125" spans="9:40" x14ac:dyDescent="0.45">
      <c r="I125" t="s">
        <v>188</v>
      </c>
      <c r="J125" t="s">
        <v>258</v>
      </c>
      <c r="K125">
        <v>0.35034934249717259</v>
      </c>
      <c r="L125" t="s">
        <v>160</v>
      </c>
      <c r="N125" t="s">
        <v>198</v>
      </c>
      <c r="O125" t="s">
        <v>258</v>
      </c>
      <c r="P125">
        <v>6.0694178431902231E-2</v>
      </c>
      <c r="Q125" t="s">
        <v>160</v>
      </c>
      <c r="S125" t="s">
        <v>208</v>
      </c>
      <c r="T125" t="s">
        <v>258</v>
      </c>
      <c r="U125">
        <v>6.0694178431902231E-2</v>
      </c>
      <c r="V125" t="s">
        <v>160</v>
      </c>
      <c r="AK125">
        <v>2050</v>
      </c>
      <c r="AL125" t="s">
        <v>249</v>
      </c>
      <c r="AM125">
        <v>0.23256666666666667</v>
      </c>
      <c r="AN125" t="s">
        <v>218</v>
      </c>
    </row>
    <row r="126" spans="9:40" x14ac:dyDescent="0.45">
      <c r="I126" t="s">
        <v>188</v>
      </c>
      <c r="J126" t="s">
        <v>259</v>
      </c>
      <c r="K126">
        <v>1.5087030257477756E-2</v>
      </c>
      <c r="L126" t="s">
        <v>160</v>
      </c>
      <c r="N126" t="s">
        <v>198</v>
      </c>
      <c r="O126" t="s">
        <v>259</v>
      </c>
      <c r="P126">
        <v>5.4927212658181838E-2</v>
      </c>
      <c r="Q126" t="s">
        <v>160</v>
      </c>
      <c r="S126" t="s">
        <v>208</v>
      </c>
      <c r="T126" t="s">
        <v>259</v>
      </c>
      <c r="U126">
        <v>5.4927212658181838E-2</v>
      </c>
      <c r="V126" t="s">
        <v>160</v>
      </c>
      <c r="AK126">
        <v>2050</v>
      </c>
      <c r="AL126" t="s">
        <v>251</v>
      </c>
      <c r="AM126">
        <v>0.31553333333333328</v>
      </c>
      <c r="AN126" t="s">
        <v>218</v>
      </c>
    </row>
    <row r="127" spans="9:40" x14ac:dyDescent="0.45">
      <c r="I127" t="s">
        <v>188</v>
      </c>
      <c r="J127" t="s">
        <v>260</v>
      </c>
      <c r="K127">
        <v>4.1458845518876832E-2</v>
      </c>
      <c r="L127" t="s">
        <v>160</v>
      </c>
      <c r="N127" t="s">
        <v>198</v>
      </c>
      <c r="O127" t="s">
        <v>260</v>
      </c>
      <c r="P127">
        <v>1.30415572100644E-2</v>
      </c>
      <c r="Q127" t="s">
        <v>160</v>
      </c>
      <c r="S127" t="s">
        <v>208</v>
      </c>
      <c r="T127" t="s">
        <v>260</v>
      </c>
      <c r="U127">
        <v>1.30415572100644E-2</v>
      </c>
      <c r="V127" t="s">
        <v>160</v>
      </c>
    </row>
    <row r="128" spans="9:40" x14ac:dyDescent="0.45">
      <c r="I128" t="s">
        <v>188</v>
      </c>
      <c r="J128" t="s">
        <v>261</v>
      </c>
      <c r="K128">
        <v>9.8926270867857935E-2</v>
      </c>
      <c r="L128" t="s">
        <v>160</v>
      </c>
      <c r="N128" t="s">
        <v>198</v>
      </c>
      <c r="O128" t="s">
        <v>261</v>
      </c>
      <c r="P128">
        <v>0.15482035171133485</v>
      </c>
      <c r="Q128" t="s">
        <v>160</v>
      </c>
      <c r="S128" t="s">
        <v>208</v>
      </c>
      <c r="T128" t="s">
        <v>261</v>
      </c>
      <c r="U128">
        <v>0.15482035171133485</v>
      </c>
      <c r="V128" t="s">
        <v>160</v>
      </c>
    </row>
    <row r="129" spans="9:22" x14ac:dyDescent="0.45">
      <c r="I129" t="s">
        <v>188</v>
      </c>
      <c r="J129" t="s">
        <v>262</v>
      </c>
      <c r="K129">
        <v>0</v>
      </c>
      <c r="L129" t="s">
        <v>160</v>
      </c>
      <c r="N129" t="s">
        <v>198</v>
      </c>
      <c r="O129" t="s">
        <v>262</v>
      </c>
      <c r="P129">
        <v>0.15361622655289658</v>
      </c>
      <c r="Q129" t="s">
        <v>160</v>
      </c>
      <c r="S129" t="s">
        <v>208</v>
      </c>
      <c r="T129" t="s">
        <v>262</v>
      </c>
      <c r="U129">
        <v>0.15361622655289658</v>
      </c>
      <c r="V129" t="s">
        <v>160</v>
      </c>
    </row>
    <row r="130" spans="9:22" x14ac:dyDescent="0.45">
      <c r="I130" t="s">
        <v>188</v>
      </c>
      <c r="J130" t="s">
        <v>263</v>
      </c>
      <c r="K130">
        <v>1.7654551063319653E-3</v>
      </c>
      <c r="L130" t="s">
        <v>160</v>
      </c>
      <c r="N130" t="s">
        <v>198</v>
      </c>
      <c r="O130" t="s">
        <v>263</v>
      </c>
      <c r="P130">
        <v>2.9976151499156816E-2</v>
      </c>
      <c r="Q130" t="s">
        <v>160</v>
      </c>
      <c r="S130" t="s">
        <v>208</v>
      </c>
      <c r="T130" t="s">
        <v>263</v>
      </c>
      <c r="U130">
        <v>2.9976151499156816E-2</v>
      </c>
      <c r="V130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2026-05-25T08:42:47Z</dcterms:modified>
</cp:coreProperties>
</file>