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VK_grids_kan\SubRES_Tmpl\"/>
    </mc:Choice>
  </mc:AlternateContent>
  <xr:revisionPtr revIDLastSave="0" documentId="8_{B2822E59-DA56-4EBA-9D24-B9B371434B28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<sst xmlns="http://schemas.openxmlformats.org/spreadsheetml/2006/main" count="1234" uniqueCount="360">
  <si>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</si>
  <si>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</si>
  <si>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</si>
  <si>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</si>
  <si>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</si>
  <si>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</si>
  <si>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</si>
  <si>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</si>
  <si>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</si>
  <si>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</si>
  <si>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</si>
  <si>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</si>
  <si>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</si>
  <si>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</si>
  <si>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</si>
  <si>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</si>
  <si>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</si>
  <si>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</si>
  <si>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</si>
  <si>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</si>
  <si>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</si>
  <si>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</si>
  <si>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</si>
  <si>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</si>
  <si>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</si>
  <si>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</si>
  <si>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</si>
  <si>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</si>
  <si>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</si>
  <si>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</si>
  <si>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</si>
  <si>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</si>
  <si>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</si>
  <si>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</si>
  <si>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</si>
  <si>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</si>
  <si>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</si>
  <si>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</si>
  <si>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</si>
  <si>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</si>
  <si>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</si>
  <si>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</si>
  <si>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</si>
  <si>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</si>
  <si>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</si>
  <si>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</si>
  <si>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</si>
  <si>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</si>
  <si>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</si>
  <si>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</si>
  <si>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</si>
  <si>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</si>
  <si>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</si>
  <si>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</si>
  <si>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</si>
  <si>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</si>
  <si>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</si>
  <si>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</si>
  <si>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</si>
  <si>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</si>
  <si>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</si>
  <si>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</si>
  <si>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</si>
  <si>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</si>
  <si>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</si>
  <si>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</si>
  <si>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</si>
  <si>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</si>
  <si>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</si>
  <si>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</si>
  <si>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</si>
  <si>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</si>
  <si>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</si>
  <si>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</si>
  <si>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</si>
  <si>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</si>
  <si>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</si>
  <si>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</si>
  <si>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</si>
  <si>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</si>
  <si>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</si>
  <si>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</si>
  <si>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</si>
  <si>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</si>
  <si>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</si>
  <si>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</si>
  <si>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</si>
  <si>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</si>
  <si>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</si>
  <si>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</si>
  <si>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</si>
  <si>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</si>
  <si>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</si>
  <si>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</si>
  <si>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</si>
  <si>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</si>
  <si>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</si>
  <si>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</si>
  <si>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</si>
  <si>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</si>
  <si>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</si>
  <si>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</si>
  <si>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</si>
  <si>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</si>
  <si>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</si>
  <si>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</si>
  <si>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</si>
  <si>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</si>
  <si>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</si>
  <si>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</si>
  <si>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</si>
  <si>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</si>
  <si>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</si>
  <si>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</si>
  <si>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</si>
  <si>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</si>
  <si>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</si>
  <si>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</si>
  <si>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</si>
  <si>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</si>
  <si>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</si>
  <si>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</si>
  <si>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</si>
  <si>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</si>
  <si>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</si>
  <si>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</si>
  <si>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</si>
  <si>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</si>
  <si>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</si>
  <si>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</si>
  <si>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</si>
  <si>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</si>
  <si>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</si>
  <si>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</si>
  <si>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</si>
  <si>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</si>
  <si>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</si>
  <si>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</si>
  <si>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</si>
  <si>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</si>
  <si>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</si>
  <si>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</si>
  <si>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</si>
  <si>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</si>
  <si>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</si>
  <si>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</si>
  <si>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</si>
  <si>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</si>
  <si>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</si>
  <si>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</si>
  <si>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</si>
  <si>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</si>
  <si>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</si>
  <si>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</si>
  <si>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</si>
  <si>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</si>
  <si>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</si>
  <si>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</si>
  <si>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</si>
  <si>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</si>
  <si>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</si>
  <si>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</si>
  <si>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</si>
  <si>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</si>
  <si>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</si>
  <si>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</si>
  <si>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</si>
  <si>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</si>
  <si>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</si>
  <si>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</si>
  <si>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</si>
  <si>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</si>
  <si>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</si>
  <si>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e_spv_SVK_001</t>
  </si>
  <si>
    <t>solar resource in cluster 1</t>
  </si>
  <si>
    <t>annual</t>
  </si>
  <si>
    <t>no</t>
  </si>
  <si>
    <t>e_spv_SVK_002</t>
  </si>
  <si>
    <t>solar resource in cluster 2</t>
  </si>
  <si>
    <t>e_spv_SVK_003</t>
  </si>
  <si>
    <t>solar resource in cluster 3</t>
  </si>
  <si>
    <t>e_spv_SVK_004</t>
  </si>
  <si>
    <t>solar resource in cluster 4</t>
  </si>
  <si>
    <t>e_spv_SVK_005</t>
  </si>
  <si>
    <t>solar resource in cluster 5</t>
  </si>
  <si>
    <t>e_spv_SVK_006</t>
  </si>
  <si>
    <t>solar resource in cluster 6</t>
  </si>
  <si>
    <t>e_spv_SVK_007</t>
  </si>
  <si>
    <t>solar resource in cluster 7</t>
  </si>
  <si>
    <t>e_spv_SVK_008</t>
  </si>
  <si>
    <t>solar resource in cluster 8</t>
  </si>
  <si>
    <t>e_spv_SVK_009</t>
  </si>
  <si>
    <t>solar resource in cluster 9</t>
  </si>
  <si>
    <t>e_spv_SVK_010</t>
  </si>
  <si>
    <t>solar resource in cluster 10</t>
  </si>
  <si>
    <t>~fi_t</t>
  </si>
  <si>
    <t>comm-out</t>
  </si>
  <si>
    <t>cap_bnd</t>
  </si>
  <si>
    <t>af~fx</t>
  </si>
  <si>
    <t>elc_spv_SVK_001</t>
  </si>
  <si>
    <t>elc_spv_SVK_002</t>
  </si>
  <si>
    <t>elc_spv_SVK_003</t>
  </si>
  <si>
    <t>elc_spv_SVK_004</t>
  </si>
  <si>
    <t>elc_spv_SVK_005</t>
  </si>
  <si>
    <t>elc_spv_SVK_006</t>
  </si>
  <si>
    <t>elc_spv_SVK_007</t>
  </si>
  <si>
    <t>elc_spv_SVK_008</t>
  </si>
  <si>
    <t>elc_spv_SVK_009</t>
  </si>
  <si>
    <t>elc_spv_SVK_010</t>
  </si>
  <si>
    <t>primarycg</t>
  </si>
  <si>
    <t>pre</t>
  </si>
  <si>
    <t>distr_solelc_spv_SVK_006</t>
  </si>
  <si>
    <t>connecting solar to buses in cluster 6</t>
  </si>
  <si>
    <t>NRGI</t>
  </si>
  <si>
    <t>daynite</t>
  </si>
  <si>
    <t>distr_solelc_spv_SVK_008</t>
  </si>
  <si>
    <t>connecting solar to buses in cluster 8</t>
  </si>
  <si>
    <t>distr_solelc_spv_SVK_002</t>
  </si>
  <si>
    <t>connecting solar to buses in cluster 2</t>
  </si>
  <si>
    <t>distr_solelc_spv_SVK_001</t>
  </si>
  <si>
    <t>connecting solar to buses in cluster 1</t>
  </si>
  <si>
    <t>distr_solelc_spv_SVK_004</t>
  </si>
  <si>
    <t>connecting solar to buses in cluster 4</t>
  </si>
  <si>
    <t>distr_solelc_spv_SVK_005</t>
  </si>
  <si>
    <t>connecting solar to buses in cluster 5</t>
  </si>
  <si>
    <t>distr_solelc_spv_SVK_007</t>
  </si>
  <si>
    <t>connecting solar to buses in cluster 7</t>
  </si>
  <si>
    <t>distr_solelc_spv_SVK_003</t>
  </si>
  <si>
    <t>connecting solar to buses in cluster 3</t>
  </si>
  <si>
    <t>distr_solelc_spv_SVK_010</t>
  </si>
  <si>
    <t>connecting solar to buses in cluster 10</t>
  </si>
  <si>
    <t>distr_solelc_spv_SVK_009</t>
  </si>
  <si>
    <t>connecting solar to buses in cluster 9</t>
  </si>
  <si>
    <t>comm-in</t>
  </si>
  <si>
    <t>ncap_cost~USD21_alt</t>
  </si>
  <si>
    <t>e_w5131796-400_SVK,e_w656435549-220_SVK</t>
  </si>
  <si>
    <t>e_SK6-220_SVK,e_w672771472-400_SVK,e_w639671352-220_SVK</t>
  </si>
  <si>
    <t>e_SK2-400_SVK</t>
  </si>
  <si>
    <t>e_w175052362-400_SVK,e_w556969469-400_SVK</t>
  </si>
  <si>
    <t>e_w111687967-400_SVK,e_w203232760-400_SVK</t>
  </si>
  <si>
    <t>e_SK19-400_SVK,e_w666404730-400_SVK,e_r11038054-400_SVK,e_w100979306-400_SVK</t>
  </si>
  <si>
    <t>e_w199900178-220_SVK,e_SK10-220_SVK,e_w656435549-220_SVK,e_w614130490-400_SVK</t>
  </si>
  <si>
    <t>e_w203232760-400_SVK,e_w666404730-400_SVK,e_w100979306-400_SVK</t>
  </si>
  <si>
    <t>e_w128968280-400_SVK,e_SK24-400_SVK,e_w111687967-400_SVK</t>
  </si>
  <si>
    <t>e_w229685438-400_SVK,e_SK11-220_SVK,e_w107626084-400_SVK</t>
  </si>
  <si>
    <t>distr_wonelc_won_SVK_010</t>
  </si>
  <si>
    <t>connecting wind onshore to buses in cluster 10</t>
  </si>
  <si>
    <t>distr_wonelc_won_SVK_002</t>
  </si>
  <si>
    <t>connecting wind onshore to buses in cluster 2</t>
  </si>
  <si>
    <t>distr_wonelc_won_SVK_003</t>
  </si>
  <si>
    <t>connecting wind onshore to buses in cluster 3</t>
  </si>
  <si>
    <t>distr_wonelc_won_SVK_006</t>
  </si>
  <si>
    <t>connecting wind onshore to buses in cluster 6</t>
  </si>
  <si>
    <t>distr_wonelc_won_SVK_008</t>
  </si>
  <si>
    <t>connecting wind onshore to buses in cluster 8</t>
  </si>
  <si>
    <t>distr_wonelc_won_SVK_001</t>
  </si>
  <si>
    <t>connecting wind onshore to buses in cluster 1</t>
  </si>
  <si>
    <t>distr_wonelc_won_SVK_009</t>
  </si>
  <si>
    <t>connecting wind onshore to buses in cluster 9</t>
  </si>
  <si>
    <t>distr_wonelc_won_SVK_005</t>
  </si>
  <si>
    <t>connecting wind onshore to buses in cluster 5</t>
  </si>
  <si>
    <t>distr_wonelc_won_SVK_007</t>
  </si>
  <si>
    <t>connecting wind onshore to buses in cluster 7</t>
  </si>
  <si>
    <t>distr_wonelc_won_SVK_004</t>
  </si>
  <si>
    <t>connecting wind onshore to buses in cluster 4</t>
  </si>
  <si>
    <t>elc_won_SVK_010</t>
  </si>
  <si>
    <t>e_w666404730-400_SVK,e_w100979306-400_SVK,e_SK2-400_SVK</t>
  </si>
  <si>
    <t>elc_won_SVK_002</t>
  </si>
  <si>
    <t>e_SK19-400_SVK,e_r11038054-400_SVK,e_w175052362-400_SVK</t>
  </si>
  <si>
    <t>elc_won_SVK_003</t>
  </si>
  <si>
    <t>e_w128968280-400_SVK,e_SK24-400_SVK</t>
  </si>
  <si>
    <t>elc_won_SVK_006</t>
  </si>
  <si>
    <t>e_w229685438-400_SVK,e_SK11-220_SVK</t>
  </si>
  <si>
    <t>elc_won_SVK_008</t>
  </si>
  <si>
    <t>e_SK10-220_SVK,e_w614130490-400_SVK,e_SK6-220_SVK,e_w672771472-400_SVK</t>
  </si>
  <si>
    <t>elc_won_SVK_001</t>
  </si>
  <si>
    <t>e_w666404730-400_SVK,e_w100979306-400_SVK,e_w556969469-400_SVK</t>
  </si>
  <si>
    <t>elc_won_SVK_009</t>
  </si>
  <si>
    <t>e_w639671352-220_SVK,e_w203232760-400_SVK</t>
  </si>
  <si>
    <t>elc_won_SVK_005</t>
  </si>
  <si>
    <t>e_w111687967-400_SVK</t>
  </si>
  <si>
    <t>elc_won_SVK_007</t>
  </si>
  <si>
    <t>e_w5131796-400_SVK,e_w199900178-220_SVK,e_w656435549-220_SVK</t>
  </si>
  <si>
    <t>elc_won_SVK_004</t>
  </si>
  <si>
    <t>e_w107626084-400_SVK</t>
  </si>
  <si>
    <t>e_won_SVK_001</t>
  </si>
  <si>
    <t>wind resource in cluster 1</t>
  </si>
  <si>
    <t>e_won_SVK_002</t>
  </si>
  <si>
    <t>wind resource in cluster 2</t>
  </si>
  <si>
    <t>e_won_SVK_003</t>
  </si>
  <si>
    <t>wind resource in cluster 3</t>
  </si>
  <si>
    <t>e_won_SVK_004</t>
  </si>
  <si>
    <t>wind resource in cluster 4</t>
  </si>
  <si>
    <t>e_won_SVK_005</t>
  </si>
  <si>
    <t>wind resource in cluster 5</t>
  </si>
  <si>
    <t>e_won_SVK_006</t>
  </si>
  <si>
    <t>wind resource in cluster 6</t>
  </si>
  <si>
    <t>e_won_SVK_007</t>
  </si>
  <si>
    <t>wind resource in cluster 7</t>
  </si>
  <si>
    <t>e_won_SVK_008</t>
  </si>
  <si>
    <t>wind resource in cluster 8</t>
  </si>
  <si>
    <t>e_won_SVK_009</t>
  </si>
  <si>
    <t>wind resource in cluster 9</t>
  </si>
  <si>
    <t>e_won_SVK_010</t>
  </si>
  <si>
    <t>wind resource in cluster 10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</si>
  <si>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</si>
  <si>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</si>
  <si>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</si>
  <si>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</si>
  <si>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</si>
  <si>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</si>
  <si>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</si>
  <si>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</si>
  <si>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</si>
  <si>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</si>
  <si>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</si>
  <si>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</si>
  <si>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</si>
  <si>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</si>
  <si>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</si>
  <si>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</si>
  <si>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</si>
  <si>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</si>
  <si>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</si>
  <si>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</si>
  <si>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</si>
  <si>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</si>
  <si>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</si>
  <si>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stepdown_w100979306_SVK_400to220</t>
  </si>
  <si>
    <t>e_w100979306-400_SVK</t>
  </si>
  <si>
    <t>e_w100979306-220_SVK</t>
  </si>
  <si>
    <t>stepup_w100979306_SVK_220to400</t>
  </si>
  <si>
    <t>stepdown_w146531966_SVK_400to220</t>
  </si>
  <si>
    <t>e_w146531966-400_SVK</t>
  </si>
  <si>
    <t>e_w146531966-220_SVK</t>
  </si>
  <si>
    <t>stepup_w146531966_SVK_220to400</t>
  </si>
  <si>
    <t>stepdown_w239560640_SVK_400to220</t>
  </si>
  <si>
    <t>e_w239560640-400_SVK</t>
  </si>
  <si>
    <t>e_w239560640-220_SVK</t>
  </si>
  <si>
    <t>stepup_w239560640_SVK_220to400</t>
  </si>
  <si>
    <t>stepdown_w51982806_SVK_400to220</t>
  </si>
  <si>
    <t>e_w51982806-400_SVK</t>
  </si>
  <si>
    <t>e_w51982806-220_SVK</t>
  </si>
  <si>
    <t>stepup_w51982806_SVK_220to400</t>
  </si>
  <si>
    <t>stepdown_w783483874_SVK_400to220</t>
  </si>
  <si>
    <t>e_w783483874-400_SVK</t>
  </si>
  <si>
    <t>e_w783483874-220_SVK</t>
  </si>
  <si>
    <t>stepup_w783483874_SVK_220to400</t>
  </si>
  <si>
    <t>activityunit</t>
  </si>
  <si>
    <t>capacityunit</t>
  </si>
  <si>
    <t>Transformer: e_w100979306-400_SVK → e_w100979306-220_SVK</t>
  </si>
  <si>
    <t>Transformer: e_w100979306-220_SVK → e_w100979306-400_SVK</t>
  </si>
  <si>
    <t>Transformer: e_w146531966-400_SVK → e_w146531966-220_SVK</t>
  </si>
  <si>
    <t>Transformer: e_w146531966-220_SVK → e_w146531966-400_SVK</t>
  </si>
  <si>
    <t>Transformer: e_w239560640-400_SVK → e_w239560640-220_SVK</t>
  </si>
  <si>
    <t>Transformer: e_w239560640-220_SVK → e_w239560640-400_SVK</t>
  </si>
  <si>
    <t>Transformer: e_w51982806-400_SVK → e_w51982806-220_SVK</t>
  </si>
  <si>
    <t>Transformer: e_w51982806-220_SVK → e_w51982806-400_SVK</t>
  </si>
  <si>
    <t>Transformer: e_w783483874-400_SVK → e_w783483874-220_SVK</t>
  </si>
  <si>
    <t>Transformer: e_w783483874-220_SVK → e_w783483874-400_SVK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</si>
</sst>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e_w100979306-400_SVK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e_w100979306-400_SVK</v>
      </c>
      <c r="P28">
        <v>0</v>
      </c>
      <c r="Q28">
        <v>3</v>
      </c>
      <c r="R28">
        <v>1000</v>
      </c>
      <c r="S28">
        <v>50</v>
      </c>
      <c r="V28" s="147" t="s">
        <v>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A30E1-0BD4-4E6C-8988-7BE10CFAC55F}">
  <dimension ref="B9:AP20"/>
  <sheetViews>
    <sheetView workbookViewId="0"/>
  </sheetViews>
  <sheetFormatPr defaultRowHeight="14.25"/>
  <sheetData>
    <row r="9" spans="2:42">
      <c r="B9" t="s">
        <v>164</v>
      </c>
      <c r="J9" t="s">
        <v>195</v>
      </c>
      <c r="O9" t="s">
        <v>164</v>
      </c>
      <c r="X9" t="s">
        <v>195</v>
      </c>
      <c r="AD9" t="s">
        <v>164</v>
      </c>
      <c r="AL9" t="s">
        <v>195</v>
      </c>
    </row>
    <row r="10" spans="2:42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196</v>
      </c>
      <c r="L10" t="s">
        <v>197</v>
      </c>
      <c r="M10" t="s">
        <v>198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209</v>
      </c>
      <c r="U10" t="s">
        <v>170</v>
      </c>
      <c r="V10" t="s">
        <v>171</v>
      </c>
      <c r="X10" t="s">
        <v>166</v>
      </c>
      <c r="Y10" t="s">
        <v>233</v>
      </c>
      <c r="Z10" t="s">
        <v>196</v>
      </c>
      <c r="AA10" t="s">
        <v>146</v>
      </c>
      <c r="AB10" t="s">
        <v>234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233</v>
      </c>
      <c r="AN10" t="s">
        <v>196</v>
      </c>
      <c r="AO10" t="s">
        <v>146</v>
      </c>
      <c r="AP10" t="s">
        <v>234</v>
      </c>
    </row>
    <row r="11" spans="2:42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199</v>
      </c>
      <c r="L11">
        <v>6.7518967511357255</v>
      </c>
      <c r="M11">
        <v>0.15566389668563979</v>
      </c>
      <c r="O11" t="s">
        <v>210</v>
      </c>
      <c r="P11" t="s">
        <v>211</v>
      </c>
      <c r="Q11" t="s">
        <v>212</v>
      </c>
      <c r="R11" t="s">
        <v>10</v>
      </c>
      <c r="S11" t="s">
        <v>21</v>
      </c>
      <c r="T11" t="s">
        <v>213</v>
      </c>
      <c r="U11" t="s">
        <v>214</v>
      </c>
      <c r="V11" t="s">
        <v>176</v>
      </c>
      <c r="X11" t="s">
        <v>211</v>
      </c>
      <c r="Y11" t="s">
        <v>204</v>
      </c>
      <c r="Z11" t="s">
        <v>235</v>
      </c>
      <c r="AA11">
        <v>0.99866504767068986</v>
      </c>
      <c r="AB11">
        <v>24.474126037351851</v>
      </c>
      <c r="AD11" t="s">
        <v>210</v>
      </c>
      <c r="AE11" t="s">
        <v>245</v>
      </c>
      <c r="AF11" t="s">
        <v>246</v>
      </c>
      <c r="AG11" t="s">
        <v>10</v>
      </c>
      <c r="AH11" t="s">
        <v>21</v>
      </c>
      <c r="AI11" t="s">
        <v>214</v>
      </c>
      <c r="AJ11" t="s">
        <v>176</v>
      </c>
      <c r="AL11" t="s">
        <v>245</v>
      </c>
      <c r="AM11" t="s">
        <v>265</v>
      </c>
      <c r="AN11" t="s">
        <v>266</v>
      </c>
      <c r="AO11">
        <v>0.99708930940496965</v>
      </c>
      <c r="AP11">
        <v>53.362660908888991</v>
      </c>
    </row>
    <row r="12" spans="2:42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200</v>
      </c>
      <c r="L12">
        <v>0.94398297940668763</v>
      </c>
      <c r="M12">
        <v>0.14491110289849549</v>
      </c>
      <c r="O12" t="s">
        <v>210</v>
      </c>
      <c r="P12" t="s">
        <v>215</v>
      </c>
      <c r="Q12" t="s">
        <v>216</v>
      </c>
      <c r="R12" t="s">
        <v>10</v>
      </c>
      <c r="S12" t="s">
        <v>21</v>
      </c>
      <c r="T12" t="s">
        <v>213</v>
      </c>
      <c r="U12" t="s">
        <v>214</v>
      </c>
      <c r="V12" t="s">
        <v>176</v>
      </c>
      <c r="X12" t="s">
        <v>215</v>
      </c>
      <c r="Y12" t="s">
        <v>206</v>
      </c>
      <c r="Z12" t="s">
        <v>236</v>
      </c>
      <c r="AA12">
        <v>0.99840501683816196</v>
      </c>
      <c r="AB12">
        <v>29.241357967030492</v>
      </c>
      <c r="AD12" t="s">
        <v>210</v>
      </c>
      <c r="AE12" t="s">
        <v>247</v>
      </c>
      <c r="AF12" t="s">
        <v>248</v>
      </c>
      <c r="AG12" t="s">
        <v>10</v>
      </c>
      <c r="AH12" t="s">
        <v>21</v>
      </c>
      <c r="AI12" t="s">
        <v>214</v>
      </c>
      <c r="AJ12" t="s">
        <v>176</v>
      </c>
      <c r="AL12" t="s">
        <v>247</v>
      </c>
      <c r="AM12" t="s">
        <v>267</v>
      </c>
      <c r="AN12" t="s">
        <v>268</v>
      </c>
      <c r="AO12">
        <v>0.99864406443036968</v>
      </c>
      <c r="AP12">
        <v>24.858818776556571</v>
      </c>
    </row>
    <row r="13" spans="2:42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201</v>
      </c>
      <c r="L13">
        <v>2.7690195294484408</v>
      </c>
      <c r="M13">
        <v>0.14597196933610609</v>
      </c>
      <c r="O13" t="s">
        <v>210</v>
      </c>
      <c r="P13" t="s">
        <v>217</v>
      </c>
      <c r="Q13" t="s">
        <v>218</v>
      </c>
      <c r="R13" t="s">
        <v>10</v>
      </c>
      <c r="S13" t="s">
        <v>21</v>
      </c>
      <c r="T13" t="s">
        <v>213</v>
      </c>
      <c r="U13" t="s">
        <v>214</v>
      </c>
      <c r="V13" t="s">
        <v>176</v>
      </c>
      <c r="X13" t="s">
        <v>217</v>
      </c>
      <c r="Y13" t="s">
        <v>200</v>
      </c>
      <c r="Z13" t="s">
        <v>237</v>
      </c>
      <c r="AA13">
        <v>0.99741350054898348</v>
      </c>
      <c r="AB13">
        <v>47.419156601969171</v>
      </c>
      <c r="AD13" t="s">
        <v>210</v>
      </c>
      <c r="AE13" t="s">
        <v>249</v>
      </c>
      <c r="AF13" t="s">
        <v>250</v>
      </c>
      <c r="AG13" t="s">
        <v>10</v>
      </c>
      <c r="AH13" t="s">
        <v>21</v>
      </c>
      <c r="AI13" t="s">
        <v>214</v>
      </c>
      <c r="AJ13" t="s">
        <v>176</v>
      </c>
      <c r="AL13" t="s">
        <v>249</v>
      </c>
      <c r="AM13" t="s">
        <v>269</v>
      </c>
      <c r="AN13" t="s">
        <v>270</v>
      </c>
      <c r="AO13">
        <v>0.99795936551071729</v>
      </c>
      <c r="AP13">
        <v>37.411632303517088</v>
      </c>
    </row>
    <row r="14" spans="2:42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202</v>
      </c>
      <c r="L14">
        <v>3.6862852596019393</v>
      </c>
      <c r="M14">
        <v>0.15675500806967399</v>
      </c>
      <c r="O14" t="s">
        <v>210</v>
      </c>
      <c r="P14" t="s">
        <v>219</v>
      </c>
      <c r="Q14" t="s">
        <v>220</v>
      </c>
      <c r="R14" t="s">
        <v>10</v>
      </c>
      <c r="S14" t="s">
        <v>21</v>
      </c>
      <c r="T14" t="s">
        <v>213</v>
      </c>
      <c r="U14" t="s">
        <v>214</v>
      </c>
      <c r="V14" t="s">
        <v>176</v>
      </c>
      <c r="X14" t="s">
        <v>219</v>
      </c>
      <c r="Y14" t="s">
        <v>199</v>
      </c>
      <c r="Z14" t="s">
        <v>238</v>
      </c>
      <c r="AA14">
        <v>0.99902611726101243</v>
      </c>
      <c r="AB14">
        <v>17.854516881439864</v>
      </c>
      <c r="AD14" t="s">
        <v>210</v>
      </c>
      <c r="AE14" t="s">
        <v>251</v>
      </c>
      <c r="AF14" t="s">
        <v>252</v>
      </c>
      <c r="AG14" t="s">
        <v>10</v>
      </c>
      <c r="AH14" t="s">
        <v>21</v>
      </c>
      <c r="AI14" t="s">
        <v>214</v>
      </c>
      <c r="AJ14" t="s">
        <v>176</v>
      </c>
      <c r="AL14" t="s">
        <v>251</v>
      </c>
      <c r="AM14" t="s">
        <v>271</v>
      </c>
      <c r="AN14" t="s">
        <v>272</v>
      </c>
      <c r="AO14">
        <v>0.99861852453136835</v>
      </c>
      <c r="AP14">
        <v>25.327050258247553</v>
      </c>
    </row>
    <row r="15" spans="2:42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203</v>
      </c>
      <c r="L15">
        <v>8.633702311257613</v>
      </c>
      <c r="M15">
        <v>0.15665806862165449</v>
      </c>
      <c r="O15" t="s">
        <v>210</v>
      </c>
      <c r="P15" t="s">
        <v>221</v>
      </c>
      <c r="Q15" t="s">
        <v>222</v>
      </c>
      <c r="R15" t="s">
        <v>10</v>
      </c>
      <c r="S15" t="s">
        <v>21</v>
      </c>
      <c r="T15" t="s">
        <v>213</v>
      </c>
      <c r="U15" t="s">
        <v>214</v>
      </c>
      <c r="V15" t="s">
        <v>176</v>
      </c>
      <c r="X15" t="s">
        <v>221</v>
      </c>
      <c r="Y15" t="s">
        <v>202</v>
      </c>
      <c r="Z15" t="s">
        <v>239</v>
      </c>
      <c r="AA15">
        <v>0.99940985971006635</v>
      </c>
      <c r="AB15">
        <v>10.819238648784395</v>
      </c>
      <c r="AD15" t="s">
        <v>210</v>
      </c>
      <c r="AE15" t="s">
        <v>253</v>
      </c>
      <c r="AF15" t="s">
        <v>254</v>
      </c>
      <c r="AG15" t="s">
        <v>10</v>
      </c>
      <c r="AH15" t="s">
        <v>21</v>
      </c>
      <c r="AI15" t="s">
        <v>214</v>
      </c>
      <c r="AJ15" t="s">
        <v>176</v>
      </c>
      <c r="AL15" t="s">
        <v>253</v>
      </c>
      <c r="AM15" t="s">
        <v>273</v>
      </c>
      <c r="AN15" t="s">
        <v>274</v>
      </c>
      <c r="AO15">
        <v>0.99828217905165062</v>
      </c>
      <c r="AP15">
        <v>31.493384053072713</v>
      </c>
    </row>
    <row r="16" spans="2:42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204</v>
      </c>
      <c r="L16">
        <v>8.1070475797278618</v>
      </c>
      <c r="M16">
        <v>0.15888777652148789</v>
      </c>
      <c r="O16" t="s">
        <v>210</v>
      </c>
      <c r="P16" t="s">
        <v>223</v>
      </c>
      <c r="Q16" t="s">
        <v>224</v>
      </c>
      <c r="R16" t="s">
        <v>10</v>
      </c>
      <c r="S16" t="s">
        <v>21</v>
      </c>
      <c r="T16" t="s">
        <v>213</v>
      </c>
      <c r="U16" t="s">
        <v>214</v>
      </c>
      <c r="V16" t="s">
        <v>176</v>
      </c>
      <c r="X16" t="s">
        <v>223</v>
      </c>
      <c r="Y16" t="s">
        <v>203</v>
      </c>
      <c r="Z16" t="s">
        <v>240</v>
      </c>
      <c r="AA16">
        <v>0.9986043298383831</v>
      </c>
      <c r="AB16">
        <v>25.587286296310729</v>
      </c>
      <c r="AD16" t="s">
        <v>210</v>
      </c>
      <c r="AE16" t="s">
        <v>255</v>
      </c>
      <c r="AF16" t="s">
        <v>256</v>
      </c>
      <c r="AG16" t="s">
        <v>10</v>
      </c>
      <c r="AH16" t="s">
        <v>21</v>
      </c>
      <c r="AI16" t="s">
        <v>214</v>
      </c>
      <c r="AJ16" t="s">
        <v>176</v>
      </c>
      <c r="AL16" t="s">
        <v>255</v>
      </c>
      <c r="AM16" t="s">
        <v>275</v>
      </c>
      <c r="AN16" t="s">
        <v>276</v>
      </c>
      <c r="AO16">
        <v>0.99889812846997628</v>
      </c>
      <c r="AP16">
        <v>20.200978050434106</v>
      </c>
    </row>
    <row r="17" spans="2:42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205</v>
      </c>
      <c r="L17">
        <v>11.118963990795727</v>
      </c>
      <c r="M17">
        <v>0.1528024413825628</v>
      </c>
      <c r="O17" t="s">
        <v>210</v>
      </c>
      <c r="P17" t="s">
        <v>225</v>
      </c>
      <c r="Q17" t="s">
        <v>226</v>
      </c>
      <c r="R17" t="s">
        <v>10</v>
      </c>
      <c r="S17" t="s">
        <v>21</v>
      </c>
      <c r="T17" t="s">
        <v>213</v>
      </c>
      <c r="U17" t="s">
        <v>214</v>
      </c>
      <c r="V17" t="s">
        <v>176</v>
      </c>
      <c r="X17" t="s">
        <v>225</v>
      </c>
      <c r="Y17" t="s">
        <v>205</v>
      </c>
      <c r="Z17" t="s">
        <v>241</v>
      </c>
      <c r="AA17">
        <v>0.99839465660908489</v>
      </c>
      <c r="AB17">
        <v>29.431295500109734</v>
      </c>
      <c r="AD17" t="s">
        <v>210</v>
      </c>
      <c r="AE17" t="s">
        <v>257</v>
      </c>
      <c r="AF17" t="s">
        <v>258</v>
      </c>
      <c r="AG17" t="s">
        <v>10</v>
      </c>
      <c r="AH17" t="s">
        <v>21</v>
      </c>
      <c r="AI17" t="s">
        <v>214</v>
      </c>
      <c r="AJ17" t="s">
        <v>176</v>
      </c>
      <c r="AL17" t="s">
        <v>257</v>
      </c>
      <c r="AM17" t="s">
        <v>277</v>
      </c>
      <c r="AN17" t="s">
        <v>278</v>
      </c>
      <c r="AO17">
        <v>0.99850369884664603</v>
      </c>
      <c r="AP17">
        <v>27.432187811490291</v>
      </c>
    </row>
    <row r="18" spans="2:42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206</v>
      </c>
      <c r="L18">
        <v>2.3752639333038612</v>
      </c>
      <c r="M18">
        <v>0.14511605500578231</v>
      </c>
      <c r="O18" t="s">
        <v>210</v>
      </c>
      <c r="P18" t="s">
        <v>227</v>
      </c>
      <c r="Q18" t="s">
        <v>228</v>
      </c>
      <c r="R18" t="s">
        <v>10</v>
      </c>
      <c r="S18" t="s">
        <v>21</v>
      </c>
      <c r="T18" t="s">
        <v>213</v>
      </c>
      <c r="U18" t="s">
        <v>214</v>
      </c>
      <c r="V18" t="s">
        <v>176</v>
      </c>
      <c r="X18" t="s">
        <v>227</v>
      </c>
      <c r="Y18" t="s">
        <v>201</v>
      </c>
      <c r="Z18" t="s">
        <v>242</v>
      </c>
      <c r="AA18">
        <v>0.99717955921547352</v>
      </c>
      <c r="AB18">
        <v>51.708081049652449</v>
      </c>
      <c r="AD18" t="s">
        <v>210</v>
      </c>
      <c r="AE18" t="s">
        <v>259</v>
      </c>
      <c r="AF18" t="s">
        <v>260</v>
      </c>
      <c r="AG18" t="s">
        <v>10</v>
      </c>
      <c r="AH18" t="s">
        <v>21</v>
      </c>
      <c r="AI18" t="s">
        <v>214</v>
      </c>
      <c r="AJ18" t="s">
        <v>176</v>
      </c>
      <c r="AL18" t="s">
        <v>259</v>
      </c>
      <c r="AM18" t="s">
        <v>279</v>
      </c>
      <c r="AN18" t="s">
        <v>280</v>
      </c>
      <c r="AO18">
        <v>0.99745054218751195</v>
      </c>
      <c r="AP18">
        <v>46.74005989561482</v>
      </c>
    </row>
    <row r="19" spans="2:42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207</v>
      </c>
      <c r="L19">
        <v>5.3250952164285756</v>
      </c>
      <c r="M19">
        <v>0.15503225016371741</v>
      </c>
      <c r="O19" t="s">
        <v>210</v>
      </c>
      <c r="P19" t="s">
        <v>229</v>
      </c>
      <c r="Q19" t="s">
        <v>230</v>
      </c>
      <c r="R19" t="s">
        <v>10</v>
      </c>
      <c r="S19" t="s">
        <v>21</v>
      </c>
      <c r="T19" t="s">
        <v>213</v>
      </c>
      <c r="U19" t="s">
        <v>214</v>
      </c>
      <c r="V19" t="s">
        <v>176</v>
      </c>
      <c r="X19" t="s">
        <v>229</v>
      </c>
      <c r="Y19" t="s">
        <v>208</v>
      </c>
      <c r="Z19" t="s">
        <v>243</v>
      </c>
      <c r="AA19">
        <v>0.99778926200904572</v>
      </c>
      <c r="AB19">
        <v>40.530196500828147</v>
      </c>
      <c r="AD19" t="s">
        <v>210</v>
      </c>
      <c r="AE19" t="s">
        <v>261</v>
      </c>
      <c r="AF19" t="s">
        <v>262</v>
      </c>
      <c r="AG19" t="s">
        <v>10</v>
      </c>
      <c r="AH19" t="s">
        <v>21</v>
      </c>
      <c r="AI19" t="s">
        <v>214</v>
      </c>
      <c r="AJ19" t="s">
        <v>176</v>
      </c>
      <c r="AL19" t="s">
        <v>261</v>
      </c>
      <c r="AM19" t="s">
        <v>281</v>
      </c>
      <c r="AN19" t="s">
        <v>282</v>
      </c>
      <c r="AO19">
        <v>0.99849386805503271</v>
      </c>
      <c r="AP19">
        <v>27.612418991067162</v>
      </c>
    </row>
    <row r="20" spans="2:42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208</v>
      </c>
      <c r="L20">
        <v>10.13757758515656</v>
      </c>
      <c r="M20">
        <v>0.16017204028547441</v>
      </c>
      <c r="O20" t="s">
        <v>210</v>
      </c>
      <c r="P20" t="s">
        <v>231</v>
      </c>
      <c r="Q20" t="s">
        <v>232</v>
      </c>
      <c r="R20" t="s">
        <v>10</v>
      </c>
      <c r="S20" t="s">
        <v>21</v>
      </c>
      <c r="T20" t="s">
        <v>213</v>
      </c>
      <c r="U20" t="s">
        <v>214</v>
      </c>
      <c r="V20" t="s">
        <v>176</v>
      </c>
      <c r="X20" t="s">
        <v>231</v>
      </c>
      <c r="Y20" t="s">
        <v>207</v>
      </c>
      <c r="Z20" t="s">
        <v>244</v>
      </c>
      <c r="AA20">
        <v>0.9983645847815088</v>
      </c>
      <c r="AB20">
        <v>29.982612339006138</v>
      </c>
      <c r="AD20" t="s">
        <v>210</v>
      </c>
      <c r="AE20" t="s">
        <v>263</v>
      </c>
      <c r="AF20" t="s">
        <v>264</v>
      </c>
      <c r="AG20" t="s">
        <v>10</v>
      </c>
      <c r="AH20" t="s">
        <v>21</v>
      </c>
      <c r="AI20" t="s">
        <v>214</v>
      </c>
      <c r="AJ20" t="s">
        <v>176</v>
      </c>
      <c r="AL20" t="s">
        <v>263</v>
      </c>
      <c r="AM20" t="s">
        <v>283</v>
      </c>
      <c r="AN20" t="s">
        <v>284</v>
      </c>
      <c r="AO20">
        <v>0.99767695341746709</v>
      </c>
      <c r="AP20">
        <v>42.589187346435928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DE11F-254F-453A-BC7F-EAB88367BE14}">
  <dimension ref="B9:M20"/>
  <sheetViews>
    <sheetView workbookViewId="0"/>
  </sheetViews>
  <sheetFormatPr defaultRowHeight="14.25"/>
  <sheetData>
    <row r="9" spans="2:13">
      <c r="B9" t="s">
        <v>164</v>
      </c>
      <c r="J9" t="s">
        <v>195</v>
      </c>
    </row>
    <row r="10" spans="2:13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196</v>
      </c>
      <c r="L10" t="s">
        <v>197</v>
      </c>
      <c r="M10" t="s">
        <v>198</v>
      </c>
    </row>
    <row r="11" spans="2:13">
      <c r="B11" t="s">
        <v>172</v>
      </c>
      <c r="C11" t="s">
        <v>285</v>
      </c>
      <c r="D11" t="s">
        <v>286</v>
      </c>
      <c r="E11" t="s">
        <v>10</v>
      </c>
      <c r="F11" t="s">
        <v>21</v>
      </c>
      <c r="G11" t="s">
        <v>175</v>
      </c>
      <c r="H11" t="s">
        <v>176</v>
      </c>
      <c r="J11" t="s">
        <v>285</v>
      </c>
      <c r="K11" t="s">
        <v>275</v>
      </c>
      <c r="L11">
        <v>16.456003352043751</v>
      </c>
      <c r="M11">
        <v>0.1397395242870732</v>
      </c>
    </row>
    <row r="12" spans="2:13">
      <c r="B12" t="s">
        <v>172</v>
      </c>
      <c r="C12" t="s">
        <v>287</v>
      </c>
      <c r="D12" t="s">
        <v>288</v>
      </c>
      <c r="E12" t="s">
        <v>10</v>
      </c>
      <c r="F12" t="s">
        <v>21</v>
      </c>
      <c r="G12" t="s">
        <v>175</v>
      </c>
      <c r="H12" t="s">
        <v>176</v>
      </c>
      <c r="J12" t="s">
        <v>287</v>
      </c>
      <c r="K12" t="s">
        <v>267</v>
      </c>
      <c r="L12">
        <v>10.728122120068091</v>
      </c>
      <c r="M12">
        <v>0.1569407616927809</v>
      </c>
    </row>
    <row r="13" spans="2:13">
      <c r="B13" t="s">
        <v>172</v>
      </c>
      <c r="C13" t="s">
        <v>289</v>
      </c>
      <c r="D13" t="s">
        <v>290</v>
      </c>
      <c r="E13" t="s">
        <v>10</v>
      </c>
      <c r="F13" t="s">
        <v>21</v>
      </c>
      <c r="G13" t="s">
        <v>175</v>
      </c>
      <c r="H13" t="s">
        <v>176</v>
      </c>
      <c r="J13" t="s">
        <v>289</v>
      </c>
      <c r="K13" t="s">
        <v>269</v>
      </c>
      <c r="L13">
        <v>9.074958724763615</v>
      </c>
      <c r="M13">
        <v>0.1697989666264616</v>
      </c>
    </row>
    <row r="14" spans="2:13">
      <c r="B14" t="s">
        <v>172</v>
      </c>
      <c r="C14" t="s">
        <v>291</v>
      </c>
      <c r="D14" t="s">
        <v>292</v>
      </c>
      <c r="E14" t="s">
        <v>10</v>
      </c>
      <c r="F14" t="s">
        <v>21</v>
      </c>
      <c r="G14" t="s">
        <v>175</v>
      </c>
      <c r="H14" t="s">
        <v>176</v>
      </c>
      <c r="J14" t="s">
        <v>291</v>
      </c>
      <c r="K14" t="s">
        <v>283</v>
      </c>
      <c r="L14">
        <v>4.0366247385198424</v>
      </c>
      <c r="M14">
        <v>8.1896985103467101E-2</v>
      </c>
    </row>
    <row r="15" spans="2:13">
      <c r="B15" t="s">
        <v>172</v>
      </c>
      <c r="C15" t="s">
        <v>293</v>
      </c>
      <c r="D15" t="s">
        <v>294</v>
      </c>
      <c r="E15" t="s">
        <v>10</v>
      </c>
      <c r="F15" t="s">
        <v>21</v>
      </c>
      <c r="G15" t="s">
        <v>175</v>
      </c>
      <c r="H15" t="s">
        <v>176</v>
      </c>
      <c r="J15" t="s">
        <v>293</v>
      </c>
      <c r="K15" t="s">
        <v>279</v>
      </c>
      <c r="L15">
        <v>3.2217559948664833</v>
      </c>
      <c r="M15">
        <v>0.1233609669551535</v>
      </c>
    </row>
    <row r="16" spans="2:13">
      <c r="B16" t="s">
        <v>172</v>
      </c>
      <c r="C16" t="s">
        <v>295</v>
      </c>
      <c r="D16" t="s">
        <v>296</v>
      </c>
      <c r="E16" t="s">
        <v>10</v>
      </c>
      <c r="F16" t="s">
        <v>21</v>
      </c>
      <c r="G16" t="s">
        <v>175</v>
      </c>
      <c r="H16" t="s">
        <v>176</v>
      </c>
      <c r="J16" t="s">
        <v>295</v>
      </c>
      <c r="K16" t="s">
        <v>271</v>
      </c>
      <c r="L16">
        <v>12.065476972844859</v>
      </c>
      <c r="M16">
        <v>0.12367248902361649</v>
      </c>
    </row>
    <row r="17" spans="2:13">
      <c r="B17" t="s">
        <v>172</v>
      </c>
      <c r="C17" t="s">
        <v>297</v>
      </c>
      <c r="D17" t="s">
        <v>298</v>
      </c>
      <c r="E17" t="s">
        <v>10</v>
      </c>
      <c r="F17" t="s">
        <v>21</v>
      </c>
      <c r="G17" t="s">
        <v>175</v>
      </c>
      <c r="H17" t="s">
        <v>176</v>
      </c>
      <c r="J17" t="s">
        <v>297</v>
      </c>
      <c r="K17" t="s">
        <v>281</v>
      </c>
      <c r="L17">
        <v>18.427033860567963</v>
      </c>
      <c r="M17">
        <v>0.2679236660160671</v>
      </c>
    </row>
    <row r="18" spans="2:13">
      <c r="B18" t="s">
        <v>172</v>
      </c>
      <c r="C18" t="s">
        <v>299</v>
      </c>
      <c r="D18" t="s">
        <v>300</v>
      </c>
      <c r="E18" t="s">
        <v>10</v>
      </c>
      <c r="F18" t="s">
        <v>21</v>
      </c>
      <c r="G18" t="s">
        <v>175</v>
      </c>
      <c r="H18" t="s">
        <v>176</v>
      </c>
      <c r="J18" t="s">
        <v>299</v>
      </c>
      <c r="K18" t="s">
        <v>273</v>
      </c>
      <c r="L18">
        <v>26.069534128786131</v>
      </c>
      <c r="M18">
        <v>0.2108794685608493</v>
      </c>
    </row>
    <row r="19" spans="2:13">
      <c r="B19" t="s">
        <v>172</v>
      </c>
      <c r="C19" t="s">
        <v>301</v>
      </c>
      <c r="D19" t="s">
        <v>302</v>
      </c>
      <c r="E19" t="s">
        <v>10</v>
      </c>
      <c r="F19" t="s">
        <v>21</v>
      </c>
      <c r="G19" t="s">
        <v>175</v>
      </c>
      <c r="H19" t="s">
        <v>176</v>
      </c>
      <c r="J19" t="s">
        <v>301</v>
      </c>
      <c r="K19" t="s">
        <v>277</v>
      </c>
      <c r="L19">
        <v>11.484700191337225</v>
      </c>
      <c r="M19">
        <v>0.1001896198122828</v>
      </c>
    </row>
    <row r="20" spans="2:13">
      <c r="B20" t="s">
        <v>172</v>
      </c>
      <c r="C20" t="s">
        <v>303</v>
      </c>
      <c r="D20" t="s">
        <v>304</v>
      </c>
      <c r="E20" t="s">
        <v>10</v>
      </c>
      <c r="F20" t="s">
        <v>21</v>
      </c>
      <c r="G20" t="s">
        <v>175</v>
      </c>
      <c r="H20" t="s">
        <v>176</v>
      </c>
      <c r="J20" t="s">
        <v>303</v>
      </c>
      <c r="K20" t="s">
        <v>265</v>
      </c>
      <c r="L20">
        <v>21.835548716302181</v>
      </c>
      <c r="M20">
        <v>0.19269099503499601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693A-FB6C-4D4E-901B-343D6014A75A}">
  <dimension ref="B9:P73"/>
  <sheetViews>
    <sheetView workbookViewId="0"/>
  </sheetViews>
  <sheetFormatPr defaultRowHeight="14.25"/>
  <sheetData>
    <row r="9" spans="2:16">
      <c r="B9" t="s">
        <v>195</v>
      </c>
      <c r="J9" t="s">
        <v>164</v>
      </c>
    </row>
    <row r="10" spans="2:16">
      <c r="B10" t="s">
        <v>166</v>
      </c>
      <c r="C10" t="s">
        <v>233</v>
      </c>
      <c r="D10" t="s">
        <v>196</v>
      </c>
      <c r="E10">
        <v>2023</v>
      </c>
      <c r="F10">
        <v>2030</v>
      </c>
      <c r="G10">
        <v>2050</v>
      </c>
      <c r="H10" t="s">
        <v>54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</row>
    <row r="11" spans="2:16">
      <c r="B11" t="s">
        <v>305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172</v>
      </c>
      <c r="K11" t="s">
        <v>305</v>
      </c>
      <c r="M11" t="s">
        <v>10</v>
      </c>
      <c r="N11" t="s">
        <v>21</v>
      </c>
      <c r="O11" t="s">
        <v>214</v>
      </c>
      <c r="P11" t="s">
        <v>327</v>
      </c>
    </row>
    <row r="12" spans="2:16">
      <c r="B12" t="s">
        <v>305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306</v>
      </c>
      <c r="J12" t="s">
        <v>172</v>
      </c>
      <c r="K12" t="s">
        <v>310</v>
      </c>
      <c r="M12" t="s">
        <v>10</v>
      </c>
      <c r="N12" t="s">
        <v>21</v>
      </c>
      <c r="O12" t="s">
        <v>214</v>
      </c>
      <c r="P12" t="s">
        <v>327</v>
      </c>
    </row>
    <row r="13" spans="2:16">
      <c r="B13" t="s">
        <v>305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307</v>
      </c>
      <c r="J13" t="s">
        <v>172</v>
      </c>
      <c r="K13" t="s">
        <v>311</v>
      </c>
      <c r="M13" t="s">
        <v>10</v>
      </c>
      <c r="N13" t="s">
        <v>21</v>
      </c>
      <c r="O13" t="s">
        <v>214</v>
      </c>
      <c r="P13" t="s">
        <v>327</v>
      </c>
    </row>
    <row r="14" spans="2:16">
      <c r="B14" t="s">
        <v>305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308</v>
      </c>
      <c r="J14" t="s">
        <v>172</v>
      </c>
      <c r="K14" t="s">
        <v>312</v>
      </c>
      <c r="M14" t="s">
        <v>10</v>
      </c>
      <c r="N14" t="s">
        <v>21</v>
      </c>
      <c r="O14" t="s">
        <v>214</v>
      </c>
      <c r="P14" t="s">
        <v>327</v>
      </c>
    </row>
    <row r="15" spans="2:16">
      <c r="B15" t="s">
        <v>305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309</v>
      </c>
      <c r="J15" t="s">
        <v>172</v>
      </c>
      <c r="K15" t="s">
        <v>313</v>
      </c>
      <c r="M15" t="s">
        <v>10</v>
      </c>
      <c r="N15" t="s">
        <v>21</v>
      </c>
      <c r="O15" t="s">
        <v>214</v>
      </c>
      <c r="P15" t="s">
        <v>327</v>
      </c>
    </row>
    <row r="16" spans="2:16">
      <c r="B16" t="s">
        <v>310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172</v>
      </c>
      <c r="K16" t="s">
        <v>314</v>
      </c>
      <c r="M16" t="s">
        <v>10</v>
      </c>
      <c r="N16" t="s">
        <v>21</v>
      </c>
      <c r="O16" t="s">
        <v>214</v>
      </c>
      <c r="P16" t="s">
        <v>327</v>
      </c>
    </row>
    <row r="17" spans="2:16">
      <c r="B17" t="s">
        <v>310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306</v>
      </c>
      <c r="J17" t="s">
        <v>172</v>
      </c>
      <c r="K17" t="s">
        <v>315</v>
      </c>
      <c r="M17" t="s">
        <v>10</v>
      </c>
      <c r="N17" t="s">
        <v>21</v>
      </c>
      <c r="O17" t="s">
        <v>214</v>
      </c>
      <c r="P17" t="s">
        <v>327</v>
      </c>
    </row>
    <row r="18" spans="2:16">
      <c r="B18" t="s">
        <v>310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307</v>
      </c>
      <c r="J18" t="s">
        <v>172</v>
      </c>
      <c r="K18" t="s">
        <v>316</v>
      </c>
      <c r="M18" t="s">
        <v>10</v>
      </c>
      <c r="N18" t="s">
        <v>21</v>
      </c>
      <c r="O18" t="s">
        <v>214</v>
      </c>
      <c r="P18" t="s">
        <v>327</v>
      </c>
    </row>
    <row r="19" spans="2:16">
      <c r="B19" t="s">
        <v>310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308</v>
      </c>
      <c r="J19" t="s">
        <v>172</v>
      </c>
      <c r="K19" t="s">
        <v>317</v>
      </c>
      <c r="M19" t="s">
        <v>10</v>
      </c>
      <c r="N19" t="s">
        <v>21</v>
      </c>
      <c r="O19" t="s">
        <v>214</v>
      </c>
      <c r="P19" t="s">
        <v>327</v>
      </c>
    </row>
    <row r="20" spans="2:16">
      <c r="B20" t="s">
        <v>310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309</v>
      </c>
      <c r="J20" t="s">
        <v>172</v>
      </c>
      <c r="K20" t="s">
        <v>318</v>
      </c>
      <c r="M20" t="s">
        <v>10</v>
      </c>
      <c r="N20" t="s">
        <v>21</v>
      </c>
      <c r="O20" t="s">
        <v>214</v>
      </c>
      <c r="P20" t="s">
        <v>327</v>
      </c>
    </row>
    <row r="21" spans="2:16">
      <c r="B21" t="s">
        <v>311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172</v>
      </c>
      <c r="K21" t="s">
        <v>319</v>
      </c>
      <c r="M21" t="s">
        <v>10</v>
      </c>
      <c r="N21" t="s">
        <v>21</v>
      </c>
      <c r="O21" t="s">
        <v>214</v>
      </c>
      <c r="P21" t="s">
        <v>327</v>
      </c>
    </row>
    <row r="22" spans="2:16">
      <c r="B22" t="s">
        <v>311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307</v>
      </c>
      <c r="J22" t="s">
        <v>172</v>
      </c>
      <c r="K22" t="s">
        <v>320</v>
      </c>
      <c r="M22" t="s">
        <v>10</v>
      </c>
      <c r="N22" t="s">
        <v>21</v>
      </c>
      <c r="O22" t="s">
        <v>214</v>
      </c>
      <c r="P22" t="s">
        <v>327</v>
      </c>
    </row>
    <row r="23" spans="2:16">
      <c r="B23" t="s">
        <v>311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308</v>
      </c>
      <c r="J23" t="s">
        <v>172</v>
      </c>
      <c r="K23" t="s">
        <v>321</v>
      </c>
      <c r="M23" t="s">
        <v>10</v>
      </c>
      <c r="N23" t="s">
        <v>21</v>
      </c>
      <c r="O23" t="s">
        <v>214</v>
      </c>
      <c r="P23" t="s">
        <v>327</v>
      </c>
    </row>
    <row r="24" spans="2:16">
      <c r="B24" t="s">
        <v>312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172</v>
      </c>
      <c r="K24" t="s">
        <v>322</v>
      </c>
      <c r="M24" t="s">
        <v>10</v>
      </c>
      <c r="N24" t="s">
        <v>21</v>
      </c>
      <c r="O24" t="s">
        <v>214</v>
      </c>
      <c r="P24" t="s">
        <v>327</v>
      </c>
    </row>
    <row r="25" spans="2:16">
      <c r="B25" t="s">
        <v>312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307</v>
      </c>
      <c r="J25" t="s">
        <v>172</v>
      </c>
      <c r="K25" t="s">
        <v>323</v>
      </c>
      <c r="M25" t="s">
        <v>10</v>
      </c>
      <c r="N25" t="s">
        <v>21</v>
      </c>
      <c r="O25" t="s">
        <v>214</v>
      </c>
      <c r="P25" t="s">
        <v>327</v>
      </c>
    </row>
    <row r="26" spans="2:16">
      <c r="B26" t="s">
        <v>312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308</v>
      </c>
      <c r="J26" t="s">
        <v>172</v>
      </c>
      <c r="K26" t="s">
        <v>324</v>
      </c>
      <c r="M26" t="s">
        <v>10</v>
      </c>
      <c r="N26" t="s">
        <v>21</v>
      </c>
      <c r="O26" t="s">
        <v>214</v>
      </c>
      <c r="P26" t="s">
        <v>327</v>
      </c>
    </row>
    <row r="27" spans="2:16">
      <c r="B27" t="s">
        <v>313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172</v>
      </c>
      <c r="K27" t="s">
        <v>326</v>
      </c>
      <c r="M27" t="s">
        <v>10</v>
      </c>
      <c r="N27" t="s">
        <v>21</v>
      </c>
      <c r="O27" t="s">
        <v>214</v>
      </c>
      <c r="P27" t="s">
        <v>327</v>
      </c>
    </row>
    <row r="28" spans="2:16">
      <c r="B28" t="s">
        <v>313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307</v>
      </c>
    </row>
    <row r="29" spans="2:16">
      <c r="B29" t="s">
        <v>313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308</v>
      </c>
    </row>
    <row r="30" spans="2:16">
      <c r="B30" t="s">
        <v>314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314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307</v>
      </c>
    </row>
    <row r="32" spans="2:16">
      <c r="B32" t="s">
        <v>314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308</v>
      </c>
    </row>
    <row r="33" spans="2:8">
      <c r="B33" t="s">
        <v>315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315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306</v>
      </c>
    </row>
    <row r="35" spans="2:8">
      <c r="B35" t="s">
        <v>315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307</v>
      </c>
    </row>
    <row r="36" spans="2:8">
      <c r="B36" t="s">
        <v>315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308</v>
      </c>
    </row>
    <row r="37" spans="2:8">
      <c r="B37" t="s">
        <v>315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309</v>
      </c>
    </row>
    <row r="38" spans="2:8">
      <c r="B38" t="s">
        <v>316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316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307</v>
      </c>
    </row>
    <row r="40" spans="2:8">
      <c r="B40" t="s">
        <v>316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308</v>
      </c>
    </row>
    <row r="41" spans="2:8">
      <c r="B41" t="s">
        <v>317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317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307</v>
      </c>
    </row>
    <row r="43" spans="2:8">
      <c r="B43" t="s">
        <v>317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308</v>
      </c>
    </row>
    <row r="44" spans="2:8">
      <c r="B44" t="s">
        <v>318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318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307</v>
      </c>
    </row>
    <row r="46" spans="2:8">
      <c r="B46" t="s">
        <v>318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308</v>
      </c>
    </row>
    <row r="47" spans="2:8">
      <c r="B47" t="s">
        <v>319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319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307</v>
      </c>
    </row>
    <row r="49" spans="2:8">
      <c r="B49" t="s">
        <v>319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308</v>
      </c>
    </row>
    <row r="50" spans="2:8">
      <c r="B50" t="s">
        <v>320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320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306</v>
      </c>
    </row>
    <row r="52" spans="2:8">
      <c r="B52" t="s">
        <v>320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307</v>
      </c>
    </row>
    <row r="53" spans="2:8">
      <c r="B53" t="s">
        <v>320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308</v>
      </c>
    </row>
    <row r="54" spans="2:8">
      <c r="B54" t="s">
        <v>320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309</v>
      </c>
    </row>
    <row r="55" spans="2:8">
      <c r="B55" t="s">
        <v>321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321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307</v>
      </c>
    </row>
    <row r="57" spans="2:8">
      <c r="B57" t="s">
        <v>321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308</v>
      </c>
    </row>
    <row r="58" spans="2:8">
      <c r="B58" t="s">
        <v>322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322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307</v>
      </c>
    </row>
    <row r="60" spans="2:8">
      <c r="B60" t="s">
        <v>322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308</v>
      </c>
    </row>
    <row r="61" spans="2:8">
      <c r="B61" t="s">
        <v>323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323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307</v>
      </c>
    </row>
    <row r="63" spans="2:8">
      <c r="B63" t="s">
        <v>323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308</v>
      </c>
    </row>
    <row r="64" spans="2:8">
      <c r="B64" t="s">
        <v>324</v>
      </c>
      <c r="C64" t="s">
        <v>325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324</v>
      </c>
      <c r="C65" t="s">
        <v>325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306</v>
      </c>
    </row>
    <row r="66" spans="2:8">
      <c r="B66" t="s">
        <v>324</v>
      </c>
      <c r="C66" t="s">
        <v>325</v>
      </c>
      <c r="D66" t="s">
        <v>19</v>
      </c>
      <c r="E66">
        <v>3120</v>
      </c>
      <c r="F66">
        <v>2280</v>
      </c>
      <c r="G66">
        <v>1660</v>
      </c>
      <c r="H66" t="s">
        <v>307</v>
      </c>
    </row>
    <row r="67" spans="2:8">
      <c r="B67" t="s">
        <v>324</v>
      </c>
      <c r="C67" t="s">
        <v>325</v>
      </c>
      <c r="D67" t="s">
        <v>19</v>
      </c>
      <c r="E67">
        <v>60</v>
      </c>
      <c r="F67">
        <v>50</v>
      </c>
      <c r="G67">
        <v>40</v>
      </c>
      <c r="H67" t="s">
        <v>308</v>
      </c>
    </row>
    <row r="68" spans="2:8">
      <c r="B68" t="s">
        <v>324</v>
      </c>
      <c r="C68" t="s">
        <v>325</v>
      </c>
      <c r="D68" t="s">
        <v>19</v>
      </c>
      <c r="E68">
        <v>3</v>
      </c>
      <c r="F68">
        <v>3</v>
      </c>
      <c r="G68">
        <v>3</v>
      </c>
      <c r="H68" t="s">
        <v>309</v>
      </c>
    </row>
    <row r="69" spans="2:8">
      <c r="B69" t="s">
        <v>326</v>
      </c>
      <c r="C69" t="s">
        <v>325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326</v>
      </c>
      <c r="C70" t="s">
        <v>325</v>
      </c>
      <c r="D70" t="s">
        <v>19</v>
      </c>
      <c r="E70">
        <v>0.28999999999999998</v>
      </c>
      <c r="F70">
        <v>0.3</v>
      </c>
      <c r="G70">
        <v>0.3</v>
      </c>
      <c r="H70" t="s">
        <v>306</v>
      </c>
    </row>
    <row r="71" spans="2:8">
      <c r="B71" t="s">
        <v>326</v>
      </c>
      <c r="C71" t="s">
        <v>325</v>
      </c>
      <c r="D71" t="s">
        <v>19</v>
      </c>
      <c r="E71">
        <v>1630</v>
      </c>
      <c r="F71">
        <v>1550</v>
      </c>
      <c r="G71">
        <v>1490</v>
      </c>
      <c r="H71" t="s">
        <v>307</v>
      </c>
    </row>
    <row r="72" spans="2:8">
      <c r="B72" t="s">
        <v>326</v>
      </c>
      <c r="C72" t="s">
        <v>325</v>
      </c>
      <c r="D72" t="s">
        <v>19</v>
      </c>
      <c r="E72">
        <v>42</v>
      </c>
      <c r="F72">
        <v>40</v>
      </c>
      <c r="G72">
        <v>38</v>
      </c>
      <c r="H72" t="s">
        <v>308</v>
      </c>
    </row>
    <row r="73" spans="2:8">
      <c r="B73" t="s">
        <v>326</v>
      </c>
      <c r="C73" t="s">
        <v>325</v>
      </c>
      <c r="D73" t="s">
        <v>19</v>
      </c>
      <c r="E73">
        <v>1.5</v>
      </c>
      <c r="F73">
        <v>1.5</v>
      </c>
      <c r="G73">
        <v>1.5</v>
      </c>
      <c r="H73" t="s">
        <v>309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940BA-E9F3-4E9A-B92E-25F9EABB513A}">
  <dimension ref="B2:M13"/>
  <sheetViews>
    <sheetView tabSelected="1" workbookViewId="0"/>
  </sheetViews>
  <sheetFormatPr defaultRowHeight="14.25"/>
  <sheetData>
    <row r="2" spans="2:13">
      <c r="B2" t="s">
        <v>195</v>
      </c>
      <c r="H2" t="s">
        <v>164</v>
      </c>
    </row>
    <row r="3" spans="2:13">
      <c r="B3" t="s">
        <v>166</v>
      </c>
      <c r="C3" t="s">
        <v>233</v>
      </c>
      <c r="D3" t="s">
        <v>196</v>
      </c>
      <c r="E3" t="s">
        <v>146</v>
      </c>
      <c r="H3" t="s">
        <v>165</v>
      </c>
      <c r="I3" t="s">
        <v>166</v>
      </c>
      <c r="J3" t="s">
        <v>167</v>
      </c>
      <c r="K3" t="s">
        <v>348</v>
      </c>
      <c r="L3" t="s">
        <v>349</v>
      </c>
      <c r="M3" t="s">
        <v>170</v>
      </c>
    </row>
    <row r="4" spans="2:13">
      <c r="B4" t="s">
        <v>328</v>
      </c>
      <c r="C4" t="s">
        <v>329</v>
      </c>
      <c r="D4" t="s">
        <v>330</v>
      </c>
      <c r="E4">
        <v>1</v>
      </c>
      <c r="H4" t="s">
        <v>210</v>
      </c>
      <c r="I4" t="s">
        <v>328</v>
      </c>
      <c r="J4" t="s">
        <v>350</v>
      </c>
      <c r="K4" t="s">
        <v>21</v>
      </c>
      <c r="L4" t="s">
        <v>10</v>
      </c>
      <c r="M4" t="s">
        <v>214</v>
      </c>
    </row>
    <row r="5" spans="2:13">
      <c r="B5" t="s">
        <v>331</v>
      </c>
      <c r="C5" t="s">
        <v>330</v>
      </c>
      <c r="D5" t="s">
        <v>329</v>
      </c>
      <c r="E5">
        <v>1</v>
      </c>
      <c r="H5" t="s">
        <v>210</v>
      </c>
      <c r="I5" t="s">
        <v>331</v>
      </c>
      <c r="J5" t="s">
        <v>351</v>
      </c>
      <c r="K5" t="s">
        <v>21</v>
      </c>
      <c r="L5" t="s">
        <v>10</v>
      </c>
      <c r="M5" t="s">
        <v>214</v>
      </c>
    </row>
    <row r="6" spans="2:13">
      <c r="B6" t="s">
        <v>332</v>
      </c>
      <c r="C6" t="s">
        <v>333</v>
      </c>
      <c r="D6" t="s">
        <v>334</v>
      </c>
      <c r="E6">
        <v>1</v>
      </c>
      <c r="H6" t="s">
        <v>210</v>
      </c>
      <c r="I6" t="s">
        <v>332</v>
      </c>
      <c r="J6" t="s">
        <v>352</v>
      </c>
      <c r="K6" t="s">
        <v>21</v>
      </c>
      <c r="L6" t="s">
        <v>10</v>
      </c>
      <c r="M6" t="s">
        <v>214</v>
      </c>
    </row>
    <row r="7" spans="2:13">
      <c r="B7" t="s">
        <v>335</v>
      </c>
      <c r="C7" t="s">
        <v>334</v>
      </c>
      <c r="D7" t="s">
        <v>333</v>
      </c>
      <c r="E7">
        <v>1</v>
      </c>
      <c r="H7" t="s">
        <v>210</v>
      </c>
      <c r="I7" t="s">
        <v>335</v>
      </c>
      <c r="J7" t="s">
        <v>353</v>
      </c>
      <c r="K7" t="s">
        <v>21</v>
      </c>
      <c r="L7" t="s">
        <v>10</v>
      </c>
      <c r="M7" t="s">
        <v>214</v>
      </c>
    </row>
    <row r="8" spans="2:13">
      <c r="B8" t="s">
        <v>336</v>
      </c>
      <c r="C8" t="s">
        <v>337</v>
      </c>
      <c r="D8" t="s">
        <v>338</v>
      </c>
      <c r="E8">
        <v>1</v>
      </c>
      <c r="H8" t="s">
        <v>210</v>
      </c>
      <c r="I8" t="s">
        <v>336</v>
      </c>
      <c r="J8" t="s">
        <v>354</v>
      </c>
      <c r="K8" t="s">
        <v>21</v>
      </c>
      <c r="L8" t="s">
        <v>10</v>
      </c>
      <c r="M8" t="s">
        <v>214</v>
      </c>
    </row>
    <row r="9" spans="2:13">
      <c r="B9" t="s">
        <v>339</v>
      </c>
      <c r="C9" t="s">
        <v>338</v>
      </c>
      <c r="D9" t="s">
        <v>337</v>
      </c>
      <c r="E9">
        <v>1</v>
      </c>
      <c r="H9" t="s">
        <v>210</v>
      </c>
      <c r="I9" t="s">
        <v>339</v>
      </c>
      <c r="J9" t="s">
        <v>355</v>
      </c>
      <c r="K9" t="s">
        <v>21</v>
      </c>
      <c r="L9" t="s">
        <v>10</v>
      </c>
      <c r="M9" t="s">
        <v>214</v>
      </c>
    </row>
    <row r="10" spans="2:13">
      <c r="B10" t="s">
        <v>340</v>
      </c>
      <c r="C10" t="s">
        <v>341</v>
      </c>
      <c r="D10" t="s">
        <v>342</v>
      </c>
      <c r="E10">
        <v>1</v>
      </c>
      <c r="H10" t="s">
        <v>210</v>
      </c>
      <c r="I10" t="s">
        <v>340</v>
      </c>
      <c r="J10" t="s">
        <v>356</v>
      </c>
      <c r="K10" t="s">
        <v>21</v>
      </c>
      <c r="L10" t="s">
        <v>10</v>
      </c>
      <c r="M10" t="s">
        <v>214</v>
      </c>
    </row>
    <row r="11" spans="2:13">
      <c r="B11" t="s">
        <v>343</v>
      </c>
      <c r="C11" t="s">
        <v>342</v>
      </c>
      <c r="D11" t="s">
        <v>341</v>
      </c>
      <c r="E11">
        <v>1</v>
      </c>
      <c r="H11" t="s">
        <v>210</v>
      </c>
      <c r="I11" t="s">
        <v>343</v>
      </c>
      <c r="J11" t="s">
        <v>357</v>
      </c>
      <c r="K11" t="s">
        <v>21</v>
      </c>
      <c r="L11" t="s">
        <v>10</v>
      </c>
      <c r="M11" t="s">
        <v>214</v>
      </c>
    </row>
    <row r="12" spans="2:13">
      <c r="B12" t="s">
        <v>344</v>
      </c>
      <c r="C12" t="s">
        <v>345</v>
      </c>
      <c r="D12" t="s">
        <v>346</v>
      </c>
      <c r="E12">
        <v>1</v>
      </c>
      <c r="H12" t="s">
        <v>210</v>
      </c>
      <c r="I12" t="s">
        <v>344</v>
      </c>
      <c r="J12" t="s">
        <v>358</v>
      </c>
      <c r="K12" t="s">
        <v>21</v>
      </c>
      <c r="L12" t="s">
        <v>10</v>
      </c>
      <c r="M12" t="s">
        <v>214</v>
      </c>
    </row>
    <row r="13" spans="2:13">
      <c r="B13" t="s">
        <v>347</v>
      </c>
      <c r="C13" t="s">
        <v>346</v>
      </c>
      <c r="D13" t="s">
        <v>345</v>
      </c>
      <c r="E13">
        <v>1</v>
      </c>
      <c r="H13" t="s">
        <v>210</v>
      </c>
      <c r="I13" t="s">
        <v>347</v>
      </c>
      <c r="J13" t="s">
        <v>359</v>
      </c>
      <c r="K13" t="s">
        <v>21</v>
      </c>
      <c r="L13" t="s">
        <v>10</v>
      </c>
      <c r="M13" t="s">
        <v>214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2026-05-25T08:38:40Z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