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ESP_grids\"/>
    </mc:Choice>
  </mc:AlternateContent>
  <xr:revisionPtr revIDLastSave="0" documentId="8_{D7C85564-6A19-47DF-97D1-C085F4111A3F}" xr6:coauthVersionLast="47" xr6:coauthVersionMax="47" xr10:uidLastSave="{00000000-0000-0000-0000-000000000000}"/>
  <bookViews>
    <workbookView xWindow="-98" yWindow="-98" windowWidth="28996" windowHeight="17475" firstSheet="1" activeTab="1" xr2:uid="{00000000-000D-0000-FFFF-FFFF00000000}"/>
  </bookViews>
  <sheets>
    <sheet name="ScenMap_OLD" sheetId="70" r:id="rId1"/>
    <sheet name="geolocation" sheetId="72" r:id="rId2"/>
    <sheet name="process_map_geo" sheetId="71" r:id="rId3"/>
    <sheet name="ScenMap" sheetId="56" r:id="rId4"/>
    <sheet name="TS_Defs" sheetId="27" r:id="rId5"/>
    <sheet name="TS_ratios" sheetId="68" r:id="rId6"/>
    <sheet name="Sankey" sheetId="69" r:id="rId7"/>
    <sheet name="PSet_MAP" sheetId="57" r:id="rId8"/>
    <sheet name="CSET_MAP" sheetId="66" r:id="rId9"/>
    <sheet name="CName_MAP" sheetId="58" r:id="rId10"/>
    <sheet name="timeslice map" sheetId="64" r:id="rId11"/>
    <sheet name="process map" sheetId="65" r:id="rId12"/>
    <sheet name="commodity map" sheetId="67" r:id="rId13"/>
    <sheet name="ATS" sheetId="63" r:id="rId14"/>
    <sheet name="UnitConv" sheetId="59" r:id="rId15"/>
  </sheets>
  <definedNames>
    <definedName name="_xlnm._FilterDatabase" localSheetId="4" hidden="1">TS_Defs!$A$2:$N$2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75" i="56" l="1"/>
  <c r="I75" i="56"/>
  <c r="H75" i="56" s="1"/>
  <c r="C75" i="56" s="1"/>
  <c r="B75" i="56"/>
  <c r="J74" i="56"/>
  <c r="I74" i="56"/>
  <c r="H74" i="56" s="1"/>
  <c r="C74" i="56" s="1"/>
  <c r="B74" i="56"/>
  <c r="J73" i="56"/>
  <c r="I73" i="56"/>
  <c r="H73" i="56"/>
  <c r="C73" i="56" s="1"/>
  <c r="B73" i="56"/>
  <c r="J72" i="56"/>
  <c r="I72" i="56"/>
  <c r="H72" i="56"/>
  <c r="C72" i="56"/>
  <c r="B72" i="56"/>
  <c r="J71" i="56"/>
  <c r="I71" i="56"/>
  <c r="H71" i="56" s="1"/>
  <c r="C71" i="56" s="1"/>
  <c r="B71" i="56"/>
  <c r="J70" i="56"/>
  <c r="I70" i="56"/>
  <c r="H70" i="56"/>
  <c r="C70" i="56"/>
  <c r="B70" i="56"/>
  <c r="J69" i="56"/>
  <c r="I69" i="56"/>
  <c r="H69" i="56"/>
  <c r="C69" i="56" s="1"/>
  <c r="B69" i="56"/>
  <c r="J68" i="56"/>
  <c r="I68" i="56"/>
  <c r="H68" i="56"/>
  <c r="C68" i="56"/>
  <c r="B68" i="56"/>
  <c r="J67" i="56"/>
  <c r="I67" i="56"/>
  <c r="H67" i="56"/>
  <c r="C67" i="56"/>
  <c r="B67" i="56"/>
  <c r="J66" i="56"/>
  <c r="I66" i="56"/>
  <c r="H66" i="56"/>
  <c r="C66" i="56"/>
  <c r="B66" i="56"/>
  <c r="J65" i="56"/>
  <c r="H65" i="56" s="1"/>
  <c r="C65" i="56" s="1"/>
  <c r="I65" i="56"/>
  <c r="B65" i="56"/>
  <c r="J64" i="56"/>
  <c r="I64" i="56"/>
  <c r="H64" i="56"/>
  <c r="C64" i="56"/>
  <c r="B64" i="56"/>
  <c r="J63" i="56"/>
  <c r="I63" i="56"/>
  <c r="H63" i="56"/>
  <c r="C63" i="56"/>
  <c r="B63" i="56"/>
  <c r="J62" i="56"/>
  <c r="I62" i="56"/>
  <c r="H62" i="56" s="1"/>
  <c r="C62" i="56" s="1"/>
  <c r="B62" i="56"/>
  <c r="J61" i="56"/>
  <c r="I61" i="56"/>
  <c r="H61" i="56"/>
  <c r="C61" i="56" s="1"/>
  <c r="B61" i="56"/>
  <c r="B7" i="56"/>
  <c r="B8" i="56"/>
  <c r="B9" i="56"/>
  <c r="B10" i="56"/>
  <c r="B11" i="56"/>
  <c r="B12" i="56"/>
  <c r="B13" i="56"/>
  <c r="B14" i="56"/>
  <c r="B15" i="56"/>
  <c r="B16" i="56"/>
  <c r="B17" i="56"/>
  <c r="B18" i="56"/>
  <c r="B19" i="56"/>
  <c r="B20" i="56"/>
  <c r="B21" i="56"/>
  <c r="B22" i="56"/>
  <c r="B23" i="56"/>
  <c r="B24" i="56"/>
  <c r="B25" i="56"/>
  <c r="B26" i="56"/>
  <c r="B27" i="56"/>
  <c r="B28" i="56"/>
  <c r="B29" i="56"/>
  <c r="B30" i="56"/>
  <c r="B31" i="56"/>
  <c r="B32" i="56"/>
  <c r="B33" i="56"/>
  <c r="B34" i="56"/>
  <c r="B35" i="56"/>
  <c r="B36" i="56"/>
  <c r="B37" i="56"/>
  <c r="B38" i="56"/>
  <c r="B39" i="56"/>
  <c r="B40" i="56"/>
  <c r="B41" i="56"/>
  <c r="B42" i="56"/>
  <c r="B43" i="56"/>
  <c r="B44" i="56"/>
  <c r="B45" i="56"/>
  <c r="B46" i="56"/>
  <c r="B47" i="56"/>
  <c r="B48" i="56"/>
  <c r="B49" i="56"/>
  <c r="B50" i="56"/>
  <c r="B51" i="56"/>
  <c r="B52" i="56"/>
  <c r="B53" i="56"/>
  <c r="B54" i="56"/>
  <c r="B55" i="56"/>
  <c r="B56" i="56"/>
  <c r="B57" i="56"/>
  <c r="B58" i="56"/>
  <c r="B59" i="56"/>
  <c r="B60" i="56"/>
  <c r="B6" i="56"/>
  <c r="I7" i="56"/>
  <c r="H7" i="56" s="1"/>
  <c r="J7" i="56"/>
  <c r="I8" i="56"/>
  <c r="H8" i="56" s="1"/>
  <c r="J8" i="56"/>
  <c r="I9" i="56"/>
  <c r="H9" i="56" s="1"/>
  <c r="J9" i="56"/>
  <c r="I10" i="56"/>
  <c r="H10" i="56" s="1"/>
  <c r="J10" i="56"/>
  <c r="I11" i="56"/>
  <c r="H11" i="56" s="1"/>
  <c r="J11" i="56"/>
  <c r="I12" i="56"/>
  <c r="H12" i="56" s="1"/>
  <c r="J12" i="56"/>
  <c r="I13" i="56"/>
  <c r="H13" i="56" s="1"/>
  <c r="J13" i="56"/>
  <c r="H14" i="56"/>
  <c r="I14" i="56"/>
  <c r="J14" i="56"/>
  <c r="I15" i="56"/>
  <c r="H15" i="56" s="1"/>
  <c r="J15" i="56"/>
  <c r="I16" i="56"/>
  <c r="H16" i="56" s="1"/>
  <c r="J16" i="56"/>
  <c r="I17" i="56"/>
  <c r="H17" i="56" s="1"/>
  <c r="J17" i="56"/>
  <c r="I18" i="56"/>
  <c r="H18" i="56" s="1"/>
  <c r="J18" i="56"/>
  <c r="I19" i="56"/>
  <c r="H19" i="56" s="1"/>
  <c r="J19" i="56"/>
  <c r="I20" i="56"/>
  <c r="H20" i="56" s="1"/>
  <c r="J20" i="56"/>
  <c r="I21" i="56"/>
  <c r="H21" i="56" s="1"/>
  <c r="J21" i="56"/>
  <c r="H22" i="56"/>
  <c r="I22" i="56"/>
  <c r="J22" i="56"/>
  <c r="H23" i="56"/>
  <c r="I23" i="56"/>
  <c r="J23" i="56"/>
  <c r="I24" i="56"/>
  <c r="H24" i="56" s="1"/>
  <c r="J24" i="56"/>
  <c r="I25" i="56"/>
  <c r="H25" i="56" s="1"/>
  <c r="J25" i="56"/>
  <c r="I26" i="56"/>
  <c r="H26" i="56" s="1"/>
  <c r="J26" i="56"/>
  <c r="I27" i="56"/>
  <c r="H27" i="56" s="1"/>
  <c r="J27" i="56"/>
  <c r="I28" i="56"/>
  <c r="H28" i="56" s="1"/>
  <c r="J28" i="56"/>
  <c r="I29" i="56"/>
  <c r="H29" i="56" s="1"/>
  <c r="J29" i="56"/>
  <c r="I30" i="56"/>
  <c r="H30" i="56" s="1"/>
  <c r="J30" i="56"/>
  <c r="I31" i="56"/>
  <c r="H31" i="56" s="1"/>
  <c r="J31" i="56"/>
  <c r="I32" i="56"/>
  <c r="H32" i="56" s="1"/>
  <c r="J32" i="56"/>
  <c r="I33" i="56"/>
  <c r="H33" i="56" s="1"/>
  <c r="J33" i="56"/>
  <c r="I34" i="56"/>
  <c r="H34" i="56" s="1"/>
  <c r="J34" i="56"/>
  <c r="I35" i="56"/>
  <c r="H35" i="56" s="1"/>
  <c r="J35" i="56"/>
  <c r="H36" i="56"/>
  <c r="I36" i="56"/>
  <c r="J36" i="56"/>
  <c r="I37" i="56"/>
  <c r="H37" i="56" s="1"/>
  <c r="J37" i="56"/>
  <c r="I38" i="56"/>
  <c r="H38" i="56" s="1"/>
  <c r="J38" i="56"/>
  <c r="I39" i="56"/>
  <c r="H39" i="56" s="1"/>
  <c r="J39" i="56"/>
  <c r="I40" i="56"/>
  <c r="H40" i="56" s="1"/>
  <c r="J40" i="56"/>
  <c r="I41" i="56"/>
  <c r="H41" i="56" s="1"/>
  <c r="J41" i="56"/>
  <c r="I42" i="56"/>
  <c r="H42" i="56" s="1"/>
  <c r="J42" i="56"/>
  <c r="I43" i="56"/>
  <c r="H43" i="56" s="1"/>
  <c r="J43" i="56"/>
  <c r="H44" i="56"/>
  <c r="I44" i="56"/>
  <c r="J44" i="56"/>
  <c r="H45" i="56"/>
  <c r="I45" i="56"/>
  <c r="J45" i="56"/>
  <c r="I46" i="56"/>
  <c r="H46" i="56" s="1"/>
  <c r="J46" i="56"/>
  <c r="I47" i="56"/>
  <c r="H47" i="56" s="1"/>
  <c r="J47" i="56"/>
  <c r="I48" i="56"/>
  <c r="H48" i="56" s="1"/>
  <c r="J48" i="56"/>
  <c r="I49" i="56"/>
  <c r="H49" i="56" s="1"/>
  <c r="J49" i="56"/>
  <c r="I50" i="56"/>
  <c r="H50" i="56" s="1"/>
  <c r="J50" i="56"/>
  <c r="I51" i="56"/>
  <c r="H51" i="56" s="1"/>
  <c r="J51" i="56"/>
  <c r="I52" i="56"/>
  <c r="H52" i="56" s="1"/>
  <c r="J52" i="56"/>
  <c r="I53" i="56"/>
  <c r="H53" i="56" s="1"/>
  <c r="J53" i="56"/>
  <c r="I54" i="56"/>
  <c r="H54" i="56" s="1"/>
  <c r="J54" i="56"/>
  <c r="I55" i="56"/>
  <c r="H55" i="56" s="1"/>
  <c r="J55" i="56"/>
  <c r="I56" i="56"/>
  <c r="H56" i="56" s="1"/>
  <c r="J56" i="56"/>
  <c r="I57" i="56"/>
  <c r="H57" i="56" s="1"/>
  <c r="J57" i="56"/>
  <c r="H58" i="56"/>
  <c r="I58" i="56"/>
  <c r="J58" i="56"/>
  <c r="I59" i="56"/>
  <c r="H59" i="56" s="1"/>
  <c r="J59" i="56"/>
  <c r="I60" i="56"/>
  <c r="H60" i="56" s="1"/>
  <c r="J60" i="56"/>
  <c r="J6" i="56"/>
  <c r="I6" i="56"/>
  <c r="G17" i="69"/>
  <c r="G16" i="69"/>
  <c r="O23" i="70"/>
  <c r="O28" i="70" s="1"/>
  <c r="O33" i="70" s="1"/>
  <c r="O38" i="70" s="1"/>
  <c r="O43" i="70" s="1"/>
  <c r="O48" i="70" s="1"/>
  <c r="O53" i="70" s="1"/>
  <c r="O58" i="70" s="1"/>
  <c r="I23" i="70"/>
  <c r="I28" i="70" s="1"/>
  <c r="A21" i="70"/>
  <c r="Q21" i="70" s="1"/>
  <c r="J21" i="70" s="1"/>
  <c r="Q20" i="70"/>
  <c r="O20" i="70"/>
  <c r="O25" i="70" s="1"/>
  <c r="O30" i="70" s="1"/>
  <c r="O35" i="70" s="1"/>
  <c r="O40" i="70" s="1"/>
  <c r="O45" i="70" s="1"/>
  <c r="O50" i="70" s="1"/>
  <c r="O55" i="70" s="1"/>
  <c r="O60" i="70" s="1"/>
  <c r="J20" i="70"/>
  <c r="B20" i="70"/>
  <c r="A20" i="70"/>
  <c r="A25" i="70" s="1"/>
  <c r="O19" i="70"/>
  <c r="O24" i="70" s="1"/>
  <c r="O29" i="70" s="1"/>
  <c r="O34" i="70" s="1"/>
  <c r="O39" i="70" s="1"/>
  <c r="O44" i="70" s="1"/>
  <c r="O49" i="70" s="1"/>
  <c r="O54" i="70" s="1"/>
  <c r="O59" i="70" s="1"/>
  <c r="O18" i="70"/>
  <c r="I18" i="70"/>
  <c r="B18" i="70"/>
  <c r="A18" i="70"/>
  <c r="Q18" i="70" s="1"/>
  <c r="J18" i="70" s="1"/>
  <c r="H18" i="70" s="1"/>
  <c r="C18" i="70" s="1"/>
  <c r="Q17" i="70"/>
  <c r="J17" i="70"/>
  <c r="A17" i="70"/>
  <c r="A22" i="70" s="1"/>
  <c r="A16" i="70"/>
  <c r="Q16" i="70" s="1"/>
  <c r="J16" i="70" s="1"/>
  <c r="Q15" i="70"/>
  <c r="J15" i="70" s="1"/>
  <c r="H15" i="70" s="1"/>
  <c r="C15" i="70" s="1"/>
  <c r="O15" i="70"/>
  <c r="I15" i="70"/>
  <c r="I20" i="70" s="1"/>
  <c r="B15" i="70"/>
  <c r="A15" i="70"/>
  <c r="Q14" i="70"/>
  <c r="O14" i="70"/>
  <c r="B14" i="70" s="1"/>
  <c r="J14" i="70"/>
  <c r="I14" i="70"/>
  <c r="I19" i="70" s="1"/>
  <c r="H14" i="70"/>
  <c r="C14" i="70" s="1"/>
  <c r="A14" i="70"/>
  <c r="A19" i="70" s="1"/>
  <c r="O13" i="70"/>
  <c r="I13" i="70"/>
  <c r="B13" i="70"/>
  <c r="A13" i="70"/>
  <c r="Q13" i="70" s="1"/>
  <c r="J13" i="70" s="1"/>
  <c r="H13" i="70" s="1"/>
  <c r="C13" i="70" s="1"/>
  <c r="Q12" i="70"/>
  <c r="O12" i="70"/>
  <c r="O17" i="70" s="1"/>
  <c r="J12" i="70"/>
  <c r="I12" i="70"/>
  <c r="I17" i="70" s="1"/>
  <c r="H12" i="70"/>
  <c r="C12" i="70" s="1"/>
  <c r="B12" i="70"/>
  <c r="A12" i="70"/>
  <c r="Q11" i="70"/>
  <c r="O11" i="70"/>
  <c r="B11" i="70" s="1"/>
  <c r="J11" i="70"/>
  <c r="I11" i="70"/>
  <c r="H11" i="70" s="1"/>
  <c r="C11" i="70" s="1"/>
  <c r="A11" i="70"/>
  <c r="Q10" i="70"/>
  <c r="J10" i="70" s="1"/>
  <c r="H10" i="70" s="1"/>
  <c r="C10" i="70" s="1"/>
  <c r="B10" i="70"/>
  <c r="Q9" i="70"/>
  <c r="J9" i="70"/>
  <c r="H9" i="70"/>
  <c r="C9" i="70" s="1"/>
  <c r="B9" i="70"/>
  <c r="Q8" i="70"/>
  <c r="J8" i="70" s="1"/>
  <c r="H8" i="70" s="1"/>
  <c r="C8" i="70" s="1"/>
  <c r="B8" i="70"/>
  <c r="Q7" i="70"/>
  <c r="J7" i="70"/>
  <c r="H7" i="70"/>
  <c r="C7" i="70" s="1"/>
  <c r="B7" i="70"/>
  <c r="Q6" i="70"/>
  <c r="J6" i="70" s="1"/>
  <c r="H6" i="70" s="1"/>
  <c r="C6" i="70" s="1"/>
  <c r="B6" i="70"/>
  <c r="J5" i="70"/>
  <c r="I5" i="70"/>
  <c r="G20" i="69"/>
  <c r="B17" i="69"/>
  <c r="B16" i="69"/>
  <c r="H14" i="69"/>
  <c r="H13" i="69"/>
  <c r="F13" i="69" s="1"/>
  <c r="F19" i="69"/>
  <c r="B35" i="66"/>
  <c r="B34" i="66"/>
  <c r="B33" i="66"/>
  <c r="B32" i="66"/>
  <c r="B31" i="66"/>
  <c r="B30" i="66"/>
  <c r="B29" i="66"/>
  <c r="B28" i="66"/>
  <c r="B26" i="66"/>
  <c r="H6" i="56" l="1"/>
  <c r="A27" i="70"/>
  <c r="Q22" i="70"/>
  <c r="J22" i="70" s="1"/>
  <c r="H20" i="70"/>
  <c r="C20" i="70" s="1"/>
  <c r="I25" i="70"/>
  <c r="H17" i="70"/>
  <c r="C17" i="70" s="1"/>
  <c r="I22" i="70"/>
  <c r="I24" i="70"/>
  <c r="I33" i="70"/>
  <c r="B17" i="70"/>
  <c r="O22" i="70"/>
  <c r="O27" i="70" s="1"/>
  <c r="O32" i="70" s="1"/>
  <c r="O37" i="70" s="1"/>
  <c r="O42" i="70" s="1"/>
  <c r="O47" i="70" s="1"/>
  <c r="O52" i="70" s="1"/>
  <c r="O57" i="70" s="1"/>
  <c r="B25" i="70"/>
  <c r="Q25" i="70"/>
  <c r="J25" i="70" s="1"/>
  <c r="A30" i="70"/>
  <c r="B19" i="70"/>
  <c r="A24" i="70"/>
  <c r="Q19" i="70"/>
  <c r="J19" i="70" s="1"/>
  <c r="H19" i="70" s="1"/>
  <c r="C19" i="70" s="1"/>
  <c r="A23" i="70"/>
  <c r="A26" i="70"/>
  <c r="I16" i="70"/>
  <c r="O16" i="70"/>
  <c r="B4" i="58"/>
  <c r="B5" i="58"/>
  <c r="B6" i="58"/>
  <c r="B7" i="58"/>
  <c r="B8" i="58"/>
  <c r="B9" i="58"/>
  <c r="B10" i="58"/>
  <c r="B11" i="58"/>
  <c r="B3" i="58"/>
  <c r="Q24" i="70" l="1"/>
  <c r="J24" i="70" s="1"/>
  <c r="B24" i="70"/>
  <c r="A29" i="70"/>
  <c r="B30" i="70"/>
  <c r="A35" i="70"/>
  <c r="Q30" i="70"/>
  <c r="J30" i="70" s="1"/>
  <c r="H24" i="70"/>
  <c r="C24" i="70" s="1"/>
  <c r="I29" i="70"/>
  <c r="H16" i="70"/>
  <c r="C16" i="70" s="1"/>
  <c r="I21" i="70"/>
  <c r="Q26" i="70"/>
  <c r="J26" i="70" s="1"/>
  <c r="A31" i="70"/>
  <c r="B23" i="70"/>
  <c r="Q23" i="70"/>
  <c r="J23" i="70" s="1"/>
  <c r="H23" i="70" s="1"/>
  <c r="C23" i="70" s="1"/>
  <c r="A28" i="70"/>
  <c r="I38" i="70"/>
  <c r="H22" i="70"/>
  <c r="C22" i="70" s="1"/>
  <c r="I27" i="70"/>
  <c r="Q27" i="70"/>
  <c r="J27" i="70" s="1"/>
  <c r="B27" i="70"/>
  <c r="A32" i="70"/>
  <c r="I30" i="70"/>
  <c r="H25" i="70"/>
  <c r="C25" i="70" s="1"/>
  <c r="B16" i="70"/>
  <c r="O21" i="70"/>
  <c r="B22" i="70"/>
  <c r="C60" i="56"/>
  <c r="C58" i="56"/>
  <c r="A33" i="70" l="1"/>
  <c r="Q28" i="70"/>
  <c r="J28" i="70" s="1"/>
  <c r="H28" i="70" s="1"/>
  <c r="C28" i="70" s="1"/>
  <c r="B28" i="70"/>
  <c r="I34" i="70"/>
  <c r="H27" i="70"/>
  <c r="C27" i="70" s="1"/>
  <c r="I32" i="70"/>
  <c r="O26" i="70"/>
  <c r="B21" i="70"/>
  <c r="Q35" i="70"/>
  <c r="J35" i="70" s="1"/>
  <c r="B35" i="70"/>
  <c r="A40" i="70"/>
  <c r="I43" i="70"/>
  <c r="Q29" i="70"/>
  <c r="J29" i="70" s="1"/>
  <c r="H29" i="70" s="1"/>
  <c r="C29" i="70" s="1"/>
  <c r="B29" i="70"/>
  <c r="A34" i="70"/>
  <c r="A36" i="70"/>
  <c r="Q31" i="70"/>
  <c r="J31" i="70" s="1"/>
  <c r="H21" i="70"/>
  <c r="C21" i="70" s="1"/>
  <c r="I26" i="70"/>
  <c r="H30" i="70"/>
  <c r="C30" i="70" s="1"/>
  <c r="I35" i="70"/>
  <c r="Q32" i="70"/>
  <c r="J32" i="70" s="1"/>
  <c r="B32" i="70"/>
  <c r="A37" i="70"/>
  <c r="C59" i="56"/>
  <c r="C57" i="56"/>
  <c r="C46" i="56"/>
  <c r="C41" i="56"/>
  <c r="C42" i="56"/>
  <c r="C52" i="56"/>
  <c r="C47" i="56"/>
  <c r="C43" i="56"/>
  <c r="C48" i="56"/>
  <c r="C44" i="56"/>
  <c r="C49" i="56"/>
  <c r="C45" i="56"/>
  <c r="C50" i="56"/>
  <c r="C6" i="65"/>
  <c r="C7" i="65"/>
  <c r="C8" i="65"/>
  <c r="C9" i="65"/>
  <c r="C10" i="65"/>
  <c r="C11" i="65"/>
  <c r="C12" i="65"/>
  <c r="C13" i="65"/>
  <c r="C14" i="65"/>
  <c r="C15" i="65"/>
  <c r="C16" i="65"/>
  <c r="C17" i="65"/>
  <c r="C18" i="65"/>
  <c r="C19" i="65"/>
  <c r="C20" i="65"/>
  <c r="C21" i="65"/>
  <c r="C22" i="65"/>
  <c r="C23" i="65"/>
  <c r="C24" i="65"/>
  <c r="C25" i="65"/>
  <c r="C26" i="65"/>
  <c r="C27" i="65"/>
  <c r="C28" i="65"/>
  <c r="C29" i="65"/>
  <c r="C30" i="65"/>
  <c r="C31" i="65"/>
  <c r="C32" i="65"/>
  <c r="C33" i="65"/>
  <c r="C34" i="65"/>
  <c r="C35" i="65"/>
  <c r="C36" i="65"/>
  <c r="C37" i="65"/>
  <c r="C38" i="65"/>
  <c r="C39" i="65"/>
  <c r="C40" i="65"/>
  <c r="C41" i="65"/>
  <c r="C42" i="65"/>
  <c r="C43" i="65"/>
  <c r="C44" i="65"/>
  <c r="C45" i="65"/>
  <c r="C46" i="65"/>
  <c r="C47" i="65"/>
  <c r="C48" i="65"/>
  <c r="C49" i="65"/>
  <c r="C5" i="65"/>
  <c r="B47" i="57"/>
  <c r="B46" i="57"/>
  <c r="B45" i="57"/>
  <c r="B6" i="69"/>
  <c r="B5" i="69"/>
  <c r="B14" i="69" s="1"/>
  <c r="B23" i="57"/>
  <c r="B24" i="57"/>
  <c r="B25" i="57"/>
  <c r="B26" i="57"/>
  <c r="B27" i="57"/>
  <c r="B28" i="57"/>
  <c r="B29" i="57"/>
  <c r="B30" i="57"/>
  <c r="B31" i="57"/>
  <c r="B32" i="57"/>
  <c r="B33" i="57"/>
  <c r="B34" i="57"/>
  <c r="B35" i="57"/>
  <c r="B36" i="57"/>
  <c r="B37" i="57"/>
  <c r="B38" i="57"/>
  <c r="B39" i="57"/>
  <c r="B40" i="57"/>
  <c r="B41" i="57"/>
  <c r="B42" i="57"/>
  <c r="B43" i="57"/>
  <c r="B44" i="57"/>
  <c r="B22" i="57"/>
  <c r="C56" i="56" l="1"/>
  <c r="H26" i="70"/>
  <c r="C26" i="70" s="1"/>
  <c r="I31" i="70"/>
  <c r="O31" i="70"/>
  <c r="B26" i="70"/>
  <c r="H32" i="70"/>
  <c r="C32" i="70" s="1"/>
  <c r="I37" i="70"/>
  <c r="Q37" i="70"/>
  <c r="J37" i="70" s="1"/>
  <c r="B37" i="70"/>
  <c r="A42" i="70"/>
  <c r="I39" i="70"/>
  <c r="Q36" i="70"/>
  <c r="J36" i="70" s="1"/>
  <c r="A41" i="70"/>
  <c r="Q40" i="70"/>
  <c r="J40" i="70" s="1"/>
  <c r="B40" i="70"/>
  <c r="A45" i="70"/>
  <c r="B34" i="70"/>
  <c r="Q34" i="70"/>
  <c r="J34" i="70" s="1"/>
  <c r="H34" i="70" s="1"/>
  <c r="C34" i="70" s="1"/>
  <c r="A39" i="70"/>
  <c r="I48" i="70"/>
  <c r="H35" i="70"/>
  <c r="C35" i="70" s="1"/>
  <c r="I40" i="70"/>
  <c r="B33" i="70"/>
  <c r="A38" i="70"/>
  <c r="Q33" i="70"/>
  <c r="J33" i="70" s="1"/>
  <c r="H33" i="70" s="1"/>
  <c r="C33" i="70" s="1"/>
  <c r="C53" i="56"/>
  <c r="C54" i="56"/>
  <c r="C55" i="56"/>
  <c r="C51" i="56"/>
  <c r="G6" i="69"/>
  <c r="G5" i="69"/>
  <c r="B4" i="66"/>
  <c r="B5" i="66"/>
  <c r="B6" i="66"/>
  <c r="B7" i="66"/>
  <c r="B8" i="66"/>
  <c r="B9" i="66"/>
  <c r="B10" i="66"/>
  <c r="B11" i="66"/>
  <c r="B12" i="66"/>
  <c r="B13" i="66"/>
  <c r="B14" i="66"/>
  <c r="B15" i="66"/>
  <c r="B16" i="66"/>
  <c r="B17" i="66"/>
  <c r="B18" i="66"/>
  <c r="B19" i="66"/>
  <c r="B20" i="66"/>
  <c r="B21" i="66"/>
  <c r="B22" i="66"/>
  <c r="B23" i="66"/>
  <c r="B3" i="66"/>
  <c r="Q45" i="70" l="1"/>
  <c r="J45" i="70" s="1"/>
  <c r="B45" i="70"/>
  <c r="A50" i="70"/>
  <c r="A46" i="70"/>
  <c r="Q41" i="70"/>
  <c r="J41" i="70" s="1"/>
  <c r="A47" i="70"/>
  <c r="Q42" i="70"/>
  <c r="J42" i="70" s="1"/>
  <c r="B42" i="70"/>
  <c r="H37" i="70"/>
  <c r="C37" i="70" s="1"/>
  <c r="I42" i="70"/>
  <c r="Q38" i="70"/>
  <c r="J38" i="70" s="1"/>
  <c r="H38" i="70" s="1"/>
  <c r="C38" i="70" s="1"/>
  <c r="B38" i="70"/>
  <c r="A43" i="70"/>
  <c r="I53" i="70"/>
  <c r="A44" i="70"/>
  <c r="Q39" i="70"/>
  <c r="J39" i="70" s="1"/>
  <c r="H39" i="70" s="1"/>
  <c r="C39" i="70" s="1"/>
  <c r="B39" i="70"/>
  <c r="I44" i="70"/>
  <c r="O36" i="70"/>
  <c r="B31" i="70"/>
  <c r="H40" i="70"/>
  <c r="C40" i="70" s="1"/>
  <c r="I45" i="70"/>
  <c r="H31" i="70"/>
  <c r="C31" i="70" s="1"/>
  <c r="I36" i="70"/>
  <c r="B21" i="57"/>
  <c r="B4" i="57"/>
  <c r="B5" i="57"/>
  <c r="B6" i="57"/>
  <c r="B7" i="57"/>
  <c r="B8" i="57"/>
  <c r="B9" i="57"/>
  <c r="B10" i="57"/>
  <c r="B11" i="57"/>
  <c r="B14" i="57"/>
  <c r="B15" i="57"/>
  <c r="B16" i="57"/>
  <c r="B17" i="57"/>
  <c r="B18" i="57"/>
  <c r="B19" i="57"/>
  <c r="B20" i="57"/>
  <c r="B3" i="57"/>
  <c r="I49" i="70" l="1"/>
  <c r="B44" i="70"/>
  <c r="A49" i="70"/>
  <c r="Q44" i="70"/>
  <c r="J44" i="70" s="1"/>
  <c r="H44" i="70" s="1"/>
  <c r="C44" i="70" s="1"/>
  <c r="Q43" i="70"/>
  <c r="J43" i="70" s="1"/>
  <c r="H43" i="70" s="1"/>
  <c r="C43" i="70" s="1"/>
  <c r="B43" i="70"/>
  <c r="A48" i="70"/>
  <c r="B47" i="70"/>
  <c r="A52" i="70"/>
  <c r="Q47" i="70"/>
  <c r="J47" i="70" s="1"/>
  <c r="I41" i="70"/>
  <c r="H36" i="70"/>
  <c r="C36" i="70" s="1"/>
  <c r="Q46" i="70"/>
  <c r="J46" i="70" s="1"/>
  <c r="A51" i="70"/>
  <c r="O41" i="70"/>
  <c r="B36" i="70"/>
  <c r="I58" i="70"/>
  <c r="H42" i="70"/>
  <c r="C42" i="70" s="1"/>
  <c r="I47" i="70"/>
  <c r="H45" i="70"/>
  <c r="C45" i="70" s="1"/>
  <c r="I50" i="70"/>
  <c r="A55" i="70"/>
  <c r="Q50" i="70"/>
  <c r="J50" i="70" s="1"/>
  <c r="B50" i="70"/>
  <c r="C6" i="64"/>
  <c r="C7" i="64"/>
  <c r="C8" i="64"/>
  <c r="C9" i="64"/>
  <c r="C10" i="64"/>
  <c r="C5" i="64"/>
  <c r="C9" i="56"/>
  <c r="C10" i="56"/>
  <c r="C11" i="56"/>
  <c r="C12" i="56"/>
  <c r="C7" i="56"/>
  <c r="C6" i="56"/>
  <c r="C8" i="56"/>
  <c r="C15" i="56"/>
  <c r="C19" i="56"/>
  <c r="C26" i="56"/>
  <c r="J5" i="56"/>
  <c r="D4" i="59"/>
  <c r="D3" i="59"/>
  <c r="Q51" i="70" l="1"/>
  <c r="J51" i="70" s="1"/>
  <c r="A56" i="70"/>
  <c r="Q48" i="70"/>
  <c r="J48" i="70" s="1"/>
  <c r="H48" i="70" s="1"/>
  <c r="C48" i="70" s="1"/>
  <c r="B48" i="70"/>
  <c r="A53" i="70"/>
  <c r="I52" i="70"/>
  <c r="H47" i="70"/>
  <c r="C47" i="70" s="1"/>
  <c r="H41" i="70"/>
  <c r="C41" i="70" s="1"/>
  <c r="I46" i="70"/>
  <c r="B52" i="70"/>
  <c r="A57" i="70"/>
  <c r="Q52" i="70"/>
  <c r="J52" i="70" s="1"/>
  <c r="H50" i="70"/>
  <c r="C50" i="70" s="1"/>
  <c r="I55" i="70"/>
  <c r="I54" i="70"/>
  <c r="O46" i="70"/>
  <c r="B41" i="70"/>
  <c r="Q49" i="70"/>
  <c r="J49" i="70" s="1"/>
  <c r="H49" i="70" s="1"/>
  <c r="C49" i="70" s="1"/>
  <c r="B49" i="70"/>
  <c r="A54" i="70"/>
  <c r="B55" i="70"/>
  <c r="A60" i="70"/>
  <c r="Q55" i="70"/>
  <c r="J55" i="70" s="1"/>
  <c r="C18" i="56"/>
  <c r="C25" i="56"/>
  <c r="C23" i="56"/>
  <c r="C21" i="56"/>
  <c r="C20" i="56"/>
  <c r="C29" i="56"/>
  <c r="C36" i="56"/>
  <c r="C24" i="56"/>
  <c r="C22" i="56"/>
  <c r="C17" i="56"/>
  <c r="C16" i="56"/>
  <c r="C14" i="56"/>
  <c r="C13" i="56"/>
  <c r="I5" i="56"/>
  <c r="H55" i="70" l="1"/>
  <c r="C55" i="70" s="1"/>
  <c r="I60" i="70"/>
  <c r="I59" i="70"/>
  <c r="H46" i="70"/>
  <c r="C46" i="70" s="1"/>
  <c r="I51" i="70"/>
  <c r="O51" i="70"/>
  <c r="B46" i="70"/>
  <c r="Q57" i="70"/>
  <c r="J57" i="70" s="1"/>
  <c r="B57" i="70"/>
  <c r="H52" i="70"/>
  <c r="C52" i="70" s="1"/>
  <c r="I57" i="70"/>
  <c r="H57" i="70" s="1"/>
  <c r="C57" i="70" s="1"/>
  <c r="A58" i="70"/>
  <c r="Q53" i="70"/>
  <c r="J53" i="70" s="1"/>
  <c r="H53" i="70" s="1"/>
  <c r="C53" i="70" s="1"/>
  <c r="B53" i="70"/>
  <c r="Q56" i="70"/>
  <c r="J56" i="70" s="1"/>
  <c r="Q60" i="70"/>
  <c r="J60" i="70" s="1"/>
  <c r="B60" i="70"/>
  <c r="Q54" i="70"/>
  <c r="J54" i="70" s="1"/>
  <c r="H54" i="70" s="1"/>
  <c r="C54" i="70" s="1"/>
  <c r="B54" i="70"/>
  <c r="A59" i="70"/>
  <c r="C38" i="56"/>
  <c r="C31" i="56"/>
  <c r="C34" i="56"/>
  <c r="C27" i="56"/>
  <c r="C30" i="56"/>
  <c r="C37" i="56"/>
  <c r="C40" i="56"/>
  <c r="C33" i="56"/>
  <c r="C35" i="56"/>
  <c r="C28" i="56"/>
  <c r="C39" i="56"/>
  <c r="C32" i="56"/>
  <c r="H51" i="70" l="1"/>
  <c r="C51" i="70" s="1"/>
  <c r="I56" i="70"/>
  <c r="H56" i="70" s="1"/>
  <c r="C56" i="70" s="1"/>
  <c r="Q59" i="70"/>
  <c r="J59" i="70" s="1"/>
  <c r="B59" i="70"/>
  <c r="B58" i="70"/>
  <c r="Q58" i="70"/>
  <c r="J58" i="70" s="1"/>
  <c r="H58" i="70" s="1"/>
  <c r="C58" i="70" s="1"/>
  <c r="H59" i="70"/>
  <c r="C59" i="70" s="1"/>
  <c r="H60" i="70"/>
  <c r="C60" i="70" s="1"/>
  <c r="O56" i="70"/>
  <c r="B56" i="70" s="1"/>
  <c r="B51" i="7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I2" authorId="0" shapeId="0" xr:uid="{1DF03DAC-57B5-4781-A2CC-8A497DA39697}">
      <text>
        <r>
          <rPr>
            <b/>
            <sz val="9"/>
            <color indexed="81"/>
            <rFont val="Tahoma"/>
            <family val="2"/>
          </rPr>
          <t>Amit Kanudia:</t>
        </r>
        <r>
          <rPr>
            <sz val="9"/>
            <color indexed="81"/>
            <rFont val="Tahoma"/>
            <family val="2"/>
          </rPr>
          <t xml:space="preserve">
18-04-2022
default is Yes
</t>
        </r>
      </text>
    </comment>
  </commentList>
</comments>
</file>

<file path=xl/sharedStrings.xml><?xml version="1.0" encoding="utf-8"?>
<sst xmlns="http://schemas.openxmlformats.org/spreadsheetml/2006/main" count="5476" uniqueCount="1073">
  <si>
    <t>Unit</t>
  </si>
  <si>
    <t>Desc</t>
  </si>
  <si>
    <t>Name</t>
  </si>
  <si>
    <t>Solar</t>
  </si>
  <si>
    <t>Varbl</t>
  </si>
  <si>
    <t>VAR_FOUT</t>
  </si>
  <si>
    <t>TS</t>
  </si>
  <si>
    <t>VAR_CAP</t>
  </si>
  <si>
    <t>GW</t>
  </si>
  <si>
    <t>Scen</t>
  </si>
  <si>
    <t>Ldesc</t>
  </si>
  <si>
    <t>Attribute</t>
  </si>
  <si>
    <t>PSET_Set</t>
  </si>
  <si>
    <t>PSET_PN</t>
  </si>
  <si>
    <t>CSET_Set</t>
  </si>
  <si>
    <t>CSET_CN</t>
  </si>
  <si>
    <t>CSET_CD</t>
  </si>
  <si>
    <t>PSET_PD</t>
  </si>
  <si>
    <t>PSET_CI</t>
  </si>
  <si>
    <t>PSET_CO</t>
  </si>
  <si>
    <t>Oname</t>
  </si>
  <si>
    <t>~TS_Defs</t>
  </si>
  <si>
    <t>WAttribute</t>
  </si>
  <si>
    <t>UC_N</t>
  </si>
  <si>
    <t>~Pset_Map</t>
  </si>
  <si>
    <t>Pset</t>
  </si>
  <si>
    <t>NRG</t>
  </si>
  <si>
    <t>~CName_Map</t>
  </si>
  <si>
    <t>CName</t>
  </si>
  <si>
    <t>EQ_COMBALM</t>
  </si>
  <si>
    <t>Cost_INV</t>
  </si>
  <si>
    <t>~UnitConv</t>
  </si>
  <si>
    <t>Model</t>
  </si>
  <si>
    <t>Unit1</t>
  </si>
  <si>
    <t>Unit2</t>
  </si>
  <si>
    <t>MultFact</t>
  </si>
  <si>
    <t>VAR_NCAP</t>
  </si>
  <si>
    <t>C</t>
  </si>
  <si>
    <t>~ATS</t>
  </si>
  <si>
    <t>Region</t>
  </si>
  <si>
    <t>Year</t>
  </si>
  <si>
    <t>Val</t>
  </si>
  <si>
    <t>Power</t>
  </si>
  <si>
    <t>group_by</t>
  </si>
  <si>
    <t>p</t>
  </si>
  <si>
    <t>Price_NRG</t>
  </si>
  <si>
    <t>Prices of all NRG - native TS</t>
  </si>
  <si>
    <t>ct</t>
  </si>
  <si>
    <t>User_conFXM</t>
  </si>
  <si>
    <t>UC_shadowprice</t>
  </si>
  <si>
    <t>u</t>
  </si>
  <si>
    <t>shadow prices of all Ucs</t>
  </si>
  <si>
    <t>process</t>
  </si>
  <si>
    <t>dimension</t>
  </si>
  <si>
    <t>name</t>
  </si>
  <si>
    <t>description</t>
  </si>
  <si>
    <t>VAR_COMPRD</t>
  </si>
  <si>
    <t>VAR_NCAPR</t>
  </si>
  <si>
    <t>show_me</t>
  </si>
  <si>
    <t>discard</t>
  </si>
  <si>
    <t>VAR_POUT</t>
  </si>
  <si>
    <t>LCOE</t>
  </si>
  <si>
    <t>~ScenMap</t>
  </si>
  <si>
    <t>~ScenG</t>
  </si>
  <si>
    <t>~process_map</t>
  </si>
  <si>
    <t>pset_set</t>
  </si>
  <si>
    <t>pset_ci</t>
  </si>
  <si>
    <t>pset_co</t>
  </si>
  <si>
    <t>pset_pd</t>
  </si>
  <si>
    <t>Tech</t>
  </si>
  <si>
    <t>Elec Capacity</t>
  </si>
  <si>
    <t>~Cset_Map</t>
  </si>
  <si>
    <t>Cset</t>
  </si>
  <si>
    <t>~commodity_map</t>
  </si>
  <si>
    <t>cset_set</t>
  </si>
  <si>
    <t>cset_cd</t>
  </si>
  <si>
    <t>c_pos_andor</t>
  </si>
  <si>
    <t>c_set_andor</t>
  </si>
  <si>
    <t>c_neg_andor</t>
  </si>
  <si>
    <t>Elec New Capacity</t>
  </si>
  <si>
    <t>Twh</t>
  </si>
  <si>
    <t>Elec Production</t>
  </si>
  <si>
    <t>Cost_Investment</t>
  </si>
  <si>
    <t>$/Mwh</t>
  </si>
  <si>
    <t>m$/UCU</t>
  </si>
  <si>
    <t>VS</t>
  </si>
  <si>
    <t>Twh2GW</t>
  </si>
  <si>
    <t>CCGT</t>
  </si>
  <si>
    <t>Int Comb</t>
  </si>
  <si>
    <t>Gas_Oil Steam</t>
  </si>
  <si>
    <t>OCGT (Peaker)</t>
  </si>
  <si>
    <t>Subcritical Coal</t>
  </si>
  <si>
    <t>Supercritical Coal</t>
  </si>
  <si>
    <t>IGCC</t>
  </si>
  <si>
    <t>Wind onshore</t>
  </si>
  <si>
    <t>Wind offshore</t>
  </si>
  <si>
    <t>Hydro pumped stg</t>
  </si>
  <si>
    <t>Util Batt Stg</t>
  </si>
  <si>
    <t>EV Batt</t>
  </si>
  <si>
    <t>-elc_roadtransport</t>
  </si>
  <si>
    <t>ElcAgg_Solar</t>
  </si>
  <si>
    <t>ElcAgg_Wind</t>
  </si>
  <si>
    <t>Wind</t>
  </si>
  <si>
    <t>~TS_Ratios</t>
  </si>
  <si>
    <t>var_num</t>
  </si>
  <si>
    <t>var_den</t>
  </si>
  <si>
    <t>ignore</t>
  </si>
  <si>
    <t>include_null</t>
  </si>
  <si>
    <t>include_dim</t>
  </si>
  <si>
    <t>Capacity_factor</t>
  </si>
  <si>
    <t>Twh/GW</t>
  </si>
  <si>
    <t>y</t>
  </si>
  <si>
    <t>%</t>
  </si>
  <si>
    <t>Trd*</t>
  </si>
  <si>
    <t>Trade</t>
  </si>
  <si>
    <t>ELE,STG,IRE</t>
  </si>
  <si>
    <t>ELE,IRE</t>
  </si>
  <si>
    <t>-ElcAgg*,-*EV*</t>
  </si>
  <si>
    <t>t</t>
  </si>
  <si>
    <t>old_new</t>
  </si>
  <si>
    <t>*</t>
  </si>
  <si>
    <t>new</t>
  </si>
  <si>
    <t>ep*</t>
  </si>
  <si>
    <t>old</t>
  </si>
  <si>
    <t>timeslice</t>
  </si>
  <si>
    <t>CO2</t>
  </si>
  <si>
    <t>CO2Captured</t>
  </si>
  <si>
    <t>kt</t>
  </si>
  <si>
    <t>ktneg</t>
  </si>
  <si>
    <t>CO2_emission</t>
  </si>
  <si>
    <t>CO2_captured</t>
  </si>
  <si>
    <t>mt</t>
  </si>
  <si>
    <t>Coal CCS</t>
  </si>
  <si>
    <t>Gas CCS</t>
  </si>
  <si>
    <t>Coal CCS Retrofit</t>
  </si>
  <si>
    <t>Gas CCS Retrofit</t>
  </si>
  <si>
    <t>coal</t>
  </si>
  <si>
    <t>gas</t>
  </si>
  <si>
    <t>*ccs-rf</t>
  </si>
  <si>
    <t>co2net</t>
  </si>
  <si>
    <t>000$/t</t>
  </si>
  <si>
    <t>Price_CO2</t>
  </si>
  <si>
    <t>$/tCO2</t>
  </si>
  <si>
    <t>ELE,STG,IRE,-Grid</t>
  </si>
  <si>
    <t>s?a*</t>
  </si>
  <si>
    <t>*,-s?a*</t>
  </si>
  <si>
    <t>hourly</t>
  </si>
  <si>
    <t>aggregated</t>
  </si>
  <si>
    <t>ts_type</t>
  </si>
  <si>
    <t>ts_season</t>
  </si>
  <si>
    <t>S1*</t>
  </si>
  <si>
    <t>S2*</t>
  </si>
  <si>
    <t>S3*</t>
  </si>
  <si>
    <t>S4*</t>
  </si>
  <si>
    <t>S5*</t>
  </si>
  <si>
    <t>S6*</t>
  </si>
  <si>
    <t>~Timeslice_Map</t>
  </si>
  <si>
    <t>-ElcAgg*,-*EV*,-g[_]*</t>
  </si>
  <si>
    <t>T_neg_andor</t>
  </si>
  <si>
    <t>downscale_option</t>
  </si>
  <si>
    <t>TWh</t>
  </si>
  <si>
    <t>VAR_FIN</t>
  </si>
  <si>
    <t>Demand</t>
  </si>
  <si>
    <t>Elec-220V</t>
  </si>
  <si>
    <t>Elec-400V</t>
  </si>
  <si>
    <t>Elec-380V</t>
  </si>
  <si>
    <t>Elec-225V</t>
  </si>
  <si>
    <t>Elec-330V</t>
  </si>
  <si>
    <t>Elec-275V</t>
  </si>
  <si>
    <t>Elec-420V</t>
  </si>
  <si>
    <t>Elec-300V</t>
  </si>
  <si>
    <t>Elec-500V</t>
  </si>
  <si>
    <t>Elec-750V</t>
  </si>
  <si>
    <t>Elec-450V</t>
  </si>
  <si>
    <t>Elec-515V</t>
  </si>
  <si>
    <t>Elec-525V</t>
  </si>
  <si>
    <t>Elec-320V</t>
  </si>
  <si>
    <t>Elec-150V</t>
  </si>
  <si>
    <t>Elec-270V</t>
  </si>
  <si>
    <t>Elec-350V</t>
  </si>
  <si>
    <t>Elec-250V</t>
  </si>
  <si>
    <t>Elec-200V</t>
  </si>
  <si>
    <t>Elec-236V</t>
  </si>
  <si>
    <t>Elec-600V</t>
  </si>
  <si>
    <t>bioenergy</t>
  </si>
  <si>
    <t>hydrogen</t>
  </si>
  <si>
    <t>nuclear</t>
  </si>
  <si>
    <t>ELC</t>
  </si>
  <si>
    <t>buildings</t>
  </si>
  <si>
    <t>industry</t>
  </si>
  <si>
    <t>transport</t>
  </si>
  <si>
    <t>EVs</t>
  </si>
  <si>
    <t>&lt;cset&gt;_Src_&lt;pset&gt;</t>
  </si>
  <si>
    <t>&lt;cset&gt;_Snk_&lt;pset&gt;</t>
  </si>
  <si>
    <t>fossil</t>
  </si>
  <si>
    <t>Bio Power</t>
  </si>
  <si>
    <t>Solar Util</t>
  </si>
  <si>
    <t>Geothermal P</t>
  </si>
  <si>
    <t>Hydro RoR</t>
  </si>
  <si>
    <t>Nuclear P</t>
  </si>
  <si>
    <t>Nuclear SMR</t>
  </si>
  <si>
    <t>Hydro Dam</t>
  </si>
  <si>
    <t>Solar elec</t>
  </si>
  <si>
    <t>Wind elec</t>
  </si>
  <si>
    <t>renewable</t>
  </si>
  <si>
    <t>Grid-220V</t>
  </si>
  <si>
    <t>Grid-400V</t>
  </si>
  <si>
    <t>Grid-380V</t>
  </si>
  <si>
    <t>Grid-225V</t>
  </si>
  <si>
    <t>Grid-330V</t>
  </si>
  <si>
    <t>Grid-275V</t>
  </si>
  <si>
    <t>Grid-420V</t>
  </si>
  <si>
    <t>Grid-300V</t>
  </si>
  <si>
    <t>Grid-500V</t>
  </si>
  <si>
    <t>Grid-750V</t>
  </si>
  <si>
    <t>Grid-450V</t>
  </si>
  <si>
    <t>Grid-515V</t>
  </si>
  <si>
    <t>Grid-525V</t>
  </si>
  <si>
    <t>Grid-320V</t>
  </si>
  <si>
    <t>Grid-150V</t>
  </si>
  <si>
    <t>Grid-270V</t>
  </si>
  <si>
    <t>Grid-350V</t>
  </si>
  <si>
    <t>Grid-250V</t>
  </si>
  <si>
    <t>Grid-200V</t>
  </si>
  <si>
    <t>Grid-236V</t>
  </si>
  <si>
    <t>Grid-600V</t>
  </si>
  <si>
    <t>Aggregators</t>
  </si>
  <si>
    <t>DUMMY_IMP</t>
  </si>
  <si>
    <t>Transformers Dn</t>
  </si>
  <si>
    <t>Transformers Up</t>
  </si>
  <si>
    <t>s1p1v1_d</t>
  </si>
  <si>
    <t>s3p3v3_d</t>
  </si>
  <si>
    <t>s2_w</t>
  </si>
  <si>
    <t>s2_w_p2_d</t>
  </si>
  <si>
    <t>ts12_clu</t>
  </si>
  <si>
    <t>ts24_clu</t>
  </si>
  <si>
    <t>ts48_clu</t>
  </si>
  <si>
    <t>s5p5v5_d</t>
  </si>
  <si>
    <t>ts_annual</t>
  </si>
  <si>
    <t>ts_12</t>
  </si>
  <si>
    <t>a2w2d</t>
  </si>
  <si>
    <t>d9d</t>
  </si>
  <si>
    <t>b2w</t>
  </si>
  <si>
    <t>c15d</t>
  </si>
  <si>
    <t>e3d</t>
  </si>
  <si>
    <t>fTS48c</t>
  </si>
  <si>
    <t>gTS24c</t>
  </si>
  <si>
    <t>hTS12c</t>
  </si>
  <si>
    <t>iTS12</t>
  </si>
  <si>
    <t>jAnn</t>
  </si>
  <si>
    <t>Limit warming to 1.5°C (&gt;50%) with no or limited overshoot</t>
  </si>
  <si>
    <t>Limit warming to 1.5°C (&gt;67%) with high overshoot</t>
  </si>
  <si>
    <t>Limit warming to 2°C (&gt;67%) with higher action post-2030</t>
  </si>
  <si>
    <t>Limit warming to 2°C (&gt;50%) with immediate action</t>
  </si>
  <si>
    <t>Likely above 3°C warming with limited mitigation</t>
  </si>
  <si>
    <t>b 2 deg (50%)</t>
  </si>
  <si>
    <t>c 2 deg (67%)</t>
  </si>
  <si>
    <t>d 1.5 deg OS</t>
  </si>
  <si>
    <t>e 1.5 deg no OS</t>
  </si>
  <si>
    <t>a 3 deg</t>
  </si>
  <si>
    <t>ar6_r10</t>
  </si>
  <si>
    <t>ELC,ELC_???-???*,e[_]*</t>
  </si>
  <si>
    <t>*ccs</t>
  </si>
  <si>
    <t>s1_d</t>
  </si>
  <si>
    <t>f3d</t>
  </si>
  <si>
    <t>~TS_Defs: Snk_attr=SANKEY whole system</t>
  </si>
  <si>
    <t>geothermal</t>
  </si>
  <si>
    <t>hydro</t>
  </si>
  <si>
    <t>oil</t>
  </si>
  <si>
    <t>solar</t>
  </si>
  <si>
    <t>windon</t>
  </si>
  <si>
    <t>windoff</t>
  </si>
  <si>
    <t>wind onshore</t>
  </si>
  <si>
    <t>wind offshore</t>
  </si>
  <si>
    <t>&lt;gen_cname&gt;_src_&lt;gen_pname&gt;</t>
  </si>
  <si>
    <t>&lt;gen_cname&gt;_snk_&lt;pset&gt;</t>
  </si>
  <si>
    <t>Electricity</t>
  </si>
  <si>
    <t>Hydrogen</t>
  </si>
  <si>
    <t>&lt;gen_cname&gt;_snk_&lt;gen_pname&gt;</t>
  </si>
  <si>
    <t>Fuels</t>
  </si>
  <si>
    <t>Onshore Wind</t>
  </si>
  <si>
    <t>Offshore Wind</t>
  </si>
  <si>
    <t>&lt;cset&gt;_src_&lt;pset&gt;</t>
  </si>
  <si>
    <t>&lt;cset&gt;_snk_&lt;pset&gt;</t>
  </si>
  <si>
    <t>&lt;cset&gt;_snk_&lt;gen_pname&gt;</t>
  </si>
  <si>
    <t>C1</t>
  </si>
  <si>
    <t>C2</t>
  </si>
  <si>
    <t>C3</t>
  </si>
  <si>
    <t>C4</t>
  </si>
  <si>
    <t>C7</t>
  </si>
  <si>
    <t>Reg_wobj</t>
  </si>
  <si>
    <t>Reg_ACost</t>
  </si>
  <si>
    <t>m$2020</t>
  </si>
  <si>
    <t>SysCost_NPV</t>
  </si>
  <si>
    <t>SysCost_Annual</t>
  </si>
  <si>
    <t>DeACT TS_Defs: Snk_attr=SANKEY Grid Flows</t>
  </si>
  <si>
    <t>~Scenmap</t>
  </si>
  <si>
    <t>priority</t>
  </si>
  <si>
    <t>scen</t>
  </si>
  <si>
    <t>case_no</t>
  </si>
  <si>
    <t>climate</t>
  </si>
  <si>
    <t>e 1.5 deg no OS.kAnn</t>
  </si>
  <si>
    <t>d 1.5 deg OS.kAnn</t>
  </si>
  <si>
    <t>c 2 deg (67%).kAnn</t>
  </si>
  <si>
    <t>b 2 deg (50%).kAnn</t>
  </si>
  <si>
    <t>a 3 deg.kAnn</t>
  </si>
  <si>
    <t>e 1.5 deg no OS.k12</t>
  </si>
  <si>
    <t>ts_12t</t>
  </si>
  <si>
    <t>d 1.5 deg OS.k12</t>
  </si>
  <si>
    <t>c 2 deg (67%).k12</t>
  </si>
  <si>
    <t>b 2 deg (50%).k12</t>
  </si>
  <si>
    <t>a 3 deg.k12</t>
  </si>
  <si>
    <t>e 1.5 deg no OS.j12</t>
  </si>
  <si>
    <t>ts_012</t>
  </si>
  <si>
    <t>d 1.5 deg OS.j12</t>
  </si>
  <si>
    <t>c 2 deg (67%).j12</t>
  </si>
  <si>
    <t>b 2 deg (50%).j12</t>
  </si>
  <si>
    <t>a 3 deg.j12</t>
  </si>
  <si>
    <t>e 1.5 deg no OS.i24</t>
  </si>
  <si>
    <t>ts_024</t>
  </si>
  <si>
    <t>d 1.5 deg OS.i24</t>
  </si>
  <si>
    <t>c 2 deg (67%).i24</t>
  </si>
  <si>
    <t>b 2 deg (50%).i24</t>
  </si>
  <si>
    <t>a 3 deg.i24</t>
  </si>
  <si>
    <t>e 1.5 deg no OS.h48</t>
  </si>
  <si>
    <t>ts_048</t>
  </si>
  <si>
    <t>d 1.5 deg OS.h48</t>
  </si>
  <si>
    <t>c 2 deg (67%).h48</t>
  </si>
  <si>
    <t>b 2 deg (50%).h48</t>
  </si>
  <si>
    <t>a 3 deg.h48</t>
  </si>
  <si>
    <t>e 1.5 deg no OS.g64</t>
  </si>
  <si>
    <t>ts_064</t>
  </si>
  <si>
    <t>d 1.5 deg OS.g64</t>
  </si>
  <si>
    <t>c 2 deg (67%).g64</t>
  </si>
  <si>
    <t>b 2 deg (50%).g64</t>
  </si>
  <si>
    <t>a 3 deg.g64</t>
  </si>
  <si>
    <t>e 1.5 deg no OS.f97p50</t>
  </si>
  <si>
    <t>ts_096P50</t>
  </si>
  <si>
    <t>d 1.5 deg OS.f97p50</t>
  </si>
  <si>
    <t>c 2 deg (67%).f97p50</t>
  </si>
  <si>
    <t>b 2 deg (50%).f97p50</t>
  </si>
  <si>
    <t>a 3 deg.f97p50</t>
  </si>
  <si>
    <t>e 1.5 deg no OS.f96p10</t>
  </si>
  <si>
    <t>ts_096P10</t>
  </si>
  <si>
    <t>d 1.5 deg OS.f96p10</t>
  </si>
  <si>
    <t>c 2 deg (67%).f96p10</t>
  </si>
  <si>
    <t>b 2 deg (50%).f96p10</t>
  </si>
  <si>
    <t>a 3 deg.f96p10</t>
  </si>
  <si>
    <t>e 1.5 deg no OS.f96p90</t>
  </si>
  <si>
    <t>ts_096P90</t>
  </si>
  <si>
    <t>d 1.5 deg OS.f96p90</t>
  </si>
  <si>
    <t>c 2 deg (67%).f96p90</t>
  </si>
  <si>
    <t>b 2 deg (50%).f96p90</t>
  </si>
  <si>
    <t>a 3 deg.f96p90</t>
  </si>
  <si>
    <t>e 1.5 deg no OS.e3d</t>
  </si>
  <si>
    <t>d 1.5 deg OS.e3d</t>
  </si>
  <si>
    <t>c 2 deg (67%).e3d</t>
  </si>
  <si>
    <t>b 2 deg (50%).e3d</t>
  </si>
  <si>
    <t>a 3 deg.e3d</t>
  </si>
  <si>
    <t>e 1.5 deg no OS.d9d</t>
  </si>
  <si>
    <t>d 1.5 deg OS.d9d</t>
  </si>
  <si>
    <t>c 2 deg (67%).d9d</t>
  </si>
  <si>
    <t>b 2 deg (50%).d9d</t>
  </si>
  <si>
    <t>a 3 deg.d9d</t>
  </si>
  <si>
    <t>e 1.5 deg no OS.c15d</t>
  </si>
  <si>
    <t>d 1.5 deg OS.c15d</t>
  </si>
  <si>
    <t>c 2 deg (67%).c15d</t>
  </si>
  <si>
    <t>b 2 deg (50%).c15d</t>
  </si>
  <si>
    <t>a 3 deg.c15d</t>
  </si>
  <si>
    <t>e 1.5 deg no OS.b2w</t>
  </si>
  <si>
    <t>d 1.5 deg OS.b2w</t>
  </si>
  <si>
    <t>c 2 deg (67%).b2w</t>
  </si>
  <si>
    <t>b 2 deg (50%).b2w</t>
  </si>
  <si>
    <t>a 3 deg.b2w</t>
  </si>
  <si>
    <t>e 1.5 deg no OS.a2w2d</t>
  </si>
  <si>
    <t>d 1.5 deg OS.a2w2d</t>
  </si>
  <si>
    <t>c 2 deg (67%).a2w2d</t>
  </si>
  <si>
    <t>b 2 deg (50%).a2w2d</t>
  </si>
  <si>
    <t>a 3 deg.a2w2d</t>
  </si>
  <si>
    <t>kAnn</t>
  </si>
  <si>
    <t>k12</t>
  </si>
  <si>
    <t>j12</t>
  </si>
  <si>
    <t>i24</t>
  </si>
  <si>
    <t>h48</t>
  </si>
  <si>
    <t>g64</t>
  </si>
  <si>
    <t>f97p50</t>
  </si>
  <si>
    <t>f96p10</t>
  </si>
  <si>
    <t>f96p90</t>
  </si>
  <si>
    <t>grid_node</t>
  </si>
  <si>
    <t>p_w983523978</t>
  </si>
  <si>
    <t>p_w27668869</t>
  </si>
  <si>
    <t>p_w27936937</t>
  </si>
  <si>
    <t>p_w27949649</t>
  </si>
  <si>
    <t>p_w28308003</t>
  </si>
  <si>
    <t>p_w28683005</t>
  </si>
  <si>
    <t>p_w33771314</t>
  </si>
  <si>
    <t>p_w34585227</t>
  </si>
  <si>
    <t>p_w43842955</t>
  </si>
  <si>
    <t>p_w47842260</t>
  </si>
  <si>
    <t>p_w47911346</t>
  </si>
  <si>
    <t>p_w51188420</t>
  </si>
  <si>
    <t>p_w931733590</t>
  </si>
  <si>
    <t>p_w51822825</t>
  </si>
  <si>
    <t>p_w52516392</t>
  </si>
  <si>
    <t>p_w58928252</t>
  </si>
  <si>
    <t>p_w1241153459</t>
  </si>
  <si>
    <t>p_w60351390</t>
  </si>
  <si>
    <t>p_w931181199</t>
  </si>
  <si>
    <t>p_w73511619</t>
  </si>
  <si>
    <t>p_w74384031</t>
  </si>
  <si>
    <t>p_w75606778</t>
  </si>
  <si>
    <t>p_w75902880</t>
  </si>
  <si>
    <t>p_w77640470</t>
  </si>
  <si>
    <t>p_w156435509</t>
  </si>
  <si>
    <t>p_w81152317</t>
  </si>
  <si>
    <t>p_w84526032</t>
  </si>
  <si>
    <t>p_w85817084</t>
  </si>
  <si>
    <t>p_w86512030</t>
  </si>
  <si>
    <t>p_w90829734</t>
  </si>
  <si>
    <t>p_w97199647</t>
  </si>
  <si>
    <t>p_w97286424</t>
  </si>
  <si>
    <t>p_w97937366</t>
  </si>
  <si>
    <t>p_w98603324</t>
  </si>
  <si>
    <t>p_w101953901</t>
  </si>
  <si>
    <t>p_w103158873</t>
  </si>
  <si>
    <t>p_w103511952</t>
  </si>
  <si>
    <t>p_w104020696</t>
  </si>
  <si>
    <t>p_w104370242</t>
  </si>
  <si>
    <t>p_w105259481</t>
  </si>
  <si>
    <t>p_w115680075</t>
  </si>
  <si>
    <t>p_w118057369</t>
  </si>
  <si>
    <t>p_w124121964</t>
  </si>
  <si>
    <t>p_w126881765</t>
  </si>
  <si>
    <t>p_w126987023</t>
  </si>
  <si>
    <t>p_w127787669</t>
  </si>
  <si>
    <t>p_w129441519</t>
  </si>
  <si>
    <t>p_w129767234</t>
  </si>
  <si>
    <t>p_w134884956</t>
  </si>
  <si>
    <t>p_w135806477</t>
  </si>
  <si>
    <t>p_w140011919</t>
  </si>
  <si>
    <t>p_w143207685</t>
  </si>
  <si>
    <t>p_w143483666</t>
  </si>
  <si>
    <t>p_w144138420</t>
  </si>
  <si>
    <t>p_w144327157</t>
  </si>
  <si>
    <t>p_r15715982</t>
  </si>
  <si>
    <t>p_w144487932</t>
  </si>
  <si>
    <t>p_w144767090</t>
  </si>
  <si>
    <t>p_w144767096</t>
  </si>
  <si>
    <t>p_w144787749</t>
  </si>
  <si>
    <t>p_w144909709</t>
  </si>
  <si>
    <t>p_w144909722</t>
  </si>
  <si>
    <t>p_w144909723</t>
  </si>
  <si>
    <t>p_w144915428</t>
  </si>
  <si>
    <t>p_w144915438</t>
  </si>
  <si>
    <t>p_w144931782</t>
  </si>
  <si>
    <t>p_w1278864373</t>
  </si>
  <si>
    <t>p_w144940509</t>
  </si>
  <si>
    <t>p_w144941889</t>
  </si>
  <si>
    <t>p_w144942113</t>
  </si>
  <si>
    <t>p_w145171008</t>
  </si>
  <si>
    <t>p_w145302700</t>
  </si>
  <si>
    <t>p_w145312949</t>
  </si>
  <si>
    <t>p_w145461765</t>
  </si>
  <si>
    <t>p_w145823172</t>
  </si>
  <si>
    <t>p_w196207063</t>
  </si>
  <si>
    <t>p_w148488880</t>
  </si>
  <si>
    <t>p_w153232112</t>
  </si>
  <si>
    <t>p_w159930931</t>
  </si>
  <si>
    <t>p_w168357739</t>
  </si>
  <si>
    <t>p_w168358225</t>
  </si>
  <si>
    <t>p_w169523046</t>
  </si>
  <si>
    <t>p_w169729505</t>
  </si>
  <si>
    <t>p_w169867109</t>
  </si>
  <si>
    <t>p_w169867119</t>
  </si>
  <si>
    <t>p_w169883205</t>
  </si>
  <si>
    <t>p_w169999915</t>
  </si>
  <si>
    <t>p_w931602168</t>
  </si>
  <si>
    <t>p_w170272140</t>
  </si>
  <si>
    <t>p_w1252094933</t>
  </si>
  <si>
    <t>p_w170424446</t>
  </si>
  <si>
    <t>p_w170424447</t>
  </si>
  <si>
    <t>p_w170424455</t>
  </si>
  <si>
    <t>p_w170479580</t>
  </si>
  <si>
    <t>p_w170485453</t>
  </si>
  <si>
    <t>p_w170511092</t>
  </si>
  <si>
    <t>p_w170946426</t>
  </si>
  <si>
    <t>p_w170954487</t>
  </si>
  <si>
    <t>p_w170961288</t>
  </si>
  <si>
    <t>p_w170968145</t>
  </si>
  <si>
    <t>p_w171251565</t>
  </si>
  <si>
    <t>p_w171256169</t>
  </si>
  <si>
    <t>p_w189577215</t>
  </si>
  <si>
    <t>p_w178294745</t>
  </si>
  <si>
    <t>p_w181652542</t>
  </si>
  <si>
    <t>p_w181664117</t>
  </si>
  <si>
    <t>p_w181906370</t>
  </si>
  <si>
    <t>p_w181912569</t>
  </si>
  <si>
    <t>p_w187645709</t>
  </si>
  <si>
    <t>p_w191485195</t>
  </si>
  <si>
    <t>p_w189184531</t>
  </si>
  <si>
    <t>p_w189184555</t>
  </si>
  <si>
    <t>p_w189184557</t>
  </si>
  <si>
    <t>p_w190058570</t>
  </si>
  <si>
    <t>p_w190110739</t>
  </si>
  <si>
    <t>p_w190236352</t>
  </si>
  <si>
    <t>p_w191480803</t>
  </si>
  <si>
    <t>p_w196202213</t>
  </si>
  <si>
    <t>p_w196207064</t>
  </si>
  <si>
    <t>p_w196215046</t>
  </si>
  <si>
    <t>p_w200253359</t>
  </si>
  <si>
    <t>p_w202891403</t>
  </si>
  <si>
    <t>p_w217745445</t>
  </si>
  <si>
    <t>p_w222895334</t>
  </si>
  <si>
    <t>p_w223207745</t>
  </si>
  <si>
    <t>p_w340399370</t>
  </si>
  <si>
    <t>p_w226363063</t>
  </si>
  <si>
    <t>p_w226886241</t>
  </si>
  <si>
    <t>p_w260018670</t>
  </si>
  <si>
    <t>p_w265408693</t>
  </si>
  <si>
    <t>p_w283348372</t>
  </si>
  <si>
    <t>p_w327268322</t>
  </si>
  <si>
    <t>p_w401804126</t>
  </si>
  <si>
    <t>p_w487381592</t>
  </si>
  <si>
    <t>p_w576439241</t>
  </si>
  <si>
    <t>p_w593535391</t>
  </si>
  <si>
    <t>p_w626886449</t>
  </si>
  <si>
    <t>p_w1028926498</t>
  </si>
  <si>
    <t>p_w651711449</t>
  </si>
  <si>
    <t>p_w675714143</t>
  </si>
  <si>
    <t>p_w677413570</t>
  </si>
  <si>
    <t>p_w683693772</t>
  </si>
  <si>
    <t>p_w683892938</t>
  </si>
  <si>
    <t>p_w691036111</t>
  </si>
  <si>
    <t>p_w701397734</t>
  </si>
  <si>
    <t>p_w729485840</t>
  </si>
  <si>
    <t>p_w772002801</t>
  </si>
  <si>
    <t>p_w772400244</t>
  </si>
  <si>
    <t>p_w788716327</t>
  </si>
  <si>
    <t>p_w88760627</t>
  </si>
  <si>
    <t>p_w845179231</t>
  </si>
  <si>
    <t>p_w921541546</t>
  </si>
  <si>
    <t>p_w1272548315</t>
  </si>
  <si>
    <t>p_w986410926</t>
  </si>
  <si>
    <t>p_w986410945</t>
  </si>
  <si>
    <t>p_w989699715</t>
  </si>
  <si>
    <t>p_w1032009205</t>
  </si>
  <si>
    <t>p_w1042227719</t>
  </si>
  <si>
    <t>p_w1054312727</t>
  </si>
  <si>
    <t>p_w1100866837</t>
  </si>
  <si>
    <t>p_w1120397197</t>
  </si>
  <si>
    <t>p_w1141933143</t>
  </si>
  <si>
    <t>p_w1153834517</t>
  </si>
  <si>
    <t>p_w1168861008</t>
  </si>
  <si>
    <t>p_w1172185252</t>
  </si>
  <si>
    <t>p_w1218840771</t>
  </si>
  <si>
    <t>p_w1240967180</t>
  </si>
  <si>
    <t>p_w1277630152</t>
  </si>
  <si>
    <t>p_w1246115410</t>
  </si>
  <si>
    <t>p_w1246916016</t>
  </si>
  <si>
    <t>p_w71796402</t>
  </si>
  <si>
    <t>p_w1262722032</t>
  </si>
  <si>
    <t>p_w1266081844</t>
  </si>
  <si>
    <t>p_w1267694217</t>
  </si>
  <si>
    <t>p_w1270848181</t>
  </si>
  <si>
    <t>p_w1332493810</t>
  </si>
  <si>
    <t>p_r10295969</t>
  </si>
  <si>
    <t>p_r16809528</t>
  </si>
  <si>
    <t>p_r17148268</t>
  </si>
  <si>
    <t>p_ES302</t>
  </si>
  <si>
    <t>p_ES251</t>
  </si>
  <si>
    <t>p_ES218</t>
  </si>
  <si>
    <t>p_ES101</t>
  </si>
  <si>
    <t>p_ES216</t>
  </si>
  <si>
    <t>p_ES139</t>
  </si>
  <si>
    <t>p_ES137</t>
  </si>
  <si>
    <t>p_ES132</t>
  </si>
  <si>
    <t>p_ES149</t>
  </si>
  <si>
    <t>p_ES394</t>
  </si>
  <si>
    <t>p_ES33</t>
  </si>
  <si>
    <t>p_ES208</t>
  </si>
  <si>
    <t>p_ES264</t>
  </si>
  <si>
    <t>p_ES289</t>
  </si>
  <si>
    <t>p_ES311</t>
  </si>
  <si>
    <t>p_ES15</t>
  </si>
  <si>
    <t>p_ES339</t>
  </si>
  <si>
    <t>p_w56137765</t>
  </si>
  <si>
    <t>p_ES21</t>
  </si>
  <si>
    <t>p_ES265</t>
  </si>
  <si>
    <t>p_ES174</t>
  </si>
  <si>
    <t>p_ES196</t>
  </si>
  <si>
    <t>p_ES288</t>
  </si>
  <si>
    <t>p_ES334</t>
  </si>
  <si>
    <t>p_ES373</t>
  </si>
  <si>
    <t>p_ES340</t>
  </si>
  <si>
    <t>p_ES287</t>
  </si>
  <si>
    <t>p_ES275</t>
  </si>
  <si>
    <t>p_ES266</t>
  </si>
  <si>
    <t>p_ES217</t>
  </si>
  <si>
    <t>p_ES35</t>
  </si>
  <si>
    <t>p_ES210</t>
  </si>
  <si>
    <t>p_ES178</t>
  </si>
  <si>
    <t>p_ES138</t>
  </si>
  <si>
    <t>p_ES195</t>
  </si>
  <si>
    <t>p_ES169</t>
  </si>
  <si>
    <t>p_ES189</t>
  </si>
  <si>
    <t>p_ES150</t>
  </si>
  <si>
    <t>p_ES233</t>
  </si>
  <si>
    <t>p_ES223</t>
  </si>
  <si>
    <t>p_ES215</t>
  </si>
  <si>
    <t>p_ES219</t>
  </si>
  <si>
    <t>p_ES171</t>
  </si>
  <si>
    <t>p_ES214</t>
  </si>
  <si>
    <t>p_ES211</t>
  </si>
  <si>
    <t>p_ES239</t>
  </si>
  <si>
    <t>p_ES221</t>
  </si>
  <si>
    <t>p_ES372</t>
  </si>
  <si>
    <t>p_ES376</t>
  </si>
  <si>
    <t>p_ES330</t>
  </si>
  <si>
    <t>p_ES308</t>
  </si>
  <si>
    <t>p_w165580300</t>
  </si>
  <si>
    <t>p_ES130</t>
  </si>
  <si>
    <t>p_ES258</t>
  </si>
  <si>
    <t>p_ES119</t>
  </si>
  <si>
    <t>p_ES1</t>
  </si>
  <si>
    <t>p_ES30</t>
  </si>
  <si>
    <t>p_ES31</t>
  </si>
  <si>
    <t>p_ES81</t>
  </si>
  <si>
    <t>p_ES71</t>
  </si>
  <si>
    <t>p_ES26</t>
  </si>
  <si>
    <t>p_ES9</t>
  </si>
  <si>
    <t>p_ES37</t>
  </si>
  <si>
    <t>p_ES13</t>
  </si>
  <si>
    <t>p_ES27</t>
  </si>
  <si>
    <t>p_ES10</t>
  </si>
  <si>
    <t>p_ES194</t>
  </si>
  <si>
    <t>p_ES359</t>
  </si>
  <si>
    <t>p_ES257</t>
  </si>
  <si>
    <t>p_ES24</t>
  </si>
  <si>
    <t>p_ES42</t>
  </si>
  <si>
    <t>p_ES115</t>
  </si>
  <si>
    <t>p_ES212</t>
  </si>
  <si>
    <t>p_ES324</t>
  </si>
  <si>
    <t>p_ES396</t>
  </si>
  <si>
    <t>p_ES395</t>
  </si>
  <si>
    <t>p_ES82</t>
  </si>
  <si>
    <t>p_ES77</t>
  </si>
  <si>
    <t>p_ES200</t>
  </si>
  <si>
    <t>p_ES39</t>
  </si>
  <si>
    <t>p_ES68</t>
  </si>
  <si>
    <t>p_ES23</t>
  </si>
  <si>
    <t>p_ES301</t>
  </si>
  <si>
    <t>p_ES207</t>
  </si>
  <si>
    <t>p_ES87</t>
  </si>
  <si>
    <t>p_ES371</t>
  </si>
  <si>
    <t>p_ES19</t>
  </si>
  <si>
    <t>p_ES40</t>
  </si>
  <si>
    <t>p_ES5</t>
  </si>
  <si>
    <t>p_ES136</t>
  </si>
  <si>
    <t>p_ES118</t>
  </si>
  <si>
    <t>p_ES56</t>
  </si>
  <si>
    <t>p_ES336</t>
  </si>
  <si>
    <t>p_ES120</t>
  </si>
  <si>
    <t>p_ES141</t>
  </si>
  <si>
    <t>p_ES74</t>
  </si>
  <si>
    <t>p_ES6</t>
  </si>
  <si>
    <t>rez_ESP_0</t>
  </si>
  <si>
    <t>rez_ESP_1</t>
  </si>
  <si>
    <t>rez_ESP_2</t>
  </si>
  <si>
    <t>rez_ESP_3</t>
  </si>
  <si>
    <t>rez_ESP_4</t>
  </si>
  <si>
    <t>rez_ESP_5</t>
  </si>
  <si>
    <t>rez_ESP_6</t>
  </si>
  <si>
    <t>rez_ESP_7</t>
  </si>
  <si>
    <t>rez_ESP_8</t>
  </si>
  <si>
    <t>rez_ESP_9</t>
  </si>
  <si>
    <t>rez_ESP_10</t>
  </si>
  <si>
    <t>rez_ESP_11</t>
  </si>
  <si>
    <t>rez_ESP_12</t>
  </si>
  <si>
    <t>rez_ESP_13</t>
  </si>
  <si>
    <t>rez_ESP_14</t>
  </si>
  <si>
    <t>rez_ESP_15</t>
  </si>
  <si>
    <t>rez_ESP_16</t>
  </si>
  <si>
    <t>rez_ESP_17</t>
  </si>
  <si>
    <t>rez_ESP_18</t>
  </si>
  <si>
    <t>rez_ESP_19</t>
  </si>
  <si>
    <t>rez_ESP_20</t>
  </si>
  <si>
    <t>rez_ESP_21</t>
  </si>
  <si>
    <t>rez_ESP_22</t>
  </si>
  <si>
    <t>rez_ESP_23</t>
  </si>
  <si>
    <t>rez_ESP_24</t>
  </si>
  <si>
    <t>rez_ESP_25</t>
  </si>
  <si>
    <t>rez_ESP_26</t>
  </si>
  <si>
    <t>rez_ESP_27</t>
  </si>
  <si>
    <t>rez_ESP_28</t>
  </si>
  <si>
    <t>rez_ESP_29</t>
  </si>
  <si>
    <t>rez_ESP_30</t>
  </si>
  <si>
    <t>rez_ESP_31</t>
  </si>
  <si>
    <t>rez_ESP_32</t>
  </si>
  <si>
    <t>rez_ESP_33</t>
  </si>
  <si>
    <t>rez_ESP_34</t>
  </si>
  <si>
    <t>rez_ESP_35</t>
  </si>
  <si>
    <t>rez_ESP_36</t>
  </si>
  <si>
    <t>rez_ESP_37</t>
  </si>
  <si>
    <t>rez_ESP_38</t>
  </si>
  <si>
    <t>rez_ESP_39</t>
  </si>
  <si>
    <t>rez_ESP_40</t>
  </si>
  <si>
    <t>rez_ESP_41</t>
  </si>
  <si>
    <t>rez_ESP_42</t>
  </si>
  <si>
    <t>rez_ESP_43</t>
  </si>
  <si>
    <t>rez_ESP_44</t>
  </si>
  <si>
    <t>rez_ESP_45</t>
  </si>
  <si>
    <t>rez_ESP_46</t>
  </si>
  <si>
    <t>rez_ESP_47</t>
  </si>
  <si>
    <t>rez_ESP_48</t>
  </si>
  <si>
    <t>rez_ESP_49</t>
  </si>
  <si>
    <t>rez_ESP_50</t>
  </si>
  <si>
    <t>rez_ESP_51</t>
  </si>
  <si>
    <t>rez_ESP_52</t>
  </si>
  <si>
    <t>rez_ESP_53</t>
  </si>
  <si>
    <t>rez_ESP_54</t>
  </si>
  <si>
    <t>rez_ESP_55</t>
  </si>
  <si>
    <t>rez_ESP_56</t>
  </si>
  <si>
    <t>rez_ESP_57</t>
  </si>
  <si>
    <t>rez_ESP_58</t>
  </si>
  <si>
    <t>rez_ESP_59</t>
  </si>
  <si>
    <t>rez_ESP_60</t>
  </si>
  <si>
    <t>rez_ESP_61</t>
  </si>
  <si>
    <t>rez_ESP_62</t>
  </si>
  <si>
    <t>rez_ESP_63</t>
  </si>
  <si>
    <t>rez_ESP_64</t>
  </si>
  <si>
    <t>rez_ESP_65</t>
  </si>
  <si>
    <t>rez_ESP_66</t>
  </si>
  <si>
    <t>rez_ESP_67</t>
  </si>
  <si>
    <t>rez_ESP_68</t>
  </si>
  <si>
    <t>rez_ESP_69</t>
  </si>
  <si>
    <t>rez_ESP_70</t>
  </si>
  <si>
    <t>rez_ESP_71</t>
  </si>
  <si>
    <t>rez_ESP_72</t>
  </si>
  <si>
    <t>rez_ESP_73</t>
  </si>
  <si>
    <t>rez_ESP_74</t>
  </si>
  <si>
    <t>rez_ESP_75</t>
  </si>
  <si>
    <t>rez_ESP_76</t>
  </si>
  <si>
    <t>rez_ESP_77</t>
  </si>
  <si>
    <t>rez_ESP_78</t>
  </si>
  <si>
    <t>rez_ESP_79</t>
  </si>
  <si>
    <t>rez_ESP_80</t>
  </si>
  <si>
    <t>rez_ESP_81</t>
  </si>
  <si>
    <t>rez_ESP_82</t>
  </si>
  <si>
    <t>rez_ESP_83</t>
  </si>
  <si>
    <t>rez_ESP_84</t>
  </si>
  <si>
    <t>rez_ESP_85</t>
  </si>
  <si>
    <t>rez_ESP_86</t>
  </si>
  <si>
    <t>rez_ESP_87</t>
  </si>
  <si>
    <t>rez_ESP_88</t>
  </si>
  <si>
    <t>rez_ESP_89</t>
  </si>
  <si>
    <t>rez_ESP_90</t>
  </si>
  <si>
    <t>rez_ESP_91</t>
  </si>
  <si>
    <t>rez_ESP_92</t>
  </si>
  <si>
    <t>rez_ESP_93</t>
  </si>
  <si>
    <t>rez_ESP_94</t>
  </si>
  <si>
    <t>rez_ESP_95</t>
  </si>
  <si>
    <t>rez_ESP_96</t>
  </si>
  <si>
    <t>rez_ESP_97</t>
  </si>
  <si>
    <t>rez_ESP_98</t>
  </si>
  <si>
    <t>rez_ESP_99</t>
  </si>
  <si>
    <t>rez_ESP_100</t>
  </si>
  <si>
    <t>rez_ESP_101</t>
  </si>
  <si>
    <t>rez_ESP_102</t>
  </si>
  <si>
    <t>rez_ESP_103</t>
  </si>
  <si>
    <t>rez_ESP_104</t>
  </si>
  <si>
    <t>rez_ESP_105</t>
  </si>
  <si>
    <t>rez_ESP_106</t>
  </si>
  <si>
    <t>rez_ESP_107</t>
  </si>
  <si>
    <t>rez_ESP_108</t>
  </si>
  <si>
    <t>rez_ESP_109</t>
  </si>
  <si>
    <t>rez_ESP_110</t>
  </si>
  <si>
    <t>rez_ESP_111</t>
  </si>
  <si>
    <t>rez_ESP_112</t>
  </si>
  <si>
    <t>rez_ESP_113</t>
  </si>
  <si>
    <t>rez_ESP_114</t>
  </si>
  <si>
    <t>rez_ESP_115</t>
  </si>
  <si>
    <t>rez_ESP_116</t>
  </si>
  <si>
    <t>rez_ESP_117</t>
  </si>
  <si>
    <t>rez_ESP_118</t>
  </si>
  <si>
    <t>rez_ESP_119</t>
  </si>
  <si>
    <t>rez_ESP_120</t>
  </si>
  <si>
    <t>rez_ESP_121</t>
  </si>
  <si>
    <t>rez_ESP_122</t>
  </si>
  <si>
    <t>rez_ESP_123</t>
  </si>
  <si>
    <t>rez_ESP_124</t>
  </si>
  <si>
    <t>rez_ESP_125</t>
  </si>
  <si>
    <t>rez_ESP_126</t>
  </si>
  <si>
    <t>rez_ESP_127</t>
  </si>
  <si>
    <t>rez_ESP_128</t>
  </si>
  <si>
    <t>rez_ESP_129</t>
  </si>
  <si>
    <t>rez_ESP_130</t>
  </si>
  <si>
    <t>rez_ESP_131</t>
  </si>
  <si>
    <t>rez_ESP_132</t>
  </si>
  <si>
    <t>rez_ESP_133</t>
  </si>
  <si>
    <t>rez_ESP_134</t>
  </si>
  <si>
    <t>rez_ESP_135</t>
  </si>
  <si>
    <t>rez_ESP_136</t>
  </si>
  <si>
    <t>rez_ESP_137</t>
  </si>
  <si>
    <t>rez_ESP_138</t>
  </si>
  <si>
    <t>rez_ESP_139</t>
  </si>
  <si>
    <t>rez_ESP_140</t>
  </si>
  <si>
    <t>rez_ESP_141</t>
  </si>
  <si>
    <t>rez_ESP_142</t>
  </si>
  <si>
    <t>rez_ESP_143</t>
  </si>
  <si>
    <t>rez_ESP_144</t>
  </si>
  <si>
    <t>rez_ESP_145</t>
  </si>
  <si>
    <t>rez_ESP_146</t>
  </si>
  <si>
    <t>rez_ESP_147</t>
  </si>
  <si>
    <t>rez_ESP_148</t>
  </si>
  <si>
    <t>rez_ESP_149</t>
  </si>
  <si>
    <t>rez_ESP_150</t>
  </si>
  <si>
    <t>rez_ESP_151</t>
  </si>
  <si>
    <t>rez_ESP_152</t>
  </si>
  <si>
    <t>rez_ESP_153</t>
  </si>
  <si>
    <t>rez_ESP_154</t>
  </si>
  <si>
    <t>rez_ESP_155</t>
  </si>
  <si>
    <t>rez_ESP_156</t>
  </si>
  <si>
    <t>rez_ESP_157</t>
  </si>
  <si>
    <t>rez_ESP_158</t>
  </si>
  <si>
    <t>rez_ESP_159</t>
  </si>
  <si>
    <t>rez_ESP_160</t>
  </si>
  <si>
    <t>rez_ESP_161</t>
  </si>
  <si>
    <t>rez_ESP_162</t>
  </si>
  <si>
    <t>rez_ESP_163</t>
  </si>
  <si>
    <t>rez_ESP_164</t>
  </si>
  <si>
    <t>rez_ESP_165</t>
  </si>
  <si>
    <t>rez_ESP_166</t>
  </si>
  <si>
    <t>rez_ESP_167</t>
  </si>
  <si>
    <t>rez_ESP_168</t>
  </si>
  <si>
    <t>rez_ESP_169</t>
  </si>
  <si>
    <t>rez_ESP_170</t>
  </si>
  <si>
    <t>rez_ESP_171</t>
  </si>
  <si>
    <t>rez_ESP_172</t>
  </si>
  <si>
    <t>rez_ESP_173</t>
  </si>
  <si>
    <t>rez_ESP_174</t>
  </si>
  <si>
    <t>rez_ESP_175</t>
  </si>
  <si>
    <t>rez_ESP_176</t>
  </si>
  <si>
    <t>rez_ESP_177</t>
  </si>
  <si>
    <t>rez_ESP_178</t>
  </si>
  <si>
    <t>rez_ESP_179</t>
  </si>
  <si>
    <t>rez_ESP_180</t>
  </si>
  <si>
    <t>rez_ESP_181</t>
  </si>
  <si>
    <t>rez_ESP_182</t>
  </si>
  <si>
    <t>rez_ESP_183</t>
  </si>
  <si>
    <t>rez_ESP_184</t>
  </si>
  <si>
    <t>rez_ESP_185</t>
  </si>
  <si>
    <t>rez_ESP_186</t>
  </si>
  <si>
    <t>rez_ESP_187</t>
  </si>
  <si>
    <t>rez_ESP_188</t>
  </si>
  <si>
    <t>rez_ESP_189</t>
  </si>
  <si>
    <t>rez_ESP_190</t>
  </si>
  <si>
    <t>rez_ESP_191</t>
  </si>
  <si>
    <t>rez_ESP_192</t>
  </si>
  <si>
    <t>rez_ESP_193</t>
  </si>
  <si>
    <t>rez_ESP_194</t>
  </si>
  <si>
    <t>rez_ESP_195</t>
  </si>
  <si>
    <t>rez_ESP_196</t>
  </si>
  <si>
    <t>rez_ESP_197</t>
  </si>
  <si>
    <t>rez_ESP_198</t>
  </si>
  <si>
    <t>rez_ESP_199</t>
  </si>
  <si>
    <t>rez_ESP_200</t>
  </si>
  <si>
    <t>rez_ESP_201</t>
  </si>
  <si>
    <t>rez_ESP_202</t>
  </si>
  <si>
    <t>rez_ESP_203</t>
  </si>
  <si>
    <t>rez_ESP_204</t>
  </si>
  <si>
    <t>rez_ESP_205</t>
  </si>
  <si>
    <t>rez_ESP_206</t>
  </si>
  <si>
    <t>rez_ESP_207</t>
  </si>
  <si>
    <t>rez_ESP_208</t>
  </si>
  <si>
    <t>rez_ESP_209</t>
  </si>
  <si>
    <t>rez_ESP_210</t>
  </si>
  <si>
    <t>rez_ESP_211</t>
  </si>
  <si>
    <t>rez_ESP_212</t>
  </si>
  <si>
    <t>rez_ESP_213</t>
  </si>
  <si>
    <t>rez_ESP_214</t>
  </si>
  <si>
    <t>rez_ESP_215</t>
  </si>
  <si>
    <t>rez_ESP_216</t>
  </si>
  <si>
    <t>rez_ESP_217</t>
  </si>
  <si>
    <t>rez_ESP_218</t>
  </si>
  <si>
    <t>rez_ESP_219</t>
  </si>
  <si>
    <t>rez_ESP_220</t>
  </si>
  <si>
    <t>rez_ESP_221</t>
  </si>
  <si>
    <t>rez_ESP_222</t>
  </si>
  <si>
    <t>rez_ESP_223</t>
  </si>
  <si>
    <t>rez_ESP_224</t>
  </si>
  <si>
    <t>rez_ESP_225</t>
  </si>
  <si>
    <t>rez_ESP_226</t>
  </si>
  <si>
    <t>rez_ESP_227</t>
  </si>
  <si>
    <t>rez_ESP_228</t>
  </si>
  <si>
    <t>rez_ESP_229</t>
  </si>
  <si>
    <t>rez_ESP_230</t>
  </si>
  <si>
    <t>rez_ESP_231</t>
  </si>
  <si>
    <t>rez_ESP_232</t>
  </si>
  <si>
    <t>rez_ESP_233</t>
  </si>
  <si>
    <t>rez_ESP_234</t>
  </si>
  <si>
    <t>wof_ESP_38</t>
  </si>
  <si>
    <t>wof_ESP_39</t>
  </si>
  <si>
    <t>wof_ESP_48</t>
  </si>
  <si>
    <t>wof_ESP_81</t>
  </si>
  <si>
    <t>wof_ESP_82</t>
  </si>
  <si>
    <t>wof_ESP_83</t>
  </si>
  <si>
    <t>wof_ESP_91</t>
  </si>
  <si>
    <t>wof_ESP_92</t>
  </si>
  <si>
    <t>wof_ESP_93</t>
  </si>
  <si>
    <t>wof_ESP_94</t>
  </si>
  <si>
    <t>wof_ESP_95</t>
  </si>
  <si>
    <t>wof_ESP_96</t>
  </si>
  <si>
    <t>wof_ESP_102</t>
  </si>
  <si>
    <t>wof_ESP_103</t>
  </si>
  <si>
    <t>wof_ESP_105</t>
  </si>
  <si>
    <t>wof_ESP_106</t>
  </si>
  <si>
    <t>wof_ESP_107</t>
  </si>
  <si>
    <t>wof_ESP_112</t>
  </si>
  <si>
    <t>wof_ESP_113</t>
  </si>
  <si>
    <t>wof_ESP_114</t>
  </si>
  <si>
    <t>wof_ESP_119</t>
  </si>
  <si>
    <t>wof_ESP_121</t>
  </si>
  <si>
    <t>wof_ESP_122</t>
  </si>
  <si>
    <t>wof_ESP_126</t>
  </si>
  <si>
    <t>wof_ESP_127</t>
  </si>
  <si>
    <t>wof_ESP_128</t>
  </si>
  <si>
    <t>wof_ESP_129</t>
  </si>
  <si>
    <t>wof_ESP_132</t>
  </si>
  <si>
    <t>wof_ESP_133</t>
  </si>
  <si>
    <t>wof_ESP_137</t>
  </si>
  <si>
    <t>wof_ESP_138</t>
  </si>
  <si>
    <t>wof_ESP_139</t>
  </si>
  <si>
    <t>wof_ESP_140</t>
  </si>
  <si>
    <t>wof_ESP_143</t>
  </si>
  <si>
    <t>wof_ESP_144</t>
  </si>
  <si>
    <t>wof_ESP_148</t>
  </si>
  <si>
    <t>wof_ESP_149</t>
  </si>
  <si>
    <t>wof_ESP_150</t>
  </si>
  <si>
    <t>wof_ESP_153</t>
  </si>
  <si>
    <t>wof_ESP_158</t>
  </si>
  <si>
    <t>wof_ESP_160</t>
  </si>
  <si>
    <t>wof_ESP_161</t>
  </si>
  <si>
    <t>wof_ESP_164</t>
  </si>
  <si>
    <t>wof_ESP_165</t>
  </si>
  <si>
    <t>wof_ESP_166</t>
  </si>
  <si>
    <t>wof_ESP_167</t>
  </si>
  <si>
    <t>wof_ESP_168</t>
  </si>
  <si>
    <t>wof_ESP_169</t>
  </si>
  <si>
    <t>wof_ESP_172</t>
  </si>
  <si>
    <t>wof_ESP_173</t>
  </si>
  <si>
    <t>wof_ESP_174</t>
  </si>
  <si>
    <t>wof_ESP_175</t>
  </si>
  <si>
    <t>wof_ESP_176</t>
  </si>
  <si>
    <t>wof_ESP_177</t>
  </si>
  <si>
    <t>wof_ESP_180</t>
  </si>
  <si>
    <t>wof_ESP_181</t>
  </si>
  <si>
    <t>wof_ESP_182</t>
  </si>
  <si>
    <t>wof_ESP_183</t>
  </si>
  <si>
    <t>wof_ESP_184</t>
  </si>
  <si>
    <t>wof_ESP_188</t>
  </si>
  <si>
    <t>wof_ESP_189</t>
  </si>
  <si>
    <t>wof_ESP_190</t>
  </si>
  <si>
    <t>wof_ESP_191</t>
  </si>
  <si>
    <t>wof_ESP_192</t>
  </si>
  <si>
    <t>wof_ESP_196</t>
  </si>
  <si>
    <t>wof_ESP_197</t>
  </si>
  <si>
    <t>wof_ESP_198</t>
  </si>
  <si>
    <t>wof_ESP_199</t>
  </si>
  <si>
    <t>wof_ESP_200</t>
  </si>
  <si>
    <t>wof_ESP_203</t>
  </si>
  <si>
    <t>wof_ESP_204</t>
  </si>
  <si>
    <t>wof_ESP_205</t>
  </si>
  <si>
    <t>wof_ESP_206</t>
  </si>
  <si>
    <t>wof_ESP_207</t>
  </si>
  <si>
    <t>wof_ESP_208</t>
  </si>
  <si>
    <t>wof_ESP_209</t>
  </si>
  <si>
    <t>wof_ESP_210</t>
  </si>
  <si>
    <t>wof_ESP_212</t>
  </si>
  <si>
    <t>wof_ESP_213</t>
  </si>
  <si>
    <t>wof_ESP_214</t>
  </si>
  <si>
    <t>wof_ESP_215</t>
  </si>
  <si>
    <t>wof_ESP_216</t>
  </si>
  <si>
    <t>wof_ESP_217</t>
  </si>
  <si>
    <t>wof_ESP_218</t>
  </si>
  <si>
    <t>wof_ESP_220</t>
  </si>
  <si>
    <t>wof_ESP_221</t>
  </si>
  <si>
    <t>wof_ESP_222</t>
  </si>
  <si>
    <t>wof_ESP_223</t>
  </si>
  <si>
    <t>wof_ESP_224</t>
  </si>
  <si>
    <t>wof_ESP_227</t>
  </si>
  <si>
    <t>wof_ESP_231</t>
  </si>
  <si>
    <t>wof_ESP_232</t>
  </si>
  <si>
    <t>wof_ESP_233</t>
  </si>
  <si>
    <t>wof_ESP_235</t>
  </si>
  <si>
    <t>wof_ESP_236</t>
  </si>
  <si>
    <t>wof_ESP_237</t>
  </si>
  <si>
    <t>wof_ESP_238</t>
  </si>
  <si>
    <t>wof_ESP_239</t>
  </si>
  <si>
    <t>wof_ESP_240</t>
  </si>
  <si>
    <t>wof_ESP_244</t>
  </si>
  <si>
    <t>wof_ESP_245</t>
  </si>
  <si>
    <t>wof_ESP_246</t>
  </si>
  <si>
    <t>wof_ESP_247</t>
  </si>
  <si>
    <t>wof_ESP_248</t>
  </si>
  <si>
    <t>wof_ESP_249</t>
  </si>
  <si>
    <t>wof_ESP_250</t>
  </si>
  <si>
    <t>wof_ESP_252</t>
  </si>
  <si>
    <t>wof_ESP_253</t>
  </si>
  <si>
    <t>wof_ESP_254</t>
  </si>
  <si>
    <t>wof_ESP_255</t>
  </si>
  <si>
    <t>wof_ESP_256</t>
  </si>
  <si>
    <t>wof_ESP_257</t>
  </si>
  <si>
    <t>wof_ESP_258</t>
  </si>
  <si>
    <t>wof_ESP_259</t>
  </si>
  <si>
    <t>wof_ESP_262</t>
  </si>
  <si>
    <t>wof_ESP_263</t>
  </si>
  <si>
    <t>wof_ESP_264</t>
  </si>
  <si>
    <t>wof_ESP_266</t>
  </si>
  <si>
    <t>wof_ESP_267</t>
  </si>
  <si>
    <t>wof_ESP_268</t>
  </si>
  <si>
    <t>wof_ESP_271</t>
  </si>
  <si>
    <t>wof_ESP_272</t>
  </si>
  <si>
    <t>wof_ESP_273</t>
  </si>
  <si>
    <t>wof_ESP_274</t>
  </si>
  <si>
    <t>wof_ESP_276</t>
  </si>
  <si>
    <t>wof_ESP_277</t>
  </si>
  <si>
    <t>wof_ESP_278</t>
  </si>
  <si>
    <t>wof_ESP_280</t>
  </si>
  <si>
    <t>wof_ESP_281</t>
  </si>
  <si>
    <t>wof_ESP_282</t>
  </si>
  <si>
    <t>wof_ESP_283</t>
  </si>
  <si>
    <t>wof_ESP_286</t>
  </si>
  <si>
    <t>wof_ESP_287</t>
  </si>
  <si>
    <t>wof_ESP_290</t>
  </si>
  <si>
    <t>wof_ESP_291</t>
  </si>
  <si>
    <t>wof_ESP_292</t>
  </si>
  <si>
    <t>wof_ESP_293</t>
  </si>
  <si>
    <t>wof_ESP_295</t>
  </si>
  <si>
    <t>wof_ESP_296</t>
  </si>
  <si>
    <t>wof_ESP_297</t>
  </si>
  <si>
    <t>wof_ESP_298</t>
  </si>
  <si>
    <t>wof_ESP_302</t>
  </si>
  <si>
    <t>wof_ESP_303</t>
  </si>
  <si>
    <t>wof_ESP_304</t>
  </si>
  <si>
    <t>wof_ESP_307</t>
  </si>
  <si>
    <t>wof_ESP_308</t>
  </si>
  <si>
    <t>wof_ESP_309</t>
  </si>
  <si>
    <t>wof_ESP_310</t>
  </si>
  <si>
    <t>wof_ESP_315</t>
  </si>
  <si>
    <t>wof_ESP_316</t>
  </si>
  <si>
    <t>wof_ESP_320</t>
  </si>
  <si>
    <t>wof_ESP_321</t>
  </si>
  <si>
    <t>wof_ESP_322</t>
  </si>
  <si>
    <t>wof_ESP_326</t>
  </si>
  <si>
    <t>wof_ESP_327</t>
  </si>
  <si>
    <t>wof_ESP_332</t>
  </si>
  <si>
    <t>wof_ESP_333</t>
  </si>
  <si>
    <t>admin_1</t>
  </si>
  <si>
    <t>Comunidad de Madrid</t>
  </si>
  <si>
    <t>Este</t>
  </si>
  <si>
    <t>Noroeste</t>
  </si>
  <si>
    <t>Centro (ES)</t>
  </si>
  <si>
    <t>Noreste</t>
  </si>
  <si>
    <t>Sur</t>
  </si>
  <si>
    <t>Continente</t>
  </si>
  <si>
    <t>Unknown</t>
  </si>
  <si>
    <t>Occitanie</t>
  </si>
  <si>
    <t>Nouvelle-Aquitaine</t>
  </si>
  <si>
    <t>Canarias</t>
  </si>
  <si>
    <t>~geolocation</t>
  </si>
  <si>
    <t>region</t>
  </si>
  <si>
    <t>lat</t>
  </si>
  <si>
    <t>lng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</si>
</sst>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\o\n\th\ d\,\ yyyy"/>
    <numFmt numFmtId="165" formatCode="#.00"/>
    <numFmt numFmtId="166" formatCode="#."/>
  </numFmts>
  <fonts count="19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0"/>
      <name val="Arial"/>
      <family val="2"/>
    </font>
    <font>
      <sz val="1"/>
      <color indexed="8"/>
      <name val="Courier"/>
      <family val="3"/>
    </font>
    <font>
      <b/>
      <sz val="1"/>
      <color indexed="8"/>
      <name val="Courier"/>
      <family val="3"/>
    </font>
    <font>
      <sz val="10"/>
      <name val="STKFLOW - 14 of 38"/>
    </font>
    <font>
      <sz val="10"/>
      <name val="MS Sans Serif"/>
    </font>
    <font>
      <sz val="10"/>
      <name val="Arial"/>
      <family val="2"/>
    </font>
    <font>
      <sz val="10"/>
      <name val="Verdana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6100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</borders>
  <cellStyleXfs count="20">
    <xf numFmtId="0" fontId="0" fillId="0" borderId="0"/>
    <xf numFmtId="164" fontId="4" fillId="0" borderId="0">
      <protection locked="0"/>
    </xf>
    <xf numFmtId="165" fontId="4" fillId="0" borderId="0">
      <protection locked="0"/>
    </xf>
    <xf numFmtId="0" fontId="11" fillId="2" borderId="0" applyNumberFormat="0" applyBorder="0" applyAlignment="0" applyProtection="0"/>
    <xf numFmtId="166" fontId="5" fillId="0" borderId="0">
      <protection locked="0"/>
    </xf>
    <xf numFmtId="166" fontId="5" fillId="0" borderId="0">
      <protection locked="0"/>
    </xf>
    <xf numFmtId="0" fontId="2" fillId="0" borderId="0"/>
    <xf numFmtId="0" fontId="3" fillId="0" borderId="0"/>
    <xf numFmtId="0" fontId="10" fillId="0" borderId="0"/>
    <xf numFmtId="0" fontId="2" fillId="0" borderId="0"/>
    <xf numFmtId="0" fontId="8" fillId="0" borderId="0"/>
    <xf numFmtId="0" fontId="6" fillId="0" borderId="0"/>
    <xf numFmtId="0" fontId="2" fillId="0" borderId="0"/>
    <xf numFmtId="0" fontId="9" fillId="0" borderId="0"/>
    <xf numFmtId="0" fontId="7" fillId="0" borderId="0"/>
    <xf numFmtId="0" fontId="1" fillId="0" borderId="0"/>
    <xf numFmtId="9" fontId="1" fillId="0" borderId="0" applyFont="0" applyFill="0" applyBorder="0" applyAlignment="0" applyProtection="0"/>
    <xf numFmtId="0" fontId="2" fillId="0" borderId="0"/>
    <xf numFmtId="0" fontId="14" fillId="0" borderId="1" applyNumberFormat="0" applyFill="0" applyAlignment="0" applyProtection="0"/>
    <xf numFmtId="0" fontId="15" fillId="0" borderId="2" applyNumberFormat="0" applyFill="0" applyAlignment="0" applyProtection="0"/>
  </cellStyleXfs>
  <cellXfs count="9">
    <xf numFmtId="0" fontId="0" fillId="0" borderId="0" xfId="0"/>
    <xf numFmtId="0" fontId="12" fillId="3" borderId="0" xfId="0" applyFont="1" applyFill="1"/>
    <xf numFmtId="0" fontId="0" fillId="0" borderId="0" xfId="0" quotePrefix="1"/>
    <xf numFmtId="0" fontId="11" fillId="2" borderId="0" xfId="3"/>
    <xf numFmtId="0" fontId="12" fillId="0" borderId="0" xfId="0" applyFont="1"/>
    <xf numFmtId="0" fontId="14" fillId="0" borderId="1" xfId="18"/>
    <xf numFmtId="0" fontId="15" fillId="0" borderId="2" xfId="19"/>
    <xf numFmtId="0" fontId="0" fillId="3" borderId="0" xfId="0" applyFill="1"/>
    <xf numFmtId="0" fontId="13" fillId="2" borderId="0" xfId="3" applyFont="1" applyAlignment="1">
      <alignment horizontal="left"/>
    </xf>
  </cellXfs>
  <cellStyles count="20">
    <cellStyle name="Date" xfId="1" xr:uid="{00000000-0005-0000-0000-000000000000}"/>
    <cellStyle name="Fixed" xfId="2" xr:uid="{00000000-0005-0000-0000-000001000000}"/>
    <cellStyle name="Good" xfId="3" builtinId="26"/>
    <cellStyle name="Heading 2" xfId="18" builtinId="17"/>
    <cellStyle name="Heading 3" xfId="19" builtinId="18"/>
    <cellStyle name="Heading1" xfId="4" xr:uid="{00000000-0005-0000-0000-000003000000}"/>
    <cellStyle name="Heading2" xfId="5" xr:uid="{00000000-0005-0000-0000-000004000000}"/>
    <cellStyle name="Normal" xfId="0" builtinId="0"/>
    <cellStyle name="Normal 10" xfId="6" xr:uid="{00000000-0005-0000-0000-000008000000}"/>
    <cellStyle name="Normal 2" xfId="7" xr:uid="{00000000-0005-0000-0000-000009000000}"/>
    <cellStyle name="Normal 2 2" xfId="8" xr:uid="{00000000-0005-0000-0000-00000A000000}"/>
    <cellStyle name="Normal 2 3" xfId="9" xr:uid="{00000000-0005-0000-0000-00000B000000}"/>
    <cellStyle name="Normal 2 4" xfId="10" xr:uid="{00000000-0005-0000-0000-00000C000000}"/>
    <cellStyle name="Normal 3" xfId="11" xr:uid="{00000000-0005-0000-0000-00000D000000}"/>
    <cellStyle name="Normal 3 2" xfId="12" xr:uid="{00000000-0005-0000-0000-00000E000000}"/>
    <cellStyle name="Normal 3 3" xfId="13" xr:uid="{00000000-0005-0000-0000-00000F000000}"/>
    <cellStyle name="Normal 4" xfId="14" xr:uid="{00000000-0005-0000-0000-000010000000}"/>
    <cellStyle name="Normale_Scen_UC_IND-StrucConst" xfId="15" xr:uid="{00000000-0005-0000-0000-000011000000}"/>
    <cellStyle name="Percent 2" xfId="16" xr:uid="{00000000-0005-0000-0000-000012000000}"/>
    <cellStyle name="Standard_Sce_D_Extraction" xfId="17" xr:uid="{00000000-0005-0000-0000-00001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A01595-4651-4682-AE2C-4C2356B80CEF}">
  <dimension ref="A1:U60"/>
  <sheetViews>
    <sheetView zoomScaleNormal="100" workbookViewId="0">
      <selection activeCell="B5" sqref="B5"/>
    </sheetView>
  </sheetViews>
  <sheetFormatPr defaultColWidth="14.73046875" defaultRowHeight="14.25"/>
  <cols>
    <col min="2" max="2" width="19.86328125" bestFit="1" customWidth="1"/>
    <col min="3" max="3" width="19.59765625" bestFit="1" customWidth="1"/>
    <col min="4" max="4" width="10.59765625" bestFit="1" customWidth="1"/>
    <col min="5" max="5" width="5" bestFit="1" customWidth="1"/>
    <col min="8" max="8" width="19.59765625" bestFit="1" customWidth="1"/>
    <col min="9" max="9" width="15.59765625" bestFit="1" customWidth="1"/>
    <col min="10" max="10" width="10.33203125" bestFit="1" customWidth="1"/>
    <col min="15" max="15" width="1.73046875" bestFit="1" customWidth="1"/>
    <col min="17" max="17" width="4.6640625" bestFit="1" customWidth="1"/>
  </cols>
  <sheetData>
    <row r="1" spans="1:21">
      <c r="I1" t="s">
        <v>37</v>
      </c>
    </row>
    <row r="2" spans="1:21">
      <c r="I2" t="s">
        <v>260</v>
      </c>
      <c r="J2" t="s">
        <v>124</v>
      </c>
    </row>
    <row r="5" spans="1:21">
      <c r="A5" t="s">
        <v>120</v>
      </c>
      <c r="B5" t="s">
        <v>20</v>
      </c>
      <c r="C5" t="s">
        <v>2</v>
      </c>
      <c r="D5" t="s">
        <v>1</v>
      </c>
      <c r="E5" t="s">
        <v>10</v>
      </c>
      <c r="H5" t="s">
        <v>9</v>
      </c>
      <c r="I5" t="str">
        <f>"sg_"&amp;I2</f>
        <v>sg_ar6_r10</v>
      </c>
      <c r="J5" t="str">
        <f>"sg_"&amp;J2</f>
        <v>sg_timeslice</v>
      </c>
    </row>
    <row r="6" spans="1:21">
      <c r="A6">
        <v>1</v>
      </c>
      <c r="B6" t="str">
        <f t="shared" ref="B6:B60" si="0">"vstacks_"&amp;VLOOKUP(A6,$S$6:$T$18,2,FALSE)&amp;"~"&amp;TEXT(O6,"0000")</f>
        <v>vstacks_s1p1v1_d~0001</v>
      </c>
      <c r="C6" t="str">
        <f>H6</f>
        <v>e 1.5 deg no OS.e3d</v>
      </c>
      <c r="H6" t="str">
        <f>_xlfn.TEXTJOIN(".",TRUE,I6:J6)</f>
        <v>e 1.5 deg no OS.e3d</v>
      </c>
      <c r="I6" t="s">
        <v>258</v>
      </c>
      <c r="J6" t="str">
        <f>Q6</f>
        <v>e3d</v>
      </c>
      <c r="L6" t="s">
        <v>250</v>
      </c>
      <c r="O6">
        <v>1</v>
      </c>
      <c r="Q6" t="str">
        <f>VLOOKUP(A6,$S$6:$U$17,3,FALSE)</f>
        <v>e3d</v>
      </c>
      <c r="S6">
        <v>1</v>
      </c>
      <c r="T6" t="s">
        <v>230</v>
      </c>
      <c r="U6" t="s">
        <v>244</v>
      </c>
    </row>
    <row r="7" spans="1:21">
      <c r="A7">
        <v>1</v>
      </c>
      <c r="B7" t="str">
        <f t="shared" si="0"/>
        <v>vstacks_s1p1v1_d~0002</v>
      </c>
      <c r="C7" t="str">
        <f t="shared" ref="C7:C60" si="1">H7</f>
        <v>d 1.5 deg OS.e3d</v>
      </c>
      <c r="H7" t="str">
        <f t="shared" ref="H7:H60" si="2">_xlfn.TEXTJOIN(".",TRUE,I7:J7)</f>
        <v>d 1.5 deg OS.e3d</v>
      </c>
      <c r="I7" t="s">
        <v>257</v>
      </c>
      <c r="J7" t="str">
        <f t="shared" ref="J7:J60" si="3">Q7</f>
        <v>e3d</v>
      </c>
      <c r="L7" t="s">
        <v>251</v>
      </c>
      <c r="O7">
        <v>2</v>
      </c>
      <c r="Q7" t="str">
        <f t="shared" ref="Q7:Q60" si="4">VLOOKUP(A7,$S$6:$U$17,3,FALSE)</f>
        <v>e3d</v>
      </c>
      <c r="S7">
        <v>2</v>
      </c>
      <c r="T7" t="s">
        <v>231</v>
      </c>
      <c r="U7" t="s">
        <v>241</v>
      </c>
    </row>
    <row r="8" spans="1:21">
      <c r="A8">
        <v>1</v>
      </c>
      <c r="B8" t="str">
        <f t="shared" si="0"/>
        <v>vstacks_s1p1v1_d~0003</v>
      </c>
      <c r="C8" t="str">
        <f t="shared" si="1"/>
        <v>c 2 deg (67%).e3d</v>
      </c>
      <c r="H8" t="str">
        <f t="shared" si="2"/>
        <v>c 2 deg (67%).e3d</v>
      </c>
      <c r="I8" t="s">
        <v>256</v>
      </c>
      <c r="J8" t="str">
        <f t="shared" si="3"/>
        <v>e3d</v>
      </c>
      <c r="L8" t="s">
        <v>252</v>
      </c>
      <c r="O8">
        <v>3</v>
      </c>
      <c r="Q8" t="str">
        <f t="shared" si="4"/>
        <v>e3d</v>
      </c>
      <c r="S8">
        <v>3</v>
      </c>
      <c r="T8" t="s">
        <v>232</v>
      </c>
      <c r="U8" t="s">
        <v>242</v>
      </c>
    </row>
    <row r="9" spans="1:21">
      <c r="A9">
        <v>1</v>
      </c>
      <c r="B9" t="str">
        <f t="shared" si="0"/>
        <v>vstacks_s1p1v1_d~0004</v>
      </c>
      <c r="C9" t="str">
        <f t="shared" si="1"/>
        <v>b 2 deg (50%).e3d</v>
      </c>
      <c r="H9" t="str">
        <f t="shared" si="2"/>
        <v>b 2 deg (50%).e3d</v>
      </c>
      <c r="I9" t="s">
        <v>255</v>
      </c>
      <c r="J9" t="str">
        <f t="shared" si="3"/>
        <v>e3d</v>
      </c>
      <c r="L9" t="s">
        <v>253</v>
      </c>
      <c r="O9">
        <v>4</v>
      </c>
      <c r="Q9" t="str">
        <f t="shared" si="4"/>
        <v>e3d</v>
      </c>
      <c r="S9">
        <v>4</v>
      </c>
      <c r="T9" t="s">
        <v>233</v>
      </c>
      <c r="U9" t="s">
        <v>240</v>
      </c>
    </row>
    <row r="10" spans="1:21">
      <c r="A10">
        <v>1</v>
      </c>
      <c r="B10" t="str">
        <f t="shared" si="0"/>
        <v>vstacks_s1p1v1_d~0005</v>
      </c>
      <c r="C10" t="str">
        <f t="shared" si="1"/>
        <v>a 3 deg.e3d</v>
      </c>
      <c r="H10" t="str">
        <f t="shared" si="2"/>
        <v>a 3 deg.e3d</v>
      </c>
      <c r="I10" t="s">
        <v>259</v>
      </c>
      <c r="J10" t="str">
        <f t="shared" si="3"/>
        <v>e3d</v>
      </c>
      <c r="L10" t="s">
        <v>254</v>
      </c>
      <c r="O10">
        <v>5</v>
      </c>
      <c r="Q10" t="str">
        <f t="shared" si="4"/>
        <v>e3d</v>
      </c>
      <c r="S10">
        <v>5</v>
      </c>
      <c r="T10" t="s">
        <v>234</v>
      </c>
      <c r="U10" t="s">
        <v>247</v>
      </c>
    </row>
    <row r="11" spans="1:21">
      <c r="A11">
        <f>A6+1</f>
        <v>2</v>
      </c>
      <c r="B11" t="str">
        <f t="shared" si="0"/>
        <v>vstacks_s3p3v3_d~0001</v>
      </c>
      <c r="C11" t="str">
        <f t="shared" si="1"/>
        <v>e 1.5 deg no OS.d9d</v>
      </c>
      <c r="H11" t="str">
        <f t="shared" si="2"/>
        <v>e 1.5 deg no OS.d9d</v>
      </c>
      <c r="I11" t="str">
        <f>I6</f>
        <v>e 1.5 deg no OS</v>
      </c>
      <c r="J11" t="str">
        <f t="shared" si="3"/>
        <v>d9d</v>
      </c>
      <c r="O11">
        <f>O6</f>
        <v>1</v>
      </c>
      <c r="Q11" t="str">
        <f t="shared" si="4"/>
        <v>d9d</v>
      </c>
      <c r="S11">
        <v>6</v>
      </c>
      <c r="T11" t="s">
        <v>235</v>
      </c>
      <c r="U11" t="s">
        <v>246</v>
      </c>
    </row>
    <row r="12" spans="1:21">
      <c r="A12">
        <f t="shared" ref="A12:A60" si="5">A7+1</f>
        <v>2</v>
      </c>
      <c r="B12" t="str">
        <f t="shared" si="0"/>
        <v>vstacks_s3p3v3_d~0002</v>
      </c>
      <c r="C12" t="str">
        <f t="shared" si="1"/>
        <v>d 1.5 deg OS.d9d</v>
      </c>
      <c r="H12" t="str">
        <f t="shared" si="2"/>
        <v>d 1.5 deg OS.d9d</v>
      </c>
      <c r="I12" t="str">
        <f t="shared" ref="I12:I60" si="6">I7</f>
        <v>d 1.5 deg OS</v>
      </c>
      <c r="J12" t="str">
        <f t="shared" si="3"/>
        <v>d9d</v>
      </c>
      <c r="O12">
        <f t="shared" ref="O12:O60" si="7">O7</f>
        <v>2</v>
      </c>
      <c r="Q12" t="str">
        <f t="shared" si="4"/>
        <v>d9d</v>
      </c>
      <c r="S12">
        <v>7</v>
      </c>
      <c r="T12" t="s">
        <v>236</v>
      </c>
      <c r="U12" t="s">
        <v>245</v>
      </c>
    </row>
    <row r="13" spans="1:21">
      <c r="A13">
        <f t="shared" si="5"/>
        <v>2</v>
      </c>
      <c r="B13" t="str">
        <f t="shared" si="0"/>
        <v>vstacks_s3p3v3_d~0003</v>
      </c>
      <c r="C13" t="str">
        <f t="shared" si="1"/>
        <v>c 2 deg (67%).d9d</v>
      </c>
      <c r="H13" t="str">
        <f t="shared" si="2"/>
        <v>c 2 deg (67%).d9d</v>
      </c>
      <c r="I13" t="str">
        <f t="shared" si="6"/>
        <v>c 2 deg (67%)</v>
      </c>
      <c r="J13" t="str">
        <f t="shared" si="3"/>
        <v>d9d</v>
      </c>
      <c r="O13">
        <f t="shared" si="7"/>
        <v>3</v>
      </c>
      <c r="Q13" t="str">
        <f t="shared" si="4"/>
        <v>d9d</v>
      </c>
      <c r="S13">
        <v>8</v>
      </c>
      <c r="T13" t="s">
        <v>237</v>
      </c>
      <c r="U13" t="s">
        <v>243</v>
      </c>
    </row>
    <row r="14" spans="1:21">
      <c r="A14">
        <f t="shared" si="5"/>
        <v>2</v>
      </c>
      <c r="B14" t="str">
        <f t="shared" si="0"/>
        <v>vstacks_s3p3v3_d~0004</v>
      </c>
      <c r="C14" t="str">
        <f t="shared" si="1"/>
        <v>b 2 deg (50%).d9d</v>
      </c>
      <c r="H14" t="str">
        <f t="shared" si="2"/>
        <v>b 2 deg (50%).d9d</v>
      </c>
      <c r="I14" t="str">
        <f t="shared" si="6"/>
        <v>b 2 deg (50%)</v>
      </c>
      <c r="J14" t="str">
        <f t="shared" si="3"/>
        <v>d9d</v>
      </c>
      <c r="O14">
        <f t="shared" si="7"/>
        <v>4</v>
      </c>
      <c r="Q14" t="str">
        <f t="shared" si="4"/>
        <v>d9d</v>
      </c>
      <c r="S14">
        <v>9</v>
      </c>
      <c r="T14" t="s">
        <v>239</v>
      </c>
      <c r="U14" t="s">
        <v>248</v>
      </c>
    </row>
    <row r="15" spans="1:21">
      <c r="A15">
        <f t="shared" si="5"/>
        <v>2</v>
      </c>
      <c r="B15" t="str">
        <f t="shared" si="0"/>
        <v>vstacks_s3p3v3_d~0005</v>
      </c>
      <c r="C15" t="str">
        <f t="shared" si="1"/>
        <v>a 3 deg.d9d</v>
      </c>
      <c r="H15" t="str">
        <f t="shared" si="2"/>
        <v>a 3 deg.d9d</v>
      </c>
      <c r="I15" t="str">
        <f t="shared" si="6"/>
        <v>a 3 deg</v>
      </c>
      <c r="J15" t="str">
        <f t="shared" si="3"/>
        <v>d9d</v>
      </c>
      <c r="O15">
        <f t="shared" si="7"/>
        <v>5</v>
      </c>
      <c r="Q15" t="str">
        <f t="shared" si="4"/>
        <v>d9d</v>
      </c>
      <c r="S15">
        <v>10</v>
      </c>
      <c r="T15" t="s">
        <v>238</v>
      </c>
      <c r="U15" t="s">
        <v>249</v>
      </c>
    </row>
    <row r="16" spans="1:21">
      <c r="A16">
        <f t="shared" si="5"/>
        <v>3</v>
      </c>
      <c r="B16" t="str">
        <f t="shared" si="0"/>
        <v>vstacks_s2_w~0001</v>
      </c>
      <c r="C16" t="str">
        <f t="shared" si="1"/>
        <v>e 1.5 deg no OS.b2w</v>
      </c>
      <c r="H16" t="str">
        <f t="shared" si="2"/>
        <v>e 1.5 deg no OS.b2w</v>
      </c>
      <c r="I16" t="str">
        <f t="shared" si="6"/>
        <v>e 1.5 deg no OS</v>
      </c>
      <c r="J16" t="str">
        <f t="shared" si="3"/>
        <v>b2w</v>
      </c>
      <c r="O16">
        <f t="shared" si="7"/>
        <v>1</v>
      </c>
      <c r="Q16" t="str">
        <f t="shared" si="4"/>
        <v>b2w</v>
      </c>
      <c r="S16">
        <v>11</v>
      </c>
      <c r="T16" t="s">
        <v>263</v>
      </c>
      <c r="U16" t="s">
        <v>264</v>
      </c>
    </row>
    <row r="17" spans="1:17">
      <c r="A17">
        <f t="shared" si="5"/>
        <v>3</v>
      </c>
      <c r="B17" t="str">
        <f t="shared" si="0"/>
        <v>vstacks_s2_w~0002</v>
      </c>
      <c r="C17" t="str">
        <f t="shared" si="1"/>
        <v>d 1.5 deg OS.b2w</v>
      </c>
      <c r="H17" t="str">
        <f t="shared" si="2"/>
        <v>d 1.5 deg OS.b2w</v>
      </c>
      <c r="I17" t="str">
        <f t="shared" si="6"/>
        <v>d 1.5 deg OS</v>
      </c>
      <c r="J17" t="str">
        <f t="shared" si="3"/>
        <v>b2w</v>
      </c>
      <c r="O17">
        <f t="shared" si="7"/>
        <v>2</v>
      </c>
      <c r="Q17" t="str">
        <f t="shared" si="4"/>
        <v>b2w</v>
      </c>
    </row>
    <row r="18" spans="1:17">
      <c r="A18">
        <f t="shared" si="5"/>
        <v>3</v>
      </c>
      <c r="B18" t="str">
        <f t="shared" si="0"/>
        <v>vstacks_s2_w~0003</v>
      </c>
      <c r="C18" t="str">
        <f t="shared" si="1"/>
        <v>c 2 deg (67%).b2w</v>
      </c>
      <c r="H18" t="str">
        <f t="shared" si="2"/>
        <v>c 2 deg (67%).b2w</v>
      </c>
      <c r="I18" t="str">
        <f t="shared" si="6"/>
        <v>c 2 deg (67%)</v>
      </c>
      <c r="J18" t="str">
        <f t="shared" si="3"/>
        <v>b2w</v>
      </c>
      <c r="O18">
        <f t="shared" si="7"/>
        <v>3</v>
      </c>
      <c r="Q18" t="str">
        <f t="shared" si="4"/>
        <v>b2w</v>
      </c>
    </row>
    <row r="19" spans="1:17">
      <c r="A19">
        <f t="shared" si="5"/>
        <v>3</v>
      </c>
      <c r="B19" t="str">
        <f t="shared" si="0"/>
        <v>vstacks_s2_w~0004</v>
      </c>
      <c r="C19" t="str">
        <f t="shared" si="1"/>
        <v>b 2 deg (50%).b2w</v>
      </c>
      <c r="H19" t="str">
        <f t="shared" si="2"/>
        <v>b 2 deg (50%).b2w</v>
      </c>
      <c r="I19" t="str">
        <f t="shared" si="6"/>
        <v>b 2 deg (50%)</v>
      </c>
      <c r="J19" t="str">
        <f t="shared" si="3"/>
        <v>b2w</v>
      </c>
      <c r="O19">
        <f t="shared" si="7"/>
        <v>4</v>
      </c>
      <c r="Q19" t="str">
        <f t="shared" si="4"/>
        <v>b2w</v>
      </c>
    </row>
    <row r="20" spans="1:17">
      <c r="A20">
        <f t="shared" si="5"/>
        <v>3</v>
      </c>
      <c r="B20" t="str">
        <f t="shared" si="0"/>
        <v>vstacks_s2_w~0005</v>
      </c>
      <c r="C20" t="str">
        <f t="shared" si="1"/>
        <v>a 3 deg.b2w</v>
      </c>
      <c r="H20" t="str">
        <f t="shared" si="2"/>
        <v>a 3 deg.b2w</v>
      </c>
      <c r="I20" t="str">
        <f t="shared" si="6"/>
        <v>a 3 deg</v>
      </c>
      <c r="J20" t="str">
        <f t="shared" si="3"/>
        <v>b2w</v>
      </c>
      <c r="O20">
        <f t="shared" si="7"/>
        <v>5</v>
      </c>
      <c r="Q20" t="str">
        <f t="shared" si="4"/>
        <v>b2w</v>
      </c>
    </row>
    <row r="21" spans="1:17">
      <c r="A21">
        <f t="shared" si="5"/>
        <v>4</v>
      </c>
      <c r="B21" t="str">
        <f t="shared" si="0"/>
        <v>vstacks_s2_w_p2_d~0001</v>
      </c>
      <c r="C21" t="str">
        <f t="shared" si="1"/>
        <v>e 1.5 deg no OS.a2w2d</v>
      </c>
      <c r="H21" t="str">
        <f t="shared" si="2"/>
        <v>e 1.5 deg no OS.a2w2d</v>
      </c>
      <c r="I21" t="str">
        <f t="shared" si="6"/>
        <v>e 1.5 deg no OS</v>
      </c>
      <c r="J21" t="str">
        <f t="shared" si="3"/>
        <v>a2w2d</v>
      </c>
      <c r="O21">
        <f t="shared" si="7"/>
        <v>1</v>
      </c>
      <c r="Q21" t="str">
        <f t="shared" si="4"/>
        <v>a2w2d</v>
      </c>
    </row>
    <row r="22" spans="1:17">
      <c r="A22">
        <f t="shared" si="5"/>
        <v>4</v>
      </c>
      <c r="B22" t="str">
        <f t="shared" si="0"/>
        <v>vstacks_s2_w_p2_d~0002</v>
      </c>
      <c r="C22" t="str">
        <f t="shared" si="1"/>
        <v>d 1.5 deg OS.a2w2d</v>
      </c>
      <c r="H22" t="str">
        <f t="shared" si="2"/>
        <v>d 1.5 deg OS.a2w2d</v>
      </c>
      <c r="I22" t="str">
        <f t="shared" si="6"/>
        <v>d 1.5 deg OS</v>
      </c>
      <c r="J22" t="str">
        <f t="shared" si="3"/>
        <v>a2w2d</v>
      </c>
      <c r="O22">
        <f t="shared" si="7"/>
        <v>2</v>
      </c>
      <c r="Q22" t="str">
        <f t="shared" si="4"/>
        <v>a2w2d</v>
      </c>
    </row>
    <row r="23" spans="1:17">
      <c r="A23">
        <f t="shared" si="5"/>
        <v>4</v>
      </c>
      <c r="B23" t="str">
        <f t="shared" si="0"/>
        <v>vstacks_s2_w_p2_d~0003</v>
      </c>
      <c r="C23" t="str">
        <f t="shared" si="1"/>
        <v>c 2 deg (67%).a2w2d</v>
      </c>
      <c r="H23" t="str">
        <f t="shared" si="2"/>
        <v>c 2 deg (67%).a2w2d</v>
      </c>
      <c r="I23" t="str">
        <f t="shared" si="6"/>
        <v>c 2 deg (67%)</v>
      </c>
      <c r="J23" t="str">
        <f t="shared" si="3"/>
        <v>a2w2d</v>
      </c>
      <c r="O23">
        <f t="shared" si="7"/>
        <v>3</v>
      </c>
      <c r="Q23" t="str">
        <f t="shared" si="4"/>
        <v>a2w2d</v>
      </c>
    </row>
    <row r="24" spans="1:17">
      <c r="A24">
        <f t="shared" si="5"/>
        <v>4</v>
      </c>
      <c r="B24" t="str">
        <f t="shared" si="0"/>
        <v>vstacks_s2_w_p2_d~0004</v>
      </c>
      <c r="C24" t="str">
        <f t="shared" si="1"/>
        <v>b 2 deg (50%).a2w2d</v>
      </c>
      <c r="H24" t="str">
        <f t="shared" si="2"/>
        <v>b 2 deg (50%).a2w2d</v>
      </c>
      <c r="I24" t="str">
        <f t="shared" si="6"/>
        <v>b 2 deg (50%)</v>
      </c>
      <c r="J24" t="str">
        <f t="shared" si="3"/>
        <v>a2w2d</v>
      </c>
      <c r="O24">
        <f t="shared" si="7"/>
        <v>4</v>
      </c>
      <c r="Q24" t="str">
        <f t="shared" si="4"/>
        <v>a2w2d</v>
      </c>
    </row>
    <row r="25" spans="1:17">
      <c r="A25">
        <f t="shared" si="5"/>
        <v>4</v>
      </c>
      <c r="B25" t="str">
        <f t="shared" si="0"/>
        <v>vstacks_s2_w_p2_d~0005</v>
      </c>
      <c r="C25" t="str">
        <f t="shared" si="1"/>
        <v>a 3 deg.a2w2d</v>
      </c>
      <c r="H25" t="str">
        <f t="shared" si="2"/>
        <v>a 3 deg.a2w2d</v>
      </c>
      <c r="I25" t="str">
        <f t="shared" si="6"/>
        <v>a 3 deg</v>
      </c>
      <c r="J25" t="str">
        <f t="shared" si="3"/>
        <v>a2w2d</v>
      </c>
      <c r="O25">
        <f t="shared" si="7"/>
        <v>5</v>
      </c>
      <c r="Q25" t="str">
        <f t="shared" si="4"/>
        <v>a2w2d</v>
      </c>
    </row>
    <row r="26" spans="1:17">
      <c r="A26">
        <f t="shared" si="5"/>
        <v>5</v>
      </c>
      <c r="B26" t="str">
        <f t="shared" si="0"/>
        <v>vstacks_ts12_clu~0001</v>
      </c>
      <c r="C26" t="str">
        <f t="shared" si="1"/>
        <v>e 1.5 deg no OS.hTS12c</v>
      </c>
      <c r="H26" t="str">
        <f t="shared" si="2"/>
        <v>e 1.5 deg no OS.hTS12c</v>
      </c>
      <c r="I26" t="str">
        <f t="shared" si="6"/>
        <v>e 1.5 deg no OS</v>
      </c>
      <c r="J26" t="str">
        <f t="shared" si="3"/>
        <v>hTS12c</v>
      </c>
      <c r="O26">
        <f t="shared" si="7"/>
        <v>1</v>
      </c>
      <c r="Q26" t="str">
        <f t="shared" si="4"/>
        <v>hTS12c</v>
      </c>
    </row>
    <row r="27" spans="1:17">
      <c r="A27">
        <f t="shared" si="5"/>
        <v>5</v>
      </c>
      <c r="B27" t="str">
        <f t="shared" si="0"/>
        <v>vstacks_ts12_clu~0002</v>
      </c>
      <c r="C27" t="str">
        <f t="shared" si="1"/>
        <v>d 1.5 deg OS.hTS12c</v>
      </c>
      <c r="H27" t="str">
        <f t="shared" si="2"/>
        <v>d 1.5 deg OS.hTS12c</v>
      </c>
      <c r="I27" t="str">
        <f t="shared" si="6"/>
        <v>d 1.5 deg OS</v>
      </c>
      <c r="J27" t="str">
        <f t="shared" si="3"/>
        <v>hTS12c</v>
      </c>
      <c r="O27">
        <f t="shared" si="7"/>
        <v>2</v>
      </c>
      <c r="Q27" t="str">
        <f t="shared" si="4"/>
        <v>hTS12c</v>
      </c>
    </row>
    <row r="28" spans="1:17">
      <c r="A28">
        <f t="shared" si="5"/>
        <v>5</v>
      </c>
      <c r="B28" t="str">
        <f t="shared" si="0"/>
        <v>vstacks_ts12_clu~0003</v>
      </c>
      <c r="C28" t="str">
        <f t="shared" si="1"/>
        <v>c 2 deg (67%).hTS12c</v>
      </c>
      <c r="H28" t="str">
        <f t="shared" si="2"/>
        <v>c 2 deg (67%).hTS12c</v>
      </c>
      <c r="I28" t="str">
        <f t="shared" si="6"/>
        <v>c 2 deg (67%)</v>
      </c>
      <c r="J28" t="str">
        <f t="shared" si="3"/>
        <v>hTS12c</v>
      </c>
      <c r="O28">
        <f t="shared" si="7"/>
        <v>3</v>
      </c>
      <c r="Q28" t="str">
        <f t="shared" si="4"/>
        <v>hTS12c</v>
      </c>
    </row>
    <row r="29" spans="1:17">
      <c r="A29">
        <f t="shared" si="5"/>
        <v>5</v>
      </c>
      <c r="B29" t="str">
        <f t="shared" si="0"/>
        <v>vstacks_ts12_clu~0004</v>
      </c>
      <c r="C29" t="str">
        <f t="shared" si="1"/>
        <v>b 2 deg (50%).hTS12c</v>
      </c>
      <c r="H29" t="str">
        <f t="shared" si="2"/>
        <v>b 2 deg (50%).hTS12c</v>
      </c>
      <c r="I29" t="str">
        <f t="shared" si="6"/>
        <v>b 2 deg (50%)</v>
      </c>
      <c r="J29" t="str">
        <f t="shared" si="3"/>
        <v>hTS12c</v>
      </c>
      <c r="O29">
        <f t="shared" si="7"/>
        <v>4</v>
      </c>
      <c r="Q29" t="str">
        <f t="shared" si="4"/>
        <v>hTS12c</v>
      </c>
    </row>
    <row r="30" spans="1:17">
      <c r="A30">
        <f t="shared" si="5"/>
        <v>5</v>
      </c>
      <c r="B30" t="str">
        <f t="shared" si="0"/>
        <v>vstacks_ts12_clu~0005</v>
      </c>
      <c r="C30" t="str">
        <f t="shared" si="1"/>
        <v>a 3 deg.hTS12c</v>
      </c>
      <c r="H30" t="str">
        <f t="shared" si="2"/>
        <v>a 3 deg.hTS12c</v>
      </c>
      <c r="I30" t="str">
        <f t="shared" si="6"/>
        <v>a 3 deg</v>
      </c>
      <c r="J30" t="str">
        <f t="shared" si="3"/>
        <v>hTS12c</v>
      </c>
      <c r="O30">
        <f t="shared" si="7"/>
        <v>5</v>
      </c>
      <c r="Q30" t="str">
        <f t="shared" si="4"/>
        <v>hTS12c</v>
      </c>
    </row>
    <row r="31" spans="1:17">
      <c r="A31">
        <f t="shared" si="5"/>
        <v>6</v>
      </c>
      <c r="B31" t="str">
        <f t="shared" si="0"/>
        <v>vstacks_ts24_clu~0001</v>
      </c>
      <c r="C31" t="str">
        <f t="shared" si="1"/>
        <v>e 1.5 deg no OS.gTS24c</v>
      </c>
      <c r="H31" t="str">
        <f t="shared" si="2"/>
        <v>e 1.5 deg no OS.gTS24c</v>
      </c>
      <c r="I31" t="str">
        <f t="shared" si="6"/>
        <v>e 1.5 deg no OS</v>
      </c>
      <c r="J31" t="str">
        <f t="shared" si="3"/>
        <v>gTS24c</v>
      </c>
      <c r="O31">
        <f t="shared" si="7"/>
        <v>1</v>
      </c>
      <c r="Q31" t="str">
        <f t="shared" si="4"/>
        <v>gTS24c</v>
      </c>
    </row>
    <row r="32" spans="1:17">
      <c r="A32">
        <f t="shared" si="5"/>
        <v>6</v>
      </c>
      <c r="B32" t="str">
        <f t="shared" si="0"/>
        <v>vstacks_ts24_clu~0002</v>
      </c>
      <c r="C32" t="str">
        <f t="shared" si="1"/>
        <v>d 1.5 deg OS.gTS24c</v>
      </c>
      <c r="H32" t="str">
        <f t="shared" si="2"/>
        <v>d 1.5 deg OS.gTS24c</v>
      </c>
      <c r="I32" t="str">
        <f t="shared" si="6"/>
        <v>d 1.5 deg OS</v>
      </c>
      <c r="J32" t="str">
        <f t="shared" si="3"/>
        <v>gTS24c</v>
      </c>
      <c r="O32">
        <f t="shared" si="7"/>
        <v>2</v>
      </c>
      <c r="Q32" t="str">
        <f t="shared" si="4"/>
        <v>gTS24c</v>
      </c>
    </row>
    <row r="33" spans="1:17">
      <c r="A33">
        <f t="shared" si="5"/>
        <v>6</v>
      </c>
      <c r="B33" t="str">
        <f t="shared" si="0"/>
        <v>vstacks_ts24_clu~0003</v>
      </c>
      <c r="C33" t="str">
        <f t="shared" si="1"/>
        <v>c 2 deg (67%).gTS24c</v>
      </c>
      <c r="H33" t="str">
        <f t="shared" si="2"/>
        <v>c 2 deg (67%).gTS24c</v>
      </c>
      <c r="I33" t="str">
        <f t="shared" si="6"/>
        <v>c 2 deg (67%)</v>
      </c>
      <c r="J33" t="str">
        <f t="shared" si="3"/>
        <v>gTS24c</v>
      </c>
      <c r="O33">
        <f t="shared" si="7"/>
        <v>3</v>
      </c>
      <c r="Q33" t="str">
        <f t="shared" si="4"/>
        <v>gTS24c</v>
      </c>
    </row>
    <row r="34" spans="1:17">
      <c r="A34">
        <f t="shared" si="5"/>
        <v>6</v>
      </c>
      <c r="B34" t="str">
        <f t="shared" si="0"/>
        <v>vstacks_ts24_clu~0004</v>
      </c>
      <c r="C34" t="str">
        <f t="shared" si="1"/>
        <v>b 2 deg (50%).gTS24c</v>
      </c>
      <c r="H34" t="str">
        <f t="shared" si="2"/>
        <v>b 2 deg (50%).gTS24c</v>
      </c>
      <c r="I34" t="str">
        <f t="shared" si="6"/>
        <v>b 2 deg (50%)</v>
      </c>
      <c r="J34" t="str">
        <f t="shared" si="3"/>
        <v>gTS24c</v>
      </c>
      <c r="O34">
        <f t="shared" si="7"/>
        <v>4</v>
      </c>
      <c r="Q34" t="str">
        <f t="shared" si="4"/>
        <v>gTS24c</v>
      </c>
    </row>
    <row r="35" spans="1:17">
      <c r="A35">
        <f t="shared" si="5"/>
        <v>6</v>
      </c>
      <c r="B35" t="str">
        <f t="shared" si="0"/>
        <v>vstacks_ts24_clu~0005</v>
      </c>
      <c r="C35" t="str">
        <f t="shared" si="1"/>
        <v>a 3 deg.gTS24c</v>
      </c>
      <c r="H35" t="str">
        <f t="shared" si="2"/>
        <v>a 3 deg.gTS24c</v>
      </c>
      <c r="I35" t="str">
        <f t="shared" si="6"/>
        <v>a 3 deg</v>
      </c>
      <c r="J35" t="str">
        <f t="shared" si="3"/>
        <v>gTS24c</v>
      </c>
      <c r="O35">
        <f t="shared" si="7"/>
        <v>5</v>
      </c>
      <c r="Q35" t="str">
        <f t="shared" si="4"/>
        <v>gTS24c</v>
      </c>
    </row>
    <row r="36" spans="1:17">
      <c r="A36">
        <f t="shared" si="5"/>
        <v>7</v>
      </c>
      <c r="B36" t="str">
        <f t="shared" si="0"/>
        <v>vstacks_ts48_clu~0001</v>
      </c>
      <c r="C36" t="str">
        <f t="shared" si="1"/>
        <v>e 1.5 deg no OS.fTS48c</v>
      </c>
      <c r="H36" t="str">
        <f t="shared" si="2"/>
        <v>e 1.5 deg no OS.fTS48c</v>
      </c>
      <c r="I36" t="str">
        <f t="shared" si="6"/>
        <v>e 1.5 deg no OS</v>
      </c>
      <c r="J36" t="str">
        <f t="shared" si="3"/>
        <v>fTS48c</v>
      </c>
      <c r="O36">
        <f t="shared" si="7"/>
        <v>1</v>
      </c>
      <c r="Q36" t="str">
        <f t="shared" si="4"/>
        <v>fTS48c</v>
      </c>
    </row>
    <row r="37" spans="1:17">
      <c r="A37">
        <f t="shared" si="5"/>
        <v>7</v>
      </c>
      <c r="B37" t="str">
        <f t="shared" si="0"/>
        <v>vstacks_ts48_clu~0002</v>
      </c>
      <c r="C37" t="str">
        <f t="shared" si="1"/>
        <v>d 1.5 deg OS.fTS48c</v>
      </c>
      <c r="H37" t="str">
        <f t="shared" si="2"/>
        <v>d 1.5 deg OS.fTS48c</v>
      </c>
      <c r="I37" t="str">
        <f t="shared" si="6"/>
        <v>d 1.5 deg OS</v>
      </c>
      <c r="J37" t="str">
        <f t="shared" si="3"/>
        <v>fTS48c</v>
      </c>
      <c r="O37">
        <f t="shared" si="7"/>
        <v>2</v>
      </c>
      <c r="Q37" t="str">
        <f t="shared" si="4"/>
        <v>fTS48c</v>
      </c>
    </row>
    <row r="38" spans="1:17">
      <c r="A38">
        <f t="shared" si="5"/>
        <v>7</v>
      </c>
      <c r="B38" t="str">
        <f t="shared" si="0"/>
        <v>vstacks_ts48_clu~0003</v>
      </c>
      <c r="C38" t="str">
        <f t="shared" si="1"/>
        <v>c 2 deg (67%).fTS48c</v>
      </c>
      <c r="H38" t="str">
        <f t="shared" si="2"/>
        <v>c 2 deg (67%).fTS48c</v>
      </c>
      <c r="I38" t="str">
        <f t="shared" si="6"/>
        <v>c 2 deg (67%)</v>
      </c>
      <c r="J38" t="str">
        <f t="shared" si="3"/>
        <v>fTS48c</v>
      </c>
      <c r="O38">
        <f t="shared" si="7"/>
        <v>3</v>
      </c>
      <c r="Q38" t="str">
        <f t="shared" si="4"/>
        <v>fTS48c</v>
      </c>
    </row>
    <row r="39" spans="1:17">
      <c r="A39">
        <f t="shared" si="5"/>
        <v>7</v>
      </c>
      <c r="B39" t="str">
        <f t="shared" si="0"/>
        <v>vstacks_ts48_clu~0004</v>
      </c>
      <c r="C39" t="str">
        <f t="shared" si="1"/>
        <v>b 2 deg (50%).fTS48c</v>
      </c>
      <c r="H39" t="str">
        <f t="shared" si="2"/>
        <v>b 2 deg (50%).fTS48c</v>
      </c>
      <c r="I39" t="str">
        <f t="shared" si="6"/>
        <v>b 2 deg (50%)</v>
      </c>
      <c r="J39" t="str">
        <f t="shared" si="3"/>
        <v>fTS48c</v>
      </c>
      <c r="O39">
        <f t="shared" si="7"/>
        <v>4</v>
      </c>
      <c r="Q39" t="str">
        <f t="shared" si="4"/>
        <v>fTS48c</v>
      </c>
    </row>
    <row r="40" spans="1:17">
      <c r="A40">
        <f t="shared" si="5"/>
        <v>7</v>
      </c>
      <c r="B40" t="str">
        <f t="shared" si="0"/>
        <v>vstacks_ts48_clu~0005</v>
      </c>
      <c r="C40" t="str">
        <f t="shared" si="1"/>
        <v>a 3 deg.fTS48c</v>
      </c>
      <c r="H40" t="str">
        <f t="shared" si="2"/>
        <v>a 3 deg.fTS48c</v>
      </c>
      <c r="I40" t="str">
        <f t="shared" si="6"/>
        <v>a 3 deg</v>
      </c>
      <c r="J40" t="str">
        <f t="shared" si="3"/>
        <v>fTS48c</v>
      </c>
      <c r="O40">
        <f t="shared" si="7"/>
        <v>5</v>
      </c>
      <c r="Q40" t="str">
        <f t="shared" si="4"/>
        <v>fTS48c</v>
      </c>
    </row>
    <row r="41" spans="1:17">
      <c r="A41">
        <f t="shared" si="5"/>
        <v>8</v>
      </c>
      <c r="B41" t="str">
        <f t="shared" si="0"/>
        <v>vstacks_s5p5v5_d~0001</v>
      </c>
      <c r="C41" t="str">
        <f t="shared" si="1"/>
        <v>e 1.5 deg no OS.c15d</v>
      </c>
      <c r="H41" t="str">
        <f t="shared" si="2"/>
        <v>e 1.5 deg no OS.c15d</v>
      </c>
      <c r="I41" t="str">
        <f t="shared" si="6"/>
        <v>e 1.5 deg no OS</v>
      </c>
      <c r="J41" t="str">
        <f t="shared" si="3"/>
        <v>c15d</v>
      </c>
      <c r="O41">
        <f t="shared" si="7"/>
        <v>1</v>
      </c>
      <c r="Q41" t="str">
        <f t="shared" si="4"/>
        <v>c15d</v>
      </c>
    </row>
    <row r="42" spans="1:17">
      <c r="A42">
        <f t="shared" si="5"/>
        <v>8</v>
      </c>
      <c r="B42" t="str">
        <f t="shared" si="0"/>
        <v>vstacks_s5p5v5_d~0002</v>
      </c>
      <c r="C42" t="str">
        <f t="shared" si="1"/>
        <v>d 1.5 deg OS.c15d</v>
      </c>
      <c r="H42" t="str">
        <f t="shared" si="2"/>
        <v>d 1.5 deg OS.c15d</v>
      </c>
      <c r="I42" t="str">
        <f t="shared" si="6"/>
        <v>d 1.5 deg OS</v>
      </c>
      <c r="J42" t="str">
        <f t="shared" si="3"/>
        <v>c15d</v>
      </c>
      <c r="O42">
        <f t="shared" si="7"/>
        <v>2</v>
      </c>
      <c r="Q42" t="str">
        <f t="shared" si="4"/>
        <v>c15d</v>
      </c>
    </row>
    <row r="43" spans="1:17">
      <c r="A43">
        <f t="shared" si="5"/>
        <v>8</v>
      </c>
      <c r="B43" t="str">
        <f t="shared" si="0"/>
        <v>vstacks_s5p5v5_d~0003</v>
      </c>
      <c r="C43" t="str">
        <f t="shared" si="1"/>
        <v>c 2 deg (67%).c15d</v>
      </c>
      <c r="H43" t="str">
        <f t="shared" si="2"/>
        <v>c 2 deg (67%).c15d</v>
      </c>
      <c r="I43" t="str">
        <f t="shared" si="6"/>
        <v>c 2 deg (67%)</v>
      </c>
      <c r="J43" t="str">
        <f t="shared" si="3"/>
        <v>c15d</v>
      </c>
      <c r="O43">
        <f t="shared" si="7"/>
        <v>3</v>
      </c>
      <c r="Q43" t="str">
        <f t="shared" si="4"/>
        <v>c15d</v>
      </c>
    </row>
    <row r="44" spans="1:17">
      <c r="A44">
        <f t="shared" si="5"/>
        <v>8</v>
      </c>
      <c r="B44" t="str">
        <f t="shared" si="0"/>
        <v>vstacks_s5p5v5_d~0004</v>
      </c>
      <c r="C44" t="str">
        <f t="shared" si="1"/>
        <v>b 2 deg (50%).c15d</v>
      </c>
      <c r="H44" t="str">
        <f t="shared" si="2"/>
        <v>b 2 deg (50%).c15d</v>
      </c>
      <c r="I44" t="str">
        <f t="shared" si="6"/>
        <v>b 2 deg (50%)</v>
      </c>
      <c r="J44" t="str">
        <f t="shared" si="3"/>
        <v>c15d</v>
      </c>
      <c r="O44">
        <f t="shared" si="7"/>
        <v>4</v>
      </c>
      <c r="Q44" t="str">
        <f t="shared" si="4"/>
        <v>c15d</v>
      </c>
    </row>
    <row r="45" spans="1:17">
      <c r="A45">
        <f t="shared" si="5"/>
        <v>8</v>
      </c>
      <c r="B45" t="str">
        <f t="shared" si="0"/>
        <v>vstacks_s5p5v5_d~0005</v>
      </c>
      <c r="C45" t="str">
        <f t="shared" si="1"/>
        <v>a 3 deg.c15d</v>
      </c>
      <c r="H45" t="str">
        <f t="shared" si="2"/>
        <v>a 3 deg.c15d</v>
      </c>
      <c r="I45" t="str">
        <f t="shared" si="6"/>
        <v>a 3 deg</v>
      </c>
      <c r="J45" t="str">
        <f t="shared" si="3"/>
        <v>c15d</v>
      </c>
      <c r="O45">
        <f t="shared" si="7"/>
        <v>5</v>
      </c>
      <c r="Q45" t="str">
        <f t="shared" si="4"/>
        <v>c15d</v>
      </c>
    </row>
    <row r="46" spans="1:17">
      <c r="A46">
        <f t="shared" si="5"/>
        <v>9</v>
      </c>
      <c r="B46" t="str">
        <f t="shared" si="0"/>
        <v>vstacks_ts_12~0001</v>
      </c>
      <c r="C46" t="str">
        <f t="shared" si="1"/>
        <v>e 1.5 deg no OS.iTS12</v>
      </c>
      <c r="H46" t="str">
        <f t="shared" si="2"/>
        <v>e 1.5 deg no OS.iTS12</v>
      </c>
      <c r="I46" t="str">
        <f t="shared" si="6"/>
        <v>e 1.5 deg no OS</v>
      </c>
      <c r="J46" t="str">
        <f t="shared" si="3"/>
        <v>iTS12</v>
      </c>
      <c r="O46">
        <f t="shared" si="7"/>
        <v>1</v>
      </c>
      <c r="Q46" t="str">
        <f t="shared" si="4"/>
        <v>iTS12</v>
      </c>
    </row>
    <row r="47" spans="1:17">
      <c r="A47">
        <f t="shared" si="5"/>
        <v>9</v>
      </c>
      <c r="B47" t="str">
        <f t="shared" si="0"/>
        <v>vstacks_ts_12~0002</v>
      </c>
      <c r="C47" t="str">
        <f t="shared" si="1"/>
        <v>d 1.5 deg OS.iTS12</v>
      </c>
      <c r="H47" t="str">
        <f t="shared" si="2"/>
        <v>d 1.5 deg OS.iTS12</v>
      </c>
      <c r="I47" t="str">
        <f t="shared" si="6"/>
        <v>d 1.5 deg OS</v>
      </c>
      <c r="J47" t="str">
        <f t="shared" si="3"/>
        <v>iTS12</v>
      </c>
      <c r="O47">
        <f t="shared" si="7"/>
        <v>2</v>
      </c>
      <c r="Q47" t="str">
        <f t="shared" si="4"/>
        <v>iTS12</v>
      </c>
    </row>
    <row r="48" spans="1:17">
      <c r="A48">
        <f t="shared" si="5"/>
        <v>9</v>
      </c>
      <c r="B48" t="str">
        <f t="shared" si="0"/>
        <v>vstacks_ts_12~0003</v>
      </c>
      <c r="C48" t="str">
        <f t="shared" si="1"/>
        <v>c 2 deg (67%).iTS12</v>
      </c>
      <c r="H48" t="str">
        <f t="shared" si="2"/>
        <v>c 2 deg (67%).iTS12</v>
      </c>
      <c r="I48" t="str">
        <f t="shared" si="6"/>
        <v>c 2 deg (67%)</v>
      </c>
      <c r="J48" t="str">
        <f t="shared" si="3"/>
        <v>iTS12</v>
      </c>
      <c r="O48">
        <f t="shared" si="7"/>
        <v>3</v>
      </c>
      <c r="Q48" t="str">
        <f t="shared" si="4"/>
        <v>iTS12</v>
      </c>
    </row>
    <row r="49" spans="1:17">
      <c r="A49">
        <f t="shared" si="5"/>
        <v>9</v>
      </c>
      <c r="B49" t="str">
        <f t="shared" si="0"/>
        <v>vstacks_ts_12~0004</v>
      </c>
      <c r="C49" t="str">
        <f t="shared" si="1"/>
        <v>b 2 deg (50%).iTS12</v>
      </c>
      <c r="H49" t="str">
        <f t="shared" si="2"/>
        <v>b 2 deg (50%).iTS12</v>
      </c>
      <c r="I49" t="str">
        <f t="shared" si="6"/>
        <v>b 2 deg (50%)</v>
      </c>
      <c r="J49" t="str">
        <f t="shared" si="3"/>
        <v>iTS12</v>
      </c>
      <c r="O49">
        <f t="shared" si="7"/>
        <v>4</v>
      </c>
      <c r="Q49" t="str">
        <f t="shared" si="4"/>
        <v>iTS12</v>
      </c>
    </row>
    <row r="50" spans="1:17">
      <c r="A50">
        <f t="shared" si="5"/>
        <v>9</v>
      </c>
      <c r="B50" t="str">
        <f t="shared" si="0"/>
        <v>vstacks_ts_12~0005</v>
      </c>
      <c r="C50" t="str">
        <f t="shared" si="1"/>
        <v>a 3 deg.iTS12</v>
      </c>
      <c r="H50" t="str">
        <f t="shared" si="2"/>
        <v>a 3 deg.iTS12</v>
      </c>
      <c r="I50" t="str">
        <f t="shared" si="6"/>
        <v>a 3 deg</v>
      </c>
      <c r="J50" t="str">
        <f t="shared" si="3"/>
        <v>iTS12</v>
      </c>
      <c r="O50">
        <f t="shared" si="7"/>
        <v>5</v>
      </c>
      <c r="Q50" t="str">
        <f t="shared" si="4"/>
        <v>iTS12</v>
      </c>
    </row>
    <row r="51" spans="1:17">
      <c r="A51">
        <f t="shared" si="5"/>
        <v>10</v>
      </c>
      <c r="B51" t="str">
        <f t="shared" si="0"/>
        <v>vstacks_ts_annual~0001</v>
      </c>
      <c r="C51" t="str">
        <f t="shared" si="1"/>
        <v>e 1.5 deg no OS.jAnn</v>
      </c>
      <c r="H51" t="str">
        <f t="shared" si="2"/>
        <v>e 1.5 deg no OS.jAnn</v>
      </c>
      <c r="I51" t="str">
        <f t="shared" si="6"/>
        <v>e 1.5 deg no OS</v>
      </c>
      <c r="J51" t="str">
        <f t="shared" si="3"/>
        <v>jAnn</v>
      </c>
      <c r="O51">
        <f t="shared" si="7"/>
        <v>1</v>
      </c>
      <c r="Q51" t="str">
        <f t="shared" si="4"/>
        <v>jAnn</v>
      </c>
    </row>
    <row r="52" spans="1:17">
      <c r="A52">
        <f t="shared" si="5"/>
        <v>10</v>
      </c>
      <c r="B52" t="str">
        <f t="shared" si="0"/>
        <v>vstacks_ts_annual~0002</v>
      </c>
      <c r="C52" t="str">
        <f t="shared" si="1"/>
        <v>d 1.5 deg OS.jAnn</v>
      </c>
      <c r="H52" t="str">
        <f t="shared" si="2"/>
        <v>d 1.5 deg OS.jAnn</v>
      </c>
      <c r="I52" t="str">
        <f t="shared" si="6"/>
        <v>d 1.5 deg OS</v>
      </c>
      <c r="J52" t="str">
        <f t="shared" si="3"/>
        <v>jAnn</v>
      </c>
      <c r="O52">
        <f t="shared" si="7"/>
        <v>2</v>
      </c>
      <c r="Q52" t="str">
        <f t="shared" si="4"/>
        <v>jAnn</v>
      </c>
    </row>
    <row r="53" spans="1:17">
      <c r="A53">
        <f t="shared" si="5"/>
        <v>10</v>
      </c>
      <c r="B53" t="str">
        <f t="shared" si="0"/>
        <v>vstacks_ts_annual~0003</v>
      </c>
      <c r="C53" t="str">
        <f t="shared" si="1"/>
        <v>c 2 deg (67%).jAnn</v>
      </c>
      <c r="H53" t="str">
        <f t="shared" si="2"/>
        <v>c 2 deg (67%).jAnn</v>
      </c>
      <c r="I53" t="str">
        <f t="shared" si="6"/>
        <v>c 2 deg (67%)</v>
      </c>
      <c r="J53" t="str">
        <f t="shared" si="3"/>
        <v>jAnn</v>
      </c>
      <c r="O53">
        <f t="shared" si="7"/>
        <v>3</v>
      </c>
      <c r="Q53" t="str">
        <f t="shared" si="4"/>
        <v>jAnn</v>
      </c>
    </row>
    <row r="54" spans="1:17">
      <c r="A54">
        <f t="shared" si="5"/>
        <v>10</v>
      </c>
      <c r="B54" t="str">
        <f t="shared" si="0"/>
        <v>vstacks_ts_annual~0004</v>
      </c>
      <c r="C54" t="str">
        <f t="shared" si="1"/>
        <v>b 2 deg (50%).jAnn</v>
      </c>
      <c r="H54" t="str">
        <f t="shared" si="2"/>
        <v>b 2 deg (50%).jAnn</v>
      </c>
      <c r="I54" t="str">
        <f t="shared" si="6"/>
        <v>b 2 deg (50%)</v>
      </c>
      <c r="J54" t="str">
        <f t="shared" si="3"/>
        <v>jAnn</v>
      </c>
      <c r="O54">
        <f t="shared" si="7"/>
        <v>4</v>
      </c>
      <c r="Q54" t="str">
        <f t="shared" si="4"/>
        <v>jAnn</v>
      </c>
    </row>
    <row r="55" spans="1:17">
      <c r="A55">
        <f t="shared" si="5"/>
        <v>10</v>
      </c>
      <c r="B55" t="str">
        <f t="shared" si="0"/>
        <v>vstacks_ts_annual~0005</v>
      </c>
      <c r="C55" t="str">
        <f t="shared" si="1"/>
        <v>a 3 deg.jAnn</v>
      </c>
      <c r="H55" t="str">
        <f t="shared" si="2"/>
        <v>a 3 deg.jAnn</v>
      </c>
      <c r="I55" t="str">
        <f t="shared" si="6"/>
        <v>a 3 deg</v>
      </c>
      <c r="J55" t="str">
        <f t="shared" si="3"/>
        <v>jAnn</v>
      </c>
      <c r="O55">
        <f t="shared" si="7"/>
        <v>5</v>
      </c>
      <c r="Q55" t="str">
        <f t="shared" si="4"/>
        <v>jAnn</v>
      </c>
    </row>
    <row r="56" spans="1:17">
      <c r="A56">
        <f t="shared" si="5"/>
        <v>11</v>
      </c>
      <c r="B56" t="str">
        <f t="shared" si="0"/>
        <v>vstacks_s1_d~0001</v>
      </c>
      <c r="C56" t="str">
        <f t="shared" si="1"/>
        <v>e 1.5 deg no OS.f3d</v>
      </c>
      <c r="H56" t="str">
        <f t="shared" si="2"/>
        <v>e 1.5 deg no OS.f3d</v>
      </c>
      <c r="I56" t="str">
        <f t="shared" si="6"/>
        <v>e 1.5 deg no OS</v>
      </c>
      <c r="J56" t="str">
        <f t="shared" si="3"/>
        <v>f3d</v>
      </c>
      <c r="O56">
        <f t="shared" si="7"/>
        <v>1</v>
      </c>
      <c r="Q56" t="str">
        <f t="shared" si="4"/>
        <v>f3d</v>
      </c>
    </row>
    <row r="57" spans="1:17">
      <c r="A57">
        <f t="shared" si="5"/>
        <v>11</v>
      </c>
      <c r="B57" t="str">
        <f t="shared" si="0"/>
        <v>vstacks_s1_d~0002</v>
      </c>
      <c r="C57" t="str">
        <f t="shared" si="1"/>
        <v>d 1.5 deg OS.f3d</v>
      </c>
      <c r="H57" t="str">
        <f t="shared" si="2"/>
        <v>d 1.5 deg OS.f3d</v>
      </c>
      <c r="I57" t="str">
        <f t="shared" si="6"/>
        <v>d 1.5 deg OS</v>
      </c>
      <c r="J57" t="str">
        <f t="shared" si="3"/>
        <v>f3d</v>
      </c>
      <c r="O57">
        <f t="shared" si="7"/>
        <v>2</v>
      </c>
      <c r="Q57" t="str">
        <f t="shared" si="4"/>
        <v>f3d</v>
      </c>
    </row>
    <row r="58" spans="1:17">
      <c r="A58">
        <f t="shared" si="5"/>
        <v>11</v>
      </c>
      <c r="B58" t="str">
        <f t="shared" si="0"/>
        <v>vstacks_s1_d~0003</v>
      </c>
      <c r="C58" t="str">
        <f t="shared" si="1"/>
        <v>c 2 deg (67%).f3d</v>
      </c>
      <c r="H58" t="str">
        <f t="shared" si="2"/>
        <v>c 2 deg (67%).f3d</v>
      </c>
      <c r="I58" t="str">
        <f t="shared" si="6"/>
        <v>c 2 deg (67%)</v>
      </c>
      <c r="J58" t="str">
        <f t="shared" si="3"/>
        <v>f3d</v>
      </c>
      <c r="O58">
        <f t="shared" si="7"/>
        <v>3</v>
      </c>
      <c r="Q58" t="str">
        <f t="shared" si="4"/>
        <v>f3d</v>
      </c>
    </row>
    <row r="59" spans="1:17">
      <c r="A59">
        <f t="shared" si="5"/>
        <v>11</v>
      </c>
      <c r="B59" t="str">
        <f t="shared" si="0"/>
        <v>vstacks_s1_d~0004</v>
      </c>
      <c r="C59" t="str">
        <f t="shared" si="1"/>
        <v>b 2 deg (50%).f3d</v>
      </c>
      <c r="H59" t="str">
        <f t="shared" si="2"/>
        <v>b 2 deg (50%).f3d</v>
      </c>
      <c r="I59" t="str">
        <f t="shared" si="6"/>
        <v>b 2 deg (50%)</v>
      </c>
      <c r="J59" t="str">
        <f t="shared" si="3"/>
        <v>f3d</v>
      </c>
      <c r="O59">
        <f t="shared" si="7"/>
        <v>4</v>
      </c>
      <c r="Q59" t="str">
        <f t="shared" si="4"/>
        <v>f3d</v>
      </c>
    </row>
    <row r="60" spans="1:17">
      <c r="A60">
        <f t="shared" si="5"/>
        <v>11</v>
      </c>
      <c r="B60" t="str">
        <f t="shared" si="0"/>
        <v>vstacks_s1_d~0005</v>
      </c>
      <c r="C60" t="str">
        <f t="shared" si="1"/>
        <v>a 3 deg.f3d</v>
      </c>
      <c r="H60" t="str">
        <f t="shared" si="2"/>
        <v>a 3 deg.f3d</v>
      </c>
      <c r="I60" t="str">
        <f t="shared" si="6"/>
        <v>a 3 deg</v>
      </c>
      <c r="J60" t="str">
        <f t="shared" si="3"/>
        <v>f3d</v>
      </c>
      <c r="O60">
        <f t="shared" si="7"/>
        <v>5</v>
      </c>
      <c r="Q60" t="str">
        <f t="shared" si="4"/>
        <v>f3d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7996AB-918B-447C-9814-D88E6D27A485}">
  <dimension ref="B9:D678"/>
  <sheetViews>
    <sheetView tabSelected="1" workbookViewId="0"/>
  </sheetViews>
  <sheetFormatPr defaultRowHeight="14.25"/>
  <sheetData>
    <row r="9" spans="2:4">
      <c r="B9" t="s">
        <v>1069</v>
      </c>
    </row>
    <row r="10" spans="2:4">
      <c r="B10" t="s">
        <v>1070</v>
      </c>
      <c r="C10" t="s">
        <v>1071</v>
      </c>
      <c r="D10" t="s">
        <v>1072</v>
      </c>
    </row>
    <row r="11" spans="2:4">
      <c r="B11" t="s">
        <v>389</v>
      </c>
      <c r="C11">
        <v>40.519435766112771</v>
      </c>
      <c r="D11">
        <v>-3.6717411808855731</v>
      </c>
    </row>
    <row r="12" spans="2:4">
      <c r="B12" t="s">
        <v>390</v>
      </c>
      <c r="C12">
        <v>40.598321804703311</v>
      </c>
      <c r="D12">
        <v>-4.0046981093790777</v>
      </c>
    </row>
    <row r="13" spans="2:4">
      <c r="B13" t="s">
        <v>391</v>
      </c>
      <c r="C13">
        <v>40.256216939176682</v>
      </c>
      <c r="D13">
        <v>-3.4428104747812154</v>
      </c>
    </row>
    <row r="14" spans="2:4">
      <c r="B14" t="s">
        <v>392</v>
      </c>
      <c r="C14">
        <v>40.260044468889809</v>
      </c>
      <c r="D14">
        <v>-3.8750253678330449</v>
      </c>
    </row>
    <row r="15" spans="2:4">
      <c r="B15" t="s">
        <v>393</v>
      </c>
      <c r="C15">
        <v>40.565838584275298</v>
      </c>
      <c r="D15">
        <v>-3.5958643145443325</v>
      </c>
    </row>
    <row r="16" spans="2:4">
      <c r="B16" t="s">
        <v>394</v>
      </c>
      <c r="C16">
        <v>40.348319381058246</v>
      </c>
      <c r="D16">
        <v>-3.9040688315148975</v>
      </c>
    </row>
    <row r="17" spans="2:4">
      <c r="B17" t="s">
        <v>395</v>
      </c>
      <c r="C17">
        <v>39.554567002244589</v>
      </c>
      <c r="D17">
        <v>-0.51061025985595743</v>
      </c>
    </row>
    <row r="18" spans="2:4">
      <c r="B18" t="s">
        <v>396</v>
      </c>
      <c r="C18">
        <v>39.966898868614621</v>
      </c>
      <c r="D18">
        <v>-9.6423082252031E-2</v>
      </c>
    </row>
    <row r="19" spans="2:4">
      <c r="B19" t="s">
        <v>397</v>
      </c>
      <c r="C19">
        <v>43.313849472122882</v>
      </c>
      <c r="D19">
        <v>-5.8869510691775604</v>
      </c>
    </row>
    <row r="20" spans="2:4">
      <c r="B20" t="s">
        <v>398</v>
      </c>
      <c r="C20">
        <v>42.594509058406153</v>
      </c>
      <c r="D20">
        <v>-4.3430523776039083</v>
      </c>
    </row>
    <row r="21" spans="2:4">
      <c r="B21" t="s">
        <v>399</v>
      </c>
      <c r="C21">
        <v>41.207877205556535</v>
      </c>
      <c r="D21">
        <v>-6.6785825962734933</v>
      </c>
    </row>
    <row r="22" spans="2:4">
      <c r="B22" t="s">
        <v>400</v>
      </c>
      <c r="C22">
        <v>39.724399575994568</v>
      </c>
      <c r="D22">
        <v>-6.8775076000630753</v>
      </c>
    </row>
    <row r="23" spans="2:4">
      <c r="B23" t="s">
        <v>401</v>
      </c>
      <c r="C23">
        <v>41.105976409907242</v>
      </c>
      <c r="D23">
        <v>-2.3747162352459945</v>
      </c>
    </row>
    <row r="24" spans="2:4">
      <c r="B24" t="s">
        <v>402</v>
      </c>
      <c r="C24">
        <v>43.119648718235474</v>
      </c>
      <c r="D24">
        <v>-4.01984345983605</v>
      </c>
    </row>
    <row r="25" spans="2:4">
      <c r="B25" t="s">
        <v>403</v>
      </c>
      <c r="C25">
        <v>42.631700934074487</v>
      </c>
      <c r="D25">
        <v>-6.0410804481773255</v>
      </c>
    </row>
    <row r="26" spans="2:4">
      <c r="B26" t="s">
        <v>404</v>
      </c>
      <c r="C26">
        <v>42.573007510734811</v>
      </c>
      <c r="D26">
        <v>-6.550377814537014</v>
      </c>
    </row>
    <row r="27" spans="2:4">
      <c r="B27" t="s">
        <v>405</v>
      </c>
      <c r="C27">
        <v>43.00242326195238</v>
      </c>
      <c r="D27">
        <v>-3.8450867215952731</v>
      </c>
    </row>
    <row r="28" spans="2:4">
      <c r="B28" t="s">
        <v>406</v>
      </c>
      <c r="C28">
        <v>39.423740539652769</v>
      </c>
      <c r="D28">
        <v>-0.45428397240462648</v>
      </c>
    </row>
    <row r="29" spans="2:4">
      <c r="B29" t="s">
        <v>407</v>
      </c>
      <c r="C29">
        <v>41.525826159776493</v>
      </c>
      <c r="D29">
        <v>-0.1003620007740979</v>
      </c>
    </row>
    <row r="30" spans="2:4">
      <c r="B30" t="s">
        <v>408</v>
      </c>
      <c r="C30">
        <v>42.033722538201701</v>
      </c>
      <c r="D30">
        <v>-6.8619881948412154</v>
      </c>
    </row>
    <row r="31" spans="2:4">
      <c r="B31" t="s">
        <v>409</v>
      </c>
      <c r="C31">
        <v>41.789622129920872</v>
      </c>
      <c r="D31">
        <v>-4.9364626190930334</v>
      </c>
    </row>
    <row r="32" spans="2:4">
      <c r="B32" t="s">
        <v>410</v>
      </c>
      <c r="C32">
        <v>41.523601371261087</v>
      </c>
      <c r="D32">
        <v>1.8297399900438327</v>
      </c>
    </row>
    <row r="33" spans="2:4">
      <c r="B33" t="s">
        <v>411</v>
      </c>
      <c r="C33">
        <v>36.895217536078526</v>
      </c>
      <c r="D33">
        <v>-4.7455920307303243</v>
      </c>
    </row>
    <row r="34" spans="2:4">
      <c r="B34" t="s">
        <v>412</v>
      </c>
      <c r="C34">
        <v>39.659866324434041</v>
      </c>
      <c r="D34">
        <v>-0.31714224200298829</v>
      </c>
    </row>
    <row r="35" spans="2:4">
      <c r="B35" t="s">
        <v>413</v>
      </c>
      <c r="C35">
        <v>39.6417402921115</v>
      </c>
      <c r="D35">
        <v>-0.23590716568008191</v>
      </c>
    </row>
    <row r="36" spans="2:4">
      <c r="B36" t="s">
        <v>414</v>
      </c>
      <c r="C36">
        <v>42.552723219017111</v>
      </c>
      <c r="D36">
        <v>-5.5757068174737467</v>
      </c>
    </row>
    <row r="37" spans="2:4">
      <c r="B37" t="s">
        <v>415</v>
      </c>
      <c r="C37">
        <v>39.664335441918745</v>
      </c>
      <c r="D37">
        <v>-7.5332251977229747</v>
      </c>
    </row>
    <row r="38" spans="2:4">
      <c r="B38" t="s">
        <v>416</v>
      </c>
      <c r="C38">
        <v>42.071865672541243</v>
      </c>
      <c r="D38">
        <v>-4.5559219101660045</v>
      </c>
    </row>
    <row r="39" spans="2:4">
      <c r="B39" t="s">
        <v>417</v>
      </c>
      <c r="C39">
        <v>42.347689568751761</v>
      </c>
      <c r="D39">
        <v>-2.2635793924108003</v>
      </c>
    </row>
    <row r="40" spans="2:4">
      <c r="B40" t="s">
        <v>418</v>
      </c>
      <c r="C40">
        <v>42.170628746443512</v>
      </c>
      <c r="D40">
        <v>-1.6758779700439437</v>
      </c>
    </row>
    <row r="41" spans="2:4">
      <c r="B41" t="s">
        <v>419</v>
      </c>
      <c r="C41">
        <v>36.248147439160299</v>
      </c>
      <c r="D41">
        <v>-5.412149960058561</v>
      </c>
    </row>
    <row r="42" spans="2:4">
      <c r="B42" t="s">
        <v>420</v>
      </c>
      <c r="C42">
        <v>36.444267517102681</v>
      </c>
      <c r="D42">
        <v>-5.2185825987683447</v>
      </c>
    </row>
    <row r="43" spans="2:4">
      <c r="B43" t="s">
        <v>421</v>
      </c>
      <c r="C43">
        <v>37.216633445715757</v>
      </c>
      <c r="D43">
        <v>-2.9421467370350407</v>
      </c>
    </row>
    <row r="44" spans="2:4">
      <c r="B44" t="s">
        <v>422</v>
      </c>
      <c r="C44">
        <v>36.032186933621212</v>
      </c>
      <c r="D44">
        <v>-5.6060542817123267</v>
      </c>
    </row>
    <row r="45" spans="2:4">
      <c r="B45" t="s">
        <v>423</v>
      </c>
      <c r="C45">
        <v>40.600724539057175</v>
      </c>
      <c r="D45">
        <v>-3.723058661097693</v>
      </c>
    </row>
    <row r="46" spans="2:4">
      <c r="B46" t="s">
        <v>424</v>
      </c>
      <c r="C46">
        <v>42.344486997288726</v>
      </c>
      <c r="D46">
        <v>-7.2812024178650097</v>
      </c>
    </row>
    <row r="47" spans="2:4">
      <c r="B47" t="s">
        <v>425</v>
      </c>
      <c r="C47">
        <v>42.585665900516489</v>
      </c>
      <c r="D47">
        <v>-6.623858107536142</v>
      </c>
    </row>
    <row r="48" spans="2:4">
      <c r="B48" t="s">
        <v>426</v>
      </c>
      <c r="C48">
        <v>41.619459065809437</v>
      </c>
      <c r="D48">
        <v>2.1118237075704398</v>
      </c>
    </row>
    <row r="49" spans="2:4">
      <c r="B49" t="s">
        <v>427</v>
      </c>
      <c r="C49">
        <v>43.167270471129775</v>
      </c>
      <c r="D49">
        <v>-8.3559342659109301</v>
      </c>
    </row>
    <row r="50" spans="2:4">
      <c r="B50" t="s">
        <v>428</v>
      </c>
      <c r="C50">
        <v>43.326875245538453</v>
      </c>
      <c r="D50">
        <v>-3.0939340701161031</v>
      </c>
    </row>
    <row r="51" spans="2:4">
      <c r="B51" t="s">
        <v>429</v>
      </c>
      <c r="C51">
        <v>42.884037077532582</v>
      </c>
      <c r="D51">
        <v>-2.6034348145661257</v>
      </c>
    </row>
    <row r="52" spans="2:4">
      <c r="B52" t="s">
        <v>430</v>
      </c>
      <c r="C52">
        <v>42.822056951353375</v>
      </c>
      <c r="D52">
        <v>-4.8581553892887834</v>
      </c>
    </row>
    <row r="53" spans="2:4">
      <c r="B53" t="s">
        <v>431</v>
      </c>
      <c r="C53">
        <v>41.473437496183379</v>
      </c>
      <c r="D53">
        <v>2.009774570132016</v>
      </c>
    </row>
    <row r="54" spans="2:4">
      <c r="B54" t="s">
        <v>432</v>
      </c>
      <c r="C54">
        <v>40.610893213705573</v>
      </c>
      <c r="D54">
        <v>-0.1953527592113625</v>
      </c>
    </row>
    <row r="55" spans="2:4">
      <c r="B55" t="s">
        <v>433</v>
      </c>
      <c r="C55">
        <v>39.2505133206785</v>
      </c>
      <c r="D55">
        <v>-0.56086787209620281</v>
      </c>
    </row>
    <row r="56" spans="2:4">
      <c r="B56" t="s">
        <v>434</v>
      </c>
      <c r="C56">
        <v>41.217307601313209</v>
      </c>
      <c r="D56">
        <v>-0.28050555925368581</v>
      </c>
    </row>
    <row r="57" spans="2:4">
      <c r="B57" t="s">
        <v>435</v>
      </c>
      <c r="C57">
        <v>37.940813359412523</v>
      </c>
      <c r="D57">
        <v>-1.1879067645552579</v>
      </c>
    </row>
    <row r="58" spans="2:4">
      <c r="B58" t="s">
        <v>436</v>
      </c>
      <c r="C58">
        <v>41.368286290965074</v>
      </c>
      <c r="D58">
        <v>0.27714455682233519</v>
      </c>
    </row>
    <row r="59" spans="2:4">
      <c r="B59" t="s">
        <v>437</v>
      </c>
      <c r="C59">
        <v>41.017208256702801</v>
      </c>
      <c r="D59">
        <v>-6.7335448344866533</v>
      </c>
    </row>
    <row r="60" spans="2:4">
      <c r="B60" t="s">
        <v>438</v>
      </c>
      <c r="C60">
        <v>41.649834242313375</v>
      </c>
      <c r="D60">
        <v>-1.2965733616993724</v>
      </c>
    </row>
    <row r="61" spans="2:4">
      <c r="B61" t="s">
        <v>439</v>
      </c>
      <c r="C61">
        <v>40.976091344803372</v>
      </c>
      <c r="D61">
        <v>0.87904776677193308</v>
      </c>
    </row>
    <row r="62" spans="2:4">
      <c r="B62" t="s">
        <v>440</v>
      </c>
      <c r="C62">
        <v>41.721819281204375</v>
      </c>
      <c r="D62">
        <v>-0.74165376246966186</v>
      </c>
    </row>
    <row r="63" spans="2:4">
      <c r="B63" t="s">
        <v>441</v>
      </c>
      <c r="C63">
        <v>42.256348609476582</v>
      </c>
      <c r="D63">
        <v>-8.0572297585329604</v>
      </c>
    </row>
    <row r="64" spans="2:4">
      <c r="B64" t="s">
        <v>442</v>
      </c>
      <c r="C64">
        <v>41.320229360299301</v>
      </c>
      <c r="D64">
        <v>-4.7269057579896501</v>
      </c>
    </row>
    <row r="65" spans="2:4">
      <c r="B65" t="s">
        <v>443</v>
      </c>
      <c r="C65">
        <v>41.255234445594851</v>
      </c>
      <c r="D65">
        <v>-6.4874851988008979</v>
      </c>
    </row>
    <row r="66" spans="2:4">
      <c r="B66" t="s">
        <v>444</v>
      </c>
      <c r="C66">
        <v>41.044136379497317</v>
      </c>
      <c r="D66">
        <v>-6.8063950994846101</v>
      </c>
    </row>
    <row r="67" spans="2:4">
      <c r="B67" t="s">
        <v>445</v>
      </c>
      <c r="C67">
        <v>36.671614712073172</v>
      </c>
      <c r="D67">
        <v>-5.8203077507583183</v>
      </c>
    </row>
    <row r="68" spans="2:4">
      <c r="B68" t="s">
        <v>446</v>
      </c>
      <c r="C68">
        <v>38.320500522533742</v>
      </c>
      <c r="D68">
        <v>-6.7030383830920748</v>
      </c>
    </row>
    <row r="69" spans="2:4">
      <c r="B69" t="s">
        <v>447</v>
      </c>
      <c r="C69">
        <v>38.317052443898511</v>
      </c>
      <c r="D69">
        <v>-6.1978875176078212</v>
      </c>
    </row>
    <row r="70" spans="2:4">
      <c r="B70" t="s">
        <v>448</v>
      </c>
      <c r="C70">
        <v>37.245309734890363</v>
      </c>
      <c r="D70">
        <v>-5.8433732016744422</v>
      </c>
    </row>
    <row r="71" spans="2:4">
      <c r="B71" t="s">
        <v>449</v>
      </c>
      <c r="C71">
        <v>37.76564489711118</v>
      </c>
      <c r="D71">
        <v>-1.4457397799047038</v>
      </c>
    </row>
    <row r="72" spans="2:4">
      <c r="B72" t="s">
        <v>450</v>
      </c>
      <c r="C72">
        <v>36.978251341562938</v>
      </c>
      <c r="D72">
        <v>-1.9080017073118369</v>
      </c>
    </row>
    <row r="73" spans="2:4">
      <c r="B73" t="s">
        <v>451</v>
      </c>
      <c r="C73">
        <v>37.633410412920199</v>
      </c>
      <c r="D73">
        <v>-0.96109229974597477</v>
      </c>
    </row>
    <row r="74" spans="2:4">
      <c r="B74" t="s">
        <v>452</v>
      </c>
      <c r="C74">
        <v>37.564362006711775</v>
      </c>
      <c r="D74">
        <v>-0.95489421079961856</v>
      </c>
    </row>
    <row r="75" spans="2:4">
      <c r="B75" t="s">
        <v>453</v>
      </c>
      <c r="C75">
        <v>37.572775314445295</v>
      </c>
      <c r="D75">
        <v>-0.9416108595117888</v>
      </c>
    </row>
    <row r="76" spans="2:4">
      <c r="B76" t="s">
        <v>454</v>
      </c>
      <c r="C76">
        <v>39.041452585523047</v>
      </c>
      <c r="D76">
        <v>-1.0076249526525429</v>
      </c>
    </row>
    <row r="77" spans="2:4">
      <c r="B77" t="s">
        <v>455</v>
      </c>
      <c r="C77">
        <v>39.459416956267013</v>
      </c>
      <c r="D77">
        <v>-0.98815378873396198</v>
      </c>
    </row>
    <row r="78" spans="2:4">
      <c r="B78" t="s">
        <v>456</v>
      </c>
      <c r="C78">
        <v>39.465958065343081</v>
      </c>
      <c r="D78">
        <v>-0.97057314343354395</v>
      </c>
    </row>
    <row r="79" spans="2:4">
      <c r="B79" t="s">
        <v>457</v>
      </c>
      <c r="C79">
        <v>39.04346819927364</v>
      </c>
      <c r="D79">
        <v>-1.7998145826214111</v>
      </c>
    </row>
    <row r="80" spans="2:4">
      <c r="B80" t="s">
        <v>458</v>
      </c>
      <c r="C80">
        <v>38.764527415398653</v>
      </c>
      <c r="D80">
        <v>-1.6020522946968947</v>
      </c>
    </row>
    <row r="81" spans="2:4">
      <c r="B81" t="s">
        <v>459</v>
      </c>
      <c r="C81">
        <v>39.524699185066005</v>
      </c>
      <c r="D81">
        <v>-1.5651023964362061</v>
      </c>
    </row>
    <row r="82" spans="2:4">
      <c r="B82" t="s">
        <v>460</v>
      </c>
      <c r="C82">
        <v>41.204578971656311</v>
      </c>
      <c r="D82">
        <v>0.57117597381547081</v>
      </c>
    </row>
    <row r="83" spans="2:4">
      <c r="B83" t="s">
        <v>461</v>
      </c>
      <c r="C83">
        <v>41.38837878094175</v>
      </c>
      <c r="D83">
        <v>0.50530483055931852</v>
      </c>
    </row>
    <row r="84" spans="2:4">
      <c r="B84" t="s">
        <v>462</v>
      </c>
      <c r="C84">
        <v>38.048901046873119</v>
      </c>
      <c r="D84">
        <v>-4.1928872078675337</v>
      </c>
    </row>
    <row r="85" spans="2:4">
      <c r="B85" t="s">
        <v>463</v>
      </c>
      <c r="C85">
        <v>40.724271303370109</v>
      </c>
      <c r="D85">
        <v>-0.84951701622367048</v>
      </c>
    </row>
    <row r="86" spans="2:4">
      <c r="B86" t="s">
        <v>464</v>
      </c>
      <c r="C86">
        <v>43.259942500768233</v>
      </c>
      <c r="D86">
        <v>-1.9684165350551801</v>
      </c>
    </row>
    <row r="87" spans="2:4">
      <c r="B87" t="s">
        <v>465</v>
      </c>
      <c r="C87">
        <v>39.105369664573182</v>
      </c>
      <c r="D87">
        <v>-1.9577040045580487</v>
      </c>
    </row>
    <row r="88" spans="2:4">
      <c r="B88" t="s">
        <v>466</v>
      </c>
      <c r="C88">
        <v>39.715987440175418</v>
      </c>
      <c r="D88">
        <v>-1.931292244073328</v>
      </c>
    </row>
    <row r="89" spans="2:4">
      <c r="B89" t="s">
        <v>467</v>
      </c>
      <c r="C89">
        <v>42.77719524168792</v>
      </c>
      <c r="D89">
        <v>-3.2153149836109907</v>
      </c>
    </row>
    <row r="90" spans="2:4">
      <c r="B90" t="s">
        <v>468</v>
      </c>
      <c r="C90">
        <v>39.291315398941599</v>
      </c>
      <c r="D90">
        <v>-5.1824710725814445</v>
      </c>
    </row>
    <row r="91" spans="2:4">
      <c r="B91" t="s">
        <v>469</v>
      </c>
      <c r="C91">
        <v>39.950422574936432</v>
      </c>
      <c r="D91">
        <v>-5.5896763031919772</v>
      </c>
    </row>
    <row r="92" spans="2:4">
      <c r="B92" t="s">
        <v>470</v>
      </c>
      <c r="C92">
        <v>41.404968262649504</v>
      </c>
      <c r="D92">
        <v>1.1244805565990812</v>
      </c>
    </row>
    <row r="93" spans="2:4">
      <c r="B93" t="s">
        <v>471</v>
      </c>
      <c r="C93">
        <v>41.972652722861504</v>
      </c>
      <c r="D93">
        <v>2.6960636298430689</v>
      </c>
    </row>
    <row r="94" spans="2:4">
      <c r="B94" t="s">
        <v>472</v>
      </c>
      <c r="C94">
        <v>41.296740641995193</v>
      </c>
      <c r="D94">
        <v>-0.34144678086722569</v>
      </c>
    </row>
    <row r="95" spans="2:4">
      <c r="B95" t="s">
        <v>473</v>
      </c>
      <c r="C95">
        <v>41.280023782227971</v>
      </c>
      <c r="D95">
        <v>-0.21836280937579319</v>
      </c>
    </row>
    <row r="96" spans="2:4">
      <c r="B96" t="s">
        <v>474</v>
      </c>
      <c r="C96">
        <v>43.589103693596229</v>
      </c>
      <c r="D96">
        <v>-7.5529267431360623</v>
      </c>
    </row>
    <row r="97" spans="2:4">
      <c r="B97" t="s">
        <v>475</v>
      </c>
      <c r="C97">
        <v>41.336897578912371</v>
      </c>
      <c r="D97">
        <v>-0.9765743052774376</v>
      </c>
    </row>
    <row r="98" spans="2:4">
      <c r="B98" t="s">
        <v>476</v>
      </c>
      <c r="C98">
        <v>41.321123162777553</v>
      </c>
      <c r="D98">
        <v>-1.7057826566980316</v>
      </c>
    </row>
    <row r="99" spans="2:4">
      <c r="B99" t="s">
        <v>477</v>
      </c>
      <c r="C99">
        <v>40.748167259519271</v>
      </c>
      <c r="D99">
        <v>-2.9835501310720485</v>
      </c>
    </row>
    <row r="100" spans="2:4">
      <c r="B100" t="s">
        <v>478</v>
      </c>
      <c r="C100">
        <v>40.464414932858034</v>
      </c>
      <c r="D100">
        <v>-3.2974338291185514</v>
      </c>
    </row>
    <row r="101" spans="2:4">
      <c r="B101" t="s">
        <v>479</v>
      </c>
      <c r="C101">
        <v>37.548218568465458</v>
      </c>
      <c r="D101">
        <v>-7.2413770690762815</v>
      </c>
    </row>
    <row r="102" spans="2:4">
      <c r="B102" t="s">
        <v>480</v>
      </c>
      <c r="C102">
        <v>37.636612853613919</v>
      </c>
      <c r="D102">
        <v>-6.0974427805430738</v>
      </c>
    </row>
    <row r="103" spans="2:4">
      <c r="B103" t="s">
        <v>481</v>
      </c>
      <c r="C103">
        <v>37.184866093555129</v>
      </c>
      <c r="D103">
        <v>-6.8828374075312642</v>
      </c>
    </row>
    <row r="104" spans="2:4">
      <c r="B104" t="s">
        <v>482</v>
      </c>
      <c r="C104">
        <v>40.93994505857389</v>
      </c>
      <c r="D104">
        <v>-4.1652637859322716</v>
      </c>
    </row>
    <row r="105" spans="2:4">
      <c r="B105" t="s">
        <v>483</v>
      </c>
      <c r="C105">
        <v>40.549892655457491</v>
      </c>
      <c r="D105">
        <v>-3.566691579190008</v>
      </c>
    </row>
    <row r="106" spans="2:4">
      <c r="B106" t="s">
        <v>484</v>
      </c>
      <c r="C106">
        <v>41.506915451469247</v>
      </c>
      <c r="D106">
        <v>-5.0131167345260135</v>
      </c>
    </row>
    <row r="107" spans="2:4">
      <c r="B107" t="s">
        <v>485</v>
      </c>
      <c r="C107">
        <v>37.267950032880776</v>
      </c>
      <c r="D107">
        <v>-3.7260437304274254</v>
      </c>
    </row>
    <row r="108" spans="2:4">
      <c r="B108" t="s">
        <v>486</v>
      </c>
      <c r="C108">
        <v>37.457103258429051</v>
      </c>
      <c r="D108">
        <v>-4.494324414283815</v>
      </c>
    </row>
    <row r="109" spans="2:4">
      <c r="B109" t="s">
        <v>487</v>
      </c>
      <c r="C109">
        <v>37.254956380231661</v>
      </c>
      <c r="D109">
        <v>-4.776921704840599</v>
      </c>
    </row>
    <row r="110" spans="2:4">
      <c r="B110" t="s">
        <v>488</v>
      </c>
      <c r="C110">
        <v>36.751002428537234</v>
      </c>
      <c r="D110">
        <v>-4.6050205458446163</v>
      </c>
    </row>
    <row r="111" spans="2:4">
      <c r="B111" t="s">
        <v>489</v>
      </c>
      <c r="C111">
        <v>38.147247150697872</v>
      </c>
      <c r="D111">
        <v>-0.94614391983461443</v>
      </c>
    </row>
    <row r="112" spans="2:4">
      <c r="B112" t="s">
        <v>490</v>
      </c>
      <c r="C112">
        <v>38.719099387122746</v>
      </c>
      <c r="D112">
        <v>-0.72252739583723669</v>
      </c>
    </row>
    <row r="113" spans="2:4">
      <c r="B113" t="s">
        <v>491</v>
      </c>
      <c r="C113">
        <v>42.794232179414152</v>
      </c>
      <c r="D113">
        <v>-5.6339999847779456</v>
      </c>
    </row>
    <row r="114" spans="2:4">
      <c r="B114" t="s">
        <v>492</v>
      </c>
      <c r="C114">
        <v>41.957158096055373</v>
      </c>
      <c r="D114">
        <v>2.2823930258085707</v>
      </c>
    </row>
    <row r="115" spans="2:4">
      <c r="B115" t="s">
        <v>493</v>
      </c>
      <c r="C115">
        <v>40.030319657130491</v>
      </c>
      <c r="D115">
        <v>-2.3228347529878217</v>
      </c>
    </row>
    <row r="116" spans="2:4">
      <c r="B116" t="s">
        <v>494</v>
      </c>
      <c r="C116">
        <v>37.557262404168377</v>
      </c>
      <c r="D116">
        <v>-5.7589645634333211</v>
      </c>
    </row>
    <row r="117" spans="2:4">
      <c r="B117" t="s">
        <v>495</v>
      </c>
      <c r="C117">
        <v>42.097539349424757</v>
      </c>
      <c r="D117">
        <v>-1.6673104890513435</v>
      </c>
    </row>
    <row r="118" spans="2:4">
      <c r="B118" t="s">
        <v>496</v>
      </c>
      <c r="C118">
        <v>42.669619101352481</v>
      </c>
      <c r="D118">
        <v>-1.6544605544051338</v>
      </c>
    </row>
    <row r="119" spans="2:4">
      <c r="B119" t="s">
        <v>497</v>
      </c>
      <c r="C119">
        <v>43.439420824152712</v>
      </c>
      <c r="D119">
        <v>-7.8605507377807049</v>
      </c>
    </row>
    <row r="120" spans="2:4">
      <c r="B120" t="s">
        <v>498</v>
      </c>
      <c r="C120">
        <v>42.614156033143033</v>
      </c>
      <c r="D120">
        <v>-6.56593655984069</v>
      </c>
    </row>
    <row r="121" spans="2:4">
      <c r="B121" t="s">
        <v>499</v>
      </c>
      <c r="C121">
        <v>43.366308282763136</v>
      </c>
      <c r="D121">
        <v>-6.3020043698120922</v>
      </c>
    </row>
    <row r="122" spans="2:4">
      <c r="B122" t="s">
        <v>500</v>
      </c>
      <c r="C122">
        <v>43.243014205422114</v>
      </c>
      <c r="D122">
        <v>-6.8658590008291993</v>
      </c>
    </row>
    <row r="123" spans="2:4">
      <c r="B123" t="s">
        <v>501</v>
      </c>
      <c r="C123">
        <v>43.291581644254165</v>
      </c>
      <c r="D123">
        <v>-6.3954243277211758</v>
      </c>
    </row>
    <row r="124" spans="2:4">
      <c r="B124" t="s">
        <v>502</v>
      </c>
      <c r="C124">
        <v>43.305369883765032</v>
      </c>
      <c r="D124">
        <v>-5.6978678851485673</v>
      </c>
    </row>
    <row r="125" spans="2:4">
      <c r="B125" t="s">
        <v>503</v>
      </c>
      <c r="C125">
        <v>43.574736138640219</v>
      </c>
      <c r="D125">
        <v>-5.8979783061808302</v>
      </c>
    </row>
    <row r="126" spans="2:4">
      <c r="B126" t="s">
        <v>504</v>
      </c>
      <c r="C126">
        <v>41.436633892840902</v>
      </c>
      <c r="D126">
        <v>-2.501244244225469</v>
      </c>
    </row>
    <row r="127" spans="2:4">
      <c r="B127" t="s">
        <v>505</v>
      </c>
      <c r="C127">
        <v>42.837245352669477</v>
      </c>
      <c r="D127">
        <v>-6.5329934751049441</v>
      </c>
    </row>
    <row r="128" spans="2:4">
      <c r="B128" t="s">
        <v>506</v>
      </c>
      <c r="C128">
        <v>43.060848349707037</v>
      </c>
      <c r="D128">
        <v>-2.2727439009621322</v>
      </c>
    </row>
    <row r="129" spans="2:4">
      <c r="B129" t="s">
        <v>507</v>
      </c>
      <c r="C129">
        <v>43.21226110736611</v>
      </c>
      <c r="D129">
        <v>-2.2522839521758247</v>
      </c>
    </row>
    <row r="130" spans="2:4">
      <c r="B130" t="s">
        <v>508</v>
      </c>
      <c r="C130">
        <v>43.349810232524938</v>
      </c>
      <c r="D130">
        <v>-2.8805195884148289</v>
      </c>
    </row>
    <row r="131" spans="2:4">
      <c r="B131" t="s">
        <v>509</v>
      </c>
      <c r="C131">
        <v>41.255057333526722</v>
      </c>
      <c r="D131">
        <v>1.7192774775037607</v>
      </c>
    </row>
    <row r="132" spans="2:4">
      <c r="B132" t="s">
        <v>510</v>
      </c>
      <c r="C132">
        <v>43.218946107085443</v>
      </c>
      <c r="D132">
        <v>-3.0309017519188979</v>
      </c>
    </row>
    <row r="133" spans="2:4">
      <c r="B133" t="s">
        <v>511</v>
      </c>
      <c r="C133">
        <v>43.388719524711966</v>
      </c>
      <c r="D133">
        <v>-5.9947299502683942</v>
      </c>
    </row>
    <row r="134" spans="2:4">
      <c r="B134" t="s">
        <v>512</v>
      </c>
      <c r="C134">
        <v>39.044959506943925</v>
      </c>
      <c r="D134">
        <v>-3.344218225222074</v>
      </c>
    </row>
    <row r="135" spans="2:4">
      <c r="B135" t="s">
        <v>513</v>
      </c>
      <c r="C135">
        <v>43.358739267623911</v>
      </c>
      <c r="D135">
        <v>-3.0910274473844122</v>
      </c>
    </row>
    <row r="136" spans="2:4">
      <c r="B136" t="s">
        <v>514</v>
      </c>
      <c r="C136">
        <v>42.230069345717801</v>
      </c>
      <c r="D136">
        <v>2.9466607665695355</v>
      </c>
    </row>
    <row r="137" spans="2:4">
      <c r="B137" t="s">
        <v>515</v>
      </c>
      <c r="C137">
        <v>40.703392495093503</v>
      </c>
      <c r="D137">
        <v>-2.6256381788291434</v>
      </c>
    </row>
    <row r="138" spans="2:4">
      <c r="B138" t="s">
        <v>516</v>
      </c>
      <c r="C138">
        <v>40.034099835455145</v>
      </c>
      <c r="D138">
        <v>-3.0798309552037693</v>
      </c>
    </row>
    <row r="139" spans="2:4">
      <c r="B139" t="s">
        <v>517</v>
      </c>
      <c r="C139">
        <v>39.981776687854861</v>
      </c>
      <c r="D139">
        <v>-3.1139619385167681</v>
      </c>
    </row>
    <row r="140" spans="2:4">
      <c r="B140" t="s">
        <v>518</v>
      </c>
      <c r="C140">
        <v>39.26270615426801</v>
      </c>
      <c r="D140">
        <v>-0.91904587414592998</v>
      </c>
    </row>
    <row r="141" spans="2:4">
      <c r="B141" t="s">
        <v>519</v>
      </c>
      <c r="C141">
        <v>40.880820366291132</v>
      </c>
      <c r="D141">
        <v>-4.3393885133136374</v>
      </c>
    </row>
    <row r="142" spans="2:4">
      <c r="B142" t="s">
        <v>520</v>
      </c>
      <c r="C142">
        <v>37.071009032234592</v>
      </c>
      <c r="D142">
        <v>-2.3122147933588071</v>
      </c>
    </row>
    <row r="143" spans="2:4">
      <c r="B143" t="s">
        <v>521</v>
      </c>
      <c r="C143">
        <v>43.323609646399504</v>
      </c>
      <c r="D143">
        <v>-3.462228316869532</v>
      </c>
    </row>
    <row r="144" spans="2:4">
      <c r="B144" t="s">
        <v>522</v>
      </c>
      <c r="C144">
        <v>37.120141216377206</v>
      </c>
      <c r="D144">
        <v>-4.4151080778049376</v>
      </c>
    </row>
    <row r="145" spans="2:4">
      <c r="B145" t="s">
        <v>523</v>
      </c>
      <c r="C145">
        <v>38.652393433241329</v>
      </c>
      <c r="D145">
        <v>-4.2536119121545655</v>
      </c>
    </row>
    <row r="146" spans="2:4">
      <c r="B146" t="s">
        <v>524</v>
      </c>
      <c r="C146">
        <v>39.219820375937296</v>
      </c>
      <c r="D146">
        <v>-5.3765309242061194</v>
      </c>
    </row>
    <row r="147" spans="2:4">
      <c r="B147" t="s">
        <v>525</v>
      </c>
      <c r="C147">
        <v>43.128070746077647</v>
      </c>
      <c r="D147">
        <v>-7.4164406224382926</v>
      </c>
    </row>
    <row r="148" spans="2:4">
      <c r="B148" t="s">
        <v>526</v>
      </c>
      <c r="C148">
        <v>41.032865818159294</v>
      </c>
      <c r="D148">
        <v>-0.84083733058576304</v>
      </c>
    </row>
    <row r="149" spans="2:4">
      <c r="B149" t="s">
        <v>527</v>
      </c>
      <c r="C149">
        <v>38.806558246644734</v>
      </c>
      <c r="D149">
        <v>-6.5151304254961664</v>
      </c>
    </row>
    <row r="150" spans="2:4">
      <c r="B150" t="s">
        <v>528</v>
      </c>
      <c r="C150">
        <v>38.521844734924443</v>
      </c>
      <c r="D150">
        <v>-1.3333415591685109</v>
      </c>
    </row>
    <row r="151" spans="2:4">
      <c r="B151" t="s">
        <v>529</v>
      </c>
      <c r="C151">
        <v>40.387482554828871</v>
      </c>
      <c r="D151">
        <v>-3.4208768335062332</v>
      </c>
    </row>
    <row r="152" spans="2:4">
      <c r="B152" t="s">
        <v>530</v>
      </c>
      <c r="C152">
        <v>41.02301657447682</v>
      </c>
      <c r="D152">
        <v>-0.38217246149274581</v>
      </c>
    </row>
    <row r="153" spans="2:4">
      <c r="B153" t="s">
        <v>531</v>
      </c>
      <c r="C153">
        <v>42.062602683154175</v>
      </c>
      <c r="D153">
        <v>2.8831075630781275</v>
      </c>
    </row>
    <row r="154" spans="2:4">
      <c r="B154" t="s">
        <v>532</v>
      </c>
      <c r="C154">
        <v>36.072363615963269</v>
      </c>
      <c r="D154">
        <v>-5.6150150824694078</v>
      </c>
    </row>
    <row r="155" spans="2:4">
      <c r="B155" t="s">
        <v>533</v>
      </c>
      <c r="C155">
        <v>42.047567588123719</v>
      </c>
      <c r="D155">
        <v>-6.5434133925226972</v>
      </c>
    </row>
    <row r="156" spans="2:4">
      <c r="B156" t="s">
        <v>534</v>
      </c>
      <c r="C156">
        <v>37.963547039117948</v>
      </c>
      <c r="D156">
        <v>-0.89681162957753591</v>
      </c>
    </row>
    <row r="157" spans="2:4">
      <c r="B157" t="s">
        <v>535</v>
      </c>
      <c r="C157">
        <v>37.961103603849523</v>
      </c>
      <c r="D157">
        <v>-1.378664740281871</v>
      </c>
    </row>
    <row r="158" spans="2:4">
      <c r="B158" t="s">
        <v>536</v>
      </c>
      <c r="C158">
        <v>37.4369999901594</v>
      </c>
      <c r="D158">
        <v>-1.7188735904874677</v>
      </c>
    </row>
    <row r="159" spans="2:4">
      <c r="B159" t="s">
        <v>537</v>
      </c>
      <c r="C159">
        <v>38.422034896866229</v>
      </c>
      <c r="D159">
        <v>-6.2233857323607227</v>
      </c>
    </row>
    <row r="160" spans="2:4">
      <c r="B160" t="s">
        <v>538</v>
      </c>
      <c r="C160">
        <v>42.41767254369099</v>
      </c>
      <c r="D160">
        <v>-2.2526487336311605</v>
      </c>
    </row>
    <row r="161" spans="2:4">
      <c r="B161" t="s">
        <v>539</v>
      </c>
      <c r="C161">
        <v>38.561791212521683</v>
      </c>
      <c r="D161">
        <v>-0.86189753044067097</v>
      </c>
    </row>
    <row r="162" spans="2:4">
      <c r="B162" t="s">
        <v>540</v>
      </c>
      <c r="C162">
        <v>39.24370359456298</v>
      </c>
      <c r="D162">
        <v>-0.93168758328992085</v>
      </c>
    </row>
    <row r="163" spans="2:4">
      <c r="B163" t="s">
        <v>541</v>
      </c>
      <c r="C163">
        <v>42.322679807953214</v>
      </c>
      <c r="D163">
        <v>-3.820468578332052</v>
      </c>
    </row>
    <row r="164" spans="2:4">
      <c r="B164" t="s">
        <v>542</v>
      </c>
      <c r="C164">
        <v>40.642253126351747</v>
      </c>
      <c r="D164">
        <v>-6.5511240115833944</v>
      </c>
    </row>
    <row r="165" spans="2:4">
      <c r="B165" t="s">
        <v>543</v>
      </c>
      <c r="C165">
        <v>40.612552393719554</v>
      </c>
      <c r="D165">
        <v>-6.5601603005361238</v>
      </c>
    </row>
    <row r="166" spans="2:4">
      <c r="B166" t="s">
        <v>544</v>
      </c>
      <c r="C166">
        <v>39.799276826331969</v>
      </c>
      <c r="D166">
        <v>-6.360559178196425</v>
      </c>
    </row>
    <row r="167" spans="2:4">
      <c r="B167" t="s">
        <v>545</v>
      </c>
      <c r="C167">
        <v>39.564384418116653</v>
      </c>
      <c r="D167">
        <v>-5.6669749937915794</v>
      </c>
    </row>
    <row r="168" spans="2:4">
      <c r="B168" t="s">
        <v>546</v>
      </c>
      <c r="C168">
        <v>37.559232412235183</v>
      </c>
      <c r="D168">
        <v>-2.7475068115233938</v>
      </c>
    </row>
    <row r="169" spans="2:4">
      <c r="B169" t="s">
        <v>547</v>
      </c>
      <c r="C169">
        <v>39.628534289087739</v>
      </c>
      <c r="D169">
        <v>-7.4642691997982933</v>
      </c>
    </row>
    <row r="170" spans="2:4">
      <c r="B170" t="s">
        <v>548</v>
      </c>
      <c r="C170">
        <v>41.230475629851163</v>
      </c>
      <c r="D170">
        <v>-0.26214462995134941</v>
      </c>
    </row>
    <row r="171" spans="2:4">
      <c r="B171" t="s">
        <v>549</v>
      </c>
      <c r="C171">
        <v>39.483113466422957</v>
      </c>
      <c r="D171">
        <v>-2.1014934306898678</v>
      </c>
    </row>
    <row r="172" spans="2:4">
      <c r="B172" t="s">
        <v>550</v>
      </c>
      <c r="C172">
        <v>43.340542843760609</v>
      </c>
      <c r="D172">
        <v>-3.585744892047396</v>
      </c>
    </row>
    <row r="173" spans="2:4">
      <c r="B173" t="s">
        <v>551</v>
      </c>
      <c r="C173">
        <v>40.802676590020411</v>
      </c>
      <c r="D173">
        <v>-4.2087832222202373</v>
      </c>
    </row>
    <row r="174" spans="2:4">
      <c r="B174" t="s">
        <v>552</v>
      </c>
      <c r="C174">
        <v>39.913653618570507</v>
      </c>
      <c r="D174">
        <v>-5.4067468651468209</v>
      </c>
    </row>
    <row r="175" spans="2:4">
      <c r="B175" t="s">
        <v>553</v>
      </c>
      <c r="C175">
        <v>38.237931781371579</v>
      </c>
      <c r="D175">
        <v>-6.589150842750473</v>
      </c>
    </row>
    <row r="176" spans="2:4">
      <c r="B176" t="s">
        <v>554</v>
      </c>
      <c r="C176">
        <v>42.746808398276251</v>
      </c>
      <c r="D176">
        <v>-8.2510692680504185</v>
      </c>
    </row>
    <row r="177" spans="2:4">
      <c r="B177" t="s">
        <v>555</v>
      </c>
      <c r="C177">
        <v>43.235968131037843</v>
      </c>
      <c r="D177">
        <v>-2.7492646560407299</v>
      </c>
    </row>
    <row r="178" spans="2:4">
      <c r="B178" t="s">
        <v>556</v>
      </c>
      <c r="C178">
        <v>39.638527995910422</v>
      </c>
      <c r="D178">
        <v>-2.0842817955422759</v>
      </c>
    </row>
    <row r="179" spans="2:4">
      <c r="B179" t="s">
        <v>557</v>
      </c>
      <c r="C179">
        <v>39.605528426643431</v>
      </c>
      <c r="D179">
        <v>-6.339375317439174</v>
      </c>
    </row>
    <row r="180" spans="2:4">
      <c r="B180" t="s">
        <v>558</v>
      </c>
      <c r="C180">
        <v>38.286548212011965</v>
      </c>
      <c r="D180">
        <v>-6.1603532163035055</v>
      </c>
    </row>
    <row r="181" spans="2:4">
      <c r="B181" t="s">
        <v>559</v>
      </c>
      <c r="C181">
        <v>41.555196537930641</v>
      </c>
      <c r="D181">
        <v>2.047800522183528</v>
      </c>
    </row>
    <row r="182" spans="2:4">
      <c r="B182" t="s">
        <v>560</v>
      </c>
      <c r="C182">
        <v>36.183679913578445</v>
      </c>
      <c r="D182">
        <v>-5.4235622514690185</v>
      </c>
    </row>
    <row r="183" spans="2:4">
      <c r="B183" t="s">
        <v>561</v>
      </c>
      <c r="C183">
        <v>41.84669967448275</v>
      </c>
      <c r="D183">
        <v>-1.3807028126415624</v>
      </c>
    </row>
    <row r="184" spans="2:4">
      <c r="B184" t="s">
        <v>562</v>
      </c>
      <c r="C184">
        <v>39.095147553849785</v>
      </c>
      <c r="D184">
        <v>-6.369439150764066</v>
      </c>
    </row>
    <row r="185" spans="2:4">
      <c r="B185" t="s">
        <v>563</v>
      </c>
      <c r="C185">
        <v>42.590714890579491</v>
      </c>
      <c r="D185">
        <v>-3.8593192707090567</v>
      </c>
    </row>
    <row r="186" spans="2:4">
      <c r="B186" t="s">
        <v>564</v>
      </c>
      <c r="C186">
        <v>36.306560946615726</v>
      </c>
      <c r="D186">
        <v>-5.3977965612225622</v>
      </c>
    </row>
    <row r="187" spans="2:4">
      <c r="B187" t="s">
        <v>565</v>
      </c>
      <c r="C187">
        <v>41.766918473530168</v>
      </c>
      <c r="D187">
        <v>1.935098061167968</v>
      </c>
    </row>
    <row r="188" spans="2:4">
      <c r="B188" t="s">
        <v>566</v>
      </c>
      <c r="C188">
        <v>41.355523948524961</v>
      </c>
      <c r="D188">
        <v>1.902538523369514</v>
      </c>
    </row>
    <row r="189" spans="2:4">
      <c r="B189" t="s">
        <v>567</v>
      </c>
      <c r="C189">
        <v>39.807404145666418</v>
      </c>
      <c r="D189">
        <v>-5.6930190408471884</v>
      </c>
    </row>
    <row r="190" spans="2:4">
      <c r="B190" t="s">
        <v>568</v>
      </c>
      <c r="C190">
        <v>39.369885190334173</v>
      </c>
      <c r="D190">
        <v>-5.4450256311273764</v>
      </c>
    </row>
    <row r="191" spans="2:4">
      <c r="B191" t="s">
        <v>569</v>
      </c>
      <c r="C191">
        <v>40.246294586558456</v>
      </c>
      <c r="D191">
        <v>-3.8797134999999887</v>
      </c>
    </row>
    <row r="192" spans="2:4">
      <c r="B192" t="s">
        <v>570</v>
      </c>
      <c r="C192">
        <v>40.614740387330059</v>
      </c>
      <c r="D192">
        <v>-3.9850585089544581</v>
      </c>
    </row>
    <row r="193" spans="2:4">
      <c r="B193" t="s">
        <v>571</v>
      </c>
      <c r="C193">
        <v>42.338966088470258</v>
      </c>
      <c r="D193">
        <v>-3.8515649999999928</v>
      </c>
    </row>
    <row r="194" spans="2:4">
      <c r="B194" t="s">
        <v>572</v>
      </c>
      <c r="C194">
        <v>40.648219986938003</v>
      </c>
      <c r="D194">
        <v>-6.595627200000008</v>
      </c>
    </row>
    <row r="195" spans="2:4">
      <c r="B195" t="s">
        <v>573</v>
      </c>
      <c r="C195">
        <v>41.886766049326397</v>
      </c>
      <c r="D195">
        <v>-5.1576253195627269</v>
      </c>
    </row>
    <row r="196" spans="2:4">
      <c r="B196" t="s">
        <v>574</v>
      </c>
      <c r="C196">
        <v>41.943640288121898</v>
      </c>
      <c r="D196">
        <v>-5.0115082000000024</v>
      </c>
    </row>
    <row r="197" spans="2:4">
      <c r="B197" t="s">
        <v>575</v>
      </c>
      <c r="C197">
        <v>42.002140288173848</v>
      </c>
      <c r="D197">
        <v>-4.8490942999999946</v>
      </c>
    </row>
    <row r="198" spans="2:4">
      <c r="B198" t="s">
        <v>576</v>
      </c>
      <c r="C198">
        <v>41.667031487874468</v>
      </c>
      <c r="D198">
        <v>2.1031417999999995</v>
      </c>
    </row>
    <row r="199" spans="2:4">
      <c r="B199" t="s">
        <v>577</v>
      </c>
      <c r="C199">
        <v>36.062490982365432</v>
      </c>
      <c r="D199">
        <v>-5.5747320999999896</v>
      </c>
    </row>
    <row r="200" spans="2:4">
      <c r="B200" t="s">
        <v>578</v>
      </c>
      <c r="C200">
        <v>43.286006389278072</v>
      </c>
      <c r="D200">
        <v>-3.867589299999989</v>
      </c>
    </row>
    <row r="201" spans="2:4">
      <c r="B201" t="s">
        <v>579</v>
      </c>
      <c r="C201">
        <v>41.024910087288653</v>
      </c>
      <c r="D201">
        <v>0.84229880000000157</v>
      </c>
    </row>
    <row r="202" spans="2:4">
      <c r="B202" t="s">
        <v>580</v>
      </c>
      <c r="C202">
        <v>39.969828586294319</v>
      </c>
      <c r="D202">
        <v>-0.12579909999999739</v>
      </c>
    </row>
    <row r="203" spans="2:4">
      <c r="B203" t="s">
        <v>581</v>
      </c>
      <c r="C203">
        <v>39.493337585833551</v>
      </c>
      <c r="D203">
        <v>-1.0685103999999983</v>
      </c>
    </row>
    <row r="204" spans="2:4">
      <c r="B204" t="s">
        <v>582</v>
      </c>
      <c r="C204">
        <v>39.214383420819637</v>
      </c>
      <c r="D204">
        <v>-1.0548882136775757</v>
      </c>
    </row>
    <row r="205" spans="2:4">
      <c r="B205" t="s">
        <v>583</v>
      </c>
      <c r="C205">
        <v>43.3263039138035</v>
      </c>
      <c r="D205">
        <v>-4.1918463753807549</v>
      </c>
    </row>
    <row r="206" spans="2:4">
      <c r="B206" t="s">
        <v>584</v>
      </c>
      <c r="C206">
        <v>37.992298884342503</v>
      </c>
      <c r="D206">
        <v>-1.4046847999999961</v>
      </c>
    </row>
    <row r="207" spans="2:4">
      <c r="B207" t="s">
        <v>585</v>
      </c>
      <c r="C207">
        <v>43.346311901497572</v>
      </c>
      <c r="D207">
        <v>-3.8256100909175661</v>
      </c>
    </row>
    <row r="208" spans="2:4">
      <c r="B208" t="s">
        <v>586</v>
      </c>
      <c r="C208">
        <v>43.318780889305337</v>
      </c>
      <c r="D208">
        <v>-3.8373840999999937</v>
      </c>
    </row>
    <row r="209" spans="2:4">
      <c r="B209" t="s">
        <v>587</v>
      </c>
      <c r="C209">
        <v>39.958152703543085</v>
      </c>
      <c r="D209">
        <v>-1.8077566858117E-3</v>
      </c>
    </row>
    <row r="210" spans="2:4">
      <c r="B210" t="s">
        <v>588</v>
      </c>
      <c r="C210">
        <v>41.445839948118604</v>
      </c>
      <c r="D210">
        <v>-5.3605688093924977</v>
      </c>
    </row>
    <row r="211" spans="2:4">
      <c r="B211" t="s">
        <v>589</v>
      </c>
      <c r="C211">
        <v>41.221073387469225</v>
      </c>
      <c r="D211">
        <v>-6.7370488999999898</v>
      </c>
    </row>
    <row r="212" spans="2:4">
      <c r="B212" t="s">
        <v>590</v>
      </c>
      <c r="C212">
        <v>39.523583185862989</v>
      </c>
      <c r="D212">
        <v>-7.7288328000000126</v>
      </c>
    </row>
    <row r="213" spans="2:4">
      <c r="B213" t="s">
        <v>591</v>
      </c>
      <c r="C213">
        <v>38.184977884536842</v>
      </c>
      <c r="D213">
        <v>-7.4986864999999874</v>
      </c>
    </row>
    <row r="214" spans="2:4">
      <c r="B214" t="s">
        <v>592</v>
      </c>
      <c r="C214">
        <v>36.981489424353214</v>
      </c>
      <c r="D214">
        <v>-1.921639406695272</v>
      </c>
    </row>
    <row r="215" spans="2:4">
      <c r="B215" t="s">
        <v>593</v>
      </c>
      <c r="C215">
        <v>37.961714084311687</v>
      </c>
      <c r="D215">
        <v>-0.92146199999999856</v>
      </c>
    </row>
    <row r="216" spans="2:4">
      <c r="B216" t="s">
        <v>594</v>
      </c>
      <c r="C216">
        <v>39.526735185866059</v>
      </c>
      <c r="D216">
        <v>-0.523145999999998</v>
      </c>
    </row>
    <row r="217" spans="2:4">
      <c r="B217" t="s">
        <v>595</v>
      </c>
      <c r="C217">
        <v>39.820893319824151</v>
      </c>
      <c r="D217">
        <v>-6.3605483530793654</v>
      </c>
    </row>
    <row r="218" spans="2:4">
      <c r="B218" t="s">
        <v>596</v>
      </c>
      <c r="C218">
        <v>39.957186321253793</v>
      </c>
      <c r="D218">
        <v>-6.0651810644433937</v>
      </c>
    </row>
    <row r="219" spans="2:4">
      <c r="B219" t="s">
        <v>597</v>
      </c>
      <c r="C219">
        <v>40.631561308956691</v>
      </c>
      <c r="D219">
        <v>-3.9583374159341238</v>
      </c>
    </row>
    <row r="220" spans="2:4">
      <c r="B220" t="s">
        <v>598</v>
      </c>
      <c r="C220">
        <v>43.275339289269176</v>
      </c>
      <c r="D220">
        <v>-3.0417088999999922</v>
      </c>
    </row>
    <row r="221" spans="2:4">
      <c r="B221" t="s">
        <v>599</v>
      </c>
      <c r="C221">
        <v>40.95136674797601</v>
      </c>
      <c r="D221">
        <v>0.86533106174805052</v>
      </c>
    </row>
    <row r="222" spans="2:4">
      <c r="B222" t="s">
        <v>600</v>
      </c>
      <c r="C222">
        <v>41.417281487648431</v>
      </c>
      <c r="D222">
        <v>1.1173077000000078</v>
      </c>
    </row>
    <row r="223" spans="2:4">
      <c r="B223" t="s">
        <v>601</v>
      </c>
      <c r="C223">
        <v>41.913614088095187</v>
      </c>
      <c r="D223">
        <v>2.3691245000000007</v>
      </c>
    </row>
    <row r="224" spans="2:4">
      <c r="B224" t="s">
        <v>602</v>
      </c>
      <c r="C224">
        <v>41.248701887494562</v>
      </c>
      <c r="D224">
        <v>-0.2713422000000007</v>
      </c>
    </row>
    <row r="225" spans="2:4">
      <c r="B225" t="s">
        <v>603</v>
      </c>
      <c r="C225">
        <v>41.507491787730345</v>
      </c>
      <c r="D225">
        <v>1.9892409999999936</v>
      </c>
    </row>
    <row r="226" spans="2:4">
      <c r="B226" t="s">
        <v>604</v>
      </c>
      <c r="C226">
        <v>41.290228787532591</v>
      </c>
      <c r="D226">
        <v>-1.6964740999999892</v>
      </c>
    </row>
    <row r="227" spans="2:4">
      <c r="B227" t="s">
        <v>605</v>
      </c>
      <c r="C227">
        <v>41.665732087873231</v>
      </c>
      <c r="D227">
        <v>-1.3093341999999986</v>
      </c>
    </row>
    <row r="228" spans="2:4">
      <c r="B228" t="s">
        <v>606</v>
      </c>
      <c r="C228">
        <v>40.434655286736998</v>
      </c>
      <c r="D228">
        <v>-3.2278971999999908</v>
      </c>
    </row>
    <row r="229" spans="2:4">
      <c r="B229" t="s">
        <v>607</v>
      </c>
      <c r="C229">
        <v>40.523335586820671</v>
      </c>
      <c r="D229">
        <v>-3.0665509999999911</v>
      </c>
    </row>
    <row r="230" spans="2:4">
      <c r="B230" t="s">
        <v>608</v>
      </c>
      <c r="C230">
        <v>40.653821386943257</v>
      </c>
      <c r="D230">
        <v>-3.9946590999999918</v>
      </c>
    </row>
    <row r="231" spans="2:4">
      <c r="B231" t="s">
        <v>609</v>
      </c>
      <c r="C231">
        <v>40.588359286881818</v>
      </c>
      <c r="D231">
        <v>-3.7230046999999953</v>
      </c>
    </row>
    <row r="232" spans="2:4">
      <c r="B232" t="s">
        <v>610</v>
      </c>
      <c r="C232">
        <v>41.484129487709154</v>
      </c>
      <c r="D232">
        <v>-5.0018866999999956</v>
      </c>
    </row>
    <row r="233" spans="2:4">
      <c r="B233" t="s">
        <v>611</v>
      </c>
      <c r="C233">
        <v>40.697112398485842</v>
      </c>
      <c r="D233">
        <v>-4.0749251175841623</v>
      </c>
    </row>
    <row r="234" spans="2:4">
      <c r="B234" t="s">
        <v>612</v>
      </c>
      <c r="C234">
        <v>40.920887387192309</v>
      </c>
      <c r="D234">
        <v>-4.2500992999999951</v>
      </c>
    </row>
    <row r="235" spans="2:4">
      <c r="B235" t="s">
        <v>613</v>
      </c>
      <c r="C235">
        <v>40.394810086699366</v>
      </c>
      <c r="D235">
        <v>-3.470844499999993</v>
      </c>
    </row>
    <row r="236" spans="2:4">
      <c r="B236" t="s">
        <v>614</v>
      </c>
      <c r="C236">
        <v>40.575821086870079</v>
      </c>
      <c r="D236">
        <v>-3.652607299999997</v>
      </c>
    </row>
    <row r="237" spans="2:4">
      <c r="B237" t="s">
        <v>615</v>
      </c>
      <c r="C237">
        <v>36.987172992529899</v>
      </c>
      <c r="D237">
        <v>-1.9441401880623801</v>
      </c>
    </row>
    <row r="238" spans="2:4">
      <c r="B238" t="s">
        <v>616</v>
      </c>
      <c r="C238">
        <v>36.898457183227457</v>
      </c>
      <c r="D238">
        <v>-4.7331796000000033</v>
      </c>
    </row>
    <row r="239" spans="2:4">
      <c r="B239" t="s">
        <v>617</v>
      </c>
      <c r="C239">
        <v>38.556659784909428</v>
      </c>
      <c r="D239">
        <v>-0.84736439999999569</v>
      </c>
    </row>
    <row r="240" spans="2:4">
      <c r="B240" t="s">
        <v>618</v>
      </c>
      <c r="C240">
        <v>39.229902385575919</v>
      </c>
      <c r="D240">
        <v>-0.5355827999999957</v>
      </c>
    </row>
    <row r="241" spans="2:4">
      <c r="B241" t="s">
        <v>619</v>
      </c>
      <c r="C241">
        <v>41.325494668743822</v>
      </c>
      <c r="D241">
        <v>2.028204744750655</v>
      </c>
    </row>
    <row r="242" spans="2:4">
      <c r="B242" t="s">
        <v>620</v>
      </c>
      <c r="C242">
        <v>42.055442188221043</v>
      </c>
      <c r="D242">
        <v>-1.2221561000000007</v>
      </c>
    </row>
    <row r="243" spans="2:4">
      <c r="B243" t="s">
        <v>621</v>
      </c>
      <c r="C243">
        <v>40.023554186345827</v>
      </c>
      <c r="D243">
        <v>-2.3084783000000053</v>
      </c>
    </row>
    <row r="244" spans="2:4">
      <c r="B244" t="s">
        <v>622</v>
      </c>
      <c r="C244">
        <v>42.177774399803617</v>
      </c>
      <c r="D244">
        <v>-1.6936090709670204</v>
      </c>
    </row>
    <row r="245" spans="2:4">
      <c r="B245" t="s">
        <v>623</v>
      </c>
      <c r="C245">
        <v>43.702027639656713</v>
      </c>
      <c r="D245">
        <v>-7.4789635500939102</v>
      </c>
    </row>
    <row r="246" spans="2:4">
      <c r="B246" t="s">
        <v>624</v>
      </c>
      <c r="C246">
        <v>43.296994689287239</v>
      </c>
      <c r="D246">
        <v>-6.3645330999999929</v>
      </c>
    </row>
    <row r="247" spans="2:4">
      <c r="B247" t="s">
        <v>625</v>
      </c>
      <c r="C247">
        <v>43.29230668928335</v>
      </c>
      <c r="D247">
        <v>-5.7009520999999896</v>
      </c>
    </row>
    <row r="248" spans="2:4">
      <c r="B248" t="s">
        <v>626</v>
      </c>
      <c r="C248">
        <v>42.595353084827856</v>
      </c>
      <c r="D248">
        <v>-6.6075867131043831</v>
      </c>
    </row>
    <row r="249" spans="2:4">
      <c r="B249" t="s">
        <v>627</v>
      </c>
      <c r="C249">
        <v>42.809563888876482</v>
      </c>
      <c r="D249">
        <v>-5.6365208000000049</v>
      </c>
    </row>
    <row r="250" spans="2:4">
      <c r="B250" t="s">
        <v>628</v>
      </c>
      <c r="C250">
        <v>43.306315289294979</v>
      </c>
      <c r="D250">
        <v>-5.8996475999999944</v>
      </c>
    </row>
    <row r="251" spans="2:4">
      <c r="B251" t="s">
        <v>629</v>
      </c>
      <c r="C251">
        <v>43.360218389339757</v>
      </c>
      <c r="D251">
        <v>-5.933408199999997</v>
      </c>
    </row>
    <row r="252" spans="2:4">
      <c r="B252" t="s">
        <v>630</v>
      </c>
      <c r="C252">
        <v>43.265940689261363</v>
      </c>
      <c r="D252">
        <v>-2.7369951999999884</v>
      </c>
    </row>
    <row r="253" spans="2:4">
      <c r="B253" t="s">
        <v>631</v>
      </c>
      <c r="C253">
        <v>43.338073276457337</v>
      </c>
      <c r="D253">
        <v>-3.0536460336570035</v>
      </c>
    </row>
    <row r="254" spans="2:4">
      <c r="B254" t="s">
        <v>632</v>
      </c>
      <c r="C254">
        <v>43.305782589294488</v>
      </c>
      <c r="D254">
        <v>-3.1524939999999915</v>
      </c>
    </row>
    <row r="255" spans="2:4">
      <c r="B255" t="s">
        <v>633</v>
      </c>
      <c r="C255">
        <v>43.344698989326815</v>
      </c>
      <c r="D255">
        <v>-3.0758639999999984</v>
      </c>
    </row>
    <row r="256" spans="2:4">
      <c r="B256" t="s">
        <v>634</v>
      </c>
      <c r="C256">
        <v>41.268889487513057</v>
      </c>
      <c r="D256">
        <v>1.7101479000000055</v>
      </c>
    </row>
    <row r="257" spans="2:4">
      <c r="B257" t="s">
        <v>635</v>
      </c>
      <c r="C257">
        <v>37.345643883685582</v>
      </c>
      <c r="D257">
        <v>-7.7668120999999983</v>
      </c>
    </row>
    <row r="258" spans="2:4">
      <c r="B258" t="s">
        <v>636</v>
      </c>
      <c r="C258">
        <v>40.037304886359031</v>
      </c>
      <c r="D258">
        <v>-3.0432321999999892</v>
      </c>
    </row>
    <row r="259" spans="2:4">
      <c r="B259" t="s">
        <v>637</v>
      </c>
      <c r="C259">
        <v>43.313621089301023</v>
      </c>
      <c r="D259">
        <v>-3.4786876999999965</v>
      </c>
    </row>
    <row r="260" spans="2:4">
      <c r="B260" t="s">
        <v>638</v>
      </c>
      <c r="C260">
        <v>43.224912189227126</v>
      </c>
      <c r="D260">
        <v>-7.0129195999999974</v>
      </c>
    </row>
    <row r="261" spans="2:4">
      <c r="B261" t="s">
        <v>639</v>
      </c>
      <c r="C261">
        <v>42.210346288357584</v>
      </c>
      <c r="D261">
        <v>-5.3501353999999965</v>
      </c>
    </row>
    <row r="262" spans="2:4">
      <c r="B262" t="s">
        <v>640</v>
      </c>
      <c r="C262">
        <v>40.860290287136003</v>
      </c>
      <c r="D262">
        <v>-0.23077769999999431</v>
      </c>
    </row>
    <row r="263" spans="2:4">
      <c r="B263" t="s">
        <v>641</v>
      </c>
      <c r="C263">
        <v>38.743524585095543</v>
      </c>
      <c r="D263">
        <v>-0.71507120000000135</v>
      </c>
    </row>
    <row r="264" spans="2:4">
      <c r="B264" t="s">
        <v>642</v>
      </c>
      <c r="C264">
        <v>35.832540582127542</v>
      </c>
      <c r="D264">
        <v>-5.6119765999999949</v>
      </c>
    </row>
    <row r="265" spans="2:4">
      <c r="B265" t="s">
        <v>643</v>
      </c>
      <c r="C265">
        <v>36.03461408233661</v>
      </c>
      <c r="D265">
        <v>-5.624015499999989</v>
      </c>
    </row>
    <row r="266" spans="2:4">
      <c r="B266" t="s">
        <v>644</v>
      </c>
      <c r="C266">
        <v>42.593287388690932</v>
      </c>
      <c r="D266">
        <v>-6.5850775999999946</v>
      </c>
    </row>
    <row r="267" spans="2:4">
      <c r="B267" t="s">
        <v>645</v>
      </c>
      <c r="C267">
        <v>42.625075388718336</v>
      </c>
      <c r="D267">
        <v>-6.5442737999999974</v>
      </c>
    </row>
    <row r="268" spans="2:4">
      <c r="B268" t="s">
        <v>646</v>
      </c>
      <c r="C268">
        <v>41.196364087446568</v>
      </c>
      <c r="D268">
        <v>-0.32299550000000699</v>
      </c>
    </row>
    <row r="269" spans="2:4">
      <c r="B269" t="s">
        <v>647</v>
      </c>
      <c r="C269">
        <v>43.237281889237472</v>
      </c>
      <c r="D269">
        <v>-1.9637841999999968</v>
      </c>
    </row>
    <row r="270" spans="2:4">
      <c r="B270" t="s">
        <v>648</v>
      </c>
      <c r="C270">
        <v>42.832327188895896</v>
      </c>
      <c r="D270">
        <v>-4.860075299999993</v>
      </c>
    </row>
    <row r="271" spans="2:4">
      <c r="B271" t="s">
        <v>649</v>
      </c>
      <c r="C271">
        <v>43.316918389303787</v>
      </c>
      <c r="D271">
        <v>-2.8464073999999995</v>
      </c>
    </row>
    <row r="272" spans="2:4">
      <c r="B272" t="s">
        <v>650</v>
      </c>
      <c r="C272">
        <v>39.374801985717909</v>
      </c>
      <c r="D272">
        <v>-0.4946604000000045</v>
      </c>
    </row>
    <row r="273" spans="2:4">
      <c r="B273" t="s">
        <v>651</v>
      </c>
      <c r="C273">
        <v>41.099985487357934</v>
      </c>
      <c r="D273">
        <v>-2.3457299999999863</v>
      </c>
    </row>
    <row r="274" spans="2:4">
      <c r="B274" t="s">
        <v>652</v>
      </c>
      <c r="C274">
        <v>42.506564988615963</v>
      </c>
      <c r="D274">
        <v>0.99179680000000481</v>
      </c>
    </row>
    <row r="275" spans="2:4">
      <c r="B275" t="s">
        <v>653</v>
      </c>
      <c r="C275">
        <v>37.110284783444783</v>
      </c>
      <c r="D275">
        <v>-4.4088031999999959</v>
      </c>
    </row>
    <row r="276" spans="2:4">
      <c r="B276" t="s">
        <v>654</v>
      </c>
      <c r="C276">
        <v>43.322276597164034</v>
      </c>
      <c r="D276">
        <v>-5.9014978371302016</v>
      </c>
    </row>
    <row r="277" spans="2:4">
      <c r="B277" t="s">
        <v>655</v>
      </c>
      <c r="C277">
        <v>43.234691289235258</v>
      </c>
      <c r="D277">
        <v>-2.2506380999999962</v>
      </c>
    </row>
    <row r="278" spans="2:4">
      <c r="B278" t="s">
        <v>656</v>
      </c>
      <c r="C278">
        <v>43.433795539559057</v>
      </c>
      <c r="D278">
        <v>-2.8750824007501228</v>
      </c>
    </row>
    <row r="279" spans="2:4">
      <c r="B279" t="s">
        <v>657</v>
      </c>
      <c r="C279">
        <v>41.955236588132223</v>
      </c>
      <c r="D279">
        <v>0.1772789000000046</v>
      </c>
    </row>
    <row r="280" spans="2:4">
      <c r="B280" t="s">
        <v>658</v>
      </c>
      <c r="C280">
        <v>42.188779588338647</v>
      </c>
      <c r="D280">
        <v>0.38320859999999879</v>
      </c>
    </row>
    <row r="281" spans="2:4">
      <c r="B281" t="s">
        <v>659</v>
      </c>
      <c r="C281">
        <v>43.092154989115855</v>
      </c>
      <c r="D281">
        <v>-5.2174759000000073</v>
      </c>
    </row>
    <row r="282" spans="2:4">
      <c r="B282" t="s">
        <v>660</v>
      </c>
      <c r="C282">
        <v>38.181458784533298</v>
      </c>
      <c r="D282">
        <v>-1.0017105999999911</v>
      </c>
    </row>
    <row r="283" spans="2:4">
      <c r="B283" t="s">
        <v>661</v>
      </c>
      <c r="C283">
        <v>42.176618188327978</v>
      </c>
      <c r="D283">
        <v>-5.2956479000000041</v>
      </c>
    </row>
    <row r="284" spans="2:4">
      <c r="B284" t="s">
        <v>662</v>
      </c>
      <c r="C284">
        <v>41.869683888056016</v>
      </c>
      <c r="D284">
        <v>-8.20872069999999</v>
      </c>
    </row>
    <row r="285" spans="2:4">
      <c r="B285" t="s">
        <v>663</v>
      </c>
      <c r="C285">
        <v>42.731208988809485</v>
      </c>
      <c r="D285">
        <v>2.8054077000000013</v>
      </c>
    </row>
    <row r="286" spans="2:4">
      <c r="B286" t="s">
        <v>664</v>
      </c>
      <c r="C286">
        <v>43.420881528234077</v>
      </c>
      <c r="D286">
        <v>-1.4314775633992936</v>
      </c>
    </row>
    <row r="287" spans="2:4">
      <c r="B287" t="s">
        <v>665</v>
      </c>
      <c r="C287">
        <v>28.76115045465567</v>
      </c>
      <c r="D287">
        <v>-17.907858787351863</v>
      </c>
    </row>
    <row r="288" spans="2:4">
      <c r="B288" t="s">
        <v>666</v>
      </c>
      <c r="C288">
        <v>28.311490272793403</v>
      </c>
      <c r="D288">
        <v>-16.383011511463046</v>
      </c>
    </row>
    <row r="289" spans="2:4">
      <c r="B289" t="s">
        <v>667</v>
      </c>
      <c r="C289">
        <v>42.700616092386014</v>
      </c>
      <c r="D289">
        <v>-8.7587751320189682</v>
      </c>
    </row>
    <row r="290" spans="2:4">
      <c r="B290" t="s">
        <v>668</v>
      </c>
      <c r="C290">
        <v>43.150276274248291</v>
      </c>
      <c r="D290">
        <v>-8.7587751320189682</v>
      </c>
    </row>
    <row r="291" spans="2:4">
      <c r="B291" t="s">
        <v>669</v>
      </c>
      <c r="C291">
        <v>42.250955910523743</v>
      </c>
      <c r="D291">
        <v>-8.2504927067226994</v>
      </c>
    </row>
    <row r="292" spans="2:4">
      <c r="B292" t="s">
        <v>670</v>
      </c>
      <c r="C292">
        <v>42.700616092386014</v>
      </c>
      <c r="D292">
        <v>-8.2504927067226994</v>
      </c>
    </row>
    <row r="293" spans="2:4">
      <c r="B293" t="s">
        <v>671</v>
      </c>
      <c r="C293">
        <v>43.150276274248291</v>
      </c>
      <c r="D293">
        <v>-8.2504927067226994</v>
      </c>
    </row>
    <row r="294" spans="2:4">
      <c r="B294" t="s">
        <v>672</v>
      </c>
      <c r="C294">
        <v>42.250955910523743</v>
      </c>
      <c r="D294">
        <v>-7.7422102814264262</v>
      </c>
    </row>
    <row r="295" spans="2:4">
      <c r="B295" t="s">
        <v>673</v>
      </c>
      <c r="C295">
        <v>42.700616092386014</v>
      </c>
      <c r="D295">
        <v>-7.7422102814264262</v>
      </c>
    </row>
    <row r="296" spans="2:4">
      <c r="B296" t="s">
        <v>674</v>
      </c>
      <c r="C296">
        <v>43.150276274248291</v>
      </c>
      <c r="D296">
        <v>-7.7422102814264262</v>
      </c>
    </row>
    <row r="297" spans="2:4">
      <c r="B297" t="s">
        <v>675</v>
      </c>
      <c r="C297">
        <v>43.599936456110562</v>
      </c>
      <c r="D297">
        <v>-7.7422102814264262</v>
      </c>
    </row>
    <row r="298" spans="2:4">
      <c r="B298" t="s">
        <v>676</v>
      </c>
      <c r="C298">
        <v>37.304693910038793</v>
      </c>
      <c r="D298">
        <v>-7.2339278561301539</v>
      </c>
    </row>
    <row r="299" spans="2:4">
      <c r="B299" t="s">
        <v>677</v>
      </c>
      <c r="C299">
        <v>37.75435409190105</v>
      </c>
      <c r="D299">
        <v>-7.2339278561301539</v>
      </c>
    </row>
    <row r="300" spans="2:4">
      <c r="B300" t="s">
        <v>678</v>
      </c>
      <c r="C300">
        <v>38.653674455625584</v>
      </c>
      <c r="D300">
        <v>-7.2339278561301539</v>
      </c>
    </row>
    <row r="301" spans="2:4">
      <c r="B301" t="s">
        <v>679</v>
      </c>
      <c r="C301">
        <v>39.552994819350133</v>
      </c>
      <c r="D301">
        <v>-7.2339278561301539</v>
      </c>
    </row>
    <row r="302" spans="2:4">
      <c r="B302" t="s">
        <v>680</v>
      </c>
      <c r="C302">
        <v>42.250955910523743</v>
      </c>
      <c r="D302">
        <v>-7.2339278561301539</v>
      </c>
    </row>
    <row r="303" spans="2:4">
      <c r="B303" t="s">
        <v>681</v>
      </c>
      <c r="C303">
        <v>42.700616092386014</v>
      </c>
      <c r="D303">
        <v>-7.2339278561301539</v>
      </c>
    </row>
    <row r="304" spans="2:4">
      <c r="B304" t="s">
        <v>682</v>
      </c>
      <c r="C304">
        <v>43.150276274248291</v>
      </c>
      <c r="D304">
        <v>-7.2339278561301539</v>
      </c>
    </row>
    <row r="305" spans="2:4">
      <c r="B305" t="s">
        <v>683</v>
      </c>
      <c r="C305">
        <v>37.304693910038793</v>
      </c>
      <c r="D305">
        <v>-6.7256454308338824</v>
      </c>
    </row>
    <row r="306" spans="2:4">
      <c r="B306" t="s">
        <v>684</v>
      </c>
      <c r="C306">
        <v>37.75435409190105</v>
      </c>
      <c r="D306">
        <v>-6.7256454308338824</v>
      </c>
    </row>
    <row r="307" spans="2:4">
      <c r="B307" t="s">
        <v>685</v>
      </c>
      <c r="C307">
        <v>38.20401427376332</v>
      </c>
      <c r="D307">
        <v>-6.7256454308338824</v>
      </c>
    </row>
    <row r="308" spans="2:4">
      <c r="B308" t="s">
        <v>686</v>
      </c>
      <c r="C308">
        <v>38.653674455625584</v>
      </c>
      <c r="D308">
        <v>-6.7256454308338824</v>
      </c>
    </row>
    <row r="309" spans="2:4">
      <c r="B309" t="s">
        <v>687</v>
      </c>
      <c r="C309">
        <v>39.103334637487862</v>
      </c>
      <c r="D309">
        <v>-6.7256454308338824</v>
      </c>
    </row>
    <row r="310" spans="2:4">
      <c r="B310" t="s">
        <v>688</v>
      </c>
      <c r="C310">
        <v>39.552994819350133</v>
      </c>
      <c r="D310">
        <v>-6.7256454308338824</v>
      </c>
    </row>
    <row r="311" spans="2:4">
      <c r="B311" t="s">
        <v>689</v>
      </c>
      <c r="C311">
        <v>40.002655001212403</v>
      </c>
      <c r="D311">
        <v>-6.7256454308338824</v>
      </c>
    </row>
    <row r="312" spans="2:4">
      <c r="B312" t="s">
        <v>690</v>
      </c>
      <c r="C312">
        <v>40.452315183074667</v>
      </c>
      <c r="D312">
        <v>-6.7256454308338824</v>
      </c>
    </row>
    <row r="313" spans="2:4">
      <c r="B313" t="s">
        <v>691</v>
      </c>
      <c r="C313">
        <v>40.901975364936952</v>
      </c>
      <c r="D313">
        <v>-6.7256454308338824</v>
      </c>
    </row>
    <row r="314" spans="2:4">
      <c r="B314" t="s">
        <v>692</v>
      </c>
      <c r="C314">
        <v>42.250955910523743</v>
      </c>
      <c r="D314">
        <v>-6.7256454308338824</v>
      </c>
    </row>
    <row r="315" spans="2:4">
      <c r="B315" t="s">
        <v>693</v>
      </c>
      <c r="C315">
        <v>42.700616092386014</v>
      </c>
      <c r="D315">
        <v>-6.7256454308338824</v>
      </c>
    </row>
    <row r="316" spans="2:4">
      <c r="B316" t="s">
        <v>694</v>
      </c>
      <c r="C316">
        <v>43.150276274248291</v>
      </c>
      <c r="D316">
        <v>-6.7256454308338824</v>
      </c>
    </row>
    <row r="317" spans="2:4">
      <c r="B317" t="s">
        <v>695</v>
      </c>
      <c r="C317">
        <v>36.405373546314252</v>
      </c>
      <c r="D317">
        <v>-6.2173630055376101</v>
      </c>
    </row>
    <row r="318" spans="2:4">
      <c r="B318" t="s">
        <v>696</v>
      </c>
      <c r="C318">
        <v>36.855033728176522</v>
      </c>
      <c r="D318">
        <v>-6.2173630055376101</v>
      </c>
    </row>
    <row r="319" spans="2:4">
      <c r="B319" t="s">
        <v>697</v>
      </c>
      <c r="C319">
        <v>37.304693910038793</v>
      </c>
      <c r="D319">
        <v>-6.2173630055376101</v>
      </c>
    </row>
    <row r="320" spans="2:4">
      <c r="B320" t="s">
        <v>698</v>
      </c>
      <c r="C320">
        <v>37.75435409190105</v>
      </c>
      <c r="D320">
        <v>-6.2173630055376101</v>
      </c>
    </row>
    <row r="321" spans="2:4">
      <c r="B321" t="s">
        <v>699</v>
      </c>
      <c r="C321">
        <v>38.20401427376332</v>
      </c>
      <c r="D321">
        <v>-6.2173630055376101</v>
      </c>
    </row>
    <row r="322" spans="2:4">
      <c r="B322" t="s">
        <v>700</v>
      </c>
      <c r="C322">
        <v>38.653674455625584</v>
      </c>
      <c r="D322">
        <v>-6.2173630055376101</v>
      </c>
    </row>
    <row r="323" spans="2:4">
      <c r="B323" t="s">
        <v>701</v>
      </c>
      <c r="C323">
        <v>39.103334637487862</v>
      </c>
      <c r="D323">
        <v>-6.2173630055376101</v>
      </c>
    </row>
    <row r="324" spans="2:4">
      <c r="B324" t="s">
        <v>702</v>
      </c>
      <c r="C324">
        <v>39.552994819350133</v>
      </c>
      <c r="D324">
        <v>-6.2173630055376101</v>
      </c>
    </row>
    <row r="325" spans="2:4">
      <c r="B325" t="s">
        <v>703</v>
      </c>
      <c r="C325">
        <v>40.002655001212403</v>
      </c>
      <c r="D325">
        <v>-6.2173630055376101</v>
      </c>
    </row>
    <row r="326" spans="2:4">
      <c r="B326" t="s">
        <v>704</v>
      </c>
      <c r="C326">
        <v>40.452315183074667</v>
      </c>
      <c r="D326">
        <v>-6.2173630055376101</v>
      </c>
    </row>
    <row r="327" spans="2:4">
      <c r="B327" t="s">
        <v>705</v>
      </c>
      <c r="C327">
        <v>40.901975364936952</v>
      </c>
      <c r="D327">
        <v>-6.2173630055376101</v>
      </c>
    </row>
    <row r="328" spans="2:4">
      <c r="B328" t="s">
        <v>706</v>
      </c>
      <c r="C328">
        <v>41.351635546799208</v>
      </c>
      <c r="D328">
        <v>-6.2173630055376101</v>
      </c>
    </row>
    <row r="329" spans="2:4">
      <c r="B329" t="s">
        <v>707</v>
      </c>
      <c r="C329">
        <v>41.801295728661472</v>
      </c>
      <c r="D329">
        <v>-6.2173630055376101</v>
      </c>
    </row>
    <row r="330" spans="2:4">
      <c r="B330" t="s">
        <v>708</v>
      </c>
      <c r="C330">
        <v>42.250955910523743</v>
      </c>
      <c r="D330">
        <v>-6.2173630055376101</v>
      </c>
    </row>
    <row r="331" spans="2:4">
      <c r="B331" t="s">
        <v>709</v>
      </c>
      <c r="C331">
        <v>42.700616092386014</v>
      </c>
      <c r="D331">
        <v>-6.2173630055376101</v>
      </c>
    </row>
    <row r="332" spans="2:4">
      <c r="B332" t="s">
        <v>710</v>
      </c>
      <c r="C332">
        <v>43.150276274248291</v>
      </c>
      <c r="D332">
        <v>-6.2173630055376101</v>
      </c>
    </row>
    <row r="333" spans="2:4">
      <c r="B333" t="s">
        <v>711</v>
      </c>
      <c r="C333">
        <v>36.405373546314252</v>
      </c>
      <c r="D333">
        <v>-5.7090805802413378</v>
      </c>
    </row>
    <row r="334" spans="2:4">
      <c r="B334" t="s">
        <v>712</v>
      </c>
      <c r="C334">
        <v>36.855033728176522</v>
      </c>
      <c r="D334">
        <v>-5.7090805802413378</v>
      </c>
    </row>
    <row r="335" spans="2:4">
      <c r="B335" t="s">
        <v>713</v>
      </c>
      <c r="C335">
        <v>37.304693910038793</v>
      </c>
      <c r="D335">
        <v>-5.7090805802413378</v>
      </c>
    </row>
    <row r="336" spans="2:4">
      <c r="B336" t="s">
        <v>714</v>
      </c>
      <c r="C336">
        <v>37.75435409190105</v>
      </c>
      <c r="D336">
        <v>-5.7090805802413378</v>
      </c>
    </row>
    <row r="337" spans="2:4">
      <c r="B337" t="s">
        <v>715</v>
      </c>
      <c r="C337">
        <v>38.20401427376332</v>
      </c>
      <c r="D337">
        <v>-5.7090805802413378</v>
      </c>
    </row>
    <row r="338" spans="2:4">
      <c r="B338" t="s">
        <v>716</v>
      </c>
      <c r="C338">
        <v>38.653674455625584</v>
      </c>
      <c r="D338">
        <v>-5.7090805802413378</v>
      </c>
    </row>
    <row r="339" spans="2:4">
      <c r="B339" t="s">
        <v>717</v>
      </c>
      <c r="C339">
        <v>39.103334637487862</v>
      </c>
      <c r="D339">
        <v>-5.7090805802413378</v>
      </c>
    </row>
    <row r="340" spans="2:4">
      <c r="B340" t="s">
        <v>718</v>
      </c>
      <c r="C340">
        <v>39.552994819350133</v>
      </c>
      <c r="D340">
        <v>-5.7090805802413378</v>
      </c>
    </row>
    <row r="341" spans="2:4">
      <c r="B341" t="s">
        <v>719</v>
      </c>
      <c r="C341">
        <v>40.002655001212403</v>
      </c>
      <c r="D341">
        <v>-5.7090805802413378</v>
      </c>
    </row>
    <row r="342" spans="2:4">
      <c r="B342" t="s">
        <v>720</v>
      </c>
      <c r="C342">
        <v>40.452315183074667</v>
      </c>
      <c r="D342">
        <v>-5.7090805802413378</v>
      </c>
    </row>
    <row r="343" spans="2:4">
      <c r="B343" t="s">
        <v>721</v>
      </c>
      <c r="C343">
        <v>40.901975364936952</v>
      </c>
      <c r="D343">
        <v>-5.7090805802413378</v>
      </c>
    </row>
    <row r="344" spans="2:4">
      <c r="B344" t="s">
        <v>722</v>
      </c>
      <c r="C344">
        <v>41.351635546799208</v>
      </c>
      <c r="D344">
        <v>-5.7090805802413378</v>
      </c>
    </row>
    <row r="345" spans="2:4">
      <c r="B345" t="s">
        <v>723</v>
      </c>
      <c r="C345">
        <v>41.801295728661472</v>
      </c>
      <c r="D345">
        <v>-5.7090805802413378</v>
      </c>
    </row>
    <row r="346" spans="2:4">
      <c r="B346" t="s">
        <v>724</v>
      </c>
      <c r="C346">
        <v>42.250955910523743</v>
      </c>
      <c r="D346">
        <v>-5.7090805802413378</v>
      </c>
    </row>
    <row r="347" spans="2:4">
      <c r="B347" t="s">
        <v>725</v>
      </c>
      <c r="C347">
        <v>42.700616092386014</v>
      </c>
      <c r="D347">
        <v>-5.7090805802413378</v>
      </c>
    </row>
    <row r="348" spans="2:4">
      <c r="B348" t="s">
        <v>726</v>
      </c>
      <c r="C348">
        <v>43.150276274248291</v>
      </c>
      <c r="D348">
        <v>-5.7090805802413378</v>
      </c>
    </row>
    <row r="349" spans="2:4">
      <c r="B349" t="s">
        <v>727</v>
      </c>
      <c r="C349">
        <v>36.405373546314252</v>
      </c>
      <c r="D349">
        <v>-5.2007981549450655</v>
      </c>
    </row>
    <row r="350" spans="2:4">
      <c r="B350" t="s">
        <v>728</v>
      </c>
      <c r="C350">
        <v>36.855033728176522</v>
      </c>
      <c r="D350">
        <v>-5.2007981549450655</v>
      </c>
    </row>
    <row r="351" spans="2:4">
      <c r="B351" t="s">
        <v>729</v>
      </c>
      <c r="C351">
        <v>37.304693910038793</v>
      </c>
      <c r="D351">
        <v>-5.2007981549450655</v>
      </c>
    </row>
    <row r="352" spans="2:4">
      <c r="B352" t="s">
        <v>730</v>
      </c>
      <c r="C352">
        <v>37.75435409190105</v>
      </c>
      <c r="D352">
        <v>-5.2007981549450655</v>
      </c>
    </row>
    <row r="353" spans="2:4">
      <c r="B353" t="s">
        <v>731</v>
      </c>
      <c r="C353">
        <v>38.20401427376332</v>
      </c>
      <c r="D353">
        <v>-5.2007981549450655</v>
      </c>
    </row>
    <row r="354" spans="2:4">
      <c r="B354" t="s">
        <v>732</v>
      </c>
      <c r="C354">
        <v>38.653674455625584</v>
      </c>
      <c r="D354">
        <v>-5.2007981549450655</v>
      </c>
    </row>
    <row r="355" spans="2:4">
      <c r="B355" t="s">
        <v>733</v>
      </c>
      <c r="C355">
        <v>39.103334637487862</v>
      </c>
      <c r="D355">
        <v>-5.2007981549450655</v>
      </c>
    </row>
    <row r="356" spans="2:4">
      <c r="B356" t="s">
        <v>734</v>
      </c>
      <c r="C356">
        <v>39.552994819350133</v>
      </c>
      <c r="D356">
        <v>-5.2007981549450655</v>
      </c>
    </row>
    <row r="357" spans="2:4">
      <c r="B357" t="s">
        <v>735</v>
      </c>
      <c r="C357">
        <v>40.002655001212403</v>
      </c>
      <c r="D357">
        <v>-5.2007981549450655</v>
      </c>
    </row>
    <row r="358" spans="2:4">
      <c r="B358" t="s">
        <v>736</v>
      </c>
      <c r="C358">
        <v>40.452315183074667</v>
      </c>
      <c r="D358">
        <v>-5.2007981549450655</v>
      </c>
    </row>
    <row r="359" spans="2:4">
      <c r="B359" t="s">
        <v>737</v>
      </c>
      <c r="C359">
        <v>40.901975364936952</v>
      </c>
      <c r="D359">
        <v>-5.2007981549450655</v>
      </c>
    </row>
    <row r="360" spans="2:4">
      <c r="B360" t="s">
        <v>738</v>
      </c>
      <c r="C360">
        <v>41.351635546799208</v>
      </c>
      <c r="D360">
        <v>-5.2007981549450655</v>
      </c>
    </row>
    <row r="361" spans="2:4">
      <c r="B361" t="s">
        <v>739</v>
      </c>
      <c r="C361">
        <v>41.801295728661472</v>
      </c>
      <c r="D361">
        <v>-5.2007981549450655</v>
      </c>
    </row>
    <row r="362" spans="2:4">
      <c r="B362" t="s">
        <v>740</v>
      </c>
      <c r="C362">
        <v>42.250955910523743</v>
      </c>
      <c r="D362">
        <v>-5.2007981549450655</v>
      </c>
    </row>
    <row r="363" spans="2:4">
      <c r="B363" t="s">
        <v>741</v>
      </c>
      <c r="C363">
        <v>42.700616092386014</v>
      </c>
      <c r="D363">
        <v>-5.2007981549450655</v>
      </c>
    </row>
    <row r="364" spans="2:4">
      <c r="B364" t="s">
        <v>742</v>
      </c>
      <c r="C364">
        <v>43.150276274248291</v>
      </c>
      <c r="D364">
        <v>-5.2007981549450655</v>
      </c>
    </row>
    <row r="365" spans="2:4">
      <c r="B365" t="s">
        <v>743</v>
      </c>
      <c r="C365">
        <v>36.855033728176522</v>
      </c>
      <c r="D365">
        <v>-4.6925157296487932</v>
      </c>
    </row>
    <row r="366" spans="2:4">
      <c r="B366" t="s">
        <v>744</v>
      </c>
      <c r="C366">
        <v>37.304693910038793</v>
      </c>
      <c r="D366">
        <v>-4.6925157296487932</v>
      </c>
    </row>
    <row r="367" spans="2:4">
      <c r="B367" t="s">
        <v>745</v>
      </c>
      <c r="C367">
        <v>37.75435409190105</v>
      </c>
      <c r="D367">
        <v>-4.6925157296487932</v>
      </c>
    </row>
    <row r="368" spans="2:4">
      <c r="B368" t="s">
        <v>746</v>
      </c>
      <c r="C368">
        <v>38.20401427376332</v>
      </c>
      <c r="D368">
        <v>-4.6925157296487932</v>
      </c>
    </row>
    <row r="369" spans="2:4">
      <c r="B369" t="s">
        <v>747</v>
      </c>
      <c r="C369">
        <v>38.653674455625584</v>
      </c>
      <c r="D369">
        <v>-4.6925157296487932</v>
      </c>
    </row>
    <row r="370" spans="2:4">
      <c r="B370" t="s">
        <v>748</v>
      </c>
      <c r="C370">
        <v>39.103334637487862</v>
      </c>
      <c r="D370">
        <v>-4.6925157296487932</v>
      </c>
    </row>
    <row r="371" spans="2:4">
      <c r="B371" t="s">
        <v>749</v>
      </c>
      <c r="C371">
        <v>39.552994819350133</v>
      </c>
      <c r="D371">
        <v>-4.6925157296487932</v>
      </c>
    </row>
    <row r="372" spans="2:4">
      <c r="B372" t="s">
        <v>750</v>
      </c>
      <c r="C372">
        <v>40.002655001212403</v>
      </c>
      <c r="D372">
        <v>-4.6925157296487932</v>
      </c>
    </row>
    <row r="373" spans="2:4">
      <c r="B373" t="s">
        <v>751</v>
      </c>
      <c r="C373">
        <v>40.452315183074667</v>
      </c>
      <c r="D373">
        <v>-4.6925157296487932</v>
      </c>
    </row>
    <row r="374" spans="2:4">
      <c r="B374" t="s">
        <v>752</v>
      </c>
      <c r="C374">
        <v>40.901975364936952</v>
      </c>
      <c r="D374">
        <v>-4.6925157296487932</v>
      </c>
    </row>
    <row r="375" spans="2:4">
      <c r="B375" t="s">
        <v>753</v>
      </c>
      <c r="C375">
        <v>41.351635546799208</v>
      </c>
      <c r="D375">
        <v>-4.6925157296487932</v>
      </c>
    </row>
    <row r="376" spans="2:4">
      <c r="B376" t="s">
        <v>754</v>
      </c>
      <c r="C376">
        <v>41.801295728661472</v>
      </c>
      <c r="D376">
        <v>-4.6925157296487932</v>
      </c>
    </row>
    <row r="377" spans="2:4">
      <c r="B377" t="s">
        <v>755</v>
      </c>
      <c r="C377">
        <v>42.250955910523743</v>
      </c>
      <c r="D377">
        <v>-4.6925157296487932</v>
      </c>
    </row>
    <row r="378" spans="2:4">
      <c r="B378" t="s">
        <v>756</v>
      </c>
      <c r="C378">
        <v>42.700616092386014</v>
      </c>
      <c r="D378">
        <v>-4.6925157296487932</v>
      </c>
    </row>
    <row r="379" spans="2:4">
      <c r="B379" t="s">
        <v>757</v>
      </c>
      <c r="C379">
        <v>43.150276274248291</v>
      </c>
      <c r="D379">
        <v>-4.6925157296487932</v>
      </c>
    </row>
    <row r="380" spans="2:4">
      <c r="B380" t="s">
        <v>758</v>
      </c>
      <c r="C380">
        <v>36.855033728176522</v>
      </c>
      <c r="D380">
        <v>-4.1842333043525226</v>
      </c>
    </row>
    <row r="381" spans="2:4">
      <c r="B381" t="s">
        <v>759</v>
      </c>
      <c r="C381">
        <v>37.304693910038793</v>
      </c>
      <c r="D381">
        <v>-4.1842333043525226</v>
      </c>
    </row>
    <row r="382" spans="2:4">
      <c r="B382" t="s">
        <v>760</v>
      </c>
      <c r="C382">
        <v>37.75435409190105</v>
      </c>
      <c r="D382">
        <v>-4.1842333043525226</v>
      </c>
    </row>
    <row r="383" spans="2:4">
      <c r="B383" t="s">
        <v>761</v>
      </c>
      <c r="C383">
        <v>38.20401427376332</v>
      </c>
      <c r="D383">
        <v>-4.1842333043525226</v>
      </c>
    </row>
    <row r="384" spans="2:4">
      <c r="B384" t="s">
        <v>762</v>
      </c>
      <c r="C384">
        <v>38.653674455625591</v>
      </c>
      <c r="D384">
        <v>-4.1842333043525226</v>
      </c>
    </row>
    <row r="385" spans="2:4">
      <c r="B385" t="s">
        <v>763</v>
      </c>
      <c r="C385">
        <v>39.103334637487862</v>
      </c>
      <c r="D385">
        <v>-4.1842333043525226</v>
      </c>
    </row>
    <row r="386" spans="2:4">
      <c r="B386" t="s">
        <v>764</v>
      </c>
      <c r="C386">
        <v>39.552994819350133</v>
      </c>
      <c r="D386">
        <v>-4.1842333043525226</v>
      </c>
    </row>
    <row r="387" spans="2:4">
      <c r="B387" t="s">
        <v>765</v>
      </c>
      <c r="C387">
        <v>40.002655001212403</v>
      </c>
      <c r="D387">
        <v>-4.1842333043525226</v>
      </c>
    </row>
    <row r="388" spans="2:4">
      <c r="B388" t="s">
        <v>766</v>
      </c>
      <c r="C388">
        <v>40.452315183074674</v>
      </c>
      <c r="D388">
        <v>-4.1842333043525226</v>
      </c>
    </row>
    <row r="389" spans="2:4">
      <c r="B389" t="s">
        <v>767</v>
      </c>
      <c r="C389">
        <v>40.901975364936938</v>
      </c>
      <c r="D389">
        <v>-4.1842333043525226</v>
      </c>
    </row>
    <row r="390" spans="2:4">
      <c r="B390" t="s">
        <v>768</v>
      </c>
      <c r="C390">
        <v>41.351635546799216</v>
      </c>
      <c r="D390">
        <v>-4.1842333043525226</v>
      </c>
    </row>
    <row r="391" spans="2:4">
      <c r="B391" t="s">
        <v>769</v>
      </c>
      <c r="C391">
        <v>41.801295728661479</v>
      </c>
      <c r="D391">
        <v>-4.1842333043525226</v>
      </c>
    </row>
    <row r="392" spans="2:4">
      <c r="B392" t="s">
        <v>770</v>
      </c>
      <c r="C392">
        <v>42.250955910523743</v>
      </c>
      <c r="D392">
        <v>-4.1842333043525226</v>
      </c>
    </row>
    <row r="393" spans="2:4">
      <c r="B393" t="s">
        <v>771</v>
      </c>
      <c r="C393">
        <v>42.700616092386014</v>
      </c>
      <c r="D393">
        <v>-4.1842333043525226</v>
      </c>
    </row>
    <row r="394" spans="2:4">
      <c r="B394" t="s">
        <v>772</v>
      </c>
      <c r="C394">
        <v>43.150276274248291</v>
      </c>
      <c r="D394">
        <v>-4.1842333043525226</v>
      </c>
    </row>
    <row r="395" spans="2:4">
      <c r="B395" t="s">
        <v>773</v>
      </c>
      <c r="C395">
        <v>36.855033728176522</v>
      </c>
      <c r="D395">
        <v>-3.6759508790562494</v>
      </c>
    </row>
    <row r="396" spans="2:4">
      <c r="B396" t="s">
        <v>774</v>
      </c>
      <c r="C396">
        <v>37.304693910038793</v>
      </c>
      <c r="D396">
        <v>-3.6759508790562494</v>
      </c>
    </row>
    <row r="397" spans="2:4">
      <c r="B397" t="s">
        <v>775</v>
      </c>
      <c r="C397">
        <v>37.75435409190105</v>
      </c>
      <c r="D397">
        <v>-3.6759508790562494</v>
      </c>
    </row>
    <row r="398" spans="2:4">
      <c r="B398" t="s">
        <v>776</v>
      </c>
      <c r="C398">
        <v>38.20401427376332</v>
      </c>
      <c r="D398">
        <v>-3.6759508790562494</v>
      </c>
    </row>
    <row r="399" spans="2:4">
      <c r="B399" t="s">
        <v>777</v>
      </c>
      <c r="C399">
        <v>38.653674455625591</v>
      </c>
      <c r="D399">
        <v>-3.6759508790562494</v>
      </c>
    </row>
    <row r="400" spans="2:4">
      <c r="B400" t="s">
        <v>778</v>
      </c>
      <c r="C400">
        <v>39.103334637487862</v>
      </c>
      <c r="D400">
        <v>-3.6759508790562494</v>
      </c>
    </row>
    <row r="401" spans="2:4">
      <c r="B401" t="s">
        <v>779</v>
      </c>
      <c r="C401">
        <v>39.552994819350133</v>
      </c>
      <c r="D401">
        <v>-3.6759508790562494</v>
      </c>
    </row>
    <row r="402" spans="2:4">
      <c r="B402" t="s">
        <v>780</v>
      </c>
      <c r="C402">
        <v>40.002655001212403</v>
      </c>
      <c r="D402">
        <v>-3.6759508790562494</v>
      </c>
    </row>
    <row r="403" spans="2:4">
      <c r="B403" t="s">
        <v>781</v>
      </c>
      <c r="C403">
        <v>40.452315183074674</v>
      </c>
      <c r="D403">
        <v>-3.6759508790562494</v>
      </c>
    </row>
    <row r="404" spans="2:4">
      <c r="B404" t="s">
        <v>782</v>
      </c>
      <c r="C404">
        <v>40.901975364936938</v>
      </c>
      <c r="D404">
        <v>-3.6759508790562494</v>
      </c>
    </row>
    <row r="405" spans="2:4">
      <c r="B405" t="s">
        <v>783</v>
      </c>
      <c r="C405">
        <v>41.351635546799216</v>
      </c>
      <c r="D405">
        <v>-3.6759508790562494</v>
      </c>
    </row>
    <row r="406" spans="2:4">
      <c r="B406" t="s">
        <v>784</v>
      </c>
      <c r="C406">
        <v>41.801295728661479</v>
      </c>
      <c r="D406">
        <v>-3.6759508790562494</v>
      </c>
    </row>
    <row r="407" spans="2:4">
      <c r="B407" t="s">
        <v>785</v>
      </c>
      <c r="C407">
        <v>42.250955910523743</v>
      </c>
      <c r="D407">
        <v>-3.6759508790562494</v>
      </c>
    </row>
    <row r="408" spans="2:4">
      <c r="B408" t="s">
        <v>786</v>
      </c>
      <c r="C408">
        <v>42.700616092386014</v>
      </c>
      <c r="D408">
        <v>-3.6759508790562494</v>
      </c>
    </row>
    <row r="409" spans="2:4">
      <c r="B409" t="s">
        <v>787</v>
      </c>
      <c r="C409">
        <v>43.150276274248291</v>
      </c>
      <c r="D409">
        <v>-3.6759508790562494</v>
      </c>
    </row>
    <row r="410" spans="2:4">
      <c r="B410" t="s">
        <v>788</v>
      </c>
      <c r="C410">
        <v>36.855033728176522</v>
      </c>
      <c r="D410">
        <v>-3.167668453759978</v>
      </c>
    </row>
    <row r="411" spans="2:4">
      <c r="B411" t="s">
        <v>789</v>
      </c>
      <c r="C411">
        <v>37.304693910038793</v>
      </c>
      <c r="D411">
        <v>-3.167668453759978</v>
      </c>
    </row>
    <row r="412" spans="2:4">
      <c r="B412" t="s">
        <v>790</v>
      </c>
      <c r="C412">
        <v>37.75435409190105</v>
      </c>
      <c r="D412">
        <v>-3.167668453759978</v>
      </c>
    </row>
    <row r="413" spans="2:4">
      <c r="B413" t="s">
        <v>791</v>
      </c>
      <c r="C413">
        <v>38.20401427376332</v>
      </c>
      <c r="D413">
        <v>-3.167668453759978</v>
      </c>
    </row>
    <row r="414" spans="2:4">
      <c r="B414" t="s">
        <v>792</v>
      </c>
      <c r="C414">
        <v>38.653674455625591</v>
      </c>
      <c r="D414">
        <v>-3.167668453759978</v>
      </c>
    </row>
    <row r="415" spans="2:4">
      <c r="B415" t="s">
        <v>793</v>
      </c>
      <c r="C415">
        <v>39.103334637487862</v>
      </c>
      <c r="D415">
        <v>-3.167668453759978</v>
      </c>
    </row>
    <row r="416" spans="2:4">
      <c r="B416" t="s">
        <v>794</v>
      </c>
      <c r="C416">
        <v>39.552994819350133</v>
      </c>
      <c r="D416">
        <v>-3.167668453759978</v>
      </c>
    </row>
    <row r="417" spans="2:4">
      <c r="B417" t="s">
        <v>795</v>
      </c>
      <c r="C417">
        <v>40.002655001212403</v>
      </c>
      <c r="D417">
        <v>-3.167668453759978</v>
      </c>
    </row>
    <row r="418" spans="2:4">
      <c r="B418" t="s">
        <v>796</v>
      </c>
      <c r="C418">
        <v>40.452315183074674</v>
      </c>
      <c r="D418">
        <v>-3.167668453759978</v>
      </c>
    </row>
    <row r="419" spans="2:4">
      <c r="B419" t="s">
        <v>797</v>
      </c>
      <c r="C419">
        <v>40.901975364936938</v>
      </c>
      <c r="D419">
        <v>-3.167668453759978</v>
      </c>
    </row>
    <row r="420" spans="2:4">
      <c r="B420" t="s">
        <v>798</v>
      </c>
      <c r="C420">
        <v>41.351635546799216</v>
      </c>
      <c r="D420">
        <v>-3.167668453759978</v>
      </c>
    </row>
    <row r="421" spans="2:4">
      <c r="B421" t="s">
        <v>799</v>
      </c>
      <c r="C421">
        <v>41.801295728661479</v>
      </c>
      <c r="D421">
        <v>-3.167668453759978</v>
      </c>
    </row>
    <row r="422" spans="2:4">
      <c r="B422" t="s">
        <v>800</v>
      </c>
      <c r="C422">
        <v>42.250955910523743</v>
      </c>
      <c r="D422">
        <v>-3.167668453759978</v>
      </c>
    </row>
    <row r="423" spans="2:4">
      <c r="B423" t="s">
        <v>801</v>
      </c>
      <c r="C423">
        <v>42.700616092386014</v>
      </c>
      <c r="D423">
        <v>-3.167668453759978</v>
      </c>
    </row>
    <row r="424" spans="2:4">
      <c r="B424" t="s">
        <v>802</v>
      </c>
      <c r="C424">
        <v>43.150276274248291</v>
      </c>
      <c r="D424">
        <v>-3.167668453759978</v>
      </c>
    </row>
    <row r="425" spans="2:4">
      <c r="B425" t="s">
        <v>803</v>
      </c>
      <c r="C425">
        <v>36.855033728176522</v>
      </c>
      <c r="D425">
        <v>-2.6593860284637079</v>
      </c>
    </row>
    <row r="426" spans="2:4">
      <c r="B426" t="s">
        <v>804</v>
      </c>
      <c r="C426">
        <v>37.304693910038793</v>
      </c>
      <c r="D426">
        <v>-2.6593860284637079</v>
      </c>
    </row>
    <row r="427" spans="2:4">
      <c r="B427" t="s">
        <v>805</v>
      </c>
      <c r="C427">
        <v>37.75435409190105</v>
      </c>
      <c r="D427">
        <v>-2.6593860284637079</v>
      </c>
    </row>
    <row r="428" spans="2:4">
      <c r="B428" t="s">
        <v>806</v>
      </c>
      <c r="C428">
        <v>38.20401427376332</v>
      </c>
      <c r="D428">
        <v>-2.6593860284637079</v>
      </c>
    </row>
    <row r="429" spans="2:4">
      <c r="B429" t="s">
        <v>807</v>
      </c>
      <c r="C429">
        <v>38.653674455625591</v>
      </c>
      <c r="D429">
        <v>-2.6593860284637079</v>
      </c>
    </row>
    <row r="430" spans="2:4">
      <c r="B430" t="s">
        <v>808</v>
      </c>
      <c r="C430">
        <v>39.103334637487862</v>
      </c>
      <c r="D430">
        <v>-2.6593860284637079</v>
      </c>
    </row>
    <row r="431" spans="2:4">
      <c r="B431" t="s">
        <v>809</v>
      </c>
      <c r="C431">
        <v>39.552994819350133</v>
      </c>
      <c r="D431">
        <v>-2.6593860284637079</v>
      </c>
    </row>
    <row r="432" spans="2:4">
      <c r="B432" t="s">
        <v>810</v>
      </c>
      <c r="C432">
        <v>40.002655001212403</v>
      </c>
      <c r="D432">
        <v>-2.6593860284637079</v>
      </c>
    </row>
    <row r="433" spans="2:4">
      <c r="B433" t="s">
        <v>811</v>
      </c>
      <c r="C433">
        <v>40.452315183074674</v>
      </c>
      <c r="D433">
        <v>-2.6593860284637079</v>
      </c>
    </row>
    <row r="434" spans="2:4">
      <c r="B434" t="s">
        <v>812</v>
      </c>
      <c r="C434">
        <v>40.901975364936938</v>
      </c>
      <c r="D434">
        <v>-2.6593860284637079</v>
      </c>
    </row>
    <row r="435" spans="2:4">
      <c r="B435" t="s">
        <v>813</v>
      </c>
      <c r="C435">
        <v>41.351635546799216</v>
      </c>
      <c r="D435">
        <v>-2.6593860284637079</v>
      </c>
    </row>
    <row r="436" spans="2:4">
      <c r="B436" t="s">
        <v>814</v>
      </c>
      <c r="C436">
        <v>41.801295728661479</v>
      </c>
      <c r="D436">
        <v>-2.6593860284637079</v>
      </c>
    </row>
    <row r="437" spans="2:4">
      <c r="B437" t="s">
        <v>815</v>
      </c>
      <c r="C437">
        <v>42.250955910523743</v>
      </c>
      <c r="D437">
        <v>-2.6593860284637079</v>
      </c>
    </row>
    <row r="438" spans="2:4">
      <c r="B438" t="s">
        <v>816</v>
      </c>
      <c r="C438">
        <v>42.700616092386014</v>
      </c>
      <c r="D438">
        <v>-2.6593860284637079</v>
      </c>
    </row>
    <row r="439" spans="2:4">
      <c r="B439" t="s">
        <v>817</v>
      </c>
      <c r="C439">
        <v>43.150276274248291</v>
      </c>
      <c r="D439">
        <v>-2.6593860284637079</v>
      </c>
    </row>
    <row r="440" spans="2:4">
      <c r="B440" t="s">
        <v>818</v>
      </c>
      <c r="C440">
        <v>36.855033728176522</v>
      </c>
      <c r="D440">
        <v>-2.1511036031674355</v>
      </c>
    </row>
    <row r="441" spans="2:4">
      <c r="B441" t="s">
        <v>819</v>
      </c>
      <c r="C441">
        <v>37.304693910038793</v>
      </c>
      <c r="D441">
        <v>-2.1511036031674355</v>
      </c>
    </row>
    <row r="442" spans="2:4">
      <c r="B442" t="s">
        <v>820</v>
      </c>
      <c r="C442">
        <v>37.75435409190105</v>
      </c>
      <c r="D442">
        <v>-2.1511036031674355</v>
      </c>
    </row>
    <row r="443" spans="2:4">
      <c r="B443" t="s">
        <v>821</v>
      </c>
      <c r="C443">
        <v>38.20401427376332</v>
      </c>
      <c r="D443">
        <v>-2.1511036031674355</v>
      </c>
    </row>
    <row r="444" spans="2:4">
      <c r="B444" t="s">
        <v>822</v>
      </c>
      <c r="C444">
        <v>38.653674455625591</v>
      </c>
      <c r="D444">
        <v>-2.1511036031674355</v>
      </c>
    </row>
    <row r="445" spans="2:4">
      <c r="B445" t="s">
        <v>823</v>
      </c>
      <c r="C445">
        <v>39.103334637487862</v>
      </c>
      <c r="D445">
        <v>-2.1511036031674355</v>
      </c>
    </row>
    <row r="446" spans="2:4">
      <c r="B446" t="s">
        <v>824</v>
      </c>
      <c r="C446">
        <v>39.552994819350133</v>
      </c>
      <c r="D446">
        <v>-2.1511036031674355</v>
      </c>
    </row>
    <row r="447" spans="2:4">
      <c r="B447" t="s">
        <v>825</v>
      </c>
      <c r="C447">
        <v>40.002655001212403</v>
      </c>
      <c r="D447">
        <v>-2.1511036031674355</v>
      </c>
    </row>
    <row r="448" spans="2:4">
      <c r="B448" t="s">
        <v>826</v>
      </c>
      <c r="C448">
        <v>40.452315183074674</v>
      </c>
      <c r="D448">
        <v>-2.1511036031674355</v>
      </c>
    </row>
    <row r="449" spans="2:4">
      <c r="B449" t="s">
        <v>827</v>
      </c>
      <c r="C449">
        <v>40.901975364936938</v>
      </c>
      <c r="D449">
        <v>-2.1511036031674355</v>
      </c>
    </row>
    <row r="450" spans="2:4">
      <c r="B450" t="s">
        <v>828</v>
      </c>
      <c r="C450">
        <v>41.351635546799216</v>
      </c>
      <c r="D450">
        <v>-2.1511036031674355</v>
      </c>
    </row>
    <row r="451" spans="2:4">
      <c r="B451" t="s">
        <v>829</v>
      </c>
      <c r="C451">
        <v>41.801295728661479</v>
      </c>
      <c r="D451">
        <v>-2.1511036031674355</v>
      </c>
    </row>
    <row r="452" spans="2:4">
      <c r="B452" t="s">
        <v>830</v>
      </c>
      <c r="C452">
        <v>42.250955910523743</v>
      </c>
      <c r="D452">
        <v>-2.1511036031674355</v>
      </c>
    </row>
    <row r="453" spans="2:4">
      <c r="B453" t="s">
        <v>831</v>
      </c>
      <c r="C453">
        <v>42.700616092386014</v>
      </c>
      <c r="D453">
        <v>-2.1511036031674355</v>
      </c>
    </row>
    <row r="454" spans="2:4">
      <c r="B454" t="s">
        <v>832</v>
      </c>
      <c r="C454">
        <v>43.150276274248291</v>
      </c>
      <c r="D454">
        <v>-2.1511036031674355</v>
      </c>
    </row>
    <row r="455" spans="2:4">
      <c r="B455" t="s">
        <v>833</v>
      </c>
      <c r="C455">
        <v>37.75435409190105</v>
      </c>
      <c r="D455">
        <v>-1.6428211778711628</v>
      </c>
    </row>
    <row r="456" spans="2:4">
      <c r="B456" t="s">
        <v>834</v>
      </c>
      <c r="C456">
        <v>38.20401427376332</v>
      </c>
      <c r="D456">
        <v>-1.6428211778711628</v>
      </c>
    </row>
    <row r="457" spans="2:4">
      <c r="B457" t="s">
        <v>835</v>
      </c>
      <c r="C457">
        <v>38.653674455625591</v>
      </c>
      <c r="D457">
        <v>-1.6428211778711628</v>
      </c>
    </row>
    <row r="458" spans="2:4">
      <c r="B458" t="s">
        <v>836</v>
      </c>
      <c r="C458">
        <v>39.103334637487862</v>
      </c>
      <c r="D458">
        <v>-1.6428211778711628</v>
      </c>
    </row>
    <row r="459" spans="2:4">
      <c r="B459" t="s">
        <v>837</v>
      </c>
      <c r="C459">
        <v>39.552994819350133</v>
      </c>
      <c r="D459">
        <v>-1.6428211778711628</v>
      </c>
    </row>
    <row r="460" spans="2:4">
      <c r="B460" t="s">
        <v>838</v>
      </c>
      <c r="C460">
        <v>40.002655001212403</v>
      </c>
      <c r="D460">
        <v>-1.6428211778711628</v>
      </c>
    </row>
    <row r="461" spans="2:4">
      <c r="B461" t="s">
        <v>839</v>
      </c>
      <c r="C461">
        <v>40.452315183074674</v>
      </c>
      <c r="D461">
        <v>-1.6428211778711628</v>
      </c>
    </row>
    <row r="462" spans="2:4">
      <c r="B462" t="s">
        <v>840</v>
      </c>
      <c r="C462">
        <v>40.901975364936938</v>
      </c>
      <c r="D462">
        <v>-1.6428211778711628</v>
      </c>
    </row>
    <row r="463" spans="2:4">
      <c r="B463" t="s">
        <v>841</v>
      </c>
      <c r="C463">
        <v>41.351635546799216</v>
      </c>
      <c r="D463">
        <v>-1.6428211778711628</v>
      </c>
    </row>
    <row r="464" spans="2:4">
      <c r="B464" t="s">
        <v>842</v>
      </c>
      <c r="C464">
        <v>41.801295728661479</v>
      </c>
      <c r="D464">
        <v>-1.6428211778711628</v>
      </c>
    </row>
    <row r="465" spans="2:4">
      <c r="B465" t="s">
        <v>843</v>
      </c>
      <c r="C465">
        <v>42.250955910523743</v>
      </c>
      <c r="D465">
        <v>-1.6428211778711628</v>
      </c>
    </row>
    <row r="466" spans="2:4">
      <c r="B466" t="s">
        <v>844</v>
      </c>
      <c r="C466">
        <v>42.700616092386014</v>
      </c>
      <c r="D466">
        <v>-1.6428211778711628</v>
      </c>
    </row>
    <row r="467" spans="2:4">
      <c r="B467" t="s">
        <v>845</v>
      </c>
      <c r="C467">
        <v>43.150276274248291</v>
      </c>
      <c r="D467">
        <v>-1.6428211778711628</v>
      </c>
    </row>
    <row r="468" spans="2:4">
      <c r="B468" t="s">
        <v>846</v>
      </c>
      <c r="C468">
        <v>37.75435409190105</v>
      </c>
      <c r="D468">
        <v>-1.1345387525748909</v>
      </c>
    </row>
    <row r="469" spans="2:4">
      <c r="B469" t="s">
        <v>847</v>
      </c>
      <c r="C469">
        <v>38.20401427376332</v>
      </c>
      <c r="D469">
        <v>-1.1345387525748909</v>
      </c>
    </row>
    <row r="470" spans="2:4">
      <c r="B470" t="s">
        <v>848</v>
      </c>
      <c r="C470">
        <v>38.653674455625591</v>
      </c>
      <c r="D470">
        <v>-1.1345387525748909</v>
      </c>
    </row>
    <row r="471" spans="2:4">
      <c r="B471" t="s">
        <v>849</v>
      </c>
      <c r="C471">
        <v>39.103334637487862</v>
      </c>
      <c r="D471">
        <v>-1.1345387525748909</v>
      </c>
    </row>
    <row r="472" spans="2:4">
      <c r="B472" t="s">
        <v>850</v>
      </c>
      <c r="C472">
        <v>39.552994819350133</v>
      </c>
      <c r="D472">
        <v>-1.1345387525748909</v>
      </c>
    </row>
    <row r="473" spans="2:4">
      <c r="B473" t="s">
        <v>851</v>
      </c>
      <c r="C473">
        <v>40.002655001212403</v>
      </c>
      <c r="D473">
        <v>-1.1345387525748909</v>
      </c>
    </row>
    <row r="474" spans="2:4">
      <c r="B474" t="s">
        <v>852</v>
      </c>
      <c r="C474">
        <v>40.452315183074674</v>
      </c>
      <c r="D474">
        <v>-1.1345387525748909</v>
      </c>
    </row>
    <row r="475" spans="2:4">
      <c r="B475" t="s">
        <v>853</v>
      </c>
      <c r="C475">
        <v>40.901975364936938</v>
      </c>
      <c r="D475">
        <v>-1.1345387525748909</v>
      </c>
    </row>
    <row r="476" spans="2:4">
      <c r="B476" t="s">
        <v>854</v>
      </c>
      <c r="C476">
        <v>41.351635546799216</v>
      </c>
      <c r="D476">
        <v>-1.1345387525748909</v>
      </c>
    </row>
    <row r="477" spans="2:4">
      <c r="B477" t="s">
        <v>855</v>
      </c>
      <c r="C477">
        <v>41.801295728661479</v>
      </c>
      <c r="D477">
        <v>-1.1345387525748909</v>
      </c>
    </row>
    <row r="478" spans="2:4">
      <c r="B478" t="s">
        <v>856</v>
      </c>
      <c r="C478">
        <v>42.250955910523743</v>
      </c>
      <c r="D478">
        <v>-1.1345387525748909</v>
      </c>
    </row>
    <row r="479" spans="2:4">
      <c r="B479" t="s">
        <v>857</v>
      </c>
      <c r="C479">
        <v>42.700616092386014</v>
      </c>
      <c r="D479">
        <v>-1.1345387525748909</v>
      </c>
    </row>
    <row r="480" spans="2:4">
      <c r="B480" t="s">
        <v>858</v>
      </c>
      <c r="C480">
        <v>38.20401427376332</v>
      </c>
      <c r="D480">
        <v>-0.62625632727861835</v>
      </c>
    </row>
    <row r="481" spans="2:4">
      <c r="B481" t="s">
        <v>859</v>
      </c>
      <c r="C481">
        <v>38.653674455625591</v>
      </c>
      <c r="D481">
        <v>-0.62625632727861835</v>
      </c>
    </row>
    <row r="482" spans="2:4">
      <c r="B482" t="s">
        <v>860</v>
      </c>
      <c r="C482">
        <v>39.103334637487862</v>
      </c>
      <c r="D482">
        <v>-0.62625632727861835</v>
      </c>
    </row>
    <row r="483" spans="2:4">
      <c r="B483" t="s">
        <v>861</v>
      </c>
      <c r="C483">
        <v>39.552994819350133</v>
      </c>
      <c r="D483">
        <v>-0.62625632727861835</v>
      </c>
    </row>
    <row r="484" spans="2:4">
      <c r="B484" t="s">
        <v>862</v>
      </c>
      <c r="C484">
        <v>40.002655001212403</v>
      </c>
      <c r="D484">
        <v>-0.62625632727861835</v>
      </c>
    </row>
    <row r="485" spans="2:4">
      <c r="B485" t="s">
        <v>863</v>
      </c>
      <c r="C485">
        <v>40.452315183074674</v>
      </c>
      <c r="D485">
        <v>-0.62625632727861835</v>
      </c>
    </row>
    <row r="486" spans="2:4">
      <c r="B486" t="s">
        <v>864</v>
      </c>
      <c r="C486">
        <v>40.901975364936938</v>
      </c>
      <c r="D486">
        <v>-0.62625632727861835</v>
      </c>
    </row>
    <row r="487" spans="2:4">
      <c r="B487" t="s">
        <v>865</v>
      </c>
      <c r="C487">
        <v>41.351635546799216</v>
      </c>
      <c r="D487">
        <v>-0.62625632727861835</v>
      </c>
    </row>
    <row r="488" spans="2:4">
      <c r="B488" t="s">
        <v>866</v>
      </c>
      <c r="C488">
        <v>41.801295728661479</v>
      </c>
      <c r="D488">
        <v>-0.62625632727861835</v>
      </c>
    </row>
    <row r="489" spans="2:4">
      <c r="B489" t="s">
        <v>867</v>
      </c>
      <c r="C489">
        <v>42.250955910523743</v>
      </c>
      <c r="D489">
        <v>-0.62625632727861835</v>
      </c>
    </row>
    <row r="490" spans="2:4">
      <c r="B490" t="s">
        <v>868</v>
      </c>
      <c r="C490">
        <v>42.700616092386014</v>
      </c>
      <c r="D490">
        <v>-0.62625632727861835</v>
      </c>
    </row>
    <row r="491" spans="2:4">
      <c r="B491" t="s">
        <v>869</v>
      </c>
      <c r="C491">
        <v>38.653674455625591</v>
      </c>
      <c r="D491">
        <v>-0.117973901982346</v>
      </c>
    </row>
    <row r="492" spans="2:4">
      <c r="B492" t="s">
        <v>870</v>
      </c>
      <c r="C492">
        <v>40.002655001212403</v>
      </c>
      <c r="D492">
        <v>-0.117973901982346</v>
      </c>
    </row>
    <row r="493" spans="2:4">
      <c r="B493" t="s">
        <v>871</v>
      </c>
      <c r="C493">
        <v>40.452315183074674</v>
      </c>
      <c r="D493">
        <v>-0.117973901982346</v>
      </c>
    </row>
    <row r="494" spans="2:4">
      <c r="B494" t="s">
        <v>872</v>
      </c>
      <c r="C494">
        <v>40.901975364936938</v>
      </c>
      <c r="D494">
        <v>-0.117973901982346</v>
      </c>
    </row>
    <row r="495" spans="2:4">
      <c r="B495" t="s">
        <v>873</v>
      </c>
      <c r="C495">
        <v>41.351635546799216</v>
      </c>
      <c r="D495">
        <v>-0.117973901982346</v>
      </c>
    </row>
    <row r="496" spans="2:4">
      <c r="B496" t="s">
        <v>874</v>
      </c>
      <c r="C496">
        <v>41.801295728661479</v>
      </c>
      <c r="D496">
        <v>-0.117973901982346</v>
      </c>
    </row>
    <row r="497" spans="2:4">
      <c r="B497" t="s">
        <v>875</v>
      </c>
      <c r="C497">
        <v>42.250955910523743</v>
      </c>
      <c r="D497">
        <v>-0.117973901982346</v>
      </c>
    </row>
    <row r="498" spans="2:4">
      <c r="B498" t="s">
        <v>876</v>
      </c>
      <c r="C498">
        <v>42.700616092386014</v>
      </c>
      <c r="D498">
        <v>-0.117973901982346</v>
      </c>
    </row>
    <row r="499" spans="2:4">
      <c r="B499" t="s">
        <v>877</v>
      </c>
      <c r="C499">
        <v>40.452315183074674</v>
      </c>
      <c r="D499">
        <v>0.39030852331392629</v>
      </c>
    </row>
    <row r="500" spans="2:4">
      <c r="B500" t="s">
        <v>878</v>
      </c>
      <c r="C500">
        <v>40.901975364936938</v>
      </c>
      <c r="D500">
        <v>0.39030852331392629</v>
      </c>
    </row>
    <row r="501" spans="2:4">
      <c r="B501" t="s">
        <v>879</v>
      </c>
      <c r="C501">
        <v>41.351635546799216</v>
      </c>
      <c r="D501">
        <v>0.39030852331392629</v>
      </c>
    </row>
    <row r="502" spans="2:4">
      <c r="B502" t="s">
        <v>880</v>
      </c>
      <c r="C502">
        <v>41.801295728661479</v>
      </c>
      <c r="D502">
        <v>0.39030852331392629</v>
      </c>
    </row>
    <row r="503" spans="2:4">
      <c r="B503" t="s">
        <v>881</v>
      </c>
      <c r="C503">
        <v>42.250955910523743</v>
      </c>
      <c r="D503">
        <v>0.39030852331392629</v>
      </c>
    </row>
    <row r="504" spans="2:4">
      <c r="B504" t="s">
        <v>882</v>
      </c>
      <c r="C504">
        <v>42.700616092386014</v>
      </c>
      <c r="D504">
        <v>0.39030852331392629</v>
      </c>
    </row>
    <row r="505" spans="2:4">
      <c r="B505" t="s">
        <v>883</v>
      </c>
      <c r="C505">
        <v>41.351635546799216</v>
      </c>
      <c r="D505">
        <v>0.89859094861019506</v>
      </c>
    </row>
    <row r="506" spans="2:4">
      <c r="B506" t="s">
        <v>884</v>
      </c>
      <c r="C506">
        <v>41.801295728661479</v>
      </c>
      <c r="D506">
        <v>0.89859094861019506</v>
      </c>
    </row>
    <row r="507" spans="2:4">
      <c r="B507" t="s">
        <v>885</v>
      </c>
      <c r="C507">
        <v>42.250955910523743</v>
      </c>
      <c r="D507">
        <v>0.89859094861019506</v>
      </c>
    </row>
    <row r="508" spans="2:4">
      <c r="B508" t="s">
        <v>886</v>
      </c>
      <c r="C508">
        <v>42.700616092386014</v>
      </c>
      <c r="D508">
        <v>0.89859094861019506</v>
      </c>
    </row>
    <row r="509" spans="2:4">
      <c r="B509" t="s">
        <v>887</v>
      </c>
      <c r="C509">
        <v>41.351635546799216</v>
      </c>
      <c r="D509">
        <v>1.4068733739064674</v>
      </c>
    </row>
    <row r="510" spans="2:4">
      <c r="B510" t="s">
        <v>888</v>
      </c>
      <c r="C510">
        <v>41.801295728661479</v>
      </c>
      <c r="D510">
        <v>1.4068733739064674</v>
      </c>
    </row>
    <row r="511" spans="2:4">
      <c r="B511" t="s">
        <v>889</v>
      </c>
      <c r="C511">
        <v>42.250955910523743</v>
      </c>
      <c r="D511">
        <v>1.4068733739064674</v>
      </c>
    </row>
    <row r="512" spans="2:4">
      <c r="B512" t="s">
        <v>890</v>
      </c>
      <c r="C512">
        <v>41.351635546799216</v>
      </c>
      <c r="D512">
        <v>1.9151557992027399</v>
      </c>
    </row>
    <row r="513" spans="2:4">
      <c r="B513" t="s">
        <v>891</v>
      </c>
      <c r="C513">
        <v>41.801295728661479</v>
      </c>
      <c r="D513">
        <v>1.9151557992027399</v>
      </c>
    </row>
    <row r="514" spans="2:4">
      <c r="B514" t="s">
        <v>892</v>
      </c>
      <c r="C514">
        <v>42.250955910523743</v>
      </c>
      <c r="D514">
        <v>1.9151557992027399</v>
      </c>
    </row>
    <row r="515" spans="2:4">
      <c r="B515" t="s">
        <v>893</v>
      </c>
      <c r="C515">
        <v>39.552994819350133</v>
      </c>
      <c r="D515">
        <v>2.4234382244990127</v>
      </c>
    </row>
    <row r="516" spans="2:4">
      <c r="B516" t="s">
        <v>894</v>
      </c>
      <c r="C516">
        <v>41.801295728661479</v>
      </c>
      <c r="D516">
        <v>2.4234382244990127</v>
      </c>
    </row>
    <row r="517" spans="2:4">
      <c r="B517" t="s">
        <v>895</v>
      </c>
      <c r="C517">
        <v>42.250955910523743</v>
      </c>
      <c r="D517">
        <v>2.4234382244990127</v>
      </c>
    </row>
    <row r="518" spans="2:4">
      <c r="B518" t="s">
        <v>896</v>
      </c>
      <c r="C518">
        <v>39.552994819350133</v>
      </c>
      <c r="D518">
        <v>2.931720649795285</v>
      </c>
    </row>
    <row r="519" spans="2:4">
      <c r="B519" t="s">
        <v>897</v>
      </c>
      <c r="C519">
        <v>41.801295728661479</v>
      </c>
      <c r="D519">
        <v>2.931720649795285</v>
      </c>
    </row>
    <row r="520" spans="2:4">
      <c r="B520" t="s">
        <v>898</v>
      </c>
      <c r="C520">
        <v>42.250955910523743</v>
      </c>
      <c r="D520">
        <v>2.931720649795285</v>
      </c>
    </row>
    <row r="521" spans="2:4">
      <c r="B521" t="s">
        <v>899</v>
      </c>
      <c r="C521">
        <v>40.002655001212403</v>
      </c>
      <c r="D521">
        <v>3.9482855003878292</v>
      </c>
    </row>
    <row r="522" spans="2:4">
      <c r="B522" t="s">
        <v>900</v>
      </c>
      <c r="C522">
        <v>42.426616010697607</v>
      </c>
      <c r="D522">
        <v>-11.777764322812647</v>
      </c>
    </row>
    <row r="523" spans="2:4">
      <c r="B523" t="s">
        <v>901</v>
      </c>
      <c r="C523">
        <v>42.876276192559878</v>
      </c>
      <c r="D523">
        <v>-11.777764322812647</v>
      </c>
    </row>
    <row r="524" spans="2:4">
      <c r="B524" t="s">
        <v>902</v>
      </c>
      <c r="C524">
        <v>42.426616010697607</v>
      </c>
      <c r="D524">
        <v>-11.269349816549934</v>
      </c>
    </row>
    <row r="525" spans="2:4">
      <c r="B525" t="s">
        <v>903</v>
      </c>
      <c r="C525">
        <v>42.426616010697607</v>
      </c>
      <c r="D525">
        <v>-9.7441062977617836</v>
      </c>
    </row>
    <row r="526" spans="2:4">
      <c r="B526" t="s">
        <v>904</v>
      </c>
      <c r="C526">
        <v>42.876276192559878</v>
      </c>
      <c r="D526">
        <v>-9.7441062977617836</v>
      </c>
    </row>
    <row r="527" spans="2:4">
      <c r="B527" t="s">
        <v>905</v>
      </c>
      <c r="C527">
        <v>43.325936374422149</v>
      </c>
      <c r="D527">
        <v>-9.7441062977617836</v>
      </c>
    </row>
    <row r="528" spans="2:4">
      <c r="B528" t="s">
        <v>906</v>
      </c>
      <c r="C528">
        <v>41.976955828835337</v>
      </c>
      <c r="D528">
        <v>-9.2356917914990699</v>
      </c>
    </row>
    <row r="529" spans="2:4">
      <c r="B529" t="s">
        <v>907</v>
      </c>
      <c r="C529">
        <v>42.426616010697607</v>
      </c>
      <c r="D529">
        <v>-9.2356917914990699</v>
      </c>
    </row>
    <row r="530" spans="2:4">
      <c r="B530" t="s">
        <v>908</v>
      </c>
      <c r="C530">
        <v>42.876276192559878</v>
      </c>
      <c r="D530">
        <v>-9.2356917914990699</v>
      </c>
    </row>
    <row r="531" spans="2:4">
      <c r="B531" t="s">
        <v>909</v>
      </c>
      <c r="C531">
        <v>43.325936374422149</v>
      </c>
      <c r="D531">
        <v>-9.2356917914990699</v>
      </c>
    </row>
    <row r="532" spans="2:4">
      <c r="B532" t="s">
        <v>910</v>
      </c>
      <c r="C532">
        <v>43.775596556284412</v>
      </c>
      <c r="D532">
        <v>-9.2356917914990699</v>
      </c>
    </row>
    <row r="533" spans="2:4">
      <c r="B533" t="s">
        <v>911</v>
      </c>
      <c r="C533">
        <v>44.22525673814669</v>
      </c>
      <c r="D533">
        <v>-9.2356917914990699</v>
      </c>
    </row>
    <row r="534" spans="2:4">
      <c r="B534" t="s">
        <v>912</v>
      </c>
      <c r="C534">
        <v>41.976955828835337</v>
      </c>
      <c r="D534">
        <v>-8.7272772852363545</v>
      </c>
    </row>
    <row r="535" spans="2:4">
      <c r="B535" t="s">
        <v>913</v>
      </c>
      <c r="C535">
        <v>42.426616010697607</v>
      </c>
      <c r="D535">
        <v>-8.7272772852363545</v>
      </c>
    </row>
    <row r="536" spans="2:4">
      <c r="B536" t="s">
        <v>914</v>
      </c>
      <c r="C536">
        <v>43.325936374422149</v>
      </c>
      <c r="D536">
        <v>-8.7272772852363545</v>
      </c>
    </row>
    <row r="537" spans="2:4">
      <c r="B537" t="s">
        <v>915</v>
      </c>
      <c r="C537">
        <v>43.775596556284412</v>
      </c>
      <c r="D537">
        <v>-8.7272772852363545</v>
      </c>
    </row>
    <row r="538" spans="2:4">
      <c r="B538" t="s">
        <v>916</v>
      </c>
      <c r="C538">
        <v>44.22525673814669</v>
      </c>
      <c r="D538">
        <v>-8.7272772852363545</v>
      </c>
    </row>
    <row r="539" spans="2:4">
      <c r="B539" t="s">
        <v>917</v>
      </c>
      <c r="C539">
        <v>43.325936374422149</v>
      </c>
      <c r="D539">
        <v>-8.218862778973639</v>
      </c>
    </row>
    <row r="540" spans="2:4">
      <c r="B540" t="s">
        <v>918</v>
      </c>
      <c r="C540">
        <v>43.775596556284412</v>
      </c>
      <c r="D540">
        <v>-8.218862778973639</v>
      </c>
    </row>
    <row r="541" spans="2:4">
      <c r="B541" t="s">
        <v>919</v>
      </c>
      <c r="C541">
        <v>44.22525673814669</v>
      </c>
      <c r="D541">
        <v>-8.218862778973639</v>
      </c>
    </row>
    <row r="542" spans="2:4">
      <c r="B542" t="s">
        <v>920</v>
      </c>
      <c r="C542">
        <v>36.131373464625817</v>
      </c>
      <c r="D542">
        <v>-7.7104482727109245</v>
      </c>
    </row>
    <row r="543" spans="2:4">
      <c r="B543" t="s">
        <v>921</v>
      </c>
      <c r="C543">
        <v>43.775596556284412</v>
      </c>
      <c r="D543">
        <v>-7.7104482727109245</v>
      </c>
    </row>
    <row r="544" spans="2:4">
      <c r="B544" t="s">
        <v>922</v>
      </c>
      <c r="C544">
        <v>44.22525673814669</v>
      </c>
      <c r="D544">
        <v>-7.7104482727109245</v>
      </c>
    </row>
    <row r="545" spans="2:4">
      <c r="B545" t="s">
        <v>923</v>
      </c>
      <c r="C545">
        <v>35.681713282763546</v>
      </c>
      <c r="D545">
        <v>-7.202033766448209</v>
      </c>
    </row>
    <row r="546" spans="2:4">
      <c r="B546" t="s">
        <v>924</v>
      </c>
      <c r="C546">
        <v>36.131373464625817</v>
      </c>
      <c r="D546">
        <v>-7.202033766448209</v>
      </c>
    </row>
    <row r="547" spans="2:4">
      <c r="B547" t="s">
        <v>925</v>
      </c>
      <c r="C547">
        <v>36.581033646488088</v>
      </c>
      <c r="D547">
        <v>-7.202033766448209</v>
      </c>
    </row>
    <row r="548" spans="2:4">
      <c r="B548" t="s">
        <v>926</v>
      </c>
      <c r="C548">
        <v>37.030693828350351</v>
      </c>
      <c r="D548">
        <v>-7.202033766448209</v>
      </c>
    </row>
    <row r="549" spans="2:4">
      <c r="B549" t="s">
        <v>927</v>
      </c>
      <c r="C549">
        <v>43.775596556284412</v>
      </c>
      <c r="D549">
        <v>-7.202033766448209</v>
      </c>
    </row>
    <row r="550" spans="2:4">
      <c r="B550" t="s">
        <v>928</v>
      </c>
      <c r="C550">
        <v>44.22525673814669</v>
      </c>
      <c r="D550">
        <v>-7.202033766448209</v>
      </c>
    </row>
    <row r="551" spans="2:4">
      <c r="B551" t="s">
        <v>929</v>
      </c>
      <c r="C551">
        <v>35.681713282763546</v>
      </c>
      <c r="D551">
        <v>-6.6936192601854936</v>
      </c>
    </row>
    <row r="552" spans="2:4">
      <c r="B552" t="s">
        <v>930</v>
      </c>
      <c r="C552">
        <v>36.131373464625817</v>
      </c>
      <c r="D552">
        <v>-6.6936192601854936</v>
      </c>
    </row>
    <row r="553" spans="2:4">
      <c r="B553" t="s">
        <v>931</v>
      </c>
      <c r="C553">
        <v>36.581033646488088</v>
      </c>
      <c r="D553">
        <v>-6.6936192601854936</v>
      </c>
    </row>
    <row r="554" spans="2:4">
      <c r="B554" t="s">
        <v>932</v>
      </c>
      <c r="C554">
        <v>37.030693828350351</v>
      </c>
      <c r="D554">
        <v>-6.6936192601854936</v>
      </c>
    </row>
    <row r="555" spans="2:4">
      <c r="B555" t="s">
        <v>933</v>
      </c>
      <c r="C555">
        <v>43.775596556284412</v>
      </c>
      <c r="D555">
        <v>-6.6936192601854936</v>
      </c>
    </row>
    <row r="556" spans="2:4">
      <c r="B556" t="s">
        <v>934</v>
      </c>
      <c r="C556">
        <v>44.22525673814669</v>
      </c>
      <c r="D556">
        <v>-6.6936192601854936</v>
      </c>
    </row>
    <row r="557" spans="2:4">
      <c r="B557" t="s">
        <v>935</v>
      </c>
      <c r="C557">
        <v>35.681713282763546</v>
      </c>
      <c r="D557">
        <v>-6.1852047539227781</v>
      </c>
    </row>
    <row r="558" spans="2:4">
      <c r="B558" t="s">
        <v>936</v>
      </c>
      <c r="C558">
        <v>36.131373464625817</v>
      </c>
      <c r="D558">
        <v>-6.1852047539227781</v>
      </c>
    </row>
    <row r="559" spans="2:4">
      <c r="B559" t="s">
        <v>937</v>
      </c>
      <c r="C559">
        <v>36.581033646488088</v>
      </c>
      <c r="D559">
        <v>-6.1852047539227781</v>
      </c>
    </row>
    <row r="560" spans="2:4">
      <c r="B560" t="s">
        <v>938</v>
      </c>
      <c r="C560">
        <v>43.775596556284412</v>
      </c>
      <c r="D560">
        <v>-6.1852047539227781</v>
      </c>
    </row>
    <row r="561" spans="2:4">
      <c r="B561" t="s">
        <v>939</v>
      </c>
      <c r="C561">
        <v>36.131373464625817</v>
      </c>
      <c r="D561">
        <v>-5.6767902476600627</v>
      </c>
    </row>
    <row r="562" spans="2:4">
      <c r="B562" t="s">
        <v>940</v>
      </c>
      <c r="C562">
        <v>43.775596556284412</v>
      </c>
      <c r="D562">
        <v>-5.6767902476600627</v>
      </c>
    </row>
    <row r="563" spans="2:4">
      <c r="B563" t="s">
        <v>941</v>
      </c>
      <c r="C563">
        <v>44.22525673814669</v>
      </c>
      <c r="D563">
        <v>-5.6767902476600627</v>
      </c>
    </row>
    <row r="564" spans="2:4">
      <c r="B564" t="s">
        <v>942</v>
      </c>
      <c r="C564">
        <v>35.681713282763546</v>
      </c>
      <c r="D564">
        <v>-5.1683757413973472</v>
      </c>
    </row>
    <row r="565" spans="2:4">
      <c r="B565" t="s">
        <v>943</v>
      </c>
      <c r="C565">
        <v>36.131373464625817</v>
      </c>
      <c r="D565">
        <v>-5.1683757413973472</v>
      </c>
    </row>
    <row r="566" spans="2:4">
      <c r="B566" t="s">
        <v>944</v>
      </c>
      <c r="C566">
        <v>36.581033646488088</v>
      </c>
      <c r="D566">
        <v>-5.1683757413973472</v>
      </c>
    </row>
    <row r="567" spans="2:4">
      <c r="B567" t="s">
        <v>945</v>
      </c>
      <c r="C567">
        <v>43.325936374422149</v>
      </c>
      <c r="D567">
        <v>-5.1683757413973472</v>
      </c>
    </row>
    <row r="568" spans="2:4">
      <c r="B568" t="s">
        <v>946</v>
      </c>
      <c r="C568">
        <v>43.775596556284412</v>
      </c>
      <c r="D568">
        <v>-5.1683757413973472</v>
      </c>
    </row>
    <row r="569" spans="2:4">
      <c r="B569" t="s">
        <v>947</v>
      </c>
      <c r="C569">
        <v>44.22525673814669</v>
      </c>
      <c r="D569">
        <v>-5.1683757413973472</v>
      </c>
    </row>
    <row r="570" spans="2:4">
      <c r="B570" t="s">
        <v>948</v>
      </c>
      <c r="C570">
        <v>35.681713282763546</v>
      </c>
      <c r="D570">
        <v>-4.6599612351346318</v>
      </c>
    </row>
    <row r="571" spans="2:4">
      <c r="B571" t="s">
        <v>949</v>
      </c>
      <c r="C571">
        <v>36.131373464625817</v>
      </c>
      <c r="D571">
        <v>-4.6599612351346318</v>
      </c>
    </row>
    <row r="572" spans="2:4">
      <c r="B572" t="s">
        <v>950</v>
      </c>
      <c r="C572">
        <v>36.581033646488088</v>
      </c>
      <c r="D572">
        <v>-4.6599612351346318</v>
      </c>
    </row>
    <row r="573" spans="2:4">
      <c r="B573" t="s">
        <v>951</v>
      </c>
      <c r="C573">
        <v>43.325936374422149</v>
      </c>
      <c r="D573">
        <v>-4.6599612351346318</v>
      </c>
    </row>
    <row r="574" spans="2:4">
      <c r="B574" t="s">
        <v>952</v>
      </c>
      <c r="C574">
        <v>43.775596556284412</v>
      </c>
      <c r="D574">
        <v>-4.6599612351346318</v>
      </c>
    </row>
    <row r="575" spans="2:4">
      <c r="B575" t="s">
        <v>953</v>
      </c>
      <c r="C575">
        <v>44.22525673814669</v>
      </c>
      <c r="D575">
        <v>-4.6599612351346318</v>
      </c>
    </row>
    <row r="576" spans="2:4">
      <c r="B576" t="s">
        <v>954</v>
      </c>
      <c r="C576">
        <v>35.681713282763546</v>
      </c>
      <c r="D576">
        <v>-4.1515467288719163</v>
      </c>
    </row>
    <row r="577" spans="2:4">
      <c r="B577" t="s">
        <v>955</v>
      </c>
      <c r="C577">
        <v>36.131373464625817</v>
      </c>
      <c r="D577">
        <v>-4.1515467288719163</v>
      </c>
    </row>
    <row r="578" spans="2:4">
      <c r="B578" t="s">
        <v>956</v>
      </c>
      <c r="C578">
        <v>36.581033646488088</v>
      </c>
      <c r="D578">
        <v>-4.1515467288719163</v>
      </c>
    </row>
    <row r="579" spans="2:4">
      <c r="B579" t="s">
        <v>957</v>
      </c>
      <c r="C579">
        <v>43.325936374422149</v>
      </c>
      <c r="D579">
        <v>-4.1515467288719163</v>
      </c>
    </row>
    <row r="580" spans="2:4">
      <c r="B580" t="s">
        <v>958</v>
      </c>
      <c r="C580">
        <v>43.775596556284412</v>
      </c>
      <c r="D580">
        <v>-4.1515467288719163</v>
      </c>
    </row>
    <row r="581" spans="2:4">
      <c r="B581" t="s">
        <v>959</v>
      </c>
      <c r="C581">
        <v>35.681713282763546</v>
      </c>
      <c r="D581">
        <v>-3.6431322226092</v>
      </c>
    </row>
    <row r="582" spans="2:4">
      <c r="B582" t="s">
        <v>960</v>
      </c>
      <c r="C582">
        <v>36.131373464625817</v>
      </c>
      <c r="D582">
        <v>-3.6431322226092</v>
      </c>
    </row>
    <row r="583" spans="2:4">
      <c r="B583" t="s">
        <v>961</v>
      </c>
      <c r="C583">
        <v>36.581033646488088</v>
      </c>
      <c r="D583">
        <v>-3.6431322226092</v>
      </c>
    </row>
    <row r="584" spans="2:4">
      <c r="B584" t="s">
        <v>962</v>
      </c>
      <c r="C584">
        <v>43.325936374422149</v>
      </c>
      <c r="D584">
        <v>-3.6431322226092</v>
      </c>
    </row>
    <row r="585" spans="2:4">
      <c r="B585" t="s">
        <v>963</v>
      </c>
      <c r="C585">
        <v>43.775596556284412</v>
      </c>
      <c r="D585">
        <v>-3.6431322226092</v>
      </c>
    </row>
    <row r="586" spans="2:4">
      <c r="B586" t="s">
        <v>964</v>
      </c>
      <c r="C586">
        <v>35.681713282763546</v>
      </c>
      <c r="D586">
        <v>-3.134717716346485</v>
      </c>
    </row>
    <row r="587" spans="2:4">
      <c r="B587" t="s">
        <v>965</v>
      </c>
      <c r="C587">
        <v>36.131373464625817</v>
      </c>
      <c r="D587">
        <v>-3.134717716346485</v>
      </c>
    </row>
    <row r="588" spans="2:4">
      <c r="B588" t="s">
        <v>966</v>
      </c>
      <c r="C588">
        <v>36.581033646488088</v>
      </c>
      <c r="D588">
        <v>-3.134717716346485</v>
      </c>
    </row>
    <row r="589" spans="2:4">
      <c r="B589" t="s">
        <v>967</v>
      </c>
      <c r="C589">
        <v>43.325936374422149</v>
      </c>
      <c r="D589">
        <v>-3.134717716346485</v>
      </c>
    </row>
    <row r="590" spans="2:4">
      <c r="B590" t="s">
        <v>968</v>
      </c>
      <c r="C590">
        <v>43.775596556284412</v>
      </c>
      <c r="D590">
        <v>-3.134717716346485</v>
      </c>
    </row>
    <row r="591" spans="2:4">
      <c r="B591" t="s">
        <v>969</v>
      </c>
      <c r="C591">
        <v>45.124577101871232</v>
      </c>
      <c r="D591">
        <v>-3.134717716346485</v>
      </c>
    </row>
    <row r="592" spans="2:4">
      <c r="B592" t="s">
        <v>970</v>
      </c>
      <c r="C592">
        <v>35.681713282763546</v>
      </c>
      <c r="D592">
        <v>-2.6263032100837682</v>
      </c>
    </row>
    <row r="593" spans="2:4">
      <c r="B593" t="s">
        <v>971</v>
      </c>
      <c r="C593">
        <v>36.131373464625817</v>
      </c>
      <c r="D593">
        <v>-2.6263032100837682</v>
      </c>
    </row>
    <row r="594" spans="2:4">
      <c r="B594" t="s">
        <v>972</v>
      </c>
      <c r="C594">
        <v>36.581033646488088</v>
      </c>
      <c r="D594">
        <v>-2.6263032100837682</v>
      </c>
    </row>
    <row r="595" spans="2:4">
      <c r="B595" t="s">
        <v>973</v>
      </c>
      <c r="C595">
        <v>37.030693828350351</v>
      </c>
      <c r="D595">
        <v>-2.6263032100837682</v>
      </c>
    </row>
    <row r="596" spans="2:4">
      <c r="B596" t="s">
        <v>974</v>
      </c>
      <c r="C596">
        <v>43.325936374422149</v>
      </c>
      <c r="D596">
        <v>-2.6263032100837682</v>
      </c>
    </row>
    <row r="597" spans="2:4">
      <c r="B597" t="s">
        <v>975</v>
      </c>
      <c r="C597">
        <v>43.775596556284412</v>
      </c>
      <c r="D597">
        <v>-2.6263032100837682</v>
      </c>
    </row>
    <row r="598" spans="2:4">
      <c r="B598" t="s">
        <v>976</v>
      </c>
      <c r="C598">
        <v>44.225256738146683</v>
      </c>
      <c r="D598">
        <v>-2.6263032100837682</v>
      </c>
    </row>
    <row r="599" spans="2:4">
      <c r="B599" t="s">
        <v>977</v>
      </c>
      <c r="C599">
        <v>35.681713282763546</v>
      </c>
      <c r="D599">
        <v>-2.1178887038210528</v>
      </c>
    </row>
    <row r="600" spans="2:4">
      <c r="B600" t="s">
        <v>978</v>
      </c>
      <c r="C600">
        <v>36.131373464625817</v>
      </c>
      <c r="D600">
        <v>-2.1178887038210528</v>
      </c>
    </row>
    <row r="601" spans="2:4">
      <c r="B601" t="s">
        <v>979</v>
      </c>
      <c r="C601">
        <v>36.581033646488088</v>
      </c>
      <c r="D601">
        <v>-2.1178887038210528</v>
      </c>
    </row>
    <row r="602" spans="2:4">
      <c r="B602" t="s">
        <v>980</v>
      </c>
      <c r="C602">
        <v>37.030693828350351</v>
      </c>
      <c r="D602">
        <v>-2.1178887038210528</v>
      </c>
    </row>
    <row r="603" spans="2:4">
      <c r="B603" t="s">
        <v>981</v>
      </c>
      <c r="C603">
        <v>43.325936374422149</v>
      </c>
      <c r="D603">
        <v>-2.1178887038210528</v>
      </c>
    </row>
    <row r="604" spans="2:4">
      <c r="B604" t="s">
        <v>982</v>
      </c>
      <c r="C604">
        <v>43.775596556284412</v>
      </c>
      <c r="D604">
        <v>-2.1178887038210528</v>
      </c>
    </row>
    <row r="605" spans="2:4">
      <c r="B605" t="s">
        <v>983</v>
      </c>
      <c r="C605">
        <v>44.225256738146683</v>
      </c>
      <c r="D605">
        <v>-2.1178887038210528</v>
      </c>
    </row>
    <row r="606" spans="2:4">
      <c r="B606" t="s">
        <v>984</v>
      </c>
      <c r="C606">
        <v>36.581033646488088</v>
      </c>
      <c r="D606">
        <v>-1.6094741975583369</v>
      </c>
    </row>
    <row r="607" spans="2:4">
      <c r="B607" t="s">
        <v>985</v>
      </c>
      <c r="C607">
        <v>37.030693828350351</v>
      </c>
      <c r="D607">
        <v>-1.6094741975583369</v>
      </c>
    </row>
    <row r="608" spans="2:4">
      <c r="B608" t="s">
        <v>986</v>
      </c>
      <c r="C608">
        <v>37.480354010212629</v>
      </c>
      <c r="D608">
        <v>-1.6094741975583369</v>
      </c>
    </row>
    <row r="609" spans="2:4">
      <c r="B609" t="s">
        <v>987</v>
      </c>
      <c r="C609">
        <v>43.325936374422149</v>
      </c>
      <c r="D609">
        <v>-1.6094741975583369</v>
      </c>
    </row>
    <row r="610" spans="2:4">
      <c r="B610" t="s">
        <v>988</v>
      </c>
      <c r="C610">
        <v>43.775596556284412</v>
      </c>
      <c r="D610">
        <v>-1.6094741975583369</v>
      </c>
    </row>
    <row r="611" spans="2:4">
      <c r="B611" t="s">
        <v>989</v>
      </c>
      <c r="C611">
        <v>37.480354010212629</v>
      </c>
      <c r="D611">
        <v>-1.1010596912956208</v>
      </c>
    </row>
    <row r="612" spans="2:4">
      <c r="B612" t="s">
        <v>990</v>
      </c>
      <c r="C612">
        <v>37.480354010212629</v>
      </c>
      <c r="D612">
        <v>-0.59264518503290486</v>
      </c>
    </row>
    <row r="613" spans="2:4">
      <c r="B613" t="s">
        <v>991</v>
      </c>
      <c r="C613">
        <v>37.930014192074893</v>
      </c>
      <c r="D613">
        <v>-0.59264518503290486</v>
      </c>
    </row>
    <row r="614" spans="2:4">
      <c r="B614" t="s">
        <v>992</v>
      </c>
      <c r="C614">
        <v>38.379674373937171</v>
      </c>
      <c r="D614">
        <v>-0.59264518503290486</v>
      </c>
    </row>
    <row r="615" spans="2:4">
      <c r="B615" t="s">
        <v>993</v>
      </c>
      <c r="C615">
        <v>37.480354010212629</v>
      </c>
      <c r="D615">
        <v>-8.4230678770188902E-2</v>
      </c>
    </row>
    <row r="616" spans="2:4">
      <c r="B616" t="s">
        <v>994</v>
      </c>
      <c r="C616">
        <v>37.930014192074893</v>
      </c>
      <c r="D616">
        <v>-8.4230678770188902E-2</v>
      </c>
    </row>
    <row r="617" spans="2:4">
      <c r="B617" t="s">
        <v>995</v>
      </c>
      <c r="C617">
        <v>38.379674373937171</v>
      </c>
      <c r="D617">
        <v>-8.4230678770188902E-2</v>
      </c>
    </row>
    <row r="618" spans="2:4">
      <c r="B618" t="s">
        <v>996</v>
      </c>
      <c r="C618">
        <v>38.829334555799441</v>
      </c>
      <c r="D618">
        <v>-8.4230678770188902E-2</v>
      </c>
    </row>
    <row r="619" spans="2:4">
      <c r="B619" t="s">
        <v>997</v>
      </c>
      <c r="C619">
        <v>39.278994737661719</v>
      </c>
      <c r="D619">
        <v>-8.4230678770188902E-2</v>
      </c>
    </row>
    <row r="620" spans="2:4">
      <c r="B620" t="s">
        <v>998</v>
      </c>
      <c r="C620">
        <v>39.728654919523983</v>
      </c>
      <c r="D620">
        <v>-8.4230678770188902E-2</v>
      </c>
    </row>
    <row r="621" spans="2:4">
      <c r="B621" t="s">
        <v>999</v>
      </c>
      <c r="C621">
        <v>37.930014192074893</v>
      </c>
      <c r="D621">
        <v>0.42418382749252692</v>
      </c>
    </row>
    <row r="622" spans="2:4">
      <c r="B622" t="s">
        <v>1000</v>
      </c>
      <c r="C622">
        <v>38.379674373937171</v>
      </c>
      <c r="D622">
        <v>0.42418382749252692</v>
      </c>
    </row>
    <row r="623" spans="2:4">
      <c r="B623" t="s">
        <v>1001</v>
      </c>
      <c r="C623">
        <v>38.829334555799441</v>
      </c>
      <c r="D623">
        <v>0.42418382749252692</v>
      </c>
    </row>
    <row r="624" spans="2:4">
      <c r="B624" t="s">
        <v>1002</v>
      </c>
      <c r="C624">
        <v>39.278994737661719</v>
      </c>
      <c r="D624">
        <v>0.42418382749252692</v>
      </c>
    </row>
    <row r="625" spans="2:4">
      <c r="B625" t="s">
        <v>1003</v>
      </c>
      <c r="C625">
        <v>39.728654919523983</v>
      </c>
      <c r="D625">
        <v>0.42418382749252692</v>
      </c>
    </row>
    <row r="626" spans="2:4">
      <c r="B626" t="s">
        <v>1004</v>
      </c>
      <c r="C626">
        <v>40.178315101386254</v>
      </c>
      <c r="D626">
        <v>0.42418382749252692</v>
      </c>
    </row>
    <row r="627" spans="2:4">
      <c r="B627" t="s">
        <v>1005</v>
      </c>
      <c r="C627">
        <v>40.627975283248531</v>
      </c>
      <c r="D627">
        <v>0.42418382749252692</v>
      </c>
    </row>
    <row r="628" spans="2:4">
      <c r="B628" t="s">
        <v>1006</v>
      </c>
      <c r="C628">
        <v>37.930014192074893</v>
      </c>
      <c r="D628">
        <v>0.93259833375524281</v>
      </c>
    </row>
    <row r="629" spans="2:4">
      <c r="B629" t="s">
        <v>1007</v>
      </c>
      <c r="C629">
        <v>38.379674373937171</v>
      </c>
      <c r="D629">
        <v>0.93259833375524281</v>
      </c>
    </row>
    <row r="630" spans="2:4">
      <c r="B630" t="s">
        <v>1008</v>
      </c>
      <c r="C630">
        <v>38.829334555799441</v>
      </c>
      <c r="D630">
        <v>0.93259833375524281</v>
      </c>
    </row>
    <row r="631" spans="2:4">
      <c r="B631" t="s">
        <v>1009</v>
      </c>
      <c r="C631">
        <v>39.278994737661719</v>
      </c>
      <c r="D631">
        <v>0.93259833375524281</v>
      </c>
    </row>
    <row r="632" spans="2:4">
      <c r="B632" t="s">
        <v>1010</v>
      </c>
      <c r="C632">
        <v>39.728654919523983</v>
      </c>
      <c r="D632">
        <v>0.93259833375524281</v>
      </c>
    </row>
    <row r="633" spans="2:4">
      <c r="B633" t="s">
        <v>1011</v>
      </c>
      <c r="C633">
        <v>40.178315101386254</v>
      </c>
      <c r="D633">
        <v>0.93259833375524281</v>
      </c>
    </row>
    <row r="634" spans="2:4">
      <c r="B634" t="s">
        <v>1012</v>
      </c>
      <c r="C634">
        <v>40.627975283248531</v>
      </c>
      <c r="D634">
        <v>0.93259833375524281</v>
      </c>
    </row>
    <row r="635" spans="2:4">
      <c r="B635" t="s">
        <v>1013</v>
      </c>
      <c r="C635">
        <v>41.077635465110788</v>
      </c>
      <c r="D635">
        <v>0.93259833375524281</v>
      </c>
    </row>
    <row r="636" spans="2:4">
      <c r="B636" t="s">
        <v>1014</v>
      </c>
      <c r="C636">
        <v>38.379674373937171</v>
      </c>
      <c r="D636">
        <v>1.4410128400179587</v>
      </c>
    </row>
    <row r="637" spans="2:4">
      <c r="B637" t="s">
        <v>1015</v>
      </c>
      <c r="C637">
        <v>38.829334555799441</v>
      </c>
      <c r="D637">
        <v>1.4410128400179587</v>
      </c>
    </row>
    <row r="638" spans="2:4">
      <c r="B638" t="s">
        <v>1016</v>
      </c>
      <c r="C638">
        <v>39.278994737661719</v>
      </c>
      <c r="D638">
        <v>1.4410128400179587</v>
      </c>
    </row>
    <row r="639" spans="2:4">
      <c r="B639" t="s">
        <v>1017</v>
      </c>
      <c r="C639">
        <v>40.178315101386254</v>
      </c>
      <c r="D639">
        <v>1.4410128400179587</v>
      </c>
    </row>
    <row r="640" spans="2:4">
      <c r="B640" t="s">
        <v>1018</v>
      </c>
      <c r="C640">
        <v>40.627975283248531</v>
      </c>
      <c r="D640">
        <v>1.4410128400179587</v>
      </c>
    </row>
    <row r="641" spans="2:4">
      <c r="B641" t="s">
        <v>1019</v>
      </c>
      <c r="C641">
        <v>41.077635465110788</v>
      </c>
      <c r="D641">
        <v>1.4410128400179587</v>
      </c>
    </row>
    <row r="642" spans="2:4">
      <c r="B642" t="s">
        <v>1020</v>
      </c>
      <c r="C642">
        <v>38.379674373937171</v>
      </c>
      <c r="D642">
        <v>1.9494273462806748</v>
      </c>
    </row>
    <row r="643" spans="2:4">
      <c r="B643" t="s">
        <v>1021</v>
      </c>
      <c r="C643">
        <v>38.829334555799441</v>
      </c>
      <c r="D643">
        <v>1.9494273462806748</v>
      </c>
    </row>
    <row r="644" spans="2:4">
      <c r="B644" t="s">
        <v>1022</v>
      </c>
      <c r="C644">
        <v>39.278994737661719</v>
      </c>
      <c r="D644">
        <v>1.9494273462806748</v>
      </c>
    </row>
    <row r="645" spans="2:4">
      <c r="B645" t="s">
        <v>1023</v>
      </c>
      <c r="C645">
        <v>39.728654919523983</v>
      </c>
      <c r="D645">
        <v>1.9494273462806748</v>
      </c>
    </row>
    <row r="646" spans="2:4">
      <c r="B646" t="s">
        <v>1024</v>
      </c>
      <c r="C646">
        <v>40.627975283248531</v>
      </c>
      <c r="D646">
        <v>1.9494273462806748</v>
      </c>
    </row>
    <row r="647" spans="2:4">
      <c r="B647" t="s">
        <v>1025</v>
      </c>
      <c r="C647">
        <v>41.077635465110788</v>
      </c>
      <c r="D647">
        <v>1.9494273462806748</v>
      </c>
    </row>
    <row r="648" spans="2:4">
      <c r="B648" t="s">
        <v>1026</v>
      </c>
      <c r="C648">
        <v>41.527295646973066</v>
      </c>
      <c r="D648">
        <v>1.9494273462806748</v>
      </c>
    </row>
    <row r="649" spans="2:4">
      <c r="B649" t="s">
        <v>1027</v>
      </c>
      <c r="C649">
        <v>38.379674373937171</v>
      </c>
      <c r="D649">
        <v>2.4578418525433903</v>
      </c>
    </row>
    <row r="650" spans="2:4">
      <c r="B650" t="s">
        <v>1028</v>
      </c>
      <c r="C650">
        <v>38.829334555799441</v>
      </c>
      <c r="D650">
        <v>2.4578418525433903</v>
      </c>
    </row>
    <row r="651" spans="2:4">
      <c r="B651" t="s">
        <v>1029</v>
      </c>
      <c r="C651">
        <v>39.278994737661719</v>
      </c>
      <c r="D651">
        <v>2.4578418525433903</v>
      </c>
    </row>
    <row r="652" spans="2:4">
      <c r="B652" t="s">
        <v>1030</v>
      </c>
      <c r="C652">
        <v>39.728654919523983</v>
      </c>
      <c r="D652">
        <v>2.4578418525433903</v>
      </c>
    </row>
    <row r="653" spans="2:4">
      <c r="B653" t="s">
        <v>1031</v>
      </c>
      <c r="C653">
        <v>41.077635465110788</v>
      </c>
      <c r="D653">
        <v>2.4578418525433903</v>
      </c>
    </row>
    <row r="654" spans="2:4">
      <c r="B654" t="s">
        <v>1032</v>
      </c>
      <c r="C654">
        <v>41.527295646973066</v>
      </c>
      <c r="D654">
        <v>2.4578418525433903</v>
      </c>
    </row>
    <row r="655" spans="2:4">
      <c r="B655" t="s">
        <v>1033</v>
      </c>
      <c r="C655">
        <v>38.829334555799441</v>
      </c>
      <c r="D655">
        <v>2.9662563588061062</v>
      </c>
    </row>
    <row r="656" spans="2:4">
      <c r="B656" t="s">
        <v>1034</v>
      </c>
      <c r="C656">
        <v>39.278994737661719</v>
      </c>
      <c r="D656">
        <v>2.9662563588061062</v>
      </c>
    </row>
    <row r="657" spans="2:4">
      <c r="B657" t="s">
        <v>1035</v>
      </c>
      <c r="C657">
        <v>39.728654919523983</v>
      </c>
      <c r="D657">
        <v>2.9662563588061062</v>
      </c>
    </row>
    <row r="658" spans="2:4">
      <c r="B658" t="s">
        <v>1036</v>
      </c>
      <c r="C658">
        <v>40.178315101386254</v>
      </c>
      <c r="D658">
        <v>2.9662563588061062</v>
      </c>
    </row>
    <row r="659" spans="2:4">
      <c r="B659" t="s">
        <v>1037</v>
      </c>
      <c r="C659">
        <v>41.077635465110788</v>
      </c>
      <c r="D659">
        <v>2.9662563588061062</v>
      </c>
    </row>
    <row r="660" spans="2:4">
      <c r="B660" t="s">
        <v>1038</v>
      </c>
      <c r="C660">
        <v>41.527295646973066</v>
      </c>
      <c r="D660">
        <v>2.9662563588061062</v>
      </c>
    </row>
    <row r="661" spans="2:4">
      <c r="B661" t="s">
        <v>1039</v>
      </c>
      <c r="C661">
        <v>41.976955828835329</v>
      </c>
      <c r="D661">
        <v>2.9662563588061062</v>
      </c>
    </row>
    <row r="662" spans="2:4">
      <c r="B662" t="s">
        <v>1040</v>
      </c>
      <c r="C662">
        <v>42.426616010697607</v>
      </c>
      <c r="D662">
        <v>2.9662563588061062</v>
      </c>
    </row>
    <row r="663" spans="2:4">
      <c r="B663" t="s">
        <v>1041</v>
      </c>
      <c r="C663">
        <v>39.278994737661719</v>
      </c>
      <c r="D663">
        <v>3.4746708650688225</v>
      </c>
    </row>
    <row r="664" spans="2:4">
      <c r="B664" t="s">
        <v>1042</v>
      </c>
      <c r="C664">
        <v>39.728654919523983</v>
      </c>
      <c r="D664">
        <v>3.4746708650688225</v>
      </c>
    </row>
    <row r="665" spans="2:4">
      <c r="B665" t="s">
        <v>1043</v>
      </c>
      <c r="C665">
        <v>40.178315101386254</v>
      </c>
      <c r="D665">
        <v>3.4746708650688225</v>
      </c>
    </row>
    <row r="666" spans="2:4">
      <c r="B666" t="s">
        <v>1044</v>
      </c>
      <c r="C666">
        <v>41.527295646973066</v>
      </c>
      <c r="D666">
        <v>3.4746708650688225</v>
      </c>
    </row>
    <row r="667" spans="2:4">
      <c r="B667" t="s">
        <v>1045</v>
      </c>
      <c r="C667">
        <v>41.976955828835329</v>
      </c>
      <c r="D667">
        <v>3.4746708650688225</v>
      </c>
    </row>
    <row r="668" spans="2:4">
      <c r="B668" t="s">
        <v>1046</v>
      </c>
      <c r="C668">
        <v>42.426616010697607</v>
      </c>
      <c r="D668">
        <v>3.4746708650688225</v>
      </c>
    </row>
    <row r="669" spans="2:4">
      <c r="B669" t="s">
        <v>1047</v>
      </c>
      <c r="C669">
        <v>42.876276192559871</v>
      </c>
      <c r="D669">
        <v>3.4746708650688225</v>
      </c>
    </row>
    <row r="670" spans="2:4">
      <c r="B670" t="s">
        <v>1048</v>
      </c>
      <c r="C670">
        <v>39.728654919523983</v>
      </c>
      <c r="D670">
        <v>3.9830853713315375</v>
      </c>
    </row>
    <row r="671" spans="2:4">
      <c r="B671" t="s">
        <v>1049</v>
      </c>
      <c r="C671">
        <v>40.178315101386247</v>
      </c>
      <c r="D671">
        <v>3.9830853713315375</v>
      </c>
    </row>
    <row r="672" spans="2:4">
      <c r="B672" t="s">
        <v>1050</v>
      </c>
      <c r="C672">
        <v>41.976955828835337</v>
      </c>
      <c r="D672">
        <v>3.9830853713315375</v>
      </c>
    </row>
    <row r="673" spans="2:4">
      <c r="B673" t="s">
        <v>1051</v>
      </c>
      <c r="C673">
        <v>42.426616010697607</v>
      </c>
      <c r="D673">
        <v>3.9830853713315375</v>
      </c>
    </row>
    <row r="674" spans="2:4">
      <c r="B674" t="s">
        <v>1052</v>
      </c>
      <c r="C674">
        <v>42.876276192559878</v>
      </c>
      <c r="D674">
        <v>3.9830853713315375</v>
      </c>
    </row>
    <row r="675" spans="2:4">
      <c r="B675" t="s">
        <v>1053</v>
      </c>
      <c r="C675">
        <v>39.728654919523983</v>
      </c>
      <c r="D675">
        <v>4.4914998775942534</v>
      </c>
    </row>
    <row r="676" spans="2:4">
      <c r="B676" t="s">
        <v>1054</v>
      </c>
      <c r="C676">
        <v>40.178315101386247</v>
      </c>
      <c r="D676">
        <v>4.4914998775942534</v>
      </c>
    </row>
    <row r="677" spans="2:4">
      <c r="B677" t="s">
        <v>1055</v>
      </c>
      <c r="C677">
        <v>42.426616010697607</v>
      </c>
      <c r="D677">
        <v>4.4914998775942534</v>
      </c>
    </row>
    <row r="678" spans="2:4">
      <c r="B678" t="s">
        <v>1056</v>
      </c>
      <c r="C678">
        <v>42.876276192559878</v>
      </c>
      <c r="D678">
        <v>4.4914998775942534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D1ED9D-4D69-4787-941D-1C98B09B0DF6}">
  <dimension ref="B9:H678"/>
  <sheetViews>
    <sheetView workbookViewId="0"/>
  </sheetViews>
  <sheetFormatPr defaultRowHeight="14.25"/>
  <sheetData>
    <row r="9" spans="2:8">
      <c r="B9" t="s">
        <v>64</v>
      </c>
      <c r="F9" t="s">
        <v>64</v>
      </c>
    </row>
    <row r="10" spans="2:8">
      <c r="B10" t="s">
        <v>53</v>
      </c>
      <c r="C10" t="s">
        <v>55</v>
      </c>
      <c r="D10" t="s">
        <v>65</v>
      </c>
      <c r="F10" t="s">
        <v>65</v>
      </c>
      <c r="G10" t="s">
        <v>53</v>
      </c>
      <c r="H10" t="s">
        <v>55</v>
      </c>
    </row>
    <row r="11" spans="2:8">
      <c r="B11" t="s">
        <v>388</v>
      </c>
      <c r="C11" t="s">
        <v>389</v>
      </c>
      <c r="D11" t="s">
        <v>389</v>
      </c>
      <c r="F11" t="s">
        <v>389</v>
      </c>
      <c r="G11" t="s">
        <v>1057</v>
      </c>
      <c r="H11" t="s">
        <v>1058</v>
      </c>
    </row>
    <row r="12" spans="2:8">
      <c r="B12" t="s">
        <v>388</v>
      </c>
      <c r="C12" t="s">
        <v>390</v>
      </c>
      <c r="D12" t="s">
        <v>390</v>
      </c>
      <c r="F12" t="s">
        <v>390</v>
      </c>
      <c r="G12" t="s">
        <v>1057</v>
      </c>
      <c r="H12" t="s">
        <v>1058</v>
      </c>
    </row>
    <row r="13" spans="2:8">
      <c r="B13" t="s">
        <v>388</v>
      </c>
      <c r="C13" t="s">
        <v>391</v>
      </c>
      <c r="D13" t="s">
        <v>391</v>
      </c>
      <c r="F13" t="s">
        <v>391</v>
      </c>
      <c r="G13" t="s">
        <v>1057</v>
      </c>
      <c r="H13" t="s">
        <v>1058</v>
      </c>
    </row>
    <row r="14" spans="2:8">
      <c r="B14" t="s">
        <v>388</v>
      </c>
      <c r="C14" t="s">
        <v>392</v>
      </c>
      <c r="D14" t="s">
        <v>392</v>
      </c>
      <c r="F14" t="s">
        <v>392</v>
      </c>
      <c r="G14" t="s">
        <v>1057</v>
      </c>
      <c r="H14" t="s">
        <v>1058</v>
      </c>
    </row>
    <row r="15" spans="2:8">
      <c r="B15" t="s">
        <v>388</v>
      </c>
      <c r="C15" t="s">
        <v>393</v>
      </c>
      <c r="D15" t="s">
        <v>393</v>
      </c>
      <c r="F15" t="s">
        <v>393</v>
      </c>
      <c r="G15" t="s">
        <v>1057</v>
      </c>
      <c r="H15" t="s">
        <v>1058</v>
      </c>
    </row>
    <row r="16" spans="2:8">
      <c r="B16" t="s">
        <v>388</v>
      </c>
      <c r="C16" t="s">
        <v>394</v>
      </c>
      <c r="D16" t="s">
        <v>394</v>
      </c>
      <c r="F16" t="s">
        <v>394</v>
      </c>
      <c r="G16" t="s">
        <v>1057</v>
      </c>
      <c r="H16" t="s">
        <v>1058</v>
      </c>
    </row>
    <row r="17" spans="2:8">
      <c r="B17" t="s">
        <v>388</v>
      </c>
      <c r="C17" t="s">
        <v>395</v>
      </c>
      <c r="D17" t="s">
        <v>395</v>
      </c>
      <c r="F17" t="s">
        <v>395</v>
      </c>
      <c r="G17" t="s">
        <v>1057</v>
      </c>
      <c r="H17" t="s">
        <v>1059</v>
      </c>
    </row>
    <row r="18" spans="2:8">
      <c r="B18" t="s">
        <v>388</v>
      </c>
      <c r="C18" t="s">
        <v>396</v>
      </c>
      <c r="D18" t="s">
        <v>396</v>
      </c>
      <c r="F18" t="s">
        <v>396</v>
      </c>
      <c r="G18" t="s">
        <v>1057</v>
      </c>
      <c r="H18" t="s">
        <v>1059</v>
      </c>
    </row>
    <row r="19" spans="2:8">
      <c r="B19" t="s">
        <v>388</v>
      </c>
      <c r="C19" t="s">
        <v>397</v>
      </c>
      <c r="D19" t="s">
        <v>397</v>
      </c>
      <c r="F19" t="s">
        <v>397</v>
      </c>
      <c r="G19" t="s">
        <v>1057</v>
      </c>
      <c r="H19" t="s">
        <v>1060</v>
      </c>
    </row>
    <row r="20" spans="2:8">
      <c r="B20" t="s">
        <v>388</v>
      </c>
      <c r="C20" t="s">
        <v>398</v>
      </c>
      <c r="D20" t="s">
        <v>398</v>
      </c>
      <c r="F20" t="s">
        <v>398</v>
      </c>
      <c r="G20" t="s">
        <v>1057</v>
      </c>
      <c r="H20" t="s">
        <v>1061</v>
      </c>
    </row>
    <row r="21" spans="2:8">
      <c r="B21" t="s">
        <v>388</v>
      </c>
      <c r="C21" t="s">
        <v>399</v>
      </c>
      <c r="D21" t="s">
        <v>399</v>
      </c>
      <c r="F21" t="s">
        <v>399</v>
      </c>
      <c r="G21" t="s">
        <v>1057</v>
      </c>
      <c r="H21" t="s">
        <v>1061</v>
      </c>
    </row>
    <row r="22" spans="2:8">
      <c r="B22" t="s">
        <v>388</v>
      </c>
      <c r="C22" t="s">
        <v>400</v>
      </c>
      <c r="D22" t="s">
        <v>400</v>
      </c>
      <c r="F22" t="s">
        <v>400</v>
      </c>
      <c r="G22" t="s">
        <v>1057</v>
      </c>
      <c r="H22" t="s">
        <v>1061</v>
      </c>
    </row>
    <row r="23" spans="2:8">
      <c r="B23" t="s">
        <v>388</v>
      </c>
      <c r="C23" t="s">
        <v>401</v>
      </c>
      <c r="D23" t="s">
        <v>401</v>
      </c>
      <c r="F23" t="s">
        <v>401</v>
      </c>
      <c r="G23" t="s">
        <v>1057</v>
      </c>
      <c r="H23" t="s">
        <v>1061</v>
      </c>
    </row>
    <row r="24" spans="2:8">
      <c r="B24" t="s">
        <v>388</v>
      </c>
      <c r="C24" t="s">
        <v>402</v>
      </c>
      <c r="D24" t="s">
        <v>402</v>
      </c>
      <c r="F24" t="s">
        <v>402</v>
      </c>
      <c r="G24" t="s">
        <v>1057</v>
      </c>
      <c r="H24" t="s">
        <v>1060</v>
      </c>
    </row>
    <row r="25" spans="2:8">
      <c r="B25" t="s">
        <v>388</v>
      </c>
      <c r="C25" t="s">
        <v>403</v>
      </c>
      <c r="D25" t="s">
        <v>403</v>
      </c>
      <c r="F25" t="s">
        <v>403</v>
      </c>
      <c r="G25" t="s">
        <v>1057</v>
      </c>
      <c r="H25" t="s">
        <v>1061</v>
      </c>
    </row>
    <row r="26" spans="2:8">
      <c r="B26" t="s">
        <v>388</v>
      </c>
      <c r="C26" t="s">
        <v>404</v>
      </c>
      <c r="D26" t="s">
        <v>404</v>
      </c>
      <c r="F26" t="s">
        <v>404</v>
      </c>
      <c r="G26" t="s">
        <v>1057</v>
      </c>
      <c r="H26" t="s">
        <v>1061</v>
      </c>
    </row>
    <row r="27" spans="2:8">
      <c r="B27" t="s">
        <v>388</v>
      </c>
      <c r="C27" t="s">
        <v>405</v>
      </c>
      <c r="D27" t="s">
        <v>405</v>
      </c>
      <c r="F27" t="s">
        <v>405</v>
      </c>
      <c r="G27" t="s">
        <v>1057</v>
      </c>
      <c r="H27" t="s">
        <v>1061</v>
      </c>
    </row>
    <row r="28" spans="2:8">
      <c r="B28" t="s">
        <v>388</v>
      </c>
      <c r="C28" t="s">
        <v>406</v>
      </c>
      <c r="D28" t="s">
        <v>406</v>
      </c>
      <c r="F28" t="s">
        <v>406</v>
      </c>
      <c r="G28" t="s">
        <v>1057</v>
      </c>
      <c r="H28" t="s">
        <v>1059</v>
      </c>
    </row>
    <row r="29" spans="2:8">
      <c r="B29" t="s">
        <v>388</v>
      </c>
      <c r="C29" t="s">
        <v>407</v>
      </c>
      <c r="D29" t="s">
        <v>407</v>
      </c>
      <c r="F29" t="s">
        <v>407</v>
      </c>
      <c r="G29" t="s">
        <v>1057</v>
      </c>
      <c r="H29" t="s">
        <v>1062</v>
      </c>
    </row>
    <row r="30" spans="2:8">
      <c r="B30" t="s">
        <v>388</v>
      </c>
      <c r="C30" t="s">
        <v>408</v>
      </c>
      <c r="D30" t="s">
        <v>408</v>
      </c>
      <c r="F30" t="s">
        <v>408</v>
      </c>
      <c r="G30" t="s">
        <v>1057</v>
      </c>
      <c r="H30" t="s">
        <v>1061</v>
      </c>
    </row>
    <row r="31" spans="2:8">
      <c r="B31" t="s">
        <v>388</v>
      </c>
      <c r="C31" t="s">
        <v>409</v>
      </c>
      <c r="D31" t="s">
        <v>409</v>
      </c>
      <c r="F31" t="s">
        <v>409</v>
      </c>
      <c r="G31" t="s">
        <v>1057</v>
      </c>
      <c r="H31" t="s">
        <v>1061</v>
      </c>
    </row>
    <row r="32" spans="2:8">
      <c r="B32" t="s">
        <v>388</v>
      </c>
      <c r="C32" t="s">
        <v>410</v>
      </c>
      <c r="D32" t="s">
        <v>410</v>
      </c>
      <c r="F32" t="s">
        <v>410</v>
      </c>
      <c r="G32" t="s">
        <v>1057</v>
      </c>
      <c r="H32" t="s">
        <v>1059</v>
      </c>
    </row>
    <row r="33" spans="2:8">
      <c r="B33" t="s">
        <v>388</v>
      </c>
      <c r="C33" t="s">
        <v>411</v>
      </c>
      <c r="D33" t="s">
        <v>411</v>
      </c>
      <c r="F33" t="s">
        <v>411</v>
      </c>
      <c r="G33" t="s">
        <v>1057</v>
      </c>
      <c r="H33" t="s">
        <v>1063</v>
      </c>
    </row>
    <row r="34" spans="2:8">
      <c r="B34" t="s">
        <v>388</v>
      </c>
      <c r="C34" t="s">
        <v>412</v>
      </c>
      <c r="D34" t="s">
        <v>412</v>
      </c>
      <c r="F34" t="s">
        <v>412</v>
      </c>
      <c r="G34" t="s">
        <v>1057</v>
      </c>
      <c r="H34" t="s">
        <v>1059</v>
      </c>
    </row>
    <row r="35" spans="2:8">
      <c r="B35" t="s">
        <v>388</v>
      </c>
      <c r="C35" t="s">
        <v>413</v>
      </c>
      <c r="D35" t="s">
        <v>413</v>
      </c>
      <c r="F35" t="s">
        <v>413</v>
      </c>
      <c r="G35" t="s">
        <v>1057</v>
      </c>
      <c r="H35" t="s">
        <v>1059</v>
      </c>
    </row>
    <row r="36" spans="2:8">
      <c r="B36" t="s">
        <v>388</v>
      </c>
      <c r="C36" t="s">
        <v>414</v>
      </c>
      <c r="D36" t="s">
        <v>414</v>
      </c>
      <c r="F36" t="s">
        <v>414</v>
      </c>
      <c r="G36" t="s">
        <v>1057</v>
      </c>
      <c r="H36" t="s">
        <v>1061</v>
      </c>
    </row>
    <row r="37" spans="2:8">
      <c r="B37" t="s">
        <v>388</v>
      </c>
      <c r="C37" t="s">
        <v>415</v>
      </c>
      <c r="D37" t="s">
        <v>415</v>
      </c>
      <c r="F37" t="s">
        <v>415</v>
      </c>
      <c r="G37" t="s">
        <v>1057</v>
      </c>
      <c r="H37" t="s">
        <v>1061</v>
      </c>
    </row>
    <row r="38" spans="2:8">
      <c r="B38" t="s">
        <v>388</v>
      </c>
      <c r="C38" t="s">
        <v>416</v>
      </c>
      <c r="D38" t="s">
        <v>416</v>
      </c>
      <c r="F38" t="s">
        <v>416</v>
      </c>
      <c r="G38" t="s">
        <v>1057</v>
      </c>
      <c r="H38" t="s">
        <v>1061</v>
      </c>
    </row>
    <row r="39" spans="2:8">
      <c r="B39" t="s">
        <v>388</v>
      </c>
      <c r="C39" t="s">
        <v>417</v>
      </c>
      <c r="D39" t="s">
        <v>417</v>
      </c>
      <c r="F39" t="s">
        <v>417</v>
      </c>
      <c r="G39" t="s">
        <v>1057</v>
      </c>
      <c r="H39" t="s">
        <v>1062</v>
      </c>
    </row>
    <row r="40" spans="2:8">
      <c r="B40" t="s">
        <v>388</v>
      </c>
      <c r="C40" t="s">
        <v>418</v>
      </c>
      <c r="D40" t="s">
        <v>418</v>
      </c>
      <c r="F40" t="s">
        <v>418</v>
      </c>
      <c r="G40" t="s">
        <v>1057</v>
      </c>
      <c r="H40" t="s">
        <v>1062</v>
      </c>
    </row>
    <row r="41" spans="2:8">
      <c r="B41" t="s">
        <v>388</v>
      </c>
      <c r="C41" t="s">
        <v>419</v>
      </c>
      <c r="D41" t="s">
        <v>419</v>
      </c>
      <c r="F41" t="s">
        <v>419</v>
      </c>
      <c r="G41" t="s">
        <v>1057</v>
      </c>
      <c r="H41" t="s">
        <v>1063</v>
      </c>
    </row>
    <row r="42" spans="2:8">
      <c r="B42" t="s">
        <v>388</v>
      </c>
      <c r="C42" t="s">
        <v>420</v>
      </c>
      <c r="D42" t="s">
        <v>420</v>
      </c>
      <c r="F42" t="s">
        <v>420</v>
      </c>
      <c r="G42" t="s">
        <v>1057</v>
      </c>
      <c r="H42" t="s">
        <v>1063</v>
      </c>
    </row>
    <row r="43" spans="2:8">
      <c r="B43" t="s">
        <v>388</v>
      </c>
      <c r="C43" t="s">
        <v>421</v>
      </c>
      <c r="D43" t="s">
        <v>421</v>
      </c>
      <c r="F43" t="s">
        <v>421</v>
      </c>
      <c r="G43" t="s">
        <v>1057</v>
      </c>
      <c r="H43" t="s">
        <v>1063</v>
      </c>
    </row>
    <row r="44" spans="2:8">
      <c r="B44" t="s">
        <v>388</v>
      </c>
      <c r="C44" t="s">
        <v>422</v>
      </c>
      <c r="D44" t="s">
        <v>422</v>
      </c>
      <c r="F44" t="s">
        <v>422</v>
      </c>
      <c r="G44" t="s">
        <v>1057</v>
      </c>
      <c r="H44" t="s">
        <v>1063</v>
      </c>
    </row>
    <row r="45" spans="2:8">
      <c r="B45" t="s">
        <v>388</v>
      </c>
      <c r="C45" t="s">
        <v>423</v>
      </c>
      <c r="D45" t="s">
        <v>423</v>
      </c>
      <c r="F45" t="s">
        <v>423</v>
      </c>
      <c r="G45" t="s">
        <v>1057</v>
      </c>
      <c r="H45" t="s">
        <v>1058</v>
      </c>
    </row>
    <row r="46" spans="2:8">
      <c r="B46" t="s">
        <v>388</v>
      </c>
      <c r="C46" t="s">
        <v>424</v>
      </c>
      <c r="D46" t="s">
        <v>424</v>
      </c>
      <c r="F46" t="s">
        <v>424</v>
      </c>
      <c r="G46" t="s">
        <v>1057</v>
      </c>
      <c r="H46" t="s">
        <v>1060</v>
      </c>
    </row>
    <row r="47" spans="2:8">
      <c r="B47" t="s">
        <v>388</v>
      </c>
      <c r="C47" t="s">
        <v>425</v>
      </c>
      <c r="D47" t="s">
        <v>425</v>
      </c>
      <c r="F47" t="s">
        <v>425</v>
      </c>
      <c r="G47" t="s">
        <v>1057</v>
      </c>
      <c r="H47" t="s">
        <v>1061</v>
      </c>
    </row>
    <row r="48" spans="2:8">
      <c r="B48" t="s">
        <v>388</v>
      </c>
      <c r="C48" t="s">
        <v>426</v>
      </c>
      <c r="D48" t="s">
        <v>426</v>
      </c>
      <c r="F48" t="s">
        <v>426</v>
      </c>
      <c r="G48" t="s">
        <v>1057</v>
      </c>
      <c r="H48" t="s">
        <v>1059</v>
      </c>
    </row>
    <row r="49" spans="2:8">
      <c r="B49" t="s">
        <v>388</v>
      </c>
      <c r="C49" t="s">
        <v>427</v>
      </c>
      <c r="D49" t="s">
        <v>427</v>
      </c>
      <c r="F49" t="s">
        <v>427</v>
      </c>
      <c r="G49" t="s">
        <v>1057</v>
      </c>
      <c r="H49" t="s">
        <v>1060</v>
      </c>
    </row>
    <row r="50" spans="2:8">
      <c r="B50" t="s">
        <v>388</v>
      </c>
      <c r="C50" t="s">
        <v>428</v>
      </c>
      <c r="D50" t="s">
        <v>428</v>
      </c>
      <c r="F50" t="s">
        <v>428</v>
      </c>
      <c r="G50" t="s">
        <v>1057</v>
      </c>
      <c r="H50" t="s">
        <v>1062</v>
      </c>
    </row>
    <row r="51" spans="2:8">
      <c r="B51" t="s">
        <v>388</v>
      </c>
      <c r="C51" t="s">
        <v>429</v>
      </c>
      <c r="D51" t="s">
        <v>429</v>
      </c>
      <c r="F51" t="s">
        <v>429</v>
      </c>
      <c r="G51" t="s">
        <v>1057</v>
      </c>
      <c r="H51" t="s">
        <v>1062</v>
      </c>
    </row>
    <row r="52" spans="2:8">
      <c r="B52" t="s">
        <v>388</v>
      </c>
      <c r="C52" t="s">
        <v>430</v>
      </c>
      <c r="D52" t="s">
        <v>430</v>
      </c>
      <c r="F52" t="s">
        <v>430</v>
      </c>
      <c r="G52" t="s">
        <v>1057</v>
      </c>
      <c r="H52" t="s">
        <v>1061</v>
      </c>
    </row>
    <row r="53" spans="2:8">
      <c r="B53" t="s">
        <v>388</v>
      </c>
      <c r="C53" t="s">
        <v>431</v>
      </c>
      <c r="D53" t="s">
        <v>431</v>
      </c>
      <c r="F53" t="s">
        <v>431</v>
      </c>
      <c r="G53" t="s">
        <v>1057</v>
      </c>
      <c r="H53" t="s">
        <v>1059</v>
      </c>
    </row>
    <row r="54" spans="2:8">
      <c r="B54" t="s">
        <v>388</v>
      </c>
      <c r="C54" t="s">
        <v>432</v>
      </c>
      <c r="D54" t="s">
        <v>432</v>
      </c>
      <c r="F54" t="s">
        <v>432</v>
      </c>
      <c r="G54" t="s">
        <v>1057</v>
      </c>
      <c r="H54" t="s">
        <v>1059</v>
      </c>
    </row>
    <row r="55" spans="2:8">
      <c r="B55" t="s">
        <v>388</v>
      </c>
      <c r="C55" t="s">
        <v>433</v>
      </c>
      <c r="D55" t="s">
        <v>433</v>
      </c>
      <c r="F55" t="s">
        <v>433</v>
      </c>
      <c r="G55" t="s">
        <v>1057</v>
      </c>
      <c r="H55" t="s">
        <v>1059</v>
      </c>
    </row>
    <row r="56" spans="2:8">
      <c r="B56" t="s">
        <v>388</v>
      </c>
      <c r="C56" t="s">
        <v>434</v>
      </c>
      <c r="D56" t="s">
        <v>434</v>
      </c>
      <c r="F56" t="s">
        <v>434</v>
      </c>
      <c r="G56" t="s">
        <v>1057</v>
      </c>
      <c r="H56" t="s">
        <v>1062</v>
      </c>
    </row>
    <row r="57" spans="2:8">
      <c r="B57" t="s">
        <v>388</v>
      </c>
      <c r="C57" t="s">
        <v>435</v>
      </c>
      <c r="D57" t="s">
        <v>435</v>
      </c>
      <c r="F57" t="s">
        <v>435</v>
      </c>
      <c r="G57" t="s">
        <v>1057</v>
      </c>
      <c r="H57" t="s">
        <v>1063</v>
      </c>
    </row>
    <row r="58" spans="2:8">
      <c r="B58" t="s">
        <v>388</v>
      </c>
      <c r="C58" t="s">
        <v>436</v>
      </c>
      <c r="D58" t="s">
        <v>436</v>
      </c>
      <c r="F58" t="s">
        <v>436</v>
      </c>
      <c r="G58" t="s">
        <v>1057</v>
      </c>
      <c r="H58" t="s">
        <v>1062</v>
      </c>
    </row>
    <row r="59" spans="2:8">
      <c r="B59" t="s">
        <v>388</v>
      </c>
      <c r="C59" t="s">
        <v>437</v>
      </c>
      <c r="D59" t="s">
        <v>437</v>
      </c>
      <c r="F59" t="s">
        <v>437</v>
      </c>
      <c r="G59" t="s">
        <v>1057</v>
      </c>
      <c r="H59" t="s">
        <v>1061</v>
      </c>
    </row>
    <row r="60" spans="2:8">
      <c r="B60" t="s">
        <v>388</v>
      </c>
      <c r="C60" t="s">
        <v>438</v>
      </c>
      <c r="D60" t="s">
        <v>438</v>
      </c>
      <c r="F60" t="s">
        <v>438</v>
      </c>
      <c r="G60" t="s">
        <v>1057</v>
      </c>
      <c r="H60" t="s">
        <v>1062</v>
      </c>
    </row>
    <row r="61" spans="2:8">
      <c r="B61" t="s">
        <v>388</v>
      </c>
      <c r="C61" t="s">
        <v>439</v>
      </c>
      <c r="D61" t="s">
        <v>439</v>
      </c>
      <c r="F61" t="s">
        <v>439</v>
      </c>
      <c r="G61" t="s">
        <v>1057</v>
      </c>
      <c r="H61" t="s">
        <v>1059</v>
      </c>
    </row>
    <row r="62" spans="2:8">
      <c r="B62" t="s">
        <v>388</v>
      </c>
      <c r="C62" t="s">
        <v>440</v>
      </c>
      <c r="D62" t="s">
        <v>440</v>
      </c>
      <c r="F62" t="s">
        <v>440</v>
      </c>
      <c r="G62" t="s">
        <v>1057</v>
      </c>
      <c r="H62" t="s">
        <v>1062</v>
      </c>
    </row>
    <row r="63" spans="2:8">
      <c r="B63" t="s">
        <v>388</v>
      </c>
      <c r="C63" t="s">
        <v>441</v>
      </c>
      <c r="D63" t="s">
        <v>441</v>
      </c>
      <c r="F63" t="s">
        <v>441</v>
      </c>
      <c r="G63" t="s">
        <v>1057</v>
      </c>
      <c r="H63" t="s">
        <v>1060</v>
      </c>
    </row>
    <row r="64" spans="2:8">
      <c r="B64" t="s">
        <v>388</v>
      </c>
      <c r="C64" t="s">
        <v>442</v>
      </c>
      <c r="D64" t="s">
        <v>442</v>
      </c>
      <c r="F64" t="s">
        <v>442</v>
      </c>
      <c r="G64" t="s">
        <v>1057</v>
      </c>
      <c r="H64" t="s">
        <v>1061</v>
      </c>
    </row>
    <row r="65" spans="2:8">
      <c r="B65" t="s">
        <v>388</v>
      </c>
      <c r="C65" t="s">
        <v>443</v>
      </c>
      <c r="D65" t="s">
        <v>443</v>
      </c>
      <c r="F65" t="s">
        <v>443</v>
      </c>
      <c r="G65" t="s">
        <v>1057</v>
      </c>
      <c r="H65" t="s">
        <v>1061</v>
      </c>
    </row>
    <row r="66" spans="2:8">
      <c r="B66" t="s">
        <v>388</v>
      </c>
      <c r="C66" t="s">
        <v>444</v>
      </c>
      <c r="D66" t="s">
        <v>444</v>
      </c>
      <c r="F66" t="s">
        <v>444</v>
      </c>
      <c r="G66" t="s">
        <v>1057</v>
      </c>
      <c r="H66" t="s">
        <v>1061</v>
      </c>
    </row>
    <row r="67" spans="2:8">
      <c r="B67" t="s">
        <v>388</v>
      </c>
      <c r="C67" t="s">
        <v>445</v>
      </c>
      <c r="D67" t="s">
        <v>445</v>
      </c>
      <c r="F67" t="s">
        <v>445</v>
      </c>
      <c r="G67" t="s">
        <v>1057</v>
      </c>
      <c r="H67" t="s">
        <v>1063</v>
      </c>
    </row>
    <row r="68" spans="2:8">
      <c r="B68" t="s">
        <v>388</v>
      </c>
      <c r="C68" t="s">
        <v>446</v>
      </c>
      <c r="D68" t="s">
        <v>446</v>
      </c>
      <c r="F68" t="s">
        <v>446</v>
      </c>
      <c r="G68" t="s">
        <v>1057</v>
      </c>
      <c r="H68" t="s">
        <v>1061</v>
      </c>
    </row>
    <row r="69" spans="2:8">
      <c r="B69" t="s">
        <v>388</v>
      </c>
      <c r="C69" t="s">
        <v>447</v>
      </c>
      <c r="D69" t="s">
        <v>447</v>
      </c>
      <c r="F69" t="s">
        <v>447</v>
      </c>
      <c r="G69" t="s">
        <v>1057</v>
      </c>
      <c r="H69" t="s">
        <v>1061</v>
      </c>
    </row>
    <row r="70" spans="2:8">
      <c r="B70" t="s">
        <v>388</v>
      </c>
      <c r="C70" t="s">
        <v>448</v>
      </c>
      <c r="D70" t="s">
        <v>448</v>
      </c>
      <c r="F70" t="s">
        <v>448</v>
      </c>
      <c r="G70" t="s">
        <v>1057</v>
      </c>
      <c r="H70" t="s">
        <v>1063</v>
      </c>
    </row>
    <row r="71" spans="2:8">
      <c r="B71" t="s">
        <v>388</v>
      </c>
      <c r="C71" t="s">
        <v>449</v>
      </c>
      <c r="D71" t="s">
        <v>449</v>
      </c>
      <c r="F71" t="s">
        <v>449</v>
      </c>
      <c r="G71" t="s">
        <v>1057</v>
      </c>
      <c r="H71" t="s">
        <v>1063</v>
      </c>
    </row>
    <row r="72" spans="2:8">
      <c r="B72" t="s">
        <v>388</v>
      </c>
      <c r="C72" t="s">
        <v>450</v>
      </c>
      <c r="D72" t="s">
        <v>450</v>
      </c>
      <c r="F72" t="s">
        <v>450</v>
      </c>
      <c r="G72" t="s">
        <v>1057</v>
      </c>
      <c r="H72" t="s">
        <v>1063</v>
      </c>
    </row>
    <row r="73" spans="2:8">
      <c r="B73" t="s">
        <v>388</v>
      </c>
      <c r="C73" t="s">
        <v>451</v>
      </c>
      <c r="D73" t="s">
        <v>451</v>
      </c>
      <c r="F73" t="s">
        <v>451</v>
      </c>
      <c r="G73" t="s">
        <v>1057</v>
      </c>
      <c r="H73" t="s">
        <v>1063</v>
      </c>
    </row>
    <row r="74" spans="2:8">
      <c r="B74" t="s">
        <v>388</v>
      </c>
      <c r="C74" t="s">
        <v>452</v>
      </c>
      <c r="D74" t="s">
        <v>452</v>
      </c>
      <c r="F74" t="s">
        <v>452</v>
      </c>
      <c r="G74" t="s">
        <v>1057</v>
      </c>
      <c r="H74" t="s">
        <v>1063</v>
      </c>
    </row>
    <row r="75" spans="2:8">
      <c r="B75" t="s">
        <v>388</v>
      </c>
      <c r="C75" t="s">
        <v>453</v>
      </c>
      <c r="D75" t="s">
        <v>453</v>
      </c>
      <c r="F75" t="s">
        <v>453</v>
      </c>
      <c r="G75" t="s">
        <v>1057</v>
      </c>
      <c r="H75" t="s">
        <v>1063</v>
      </c>
    </row>
    <row r="76" spans="2:8">
      <c r="B76" t="s">
        <v>388</v>
      </c>
      <c r="C76" t="s">
        <v>454</v>
      </c>
      <c r="D76" t="s">
        <v>454</v>
      </c>
      <c r="F76" t="s">
        <v>454</v>
      </c>
      <c r="G76" t="s">
        <v>1057</v>
      </c>
      <c r="H76" t="s">
        <v>1059</v>
      </c>
    </row>
    <row r="77" spans="2:8">
      <c r="B77" t="s">
        <v>388</v>
      </c>
      <c r="C77" t="s">
        <v>455</v>
      </c>
      <c r="D77" t="s">
        <v>455</v>
      </c>
      <c r="F77" t="s">
        <v>455</v>
      </c>
      <c r="G77" t="s">
        <v>1057</v>
      </c>
      <c r="H77" t="s">
        <v>1059</v>
      </c>
    </row>
    <row r="78" spans="2:8">
      <c r="B78" t="s">
        <v>388</v>
      </c>
      <c r="C78" t="s">
        <v>456</v>
      </c>
      <c r="D78" t="s">
        <v>456</v>
      </c>
      <c r="F78" t="s">
        <v>456</v>
      </c>
      <c r="G78" t="s">
        <v>1057</v>
      </c>
      <c r="H78" t="s">
        <v>1059</v>
      </c>
    </row>
    <row r="79" spans="2:8">
      <c r="B79" t="s">
        <v>388</v>
      </c>
      <c r="C79" t="s">
        <v>457</v>
      </c>
      <c r="D79" t="s">
        <v>457</v>
      </c>
      <c r="F79" t="s">
        <v>457</v>
      </c>
      <c r="G79" t="s">
        <v>1057</v>
      </c>
      <c r="H79" t="s">
        <v>1061</v>
      </c>
    </row>
    <row r="80" spans="2:8">
      <c r="B80" t="s">
        <v>388</v>
      </c>
      <c r="C80" t="s">
        <v>458</v>
      </c>
      <c r="D80" t="s">
        <v>458</v>
      </c>
      <c r="F80" t="s">
        <v>458</v>
      </c>
      <c r="G80" t="s">
        <v>1057</v>
      </c>
      <c r="H80" t="s">
        <v>1061</v>
      </c>
    </row>
    <row r="81" spans="2:8">
      <c r="B81" t="s">
        <v>388</v>
      </c>
      <c r="C81" t="s">
        <v>459</v>
      </c>
      <c r="D81" t="s">
        <v>459</v>
      </c>
      <c r="F81" t="s">
        <v>459</v>
      </c>
      <c r="G81" t="s">
        <v>1057</v>
      </c>
      <c r="H81" t="s">
        <v>1061</v>
      </c>
    </row>
    <row r="82" spans="2:8">
      <c r="B82" t="s">
        <v>388</v>
      </c>
      <c r="C82" t="s">
        <v>460</v>
      </c>
      <c r="D82" t="s">
        <v>460</v>
      </c>
      <c r="F82" t="s">
        <v>460</v>
      </c>
      <c r="G82" t="s">
        <v>1057</v>
      </c>
      <c r="H82" t="s">
        <v>1059</v>
      </c>
    </row>
    <row r="83" spans="2:8">
      <c r="B83" t="s">
        <v>388</v>
      </c>
      <c r="C83" t="s">
        <v>461</v>
      </c>
      <c r="D83" t="s">
        <v>461</v>
      </c>
      <c r="F83" t="s">
        <v>461</v>
      </c>
      <c r="G83" t="s">
        <v>1057</v>
      </c>
      <c r="H83" t="s">
        <v>1059</v>
      </c>
    </row>
    <row r="84" spans="2:8">
      <c r="B84" t="s">
        <v>388</v>
      </c>
      <c r="C84" t="s">
        <v>462</v>
      </c>
      <c r="D84" t="s">
        <v>462</v>
      </c>
      <c r="F84" t="s">
        <v>462</v>
      </c>
      <c r="G84" t="s">
        <v>1057</v>
      </c>
      <c r="H84" t="s">
        <v>1063</v>
      </c>
    </row>
    <row r="85" spans="2:8">
      <c r="B85" t="s">
        <v>388</v>
      </c>
      <c r="C85" t="s">
        <v>463</v>
      </c>
      <c r="D85" t="s">
        <v>463</v>
      </c>
      <c r="F85" t="s">
        <v>463</v>
      </c>
      <c r="G85" t="s">
        <v>1057</v>
      </c>
      <c r="H85" t="s">
        <v>1062</v>
      </c>
    </row>
    <row r="86" spans="2:8">
      <c r="B86" t="s">
        <v>388</v>
      </c>
      <c r="C86" t="s">
        <v>464</v>
      </c>
      <c r="D86" t="s">
        <v>464</v>
      </c>
      <c r="F86" t="s">
        <v>464</v>
      </c>
      <c r="G86" t="s">
        <v>1057</v>
      </c>
      <c r="H86" t="s">
        <v>1062</v>
      </c>
    </row>
    <row r="87" spans="2:8">
      <c r="B87" t="s">
        <v>388</v>
      </c>
      <c r="C87" t="s">
        <v>465</v>
      </c>
      <c r="D87" t="s">
        <v>465</v>
      </c>
      <c r="F87" t="s">
        <v>465</v>
      </c>
      <c r="G87" t="s">
        <v>1057</v>
      </c>
      <c r="H87" t="s">
        <v>1061</v>
      </c>
    </row>
    <row r="88" spans="2:8">
      <c r="B88" t="s">
        <v>388</v>
      </c>
      <c r="C88" t="s">
        <v>466</v>
      </c>
      <c r="D88" t="s">
        <v>466</v>
      </c>
      <c r="F88" t="s">
        <v>466</v>
      </c>
      <c r="G88" t="s">
        <v>1057</v>
      </c>
      <c r="H88" t="s">
        <v>1061</v>
      </c>
    </row>
    <row r="89" spans="2:8">
      <c r="B89" t="s">
        <v>388</v>
      </c>
      <c r="C89" t="s">
        <v>467</v>
      </c>
      <c r="D89" t="s">
        <v>467</v>
      </c>
      <c r="F89" t="s">
        <v>467</v>
      </c>
      <c r="G89" t="s">
        <v>1057</v>
      </c>
      <c r="H89" t="s">
        <v>1061</v>
      </c>
    </row>
    <row r="90" spans="2:8">
      <c r="B90" t="s">
        <v>388</v>
      </c>
      <c r="C90" t="s">
        <v>468</v>
      </c>
      <c r="D90" t="s">
        <v>468</v>
      </c>
      <c r="F90" t="s">
        <v>468</v>
      </c>
      <c r="G90" t="s">
        <v>1057</v>
      </c>
      <c r="H90" t="s">
        <v>1061</v>
      </c>
    </row>
    <row r="91" spans="2:8">
      <c r="B91" t="s">
        <v>388</v>
      </c>
      <c r="C91" t="s">
        <v>469</v>
      </c>
      <c r="D91" t="s">
        <v>469</v>
      </c>
      <c r="F91" t="s">
        <v>469</v>
      </c>
      <c r="G91" t="s">
        <v>1057</v>
      </c>
      <c r="H91" t="s">
        <v>1061</v>
      </c>
    </row>
    <row r="92" spans="2:8">
      <c r="B92" t="s">
        <v>388</v>
      </c>
      <c r="C92" t="s">
        <v>470</v>
      </c>
      <c r="D92" t="s">
        <v>470</v>
      </c>
      <c r="F92" t="s">
        <v>470</v>
      </c>
      <c r="G92" t="s">
        <v>1057</v>
      </c>
      <c r="H92" t="s">
        <v>1059</v>
      </c>
    </row>
    <row r="93" spans="2:8">
      <c r="B93" t="s">
        <v>388</v>
      </c>
      <c r="C93" t="s">
        <v>471</v>
      </c>
      <c r="D93" t="s">
        <v>471</v>
      </c>
      <c r="F93" t="s">
        <v>471</v>
      </c>
      <c r="G93" t="s">
        <v>1057</v>
      </c>
      <c r="H93" t="s">
        <v>1059</v>
      </c>
    </row>
    <row r="94" spans="2:8">
      <c r="B94" t="s">
        <v>388</v>
      </c>
      <c r="C94" t="s">
        <v>472</v>
      </c>
      <c r="D94" t="s">
        <v>472</v>
      </c>
      <c r="F94" t="s">
        <v>472</v>
      </c>
      <c r="G94" t="s">
        <v>1057</v>
      </c>
      <c r="H94" t="s">
        <v>1062</v>
      </c>
    </row>
    <row r="95" spans="2:8">
      <c r="B95" t="s">
        <v>388</v>
      </c>
      <c r="C95" t="s">
        <v>473</v>
      </c>
      <c r="D95" t="s">
        <v>473</v>
      </c>
      <c r="F95" t="s">
        <v>473</v>
      </c>
      <c r="G95" t="s">
        <v>1057</v>
      </c>
      <c r="H95" t="s">
        <v>1062</v>
      </c>
    </row>
    <row r="96" spans="2:8">
      <c r="B96" t="s">
        <v>388</v>
      </c>
      <c r="C96" t="s">
        <v>474</v>
      </c>
      <c r="D96" t="s">
        <v>474</v>
      </c>
      <c r="F96" t="s">
        <v>474</v>
      </c>
      <c r="G96" t="s">
        <v>1057</v>
      </c>
      <c r="H96" t="s">
        <v>1060</v>
      </c>
    </row>
    <row r="97" spans="2:8">
      <c r="B97" t="s">
        <v>388</v>
      </c>
      <c r="C97" t="s">
        <v>475</v>
      </c>
      <c r="D97" t="s">
        <v>475</v>
      </c>
      <c r="F97" t="s">
        <v>475</v>
      </c>
      <c r="G97" t="s">
        <v>1057</v>
      </c>
      <c r="H97" t="s">
        <v>1062</v>
      </c>
    </row>
    <row r="98" spans="2:8">
      <c r="B98" t="s">
        <v>388</v>
      </c>
      <c r="C98" t="s">
        <v>476</v>
      </c>
      <c r="D98" t="s">
        <v>476</v>
      </c>
      <c r="F98" t="s">
        <v>476</v>
      </c>
      <c r="G98" t="s">
        <v>1057</v>
      </c>
      <c r="H98" t="s">
        <v>1062</v>
      </c>
    </row>
    <row r="99" spans="2:8">
      <c r="B99" t="s">
        <v>388</v>
      </c>
      <c r="C99" t="s">
        <v>477</v>
      </c>
      <c r="D99" t="s">
        <v>477</v>
      </c>
      <c r="F99" t="s">
        <v>477</v>
      </c>
      <c r="G99" t="s">
        <v>1057</v>
      </c>
      <c r="H99" t="s">
        <v>1061</v>
      </c>
    </row>
    <row r="100" spans="2:8">
      <c r="B100" t="s">
        <v>388</v>
      </c>
      <c r="C100" t="s">
        <v>478</v>
      </c>
      <c r="D100" t="s">
        <v>478</v>
      </c>
      <c r="F100" t="s">
        <v>478</v>
      </c>
      <c r="G100" t="s">
        <v>1057</v>
      </c>
      <c r="H100" t="s">
        <v>1058</v>
      </c>
    </row>
    <row r="101" spans="2:8">
      <c r="B101" t="s">
        <v>388</v>
      </c>
      <c r="C101" t="s">
        <v>479</v>
      </c>
      <c r="D101" t="s">
        <v>479</v>
      </c>
      <c r="F101" t="s">
        <v>479</v>
      </c>
      <c r="G101" t="s">
        <v>1057</v>
      </c>
      <c r="H101" t="s">
        <v>1063</v>
      </c>
    </row>
    <row r="102" spans="2:8">
      <c r="B102" t="s">
        <v>388</v>
      </c>
      <c r="C102" t="s">
        <v>480</v>
      </c>
      <c r="D102" t="s">
        <v>480</v>
      </c>
      <c r="F102" t="s">
        <v>480</v>
      </c>
      <c r="G102" t="s">
        <v>1057</v>
      </c>
      <c r="H102" t="s">
        <v>1063</v>
      </c>
    </row>
    <row r="103" spans="2:8">
      <c r="B103" t="s">
        <v>388</v>
      </c>
      <c r="C103" t="s">
        <v>481</v>
      </c>
      <c r="D103" t="s">
        <v>481</v>
      </c>
      <c r="F103" t="s">
        <v>481</v>
      </c>
      <c r="G103" t="s">
        <v>1057</v>
      </c>
      <c r="H103" t="s">
        <v>1063</v>
      </c>
    </row>
    <row r="104" spans="2:8">
      <c r="B104" t="s">
        <v>388</v>
      </c>
      <c r="C104" t="s">
        <v>482</v>
      </c>
      <c r="D104" t="s">
        <v>482</v>
      </c>
      <c r="F104" t="s">
        <v>482</v>
      </c>
      <c r="G104" t="s">
        <v>1057</v>
      </c>
      <c r="H104" t="s">
        <v>1061</v>
      </c>
    </row>
    <row r="105" spans="2:8">
      <c r="B105" t="s">
        <v>388</v>
      </c>
      <c r="C105" t="s">
        <v>483</v>
      </c>
      <c r="D105" t="s">
        <v>483</v>
      </c>
      <c r="F105" t="s">
        <v>483</v>
      </c>
      <c r="G105" t="s">
        <v>1057</v>
      </c>
      <c r="H105" t="s">
        <v>1058</v>
      </c>
    </row>
    <row r="106" spans="2:8">
      <c r="B106" t="s">
        <v>388</v>
      </c>
      <c r="C106" t="s">
        <v>484</v>
      </c>
      <c r="D106" t="s">
        <v>484</v>
      </c>
      <c r="F106" t="s">
        <v>484</v>
      </c>
      <c r="G106" t="s">
        <v>1057</v>
      </c>
      <c r="H106" t="s">
        <v>1061</v>
      </c>
    </row>
    <row r="107" spans="2:8">
      <c r="B107" t="s">
        <v>388</v>
      </c>
      <c r="C107" t="s">
        <v>485</v>
      </c>
      <c r="D107" t="s">
        <v>485</v>
      </c>
      <c r="F107" t="s">
        <v>485</v>
      </c>
      <c r="G107" t="s">
        <v>1057</v>
      </c>
      <c r="H107" t="s">
        <v>1063</v>
      </c>
    </row>
    <row r="108" spans="2:8">
      <c r="B108" t="s">
        <v>388</v>
      </c>
      <c r="C108" t="s">
        <v>486</v>
      </c>
      <c r="D108" t="s">
        <v>486</v>
      </c>
      <c r="F108" t="s">
        <v>486</v>
      </c>
      <c r="G108" t="s">
        <v>1057</v>
      </c>
      <c r="H108" t="s">
        <v>1063</v>
      </c>
    </row>
    <row r="109" spans="2:8">
      <c r="B109" t="s">
        <v>388</v>
      </c>
      <c r="C109" t="s">
        <v>487</v>
      </c>
      <c r="D109" t="s">
        <v>487</v>
      </c>
      <c r="F109" t="s">
        <v>487</v>
      </c>
      <c r="G109" t="s">
        <v>1057</v>
      </c>
      <c r="H109" t="s">
        <v>1063</v>
      </c>
    </row>
    <row r="110" spans="2:8">
      <c r="B110" t="s">
        <v>388</v>
      </c>
      <c r="C110" t="s">
        <v>488</v>
      </c>
      <c r="D110" t="s">
        <v>488</v>
      </c>
      <c r="F110" t="s">
        <v>488</v>
      </c>
      <c r="G110" t="s">
        <v>1057</v>
      </c>
      <c r="H110" t="s">
        <v>1063</v>
      </c>
    </row>
    <row r="111" spans="2:8">
      <c r="B111" t="s">
        <v>388</v>
      </c>
      <c r="C111" t="s">
        <v>489</v>
      </c>
      <c r="D111" t="s">
        <v>489</v>
      </c>
      <c r="F111" t="s">
        <v>489</v>
      </c>
      <c r="G111" t="s">
        <v>1057</v>
      </c>
      <c r="H111" t="s">
        <v>1059</v>
      </c>
    </row>
    <row r="112" spans="2:8">
      <c r="B112" t="s">
        <v>388</v>
      </c>
      <c r="C112" t="s">
        <v>490</v>
      </c>
      <c r="D112" t="s">
        <v>490</v>
      </c>
      <c r="F112" t="s">
        <v>490</v>
      </c>
      <c r="G112" t="s">
        <v>1057</v>
      </c>
      <c r="H112" t="s">
        <v>1059</v>
      </c>
    </row>
    <row r="113" spans="2:8">
      <c r="B113" t="s">
        <v>388</v>
      </c>
      <c r="C113" t="s">
        <v>491</v>
      </c>
      <c r="D113" t="s">
        <v>491</v>
      </c>
      <c r="F113" t="s">
        <v>491</v>
      </c>
      <c r="G113" t="s">
        <v>1057</v>
      </c>
      <c r="H113" t="s">
        <v>1061</v>
      </c>
    </row>
    <row r="114" spans="2:8">
      <c r="B114" t="s">
        <v>388</v>
      </c>
      <c r="C114" t="s">
        <v>492</v>
      </c>
      <c r="D114" t="s">
        <v>492</v>
      </c>
      <c r="F114" t="s">
        <v>492</v>
      </c>
      <c r="G114" t="s">
        <v>1057</v>
      </c>
      <c r="H114" t="s">
        <v>1059</v>
      </c>
    </row>
    <row r="115" spans="2:8">
      <c r="B115" t="s">
        <v>388</v>
      </c>
      <c r="C115" t="s">
        <v>493</v>
      </c>
      <c r="D115" t="s">
        <v>493</v>
      </c>
      <c r="F115" t="s">
        <v>493</v>
      </c>
      <c r="G115" t="s">
        <v>1057</v>
      </c>
      <c r="H115" t="s">
        <v>1061</v>
      </c>
    </row>
    <row r="116" spans="2:8">
      <c r="B116" t="s">
        <v>388</v>
      </c>
      <c r="C116" t="s">
        <v>494</v>
      </c>
      <c r="D116" t="s">
        <v>494</v>
      </c>
      <c r="F116" t="s">
        <v>494</v>
      </c>
      <c r="G116" t="s">
        <v>1057</v>
      </c>
      <c r="H116" t="s">
        <v>1063</v>
      </c>
    </row>
    <row r="117" spans="2:8">
      <c r="B117" t="s">
        <v>388</v>
      </c>
      <c r="C117" t="s">
        <v>495</v>
      </c>
      <c r="D117" t="s">
        <v>495</v>
      </c>
      <c r="F117" t="s">
        <v>495</v>
      </c>
      <c r="G117" t="s">
        <v>1057</v>
      </c>
      <c r="H117" t="s">
        <v>1062</v>
      </c>
    </row>
    <row r="118" spans="2:8">
      <c r="B118" t="s">
        <v>388</v>
      </c>
      <c r="C118" t="s">
        <v>496</v>
      </c>
      <c r="D118" t="s">
        <v>496</v>
      </c>
      <c r="F118" t="s">
        <v>496</v>
      </c>
      <c r="G118" t="s">
        <v>1057</v>
      </c>
      <c r="H118" t="s">
        <v>1062</v>
      </c>
    </row>
    <row r="119" spans="2:8">
      <c r="B119" t="s">
        <v>388</v>
      </c>
      <c r="C119" t="s">
        <v>497</v>
      </c>
      <c r="D119" t="s">
        <v>497</v>
      </c>
      <c r="F119" t="s">
        <v>497</v>
      </c>
      <c r="G119" t="s">
        <v>1057</v>
      </c>
      <c r="H119" t="s">
        <v>1060</v>
      </c>
    </row>
    <row r="120" spans="2:8">
      <c r="B120" t="s">
        <v>388</v>
      </c>
      <c r="C120" t="s">
        <v>498</v>
      </c>
      <c r="D120" t="s">
        <v>498</v>
      </c>
      <c r="F120" t="s">
        <v>498</v>
      </c>
      <c r="G120" t="s">
        <v>1057</v>
      </c>
      <c r="H120" t="s">
        <v>1061</v>
      </c>
    </row>
    <row r="121" spans="2:8">
      <c r="B121" t="s">
        <v>388</v>
      </c>
      <c r="C121" t="s">
        <v>499</v>
      </c>
      <c r="D121" t="s">
        <v>499</v>
      </c>
      <c r="F121" t="s">
        <v>499</v>
      </c>
      <c r="G121" t="s">
        <v>1057</v>
      </c>
      <c r="H121" t="s">
        <v>1060</v>
      </c>
    </row>
    <row r="122" spans="2:8">
      <c r="B122" t="s">
        <v>388</v>
      </c>
      <c r="C122" t="s">
        <v>500</v>
      </c>
      <c r="D122" t="s">
        <v>500</v>
      </c>
      <c r="F122" t="s">
        <v>500</v>
      </c>
      <c r="G122" t="s">
        <v>1057</v>
      </c>
      <c r="H122" t="s">
        <v>1060</v>
      </c>
    </row>
    <row r="123" spans="2:8">
      <c r="B123" t="s">
        <v>388</v>
      </c>
      <c r="C123" t="s">
        <v>501</v>
      </c>
      <c r="D123" t="s">
        <v>501</v>
      </c>
      <c r="F123" t="s">
        <v>501</v>
      </c>
      <c r="G123" t="s">
        <v>1057</v>
      </c>
      <c r="H123" t="s">
        <v>1060</v>
      </c>
    </row>
    <row r="124" spans="2:8">
      <c r="B124" t="s">
        <v>388</v>
      </c>
      <c r="C124" t="s">
        <v>502</v>
      </c>
      <c r="D124" t="s">
        <v>502</v>
      </c>
      <c r="F124" t="s">
        <v>502</v>
      </c>
      <c r="G124" t="s">
        <v>1057</v>
      </c>
      <c r="H124" t="s">
        <v>1060</v>
      </c>
    </row>
    <row r="125" spans="2:8">
      <c r="B125" t="s">
        <v>388</v>
      </c>
      <c r="C125" t="s">
        <v>503</v>
      </c>
      <c r="D125" t="s">
        <v>503</v>
      </c>
      <c r="F125" t="s">
        <v>503</v>
      </c>
      <c r="G125" t="s">
        <v>1057</v>
      </c>
      <c r="H125" t="s">
        <v>1060</v>
      </c>
    </row>
    <row r="126" spans="2:8">
      <c r="B126" t="s">
        <v>388</v>
      </c>
      <c r="C126" t="s">
        <v>504</v>
      </c>
      <c r="D126" t="s">
        <v>504</v>
      </c>
      <c r="F126" t="s">
        <v>504</v>
      </c>
      <c r="G126" t="s">
        <v>1057</v>
      </c>
      <c r="H126" t="s">
        <v>1061</v>
      </c>
    </row>
    <row r="127" spans="2:8">
      <c r="B127" t="s">
        <v>388</v>
      </c>
      <c r="C127" t="s">
        <v>505</v>
      </c>
      <c r="D127" t="s">
        <v>505</v>
      </c>
      <c r="F127" t="s">
        <v>505</v>
      </c>
      <c r="G127" t="s">
        <v>1057</v>
      </c>
      <c r="H127" t="s">
        <v>1061</v>
      </c>
    </row>
    <row r="128" spans="2:8">
      <c r="B128" t="s">
        <v>388</v>
      </c>
      <c r="C128" t="s">
        <v>506</v>
      </c>
      <c r="D128" t="s">
        <v>506</v>
      </c>
      <c r="F128" t="s">
        <v>506</v>
      </c>
      <c r="G128" t="s">
        <v>1057</v>
      </c>
      <c r="H128" t="s">
        <v>1062</v>
      </c>
    </row>
    <row r="129" spans="2:8">
      <c r="B129" t="s">
        <v>388</v>
      </c>
      <c r="C129" t="s">
        <v>507</v>
      </c>
      <c r="D129" t="s">
        <v>507</v>
      </c>
      <c r="F129" t="s">
        <v>507</v>
      </c>
      <c r="G129" t="s">
        <v>1057</v>
      </c>
      <c r="H129" t="s">
        <v>1062</v>
      </c>
    </row>
    <row r="130" spans="2:8">
      <c r="B130" t="s">
        <v>388</v>
      </c>
      <c r="C130" t="s">
        <v>508</v>
      </c>
      <c r="D130" t="s">
        <v>508</v>
      </c>
      <c r="F130" t="s">
        <v>508</v>
      </c>
      <c r="G130" t="s">
        <v>1057</v>
      </c>
      <c r="H130" t="s">
        <v>1062</v>
      </c>
    </row>
    <row r="131" spans="2:8">
      <c r="B131" t="s">
        <v>388</v>
      </c>
      <c r="C131" t="s">
        <v>509</v>
      </c>
      <c r="D131" t="s">
        <v>509</v>
      </c>
      <c r="F131" t="s">
        <v>509</v>
      </c>
      <c r="G131" t="s">
        <v>1057</v>
      </c>
      <c r="H131" t="s">
        <v>1059</v>
      </c>
    </row>
    <row r="132" spans="2:8">
      <c r="B132" t="s">
        <v>388</v>
      </c>
      <c r="C132" t="s">
        <v>510</v>
      </c>
      <c r="D132" t="s">
        <v>510</v>
      </c>
      <c r="F132" t="s">
        <v>510</v>
      </c>
      <c r="G132" t="s">
        <v>1057</v>
      </c>
      <c r="H132" t="s">
        <v>1062</v>
      </c>
    </row>
    <row r="133" spans="2:8">
      <c r="B133" t="s">
        <v>388</v>
      </c>
      <c r="C133" t="s">
        <v>511</v>
      </c>
      <c r="D133" t="s">
        <v>511</v>
      </c>
      <c r="F133" t="s">
        <v>511</v>
      </c>
      <c r="G133" t="s">
        <v>1057</v>
      </c>
      <c r="H133" t="s">
        <v>1060</v>
      </c>
    </row>
    <row r="134" spans="2:8">
      <c r="B134" t="s">
        <v>388</v>
      </c>
      <c r="C134" t="s">
        <v>512</v>
      </c>
      <c r="D134" t="s">
        <v>512</v>
      </c>
      <c r="F134" t="s">
        <v>512</v>
      </c>
      <c r="G134" t="s">
        <v>1057</v>
      </c>
      <c r="H134" t="s">
        <v>1061</v>
      </c>
    </row>
    <row r="135" spans="2:8">
      <c r="B135" t="s">
        <v>388</v>
      </c>
      <c r="C135" t="s">
        <v>513</v>
      </c>
      <c r="D135" t="s">
        <v>513</v>
      </c>
      <c r="F135" t="s">
        <v>513</v>
      </c>
      <c r="G135" t="s">
        <v>1057</v>
      </c>
      <c r="H135" t="s">
        <v>1062</v>
      </c>
    </row>
    <row r="136" spans="2:8">
      <c r="B136" t="s">
        <v>388</v>
      </c>
      <c r="C136" t="s">
        <v>514</v>
      </c>
      <c r="D136" t="s">
        <v>514</v>
      </c>
      <c r="F136" t="s">
        <v>514</v>
      </c>
      <c r="G136" t="s">
        <v>1057</v>
      </c>
      <c r="H136" t="s">
        <v>1059</v>
      </c>
    </row>
    <row r="137" spans="2:8">
      <c r="B137" t="s">
        <v>388</v>
      </c>
      <c r="C137" t="s">
        <v>515</v>
      </c>
      <c r="D137" t="s">
        <v>515</v>
      </c>
      <c r="F137" t="s">
        <v>515</v>
      </c>
      <c r="G137" t="s">
        <v>1057</v>
      </c>
      <c r="H137" t="s">
        <v>1061</v>
      </c>
    </row>
    <row r="138" spans="2:8">
      <c r="B138" t="s">
        <v>388</v>
      </c>
      <c r="C138" t="s">
        <v>516</v>
      </c>
      <c r="D138" t="s">
        <v>516</v>
      </c>
      <c r="F138" t="s">
        <v>516</v>
      </c>
      <c r="G138" t="s">
        <v>1057</v>
      </c>
      <c r="H138" t="s">
        <v>1061</v>
      </c>
    </row>
    <row r="139" spans="2:8">
      <c r="B139" t="s">
        <v>388</v>
      </c>
      <c r="C139" t="s">
        <v>517</v>
      </c>
      <c r="D139" t="s">
        <v>517</v>
      </c>
      <c r="F139" t="s">
        <v>517</v>
      </c>
      <c r="G139" t="s">
        <v>1057</v>
      </c>
      <c r="H139" t="s">
        <v>1061</v>
      </c>
    </row>
    <row r="140" spans="2:8">
      <c r="B140" t="s">
        <v>388</v>
      </c>
      <c r="C140" t="s">
        <v>518</v>
      </c>
      <c r="D140" t="s">
        <v>518</v>
      </c>
      <c r="F140" t="s">
        <v>518</v>
      </c>
      <c r="G140" t="s">
        <v>1057</v>
      </c>
      <c r="H140" t="s">
        <v>1059</v>
      </c>
    </row>
    <row r="141" spans="2:8">
      <c r="B141" t="s">
        <v>388</v>
      </c>
      <c r="C141" t="s">
        <v>519</v>
      </c>
      <c r="D141" t="s">
        <v>519</v>
      </c>
      <c r="F141" t="s">
        <v>519</v>
      </c>
      <c r="G141" t="s">
        <v>1057</v>
      </c>
      <c r="H141" t="s">
        <v>1061</v>
      </c>
    </row>
    <row r="142" spans="2:8">
      <c r="B142" t="s">
        <v>388</v>
      </c>
      <c r="C142" t="s">
        <v>520</v>
      </c>
      <c r="D142" t="s">
        <v>520</v>
      </c>
      <c r="F142" t="s">
        <v>520</v>
      </c>
      <c r="G142" t="s">
        <v>1057</v>
      </c>
      <c r="H142" t="s">
        <v>1063</v>
      </c>
    </row>
    <row r="143" spans="2:8">
      <c r="B143" t="s">
        <v>388</v>
      </c>
      <c r="C143" t="s">
        <v>521</v>
      </c>
      <c r="D143" t="s">
        <v>521</v>
      </c>
      <c r="F143" t="s">
        <v>521</v>
      </c>
      <c r="G143" t="s">
        <v>1057</v>
      </c>
      <c r="H143" t="s">
        <v>1060</v>
      </c>
    </row>
    <row r="144" spans="2:8">
      <c r="B144" t="s">
        <v>388</v>
      </c>
      <c r="C144" t="s">
        <v>522</v>
      </c>
      <c r="D144" t="s">
        <v>522</v>
      </c>
      <c r="F144" t="s">
        <v>522</v>
      </c>
      <c r="G144" t="s">
        <v>1057</v>
      </c>
      <c r="H144" t="s">
        <v>1063</v>
      </c>
    </row>
    <row r="145" spans="2:8">
      <c r="B145" t="s">
        <v>388</v>
      </c>
      <c r="C145" t="s">
        <v>523</v>
      </c>
      <c r="D145" t="s">
        <v>523</v>
      </c>
      <c r="F145" t="s">
        <v>523</v>
      </c>
      <c r="G145" t="s">
        <v>1057</v>
      </c>
      <c r="H145" t="s">
        <v>1061</v>
      </c>
    </row>
    <row r="146" spans="2:8">
      <c r="B146" t="s">
        <v>388</v>
      </c>
      <c r="C146" t="s">
        <v>524</v>
      </c>
      <c r="D146" t="s">
        <v>524</v>
      </c>
      <c r="F146" t="s">
        <v>524</v>
      </c>
      <c r="G146" t="s">
        <v>1057</v>
      </c>
      <c r="H146" t="s">
        <v>1061</v>
      </c>
    </row>
    <row r="147" spans="2:8">
      <c r="B147" t="s">
        <v>388</v>
      </c>
      <c r="C147" t="s">
        <v>525</v>
      </c>
      <c r="D147" t="s">
        <v>525</v>
      </c>
      <c r="F147" t="s">
        <v>525</v>
      </c>
      <c r="G147" t="s">
        <v>1057</v>
      </c>
      <c r="H147" t="s">
        <v>1060</v>
      </c>
    </row>
    <row r="148" spans="2:8">
      <c r="B148" t="s">
        <v>388</v>
      </c>
      <c r="C148" t="s">
        <v>526</v>
      </c>
      <c r="D148" t="s">
        <v>526</v>
      </c>
      <c r="F148" t="s">
        <v>526</v>
      </c>
      <c r="G148" t="s">
        <v>1057</v>
      </c>
      <c r="H148" t="s">
        <v>1062</v>
      </c>
    </row>
    <row r="149" spans="2:8">
      <c r="B149" t="s">
        <v>388</v>
      </c>
      <c r="C149" t="s">
        <v>527</v>
      </c>
      <c r="D149" t="s">
        <v>527</v>
      </c>
      <c r="F149" t="s">
        <v>527</v>
      </c>
      <c r="G149" t="s">
        <v>1057</v>
      </c>
      <c r="H149" t="s">
        <v>1061</v>
      </c>
    </row>
    <row r="150" spans="2:8">
      <c r="B150" t="s">
        <v>388</v>
      </c>
      <c r="C150" t="s">
        <v>528</v>
      </c>
      <c r="D150" t="s">
        <v>528</v>
      </c>
      <c r="F150" t="s">
        <v>528</v>
      </c>
      <c r="G150" t="s">
        <v>1057</v>
      </c>
      <c r="H150" t="s">
        <v>1063</v>
      </c>
    </row>
    <row r="151" spans="2:8">
      <c r="B151" t="s">
        <v>388</v>
      </c>
      <c r="C151" t="s">
        <v>529</v>
      </c>
      <c r="D151" t="s">
        <v>529</v>
      </c>
      <c r="F151" t="s">
        <v>529</v>
      </c>
      <c r="G151" t="s">
        <v>1057</v>
      </c>
      <c r="H151" t="s">
        <v>1058</v>
      </c>
    </row>
    <row r="152" spans="2:8">
      <c r="B152" t="s">
        <v>388</v>
      </c>
      <c r="C152" t="s">
        <v>530</v>
      </c>
      <c r="D152" t="s">
        <v>530</v>
      </c>
      <c r="F152" t="s">
        <v>530</v>
      </c>
      <c r="G152" t="s">
        <v>1057</v>
      </c>
      <c r="H152" t="s">
        <v>1062</v>
      </c>
    </row>
    <row r="153" spans="2:8">
      <c r="B153" t="s">
        <v>388</v>
      </c>
      <c r="C153" t="s">
        <v>531</v>
      </c>
      <c r="D153" t="s">
        <v>531</v>
      </c>
      <c r="F153" t="s">
        <v>531</v>
      </c>
      <c r="G153" t="s">
        <v>1057</v>
      </c>
      <c r="H153" t="s">
        <v>1059</v>
      </c>
    </row>
    <row r="154" spans="2:8">
      <c r="B154" t="s">
        <v>388</v>
      </c>
      <c r="C154" t="s">
        <v>532</v>
      </c>
      <c r="D154" t="s">
        <v>532</v>
      </c>
      <c r="F154" t="s">
        <v>532</v>
      </c>
      <c r="G154" t="s">
        <v>1057</v>
      </c>
      <c r="H154" t="s">
        <v>1063</v>
      </c>
    </row>
    <row r="155" spans="2:8">
      <c r="B155" t="s">
        <v>388</v>
      </c>
      <c r="C155" t="s">
        <v>533</v>
      </c>
      <c r="D155" t="s">
        <v>533</v>
      </c>
      <c r="F155" t="s">
        <v>533</v>
      </c>
      <c r="G155" t="s">
        <v>1057</v>
      </c>
      <c r="H155" t="s">
        <v>1061</v>
      </c>
    </row>
    <row r="156" spans="2:8">
      <c r="B156" t="s">
        <v>388</v>
      </c>
      <c r="C156" t="s">
        <v>534</v>
      </c>
      <c r="D156" t="s">
        <v>534</v>
      </c>
      <c r="F156" t="s">
        <v>534</v>
      </c>
      <c r="G156" t="s">
        <v>1057</v>
      </c>
      <c r="H156" t="s">
        <v>1059</v>
      </c>
    </row>
    <row r="157" spans="2:8">
      <c r="B157" t="s">
        <v>388</v>
      </c>
      <c r="C157" t="s">
        <v>535</v>
      </c>
      <c r="D157" t="s">
        <v>535</v>
      </c>
      <c r="F157" t="s">
        <v>535</v>
      </c>
      <c r="G157" t="s">
        <v>1057</v>
      </c>
      <c r="H157" t="s">
        <v>1063</v>
      </c>
    </row>
    <row r="158" spans="2:8">
      <c r="B158" t="s">
        <v>388</v>
      </c>
      <c r="C158" t="s">
        <v>536</v>
      </c>
      <c r="D158" t="s">
        <v>536</v>
      </c>
      <c r="F158" t="s">
        <v>536</v>
      </c>
      <c r="G158" t="s">
        <v>1057</v>
      </c>
      <c r="H158" t="s">
        <v>1063</v>
      </c>
    </row>
    <row r="159" spans="2:8">
      <c r="B159" t="s">
        <v>388</v>
      </c>
      <c r="C159" t="s">
        <v>537</v>
      </c>
      <c r="D159" t="s">
        <v>537</v>
      </c>
      <c r="F159" t="s">
        <v>537</v>
      </c>
      <c r="G159" t="s">
        <v>1057</v>
      </c>
      <c r="H159" t="s">
        <v>1061</v>
      </c>
    </row>
    <row r="160" spans="2:8">
      <c r="B160" t="s">
        <v>388</v>
      </c>
      <c r="C160" t="s">
        <v>538</v>
      </c>
      <c r="D160" t="s">
        <v>538</v>
      </c>
      <c r="F160" t="s">
        <v>538</v>
      </c>
      <c r="G160" t="s">
        <v>1057</v>
      </c>
      <c r="H160" t="s">
        <v>1062</v>
      </c>
    </row>
    <row r="161" spans="2:8">
      <c r="B161" t="s">
        <v>388</v>
      </c>
      <c r="C161" t="s">
        <v>539</v>
      </c>
      <c r="D161" t="s">
        <v>539</v>
      </c>
      <c r="F161" t="s">
        <v>539</v>
      </c>
      <c r="G161" t="s">
        <v>1057</v>
      </c>
      <c r="H161" t="s">
        <v>1059</v>
      </c>
    </row>
    <row r="162" spans="2:8">
      <c r="B162" t="s">
        <v>388</v>
      </c>
      <c r="C162" t="s">
        <v>540</v>
      </c>
      <c r="D162" t="s">
        <v>540</v>
      </c>
      <c r="F162" t="s">
        <v>540</v>
      </c>
      <c r="G162" t="s">
        <v>1057</v>
      </c>
      <c r="H162" t="s">
        <v>1059</v>
      </c>
    </row>
    <row r="163" spans="2:8">
      <c r="B163" t="s">
        <v>388</v>
      </c>
      <c r="C163" t="s">
        <v>541</v>
      </c>
      <c r="D163" t="s">
        <v>541</v>
      </c>
      <c r="F163" t="s">
        <v>541</v>
      </c>
      <c r="G163" t="s">
        <v>1057</v>
      </c>
      <c r="H163" t="s">
        <v>1061</v>
      </c>
    </row>
    <row r="164" spans="2:8">
      <c r="B164" t="s">
        <v>388</v>
      </c>
      <c r="C164" t="s">
        <v>542</v>
      </c>
      <c r="D164" t="s">
        <v>542</v>
      </c>
      <c r="F164" t="s">
        <v>542</v>
      </c>
      <c r="G164" t="s">
        <v>1057</v>
      </c>
      <c r="H164" t="s">
        <v>1061</v>
      </c>
    </row>
    <row r="165" spans="2:8">
      <c r="B165" t="s">
        <v>388</v>
      </c>
      <c r="C165" t="s">
        <v>543</v>
      </c>
      <c r="D165" t="s">
        <v>543</v>
      </c>
      <c r="F165" t="s">
        <v>543</v>
      </c>
      <c r="G165" t="s">
        <v>1057</v>
      </c>
      <c r="H165" t="s">
        <v>1061</v>
      </c>
    </row>
    <row r="166" spans="2:8">
      <c r="B166" t="s">
        <v>388</v>
      </c>
      <c r="C166" t="s">
        <v>544</v>
      </c>
      <c r="D166" t="s">
        <v>544</v>
      </c>
      <c r="F166" t="s">
        <v>544</v>
      </c>
      <c r="G166" t="s">
        <v>1057</v>
      </c>
      <c r="H166" t="s">
        <v>1061</v>
      </c>
    </row>
    <row r="167" spans="2:8">
      <c r="B167" t="s">
        <v>388</v>
      </c>
      <c r="C167" t="s">
        <v>545</v>
      </c>
      <c r="D167" t="s">
        <v>545</v>
      </c>
      <c r="F167" t="s">
        <v>545</v>
      </c>
      <c r="G167" t="s">
        <v>1057</v>
      </c>
      <c r="H167" t="s">
        <v>1061</v>
      </c>
    </row>
    <row r="168" spans="2:8">
      <c r="B168" t="s">
        <v>388</v>
      </c>
      <c r="C168" t="s">
        <v>546</v>
      </c>
      <c r="D168" t="s">
        <v>546</v>
      </c>
      <c r="F168" t="s">
        <v>546</v>
      </c>
      <c r="G168" t="s">
        <v>1057</v>
      </c>
      <c r="H168" t="s">
        <v>1063</v>
      </c>
    </row>
    <row r="169" spans="2:8">
      <c r="B169" t="s">
        <v>388</v>
      </c>
      <c r="C169" t="s">
        <v>547</v>
      </c>
      <c r="D169" t="s">
        <v>547</v>
      </c>
      <c r="F169" t="s">
        <v>547</v>
      </c>
      <c r="G169" t="s">
        <v>1057</v>
      </c>
      <c r="H169" t="s">
        <v>1061</v>
      </c>
    </row>
    <row r="170" spans="2:8">
      <c r="B170" t="s">
        <v>388</v>
      </c>
      <c r="C170" t="s">
        <v>548</v>
      </c>
      <c r="D170" t="s">
        <v>548</v>
      </c>
      <c r="F170" t="s">
        <v>548</v>
      </c>
      <c r="G170" t="s">
        <v>1057</v>
      </c>
      <c r="H170" t="s">
        <v>1062</v>
      </c>
    </row>
    <row r="171" spans="2:8">
      <c r="B171" t="s">
        <v>388</v>
      </c>
      <c r="C171" t="s">
        <v>549</v>
      </c>
      <c r="D171" t="s">
        <v>549</v>
      </c>
      <c r="F171" t="s">
        <v>549</v>
      </c>
      <c r="G171" t="s">
        <v>1057</v>
      </c>
      <c r="H171" t="s">
        <v>1061</v>
      </c>
    </row>
    <row r="172" spans="2:8">
      <c r="B172" t="s">
        <v>388</v>
      </c>
      <c r="C172" t="s">
        <v>550</v>
      </c>
      <c r="D172" t="s">
        <v>550</v>
      </c>
      <c r="F172" t="s">
        <v>550</v>
      </c>
      <c r="G172" t="s">
        <v>1057</v>
      </c>
      <c r="H172" t="s">
        <v>1060</v>
      </c>
    </row>
    <row r="173" spans="2:8">
      <c r="B173" t="s">
        <v>388</v>
      </c>
      <c r="C173" t="s">
        <v>551</v>
      </c>
      <c r="D173" t="s">
        <v>551</v>
      </c>
      <c r="F173" t="s">
        <v>551</v>
      </c>
      <c r="G173" t="s">
        <v>1057</v>
      </c>
      <c r="H173" t="s">
        <v>1061</v>
      </c>
    </row>
    <row r="174" spans="2:8">
      <c r="B174" t="s">
        <v>388</v>
      </c>
      <c r="C174" t="s">
        <v>552</v>
      </c>
      <c r="D174" t="s">
        <v>552</v>
      </c>
      <c r="F174" t="s">
        <v>552</v>
      </c>
      <c r="G174" t="s">
        <v>1057</v>
      </c>
      <c r="H174" t="s">
        <v>1061</v>
      </c>
    </row>
    <row r="175" spans="2:8">
      <c r="B175" t="s">
        <v>388</v>
      </c>
      <c r="C175" t="s">
        <v>553</v>
      </c>
      <c r="D175" t="s">
        <v>553</v>
      </c>
      <c r="F175" t="s">
        <v>553</v>
      </c>
      <c r="G175" t="s">
        <v>1057</v>
      </c>
      <c r="H175" t="s">
        <v>1061</v>
      </c>
    </row>
    <row r="176" spans="2:8">
      <c r="B176" t="s">
        <v>388</v>
      </c>
      <c r="C176" t="s">
        <v>554</v>
      </c>
      <c r="D176" t="s">
        <v>554</v>
      </c>
      <c r="F176" t="s">
        <v>554</v>
      </c>
      <c r="G176" t="s">
        <v>1057</v>
      </c>
      <c r="H176" t="s">
        <v>1060</v>
      </c>
    </row>
    <row r="177" spans="2:8">
      <c r="B177" t="s">
        <v>388</v>
      </c>
      <c r="C177" t="s">
        <v>555</v>
      </c>
      <c r="D177" t="s">
        <v>555</v>
      </c>
      <c r="F177" t="s">
        <v>555</v>
      </c>
      <c r="G177" t="s">
        <v>1057</v>
      </c>
      <c r="H177" t="s">
        <v>1062</v>
      </c>
    </row>
    <row r="178" spans="2:8">
      <c r="B178" t="s">
        <v>388</v>
      </c>
      <c r="C178" t="s">
        <v>556</v>
      </c>
      <c r="D178" t="s">
        <v>556</v>
      </c>
      <c r="F178" t="s">
        <v>556</v>
      </c>
      <c r="G178" t="s">
        <v>1057</v>
      </c>
      <c r="H178" t="s">
        <v>1061</v>
      </c>
    </row>
    <row r="179" spans="2:8">
      <c r="B179" t="s">
        <v>388</v>
      </c>
      <c r="C179" t="s">
        <v>557</v>
      </c>
      <c r="D179" t="s">
        <v>557</v>
      </c>
      <c r="F179" t="s">
        <v>557</v>
      </c>
      <c r="G179" t="s">
        <v>1057</v>
      </c>
      <c r="H179" t="s">
        <v>1061</v>
      </c>
    </row>
    <row r="180" spans="2:8">
      <c r="B180" t="s">
        <v>388</v>
      </c>
      <c r="C180" t="s">
        <v>558</v>
      </c>
      <c r="D180" t="s">
        <v>558</v>
      </c>
      <c r="F180" t="s">
        <v>558</v>
      </c>
      <c r="G180" t="s">
        <v>1057</v>
      </c>
      <c r="H180" t="s">
        <v>1061</v>
      </c>
    </row>
    <row r="181" spans="2:8">
      <c r="B181" t="s">
        <v>388</v>
      </c>
      <c r="C181" t="s">
        <v>559</v>
      </c>
      <c r="D181" t="s">
        <v>559</v>
      </c>
      <c r="F181" t="s">
        <v>559</v>
      </c>
      <c r="G181" t="s">
        <v>1057</v>
      </c>
      <c r="H181" t="s">
        <v>1059</v>
      </c>
    </row>
    <row r="182" spans="2:8">
      <c r="B182" t="s">
        <v>388</v>
      </c>
      <c r="C182" t="s">
        <v>560</v>
      </c>
      <c r="D182" t="s">
        <v>560</v>
      </c>
      <c r="F182" t="s">
        <v>560</v>
      </c>
      <c r="G182" t="s">
        <v>1057</v>
      </c>
      <c r="H182" t="s">
        <v>1063</v>
      </c>
    </row>
    <row r="183" spans="2:8">
      <c r="B183" t="s">
        <v>388</v>
      </c>
      <c r="C183" t="s">
        <v>561</v>
      </c>
      <c r="D183" t="s">
        <v>561</v>
      </c>
      <c r="F183" t="s">
        <v>561</v>
      </c>
      <c r="G183" t="s">
        <v>1057</v>
      </c>
      <c r="H183" t="s">
        <v>1062</v>
      </c>
    </row>
    <row r="184" spans="2:8">
      <c r="B184" t="s">
        <v>388</v>
      </c>
      <c r="C184" t="s">
        <v>562</v>
      </c>
      <c r="D184" t="s">
        <v>562</v>
      </c>
      <c r="F184" t="s">
        <v>562</v>
      </c>
      <c r="G184" t="s">
        <v>1057</v>
      </c>
      <c r="H184" t="s">
        <v>1061</v>
      </c>
    </row>
    <row r="185" spans="2:8">
      <c r="B185" t="s">
        <v>388</v>
      </c>
      <c r="C185" t="s">
        <v>563</v>
      </c>
      <c r="D185" t="s">
        <v>563</v>
      </c>
      <c r="F185" t="s">
        <v>563</v>
      </c>
      <c r="G185" t="s">
        <v>1057</v>
      </c>
      <c r="H185" t="s">
        <v>1061</v>
      </c>
    </row>
    <row r="186" spans="2:8">
      <c r="B186" t="s">
        <v>388</v>
      </c>
      <c r="C186" t="s">
        <v>564</v>
      </c>
      <c r="D186" t="s">
        <v>564</v>
      </c>
      <c r="F186" t="s">
        <v>564</v>
      </c>
      <c r="G186" t="s">
        <v>1057</v>
      </c>
      <c r="H186" t="s">
        <v>1063</v>
      </c>
    </row>
    <row r="187" spans="2:8">
      <c r="B187" t="s">
        <v>388</v>
      </c>
      <c r="C187" t="s">
        <v>565</v>
      </c>
      <c r="D187" t="s">
        <v>565</v>
      </c>
      <c r="F187" t="s">
        <v>565</v>
      </c>
      <c r="G187" t="s">
        <v>1057</v>
      </c>
      <c r="H187" t="s">
        <v>1059</v>
      </c>
    </row>
    <row r="188" spans="2:8">
      <c r="B188" t="s">
        <v>388</v>
      </c>
      <c r="C188" t="s">
        <v>566</v>
      </c>
      <c r="D188" t="s">
        <v>566</v>
      </c>
      <c r="F188" t="s">
        <v>566</v>
      </c>
      <c r="G188" t="s">
        <v>1057</v>
      </c>
      <c r="H188" t="s">
        <v>1059</v>
      </c>
    </row>
    <row r="189" spans="2:8">
      <c r="B189" t="s">
        <v>388</v>
      </c>
      <c r="C189" t="s">
        <v>567</v>
      </c>
      <c r="D189" t="s">
        <v>567</v>
      </c>
      <c r="F189" t="s">
        <v>567</v>
      </c>
      <c r="G189" t="s">
        <v>1057</v>
      </c>
      <c r="H189" t="s">
        <v>1061</v>
      </c>
    </row>
    <row r="190" spans="2:8">
      <c r="B190" t="s">
        <v>388</v>
      </c>
      <c r="C190" t="s">
        <v>568</v>
      </c>
      <c r="D190" t="s">
        <v>568</v>
      </c>
      <c r="F190" t="s">
        <v>568</v>
      </c>
      <c r="G190" t="s">
        <v>1057</v>
      </c>
      <c r="H190" t="s">
        <v>1061</v>
      </c>
    </row>
    <row r="191" spans="2:8">
      <c r="B191" t="s">
        <v>388</v>
      </c>
      <c r="C191" t="s">
        <v>569</v>
      </c>
      <c r="D191" t="s">
        <v>569</v>
      </c>
      <c r="F191" t="s">
        <v>569</v>
      </c>
      <c r="G191" t="s">
        <v>1057</v>
      </c>
      <c r="H191" t="s">
        <v>1058</v>
      </c>
    </row>
    <row r="192" spans="2:8">
      <c r="B192" t="s">
        <v>388</v>
      </c>
      <c r="C192" t="s">
        <v>570</v>
      </c>
      <c r="D192" t="s">
        <v>570</v>
      </c>
      <c r="F192" t="s">
        <v>570</v>
      </c>
      <c r="G192" t="s">
        <v>1057</v>
      </c>
      <c r="H192" t="s">
        <v>1058</v>
      </c>
    </row>
    <row r="193" spans="2:8">
      <c r="B193" t="s">
        <v>388</v>
      </c>
      <c r="C193" t="s">
        <v>571</v>
      </c>
      <c r="D193" t="s">
        <v>571</v>
      </c>
      <c r="F193" t="s">
        <v>571</v>
      </c>
      <c r="G193" t="s">
        <v>1057</v>
      </c>
      <c r="H193" t="s">
        <v>1061</v>
      </c>
    </row>
    <row r="194" spans="2:8">
      <c r="B194" t="s">
        <v>388</v>
      </c>
      <c r="C194" t="s">
        <v>572</v>
      </c>
      <c r="D194" t="s">
        <v>572</v>
      </c>
      <c r="F194" t="s">
        <v>572</v>
      </c>
      <c r="G194" t="s">
        <v>1057</v>
      </c>
      <c r="H194" t="s">
        <v>1061</v>
      </c>
    </row>
    <row r="195" spans="2:8">
      <c r="B195" t="s">
        <v>388</v>
      </c>
      <c r="C195" t="s">
        <v>573</v>
      </c>
      <c r="D195" t="s">
        <v>573</v>
      </c>
      <c r="F195" t="s">
        <v>573</v>
      </c>
      <c r="G195" t="s">
        <v>1057</v>
      </c>
      <c r="H195" t="s">
        <v>1061</v>
      </c>
    </row>
    <row r="196" spans="2:8">
      <c r="B196" t="s">
        <v>388</v>
      </c>
      <c r="C196" t="s">
        <v>574</v>
      </c>
      <c r="D196" t="s">
        <v>574</v>
      </c>
      <c r="F196" t="s">
        <v>574</v>
      </c>
      <c r="G196" t="s">
        <v>1057</v>
      </c>
      <c r="H196" t="s">
        <v>1061</v>
      </c>
    </row>
    <row r="197" spans="2:8">
      <c r="B197" t="s">
        <v>388</v>
      </c>
      <c r="C197" t="s">
        <v>575</v>
      </c>
      <c r="D197" t="s">
        <v>575</v>
      </c>
      <c r="F197" t="s">
        <v>575</v>
      </c>
      <c r="G197" t="s">
        <v>1057</v>
      </c>
      <c r="H197" t="s">
        <v>1061</v>
      </c>
    </row>
    <row r="198" spans="2:8">
      <c r="B198" t="s">
        <v>388</v>
      </c>
      <c r="C198" t="s">
        <v>576</v>
      </c>
      <c r="D198" t="s">
        <v>576</v>
      </c>
      <c r="F198" t="s">
        <v>576</v>
      </c>
      <c r="G198" t="s">
        <v>1057</v>
      </c>
      <c r="H198" t="s">
        <v>1059</v>
      </c>
    </row>
    <row r="199" spans="2:8">
      <c r="B199" t="s">
        <v>388</v>
      </c>
      <c r="C199" t="s">
        <v>577</v>
      </c>
      <c r="D199" t="s">
        <v>577</v>
      </c>
      <c r="F199" t="s">
        <v>577</v>
      </c>
      <c r="G199" t="s">
        <v>1057</v>
      </c>
      <c r="H199" t="s">
        <v>1063</v>
      </c>
    </row>
    <row r="200" spans="2:8">
      <c r="B200" t="s">
        <v>388</v>
      </c>
      <c r="C200" t="s">
        <v>578</v>
      </c>
      <c r="D200" t="s">
        <v>578</v>
      </c>
      <c r="F200" t="s">
        <v>578</v>
      </c>
      <c r="G200" t="s">
        <v>1057</v>
      </c>
      <c r="H200" t="s">
        <v>1060</v>
      </c>
    </row>
    <row r="201" spans="2:8">
      <c r="B201" t="s">
        <v>388</v>
      </c>
      <c r="C201" t="s">
        <v>579</v>
      </c>
      <c r="D201" t="s">
        <v>579</v>
      </c>
      <c r="F201" t="s">
        <v>579</v>
      </c>
      <c r="G201" t="s">
        <v>1057</v>
      </c>
      <c r="H201" t="s">
        <v>1059</v>
      </c>
    </row>
    <row r="202" spans="2:8">
      <c r="B202" t="s">
        <v>388</v>
      </c>
      <c r="C202" t="s">
        <v>580</v>
      </c>
      <c r="D202" t="s">
        <v>580</v>
      </c>
      <c r="F202" t="s">
        <v>580</v>
      </c>
      <c r="G202" t="s">
        <v>1057</v>
      </c>
      <c r="H202" t="s">
        <v>1059</v>
      </c>
    </row>
    <row r="203" spans="2:8">
      <c r="B203" t="s">
        <v>388</v>
      </c>
      <c r="C203" t="s">
        <v>581</v>
      </c>
      <c r="D203" t="s">
        <v>581</v>
      </c>
      <c r="F203" t="s">
        <v>581</v>
      </c>
      <c r="G203" t="s">
        <v>1057</v>
      </c>
      <c r="H203" t="s">
        <v>1059</v>
      </c>
    </row>
    <row r="204" spans="2:8">
      <c r="B204" t="s">
        <v>388</v>
      </c>
      <c r="C204" t="s">
        <v>582</v>
      </c>
      <c r="D204" t="s">
        <v>582</v>
      </c>
      <c r="F204" t="s">
        <v>582</v>
      </c>
      <c r="G204" t="s">
        <v>1057</v>
      </c>
      <c r="H204" t="s">
        <v>1059</v>
      </c>
    </row>
    <row r="205" spans="2:8">
      <c r="B205" t="s">
        <v>388</v>
      </c>
      <c r="C205" t="s">
        <v>583</v>
      </c>
      <c r="D205" t="s">
        <v>583</v>
      </c>
      <c r="F205" t="s">
        <v>583</v>
      </c>
      <c r="G205" t="s">
        <v>1057</v>
      </c>
      <c r="H205" t="s">
        <v>1060</v>
      </c>
    </row>
    <row r="206" spans="2:8">
      <c r="B206" t="s">
        <v>388</v>
      </c>
      <c r="C206" t="s">
        <v>584</v>
      </c>
      <c r="D206" t="s">
        <v>584</v>
      </c>
      <c r="F206" t="s">
        <v>584</v>
      </c>
      <c r="G206" t="s">
        <v>1057</v>
      </c>
      <c r="H206" t="s">
        <v>1063</v>
      </c>
    </row>
    <row r="207" spans="2:8">
      <c r="B207" t="s">
        <v>388</v>
      </c>
      <c r="C207" t="s">
        <v>585</v>
      </c>
      <c r="D207" t="s">
        <v>585</v>
      </c>
      <c r="F207" t="s">
        <v>585</v>
      </c>
      <c r="G207" t="s">
        <v>1057</v>
      </c>
      <c r="H207" t="s">
        <v>1060</v>
      </c>
    </row>
    <row r="208" spans="2:8">
      <c r="B208" t="s">
        <v>388</v>
      </c>
      <c r="C208" t="s">
        <v>586</v>
      </c>
      <c r="D208" t="s">
        <v>586</v>
      </c>
      <c r="F208" t="s">
        <v>586</v>
      </c>
      <c r="G208" t="s">
        <v>1057</v>
      </c>
      <c r="H208" t="s">
        <v>1060</v>
      </c>
    </row>
    <row r="209" spans="2:8">
      <c r="B209" t="s">
        <v>388</v>
      </c>
      <c r="C209" t="s">
        <v>587</v>
      </c>
      <c r="D209" t="s">
        <v>587</v>
      </c>
      <c r="F209" t="s">
        <v>587</v>
      </c>
      <c r="G209" t="s">
        <v>1057</v>
      </c>
      <c r="H209" t="s">
        <v>1059</v>
      </c>
    </row>
    <row r="210" spans="2:8">
      <c r="B210" t="s">
        <v>388</v>
      </c>
      <c r="C210" t="s">
        <v>588</v>
      </c>
      <c r="D210" t="s">
        <v>588</v>
      </c>
      <c r="F210" t="s">
        <v>588</v>
      </c>
      <c r="G210" t="s">
        <v>1057</v>
      </c>
      <c r="H210" t="s">
        <v>1061</v>
      </c>
    </row>
    <row r="211" spans="2:8">
      <c r="B211" t="s">
        <v>388</v>
      </c>
      <c r="C211" t="s">
        <v>589</v>
      </c>
      <c r="D211" t="s">
        <v>589</v>
      </c>
      <c r="F211" t="s">
        <v>589</v>
      </c>
      <c r="G211" t="s">
        <v>1057</v>
      </c>
      <c r="H211" t="s">
        <v>1064</v>
      </c>
    </row>
    <row r="212" spans="2:8">
      <c r="B212" t="s">
        <v>388</v>
      </c>
      <c r="C212" t="s">
        <v>590</v>
      </c>
      <c r="D212" t="s">
        <v>590</v>
      </c>
      <c r="F212" t="s">
        <v>590</v>
      </c>
      <c r="G212" t="s">
        <v>1057</v>
      </c>
      <c r="H212" t="s">
        <v>1064</v>
      </c>
    </row>
    <row r="213" spans="2:8">
      <c r="B213" t="s">
        <v>388</v>
      </c>
      <c r="C213" t="s">
        <v>591</v>
      </c>
      <c r="D213" t="s">
        <v>591</v>
      </c>
      <c r="F213" t="s">
        <v>591</v>
      </c>
      <c r="G213" t="s">
        <v>1057</v>
      </c>
      <c r="H213" t="s">
        <v>1064</v>
      </c>
    </row>
    <row r="214" spans="2:8">
      <c r="B214" t="s">
        <v>388</v>
      </c>
      <c r="C214" t="s">
        <v>592</v>
      </c>
      <c r="D214" t="s">
        <v>592</v>
      </c>
      <c r="F214" t="s">
        <v>592</v>
      </c>
      <c r="G214" t="s">
        <v>1057</v>
      </c>
      <c r="H214" t="s">
        <v>1063</v>
      </c>
    </row>
    <row r="215" spans="2:8">
      <c r="B215" t="s">
        <v>388</v>
      </c>
      <c r="C215" t="s">
        <v>593</v>
      </c>
      <c r="D215" t="s">
        <v>593</v>
      </c>
      <c r="F215" t="s">
        <v>593</v>
      </c>
      <c r="G215" t="s">
        <v>1057</v>
      </c>
      <c r="H215" t="s">
        <v>1059</v>
      </c>
    </row>
    <row r="216" spans="2:8">
      <c r="B216" t="s">
        <v>388</v>
      </c>
      <c r="C216" t="s">
        <v>594</v>
      </c>
      <c r="D216" t="s">
        <v>594</v>
      </c>
      <c r="F216" t="s">
        <v>594</v>
      </c>
      <c r="G216" t="s">
        <v>1057</v>
      </c>
      <c r="H216" t="s">
        <v>1059</v>
      </c>
    </row>
    <row r="217" spans="2:8">
      <c r="B217" t="s">
        <v>388</v>
      </c>
      <c r="C217" t="s">
        <v>595</v>
      </c>
      <c r="D217" t="s">
        <v>595</v>
      </c>
      <c r="F217" t="s">
        <v>595</v>
      </c>
      <c r="G217" t="s">
        <v>1057</v>
      </c>
      <c r="H217" t="s">
        <v>1061</v>
      </c>
    </row>
    <row r="218" spans="2:8">
      <c r="B218" t="s">
        <v>388</v>
      </c>
      <c r="C218" t="s">
        <v>596</v>
      </c>
      <c r="D218" t="s">
        <v>596</v>
      </c>
      <c r="F218" t="s">
        <v>596</v>
      </c>
      <c r="G218" t="s">
        <v>1057</v>
      </c>
      <c r="H218" t="s">
        <v>1061</v>
      </c>
    </row>
    <row r="219" spans="2:8">
      <c r="B219" t="s">
        <v>388</v>
      </c>
      <c r="C219" t="s">
        <v>597</v>
      </c>
      <c r="D219" t="s">
        <v>597</v>
      </c>
      <c r="F219" t="s">
        <v>597</v>
      </c>
      <c r="G219" t="s">
        <v>1057</v>
      </c>
      <c r="H219" t="s">
        <v>1058</v>
      </c>
    </row>
    <row r="220" spans="2:8">
      <c r="B220" t="s">
        <v>388</v>
      </c>
      <c r="C220" t="s">
        <v>598</v>
      </c>
      <c r="D220" t="s">
        <v>598</v>
      </c>
      <c r="F220" t="s">
        <v>598</v>
      </c>
      <c r="G220" t="s">
        <v>1057</v>
      </c>
      <c r="H220" t="s">
        <v>1062</v>
      </c>
    </row>
    <row r="221" spans="2:8">
      <c r="B221" t="s">
        <v>388</v>
      </c>
      <c r="C221" t="s">
        <v>599</v>
      </c>
      <c r="D221" t="s">
        <v>599</v>
      </c>
      <c r="F221" t="s">
        <v>599</v>
      </c>
      <c r="G221" t="s">
        <v>1057</v>
      </c>
      <c r="H221" t="s">
        <v>1059</v>
      </c>
    </row>
    <row r="222" spans="2:8">
      <c r="B222" t="s">
        <v>388</v>
      </c>
      <c r="C222" t="s">
        <v>600</v>
      </c>
      <c r="D222" t="s">
        <v>600</v>
      </c>
      <c r="F222" t="s">
        <v>600</v>
      </c>
      <c r="G222" t="s">
        <v>1057</v>
      </c>
      <c r="H222" t="s">
        <v>1059</v>
      </c>
    </row>
    <row r="223" spans="2:8">
      <c r="B223" t="s">
        <v>388</v>
      </c>
      <c r="C223" t="s">
        <v>601</v>
      </c>
      <c r="D223" t="s">
        <v>601</v>
      </c>
      <c r="F223" t="s">
        <v>601</v>
      </c>
      <c r="G223" t="s">
        <v>1057</v>
      </c>
      <c r="H223" t="s">
        <v>1059</v>
      </c>
    </row>
    <row r="224" spans="2:8">
      <c r="B224" t="s">
        <v>388</v>
      </c>
      <c r="C224" t="s">
        <v>602</v>
      </c>
      <c r="D224" t="s">
        <v>602</v>
      </c>
      <c r="F224" t="s">
        <v>602</v>
      </c>
      <c r="G224" t="s">
        <v>1057</v>
      </c>
      <c r="H224" t="s">
        <v>1062</v>
      </c>
    </row>
    <row r="225" spans="2:8">
      <c r="B225" t="s">
        <v>388</v>
      </c>
      <c r="C225" t="s">
        <v>603</v>
      </c>
      <c r="D225" t="s">
        <v>603</v>
      </c>
      <c r="F225" t="s">
        <v>603</v>
      </c>
      <c r="G225" t="s">
        <v>1057</v>
      </c>
      <c r="H225" t="s">
        <v>1059</v>
      </c>
    </row>
    <row r="226" spans="2:8">
      <c r="B226" t="s">
        <v>388</v>
      </c>
      <c r="C226" t="s">
        <v>604</v>
      </c>
      <c r="D226" t="s">
        <v>604</v>
      </c>
      <c r="F226" t="s">
        <v>604</v>
      </c>
      <c r="G226" t="s">
        <v>1057</v>
      </c>
      <c r="H226" t="s">
        <v>1062</v>
      </c>
    </row>
    <row r="227" spans="2:8">
      <c r="B227" t="s">
        <v>388</v>
      </c>
      <c r="C227" t="s">
        <v>605</v>
      </c>
      <c r="D227" t="s">
        <v>605</v>
      </c>
      <c r="F227" t="s">
        <v>605</v>
      </c>
      <c r="G227" t="s">
        <v>1057</v>
      </c>
      <c r="H227" t="s">
        <v>1062</v>
      </c>
    </row>
    <row r="228" spans="2:8">
      <c r="B228" t="s">
        <v>388</v>
      </c>
      <c r="C228" t="s">
        <v>606</v>
      </c>
      <c r="D228" t="s">
        <v>606</v>
      </c>
      <c r="F228" t="s">
        <v>606</v>
      </c>
      <c r="G228" t="s">
        <v>1057</v>
      </c>
      <c r="H228" t="s">
        <v>1058</v>
      </c>
    </row>
    <row r="229" spans="2:8">
      <c r="B229" t="s">
        <v>388</v>
      </c>
      <c r="C229" t="s">
        <v>607</v>
      </c>
      <c r="D229" t="s">
        <v>607</v>
      </c>
      <c r="F229" t="s">
        <v>607</v>
      </c>
      <c r="G229" t="s">
        <v>1057</v>
      </c>
      <c r="H229" t="s">
        <v>1061</v>
      </c>
    </row>
    <row r="230" spans="2:8">
      <c r="B230" t="s">
        <v>388</v>
      </c>
      <c r="C230" t="s">
        <v>608</v>
      </c>
      <c r="D230" t="s">
        <v>608</v>
      </c>
      <c r="F230" t="s">
        <v>608</v>
      </c>
      <c r="G230" t="s">
        <v>1057</v>
      </c>
      <c r="H230" t="s">
        <v>1058</v>
      </c>
    </row>
    <row r="231" spans="2:8">
      <c r="B231" t="s">
        <v>388</v>
      </c>
      <c r="C231" t="s">
        <v>609</v>
      </c>
      <c r="D231" t="s">
        <v>609</v>
      </c>
      <c r="F231" t="s">
        <v>609</v>
      </c>
      <c r="G231" t="s">
        <v>1057</v>
      </c>
      <c r="H231" t="s">
        <v>1058</v>
      </c>
    </row>
    <row r="232" spans="2:8">
      <c r="B232" t="s">
        <v>388</v>
      </c>
      <c r="C232" t="s">
        <v>610</v>
      </c>
      <c r="D232" t="s">
        <v>610</v>
      </c>
      <c r="F232" t="s">
        <v>610</v>
      </c>
      <c r="G232" t="s">
        <v>1057</v>
      </c>
      <c r="H232" t="s">
        <v>1061</v>
      </c>
    </row>
    <row r="233" spans="2:8">
      <c r="B233" t="s">
        <v>388</v>
      </c>
      <c r="C233" t="s">
        <v>611</v>
      </c>
      <c r="D233" t="s">
        <v>611</v>
      </c>
      <c r="F233" t="s">
        <v>611</v>
      </c>
      <c r="G233" t="s">
        <v>1057</v>
      </c>
      <c r="H233" t="s">
        <v>1058</v>
      </c>
    </row>
    <row r="234" spans="2:8">
      <c r="B234" t="s">
        <v>388</v>
      </c>
      <c r="C234" t="s">
        <v>612</v>
      </c>
      <c r="D234" t="s">
        <v>612</v>
      </c>
      <c r="F234" t="s">
        <v>612</v>
      </c>
      <c r="G234" t="s">
        <v>1057</v>
      </c>
      <c r="H234" t="s">
        <v>1061</v>
      </c>
    </row>
    <row r="235" spans="2:8">
      <c r="B235" t="s">
        <v>388</v>
      </c>
      <c r="C235" t="s">
        <v>613</v>
      </c>
      <c r="D235" t="s">
        <v>613</v>
      </c>
      <c r="F235" t="s">
        <v>613</v>
      </c>
      <c r="G235" t="s">
        <v>1057</v>
      </c>
      <c r="H235" t="s">
        <v>1058</v>
      </c>
    </row>
    <row r="236" spans="2:8">
      <c r="B236" t="s">
        <v>388</v>
      </c>
      <c r="C236" t="s">
        <v>614</v>
      </c>
      <c r="D236" t="s">
        <v>614</v>
      </c>
      <c r="F236" t="s">
        <v>614</v>
      </c>
      <c r="G236" t="s">
        <v>1057</v>
      </c>
      <c r="H236" t="s">
        <v>1058</v>
      </c>
    </row>
    <row r="237" spans="2:8">
      <c r="B237" t="s">
        <v>388</v>
      </c>
      <c r="C237" t="s">
        <v>615</v>
      </c>
      <c r="D237" t="s">
        <v>615</v>
      </c>
      <c r="F237" t="s">
        <v>615</v>
      </c>
      <c r="G237" t="s">
        <v>1057</v>
      </c>
      <c r="H237" t="s">
        <v>1063</v>
      </c>
    </row>
    <row r="238" spans="2:8">
      <c r="B238" t="s">
        <v>388</v>
      </c>
      <c r="C238" t="s">
        <v>616</v>
      </c>
      <c r="D238" t="s">
        <v>616</v>
      </c>
      <c r="F238" t="s">
        <v>616</v>
      </c>
      <c r="G238" t="s">
        <v>1057</v>
      </c>
      <c r="H238" t="s">
        <v>1063</v>
      </c>
    </row>
    <row r="239" spans="2:8">
      <c r="B239" t="s">
        <v>388</v>
      </c>
      <c r="C239" t="s">
        <v>617</v>
      </c>
      <c r="D239" t="s">
        <v>617</v>
      </c>
      <c r="F239" t="s">
        <v>617</v>
      </c>
      <c r="G239" t="s">
        <v>1057</v>
      </c>
      <c r="H239" t="s">
        <v>1059</v>
      </c>
    </row>
    <row r="240" spans="2:8">
      <c r="B240" t="s">
        <v>388</v>
      </c>
      <c r="C240" t="s">
        <v>618</v>
      </c>
      <c r="D240" t="s">
        <v>618</v>
      </c>
      <c r="F240" t="s">
        <v>618</v>
      </c>
      <c r="G240" t="s">
        <v>1057</v>
      </c>
      <c r="H240" t="s">
        <v>1059</v>
      </c>
    </row>
    <row r="241" spans="2:8">
      <c r="B241" t="s">
        <v>388</v>
      </c>
      <c r="C241" t="s">
        <v>619</v>
      </c>
      <c r="D241" t="s">
        <v>619</v>
      </c>
      <c r="F241" t="s">
        <v>619</v>
      </c>
      <c r="G241" t="s">
        <v>1057</v>
      </c>
      <c r="H241" t="s">
        <v>1059</v>
      </c>
    </row>
    <row r="242" spans="2:8">
      <c r="B242" t="s">
        <v>388</v>
      </c>
      <c r="C242" t="s">
        <v>620</v>
      </c>
      <c r="D242" t="s">
        <v>620</v>
      </c>
      <c r="F242" t="s">
        <v>620</v>
      </c>
      <c r="G242" t="s">
        <v>1057</v>
      </c>
      <c r="H242" t="s">
        <v>1062</v>
      </c>
    </row>
    <row r="243" spans="2:8">
      <c r="B243" t="s">
        <v>388</v>
      </c>
      <c r="C243" t="s">
        <v>621</v>
      </c>
      <c r="D243" t="s">
        <v>621</v>
      </c>
      <c r="F243" t="s">
        <v>621</v>
      </c>
      <c r="G243" t="s">
        <v>1057</v>
      </c>
      <c r="H243" t="s">
        <v>1061</v>
      </c>
    </row>
    <row r="244" spans="2:8">
      <c r="B244" t="s">
        <v>388</v>
      </c>
      <c r="C244" t="s">
        <v>622</v>
      </c>
      <c r="D244" t="s">
        <v>622</v>
      </c>
      <c r="F244" t="s">
        <v>622</v>
      </c>
      <c r="G244" t="s">
        <v>1057</v>
      </c>
      <c r="H244" t="s">
        <v>1062</v>
      </c>
    </row>
    <row r="245" spans="2:8">
      <c r="B245" t="s">
        <v>388</v>
      </c>
      <c r="C245" t="s">
        <v>623</v>
      </c>
      <c r="D245" t="s">
        <v>623</v>
      </c>
      <c r="F245" t="s">
        <v>623</v>
      </c>
      <c r="G245" t="s">
        <v>1057</v>
      </c>
      <c r="H245" t="s">
        <v>1060</v>
      </c>
    </row>
    <row r="246" spans="2:8">
      <c r="B246" t="s">
        <v>388</v>
      </c>
      <c r="C246" t="s">
        <v>624</v>
      </c>
      <c r="D246" t="s">
        <v>624</v>
      </c>
      <c r="F246" t="s">
        <v>624</v>
      </c>
      <c r="G246" t="s">
        <v>1057</v>
      </c>
      <c r="H246" t="s">
        <v>1060</v>
      </c>
    </row>
    <row r="247" spans="2:8">
      <c r="B247" t="s">
        <v>388</v>
      </c>
      <c r="C247" t="s">
        <v>625</v>
      </c>
      <c r="D247" t="s">
        <v>625</v>
      </c>
      <c r="F247" t="s">
        <v>625</v>
      </c>
      <c r="G247" t="s">
        <v>1057</v>
      </c>
      <c r="H247" t="s">
        <v>1060</v>
      </c>
    </row>
    <row r="248" spans="2:8">
      <c r="B248" t="s">
        <v>388</v>
      </c>
      <c r="C248" t="s">
        <v>626</v>
      </c>
      <c r="D248" t="s">
        <v>626</v>
      </c>
      <c r="F248" t="s">
        <v>626</v>
      </c>
      <c r="G248" t="s">
        <v>1057</v>
      </c>
      <c r="H248" t="s">
        <v>1061</v>
      </c>
    </row>
    <row r="249" spans="2:8">
      <c r="B249" t="s">
        <v>388</v>
      </c>
      <c r="C249" t="s">
        <v>627</v>
      </c>
      <c r="D249" t="s">
        <v>627</v>
      </c>
      <c r="F249" t="s">
        <v>627</v>
      </c>
      <c r="G249" t="s">
        <v>1057</v>
      </c>
      <c r="H249" t="s">
        <v>1061</v>
      </c>
    </row>
    <row r="250" spans="2:8">
      <c r="B250" t="s">
        <v>388</v>
      </c>
      <c r="C250" t="s">
        <v>628</v>
      </c>
      <c r="D250" t="s">
        <v>628</v>
      </c>
      <c r="F250" t="s">
        <v>628</v>
      </c>
      <c r="G250" t="s">
        <v>1057</v>
      </c>
      <c r="H250" t="s">
        <v>1060</v>
      </c>
    </row>
    <row r="251" spans="2:8">
      <c r="B251" t="s">
        <v>388</v>
      </c>
      <c r="C251" t="s">
        <v>629</v>
      </c>
      <c r="D251" t="s">
        <v>629</v>
      </c>
      <c r="F251" t="s">
        <v>629</v>
      </c>
      <c r="G251" t="s">
        <v>1057</v>
      </c>
      <c r="H251" t="s">
        <v>1060</v>
      </c>
    </row>
    <row r="252" spans="2:8">
      <c r="B252" t="s">
        <v>388</v>
      </c>
      <c r="C252" t="s">
        <v>630</v>
      </c>
      <c r="D252" t="s">
        <v>630</v>
      </c>
      <c r="F252" t="s">
        <v>630</v>
      </c>
      <c r="G252" t="s">
        <v>1057</v>
      </c>
      <c r="H252" t="s">
        <v>1062</v>
      </c>
    </row>
    <row r="253" spans="2:8">
      <c r="B253" t="s">
        <v>388</v>
      </c>
      <c r="C253" t="s">
        <v>631</v>
      </c>
      <c r="D253" t="s">
        <v>631</v>
      </c>
      <c r="F253" t="s">
        <v>631</v>
      </c>
      <c r="G253" t="s">
        <v>1057</v>
      </c>
      <c r="H253" t="s">
        <v>1062</v>
      </c>
    </row>
    <row r="254" spans="2:8">
      <c r="B254" t="s">
        <v>388</v>
      </c>
      <c r="C254" t="s">
        <v>632</v>
      </c>
      <c r="D254" t="s">
        <v>632</v>
      </c>
      <c r="F254" t="s">
        <v>632</v>
      </c>
      <c r="G254" t="s">
        <v>1057</v>
      </c>
      <c r="H254" t="s">
        <v>1062</v>
      </c>
    </row>
    <row r="255" spans="2:8">
      <c r="B255" t="s">
        <v>388</v>
      </c>
      <c r="C255" t="s">
        <v>633</v>
      </c>
      <c r="D255" t="s">
        <v>633</v>
      </c>
      <c r="F255" t="s">
        <v>633</v>
      </c>
      <c r="G255" t="s">
        <v>1057</v>
      </c>
      <c r="H255" t="s">
        <v>1062</v>
      </c>
    </row>
    <row r="256" spans="2:8">
      <c r="B256" t="s">
        <v>388</v>
      </c>
      <c r="C256" t="s">
        <v>634</v>
      </c>
      <c r="D256" t="s">
        <v>634</v>
      </c>
      <c r="F256" t="s">
        <v>634</v>
      </c>
      <c r="G256" t="s">
        <v>1057</v>
      </c>
      <c r="H256" t="s">
        <v>1059</v>
      </c>
    </row>
    <row r="257" spans="2:8">
      <c r="B257" t="s">
        <v>388</v>
      </c>
      <c r="C257" t="s">
        <v>635</v>
      </c>
      <c r="D257" t="s">
        <v>635</v>
      </c>
      <c r="F257" t="s">
        <v>635</v>
      </c>
      <c r="G257" t="s">
        <v>1057</v>
      </c>
      <c r="H257" t="s">
        <v>1064</v>
      </c>
    </row>
    <row r="258" spans="2:8">
      <c r="B258" t="s">
        <v>388</v>
      </c>
      <c r="C258" t="s">
        <v>636</v>
      </c>
      <c r="D258" t="s">
        <v>636</v>
      </c>
      <c r="F258" t="s">
        <v>636</v>
      </c>
      <c r="G258" t="s">
        <v>1057</v>
      </c>
      <c r="H258" t="s">
        <v>1061</v>
      </c>
    </row>
    <row r="259" spans="2:8">
      <c r="B259" t="s">
        <v>388</v>
      </c>
      <c r="C259" t="s">
        <v>637</v>
      </c>
      <c r="D259" t="s">
        <v>637</v>
      </c>
      <c r="F259" t="s">
        <v>637</v>
      </c>
      <c r="G259" t="s">
        <v>1057</v>
      </c>
      <c r="H259" t="s">
        <v>1060</v>
      </c>
    </row>
    <row r="260" spans="2:8">
      <c r="B260" t="s">
        <v>388</v>
      </c>
      <c r="C260" t="s">
        <v>638</v>
      </c>
      <c r="D260" t="s">
        <v>638</v>
      </c>
      <c r="F260" t="s">
        <v>638</v>
      </c>
      <c r="G260" t="s">
        <v>1057</v>
      </c>
      <c r="H260" t="s">
        <v>1060</v>
      </c>
    </row>
    <row r="261" spans="2:8">
      <c r="B261" t="s">
        <v>388</v>
      </c>
      <c r="C261" t="s">
        <v>639</v>
      </c>
      <c r="D261" t="s">
        <v>639</v>
      </c>
      <c r="F261" t="s">
        <v>639</v>
      </c>
      <c r="G261" t="s">
        <v>1057</v>
      </c>
      <c r="H261" t="s">
        <v>1061</v>
      </c>
    </row>
    <row r="262" spans="2:8">
      <c r="B262" t="s">
        <v>388</v>
      </c>
      <c r="C262" t="s">
        <v>640</v>
      </c>
      <c r="D262" t="s">
        <v>640</v>
      </c>
      <c r="F262" t="s">
        <v>640</v>
      </c>
      <c r="G262" t="s">
        <v>1057</v>
      </c>
      <c r="H262" t="s">
        <v>1062</v>
      </c>
    </row>
    <row r="263" spans="2:8">
      <c r="B263" t="s">
        <v>388</v>
      </c>
      <c r="C263" t="s">
        <v>641</v>
      </c>
      <c r="D263" t="s">
        <v>641</v>
      </c>
      <c r="F263" t="s">
        <v>641</v>
      </c>
      <c r="G263" t="s">
        <v>1057</v>
      </c>
      <c r="H263" t="s">
        <v>1059</v>
      </c>
    </row>
    <row r="264" spans="2:8">
      <c r="B264" t="s">
        <v>388</v>
      </c>
      <c r="C264" t="s">
        <v>642</v>
      </c>
      <c r="D264" t="s">
        <v>642</v>
      </c>
      <c r="F264" t="s">
        <v>642</v>
      </c>
      <c r="G264" t="s">
        <v>1057</v>
      </c>
      <c r="H264" t="s">
        <v>1065</v>
      </c>
    </row>
    <row r="265" spans="2:8">
      <c r="B265" t="s">
        <v>388</v>
      </c>
      <c r="C265" t="s">
        <v>643</v>
      </c>
      <c r="D265" t="s">
        <v>643</v>
      </c>
      <c r="F265" t="s">
        <v>643</v>
      </c>
      <c r="G265" t="s">
        <v>1057</v>
      </c>
      <c r="H265" t="s">
        <v>1063</v>
      </c>
    </row>
    <row r="266" spans="2:8">
      <c r="B266" t="s">
        <v>388</v>
      </c>
      <c r="C266" t="s">
        <v>644</v>
      </c>
      <c r="D266" t="s">
        <v>644</v>
      </c>
      <c r="F266" t="s">
        <v>644</v>
      </c>
      <c r="G266" t="s">
        <v>1057</v>
      </c>
      <c r="H266" t="s">
        <v>1061</v>
      </c>
    </row>
    <row r="267" spans="2:8">
      <c r="B267" t="s">
        <v>388</v>
      </c>
      <c r="C267" t="s">
        <v>645</v>
      </c>
      <c r="D267" t="s">
        <v>645</v>
      </c>
      <c r="F267" t="s">
        <v>645</v>
      </c>
      <c r="G267" t="s">
        <v>1057</v>
      </c>
      <c r="H267" t="s">
        <v>1061</v>
      </c>
    </row>
    <row r="268" spans="2:8">
      <c r="B268" t="s">
        <v>388</v>
      </c>
      <c r="C268" t="s">
        <v>646</v>
      </c>
      <c r="D268" t="s">
        <v>646</v>
      </c>
      <c r="F268" t="s">
        <v>646</v>
      </c>
      <c r="G268" t="s">
        <v>1057</v>
      </c>
      <c r="H268" t="s">
        <v>1062</v>
      </c>
    </row>
    <row r="269" spans="2:8">
      <c r="B269" t="s">
        <v>388</v>
      </c>
      <c r="C269" t="s">
        <v>647</v>
      </c>
      <c r="D269" t="s">
        <v>647</v>
      </c>
      <c r="F269" t="s">
        <v>647</v>
      </c>
      <c r="G269" t="s">
        <v>1057</v>
      </c>
      <c r="H269" t="s">
        <v>1062</v>
      </c>
    </row>
    <row r="270" spans="2:8">
      <c r="B270" t="s">
        <v>388</v>
      </c>
      <c r="C270" t="s">
        <v>648</v>
      </c>
      <c r="D270" t="s">
        <v>648</v>
      </c>
      <c r="F270" t="s">
        <v>648</v>
      </c>
      <c r="G270" t="s">
        <v>1057</v>
      </c>
      <c r="H270" t="s">
        <v>1061</v>
      </c>
    </row>
    <row r="271" spans="2:8">
      <c r="B271" t="s">
        <v>388</v>
      </c>
      <c r="C271" t="s">
        <v>649</v>
      </c>
      <c r="D271" t="s">
        <v>649</v>
      </c>
      <c r="F271" t="s">
        <v>649</v>
      </c>
      <c r="G271" t="s">
        <v>1057</v>
      </c>
      <c r="H271" t="s">
        <v>1062</v>
      </c>
    </row>
    <row r="272" spans="2:8">
      <c r="B272" t="s">
        <v>388</v>
      </c>
      <c r="C272" t="s">
        <v>650</v>
      </c>
      <c r="D272" t="s">
        <v>650</v>
      </c>
      <c r="F272" t="s">
        <v>650</v>
      </c>
      <c r="G272" t="s">
        <v>1057</v>
      </c>
      <c r="H272" t="s">
        <v>1059</v>
      </c>
    </row>
    <row r="273" spans="2:8">
      <c r="B273" t="s">
        <v>388</v>
      </c>
      <c r="C273" t="s">
        <v>651</v>
      </c>
      <c r="D273" t="s">
        <v>651</v>
      </c>
      <c r="F273" t="s">
        <v>651</v>
      </c>
      <c r="G273" t="s">
        <v>1057</v>
      </c>
      <c r="H273" t="s">
        <v>1061</v>
      </c>
    </row>
    <row r="274" spans="2:8">
      <c r="B274" t="s">
        <v>388</v>
      </c>
      <c r="C274" t="s">
        <v>652</v>
      </c>
      <c r="D274" t="s">
        <v>652</v>
      </c>
      <c r="F274" t="s">
        <v>652</v>
      </c>
      <c r="G274" t="s">
        <v>1057</v>
      </c>
      <c r="H274" t="s">
        <v>1059</v>
      </c>
    </row>
    <row r="275" spans="2:8">
      <c r="B275" t="s">
        <v>388</v>
      </c>
      <c r="C275" t="s">
        <v>653</v>
      </c>
      <c r="D275" t="s">
        <v>653</v>
      </c>
      <c r="F275" t="s">
        <v>653</v>
      </c>
      <c r="G275" t="s">
        <v>1057</v>
      </c>
      <c r="H275" t="s">
        <v>1063</v>
      </c>
    </row>
    <row r="276" spans="2:8">
      <c r="B276" t="s">
        <v>388</v>
      </c>
      <c r="C276" t="s">
        <v>654</v>
      </c>
      <c r="D276" t="s">
        <v>654</v>
      </c>
      <c r="F276" t="s">
        <v>654</v>
      </c>
      <c r="G276" t="s">
        <v>1057</v>
      </c>
      <c r="H276" t="s">
        <v>1060</v>
      </c>
    </row>
    <row r="277" spans="2:8">
      <c r="B277" t="s">
        <v>388</v>
      </c>
      <c r="C277" t="s">
        <v>655</v>
      </c>
      <c r="D277" t="s">
        <v>655</v>
      </c>
      <c r="F277" t="s">
        <v>655</v>
      </c>
      <c r="G277" t="s">
        <v>1057</v>
      </c>
      <c r="H277" t="s">
        <v>1062</v>
      </c>
    </row>
    <row r="278" spans="2:8">
      <c r="B278" t="s">
        <v>388</v>
      </c>
      <c r="C278" t="s">
        <v>656</v>
      </c>
      <c r="D278" t="s">
        <v>656</v>
      </c>
      <c r="F278" t="s">
        <v>656</v>
      </c>
      <c r="G278" t="s">
        <v>1057</v>
      </c>
      <c r="H278" t="s">
        <v>1062</v>
      </c>
    </row>
    <row r="279" spans="2:8">
      <c r="B279" t="s">
        <v>388</v>
      </c>
      <c r="C279" t="s">
        <v>657</v>
      </c>
      <c r="D279" t="s">
        <v>657</v>
      </c>
      <c r="F279" t="s">
        <v>657</v>
      </c>
      <c r="G279" t="s">
        <v>1057</v>
      </c>
      <c r="H279" t="s">
        <v>1062</v>
      </c>
    </row>
    <row r="280" spans="2:8">
      <c r="B280" t="s">
        <v>388</v>
      </c>
      <c r="C280" t="s">
        <v>658</v>
      </c>
      <c r="D280" t="s">
        <v>658</v>
      </c>
      <c r="F280" t="s">
        <v>658</v>
      </c>
      <c r="G280" t="s">
        <v>1057</v>
      </c>
      <c r="H280" t="s">
        <v>1062</v>
      </c>
    </row>
    <row r="281" spans="2:8">
      <c r="B281" t="s">
        <v>388</v>
      </c>
      <c r="C281" t="s">
        <v>659</v>
      </c>
      <c r="D281" t="s">
        <v>659</v>
      </c>
      <c r="F281" t="s">
        <v>659</v>
      </c>
      <c r="G281" t="s">
        <v>1057</v>
      </c>
      <c r="H281" t="s">
        <v>1060</v>
      </c>
    </row>
    <row r="282" spans="2:8">
      <c r="B282" t="s">
        <v>388</v>
      </c>
      <c r="C282" t="s">
        <v>660</v>
      </c>
      <c r="D282" t="s">
        <v>660</v>
      </c>
      <c r="F282" t="s">
        <v>660</v>
      </c>
      <c r="G282" t="s">
        <v>1057</v>
      </c>
      <c r="H282" t="s">
        <v>1063</v>
      </c>
    </row>
    <row r="283" spans="2:8">
      <c r="B283" t="s">
        <v>388</v>
      </c>
      <c r="C283" t="s">
        <v>661</v>
      </c>
      <c r="D283" t="s">
        <v>661</v>
      </c>
      <c r="F283" t="s">
        <v>661</v>
      </c>
      <c r="G283" t="s">
        <v>1057</v>
      </c>
      <c r="H283" t="s">
        <v>1061</v>
      </c>
    </row>
    <row r="284" spans="2:8">
      <c r="B284" t="s">
        <v>388</v>
      </c>
      <c r="C284" t="s">
        <v>662</v>
      </c>
      <c r="D284" t="s">
        <v>662</v>
      </c>
      <c r="F284" t="s">
        <v>662</v>
      </c>
      <c r="G284" t="s">
        <v>1057</v>
      </c>
      <c r="H284" t="s">
        <v>1064</v>
      </c>
    </row>
    <row r="285" spans="2:8">
      <c r="B285" t="s">
        <v>388</v>
      </c>
      <c r="C285" t="s">
        <v>663</v>
      </c>
      <c r="D285" t="s">
        <v>663</v>
      </c>
      <c r="F285" t="s">
        <v>663</v>
      </c>
      <c r="G285" t="s">
        <v>1057</v>
      </c>
      <c r="H285" t="s">
        <v>1066</v>
      </c>
    </row>
    <row r="286" spans="2:8">
      <c r="B286" t="s">
        <v>388</v>
      </c>
      <c r="C286" t="s">
        <v>664</v>
      </c>
      <c r="D286" t="s">
        <v>664</v>
      </c>
      <c r="F286" t="s">
        <v>664</v>
      </c>
      <c r="G286" t="s">
        <v>1057</v>
      </c>
      <c r="H286" t="s">
        <v>1067</v>
      </c>
    </row>
    <row r="287" spans="2:8">
      <c r="B287" t="s">
        <v>388</v>
      </c>
      <c r="C287" t="s">
        <v>665</v>
      </c>
      <c r="D287" t="s">
        <v>665</v>
      </c>
      <c r="F287" t="s">
        <v>665</v>
      </c>
      <c r="G287" t="s">
        <v>1057</v>
      </c>
      <c r="H287" t="s">
        <v>1068</v>
      </c>
    </row>
    <row r="288" spans="2:8">
      <c r="B288" t="s">
        <v>388</v>
      </c>
      <c r="C288" t="s">
        <v>666</v>
      </c>
      <c r="D288" t="s">
        <v>666</v>
      </c>
      <c r="F288" t="s">
        <v>666</v>
      </c>
      <c r="G288" t="s">
        <v>1057</v>
      </c>
      <c r="H288" t="s">
        <v>1068</v>
      </c>
    </row>
    <row r="289" spans="2:8">
      <c r="B289" t="s">
        <v>388</v>
      </c>
      <c r="C289" t="s">
        <v>667</v>
      </c>
      <c r="D289" t="s">
        <v>667</v>
      </c>
      <c r="F289" t="s">
        <v>667</v>
      </c>
      <c r="G289" t="s">
        <v>1057</v>
      </c>
      <c r="H289" t="s">
        <v>1060</v>
      </c>
    </row>
    <row r="290" spans="2:8">
      <c r="B290" t="s">
        <v>388</v>
      </c>
      <c r="C290" t="s">
        <v>668</v>
      </c>
      <c r="D290" t="s">
        <v>668</v>
      </c>
      <c r="F290" t="s">
        <v>668</v>
      </c>
      <c r="G290" t="s">
        <v>1057</v>
      </c>
      <c r="H290" t="s">
        <v>1060</v>
      </c>
    </row>
    <row r="291" spans="2:8">
      <c r="B291" t="s">
        <v>388</v>
      </c>
      <c r="C291" t="s">
        <v>669</v>
      </c>
      <c r="D291" t="s">
        <v>669</v>
      </c>
      <c r="F291" t="s">
        <v>669</v>
      </c>
      <c r="G291" t="s">
        <v>1057</v>
      </c>
      <c r="H291" t="s">
        <v>1060</v>
      </c>
    </row>
    <row r="292" spans="2:8">
      <c r="B292" t="s">
        <v>388</v>
      </c>
      <c r="C292" t="s">
        <v>670</v>
      </c>
      <c r="D292" t="s">
        <v>670</v>
      </c>
      <c r="F292" t="s">
        <v>670</v>
      </c>
      <c r="G292" t="s">
        <v>1057</v>
      </c>
      <c r="H292" t="s">
        <v>1060</v>
      </c>
    </row>
    <row r="293" spans="2:8">
      <c r="B293" t="s">
        <v>388</v>
      </c>
      <c r="C293" t="s">
        <v>671</v>
      </c>
      <c r="D293" t="s">
        <v>671</v>
      </c>
      <c r="F293" t="s">
        <v>671</v>
      </c>
      <c r="G293" t="s">
        <v>1057</v>
      </c>
      <c r="H293" t="s">
        <v>1060</v>
      </c>
    </row>
    <row r="294" spans="2:8">
      <c r="B294" t="s">
        <v>388</v>
      </c>
      <c r="C294" t="s">
        <v>672</v>
      </c>
      <c r="D294" t="s">
        <v>672</v>
      </c>
      <c r="F294" t="s">
        <v>672</v>
      </c>
      <c r="G294" t="s">
        <v>1057</v>
      </c>
      <c r="H294" t="s">
        <v>1060</v>
      </c>
    </row>
    <row r="295" spans="2:8">
      <c r="B295" t="s">
        <v>388</v>
      </c>
      <c r="C295" t="s">
        <v>673</v>
      </c>
      <c r="D295" t="s">
        <v>673</v>
      </c>
      <c r="F295" t="s">
        <v>673</v>
      </c>
      <c r="G295" t="s">
        <v>1057</v>
      </c>
      <c r="H295" t="s">
        <v>1060</v>
      </c>
    </row>
    <row r="296" spans="2:8">
      <c r="B296" t="s">
        <v>388</v>
      </c>
      <c r="C296" t="s">
        <v>674</v>
      </c>
      <c r="D296" t="s">
        <v>674</v>
      </c>
      <c r="F296" t="s">
        <v>674</v>
      </c>
      <c r="G296" t="s">
        <v>1057</v>
      </c>
      <c r="H296" t="s">
        <v>1060</v>
      </c>
    </row>
    <row r="297" spans="2:8">
      <c r="B297" t="s">
        <v>388</v>
      </c>
      <c r="C297" t="s">
        <v>675</v>
      </c>
      <c r="D297" t="s">
        <v>675</v>
      </c>
      <c r="F297" t="s">
        <v>675</v>
      </c>
      <c r="G297" t="s">
        <v>1057</v>
      </c>
      <c r="H297" t="s">
        <v>1060</v>
      </c>
    </row>
    <row r="298" spans="2:8">
      <c r="B298" t="s">
        <v>388</v>
      </c>
      <c r="C298" t="s">
        <v>676</v>
      </c>
      <c r="D298" t="s">
        <v>676</v>
      </c>
      <c r="F298" t="s">
        <v>676</v>
      </c>
      <c r="G298" t="s">
        <v>1057</v>
      </c>
      <c r="H298" t="s">
        <v>1063</v>
      </c>
    </row>
    <row r="299" spans="2:8">
      <c r="B299" t="s">
        <v>388</v>
      </c>
      <c r="C299" t="s">
        <v>677</v>
      </c>
      <c r="D299" t="s">
        <v>677</v>
      </c>
      <c r="F299" t="s">
        <v>677</v>
      </c>
      <c r="G299" t="s">
        <v>1057</v>
      </c>
      <c r="H299" t="s">
        <v>1063</v>
      </c>
    </row>
    <row r="300" spans="2:8">
      <c r="B300" t="s">
        <v>388</v>
      </c>
      <c r="C300" t="s">
        <v>678</v>
      </c>
      <c r="D300" t="s">
        <v>678</v>
      </c>
      <c r="F300" t="s">
        <v>678</v>
      </c>
      <c r="G300" t="s">
        <v>1057</v>
      </c>
      <c r="H300" t="s">
        <v>1061</v>
      </c>
    </row>
    <row r="301" spans="2:8">
      <c r="B301" t="s">
        <v>388</v>
      </c>
      <c r="C301" t="s">
        <v>679</v>
      </c>
      <c r="D301" t="s">
        <v>679</v>
      </c>
      <c r="F301" t="s">
        <v>679</v>
      </c>
      <c r="G301" t="s">
        <v>1057</v>
      </c>
      <c r="H301" t="s">
        <v>1061</v>
      </c>
    </row>
    <row r="302" spans="2:8">
      <c r="B302" t="s">
        <v>388</v>
      </c>
      <c r="C302" t="s">
        <v>680</v>
      </c>
      <c r="D302" t="s">
        <v>680</v>
      </c>
      <c r="F302" t="s">
        <v>680</v>
      </c>
      <c r="G302" t="s">
        <v>1057</v>
      </c>
      <c r="H302" t="s">
        <v>1060</v>
      </c>
    </row>
    <row r="303" spans="2:8">
      <c r="B303" t="s">
        <v>388</v>
      </c>
      <c r="C303" t="s">
        <v>681</v>
      </c>
      <c r="D303" t="s">
        <v>681</v>
      </c>
      <c r="F303" t="s">
        <v>681</v>
      </c>
      <c r="G303" t="s">
        <v>1057</v>
      </c>
      <c r="H303" t="s">
        <v>1060</v>
      </c>
    </row>
    <row r="304" spans="2:8">
      <c r="B304" t="s">
        <v>388</v>
      </c>
      <c r="C304" t="s">
        <v>682</v>
      </c>
      <c r="D304" t="s">
        <v>682</v>
      </c>
      <c r="F304" t="s">
        <v>682</v>
      </c>
      <c r="G304" t="s">
        <v>1057</v>
      </c>
      <c r="H304" t="s">
        <v>1060</v>
      </c>
    </row>
    <row r="305" spans="2:8">
      <c r="B305" t="s">
        <v>388</v>
      </c>
      <c r="C305" t="s">
        <v>683</v>
      </c>
      <c r="D305" t="s">
        <v>683</v>
      </c>
      <c r="F305" t="s">
        <v>683</v>
      </c>
      <c r="G305" t="s">
        <v>1057</v>
      </c>
      <c r="H305" t="s">
        <v>1063</v>
      </c>
    </row>
    <row r="306" spans="2:8">
      <c r="B306" t="s">
        <v>388</v>
      </c>
      <c r="C306" t="s">
        <v>684</v>
      </c>
      <c r="D306" t="s">
        <v>684</v>
      </c>
      <c r="F306" t="s">
        <v>684</v>
      </c>
      <c r="G306" t="s">
        <v>1057</v>
      </c>
      <c r="H306" t="s">
        <v>1063</v>
      </c>
    </row>
    <row r="307" spans="2:8">
      <c r="B307" t="s">
        <v>388</v>
      </c>
      <c r="C307" t="s">
        <v>685</v>
      </c>
      <c r="D307" t="s">
        <v>685</v>
      </c>
      <c r="F307" t="s">
        <v>685</v>
      </c>
      <c r="G307" t="s">
        <v>1057</v>
      </c>
      <c r="H307" t="s">
        <v>1061</v>
      </c>
    </row>
    <row r="308" spans="2:8">
      <c r="B308" t="s">
        <v>388</v>
      </c>
      <c r="C308" t="s">
        <v>686</v>
      </c>
      <c r="D308" t="s">
        <v>686</v>
      </c>
      <c r="F308" t="s">
        <v>686</v>
      </c>
      <c r="G308" t="s">
        <v>1057</v>
      </c>
      <c r="H308" t="s">
        <v>1061</v>
      </c>
    </row>
    <row r="309" spans="2:8">
      <c r="B309" t="s">
        <v>388</v>
      </c>
      <c r="C309" t="s">
        <v>687</v>
      </c>
      <c r="D309" t="s">
        <v>687</v>
      </c>
      <c r="F309" t="s">
        <v>687</v>
      </c>
      <c r="G309" t="s">
        <v>1057</v>
      </c>
      <c r="H309" t="s">
        <v>1061</v>
      </c>
    </row>
    <row r="310" spans="2:8">
      <c r="B310" t="s">
        <v>388</v>
      </c>
      <c r="C310" t="s">
        <v>688</v>
      </c>
      <c r="D310" t="s">
        <v>688</v>
      </c>
      <c r="F310" t="s">
        <v>688</v>
      </c>
      <c r="G310" t="s">
        <v>1057</v>
      </c>
      <c r="H310" t="s">
        <v>1061</v>
      </c>
    </row>
    <row r="311" spans="2:8">
      <c r="B311" t="s">
        <v>388</v>
      </c>
      <c r="C311" t="s">
        <v>689</v>
      </c>
      <c r="D311" t="s">
        <v>689</v>
      </c>
      <c r="F311" t="s">
        <v>689</v>
      </c>
      <c r="G311" t="s">
        <v>1057</v>
      </c>
      <c r="H311" t="s">
        <v>1061</v>
      </c>
    </row>
    <row r="312" spans="2:8">
      <c r="B312" t="s">
        <v>388</v>
      </c>
      <c r="C312" t="s">
        <v>690</v>
      </c>
      <c r="D312" t="s">
        <v>690</v>
      </c>
      <c r="F312" t="s">
        <v>690</v>
      </c>
      <c r="G312" t="s">
        <v>1057</v>
      </c>
      <c r="H312" t="s">
        <v>1061</v>
      </c>
    </row>
    <row r="313" spans="2:8">
      <c r="B313" t="s">
        <v>388</v>
      </c>
      <c r="C313" t="s">
        <v>691</v>
      </c>
      <c r="D313" t="s">
        <v>691</v>
      </c>
      <c r="F313" t="s">
        <v>691</v>
      </c>
      <c r="G313" t="s">
        <v>1057</v>
      </c>
      <c r="H313" t="s">
        <v>1061</v>
      </c>
    </row>
    <row r="314" spans="2:8">
      <c r="B314" t="s">
        <v>388</v>
      </c>
      <c r="C314" t="s">
        <v>692</v>
      </c>
      <c r="D314" t="s">
        <v>692</v>
      </c>
      <c r="F314" t="s">
        <v>692</v>
      </c>
      <c r="G314" t="s">
        <v>1057</v>
      </c>
      <c r="H314" t="s">
        <v>1061</v>
      </c>
    </row>
    <row r="315" spans="2:8">
      <c r="B315" t="s">
        <v>388</v>
      </c>
      <c r="C315" t="s">
        <v>693</v>
      </c>
      <c r="D315" t="s">
        <v>693</v>
      </c>
      <c r="F315" t="s">
        <v>693</v>
      </c>
      <c r="G315" t="s">
        <v>1057</v>
      </c>
      <c r="H315" t="s">
        <v>1061</v>
      </c>
    </row>
    <row r="316" spans="2:8">
      <c r="B316" t="s">
        <v>388</v>
      </c>
      <c r="C316" t="s">
        <v>694</v>
      </c>
      <c r="D316" t="s">
        <v>694</v>
      </c>
      <c r="F316" t="s">
        <v>694</v>
      </c>
      <c r="G316" t="s">
        <v>1057</v>
      </c>
      <c r="H316" t="s">
        <v>1060</v>
      </c>
    </row>
    <row r="317" spans="2:8">
      <c r="B317" t="s">
        <v>388</v>
      </c>
      <c r="C317" t="s">
        <v>695</v>
      </c>
      <c r="D317" t="s">
        <v>695</v>
      </c>
      <c r="F317" t="s">
        <v>695</v>
      </c>
      <c r="G317" t="s">
        <v>1057</v>
      </c>
      <c r="H317" t="s">
        <v>1063</v>
      </c>
    </row>
    <row r="318" spans="2:8">
      <c r="B318" t="s">
        <v>388</v>
      </c>
      <c r="C318" t="s">
        <v>696</v>
      </c>
      <c r="D318" t="s">
        <v>696</v>
      </c>
      <c r="F318" t="s">
        <v>696</v>
      </c>
      <c r="G318" t="s">
        <v>1057</v>
      </c>
      <c r="H318" t="s">
        <v>1063</v>
      </c>
    </row>
    <row r="319" spans="2:8">
      <c r="B319" t="s">
        <v>388</v>
      </c>
      <c r="C319" t="s">
        <v>697</v>
      </c>
      <c r="D319" t="s">
        <v>697</v>
      </c>
      <c r="F319" t="s">
        <v>697</v>
      </c>
      <c r="G319" t="s">
        <v>1057</v>
      </c>
      <c r="H319" t="s">
        <v>1063</v>
      </c>
    </row>
    <row r="320" spans="2:8">
      <c r="B320" t="s">
        <v>388</v>
      </c>
      <c r="C320" t="s">
        <v>698</v>
      </c>
      <c r="D320" t="s">
        <v>698</v>
      </c>
      <c r="F320" t="s">
        <v>698</v>
      </c>
      <c r="G320" t="s">
        <v>1057</v>
      </c>
      <c r="H320" t="s">
        <v>1063</v>
      </c>
    </row>
    <row r="321" spans="2:8">
      <c r="B321" t="s">
        <v>388</v>
      </c>
      <c r="C321" t="s">
        <v>699</v>
      </c>
      <c r="D321" t="s">
        <v>699</v>
      </c>
      <c r="F321" t="s">
        <v>699</v>
      </c>
      <c r="G321" t="s">
        <v>1057</v>
      </c>
      <c r="H321" t="s">
        <v>1061</v>
      </c>
    </row>
    <row r="322" spans="2:8">
      <c r="B322" t="s">
        <v>388</v>
      </c>
      <c r="C322" t="s">
        <v>700</v>
      </c>
      <c r="D322" t="s">
        <v>700</v>
      </c>
      <c r="F322" t="s">
        <v>700</v>
      </c>
      <c r="G322" t="s">
        <v>1057</v>
      </c>
      <c r="H322" t="s">
        <v>1061</v>
      </c>
    </row>
    <row r="323" spans="2:8">
      <c r="B323" t="s">
        <v>388</v>
      </c>
      <c r="C323" t="s">
        <v>701</v>
      </c>
      <c r="D323" t="s">
        <v>701</v>
      </c>
      <c r="F323" t="s">
        <v>701</v>
      </c>
      <c r="G323" t="s">
        <v>1057</v>
      </c>
      <c r="H323" t="s">
        <v>1061</v>
      </c>
    </row>
    <row r="324" spans="2:8">
      <c r="B324" t="s">
        <v>388</v>
      </c>
      <c r="C324" t="s">
        <v>702</v>
      </c>
      <c r="D324" t="s">
        <v>702</v>
      </c>
      <c r="F324" t="s">
        <v>702</v>
      </c>
      <c r="G324" t="s">
        <v>1057</v>
      </c>
      <c r="H324" t="s">
        <v>1061</v>
      </c>
    </row>
    <row r="325" spans="2:8">
      <c r="B325" t="s">
        <v>388</v>
      </c>
      <c r="C325" t="s">
        <v>703</v>
      </c>
      <c r="D325" t="s">
        <v>703</v>
      </c>
      <c r="F325" t="s">
        <v>703</v>
      </c>
      <c r="G325" t="s">
        <v>1057</v>
      </c>
      <c r="H325" t="s">
        <v>1061</v>
      </c>
    </row>
    <row r="326" spans="2:8">
      <c r="B326" t="s">
        <v>388</v>
      </c>
      <c r="C326" t="s">
        <v>704</v>
      </c>
      <c r="D326" t="s">
        <v>704</v>
      </c>
      <c r="F326" t="s">
        <v>704</v>
      </c>
      <c r="G326" t="s">
        <v>1057</v>
      </c>
      <c r="H326" t="s">
        <v>1061</v>
      </c>
    </row>
    <row r="327" spans="2:8">
      <c r="B327" t="s">
        <v>388</v>
      </c>
      <c r="C327" t="s">
        <v>705</v>
      </c>
      <c r="D327" t="s">
        <v>705</v>
      </c>
      <c r="F327" t="s">
        <v>705</v>
      </c>
      <c r="G327" t="s">
        <v>1057</v>
      </c>
      <c r="H327" t="s">
        <v>1061</v>
      </c>
    </row>
    <row r="328" spans="2:8">
      <c r="B328" t="s">
        <v>388</v>
      </c>
      <c r="C328" t="s">
        <v>706</v>
      </c>
      <c r="D328" t="s">
        <v>706</v>
      </c>
      <c r="F328" t="s">
        <v>706</v>
      </c>
      <c r="G328" t="s">
        <v>1057</v>
      </c>
      <c r="H328" t="s">
        <v>1061</v>
      </c>
    </row>
    <row r="329" spans="2:8">
      <c r="B329" t="s">
        <v>388</v>
      </c>
      <c r="C329" t="s">
        <v>707</v>
      </c>
      <c r="D329" t="s">
        <v>707</v>
      </c>
      <c r="F329" t="s">
        <v>707</v>
      </c>
      <c r="G329" t="s">
        <v>1057</v>
      </c>
      <c r="H329" t="s">
        <v>1061</v>
      </c>
    </row>
    <row r="330" spans="2:8">
      <c r="B330" t="s">
        <v>388</v>
      </c>
      <c r="C330" t="s">
        <v>708</v>
      </c>
      <c r="D330" t="s">
        <v>708</v>
      </c>
      <c r="F330" t="s">
        <v>708</v>
      </c>
      <c r="G330" t="s">
        <v>1057</v>
      </c>
      <c r="H330" t="s">
        <v>1061</v>
      </c>
    </row>
    <row r="331" spans="2:8">
      <c r="B331" t="s">
        <v>388</v>
      </c>
      <c r="C331" t="s">
        <v>709</v>
      </c>
      <c r="D331" t="s">
        <v>709</v>
      </c>
      <c r="F331" t="s">
        <v>709</v>
      </c>
      <c r="G331" t="s">
        <v>1057</v>
      </c>
      <c r="H331" t="s">
        <v>1061</v>
      </c>
    </row>
    <row r="332" spans="2:8">
      <c r="B332" t="s">
        <v>388</v>
      </c>
      <c r="C332" t="s">
        <v>710</v>
      </c>
      <c r="D332" t="s">
        <v>710</v>
      </c>
      <c r="F332" t="s">
        <v>710</v>
      </c>
      <c r="G332" t="s">
        <v>1057</v>
      </c>
      <c r="H332" t="s">
        <v>1060</v>
      </c>
    </row>
    <row r="333" spans="2:8">
      <c r="B333" t="s">
        <v>388</v>
      </c>
      <c r="C333" t="s">
        <v>711</v>
      </c>
      <c r="D333" t="s">
        <v>711</v>
      </c>
      <c r="F333" t="s">
        <v>711</v>
      </c>
      <c r="G333" t="s">
        <v>1057</v>
      </c>
      <c r="H333" t="s">
        <v>1063</v>
      </c>
    </row>
    <row r="334" spans="2:8">
      <c r="B334" t="s">
        <v>388</v>
      </c>
      <c r="C334" t="s">
        <v>712</v>
      </c>
      <c r="D334" t="s">
        <v>712</v>
      </c>
      <c r="F334" t="s">
        <v>712</v>
      </c>
      <c r="G334" t="s">
        <v>1057</v>
      </c>
      <c r="H334" t="s">
        <v>1063</v>
      </c>
    </row>
    <row r="335" spans="2:8">
      <c r="B335" t="s">
        <v>388</v>
      </c>
      <c r="C335" t="s">
        <v>713</v>
      </c>
      <c r="D335" t="s">
        <v>713</v>
      </c>
      <c r="F335" t="s">
        <v>713</v>
      </c>
      <c r="G335" t="s">
        <v>1057</v>
      </c>
      <c r="H335" t="s">
        <v>1063</v>
      </c>
    </row>
    <row r="336" spans="2:8">
      <c r="B336" t="s">
        <v>388</v>
      </c>
      <c r="C336" t="s">
        <v>714</v>
      </c>
      <c r="D336" t="s">
        <v>714</v>
      </c>
      <c r="F336" t="s">
        <v>714</v>
      </c>
      <c r="G336" t="s">
        <v>1057</v>
      </c>
      <c r="H336" t="s">
        <v>1063</v>
      </c>
    </row>
    <row r="337" spans="2:8">
      <c r="B337" t="s">
        <v>388</v>
      </c>
      <c r="C337" t="s">
        <v>715</v>
      </c>
      <c r="D337" t="s">
        <v>715</v>
      </c>
      <c r="F337" t="s">
        <v>715</v>
      </c>
      <c r="G337" t="s">
        <v>1057</v>
      </c>
      <c r="H337" t="s">
        <v>1061</v>
      </c>
    </row>
    <row r="338" spans="2:8">
      <c r="B338" t="s">
        <v>388</v>
      </c>
      <c r="C338" t="s">
        <v>716</v>
      </c>
      <c r="D338" t="s">
        <v>716</v>
      </c>
      <c r="F338" t="s">
        <v>716</v>
      </c>
      <c r="G338" t="s">
        <v>1057</v>
      </c>
      <c r="H338" t="s">
        <v>1061</v>
      </c>
    </row>
    <row r="339" spans="2:8">
      <c r="B339" t="s">
        <v>388</v>
      </c>
      <c r="C339" t="s">
        <v>717</v>
      </c>
      <c r="D339" t="s">
        <v>717</v>
      </c>
      <c r="F339" t="s">
        <v>717</v>
      </c>
      <c r="G339" t="s">
        <v>1057</v>
      </c>
      <c r="H339" t="s">
        <v>1061</v>
      </c>
    </row>
    <row r="340" spans="2:8">
      <c r="B340" t="s">
        <v>388</v>
      </c>
      <c r="C340" t="s">
        <v>718</v>
      </c>
      <c r="D340" t="s">
        <v>718</v>
      </c>
      <c r="F340" t="s">
        <v>718</v>
      </c>
      <c r="G340" t="s">
        <v>1057</v>
      </c>
      <c r="H340" t="s">
        <v>1061</v>
      </c>
    </row>
    <row r="341" spans="2:8">
      <c r="B341" t="s">
        <v>388</v>
      </c>
      <c r="C341" t="s">
        <v>719</v>
      </c>
      <c r="D341" t="s">
        <v>719</v>
      </c>
      <c r="F341" t="s">
        <v>719</v>
      </c>
      <c r="G341" t="s">
        <v>1057</v>
      </c>
      <c r="H341" t="s">
        <v>1061</v>
      </c>
    </row>
    <row r="342" spans="2:8">
      <c r="B342" t="s">
        <v>388</v>
      </c>
      <c r="C342" t="s">
        <v>720</v>
      </c>
      <c r="D342" t="s">
        <v>720</v>
      </c>
      <c r="F342" t="s">
        <v>720</v>
      </c>
      <c r="G342" t="s">
        <v>1057</v>
      </c>
      <c r="H342" t="s">
        <v>1061</v>
      </c>
    </row>
    <row r="343" spans="2:8">
      <c r="B343" t="s">
        <v>388</v>
      </c>
      <c r="C343" t="s">
        <v>721</v>
      </c>
      <c r="D343" t="s">
        <v>721</v>
      </c>
      <c r="F343" t="s">
        <v>721</v>
      </c>
      <c r="G343" t="s">
        <v>1057</v>
      </c>
      <c r="H343" t="s">
        <v>1061</v>
      </c>
    </row>
    <row r="344" spans="2:8">
      <c r="B344" t="s">
        <v>388</v>
      </c>
      <c r="C344" t="s">
        <v>722</v>
      </c>
      <c r="D344" t="s">
        <v>722</v>
      </c>
      <c r="F344" t="s">
        <v>722</v>
      </c>
      <c r="G344" t="s">
        <v>1057</v>
      </c>
      <c r="H344" t="s">
        <v>1061</v>
      </c>
    </row>
    <row r="345" spans="2:8">
      <c r="B345" t="s">
        <v>388</v>
      </c>
      <c r="C345" t="s">
        <v>723</v>
      </c>
      <c r="D345" t="s">
        <v>723</v>
      </c>
      <c r="F345" t="s">
        <v>723</v>
      </c>
      <c r="G345" t="s">
        <v>1057</v>
      </c>
      <c r="H345" t="s">
        <v>1061</v>
      </c>
    </row>
    <row r="346" spans="2:8">
      <c r="B346" t="s">
        <v>388</v>
      </c>
      <c r="C346" t="s">
        <v>724</v>
      </c>
      <c r="D346" t="s">
        <v>724</v>
      </c>
      <c r="F346" t="s">
        <v>724</v>
      </c>
      <c r="G346" t="s">
        <v>1057</v>
      </c>
      <c r="H346" t="s">
        <v>1061</v>
      </c>
    </row>
    <row r="347" spans="2:8">
      <c r="B347" t="s">
        <v>388</v>
      </c>
      <c r="C347" t="s">
        <v>725</v>
      </c>
      <c r="D347" t="s">
        <v>725</v>
      </c>
      <c r="F347" t="s">
        <v>725</v>
      </c>
      <c r="G347" t="s">
        <v>1057</v>
      </c>
      <c r="H347" t="s">
        <v>1061</v>
      </c>
    </row>
    <row r="348" spans="2:8">
      <c r="B348" t="s">
        <v>388</v>
      </c>
      <c r="C348" t="s">
        <v>726</v>
      </c>
      <c r="D348" t="s">
        <v>726</v>
      </c>
      <c r="F348" t="s">
        <v>726</v>
      </c>
      <c r="G348" t="s">
        <v>1057</v>
      </c>
      <c r="H348" t="s">
        <v>1060</v>
      </c>
    </row>
    <row r="349" spans="2:8">
      <c r="B349" t="s">
        <v>388</v>
      </c>
      <c r="C349" t="s">
        <v>727</v>
      </c>
      <c r="D349" t="s">
        <v>727</v>
      </c>
      <c r="F349" t="s">
        <v>727</v>
      </c>
      <c r="G349" t="s">
        <v>1057</v>
      </c>
      <c r="H349" t="s">
        <v>1063</v>
      </c>
    </row>
    <row r="350" spans="2:8">
      <c r="B350" t="s">
        <v>388</v>
      </c>
      <c r="C350" t="s">
        <v>728</v>
      </c>
      <c r="D350" t="s">
        <v>728</v>
      </c>
      <c r="F350" t="s">
        <v>728</v>
      </c>
      <c r="G350" t="s">
        <v>1057</v>
      </c>
      <c r="H350" t="s">
        <v>1063</v>
      </c>
    </row>
    <row r="351" spans="2:8">
      <c r="B351" t="s">
        <v>388</v>
      </c>
      <c r="C351" t="s">
        <v>729</v>
      </c>
      <c r="D351" t="s">
        <v>729</v>
      </c>
      <c r="F351" t="s">
        <v>729</v>
      </c>
      <c r="G351" t="s">
        <v>1057</v>
      </c>
      <c r="H351" t="s">
        <v>1063</v>
      </c>
    </row>
    <row r="352" spans="2:8">
      <c r="B352" t="s">
        <v>388</v>
      </c>
      <c r="C352" t="s">
        <v>730</v>
      </c>
      <c r="D352" t="s">
        <v>730</v>
      </c>
      <c r="F352" t="s">
        <v>730</v>
      </c>
      <c r="G352" t="s">
        <v>1057</v>
      </c>
      <c r="H352" t="s">
        <v>1063</v>
      </c>
    </row>
    <row r="353" spans="2:8">
      <c r="B353" t="s">
        <v>388</v>
      </c>
      <c r="C353" t="s">
        <v>731</v>
      </c>
      <c r="D353" t="s">
        <v>731</v>
      </c>
      <c r="F353" t="s">
        <v>731</v>
      </c>
      <c r="G353" t="s">
        <v>1057</v>
      </c>
      <c r="H353" t="s">
        <v>1063</v>
      </c>
    </row>
    <row r="354" spans="2:8">
      <c r="B354" t="s">
        <v>388</v>
      </c>
      <c r="C354" t="s">
        <v>732</v>
      </c>
      <c r="D354" t="s">
        <v>732</v>
      </c>
      <c r="F354" t="s">
        <v>732</v>
      </c>
      <c r="G354" t="s">
        <v>1057</v>
      </c>
      <c r="H354" t="s">
        <v>1063</v>
      </c>
    </row>
    <row r="355" spans="2:8">
      <c r="B355" t="s">
        <v>388</v>
      </c>
      <c r="C355" t="s">
        <v>733</v>
      </c>
      <c r="D355" t="s">
        <v>733</v>
      </c>
      <c r="F355" t="s">
        <v>733</v>
      </c>
      <c r="G355" t="s">
        <v>1057</v>
      </c>
      <c r="H355" t="s">
        <v>1061</v>
      </c>
    </row>
    <row r="356" spans="2:8">
      <c r="B356" t="s">
        <v>388</v>
      </c>
      <c r="C356" t="s">
        <v>734</v>
      </c>
      <c r="D356" t="s">
        <v>734</v>
      </c>
      <c r="F356" t="s">
        <v>734</v>
      </c>
      <c r="G356" t="s">
        <v>1057</v>
      </c>
      <c r="H356" t="s">
        <v>1061</v>
      </c>
    </row>
    <row r="357" spans="2:8">
      <c r="B357" t="s">
        <v>388</v>
      </c>
      <c r="C357" t="s">
        <v>735</v>
      </c>
      <c r="D357" t="s">
        <v>735</v>
      </c>
      <c r="F357" t="s">
        <v>735</v>
      </c>
      <c r="G357" t="s">
        <v>1057</v>
      </c>
      <c r="H357" t="s">
        <v>1061</v>
      </c>
    </row>
    <row r="358" spans="2:8">
      <c r="B358" t="s">
        <v>388</v>
      </c>
      <c r="C358" t="s">
        <v>736</v>
      </c>
      <c r="D358" t="s">
        <v>736</v>
      </c>
      <c r="F358" t="s">
        <v>736</v>
      </c>
      <c r="G358" t="s">
        <v>1057</v>
      </c>
      <c r="H358" t="s">
        <v>1061</v>
      </c>
    </row>
    <row r="359" spans="2:8">
      <c r="B359" t="s">
        <v>388</v>
      </c>
      <c r="C359" t="s">
        <v>737</v>
      </c>
      <c r="D359" t="s">
        <v>737</v>
      </c>
      <c r="F359" t="s">
        <v>737</v>
      </c>
      <c r="G359" t="s">
        <v>1057</v>
      </c>
      <c r="H359" t="s">
        <v>1061</v>
      </c>
    </row>
    <row r="360" spans="2:8">
      <c r="B360" t="s">
        <v>388</v>
      </c>
      <c r="C360" t="s">
        <v>738</v>
      </c>
      <c r="D360" t="s">
        <v>738</v>
      </c>
      <c r="F360" t="s">
        <v>738</v>
      </c>
      <c r="G360" t="s">
        <v>1057</v>
      </c>
      <c r="H360" t="s">
        <v>1061</v>
      </c>
    </row>
    <row r="361" spans="2:8">
      <c r="B361" t="s">
        <v>388</v>
      </c>
      <c r="C361" t="s">
        <v>739</v>
      </c>
      <c r="D361" t="s">
        <v>739</v>
      </c>
      <c r="F361" t="s">
        <v>739</v>
      </c>
      <c r="G361" t="s">
        <v>1057</v>
      </c>
      <c r="H361" t="s">
        <v>1061</v>
      </c>
    </row>
    <row r="362" spans="2:8">
      <c r="B362" t="s">
        <v>388</v>
      </c>
      <c r="C362" t="s">
        <v>740</v>
      </c>
      <c r="D362" t="s">
        <v>740</v>
      </c>
      <c r="F362" t="s">
        <v>740</v>
      </c>
      <c r="G362" t="s">
        <v>1057</v>
      </c>
      <c r="H362" t="s">
        <v>1061</v>
      </c>
    </row>
    <row r="363" spans="2:8">
      <c r="B363" t="s">
        <v>388</v>
      </c>
      <c r="C363" t="s">
        <v>741</v>
      </c>
      <c r="D363" t="s">
        <v>741</v>
      </c>
      <c r="F363" t="s">
        <v>741</v>
      </c>
      <c r="G363" t="s">
        <v>1057</v>
      </c>
      <c r="H363" t="s">
        <v>1061</v>
      </c>
    </row>
    <row r="364" spans="2:8">
      <c r="B364" t="s">
        <v>388</v>
      </c>
      <c r="C364" t="s">
        <v>742</v>
      </c>
      <c r="D364" t="s">
        <v>742</v>
      </c>
      <c r="F364" t="s">
        <v>742</v>
      </c>
      <c r="G364" t="s">
        <v>1057</v>
      </c>
      <c r="H364" t="s">
        <v>1060</v>
      </c>
    </row>
    <row r="365" spans="2:8">
      <c r="B365" t="s">
        <v>388</v>
      </c>
      <c r="C365" t="s">
        <v>743</v>
      </c>
      <c r="D365" t="s">
        <v>743</v>
      </c>
      <c r="F365" t="s">
        <v>743</v>
      </c>
      <c r="G365" t="s">
        <v>1057</v>
      </c>
      <c r="H365" t="s">
        <v>1063</v>
      </c>
    </row>
    <row r="366" spans="2:8">
      <c r="B366" t="s">
        <v>388</v>
      </c>
      <c r="C366" t="s">
        <v>744</v>
      </c>
      <c r="D366" t="s">
        <v>744</v>
      </c>
      <c r="F366" t="s">
        <v>744</v>
      </c>
      <c r="G366" t="s">
        <v>1057</v>
      </c>
      <c r="H366" t="s">
        <v>1063</v>
      </c>
    </row>
    <row r="367" spans="2:8">
      <c r="B367" t="s">
        <v>388</v>
      </c>
      <c r="C367" t="s">
        <v>745</v>
      </c>
      <c r="D367" t="s">
        <v>745</v>
      </c>
      <c r="F367" t="s">
        <v>745</v>
      </c>
      <c r="G367" t="s">
        <v>1057</v>
      </c>
      <c r="H367" t="s">
        <v>1063</v>
      </c>
    </row>
    <row r="368" spans="2:8">
      <c r="B368" t="s">
        <v>388</v>
      </c>
      <c r="C368" t="s">
        <v>746</v>
      </c>
      <c r="D368" t="s">
        <v>746</v>
      </c>
      <c r="F368" t="s">
        <v>746</v>
      </c>
      <c r="G368" t="s">
        <v>1057</v>
      </c>
      <c r="H368" t="s">
        <v>1063</v>
      </c>
    </row>
    <row r="369" spans="2:8">
      <c r="B369" t="s">
        <v>388</v>
      </c>
      <c r="C369" t="s">
        <v>747</v>
      </c>
      <c r="D369" t="s">
        <v>747</v>
      </c>
      <c r="F369" t="s">
        <v>747</v>
      </c>
      <c r="G369" t="s">
        <v>1057</v>
      </c>
      <c r="H369" t="s">
        <v>1061</v>
      </c>
    </row>
    <row r="370" spans="2:8">
      <c r="B370" t="s">
        <v>388</v>
      </c>
      <c r="C370" t="s">
        <v>748</v>
      </c>
      <c r="D370" t="s">
        <v>748</v>
      </c>
      <c r="F370" t="s">
        <v>748</v>
      </c>
      <c r="G370" t="s">
        <v>1057</v>
      </c>
      <c r="H370" t="s">
        <v>1061</v>
      </c>
    </row>
    <row r="371" spans="2:8">
      <c r="B371" t="s">
        <v>388</v>
      </c>
      <c r="C371" t="s">
        <v>749</v>
      </c>
      <c r="D371" t="s">
        <v>749</v>
      </c>
      <c r="F371" t="s">
        <v>749</v>
      </c>
      <c r="G371" t="s">
        <v>1057</v>
      </c>
      <c r="H371" t="s">
        <v>1061</v>
      </c>
    </row>
    <row r="372" spans="2:8">
      <c r="B372" t="s">
        <v>388</v>
      </c>
      <c r="C372" t="s">
        <v>750</v>
      </c>
      <c r="D372" t="s">
        <v>750</v>
      </c>
      <c r="F372" t="s">
        <v>750</v>
      </c>
      <c r="G372" t="s">
        <v>1057</v>
      </c>
      <c r="H372" t="s">
        <v>1061</v>
      </c>
    </row>
    <row r="373" spans="2:8">
      <c r="B373" t="s">
        <v>388</v>
      </c>
      <c r="C373" t="s">
        <v>751</v>
      </c>
      <c r="D373" t="s">
        <v>751</v>
      </c>
      <c r="F373" t="s">
        <v>751</v>
      </c>
      <c r="G373" t="s">
        <v>1057</v>
      </c>
      <c r="H373" t="s">
        <v>1061</v>
      </c>
    </row>
    <row r="374" spans="2:8">
      <c r="B374" t="s">
        <v>388</v>
      </c>
      <c r="C374" t="s">
        <v>752</v>
      </c>
      <c r="D374" t="s">
        <v>752</v>
      </c>
      <c r="F374" t="s">
        <v>752</v>
      </c>
      <c r="G374" t="s">
        <v>1057</v>
      </c>
      <c r="H374" t="s">
        <v>1061</v>
      </c>
    </row>
    <row r="375" spans="2:8">
      <c r="B375" t="s">
        <v>388</v>
      </c>
      <c r="C375" t="s">
        <v>753</v>
      </c>
      <c r="D375" t="s">
        <v>753</v>
      </c>
      <c r="F375" t="s">
        <v>753</v>
      </c>
      <c r="G375" t="s">
        <v>1057</v>
      </c>
      <c r="H375" t="s">
        <v>1061</v>
      </c>
    </row>
    <row r="376" spans="2:8">
      <c r="B376" t="s">
        <v>388</v>
      </c>
      <c r="C376" t="s">
        <v>754</v>
      </c>
      <c r="D376" t="s">
        <v>754</v>
      </c>
      <c r="F376" t="s">
        <v>754</v>
      </c>
      <c r="G376" t="s">
        <v>1057</v>
      </c>
      <c r="H376" t="s">
        <v>1061</v>
      </c>
    </row>
    <row r="377" spans="2:8">
      <c r="B377" t="s">
        <v>388</v>
      </c>
      <c r="C377" t="s">
        <v>755</v>
      </c>
      <c r="D377" t="s">
        <v>755</v>
      </c>
      <c r="F377" t="s">
        <v>755</v>
      </c>
      <c r="G377" t="s">
        <v>1057</v>
      </c>
      <c r="H377" t="s">
        <v>1061</v>
      </c>
    </row>
    <row r="378" spans="2:8">
      <c r="B378" t="s">
        <v>388</v>
      </c>
      <c r="C378" t="s">
        <v>756</v>
      </c>
      <c r="D378" t="s">
        <v>756</v>
      </c>
      <c r="F378" t="s">
        <v>756</v>
      </c>
      <c r="G378" t="s">
        <v>1057</v>
      </c>
      <c r="H378" t="s">
        <v>1061</v>
      </c>
    </row>
    <row r="379" spans="2:8">
      <c r="B379" t="s">
        <v>388</v>
      </c>
      <c r="C379" t="s">
        <v>757</v>
      </c>
      <c r="D379" t="s">
        <v>757</v>
      </c>
      <c r="F379" t="s">
        <v>757</v>
      </c>
      <c r="G379" t="s">
        <v>1057</v>
      </c>
      <c r="H379" t="s">
        <v>1060</v>
      </c>
    </row>
    <row r="380" spans="2:8">
      <c r="B380" t="s">
        <v>388</v>
      </c>
      <c r="C380" t="s">
        <v>758</v>
      </c>
      <c r="D380" t="s">
        <v>758</v>
      </c>
      <c r="F380" t="s">
        <v>758</v>
      </c>
      <c r="G380" t="s">
        <v>1057</v>
      </c>
      <c r="H380" t="s">
        <v>1063</v>
      </c>
    </row>
    <row r="381" spans="2:8">
      <c r="B381" t="s">
        <v>388</v>
      </c>
      <c r="C381" t="s">
        <v>759</v>
      </c>
      <c r="D381" t="s">
        <v>759</v>
      </c>
      <c r="F381" t="s">
        <v>759</v>
      </c>
      <c r="G381" t="s">
        <v>1057</v>
      </c>
      <c r="H381" t="s">
        <v>1063</v>
      </c>
    </row>
    <row r="382" spans="2:8">
      <c r="B382" t="s">
        <v>388</v>
      </c>
      <c r="C382" t="s">
        <v>760</v>
      </c>
      <c r="D382" t="s">
        <v>760</v>
      </c>
      <c r="F382" t="s">
        <v>760</v>
      </c>
      <c r="G382" t="s">
        <v>1057</v>
      </c>
      <c r="H382" t="s">
        <v>1063</v>
      </c>
    </row>
    <row r="383" spans="2:8">
      <c r="B383" t="s">
        <v>388</v>
      </c>
      <c r="C383" t="s">
        <v>761</v>
      </c>
      <c r="D383" t="s">
        <v>761</v>
      </c>
      <c r="F383" t="s">
        <v>761</v>
      </c>
      <c r="G383" t="s">
        <v>1057</v>
      </c>
      <c r="H383" t="s">
        <v>1063</v>
      </c>
    </row>
    <row r="384" spans="2:8">
      <c r="B384" t="s">
        <v>388</v>
      </c>
      <c r="C384" t="s">
        <v>762</v>
      </c>
      <c r="D384" t="s">
        <v>762</v>
      </c>
      <c r="F384" t="s">
        <v>762</v>
      </c>
      <c r="G384" t="s">
        <v>1057</v>
      </c>
      <c r="H384" t="s">
        <v>1061</v>
      </c>
    </row>
    <row r="385" spans="2:8">
      <c r="B385" t="s">
        <v>388</v>
      </c>
      <c r="C385" t="s">
        <v>763</v>
      </c>
      <c r="D385" t="s">
        <v>763</v>
      </c>
      <c r="F385" t="s">
        <v>763</v>
      </c>
      <c r="G385" t="s">
        <v>1057</v>
      </c>
      <c r="H385" t="s">
        <v>1061</v>
      </c>
    </row>
    <row r="386" spans="2:8">
      <c r="B386" t="s">
        <v>388</v>
      </c>
      <c r="C386" t="s">
        <v>764</v>
      </c>
      <c r="D386" t="s">
        <v>764</v>
      </c>
      <c r="F386" t="s">
        <v>764</v>
      </c>
      <c r="G386" t="s">
        <v>1057</v>
      </c>
      <c r="H386" t="s">
        <v>1061</v>
      </c>
    </row>
    <row r="387" spans="2:8">
      <c r="B387" t="s">
        <v>388</v>
      </c>
      <c r="C387" t="s">
        <v>765</v>
      </c>
      <c r="D387" t="s">
        <v>765</v>
      </c>
      <c r="F387" t="s">
        <v>765</v>
      </c>
      <c r="G387" t="s">
        <v>1057</v>
      </c>
      <c r="H387" t="s">
        <v>1061</v>
      </c>
    </row>
    <row r="388" spans="2:8">
      <c r="B388" t="s">
        <v>388</v>
      </c>
      <c r="C388" t="s">
        <v>766</v>
      </c>
      <c r="D388" t="s">
        <v>766</v>
      </c>
      <c r="F388" t="s">
        <v>766</v>
      </c>
      <c r="G388" t="s">
        <v>1057</v>
      </c>
      <c r="H388" t="s">
        <v>1058</v>
      </c>
    </row>
    <row r="389" spans="2:8">
      <c r="B389" t="s">
        <v>388</v>
      </c>
      <c r="C389" t="s">
        <v>767</v>
      </c>
      <c r="D389" t="s">
        <v>767</v>
      </c>
      <c r="F389" t="s">
        <v>767</v>
      </c>
      <c r="G389" t="s">
        <v>1057</v>
      </c>
      <c r="H389" t="s">
        <v>1061</v>
      </c>
    </row>
    <row r="390" spans="2:8">
      <c r="B390" t="s">
        <v>388</v>
      </c>
      <c r="C390" t="s">
        <v>768</v>
      </c>
      <c r="D390" t="s">
        <v>768</v>
      </c>
      <c r="F390" t="s">
        <v>768</v>
      </c>
      <c r="G390" t="s">
        <v>1057</v>
      </c>
      <c r="H390" t="s">
        <v>1061</v>
      </c>
    </row>
    <row r="391" spans="2:8">
      <c r="B391" t="s">
        <v>388</v>
      </c>
      <c r="C391" t="s">
        <v>769</v>
      </c>
      <c r="D391" t="s">
        <v>769</v>
      </c>
      <c r="F391" t="s">
        <v>769</v>
      </c>
      <c r="G391" t="s">
        <v>1057</v>
      </c>
      <c r="H391" t="s">
        <v>1061</v>
      </c>
    </row>
    <row r="392" spans="2:8">
      <c r="B392" t="s">
        <v>388</v>
      </c>
      <c r="C392" t="s">
        <v>770</v>
      </c>
      <c r="D392" t="s">
        <v>770</v>
      </c>
      <c r="F392" t="s">
        <v>770</v>
      </c>
      <c r="G392" t="s">
        <v>1057</v>
      </c>
      <c r="H392" t="s">
        <v>1061</v>
      </c>
    </row>
    <row r="393" spans="2:8">
      <c r="B393" t="s">
        <v>388</v>
      </c>
      <c r="C393" t="s">
        <v>771</v>
      </c>
      <c r="D393" t="s">
        <v>771</v>
      </c>
      <c r="F393" t="s">
        <v>771</v>
      </c>
      <c r="G393" t="s">
        <v>1057</v>
      </c>
      <c r="H393" t="s">
        <v>1061</v>
      </c>
    </row>
    <row r="394" spans="2:8">
      <c r="B394" t="s">
        <v>388</v>
      </c>
      <c r="C394" t="s">
        <v>772</v>
      </c>
      <c r="D394" t="s">
        <v>772</v>
      </c>
      <c r="F394" t="s">
        <v>772</v>
      </c>
      <c r="G394" t="s">
        <v>1057</v>
      </c>
      <c r="H394" t="s">
        <v>1060</v>
      </c>
    </row>
    <row r="395" spans="2:8">
      <c r="B395" t="s">
        <v>388</v>
      </c>
      <c r="C395" t="s">
        <v>773</v>
      </c>
      <c r="D395" t="s">
        <v>773</v>
      </c>
      <c r="F395" t="s">
        <v>773</v>
      </c>
      <c r="G395" t="s">
        <v>1057</v>
      </c>
      <c r="H395" t="s">
        <v>1063</v>
      </c>
    </row>
    <row r="396" spans="2:8">
      <c r="B396" t="s">
        <v>388</v>
      </c>
      <c r="C396" t="s">
        <v>774</v>
      </c>
      <c r="D396" t="s">
        <v>774</v>
      </c>
      <c r="F396" t="s">
        <v>774</v>
      </c>
      <c r="G396" t="s">
        <v>1057</v>
      </c>
      <c r="H396" t="s">
        <v>1063</v>
      </c>
    </row>
    <row r="397" spans="2:8">
      <c r="B397" t="s">
        <v>388</v>
      </c>
      <c r="C397" t="s">
        <v>775</v>
      </c>
      <c r="D397" t="s">
        <v>775</v>
      </c>
      <c r="F397" t="s">
        <v>775</v>
      </c>
      <c r="G397" t="s">
        <v>1057</v>
      </c>
      <c r="H397" t="s">
        <v>1063</v>
      </c>
    </row>
    <row r="398" spans="2:8">
      <c r="B398" t="s">
        <v>388</v>
      </c>
      <c r="C398" t="s">
        <v>776</v>
      </c>
      <c r="D398" t="s">
        <v>776</v>
      </c>
      <c r="F398" t="s">
        <v>776</v>
      </c>
      <c r="G398" t="s">
        <v>1057</v>
      </c>
      <c r="H398" t="s">
        <v>1063</v>
      </c>
    </row>
    <row r="399" spans="2:8">
      <c r="B399" t="s">
        <v>388</v>
      </c>
      <c r="C399" t="s">
        <v>777</v>
      </c>
      <c r="D399" t="s">
        <v>777</v>
      </c>
      <c r="F399" t="s">
        <v>777</v>
      </c>
      <c r="G399" t="s">
        <v>1057</v>
      </c>
      <c r="H399" t="s">
        <v>1061</v>
      </c>
    </row>
    <row r="400" spans="2:8">
      <c r="B400" t="s">
        <v>388</v>
      </c>
      <c r="C400" t="s">
        <v>778</v>
      </c>
      <c r="D400" t="s">
        <v>778</v>
      </c>
      <c r="F400" t="s">
        <v>778</v>
      </c>
      <c r="G400" t="s">
        <v>1057</v>
      </c>
      <c r="H400" t="s">
        <v>1061</v>
      </c>
    </row>
    <row r="401" spans="2:8">
      <c r="B401" t="s">
        <v>388</v>
      </c>
      <c r="C401" t="s">
        <v>779</v>
      </c>
      <c r="D401" t="s">
        <v>779</v>
      </c>
      <c r="F401" t="s">
        <v>779</v>
      </c>
      <c r="G401" t="s">
        <v>1057</v>
      </c>
      <c r="H401" t="s">
        <v>1061</v>
      </c>
    </row>
    <row r="402" spans="2:8">
      <c r="B402" t="s">
        <v>388</v>
      </c>
      <c r="C402" t="s">
        <v>780</v>
      </c>
      <c r="D402" t="s">
        <v>780</v>
      </c>
      <c r="F402" t="s">
        <v>780</v>
      </c>
      <c r="G402" t="s">
        <v>1057</v>
      </c>
      <c r="H402" t="s">
        <v>1058</v>
      </c>
    </row>
    <row r="403" spans="2:8">
      <c r="B403" t="s">
        <v>388</v>
      </c>
      <c r="C403" t="s">
        <v>781</v>
      </c>
      <c r="D403" t="s">
        <v>781</v>
      </c>
      <c r="F403" t="s">
        <v>781</v>
      </c>
      <c r="G403" t="s">
        <v>1057</v>
      </c>
      <c r="H403" t="s">
        <v>1058</v>
      </c>
    </row>
    <row r="404" spans="2:8">
      <c r="B404" t="s">
        <v>388</v>
      </c>
      <c r="C404" t="s">
        <v>782</v>
      </c>
      <c r="D404" t="s">
        <v>782</v>
      </c>
      <c r="F404" t="s">
        <v>782</v>
      </c>
      <c r="G404" t="s">
        <v>1057</v>
      </c>
      <c r="H404" t="s">
        <v>1058</v>
      </c>
    </row>
    <row r="405" spans="2:8">
      <c r="B405" t="s">
        <v>388</v>
      </c>
      <c r="C405" t="s">
        <v>783</v>
      </c>
      <c r="D405" t="s">
        <v>783</v>
      </c>
      <c r="F405" t="s">
        <v>783</v>
      </c>
      <c r="G405" t="s">
        <v>1057</v>
      </c>
      <c r="H405" t="s">
        <v>1061</v>
      </c>
    </row>
    <row r="406" spans="2:8">
      <c r="B406" t="s">
        <v>388</v>
      </c>
      <c r="C406" t="s">
        <v>784</v>
      </c>
      <c r="D406" t="s">
        <v>784</v>
      </c>
      <c r="F406" t="s">
        <v>784</v>
      </c>
      <c r="G406" t="s">
        <v>1057</v>
      </c>
      <c r="H406" t="s">
        <v>1061</v>
      </c>
    </row>
    <row r="407" spans="2:8">
      <c r="B407" t="s">
        <v>388</v>
      </c>
      <c r="C407" t="s">
        <v>785</v>
      </c>
      <c r="D407" t="s">
        <v>785</v>
      </c>
      <c r="F407" t="s">
        <v>785</v>
      </c>
      <c r="G407" t="s">
        <v>1057</v>
      </c>
      <c r="H407" t="s">
        <v>1061</v>
      </c>
    </row>
    <row r="408" spans="2:8">
      <c r="B408" t="s">
        <v>388</v>
      </c>
      <c r="C408" t="s">
        <v>786</v>
      </c>
      <c r="D408" t="s">
        <v>786</v>
      </c>
      <c r="F408" t="s">
        <v>786</v>
      </c>
      <c r="G408" t="s">
        <v>1057</v>
      </c>
      <c r="H408" t="s">
        <v>1061</v>
      </c>
    </row>
    <row r="409" spans="2:8">
      <c r="B409" t="s">
        <v>388</v>
      </c>
      <c r="C409" t="s">
        <v>787</v>
      </c>
      <c r="D409" t="s">
        <v>787</v>
      </c>
      <c r="F409" t="s">
        <v>787</v>
      </c>
      <c r="G409" t="s">
        <v>1057</v>
      </c>
      <c r="H409" t="s">
        <v>1061</v>
      </c>
    </row>
    <row r="410" spans="2:8">
      <c r="B410" t="s">
        <v>388</v>
      </c>
      <c r="C410" t="s">
        <v>788</v>
      </c>
      <c r="D410" t="s">
        <v>788</v>
      </c>
      <c r="F410" t="s">
        <v>788</v>
      </c>
      <c r="G410" t="s">
        <v>1057</v>
      </c>
      <c r="H410" t="s">
        <v>1063</v>
      </c>
    </row>
    <row r="411" spans="2:8">
      <c r="B411" t="s">
        <v>388</v>
      </c>
      <c r="C411" t="s">
        <v>789</v>
      </c>
      <c r="D411" t="s">
        <v>789</v>
      </c>
      <c r="F411" t="s">
        <v>789</v>
      </c>
      <c r="G411" t="s">
        <v>1057</v>
      </c>
      <c r="H411" t="s">
        <v>1063</v>
      </c>
    </row>
    <row r="412" spans="2:8">
      <c r="B412" t="s">
        <v>388</v>
      </c>
      <c r="C412" t="s">
        <v>790</v>
      </c>
      <c r="D412" t="s">
        <v>790</v>
      </c>
      <c r="F412" t="s">
        <v>790</v>
      </c>
      <c r="G412" t="s">
        <v>1057</v>
      </c>
      <c r="H412" t="s">
        <v>1063</v>
      </c>
    </row>
    <row r="413" spans="2:8">
      <c r="B413" t="s">
        <v>388</v>
      </c>
      <c r="C413" t="s">
        <v>791</v>
      </c>
      <c r="D413" t="s">
        <v>791</v>
      </c>
      <c r="F413" t="s">
        <v>791</v>
      </c>
      <c r="G413" t="s">
        <v>1057</v>
      </c>
      <c r="H413" t="s">
        <v>1063</v>
      </c>
    </row>
    <row r="414" spans="2:8">
      <c r="B414" t="s">
        <v>388</v>
      </c>
      <c r="C414" t="s">
        <v>792</v>
      </c>
      <c r="D414" t="s">
        <v>792</v>
      </c>
      <c r="F414" t="s">
        <v>792</v>
      </c>
      <c r="G414" t="s">
        <v>1057</v>
      </c>
      <c r="H414" t="s">
        <v>1061</v>
      </c>
    </row>
    <row r="415" spans="2:8">
      <c r="B415" t="s">
        <v>388</v>
      </c>
      <c r="C415" t="s">
        <v>793</v>
      </c>
      <c r="D415" t="s">
        <v>793</v>
      </c>
      <c r="F415" t="s">
        <v>793</v>
      </c>
      <c r="G415" t="s">
        <v>1057</v>
      </c>
      <c r="H415" t="s">
        <v>1061</v>
      </c>
    </row>
    <row r="416" spans="2:8">
      <c r="B416" t="s">
        <v>388</v>
      </c>
      <c r="C416" t="s">
        <v>794</v>
      </c>
      <c r="D416" t="s">
        <v>794</v>
      </c>
      <c r="F416" t="s">
        <v>794</v>
      </c>
      <c r="G416" t="s">
        <v>1057</v>
      </c>
      <c r="H416" t="s">
        <v>1061</v>
      </c>
    </row>
    <row r="417" spans="2:8">
      <c r="B417" t="s">
        <v>388</v>
      </c>
      <c r="C417" t="s">
        <v>795</v>
      </c>
      <c r="D417" t="s">
        <v>795</v>
      </c>
      <c r="F417" t="s">
        <v>795</v>
      </c>
      <c r="G417" t="s">
        <v>1057</v>
      </c>
      <c r="H417" t="s">
        <v>1061</v>
      </c>
    </row>
    <row r="418" spans="2:8">
      <c r="B418" t="s">
        <v>388</v>
      </c>
      <c r="C418" t="s">
        <v>796</v>
      </c>
      <c r="D418" t="s">
        <v>796</v>
      </c>
      <c r="F418" t="s">
        <v>796</v>
      </c>
      <c r="G418" t="s">
        <v>1057</v>
      </c>
      <c r="H418" t="s">
        <v>1061</v>
      </c>
    </row>
    <row r="419" spans="2:8">
      <c r="B419" t="s">
        <v>388</v>
      </c>
      <c r="C419" t="s">
        <v>797</v>
      </c>
      <c r="D419" t="s">
        <v>797</v>
      </c>
      <c r="F419" t="s">
        <v>797</v>
      </c>
      <c r="G419" t="s">
        <v>1057</v>
      </c>
      <c r="H419" t="s">
        <v>1061</v>
      </c>
    </row>
    <row r="420" spans="2:8">
      <c r="B420" t="s">
        <v>388</v>
      </c>
      <c r="C420" t="s">
        <v>798</v>
      </c>
      <c r="D420" t="s">
        <v>798</v>
      </c>
      <c r="F420" t="s">
        <v>798</v>
      </c>
      <c r="G420" t="s">
        <v>1057</v>
      </c>
      <c r="H420" t="s">
        <v>1061</v>
      </c>
    </row>
    <row r="421" spans="2:8">
      <c r="B421" t="s">
        <v>388</v>
      </c>
      <c r="C421" t="s">
        <v>799</v>
      </c>
      <c r="D421" t="s">
        <v>799</v>
      </c>
      <c r="F421" t="s">
        <v>799</v>
      </c>
      <c r="G421" t="s">
        <v>1057</v>
      </c>
      <c r="H421" t="s">
        <v>1061</v>
      </c>
    </row>
    <row r="422" spans="2:8">
      <c r="B422" t="s">
        <v>388</v>
      </c>
      <c r="C422" t="s">
        <v>800</v>
      </c>
      <c r="D422" t="s">
        <v>800</v>
      </c>
      <c r="F422" t="s">
        <v>800</v>
      </c>
      <c r="G422" t="s">
        <v>1057</v>
      </c>
      <c r="H422" t="s">
        <v>1061</v>
      </c>
    </row>
    <row r="423" spans="2:8">
      <c r="B423" t="s">
        <v>388</v>
      </c>
      <c r="C423" t="s">
        <v>801</v>
      </c>
      <c r="D423" t="s">
        <v>801</v>
      </c>
      <c r="F423" t="s">
        <v>801</v>
      </c>
      <c r="G423" t="s">
        <v>1057</v>
      </c>
      <c r="H423" t="s">
        <v>1061</v>
      </c>
    </row>
    <row r="424" spans="2:8">
      <c r="B424" t="s">
        <v>388</v>
      </c>
      <c r="C424" t="s">
        <v>802</v>
      </c>
      <c r="D424" t="s">
        <v>802</v>
      </c>
      <c r="F424" t="s">
        <v>802</v>
      </c>
      <c r="G424" t="s">
        <v>1057</v>
      </c>
      <c r="H424" t="s">
        <v>1061</v>
      </c>
    </row>
    <row r="425" spans="2:8">
      <c r="B425" t="s">
        <v>388</v>
      </c>
      <c r="C425" t="s">
        <v>803</v>
      </c>
      <c r="D425" t="s">
        <v>803</v>
      </c>
      <c r="F425" t="s">
        <v>803</v>
      </c>
      <c r="G425" t="s">
        <v>1057</v>
      </c>
      <c r="H425" t="s">
        <v>1063</v>
      </c>
    </row>
    <row r="426" spans="2:8">
      <c r="B426" t="s">
        <v>388</v>
      </c>
      <c r="C426" t="s">
        <v>804</v>
      </c>
      <c r="D426" t="s">
        <v>804</v>
      </c>
      <c r="F426" t="s">
        <v>804</v>
      </c>
      <c r="G426" t="s">
        <v>1057</v>
      </c>
      <c r="H426" t="s">
        <v>1063</v>
      </c>
    </row>
    <row r="427" spans="2:8">
      <c r="B427" t="s">
        <v>388</v>
      </c>
      <c r="C427" t="s">
        <v>805</v>
      </c>
      <c r="D427" t="s">
        <v>805</v>
      </c>
      <c r="F427" t="s">
        <v>805</v>
      </c>
      <c r="G427" t="s">
        <v>1057</v>
      </c>
      <c r="H427" t="s">
        <v>1063</v>
      </c>
    </row>
    <row r="428" spans="2:8">
      <c r="B428" t="s">
        <v>388</v>
      </c>
      <c r="C428" t="s">
        <v>806</v>
      </c>
      <c r="D428" t="s">
        <v>806</v>
      </c>
      <c r="F428" t="s">
        <v>806</v>
      </c>
      <c r="G428" t="s">
        <v>1057</v>
      </c>
      <c r="H428" t="s">
        <v>1063</v>
      </c>
    </row>
    <row r="429" spans="2:8">
      <c r="B429" t="s">
        <v>388</v>
      </c>
      <c r="C429" t="s">
        <v>807</v>
      </c>
      <c r="D429" t="s">
        <v>807</v>
      </c>
      <c r="F429" t="s">
        <v>807</v>
      </c>
      <c r="G429" t="s">
        <v>1057</v>
      </c>
      <c r="H429" t="s">
        <v>1061</v>
      </c>
    </row>
    <row r="430" spans="2:8">
      <c r="B430" t="s">
        <v>388</v>
      </c>
      <c r="C430" t="s">
        <v>808</v>
      </c>
      <c r="D430" t="s">
        <v>808</v>
      </c>
      <c r="F430" t="s">
        <v>808</v>
      </c>
      <c r="G430" t="s">
        <v>1057</v>
      </c>
      <c r="H430" t="s">
        <v>1061</v>
      </c>
    </row>
    <row r="431" spans="2:8">
      <c r="B431" t="s">
        <v>388</v>
      </c>
      <c r="C431" t="s">
        <v>809</v>
      </c>
      <c r="D431" t="s">
        <v>809</v>
      </c>
      <c r="F431" t="s">
        <v>809</v>
      </c>
      <c r="G431" t="s">
        <v>1057</v>
      </c>
      <c r="H431" t="s">
        <v>1061</v>
      </c>
    </row>
    <row r="432" spans="2:8">
      <c r="B432" t="s">
        <v>388</v>
      </c>
      <c r="C432" t="s">
        <v>810</v>
      </c>
      <c r="D432" t="s">
        <v>810</v>
      </c>
      <c r="F432" t="s">
        <v>810</v>
      </c>
      <c r="G432" t="s">
        <v>1057</v>
      </c>
      <c r="H432" t="s">
        <v>1061</v>
      </c>
    </row>
    <row r="433" spans="2:8">
      <c r="B433" t="s">
        <v>388</v>
      </c>
      <c r="C433" t="s">
        <v>811</v>
      </c>
      <c r="D433" t="s">
        <v>811</v>
      </c>
      <c r="F433" t="s">
        <v>811</v>
      </c>
      <c r="G433" t="s">
        <v>1057</v>
      </c>
      <c r="H433" t="s">
        <v>1061</v>
      </c>
    </row>
    <row r="434" spans="2:8">
      <c r="B434" t="s">
        <v>388</v>
      </c>
      <c r="C434" t="s">
        <v>812</v>
      </c>
      <c r="D434" t="s">
        <v>812</v>
      </c>
      <c r="F434" t="s">
        <v>812</v>
      </c>
      <c r="G434" t="s">
        <v>1057</v>
      </c>
      <c r="H434" t="s">
        <v>1061</v>
      </c>
    </row>
    <row r="435" spans="2:8">
      <c r="B435" t="s">
        <v>388</v>
      </c>
      <c r="C435" t="s">
        <v>813</v>
      </c>
      <c r="D435" t="s">
        <v>813</v>
      </c>
      <c r="F435" t="s">
        <v>813</v>
      </c>
      <c r="G435" t="s">
        <v>1057</v>
      </c>
      <c r="H435" t="s">
        <v>1061</v>
      </c>
    </row>
    <row r="436" spans="2:8">
      <c r="B436" t="s">
        <v>388</v>
      </c>
      <c r="C436" t="s">
        <v>814</v>
      </c>
      <c r="D436" t="s">
        <v>814</v>
      </c>
      <c r="F436" t="s">
        <v>814</v>
      </c>
      <c r="G436" t="s">
        <v>1057</v>
      </c>
      <c r="H436" t="s">
        <v>1061</v>
      </c>
    </row>
    <row r="437" spans="2:8">
      <c r="B437" t="s">
        <v>388</v>
      </c>
      <c r="C437" t="s">
        <v>815</v>
      </c>
      <c r="D437" t="s">
        <v>815</v>
      </c>
      <c r="F437" t="s">
        <v>815</v>
      </c>
      <c r="G437" t="s">
        <v>1057</v>
      </c>
      <c r="H437" t="s">
        <v>1062</v>
      </c>
    </row>
    <row r="438" spans="2:8">
      <c r="B438" t="s">
        <v>388</v>
      </c>
      <c r="C438" t="s">
        <v>816</v>
      </c>
      <c r="D438" t="s">
        <v>816</v>
      </c>
      <c r="F438" t="s">
        <v>816</v>
      </c>
      <c r="G438" t="s">
        <v>1057</v>
      </c>
      <c r="H438" t="s">
        <v>1061</v>
      </c>
    </row>
    <row r="439" spans="2:8">
      <c r="B439" t="s">
        <v>388</v>
      </c>
      <c r="C439" t="s">
        <v>817</v>
      </c>
      <c r="D439" t="s">
        <v>817</v>
      </c>
      <c r="F439" t="s">
        <v>817</v>
      </c>
      <c r="G439" t="s">
        <v>1057</v>
      </c>
      <c r="H439" t="s">
        <v>1062</v>
      </c>
    </row>
    <row r="440" spans="2:8">
      <c r="B440" t="s">
        <v>388</v>
      </c>
      <c r="C440" t="s">
        <v>818</v>
      </c>
      <c r="D440" t="s">
        <v>818</v>
      </c>
      <c r="F440" t="s">
        <v>818</v>
      </c>
      <c r="G440" t="s">
        <v>1057</v>
      </c>
      <c r="H440" t="s">
        <v>1063</v>
      </c>
    </row>
    <row r="441" spans="2:8">
      <c r="B441" t="s">
        <v>388</v>
      </c>
      <c r="C441" t="s">
        <v>819</v>
      </c>
      <c r="D441" t="s">
        <v>819</v>
      </c>
      <c r="F441" t="s">
        <v>819</v>
      </c>
      <c r="G441" t="s">
        <v>1057</v>
      </c>
      <c r="H441" t="s">
        <v>1063</v>
      </c>
    </row>
    <row r="442" spans="2:8">
      <c r="B442" t="s">
        <v>388</v>
      </c>
      <c r="C442" t="s">
        <v>820</v>
      </c>
      <c r="D442" t="s">
        <v>820</v>
      </c>
      <c r="F442" t="s">
        <v>820</v>
      </c>
      <c r="G442" t="s">
        <v>1057</v>
      </c>
      <c r="H442" t="s">
        <v>1063</v>
      </c>
    </row>
    <row r="443" spans="2:8">
      <c r="B443" t="s">
        <v>388</v>
      </c>
      <c r="C443" t="s">
        <v>821</v>
      </c>
      <c r="D443" t="s">
        <v>821</v>
      </c>
      <c r="F443" t="s">
        <v>821</v>
      </c>
      <c r="G443" t="s">
        <v>1057</v>
      </c>
      <c r="H443" t="s">
        <v>1063</v>
      </c>
    </row>
    <row r="444" spans="2:8">
      <c r="B444" t="s">
        <v>388</v>
      </c>
      <c r="C444" t="s">
        <v>822</v>
      </c>
      <c r="D444" t="s">
        <v>822</v>
      </c>
      <c r="F444" t="s">
        <v>822</v>
      </c>
      <c r="G444" t="s">
        <v>1057</v>
      </c>
      <c r="H444" t="s">
        <v>1061</v>
      </c>
    </row>
    <row r="445" spans="2:8">
      <c r="B445" t="s">
        <v>388</v>
      </c>
      <c r="C445" t="s">
        <v>823</v>
      </c>
      <c r="D445" t="s">
        <v>823</v>
      </c>
      <c r="F445" t="s">
        <v>823</v>
      </c>
      <c r="G445" t="s">
        <v>1057</v>
      </c>
      <c r="H445" t="s">
        <v>1061</v>
      </c>
    </row>
    <row r="446" spans="2:8">
      <c r="B446" t="s">
        <v>388</v>
      </c>
      <c r="C446" t="s">
        <v>824</v>
      </c>
      <c r="D446" t="s">
        <v>824</v>
      </c>
      <c r="F446" t="s">
        <v>824</v>
      </c>
      <c r="G446" t="s">
        <v>1057</v>
      </c>
      <c r="H446" t="s">
        <v>1061</v>
      </c>
    </row>
    <row r="447" spans="2:8">
      <c r="B447" t="s">
        <v>388</v>
      </c>
      <c r="C447" t="s">
        <v>825</v>
      </c>
      <c r="D447" t="s">
        <v>825</v>
      </c>
      <c r="F447" t="s">
        <v>825</v>
      </c>
      <c r="G447" t="s">
        <v>1057</v>
      </c>
      <c r="H447" t="s">
        <v>1061</v>
      </c>
    </row>
    <row r="448" spans="2:8">
      <c r="B448" t="s">
        <v>388</v>
      </c>
      <c r="C448" t="s">
        <v>826</v>
      </c>
      <c r="D448" t="s">
        <v>826</v>
      </c>
      <c r="F448" t="s">
        <v>826</v>
      </c>
      <c r="G448" t="s">
        <v>1057</v>
      </c>
      <c r="H448" t="s">
        <v>1061</v>
      </c>
    </row>
    <row r="449" spans="2:8">
      <c r="B449" t="s">
        <v>388</v>
      </c>
      <c r="C449" t="s">
        <v>827</v>
      </c>
      <c r="D449" t="s">
        <v>827</v>
      </c>
      <c r="F449" t="s">
        <v>827</v>
      </c>
      <c r="G449" t="s">
        <v>1057</v>
      </c>
      <c r="H449" t="s">
        <v>1061</v>
      </c>
    </row>
    <row r="450" spans="2:8">
      <c r="B450" t="s">
        <v>388</v>
      </c>
      <c r="C450" t="s">
        <v>828</v>
      </c>
      <c r="D450" t="s">
        <v>828</v>
      </c>
      <c r="F450" t="s">
        <v>828</v>
      </c>
      <c r="G450" t="s">
        <v>1057</v>
      </c>
      <c r="H450" t="s">
        <v>1062</v>
      </c>
    </row>
    <row r="451" spans="2:8">
      <c r="B451" t="s">
        <v>388</v>
      </c>
      <c r="C451" t="s">
        <v>829</v>
      </c>
      <c r="D451" t="s">
        <v>829</v>
      </c>
      <c r="F451" t="s">
        <v>829</v>
      </c>
      <c r="G451" t="s">
        <v>1057</v>
      </c>
      <c r="H451" t="s">
        <v>1061</v>
      </c>
    </row>
    <row r="452" spans="2:8">
      <c r="B452" t="s">
        <v>388</v>
      </c>
      <c r="C452" t="s">
        <v>830</v>
      </c>
      <c r="D452" t="s">
        <v>830</v>
      </c>
      <c r="F452" t="s">
        <v>830</v>
      </c>
      <c r="G452" t="s">
        <v>1057</v>
      </c>
      <c r="H452" t="s">
        <v>1062</v>
      </c>
    </row>
    <row r="453" spans="2:8">
      <c r="B453" t="s">
        <v>388</v>
      </c>
      <c r="C453" t="s">
        <v>831</v>
      </c>
      <c r="D453" t="s">
        <v>831</v>
      </c>
      <c r="F453" t="s">
        <v>831</v>
      </c>
      <c r="G453" t="s">
        <v>1057</v>
      </c>
      <c r="H453" t="s">
        <v>1062</v>
      </c>
    </row>
    <row r="454" spans="2:8">
      <c r="B454" t="s">
        <v>388</v>
      </c>
      <c r="C454" t="s">
        <v>832</v>
      </c>
      <c r="D454" t="s">
        <v>832</v>
      </c>
      <c r="F454" t="s">
        <v>832</v>
      </c>
      <c r="G454" t="s">
        <v>1057</v>
      </c>
      <c r="H454" t="s">
        <v>1062</v>
      </c>
    </row>
    <row r="455" spans="2:8">
      <c r="B455" t="s">
        <v>388</v>
      </c>
      <c r="C455" t="s">
        <v>833</v>
      </c>
      <c r="D455" t="s">
        <v>833</v>
      </c>
      <c r="F455" t="s">
        <v>833</v>
      </c>
      <c r="G455" t="s">
        <v>1057</v>
      </c>
      <c r="H455" t="s">
        <v>1063</v>
      </c>
    </row>
    <row r="456" spans="2:8">
      <c r="B456" t="s">
        <v>388</v>
      </c>
      <c r="C456" t="s">
        <v>834</v>
      </c>
      <c r="D456" t="s">
        <v>834</v>
      </c>
      <c r="F456" t="s">
        <v>834</v>
      </c>
      <c r="G456" t="s">
        <v>1057</v>
      </c>
      <c r="H456" t="s">
        <v>1063</v>
      </c>
    </row>
    <row r="457" spans="2:8">
      <c r="B457" t="s">
        <v>388</v>
      </c>
      <c r="C457" t="s">
        <v>835</v>
      </c>
      <c r="D457" t="s">
        <v>835</v>
      </c>
      <c r="F457" t="s">
        <v>835</v>
      </c>
      <c r="G457" t="s">
        <v>1057</v>
      </c>
      <c r="H457" t="s">
        <v>1061</v>
      </c>
    </row>
    <row r="458" spans="2:8">
      <c r="B458" t="s">
        <v>388</v>
      </c>
      <c r="C458" t="s">
        <v>836</v>
      </c>
      <c r="D458" t="s">
        <v>836</v>
      </c>
      <c r="F458" t="s">
        <v>836</v>
      </c>
      <c r="G458" t="s">
        <v>1057</v>
      </c>
      <c r="H458" t="s">
        <v>1061</v>
      </c>
    </row>
    <row r="459" spans="2:8">
      <c r="B459" t="s">
        <v>388</v>
      </c>
      <c r="C459" t="s">
        <v>837</v>
      </c>
      <c r="D459" t="s">
        <v>837</v>
      </c>
      <c r="F459" t="s">
        <v>837</v>
      </c>
      <c r="G459" t="s">
        <v>1057</v>
      </c>
      <c r="H459" t="s">
        <v>1061</v>
      </c>
    </row>
    <row r="460" spans="2:8">
      <c r="B460" t="s">
        <v>388</v>
      </c>
      <c r="C460" t="s">
        <v>838</v>
      </c>
      <c r="D460" t="s">
        <v>838</v>
      </c>
      <c r="F460" t="s">
        <v>838</v>
      </c>
      <c r="G460" t="s">
        <v>1057</v>
      </c>
      <c r="H460" t="s">
        <v>1061</v>
      </c>
    </row>
    <row r="461" spans="2:8">
      <c r="B461" t="s">
        <v>388</v>
      </c>
      <c r="C461" t="s">
        <v>839</v>
      </c>
      <c r="D461" t="s">
        <v>839</v>
      </c>
      <c r="F461" t="s">
        <v>839</v>
      </c>
      <c r="G461" t="s">
        <v>1057</v>
      </c>
      <c r="H461" t="s">
        <v>1062</v>
      </c>
    </row>
    <row r="462" spans="2:8">
      <c r="B462" t="s">
        <v>388</v>
      </c>
      <c r="C462" t="s">
        <v>840</v>
      </c>
      <c r="D462" t="s">
        <v>840</v>
      </c>
      <c r="F462" t="s">
        <v>840</v>
      </c>
      <c r="G462" t="s">
        <v>1057</v>
      </c>
      <c r="H462" t="s">
        <v>1061</v>
      </c>
    </row>
    <row r="463" spans="2:8">
      <c r="B463" t="s">
        <v>388</v>
      </c>
      <c r="C463" t="s">
        <v>841</v>
      </c>
      <c r="D463" t="s">
        <v>841</v>
      </c>
      <c r="F463" t="s">
        <v>841</v>
      </c>
      <c r="G463" t="s">
        <v>1057</v>
      </c>
      <c r="H463" t="s">
        <v>1062</v>
      </c>
    </row>
    <row r="464" spans="2:8">
      <c r="B464" t="s">
        <v>388</v>
      </c>
      <c r="C464" t="s">
        <v>842</v>
      </c>
      <c r="D464" t="s">
        <v>842</v>
      </c>
      <c r="F464" t="s">
        <v>842</v>
      </c>
      <c r="G464" t="s">
        <v>1057</v>
      </c>
      <c r="H464" t="s">
        <v>1062</v>
      </c>
    </row>
    <row r="465" spans="2:8">
      <c r="B465" t="s">
        <v>388</v>
      </c>
      <c r="C465" t="s">
        <v>843</v>
      </c>
      <c r="D465" t="s">
        <v>843</v>
      </c>
      <c r="F465" t="s">
        <v>843</v>
      </c>
      <c r="G465" t="s">
        <v>1057</v>
      </c>
      <c r="H465" t="s">
        <v>1062</v>
      </c>
    </row>
    <row r="466" spans="2:8">
      <c r="B466" t="s">
        <v>388</v>
      </c>
      <c r="C466" t="s">
        <v>844</v>
      </c>
      <c r="D466" t="s">
        <v>844</v>
      </c>
      <c r="F466" t="s">
        <v>844</v>
      </c>
      <c r="G466" t="s">
        <v>1057</v>
      </c>
      <c r="H466" t="s">
        <v>1062</v>
      </c>
    </row>
    <row r="467" spans="2:8">
      <c r="B467" t="s">
        <v>388</v>
      </c>
      <c r="C467" t="s">
        <v>845</v>
      </c>
      <c r="D467" t="s">
        <v>845</v>
      </c>
      <c r="F467" t="s">
        <v>845</v>
      </c>
      <c r="G467" t="s">
        <v>1057</v>
      </c>
      <c r="H467" t="s">
        <v>1062</v>
      </c>
    </row>
    <row r="468" spans="2:8">
      <c r="B468" t="s">
        <v>388</v>
      </c>
      <c r="C468" t="s">
        <v>846</v>
      </c>
      <c r="D468" t="s">
        <v>846</v>
      </c>
      <c r="F468" t="s">
        <v>846</v>
      </c>
      <c r="G468" t="s">
        <v>1057</v>
      </c>
      <c r="H468" t="s">
        <v>1063</v>
      </c>
    </row>
    <row r="469" spans="2:8">
      <c r="B469" t="s">
        <v>388</v>
      </c>
      <c r="C469" t="s">
        <v>847</v>
      </c>
      <c r="D469" t="s">
        <v>847</v>
      </c>
      <c r="F469" t="s">
        <v>847</v>
      </c>
      <c r="G469" t="s">
        <v>1057</v>
      </c>
      <c r="H469" t="s">
        <v>1063</v>
      </c>
    </row>
    <row r="470" spans="2:8">
      <c r="B470" t="s">
        <v>388</v>
      </c>
      <c r="C470" t="s">
        <v>848</v>
      </c>
      <c r="D470" t="s">
        <v>848</v>
      </c>
      <c r="F470" t="s">
        <v>848</v>
      </c>
      <c r="G470" t="s">
        <v>1057</v>
      </c>
      <c r="H470" t="s">
        <v>1063</v>
      </c>
    </row>
    <row r="471" spans="2:8">
      <c r="B471" t="s">
        <v>388</v>
      </c>
      <c r="C471" t="s">
        <v>849</v>
      </c>
      <c r="D471" t="s">
        <v>849</v>
      </c>
      <c r="F471" t="s">
        <v>849</v>
      </c>
      <c r="G471" t="s">
        <v>1057</v>
      </c>
      <c r="H471" t="s">
        <v>1059</v>
      </c>
    </row>
    <row r="472" spans="2:8">
      <c r="B472" t="s">
        <v>388</v>
      </c>
      <c r="C472" t="s">
        <v>850</v>
      </c>
      <c r="D472" t="s">
        <v>850</v>
      </c>
      <c r="F472" t="s">
        <v>850</v>
      </c>
      <c r="G472" t="s">
        <v>1057</v>
      </c>
      <c r="H472" t="s">
        <v>1059</v>
      </c>
    </row>
    <row r="473" spans="2:8">
      <c r="B473" t="s">
        <v>388</v>
      </c>
      <c r="C473" t="s">
        <v>851</v>
      </c>
      <c r="D473" t="s">
        <v>851</v>
      </c>
      <c r="F473" t="s">
        <v>851</v>
      </c>
      <c r="G473" t="s">
        <v>1057</v>
      </c>
      <c r="H473" t="s">
        <v>1062</v>
      </c>
    </row>
    <row r="474" spans="2:8">
      <c r="B474" t="s">
        <v>388</v>
      </c>
      <c r="C474" t="s">
        <v>852</v>
      </c>
      <c r="D474" t="s">
        <v>852</v>
      </c>
      <c r="F474" t="s">
        <v>852</v>
      </c>
      <c r="G474" t="s">
        <v>1057</v>
      </c>
      <c r="H474" t="s">
        <v>1062</v>
      </c>
    </row>
    <row r="475" spans="2:8">
      <c r="B475" t="s">
        <v>388</v>
      </c>
      <c r="C475" t="s">
        <v>853</v>
      </c>
      <c r="D475" t="s">
        <v>853</v>
      </c>
      <c r="F475" t="s">
        <v>853</v>
      </c>
      <c r="G475" t="s">
        <v>1057</v>
      </c>
      <c r="H475" t="s">
        <v>1062</v>
      </c>
    </row>
    <row r="476" spans="2:8">
      <c r="B476" t="s">
        <v>388</v>
      </c>
      <c r="C476" t="s">
        <v>854</v>
      </c>
      <c r="D476" t="s">
        <v>854</v>
      </c>
      <c r="F476" t="s">
        <v>854</v>
      </c>
      <c r="G476" t="s">
        <v>1057</v>
      </c>
      <c r="H476" t="s">
        <v>1062</v>
      </c>
    </row>
    <row r="477" spans="2:8">
      <c r="B477" t="s">
        <v>388</v>
      </c>
      <c r="C477" t="s">
        <v>855</v>
      </c>
      <c r="D477" t="s">
        <v>855</v>
      </c>
      <c r="F477" t="s">
        <v>855</v>
      </c>
      <c r="G477" t="s">
        <v>1057</v>
      </c>
      <c r="H477" t="s">
        <v>1062</v>
      </c>
    </row>
    <row r="478" spans="2:8">
      <c r="B478" t="s">
        <v>388</v>
      </c>
      <c r="C478" t="s">
        <v>856</v>
      </c>
      <c r="D478" t="s">
        <v>856</v>
      </c>
      <c r="F478" t="s">
        <v>856</v>
      </c>
      <c r="G478" t="s">
        <v>1057</v>
      </c>
      <c r="H478" t="s">
        <v>1062</v>
      </c>
    </row>
    <row r="479" spans="2:8">
      <c r="B479" t="s">
        <v>388</v>
      </c>
      <c r="C479" t="s">
        <v>857</v>
      </c>
      <c r="D479" t="s">
        <v>857</v>
      </c>
      <c r="F479" t="s">
        <v>857</v>
      </c>
      <c r="G479" t="s">
        <v>1057</v>
      </c>
      <c r="H479" t="s">
        <v>1062</v>
      </c>
    </row>
    <row r="480" spans="2:8">
      <c r="B480" t="s">
        <v>388</v>
      </c>
      <c r="C480" t="s">
        <v>858</v>
      </c>
      <c r="D480" t="s">
        <v>858</v>
      </c>
      <c r="F480" t="s">
        <v>858</v>
      </c>
      <c r="G480" t="s">
        <v>1057</v>
      </c>
      <c r="H480" t="s">
        <v>1059</v>
      </c>
    </row>
    <row r="481" spans="2:8">
      <c r="B481" t="s">
        <v>388</v>
      </c>
      <c r="C481" t="s">
        <v>859</v>
      </c>
      <c r="D481" t="s">
        <v>859</v>
      </c>
      <c r="F481" t="s">
        <v>859</v>
      </c>
      <c r="G481" t="s">
        <v>1057</v>
      </c>
      <c r="H481" t="s">
        <v>1059</v>
      </c>
    </row>
    <row r="482" spans="2:8">
      <c r="B482" t="s">
        <v>388</v>
      </c>
      <c r="C482" t="s">
        <v>860</v>
      </c>
      <c r="D482" t="s">
        <v>860</v>
      </c>
      <c r="F482" t="s">
        <v>860</v>
      </c>
      <c r="G482" t="s">
        <v>1057</v>
      </c>
      <c r="H482" t="s">
        <v>1059</v>
      </c>
    </row>
    <row r="483" spans="2:8">
      <c r="B483" t="s">
        <v>388</v>
      </c>
      <c r="C483" t="s">
        <v>861</v>
      </c>
      <c r="D483" t="s">
        <v>861</v>
      </c>
      <c r="F483" t="s">
        <v>861</v>
      </c>
      <c r="G483" t="s">
        <v>1057</v>
      </c>
      <c r="H483" t="s">
        <v>1059</v>
      </c>
    </row>
    <row r="484" spans="2:8">
      <c r="B484" t="s">
        <v>388</v>
      </c>
      <c r="C484" t="s">
        <v>862</v>
      </c>
      <c r="D484" t="s">
        <v>862</v>
      </c>
      <c r="F484" t="s">
        <v>862</v>
      </c>
      <c r="G484" t="s">
        <v>1057</v>
      </c>
      <c r="H484" t="s">
        <v>1059</v>
      </c>
    </row>
    <row r="485" spans="2:8">
      <c r="B485" t="s">
        <v>388</v>
      </c>
      <c r="C485" t="s">
        <v>863</v>
      </c>
      <c r="D485" t="s">
        <v>863</v>
      </c>
      <c r="F485" t="s">
        <v>863</v>
      </c>
      <c r="G485" t="s">
        <v>1057</v>
      </c>
      <c r="H485" t="s">
        <v>1062</v>
      </c>
    </row>
    <row r="486" spans="2:8">
      <c r="B486" t="s">
        <v>388</v>
      </c>
      <c r="C486" t="s">
        <v>864</v>
      </c>
      <c r="D486" t="s">
        <v>864</v>
      </c>
      <c r="F486" t="s">
        <v>864</v>
      </c>
      <c r="G486" t="s">
        <v>1057</v>
      </c>
      <c r="H486" t="s">
        <v>1062</v>
      </c>
    </row>
    <row r="487" spans="2:8">
      <c r="B487" t="s">
        <v>388</v>
      </c>
      <c r="C487" t="s">
        <v>865</v>
      </c>
      <c r="D487" t="s">
        <v>865</v>
      </c>
      <c r="F487" t="s">
        <v>865</v>
      </c>
      <c r="G487" t="s">
        <v>1057</v>
      </c>
      <c r="H487" t="s">
        <v>1062</v>
      </c>
    </row>
    <row r="488" spans="2:8">
      <c r="B488" t="s">
        <v>388</v>
      </c>
      <c r="C488" t="s">
        <v>866</v>
      </c>
      <c r="D488" t="s">
        <v>866</v>
      </c>
      <c r="F488" t="s">
        <v>866</v>
      </c>
      <c r="G488" t="s">
        <v>1057</v>
      </c>
      <c r="H488" t="s">
        <v>1062</v>
      </c>
    </row>
    <row r="489" spans="2:8">
      <c r="B489" t="s">
        <v>388</v>
      </c>
      <c r="C489" t="s">
        <v>867</v>
      </c>
      <c r="D489" t="s">
        <v>867</v>
      </c>
      <c r="F489" t="s">
        <v>867</v>
      </c>
      <c r="G489" t="s">
        <v>1057</v>
      </c>
      <c r="H489" t="s">
        <v>1062</v>
      </c>
    </row>
    <row r="490" spans="2:8">
      <c r="B490" t="s">
        <v>388</v>
      </c>
      <c r="C490" t="s">
        <v>868</v>
      </c>
      <c r="D490" t="s">
        <v>868</v>
      </c>
      <c r="F490" t="s">
        <v>868</v>
      </c>
      <c r="G490" t="s">
        <v>1057</v>
      </c>
      <c r="H490" t="s">
        <v>1062</v>
      </c>
    </row>
    <row r="491" spans="2:8">
      <c r="B491" t="s">
        <v>388</v>
      </c>
      <c r="C491" t="s">
        <v>869</v>
      </c>
      <c r="D491" t="s">
        <v>869</v>
      </c>
      <c r="F491" t="s">
        <v>869</v>
      </c>
      <c r="G491" t="s">
        <v>1057</v>
      </c>
      <c r="H491" t="s">
        <v>1059</v>
      </c>
    </row>
    <row r="492" spans="2:8">
      <c r="B492" t="s">
        <v>388</v>
      </c>
      <c r="C492" t="s">
        <v>870</v>
      </c>
      <c r="D492" t="s">
        <v>870</v>
      </c>
      <c r="F492" t="s">
        <v>870</v>
      </c>
      <c r="G492" t="s">
        <v>1057</v>
      </c>
      <c r="H492" t="s">
        <v>1059</v>
      </c>
    </row>
    <row r="493" spans="2:8">
      <c r="B493" t="s">
        <v>388</v>
      </c>
      <c r="C493" t="s">
        <v>871</v>
      </c>
      <c r="D493" t="s">
        <v>871</v>
      </c>
      <c r="F493" t="s">
        <v>871</v>
      </c>
      <c r="G493" t="s">
        <v>1057</v>
      </c>
      <c r="H493" t="s">
        <v>1059</v>
      </c>
    </row>
    <row r="494" spans="2:8">
      <c r="B494" t="s">
        <v>388</v>
      </c>
      <c r="C494" t="s">
        <v>872</v>
      </c>
      <c r="D494" t="s">
        <v>872</v>
      </c>
      <c r="F494" t="s">
        <v>872</v>
      </c>
      <c r="G494" t="s">
        <v>1057</v>
      </c>
      <c r="H494" t="s">
        <v>1062</v>
      </c>
    </row>
    <row r="495" spans="2:8">
      <c r="B495" t="s">
        <v>388</v>
      </c>
      <c r="C495" t="s">
        <v>873</v>
      </c>
      <c r="D495" t="s">
        <v>873</v>
      </c>
      <c r="F495" t="s">
        <v>873</v>
      </c>
      <c r="G495" t="s">
        <v>1057</v>
      </c>
      <c r="H495" t="s">
        <v>1062</v>
      </c>
    </row>
    <row r="496" spans="2:8">
      <c r="B496" t="s">
        <v>388</v>
      </c>
      <c r="C496" t="s">
        <v>874</v>
      </c>
      <c r="D496" t="s">
        <v>874</v>
      </c>
      <c r="F496" t="s">
        <v>874</v>
      </c>
      <c r="G496" t="s">
        <v>1057</v>
      </c>
      <c r="H496" t="s">
        <v>1062</v>
      </c>
    </row>
    <row r="497" spans="2:8">
      <c r="B497" t="s">
        <v>388</v>
      </c>
      <c r="C497" t="s">
        <v>875</v>
      </c>
      <c r="D497" t="s">
        <v>875</v>
      </c>
      <c r="F497" t="s">
        <v>875</v>
      </c>
      <c r="G497" t="s">
        <v>1057</v>
      </c>
      <c r="H497" t="s">
        <v>1062</v>
      </c>
    </row>
    <row r="498" spans="2:8">
      <c r="B498" t="s">
        <v>388</v>
      </c>
      <c r="C498" t="s">
        <v>876</v>
      </c>
      <c r="D498" t="s">
        <v>876</v>
      </c>
      <c r="F498" t="s">
        <v>876</v>
      </c>
      <c r="G498" t="s">
        <v>1057</v>
      </c>
      <c r="H498" t="s">
        <v>1062</v>
      </c>
    </row>
    <row r="499" spans="2:8">
      <c r="B499" t="s">
        <v>388</v>
      </c>
      <c r="C499" t="s">
        <v>877</v>
      </c>
      <c r="D499" t="s">
        <v>877</v>
      </c>
      <c r="F499" t="s">
        <v>877</v>
      </c>
      <c r="G499" t="s">
        <v>1057</v>
      </c>
      <c r="H499" t="s">
        <v>1059</v>
      </c>
    </row>
    <row r="500" spans="2:8">
      <c r="B500" t="s">
        <v>388</v>
      </c>
      <c r="C500" t="s">
        <v>878</v>
      </c>
      <c r="D500" t="s">
        <v>878</v>
      </c>
      <c r="F500" t="s">
        <v>878</v>
      </c>
      <c r="G500" t="s">
        <v>1057</v>
      </c>
      <c r="H500" t="s">
        <v>1059</v>
      </c>
    </row>
    <row r="501" spans="2:8">
      <c r="B501" t="s">
        <v>388</v>
      </c>
      <c r="C501" t="s">
        <v>879</v>
      </c>
      <c r="D501" t="s">
        <v>879</v>
      </c>
      <c r="F501" t="s">
        <v>879</v>
      </c>
      <c r="G501" t="s">
        <v>1057</v>
      </c>
      <c r="H501" t="s">
        <v>1059</v>
      </c>
    </row>
    <row r="502" spans="2:8">
      <c r="B502" t="s">
        <v>388</v>
      </c>
      <c r="C502" t="s">
        <v>880</v>
      </c>
      <c r="D502" t="s">
        <v>880</v>
      </c>
      <c r="F502" t="s">
        <v>880</v>
      </c>
      <c r="G502" t="s">
        <v>1057</v>
      </c>
      <c r="H502" t="s">
        <v>1062</v>
      </c>
    </row>
    <row r="503" spans="2:8">
      <c r="B503" t="s">
        <v>388</v>
      </c>
      <c r="C503" t="s">
        <v>881</v>
      </c>
      <c r="D503" t="s">
        <v>881</v>
      </c>
      <c r="F503" t="s">
        <v>881</v>
      </c>
      <c r="G503" t="s">
        <v>1057</v>
      </c>
      <c r="H503" t="s">
        <v>1062</v>
      </c>
    </row>
    <row r="504" spans="2:8">
      <c r="B504" t="s">
        <v>388</v>
      </c>
      <c r="C504" t="s">
        <v>882</v>
      </c>
      <c r="D504" t="s">
        <v>882</v>
      </c>
      <c r="F504" t="s">
        <v>882</v>
      </c>
      <c r="G504" t="s">
        <v>1057</v>
      </c>
      <c r="H504" t="s">
        <v>1062</v>
      </c>
    </row>
    <row r="505" spans="2:8">
      <c r="B505" t="s">
        <v>388</v>
      </c>
      <c r="C505" t="s">
        <v>883</v>
      </c>
      <c r="D505" t="s">
        <v>883</v>
      </c>
      <c r="F505" t="s">
        <v>883</v>
      </c>
      <c r="G505" t="s">
        <v>1057</v>
      </c>
      <c r="H505" t="s">
        <v>1059</v>
      </c>
    </row>
    <row r="506" spans="2:8">
      <c r="B506" t="s">
        <v>388</v>
      </c>
      <c r="C506" t="s">
        <v>884</v>
      </c>
      <c r="D506" t="s">
        <v>884</v>
      </c>
      <c r="F506" t="s">
        <v>884</v>
      </c>
      <c r="G506" t="s">
        <v>1057</v>
      </c>
      <c r="H506" t="s">
        <v>1059</v>
      </c>
    </row>
    <row r="507" spans="2:8">
      <c r="B507" t="s">
        <v>388</v>
      </c>
      <c r="C507" t="s">
        <v>885</v>
      </c>
      <c r="D507" t="s">
        <v>885</v>
      </c>
      <c r="F507" t="s">
        <v>885</v>
      </c>
      <c r="G507" t="s">
        <v>1057</v>
      </c>
      <c r="H507" t="s">
        <v>1059</v>
      </c>
    </row>
    <row r="508" spans="2:8">
      <c r="B508" t="s">
        <v>388</v>
      </c>
      <c r="C508" t="s">
        <v>886</v>
      </c>
      <c r="D508" t="s">
        <v>886</v>
      </c>
      <c r="F508" t="s">
        <v>886</v>
      </c>
      <c r="G508" t="s">
        <v>1057</v>
      </c>
      <c r="H508" t="s">
        <v>1059</v>
      </c>
    </row>
    <row r="509" spans="2:8">
      <c r="B509" t="s">
        <v>388</v>
      </c>
      <c r="C509" t="s">
        <v>887</v>
      </c>
      <c r="D509" t="s">
        <v>887</v>
      </c>
      <c r="F509" t="s">
        <v>887</v>
      </c>
      <c r="G509" t="s">
        <v>1057</v>
      </c>
      <c r="H509" t="s">
        <v>1059</v>
      </c>
    </row>
    <row r="510" spans="2:8">
      <c r="B510" t="s">
        <v>388</v>
      </c>
      <c r="C510" t="s">
        <v>888</v>
      </c>
      <c r="D510" t="s">
        <v>888</v>
      </c>
      <c r="F510" t="s">
        <v>888</v>
      </c>
      <c r="G510" t="s">
        <v>1057</v>
      </c>
      <c r="H510" t="s">
        <v>1059</v>
      </c>
    </row>
    <row r="511" spans="2:8">
      <c r="B511" t="s">
        <v>388</v>
      </c>
      <c r="C511" t="s">
        <v>889</v>
      </c>
      <c r="D511" t="s">
        <v>889</v>
      </c>
      <c r="F511" t="s">
        <v>889</v>
      </c>
      <c r="G511" t="s">
        <v>1057</v>
      </c>
      <c r="H511" t="s">
        <v>1059</v>
      </c>
    </row>
    <row r="512" spans="2:8">
      <c r="B512" t="s">
        <v>388</v>
      </c>
      <c r="C512" t="s">
        <v>890</v>
      </c>
      <c r="D512" t="s">
        <v>890</v>
      </c>
      <c r="F512" t="s">
        <v>890</v>
      </c>
      <c r="G512" t="s">
        <v>1057</v>
      </c>
      <c r="H512" t="s">
        <v>1059</v>
      </c>
    </row>
    <row r="513" spans="2:8">
      <c r="B513" t="s">
        <v>388</v>
      </c>
      <c r="C513" t="s">
        <v>891</v>
      </c>
      <c r="D513" t="s">
        <v>891</v>
      </c>
      <c r="F513" t="s">
        <v>891</v>
      </c>
      <c r="G513" t="s">
        <v>1057</v>
      </c>
      <c r="H513" t="s">
        <v>1059</v>
      </c>
    </row>
    <row r="514" spans="2:8">
      <c r="B514" t="s">
        <v>388</v>
      </c>
      <c r="C514" t="s">
        <v>892</v>
      </c>
      <c r="D514" t="s">
        <v>892</v>
      </c>
      <c r="F514" t="s">
        <v>892</v>
      </c>
      <c r="G514" t="s">
        <v>1057</v>
      </c>
      <c r="H514" t="s">
        <v>1059</v>
      </c>
    </row>
    <row r="515" spans="2:8">
      <c r="B515" t="s">
        <v>388</v>
      </c>
      <c r="C515" t="s">
        <v>893</v>
      </c>
      <c r="D515" t="s">
        <v>893</v>
      </c>
      <c r="F515" t="s">
        <v>893</v>
      </c>
      <c r="G515" t="s">
        <v>1057</v>
      </c>
      <c r="H515" t="s">
        <v>1059</v>
      </c>
    </row>
    <row r="516" spans="2:8">
      <c r="B516" t="s">
        <v>388</v>
      </c>
      <c r="C516" t="s">
        <v>894</v>
      </c>
      <c r="D516" t="s">
        <v>894</v>
      </c>
      <c r="F516" t="s">
        <v>894</v>
      </c>
      <c r="G516" t="s">
        <v>1057</v>
      </c>
      <c r="H516" t="s">
        <v>1059</v>
      </c>
    </row>
    <row r="517" spans="2:8">
      <c r="B517" t="s">
        <v>388</v>
      </c>
      <c r="C517" t="s">
        <v>895</v>
      </c>
      <c r="D517" t="s">
        <v>895</v>
      </c>
      <c r="F517" t="s">
        <v>895</v>
      </c>
      <c r="G517" t="s">
        <v>1057</v>
      </c>
      <c r="H517" t="s">
        <v>1059</v>
      </c>
    </row>
    <row r="518" spans="2:8">
      <c r="B518" t="s">
        <v>388</v>
      </c>
      <c r="C518" t="s">
        <v>896</v>
      </c>
      <c r="D518" t="s">
        <v>896</v>
      </c>
      <c r="F518" t="s">
        <v>896</v>
      </c>
      <c r="G518" t="s">
        <v>1057</v>
      </c>
      <c r="H518" t="s">
        <v>1059</v>
      </c>
    </row>
    <row r="519" spans="2:8">
      <c r="B519" t="s">
        <v>388</v>
      </c>
      <c r="C519" t="s">
        <v>897</v>
      </c>
      <c r="D519" t="s">
        <v>897</v>
      </c>
      <c r="F519" t="s">
        <v>897</v>
      </c>
      <c r="G519" t="s">
        <v>1057</v>
      </c>
      <c r="H519" t="s">
        <v>1059</v>
      </c>
    </row>
    <row r="520" spans="2:8">
      <c r="B520" t="s">
        <v>388</v>
      </c>
      <c r="C520" t="s">
        <v>898</v>
      </c>
      <c r="D520" t="s">
        <v>898</v>
      </c>
      <c r="F520" t="s">
        <v>898</v>
      </c>
      <c r="G520" t="s">
        <v>1057</v>
      </c>
      <c r="H520" t="s">
        <v>1059</v>
      </c>
    </row>
    <row r="521" spans="2:8">
      <c r="B521" t="s">
        <v>388</v>
      </c>
      <c r="C521" t="s">
        <v>899</v>
      </c>
      <c r="D521" t="s">
        <v>899</v>
      </c>
      <c r="F521" t="s">
        <v>899</v>
      </c>
      <c r="G521" t="s">
        <v>1057</v>
      </c>
      <c r="H521" t="s">
        <v>1059</v>
      </c>
    </row>
    <row r="522" spans="2:8">
      <c r="B522" t="s">
        <v>388</v>
      </c>
      <c r="C522" t="s">
        <v>900</v>
      </c>
      <c r="D522" t="s">
        <v>900</v>
      </c>
      <c r="F522" t="s">
        <v>900</v>
      </c>
      <c r="G522" t="s">
        <v>1057</v>
      </c>
      <c r="H522" t="s">
        <v>1065</v>
      </c>
    </row>
    <row r="523" spans="2:8">
      <c r="B523" t="s">
        <v>388</v>
      </c>
      <c r="C523" t="s">
        <v>901</v>
      </c>
      <c r="D523" t="s">
        <v>901</v>
      </c>
      <c r="F523" t="s">
        <v>901</v>
      </c>
      <c r="G523" t="s">
        <v>1057</v>
      </c>
      <c r="H523" t="s">
        <v>1065</v>
      </c>
    </row>
    <row r="524" spans="2:8">
      <c r="B524" t="s">
        <v>388</v>
      </c>
      <c r="C524" t="s">
        <v>902</v>
      </c>
      <c r="D524" t="s">
        <v>902</v>
      </c>
      <c r="F524" t="s">
        <v>902</v>
      </c>
      <c r="G524" t="s">
        <v>1057</v>
      </c>
      <c r="H524" t="s">
        <v>1065</v>
      </c>
    </row>
    <row r="525" spans="2:8">
      <c r="B525" t="s">
        <v>388</v>
      </c>
      <c r="C525" t="s">
        <v>903</v>
      </c>
      <c r="D525" t="s">
        <v>903</v>
      </c>
      <c r="F525" t="s">
        <v>903</v>
      </c>
      <c r="G525" t="s">
        <v>1057</v>
      </c>
      <c r="H525" t="s">
        <v>1065</v>
      </c>
    </row>
    <row r="526" spans="2:8">
      <c r="B526" t="s">
        <v>388</v>
      </c>
      <c r="C526" t="s">
        <v>904</v>
      </c>
      <c r="D526" t="s">
        <v>904</v>
      </c>
      <c r="F526" t="s">
        <v>904</v>
      </c>
      <c r="G526" t="s">
        <v>1057</v>
      </c>
      <c r="H526" t="s">
        <v>1065</v>
      </c>
    </row>
    <row r="527" spans="2:8">
      <c r="B527" t="s">
        <v>388</v>
      </c>
      <c r="C527" t="s">
        <v>905</v>
      </c>
      <c r="D527" t="s">
        <v>905</v>
      </c>
      <c r="F527" t="s">
        <v>905</v>
      </c>
      <c r="G527" t="s">
        <v>1057</v>
      </c>
      <c r="H527" t="s">
        <v>1065</v>
      </c>
    </row>
    <row r="528" spans="2:8">
      <c r="B528" t="s">
        <v>388</v>
      </c>
      <c r="C528" t="s">
        <v>906</v>
      </c>
      <c r="D528" t="s">
        <v>906</v>
      </c>
      <c r="F528" t="s">
        <v>906</v>
      </c>
      <c r="G528" t="s">
        <v>1057</v>
      </c>
      <c r="H528" t="s">
        <v>1065</v>
      </c>
    </row>
    <row r="529" spans="2:8">
      <c r="B529" t="s">
        <v>388</v>
      </c>
      <c r="C529" t="s">
        <v>907</v>
      </c>
      <c r="D529" t="s">
        <v>907</v>
      </c>
      <c r="F529" t="s">
        <v>907</v>
      </c>
      <c r="G529" t="s">
        <v>1057</v>
      </c>
      <c r="H529" t="s">
        <v>1065</v>
      </c>
    </row>
    <row r="530" spans="2:8">
      <c r="B530" t="s">
        <v>388</v>
      </c>
      <c r="C530" t="s">
        <v>908</v>
      </c>
      <c r="D530" t="s">
        <v>908</v>
      </c>
      <c r="F530" t="s">
        <v>908</v>
      </c>
      <c r="G530" t="s">
        <v>1057</v>
      </c>
      <c r="H530" t="s">
        <v>1065</v>
      </c>
    </row>
    <row r="531" spans="2:8">
      <c r="B531" t="s">
        <v>388</v>
      </c>
      <c r="C531" t="s">
        <v>909</v>
      </c>
      <c r="D531" t="s">
        <v>909</v>
      </c>
      <c r="F531" t="s">
        <v>909</v>
      </c>
      <c r="G531" t="s">
        <v>1057</v>
      </c>
      <c r="H531" t="s">
        <v>1065</v>
      </c>
    </row>
    <row r="532" spans="2:8">
      <c r="B532" t="s">
        <v>388</v>
      </c>
      <c r="C532" t="s">
        <v>910</v>
      </c>
      <c r="D532" t="s">
        <v>910</v>
      </c>
      <c r="F532" t="s">
        <v>910</v>
      </c>
      <c r="G532" t="s">
        <v>1057</v>
      </c>
      <c r="H532" t="s">
        <v>1065</v>
      </c>
    </row>
    <row r="533" spans="2:8">
      <c r="B533" t="s">
        <v>388</v>
      </c>
      <c r="C533" t="s">
        <v>911</v>
      </c>
      <c r="D533" t="s">
        <v>911</v>
      </c>
      <c r="F533" t="s">
        <v>911</v>
      </c>
      <c r="G533" t="s">
        <v>1057</v>
      </c>
      <c r="H533" t="s">
        <v>1065</v>
      </c>
    </row>
    <row r="534" spans="2:8">
      <c r="B534" t="s">
        <v>388</v>
      </c>
      <c r="C534" t="s">
        <v>912</v>
      </c>
      <c r="D534" t="s">
        <v>912</v>
      </c>
      <c r="F534" t="s">
        <v>912</v>
      </c>
      <c r="G534" t="s">
        <v>1057</v>
      </c>
      <c r="H534" t="s">
        <v>1060</v>
      </c>
    </row>
    <row r="535" spans="2:8">
      <c r="B535" t="s">
        <v>388</v>
      </c>
      <c r="C535" t="s">
        <v>913</v>
      </c>
      <c r="D535" t="s">
        <v>913</v>
      </c>
      <c r="F535" t="s">
        <v>913</v>
      </c>
      <c r="G535" t="s">
        <v>1057</v>
      </c>
      <c r="H535" t="s">
        <v>1060</v>
      </c>
    </row>
    <row r="536" spans="2:8">
      <c r="B536" t="s">
        <v>388</v>
      </c>
      <c r="C536" t="s">
        <v>914</v>
      </c>
      <c r="D536" t="s">
        <v>914</v>
      </c>
      <c r="F536" t="s">
        <v>914</v>
      </c>
      <c r="G536" t="s">
        <v>1057</v>
      </c>
      <c r="H536" t="s">
        <v>1065</v>
      </c>
    </row>
    <row r="537" spans="2:8">
      <c r="B537" t="s">
        <v>388</v>
      </c>
      <c r="C537" t="s">
        <v>915</v>
      </c>
      <c r="D537" t="s">
        <v>915</v>
      </c>
      <c r="F537" t="s">
        <v>915</v>
      </c>
      <c r="G537" t="s">
        <v>1057</v>
      </c>
      <c r="H537" t="s">
        <v>1065</v>
      </c>
    </row>
    <row r="538" spans="2:8">
      <c r="B538" t="s">
        <v>388</v>
      </c>
      <c r="C538" t="s">
        <v>916</v>
      </c>
      <c r="D538" t="s">
        <v>916</v>
      </c>
      <c r="F538" t="s">
        <v>916</v>
      </c>
      <c r="G538" t="s">
        <v>1057</v>
      </c>
      <c r="H538" t="s">
        <v>1065</v>
      </c>
    </row>
    <row r="539" spans="2:8">
      <c r="B539" t="s">
        <v>388</v>
      </c>
      <c r="C539" t="s">
        <v>917</v>
      </c>
      <c r="D539" t="s">
        <v>917</v>
      </c>
      <c r="F539" t="s">
        <v>917</v>
      </c>
      <c r="G539" t="s">
        <v>1057</v>
      </c>
      <c r="H539" t="s">
        <v>1060</v>
      </c>
    </row>
    <row r="540" spans="2:8">
      <c r="B540" t="s">
        <v>388</v>
      </c>
      <c r="C540" t="s">
        <v>918</v>
      </c>
      <c r="D540" t="s">
        <v>918</v>
      </c>
      <c r="F540" t="s">
        <v>918</v>
      </c>
      <c r="G540" t="s">
        <v>1057</v>
      </c>
      <c r="H540" t="s">
        <v>1065</v>
      </c>
    </row>
    <row r="541" spans="2:8">
      <c r="B541" t="s">
        <v>388</v>
      </c>
      <c r="C541" t="s">
        <v>919</v>
      </c>
      <c r="D541" t="s">
        <v>919</v>
      </c>
      <c r="F541" t="s">
        <v>919</v>
      </c>
      <c r="G541" t="s">
        <v>1057</v>
      </c>
      <c r="H541" t="s">
        <v>1065</v>
      </c>
    </row>
    <row r="542" spans="2:8">
      <c r="B542" t="s">
        <v>388</v>
      </c>
      <c r="C542" t="s">
        <v>920</v>
      </c>
      <c r="D542" t="s">
        <v>920</v>
      </c>
      <c r="F542" t="s">
        <v>920</v>
      </c>
      <c r="G542" t="s">
        <v>1057</v>
      </c>
      <c r="H542" t="s">
        <v>1065</v>
      </c>
    </row>
    <row r="543" spans="2:8">
      <c r="B543" t="s">
        <v>388</v>
      </c>
      <c r="C543" t="s">
        <v>921</v>
      </c>
      <c r="D543" t="s">
        <v>921</v>
      </c>
      <c r="F543" t="s">
        <v>921</v>
      </c>
      <c r="G543" t="s">
        <v>1057</v>
      </c>
      <c r="H543" t="s">
        <v>1065</v>
      </c>
    </row>
    <row r="544" spans="2:8">
      <c r="B544" t="s">
        <v>388</v>
      </c>
      <c r="C544" t="s">
        <v>922</v>
      </c>
      <c r="D544" t="s">
        <v>922</v>
      </c>
      <c r="F544" t="s">
        <v>922</v>
      </c>
      <c r="G544" t="s">
        <v>1057</v>
      </c>
      <c r="H544" t="s">
        <v>1065</v>
      </c>
    </row>
    <row r="545" spans="2:8">
      <c r="B545" t="s">
        <v>388</v>
      </c>
      <c r="C545" t="s">
        <v>923</v>
      </c>
      <c r="D545" t="s">
        <v>923</v>
      </c>
      <c r="F545" t="s">
        <v>923</v>
      </c>
      <c r="G545" t="s">
        <v>1057</v>
      </c>
      <c r="H545" t="s">
        <v>1065</v>
      </c>
    </row>
    <row r="546" spans="2:8">
      <c r="B546" t="s">
        <v>388</v>
      </c>
      <c r="C546" t="s">
        <v>924</v>
      </c>
      <c r="D546" t="s">
        <v>924</v>
      </c>
      <c r="F546" t="s">
        <v>924</v>
      </c>
      <c r="G546" t="s">
        <v>1057</v>
      </c>
      <c r="H546" t="s">
        <v>1065</v>
      </c>
    </row>
    <row r="547" spans="2:8">
      <c r="B547" t="s">
        <v>388</v>
      </c>
      <c r="C547" t="s">
        <v>925</v>
      </c>
      <c r="D547" t="s">
        <v>925</v>
      </c>
      <c r="F547" t="s">
        <v>925</v>
      </c>
      <c r="G547" t="s">
        <v>1057</v>
      </c>
      <c r="H547" t="s">
        <v>1065</v>
      </c>
    </row>
    <row r="548" spans="2:8">
      <c r="B548" t="s">
        <v>388</v>
      </c>
      <c r="C548" t="s">
        <v>926</v>
      </c>
      <c r="D548" t="s">
        <v>926</v>
      </c>
      <c r="F548" t="s">
        <v>926</v>
      </c>
      <c r="G548" t="s">
        <v>1057</v>
      </c>
      <c r="H548" t="s">
        <v>1065</v>
      </c>
    </row>
    <row r="549" spans="2:8">
      <c r="B549" t="s">
        <v>388</v>
      </c>
      <c r="C549" t="s">
        <v>927</v>
      </c>
      <c r="D549" t="s">
        <v>927</v>
      </c>
      <c r="F549" t="s">
        <v>927</v>
      </c>
      <c r="G549" t="s">
        <v>1057</v>
      </c>
      <c r="H549" t="s">
        <v>1065</v>
      </c>
    </row>
    <row r="550" spans="2:8">
      <c r="B550" t="s">
        <v>388</v>
      </c>
      <c r="C550" t="s">
        <v>928</v>
      </c>
      <c r="D550" t="s">
        <v>928</v>
      </c>
      <c r="F550" t="s">
        <v>928</v>
      </c>
      <c r="G550" t="s">
        <v>1057</v>
      </c>
      <c r="H550" t="s">
        <v>1065</v>
      </c>
    </row>
    <row r="551" spans="2:8">
      <c r="B551" t="s">
        <v>388</v>
      </c>
      <c r="C551" t="s">
        <v>929</v>
      </c>
      <c r="D551" t="s">
        <v>929</v>
      </c>
      <c r="F551" t="s">
        <v>929</v>
      </c>
      <c r="G551" t="s">
        <v>1057</v>
      </c>
      <c r="H551" t="s">
        <v>1065</v>
      </c>
    </row>
    <row r="552" spans="2:8">
      <c r="B552" t="s">
        <v>388</v>
      </c>
      <c r="C552" t="s">
        <v>930</v>
      </c>
      <c r="D552" t="s">
        <v>930</v>
      </c>
      <c r="F552" t="s">
        <v>930</v>
      </c>
      <c r="G552" t="s">
        <v>1057</v>
      </c>
      <c r="H552" t="s">
        <v>1065</v>
      </c>
    </row>
    <row r="553" spans="2:8">
      <c r="B553" t="s">
        <v>388</v>
      </c>
      <c r="C553" t="s">
        <v>931</v>
      </c>
      <c r="D553" t="s">
        <v>931</v>
      </c>
      <c r="F553" t="s">
        <v>931</v>
      </c>
      <c r="G553" t="s">
        <v>1057</v>
      </c>
      <c r="H553" t="s">
        <v>1065</v>
      </c>
    </row>
    <row r="554" spans="2:8">
      <c r="B554" t="s">
        <v>388</v>
      </c>
      <c r="C554" t="s">
        <v>932</v>
      </c>
      <c r="D554" t="s">
        <v>932</v>
      </c>
      <c r="F554" t="s">
        <v>932</v>
      </c>
      <c r="G554" t="s">
        <v>1057</v>
      </c>
      <c r="H554" t="s">
        <v>1065</v>
      </c>
    </row>
    <row r="555" spans="2:8">
      <c r="B555" t="s">
        <v>388</v>
      </c>
      <c r="C555" t="s">
        <v>933</v>
      </c>
      <c r="D555" t="s">
        <v>933</v>
      </c>
      <c r="F555" t="s">
        <v>933</v>
      </c>
      <c r="G555" t="s">
        <v>1057</v>
      </c>
      <c r="H555" t="s">
        <v>1065</v>
      </c>
    </row>
    <row r="556" spans="2:8">
      <c r="B556" t="s">
        <v>388</v>
      </c>
      <c r="C556" t="s">
        <v>934</v>
      </c>
      <c r="D556" t="s">
        <v>934</v>
      </c>
      <c r="F556" t="s">
        <v>934</v>
      </c>
      <c r="G556" t="s">
        <v>1057</v>
      </c>
      <c r="H556" t="s">
        <v>1065</v>
      </c>
    </row>
    <row r="557" spans="2:8">
      <c r="B557" t="s">
        <v>388</v>
      </c>
      <c r="C557" t="s">
        <v>935</v>
      </c>
      <c r="D557" t="s">
        <v>935</v>
      </c>
      <c r="F557" t="s">
        <v>935</v>
      </c>
      <c r="G557" t="s">
        <v>1057</v>
      </c>
      <c r="H557" t="s">
        <v>1065</v>
      </c>
    </row>
    <row r="558" spans="2:8">
      <c r="B558" t="s">
        <v>388</v>
      </c>
      <c r="C558" t="s">
        <v>936</v>
      </c>
      <c r="D558" t="s">
        <v>936</v>
      </c>
      <c r="F558" t="s">
        <v>936</v>
      </c>
      <c r="G558" t="s">
        <v>1057</v>
      </c>
      <c r="H558" t="s">
        <v>1065</v>
      </c>
    </row>
    <row r="559" spans="2:8">
      <c r="B559" t="s">
        <v>388</v>
      </c>
      <c r="C559" t="s">
        <v>937</v>
      </c>
      <c r="D559" t="s">
        <v>937</v>
      </c>
      <c r="F559" t="s">
        <v>937</v>
      </c>
      <c r="G559" t="s">
        <v>1057</v>
      </c>
      <c r="H559" t="s">
        <v>1063</v>
      </c>
    </row>
    <row r="560" spans="2:8">
      <c r="B560" t="s">
        <v>388</v>
      </c>
      <c r="C560" t="s">
        <v>938</v>
      </c>
      <c r="D560" t="s">
        <v>938</v>
      </c>
      <c r="F560" t="s">
        <v>938</v>
      </c>
      <c r="G560" t="s">
        <v>1057</v>
      </c>
      <c r="H560" t="s">
        <v>1065</v>
      </c>
    </row>
    <row r="561" spans="2:8">
      <c r="B561" t="s">
        <v>388</v>
      </c>
      <c r="C561" t="s">
        <v>939</v>
      </c>
      <c r="D561" t="s">
        <v>939</v>
      </c>
      <c r="F561" t="s">
        <v>939</v>
      </c>
      <c r="G561" t="s">
        <v>1057</v>
      </c>
      <c r="H561" t="s">
        <v>1063</v>
      </c>
    </row>
    <row r="562" spans="2:8">
      <c r="B562" t="s">
        <v>388</v>
      </c>
      <c r="C562" t="s">
        <v>940</v>
      </c>
      <c r="D562" t="s">
        <v>940</v>
      </c>
      <c r="F562" t="s">
        <v>940</v>
      </c>
      <c r="G562" t="s">
        <v>1057</v>
      </c>
      <c r="H562" t="s">
        <v>1065</v>
      </c>
    </row>
    <row r="563" spans="2:8">
      <c r="B563" t="s">
        <v>388</v>
      </c>
      <c r="C563" t="s">
        <v>941</v>
      </c>
      <c r="D563" t="s">
        <v>941</v>
      </c>
      <c r="F563" t="s">
        <v>941</v>
      </c>
      <c r="G563" t="s">
        <v>1057</v>
      </c>
      <c r="H563" t="s">
        <v>1065</v>
      </c>
    </row>
    <row r="564" spans="2:8">
      <c r="B564" t="s">
        <v>388</v>
      </c>
      <c r="C564" t="s">
        <v>942</v>
      </c>
      <c r="D564" t="s">
        <v>942</v>
      </c>
      <c r="F564" t="s">
        <v>942</v>
      </c>
      <c r="G564" t="s">
        <v>1057</v>
      </c>
      <c r="H564" t="s">
        <v>1065</v>
      </c>
    </row>
    <row r="565" spans="2:8">
      <c r="B565" t="s">
        <v>388</v>
      </c>
      <c r="C565" t="s">
        <v>943</v>
      </c>
      <c r="D565" t="s">
        <v>943</v>
      </c>
      <c r="F565" t="s">
        <v>943</v>
      </c>
      <c r="G565" t="s">
        <v>1057</v>
      </c>
      <c r="H565" t="s">
        <v>1065</v>
      </c>
    </row>
    <row r="566" spans="2:8">
      <c r="B566" t="s">
        <v>388</v>
      </c>
      <c r="C566" t="s">
        <v>944</v>
      </c>
      <c r="D566" t="s">
        <v>944</v>
      </c>
      <c r="F566" t="s">
        <v>944</v>
      </c>
      <c r="G566" t="s">
        <v>1057</v>
      </c>
      <c r="H566" t="s">
        <v>1063</v>
      </c>
    </row>
    <row r="567" spans="2:8">
      <c r="B567" t="s">
        <v>388</v>
      </c>
      <c r="C567" t="s">
        <v>945</v>
      </c>
      <c r="D567" t="s">
        <v>945</v>
      </c>
      <c r="F567" t="s">
        <v>945</v>
      </c>
      <c r="G567" t="s">
        <v>1057</v>
      </c>
      <c r="H567" t="s">
        <v>1060</v>
      </c>
    </row>
    <row r="568" spans="2:8">
      <c r="B568" t="s">
        <v>388</v>
      </c>
      <c r="C568" t="s">
        <v>946</v>
      </c>
      <c r="D568" t="s">
        <v>946</v>
      </c>
      <c r="F568" t="s">
        <v>946</v>
      </c>
      <c r="G568" t="s">
        <v>1057</v>
      </c>
      <c r="H568" t="s">
        <v>1065</v>
      </c>
    </row>
    <row r="569" spans="2:8">
      <c r="B569" t="s">
        <v>388</v>
      </c>
      <c r="C569" t="s">
        <v>947</v>
      </c>
      <c r="D569" t="s">
        <v>947</v>
      </c>
      <c r="F569" t="s">
        <v>947</v>
      </c>
      <c r="G569" t="s">
        <v>1057</v>
      </c>
      <c r="H569" t="s">
        <v>1065</v>
      </c>
    </row>
    <row r="570" spans="2:8">
      <c r="B570" t="s">
        <v>388</v>
      </c>
      <c r="C570" t="s">
        <v>948</v>
      </c>
      <c r="D570" t="s">
        <v>948</v>
      </c>
      <c r="F570" t="s">
        <v>948</v>
      </c>
      <c r="G570" t="s">
        <v>1057</v>
      </c>
      <c r="H570" t="s">
        <v>1065</v>
      </c>
    </row>
    <row r="571" spans="2:8">
      <c r="B571" t="s">
        <v>388</v>
      </c>
      <c r="C571" t="s">
        <v>949</v>
      </c>
      <c r="D571" t="s">
        <v>949</v>
      </c>
      <c r="F571" t="s">
        <v>949</v>
      </c>
      <c r="G571" t="s">
        <v>1057</v>
      </c>
      <c r="H571" t="s">
        <v>1065</v>
      </c>
    </row>
    <row r="572" spans="2:8">
      <c r="B572" t="s">
        <v>388</v>
      </c>
      <c r="C572" t="s">
        <v>950</v>
      </c>
      <c r="D572" t="s">
        <v>950</v>
      </c>
      <c r="F572" t="s">
        <v>950</v>
      </c>
      <c r="G572" t="s">
        <v>1057</v>
      </c>
      <c r="H572" t="s">
        <v>1063</v>
      </c>
    </row>
    <row r="573" spans="2:8">
      <c r="B573" t="s">
        <v>388</v>
      </c>
      <c r="C573" t="s">
        <v>951</v>
      </c>
      <c r="D573" t="s">
        <v>951</v>
      </c>
      <c r="F573" t="s">
        <v>951</v>
      </c>
      <c r="G573" t="s">
        <v>1057</v>
      </c>
      <c r="H573" t="s">
        <v>1060</v>
      </c>
    </row>
    <row r="574" spans="2:8">
      <c r="B574" t="s">
        <v>388</v>
      </c>
      <c r="C574" t="s">
        <v>952</v>
      </c>
      <c r="D574" t="s">
        <v>952</v>
      </c>
      <c r="F574" t="s">
        <v>952</v>
      </c>
      <c r="G574" t="s">
        <v>1057</v>
      </c>
      <c r="H574" t="s">
        <v>1065</v>
      </c>
    </row>
    <row r="575" spans="2:8">
      <c r="B575" t="s">
        <v>388</v>
      </c>
      <c r="C575" t="s">
        <v>953</v>
      </c>
      <c r="D575" t="s">
        <v>953</v>
      </c>
      <c r="F575" t="s">
        <v>953</v>
      </c>
      <c r="G575" t="s">
        <v>1057</v>
      </c>
      <c r="H575" t="s">
        <v>1065</v>
      </c>
    </row>
    <row r="576" spans="2:8">
      <c r="B576" t="s">
        <v>388</v>
      </c>
      <c r="C576" t="s">
        <v>954</v>
      </c>
      <c r="D576" t="s">
        <v>954</v>
      </c>
      <c r="F576" t="s">
        <v>954</v>
      </c>
      <c r="G576" t="s">
        <v>1057</v>
      </c>
      <c r="H576" t="s">
        <v>1065</v>
      </c>
    </row>
    <row r="577" spans="2:8">
      <c r="B577" t="s">
        <v>388</v>
      </c>
      <c r="C577" t="s">
        <v>955</v>
      </c>
      <c r="D577" t="s">
        <v>955</v>
      </c>
      <c r="F577" t="s">
        <v>955</v>
      </c>
      <c r="G577" t="s">
        <v>1057</v>
      </c>
      <c r="H577" t="s">
        <v>1065</v>
      </c>
    </row>
    <row r="578" spans="2:8">
      <c r="B578" t="s">
        <v>388</v>
      </c>
      <c r="C578" t="s">
        <v>956</v>
      </c>
      <c r="D578" t="s">
        <v>956</v>
      </c>
      <c r="F578" t="s">
        <v>956</v>
      </c>
      <c r="G578" t="s">
        <v>1057</v>
      </c>
      <c r="H578" t="s">
        <v>1065</v>
      </c>
    </row>
    <row r="579" spans="2:8">
      <c r="B579" t="s">
        <v>388</v>
      </c>
      <c r="C579" t="s">
        <v>957</v>
      </c>
      <c r="D579" t="s">
        <v>957</v>
      </c>
      <c r="F579" t="s">
        <v>957</v>
      </c>
      <c r="G579" t="s">
        <v>1057</v>
      </c>
      <c r="H579" t="s">
        <v>1060</v>
      </c>
    </row>
    <row r="580" spans="2:8">
      <c r="B580" t="s">
        <v>388</v>
      </c>
      <c r="C580" t="s">
        <v>958</v>
      </c>
      <c r="D580" t="s">
        <v>958</v>
      </c>
      <c r="F580" t="s">
        <v>958</v>
      </c>
      <c r="G580" t="s">
        <v>1057</v>
      </c>
      <c r="H580" t="s">
        <v>1065</v>
      </c>
    </row>
    <row r="581" spans="2:8">
      <c r="B581" t="s">
        <v>388</v>
      </c>
      <c r="C581" t="s">
        <v>959</v>
      </c>
      <c r="D581" t="s">
        <v>959</v>
      </c>
      <c r="F581" t="s">
        <v>959</v>
      </c>
      <c r="G581" t="s">
        <v>1057</v>
      </c>
      <c r="H581" t="s">
        <v>1065</v>
      </c>
    </row>
    <row r="582" spans="2:8">
      <c r="B582" t="s">
        <v>388</v>
      </c>
      <c r="C582" t="s">
        <v>960</v>
      </c>
      <c r="D582" t="s">
        <v>960</v>
      </c>
      <c r="F582" t="s">
        <v>960</v>
      </c>
      <c r="G582" t="s">
        <v>1057</v>
      </c>
      <c r="H582" t="s">
        <v>1065</v>
      </c>
    </row>
    <row r="583" spans="2:8">
      <c r="B583" t="s">
        <v>388</v>
      </c>
      <c r="C583" t="s">
        <v>961</v>
      </c>
      <c r="D583" t="s">
        <v>961</v>
      </c>
      <c r="F583" t="s">
        <v>961</v>
      </c>
      <c r="G583" t="s">
        <v>1057</v>
      </c>
      <c r="H583" t="s">
        <v>1065</v>
      </c>
    </row>
    <row r="584" spans="2:8">
      <c r="B584" t="s">
        <v>388</v>
      </c>
      <c r="C584" t="s">
        <v>962</v>
      </c>
      <c r="D584" t="s">
        <v>962</v>
      </c>
      <c r="F584" t="s">
        <v>962</v>
      </c>
      <c r="G584" t="s">
        <v>1057</v>
      </c>
      <c r="H584" t="s">
        <v>1060</v>
      </c>
    </row>
    <row r="585" spans="2:8">
      <c r="B585" t="s">
        <v>388</v>
      </c>
      <c r="C585" t="s">
        <v>963</v>
      </c>
      <c r="D585" t="s">
        <v>963</v>
      </c>
      <c r="F585" t="s">
        <v>963</v>
      </c>
      <c r="G585" t="s">
        <v>1057</v>
      </c>
      <c r="H585" t="s">
        <v>1065</v>
      </c>
    </row>
    <row r="586" spans="2:8">
      <c r="B586" t="s">
        <v>388</v>
      </c>
      <c r="C586" t="s">
        <v>964</v>
      </c>
      <c r="D586" t="s">
        <v>964</v>
      </c>
      <c r="F586" t="s">
        <v>964</v>
      </c>
      <c r="G586" t="s">
        <v>1057</v>
      </c>
      <c r="H586" t="s">
        <v>1065</v>
      </c>
    </row>
    <row r="587" spans="2:8">
      <c r="B587" t="s">
        <v>388</v>
      </c>
      <c r="C587" t="s">
        <v>965</v>
      </c>
      <c r="D587" t="s">
        <v>965</v>
      </c>
      <c r="F587" t="s">
        <v>965</v>
      </c>
      <c r="G587" t="s">
        <v>1057</v>
      </c>
      <c r="H587" t="s">
        <v>1065</v>
      </c>
    </row>
    <row r="588" spans="2:8">
      <c r="B588" t="s">
        <v>388</v>
      </c>
      <c r="C588" t="s">
        <v>966</v>
      </c>
      <c r="D588" t="s">
        <v>966</v>
      </c>
      <c r="F588" t="s">
        <v>966</v>
      </c>
      <c r="G588" t="s">
        <v>1057</v>
      </c>
      <c r="H588" t="s">
        <v>1065</v>
      </c>
    </row>
    <row r="589" spans="2:8">
      <c r="B589" t="s">
        <v>388</v>
      </c>
      <c r="C589" t="s">
        <v>967</v>
      </c>
      <c r="D589" t="s">
        <v>967</v>
      </c>
      <c r="F589" t="s">
        <v>967</v>
      </c>
      <c r="G589" t="s">
        <v>1057</v>
      </c>
      <c r="H589" t="s">
        <v>1062</v>
      </c>
    </row>
    <row r="590" spans="2:8">
      <c r="B590" t="s">
        <v>388</v>
      </c>
      <c r="C590" t="s">
        <v>968</v>
      </c>
      <c r="D590" t="s">
        <v>968</v>
      </c>
      <c r="F590" t="s">
        <v>968</v>
      </c>
      <c r="G590" t="s">
        <v>1057</v>
      </c>
      <c r="H590" t="s">
        <v>1065</v>
      </c>
    </row>
    <row r="591" spans="2:8">
      <c r="B591" t="s">
        <v>388</v>
      </c>
      <c r="C591" t="s">
        <v>969</v>
      </c>
      <c r="D591" t="s">
        <v>969</v>
      </c>
      <c r="F591" t="s">
        <v>969</v>
      </c>
      <c r="G591" t="s">
        <v>1057</v>
      </c>
      <c r="H591" t="s">
        <v>1065</v>
      </c>
    </row>
    <row r="592" spans="2:8">
      <c r="B592" t="s">
        <v>388</v>
      </c>
      <c r="C592" t="s">
        <v>970</v>
      </c>
      <c r="D592" t="s">
        <v>970</v>
      </c>
      <c r="F592" t="s">
        <v>970</v>
      </c>
      <c r="G592" t="s">
        <v>1057</v>
      </c>
      <c r="H592" t="s">
        <v>1065</v>
      </c>
    </row>
    <row r="593" spans="2:8">
      <c r="B593" t="s">
        <v>388</v>
      </c>
      <c r="C593" t="s">
        <v>971</v>
      </c>
      <c r="D593" t="s">
        <v>971</v>
      </c>
      <c r="F593" t="s">
        <v>971</v>
      </c>
      <c r="G593" t="s">
        <v>1057</v>
      </c>
      <c r="H593" t="s">
        <v>1065</v>
      </c>
    </row>
    <row r="594" spans="2:8">
      <c r="B594" t="s">
        <v>388</v>
      </c>
      <c r="C594" t="s">
        <v>972</v>
      </c>
      <c r="D594" t="s">
        <v>972</v>
      </c>
      <c r="F594" t="s">
        <v>972</v>
      </c>
      <c r="G594" t="s">
        <v>1057</v>
      </c>
      <c r="H594" t="s">
        <v>1065</v>
      </c>
    </row>
    <row r="595" spans="2:8">
      <c r="B595" t="s">
        <v>388</v>
      </c>
      <c r="C595" t="s">
        <v>973</v>
      </c>
      <c r="D595" t="s">
        <v>973</v>
      </c>
      <c r="F595" t="s">
        <v>973</v>
      </c>
      <c r="G595" t="s">
        <v>1057</v>
      </c>
      <c r="H595" t="s">
        <v>1063</v>
      </c>
    </row>
    <row r="596" spans="2:8">
      <c r="B596" t="s">
        <v>388</v>
      </c>
      <c r="C596" t="s">
        <v>974</v>
      </c>
      <c r="D596" t="s">
        <v>974</v>
      </c>
      <c r="F596" t="s">
        <v>974</v>
      </c>
      <c r="G596" t="s">
        <v>1057</v>
      </c>
      <c r="H596" t="s">
        <v>1062</v>
      </c>
    </row>
    <row r="597" spans="2:8">
      <c r="B597" t="s">
        <v>388</v>
      </c>
      <c r="C597" t="s">
        <v>975</v>
      </c>
      <c r="D597" t="s">
        <v>975</v>
      </c>
      <c r="F597" t="s">
        <v>975</v>
      </c>
      <c r="G597" t="s">
        <v>1057</v>
      </c>
      <c r="H597" t="s">
        <v>1065</v>
      </c>
    </row>
    <row r="598" spans="2:8">
      <c r="B598" t="s">
        <v>388</v>
      </c>
      <c r="C598" t="s">
        <v>976</v>
      </c>
      <c r="D598" t="s">
        <v>976</v>
      </c>
      <c r="F598" t="s">
        <v>976</v>
      </c>
      <c r="G598" t="s">
        <v>1057</v>
      </c>
      <c r="H598" t="s">
        <v>1065</v>
      </c>
    </row>
    <row r="599" spans="2:8">
      <c r="B599" t="s">
        <v>388</v>
      </c>
      <c r="C599" t="s">
        <v>977</v>
      </c>
      <c r="D599" t="s">
        <v>977</v>
      </c>
      <c r="F599" t="s">
        <v>977</v>
      </c>
      <c r="G599" t="s">
        <v>1057</v>
      </c>
      <c r="H599" t="s">
        <v>1065</v>
      </c>
    </row>
    <row r="600" spans="2:8">
      <c r="B600" t="s">
        <v>388</v>
      </c>
      <c r="C600" t="s">
        <v>978</v>
      </c>
      <c r="D600" t="s">
        <v>978</v>
      </c>
      <c r="F600" t="s">
        <v>978</v>
      </c>
      <c r="G600" t="s">
        <v>1057</v>
      </c>
      <c r="H600" t="s">
        <v>1065</v>
      </c>
    </row>
    <row r="601" spans="2:8">
      <c r="B601" t="s">
        <v>388</v>
      </c>
      <c r="C601" t="s">
        <v>979</v>
      </c>
      <c r="D601" t="s">
        <v>979</v>
      </c>
      <c r="F601" t="s">
        <v>979</v>
      </c>
      <c r="G601" t="s">
        <v>1057</v>
      </c>
      <c r="H601" t="s">
        <v>1065</v>
      </c>
    </row>
    <row r="602" spans="2:8">
      <c r="B602" t="s">
        <v>388</v>
      </c>
      <c r="C602" t="s">
        <v>980</v>
      </c>
      <c r="D602" t="s">
        <v>980</v>
      </c>
      <c r="F602" t="s">
        <v>980</v>
      </c>
      <c r="G602" t="s">
        <v>1057</v>
      </c>
      <c r="H602" t="s">
        <v>1063</v>
      </c>
    </row>
    <row r="603" spans="2:8">
      <c r="B603" t="s">
        <v>388</v>
      </c>
      <c r="C603" t="s">
        <v>981</v>
      </c>
      <c r="D603" t="s">
        <v>981</v>
      </c>
      <c r="F603" t="s">
        <v>981</v>
      </c>
      <c r="G603" t="s">
        <v>1057</v>
      </c>
      <c r="H603" t="s">
        <v>1065</v>
      </c>
    </row>
    <row r="604" spans="2:8">
      <c r="B604" t="s">
        <v>388</v>
      </c>
      <c r="C604" t="s">
        <v>982</v>
      </c>
      <c r="D604" t="s">
        <v>982</v>
      </c>
      <c r="F604" t="s">
        <v>982</v>
      </c>
      <c r="G604" t="s">
        <v>1057</v>
      </c>
      <c r="H604" t="s">
        <v>1065</v>
      </c>
    </row>
    <row r="605" spans="2:8">
      <c r="B605" t="s">
        <v>388</v>
      </c>
      <c r="C605" t="s">
        <v>983</v>
      </c>
      <c r="D605" t="s">
        <v>983</v>
      </c>
      <c r="F605" t="s">
        <v>983</v>
      </c>
      <c r="G605" t="s">
        <v>1057</v>
      </c>
      <c r="H605" t="s">
        <v>1065</v>
      </c>
    </row>
    <row r="606" spans="2:8">
      <c r="B606" t="s">
        <v>388</v>
      </c>
      <c r="C606" t="s">
        <v>984</v>
      </c>
      <c r="D606" t="s">
        <v>984</v>
      </c>
      <c r="F606" t="s">
        <v>984</v>
      </c>
      <c r="G606" t="s">
        <v>1057</v>
      </c>
      <c r="H606" t="s">
        <v>1065</v>
      </c>
    </row>
    <row r="607" spans="2:8">
      <c r="B607" t="s">
        <v>388</v>
      </c>
      <c r="C607" t="s">
        <v>985</v>
      </c>
      <c r="D607" t="s">
        <v>985</v>
      </c>
      <c r="F607" t="s">
        <v>985</v>
      </c>
      <c r="G607" t="s">
        <v>1057</v>
      </c>
      <c r="H607" t="s">
        <v>1065</v>
      </c>
    </row>
    <row r="608" spans="2:8">
      <c r="B608" t="s">
        <v>388</v>
      </c>
      <c r="C608" t="s">
        <v>986</v>
      </c>
      <c r="D608" t="s">
        <v>986</v>
      </c>
      <c r="F608" t="s">
        <v>986</v>
      </c>
      <c r="G608" t="s">
        <v>1057</v>
      </c>
      <c r="H608" t="s">
        <v>1063</v>
      </c>
    </row>
    <row r="609" spans="2:8">
      <c r="B609" t="s">
        <v>388</v>
      </c>
      <c r="C609" t="s">
        <v>987</v>
      </c>
      <c r="D609" t="s">
        <v>987</v>
      </c>
      <c r="F609" t="s">
        <v>987</v>
      </c>
      <c r="G609" t="s">
        <v>1057</v>
      </c>
      <c r="H609" t="s">
        <v>1067</v>
      </c>
    </row>
    <row r="610" spans="2:8">
      <c r="B610" t="s">
        <v>388</v>
      </c>
      <c r="C610" t="s">
        <v>988</v>
      </c>
      <c r="D610" t="s">
        <v>988</v>
      </c>
      <c r="F610" t="s">
        <v>988</v>
      </c>
      <c r="G610" t="s">
        <v>1057</v>
      </c>
      <c r="H610" t="s">
        <v>1065</v>
      </c>
    </row>
    <row r="611" spans="2:8">
      <c r="B611" t="s">
        <v>388</v>
      </c>
      <c r="C611" t="s">
        <v>989</v>
      </c>
      <c r="D611" t="s">
        <v>989</v>
      </c>
      <c r="F611" t="s">
        <v>989</v>
      </c>
      <c r="G611" t="s">
        <v>1057</v>
      </c>
      <c r="H611" t="s">
        <v>1065</v>
      </c>
    </row>
    <row r="612" spans="2:8">
      <c r="B612" t="s">
        <v>388</v>
      </c>
      <c r="C612" t="s">
        <v>990</v>
      </c>
      <c r="D612" t="s">
        <v>990</v>
      </c>
      <c r="F612" t="s">
        <v>990</v>
      </c>
      <c r="G612" t="s">
        <v>1057</v>
      </c>
      <c r="H612" t="s">
        <v>1065</v>
      </c>
    </row>
    <row r="613" spans="2:8">
      <c r="B613" t="s">
        <v>388</v>
      </c>
      <c r="C613" t="s">
        <v>991</v>
      </c>
      <c r="D613" t="s">
        <v>991</v>
      </c>
      <c r="F613" t="s">
        <v>991</v>
      </c>
      <c r="G613" t="s">
        <v>1057</v>
      </c>
      <c r="H613" t="s">
        <v>1065</v>
      </c>
    </row>
    <row r="614" spans="2:8">
      <c r="B614" t="s">
        <v>388</v>
      </c>
      <c r="C614" t="s">
        <v>992</v>
      </c>
      <c r="D614" t="s">
        <v>992</v>
      </c>
      <c r="F614" t="s">
        <v>992</v>
      </c>
      <c r="G614" t="s">
        <v>1057</v>
      </c>
      <c r="H614" t="s">
        <v>1059</v>
      </c>
    </row>
    <row r="615" spans="2:8">
      <c r="B615" t="s">
        <v>388</v>
      </c>
      <c r="C615" t="s">
        <v>993</v>
      </c>
      <c r="D615" t="s">
        <v>993</v>
      </c>
      <c r="F615" t="s">
        <v>993</v>
      </c>
      <c r="G615" t="s">
        <v>1057</v>
      </c>
      <c r="H615" t="s">
        <v>1065</v>
      </c>
    </row>
    <row r="616" spans="2:8">
      <c r="B616" t="s">
        <v>388</v>
      </c>
      <c r="C616" t="s">
        <v>994</v>
      </c>
      <c r="D616" t="s">
        <v>994</v>
      </c>
      <c r="F616" t="s">
        <v>994</v>
      </c>
      <c r="G616" t="s">
        <v>1057</v>
      </c>
      <c r="H616" t="s">
        <v>1065</v>
      </c>
    </row>
    <row r="617" spans="2:8">
      <c r="B617" t="s">
        <v>388</v>
      </c>
      <c r="C617" t="s">
        <v>995</v>
      </c>
      <c r="D617" t="s">
        <v>995</v>
      </c>
      <c r="F617" t="s">
        <v>995</v>
      </c>
      <c r="G617" t="s">
        <v>1057</v>
      </c>
      <c r="H617" t="s">
        <v>1065</v>
      </c>
    </row>
    <row r="618" spans="2:8">
      <c r="B618" t="s">
        <v>388</v>
      </c>
      <c r="C618" t="s">
        <v>996</v>
      </c>
      <c r="D618" t="s">
        <v>996</v>
      </c>
      <c r="F618" t="s">
        <v>996</v>
      </c>
      <c r="G618" t="s">
        <v>1057</v>
      </c>
      <c r="H618" t="s">
        <v>1059</v>
      </c>
    </row>
    <row r="619" spans="2:8">
      <c r="B619" t="s">
        <v>388</v>
      </c>
      <c r="C619" t="s">
        <v>997</v>
      </c>
      <c r="D619" t="s">
        <v>997</v>
      </c>
      <c r="F619" t="s">
        <v>997</v>
      </c>
      <c r="G619" t="s">
        <v>1057</v>
      </c>
      <c r="H619" t="s">
        <v>1065</v>
      </c>
    </row>
    <row r="620" spans="2:8">
      <c r="B620" t="s">
        <v>388</v>
      </c>
      <c r="C620" t="s">
        <v>998</v>
      </c>
      <c r="D620" t="s">
        <v>998</v>
      </c>
      <c r="F620" t="s">
        <v>998</v>
      </c>
      <c r="G620" t="s">
        <v>1057</v>
      </c>
      <c r="H620" t="s">
        <v>1065</v>
      </c>
    </row>
    <row r="621" spans="2:8">
      <c r="B621" t="s">
        <v>388</v>
      </c>
      <c r="C621" t="s">
        <v>999</v>
      </c>
      <c r="D621" t="s">
        <v>999</v>
      </c>
      <c r="F621" t="s">
        <v>999</v>
      </c>
      <c r="G621" t="s">
        <v>1057</v>
      </c>
      <c r="H621" t="s">
        <v>1065</v>
      </c>
    </row>
    <row r="622" spans="2:8">
      <c r="B622" t="s">
        <v>388</v>
      </c>
      <c r="C622" t="s">
        <v>1000</v>
      </c>
      <c r="D622" t="s">
        <v>1000</v>
      </c>
      <c r="F622" t="s">
        <v>1000</v>
      </c>
      <c r="G622" t="s">
        <v>1057</v>
      </c>
      <c r="H622" t="s">
        <v>1065</v>
      </c>
    </row>
    <row r="623" spans="2:8">
      <c r="B623" t="s">
        <v>388</v>
      </c>
      <c r="C623" t="s">
        <v>1001</v>
      </c>
      <c r="D623" t="s">
        <v>1001</v>
      </c>
      <c r="F623" t="s">
        <v>1001</v>
      </c>
      <c r="G623" t="s">
        <v>1057</v>
      </c>
      <c r="H623" t="s">
        <v>1065</v>
      </c>
    </row>
    <row r="624" spans="2:8">
      <c r="B624" t="s">
        <v>388</v>
      </c>
      <c r="C624" t="s">
        <v>1002</v>
      </c>
      <c r="D624" t="s">
        <v>1002</v>
      </c>
      <c r="F624" t="s">
        <v>1002</v>
      </c>
      <c r="G624" t="s">
        <v>1057</v>
      </c>
      <c r="H624" t="s">
        <v>1065</v>
      </c>
    </row>
    <row r="625" spans="2:8">
      <c r="B625" t="s">
        <v>388</v>
      </c>
      <c r="C625" t="s">
        <v>1003</v>
      </c>
      <c r="D625" t="s">
        <v>1003</v>
      </c>
      <c r="F625" t="s">
        <v>1003</v>
      </c>
      <c r="G625" t="s">
        <v>1057</v>
      </c>
      <c r="H625" t="s">
        <v>1065</v>
      </c>
    </row>
    <row r="626" spans="2:8">
      <c r="B626" t="s">
        <v>388</v>
      </c>
      <c r="C626" t="s">
        <v>1004</v>
      </c>
      <c r="D626" t="s">
        <v>1004</v>
      </c>
      <c r="F626" t="s">
        <v>1004</v>
      </c>
      <c r="G626" t="s">
        <v>1057</v>
      </c>
      <c r="H626" t="s">
        <v>1065</v>
      </c>
    </row>
    <row r="627" spans="2:8">
      <c r="B627" t="s">
        <v>388</v>
      </c>
      <c r="C627" t="s">
        <v>1005</v>
      </c>
      <c r="D627" t="s">
        <v>1005</v>
      </c>
      <c r="F627" t="s">
        <v>1005</v>
      </c>
      <c r="G627" t="s">
        <v>1057</v>
      </c>
      <c r="H627" t="s">
        <v>1059</v>
      </c>
    </row>
    <row r="628" spans="2:8">
      <c r="B628" t="s">
        <v>388</v>
      </c>
      <c r="C628" t="s">
        <v>1006</v>
      </c>
      <c r="D628" t="s">
        <v>1006</v>
      </c>
      <c r="F628" t="s">
        <v>1006</v>
      </c>
      <c r="G628" t="s">
        <v>1057</v>
      </c>
      <c r="H628" t="s">
        <v>1065</v>
      </c>
    </row>
    <row r="629" spans="2:8">
      <c r="B629" t="s">
        <v>388</v>
      </c>
      <c r="C629" t="s">
        <v>1007</v>
      </c>
      <c r="D629" t="s">
        <v>1007</v>
      </c>
      <c r="F629" t="s">
        <v>1007</v>
      </c>
      <c r="G629" t="s">
        <v>1057</v>
      </c>
      <c r="H629" t="s">
        <v>1065</v>
      </c>
    </row>
    <row r="630" spans="2:8">
      <c r="B630" t="s">
        <v>388</v>
      </c>
      <c r="C630" t="s">
        <v>1008</v>
      </c>
      <c r="D630" t="s">
        <v>1008</v>
      </c>
      <c r="F630" t="s">
        <v>1008</v>
      </c>
      <c r="G630" t="s">
        <v>1057</v>
      </c>
      <c r="H630" t="s">
        <v>1065</v>
      </c>
    </row>
    <row r="631" spans="2:8">
      <c r="B631" t="s">
        <v>388</v>
      </c>
      <c r="C631" t="s">
        <v>1009</v>
      </c>
      <c r="D631" t="s">
        <v>1009</v>
      </c>
      <c r="F631" t="s">
        <v>1009</v>
      </c>
      <c r="G631" t="s">
        <v>1057</v>
      </c>
      <c r="H631" t="s">
        <v>1065</v>
      </c>
    </row>
    <row r="632" spans="2:8">
      <c r="B632" t="s">
        <v>388</v>
      </c>
      <c r="C632" t="s">
        <v>1010</v>
      </c>
      <c r="D632" t="s">
        <v>1010</v>
      </c>
      <c r="F632" t="s">
        <v>1010</v>
      </c>
      <c r="G632" t="s">
        <v>1057</v>
      </c>
      <c r="H632" t="s">
        <v>1065</v>
      </c>
    </row>
    <row r="633" spans="2:8">
      <c r="B633" t="s">
        <v>388</v>
      </c>
      <c r="C633" t="s">
        <v>1011</v>
      </c>
      <c r="D633" t="s">
        <v>1011</v>
      </c>
      <c r="F633" t="s">
        <v>1011</v>
      </c>
      <c r="G633" t="s">
        <v>1057</v>
      </c>
      <c r="H633" t="s">
        <v>1065</v>
      </c>
    </row>
    <row r="634" spans="2:8">
      <c r="B634" t="s">
        <v>388</v>
      </c>
      <c r="C634" t="s">
        <v>1012</v>
      </c>
      <c r="D634" t="s">
        <v>1012</v>
      </c>
      <c r="F634" t="s">
        <v>1012</v>
      </c>
      <c r="G634" t="s">
        <v>1057</v>
      </c>
      <c r="H634" t="s">
        <v>1065</v>
      </c>
    </row>
    <row r="635" spans="2:8">
      <c r="B635" t="s">
        <v>388</v>
      </c>
      <c r="C635" t="s">
        <v>1013</v>
      </c>
      <c r="D635" t="s">
        <v>1013</v>
      </c>
      <c r="F635" t="s">
        <v>1013</v>
      </c>
      <c r="G635" t="s">
        <v>1057</v>
      </c>
      <c r="H635" t="s">
        <v>1059</v>
      </c>
    </row>
    <row r="636" spans="2:8">
      <c r="B636" t="s">
        <v>388</v>
      </c>
      <c r="C636" t="s">
        <v>1014</v>
      </c>
      <c r="D636" t="s">
        <v>1014</v>
      </c>
      <c r="F636" t="s">
        <v>1014</v>
      </c>
      <c r="G636" t="s">
        <v>1057</v>
      </c>
      <c r="H636" t="s">
        <v>1065</v>
      </c>
    </row>
    <row r="637" spans="2:8">
      <c r="B637" t="s">
        <v>388</v>
      </c>
      <c r="C637" t="s">
        <v>1015</v>
      </c>
      <c r="D637" t="s">
        <v>1015</v>
      </c>
      <c r="F637" t="s">
        <v>1015</v>
      </c>
      <c r="G637" t="s">
        <v>1057</v>
      </c>
      <c r="H637" t="s">
        <v>1065</v>
      </c>
    </row>
    <row r="638" spans="2:8">
      <c r="B638" t="s">
        <v>388</v>
      </c>
      <c r="C638" t="s">
        <v>1016</v>
      </c>
      <c r="D638" t="s">
        <v>1016</v>
      </c>
      <c r="F638" t="s">
        <v>1016</v>
      </c>
      <c r="G638" t="s">
        <v>1057</v>
      </c>
      <c r="H638" t="s">
        <v>1065</v>
      </c>
    </row>
    <row r="639" spans="2:8">
      <c r="B639" t="s">
        <v>388</v>
      </c>
      <c r="C639" t="s">
        <v>1017</v>
      </c>
      <c r="D639" t="s">
        <v>1017</v>
      </c>
      <c r="F639" t="s">
        <v>1017</v>
      </c>
      <c r="G639" t="s">
        <v>1057</v>
      </c>
      <c r="H639" t="s">
        <v>1065</v>
      </c>
    </row>
    <row r="640" spans="2:8">
      <c r="B640" t="s">
        <v>388</v>
      </c>
      <c r="C640" t="s">
        <v>1018</v>
      </c>
      <c r="D640" t="s">
        <v>1018</v>
      </c>
      <c r="F640" t="s">
        <v>1018</v>
      </c>
      <c r="G640" t="s">
        <v>1057</v>
      </c>
      <c r="H640" t="s">
        <v>1065</v>
      </c>
    </row>
    <row r="641" spans="2:8">
      <c r="B641" t="s">
        <v>388</v>
      </c>
      <c r="C641" t="s">
        <v>1019</v>
      </c>
      <c r="D641" t="s">
        <v>1019</v>
      </c>
      <c r="F641" t="s">
        <v>1019</v>
      </c>
      <c r="G641" t="s">
        <v>1057</v>
      </c>
      <c r="H641" t="s">
        <v>1065</v>
      </c>
    </row>
    <row r="642" spans="2:8">
      <c r="B642" t="s">
        <v>388</v>
      </c>
      <c r="C642" t="s">
        <v>1020</v>
      </c>
      <c r="D642" t="s">
        <v>1020</v>
      </c>
      <c r="F642" t="s">
        <v>1020</v>
      </c>
      <c r="G642" t="s">
        <v>1057</v>
      </c>
      <c r="H642" t="s">
        <v>1065</v>
      </c>
    </row>
    <row r="643" spans="2:8">
      <c r="B643" t="s">
        <v>388</v>
      </c>
      <c r="C643" t="s">
        <v>1021</v>
      </c>
      <c r="D643" t="s">
        <v>1021</v>
      </c>
      <c r="F643" t="s">
        <v>1021</v>
      </c>
      <c r="G643" t="s">
        <v>1057</v>
      </c>
      <c r="H643" t="s">
        <v>1065</v>
      </c>
    </row>
    <row r="644" spans="2:8">
      <c r="B644" t="s">
        <v>388</v>
      </c>
      <c r="C644" t="s">
        <v>1022</v>
      </c>
      <c r="D644" t="s">
        <v>1022</v>
      </c>
      <c r="F644" t="s">
        <v>1022</v>
      </c>
      <c r="G644" t="s">
        <v>1057</v>
      </c>
      <c r="H644" t="s">
        <v>1065</v>
      </c>
    </row>
    <row r="645" spans="2:8">
      <c r="B645" t="s">
        <v>388</v>
      </c>
      <c r="C645" t="s">
        <v>1023</v>
      </c>
      <c r="D645" t="s">
        <v>1023</v>
      </c>
      <c r="F645" t="s">
        <v>1023</v>
      </c>
      <c r="G645" t="s">
        <v>1057</v>
      </c>
      <c r="H645" t="s">
        <v>1065</v>
      </c>
    </row>
    <row r="646" spans="2:8">
      <c r="B646" t="s">
        <v>388</v>
      </c>
      <c r="C646" t="s">
        <v>1024</v>
      </c>
      <c r="D646" t="s">
        <v>1024</v>
      </c>
      <c r="F646" t="s">
        <v>1024</v>
      </c>
      <c r="G646" t="s">
        <v>1057</v>
      </c>
      <c r="H646" t="s">
        <v>1065</v>
      </c>
    </row>
    <row r="647" spans="2:8">
      <c r="B647" t="s">
        <v>388</v>
      </c>
      <c r="C647" t="s">
        <v>1025</v>
      </c>
      <c r="D647" t="s">
        <v>1025</v>
      </c>
      <c r="F647" t="s">
        <v>1025</v>
      </c>
      <c r="G647" t="s">
        <v>1057</v>
      </c>
      <c r="H647" t="s">
        <v>1065</v>
      </c>
    </row>
    <row r="648" spans="2:8">
      <c r="B648" t="s">
        <v>388</v>
      </c>
      <c r="C648" t="s">
        <v>1026</v>
      </c>
      <c r="D648" t="s">
        <v>1026</v>
      </c>
      <c r="F648" t="s">
        <v>1026</v>
      </c>
      <c r="G648" t="s">
        <v>1057</v>
      </c>
      <c r="H648" t="s">
        <v>1059</v>
      </c>
    </row>
    <row r="649" spans="2:8">
      <c r="B649" t="s">
        <v>388</v>
      </c>
      <c r="C649" t="s">
        <v>1027</v>
      </c>
      <c r="D649" t="s">
        <v>1027</v>
      </c>
      <c r="F649" t="s">
        <v>1027</v>
      </c>
      <c r="G649" t="s">
        <v>1057</v>
      </c>
      <c r="H649" t="s">
        <v>1065</v>
      </c>
    </row>
    <row r="650" spans="2:8">
      <c r="B650" t="s">
        <v>388</v>
      </c>
      <c r="C650" t="s">
        <v>1028</v>
      </c>
      <c r="D650" t="s">
        <v>1028</v>
      </c>
      <c r="F650" t="s">
        <v>1028</v>
      </c>
      <c r="G650" t="s">
        <v>1057</v>
      </c>
      <c r="H650" t="s">
        <v>1065</v>
      </c>
    </row>
    <row r="651" spans="2:8">
      <c r="B651" t="s">
        <v>388</v>
      </c>
      <c r="C651" t="s">
        <v>1029</v>
      </c>
      <c r="D651" t="s">
        <v>1029</v>
      </c>
      <c r="F651" t="s">
        <v>1029</v>
      </c>
      <c r="G651" t="s">
        <v>1057</v>
      </c>
      <c r="H651" t="s">
        <v>1065</v>
      </c>
    </row>
    <row r="652" spans="2:8">
      <c r="B652" t="s">
        <v>388</v>
      </c>
      <c r="C652" t="s">
        <v>1030</v>
      </c>
      <c r="D652" t="s">
        <v>1030</v>
      </c>
      <c r="F652" t="s">
        <v>1030</v>
      </c>
      <c r="G652" t="s">
        <v>1057</v>
      </c>
      <c r="H652" t="s">
        <v>1065</v>
      </c>
    </row>
    <row r="653" spans="2:8">
      <c r="B653" t="s">
        <v>388</v>
      </c>
      <c r="C653" t="s">
        <v>1031</v>
      </c>
      <c r="D653" t="s">
        <v>1031</v>
      </c>
      <c r="F653" t="s">
        <v>1031</v>
      </c>
      <c r="G653" t="s">
        <v>1057</v>
      </c>
      <c r="H653" t="s">
        <v>1065</v>
      </c>
    </row>
    <row r="654" spans="2:8">
      <c r="B654" t="s">
        <v>388</v>
      </c>
      <c r="C654" t="s">
        <v>1032</v>
      </c>
      <c r="D654" t="s">
        <v>1032</v>
      </c>
      <c r="F654" t="s">
        <v>1032</v>
      </c>
      <c r="G654" t="s">
        <v>1057</v>
      </c>
      <c r="H654" t="s">
        <v>1065</v>
      </c>
    </row>
    <row r="655" spans="2:8">
      <c r="B655" t="s">
        <v>388</v>
      </c>
      <c r="C655" t="s">
        <v>1033</v>
      </c>
      <c r="D655" t="s">
        <v>1033</v>
      </c>
      <c r="F655" t="s">
        <v>1033</v>
      </c>
      <c r="G655" t="s">
        <v>1057</v>
      </c>
      <c r="H655" t="s">
        <v>1065</v>
      </c>
    </row>
    <row r="656" spans="2:8">
      <c r="B656" t="s">
        <v>388</v>
      </c>
      <c r="C656" t="s">
        <v>1034</v>
      </c>
      <c r="D656" t="s">
        <v>1034</v>
      </c>
      <c r="F656" t="s">
        <v>1034</v>
      </c>
      <c r="G656" t="s">
        <v>1057</v>
      </c>
      <c r="H656" t="s">
        <v>1065</v>
      </c>
    </row>
    <row r="657" spans="2:8">
      <c r="B657" t="s">
        <v>388</v>
      </c>
      <c r="C657" t="s">
        <v>1035</v>
      </c>
      <c r="D657" t="s">
        <v>1035</v>
      </c>
      <c r="F657" t="s">
        <v>1035</v>
      </c>
      <c r="G657" t="s">
        <v>1057</v>
      </c>
      <c r="H657" t="s">
        <v>1059</v>
      </c>
    </row>
    <row r="658" spans="2:8">
      <c r="B658" t="s">
        <v>388</v>
      </c>
      <c r="C658" t="s">
        <v>1036</v>
      </c>
      <c r="D658" t="s">
        <v>1036</v>
      </c>
      <c r="F658" t="s">
        <v>1036</v>
      </c>
      <c r="G658" t="s">
        <v>1057</v>
      </c>
      <c r="H658" t="s">
        <v>1065</v>
      </c>
    </row>
    <row r="659" spans="2:8">
      <c r="B659" t="s">
        <v>388</v>
      </c>
      <c r="C659" t="s">
        <v>1037</v>
      </c>
      <c r="D659" t="s">
        <v>1037</v>
      </c>
      <c r="F659" t="s">
        <v>1037</v>
      </c>
      <c r="G659" t="s">
        <v>1057</v>
      </c>
      <c r="H659" t="s">
        <v>1065</v>
      </c>
    </row>
    <row r="660" spans="2:8">
      <c r="B660" t="s">
        <v>388</v>
      </c>
      <c r="C660" t="s">
        <v>1038</v>
      </c>
      <c r="D660" t="s">
        <v>1038</v>
      </c>
      <c r="F660" t="s">
        <v>1038</v>
      </c>
      <c r="G660" t="s">
        <v>1057</v>
      </c>
      <c r="H660" t="s">
        <v>1065</v>
      </c>
    </row>
    <row r="661" spans="2:8">
      <c r="B661" t="s">
        <v>388</v>
      </c>
      <c r="C661" t="s">
        <v>1039</v>
      </c>
      <c r="D661" t="s">
        <v>1039</v>
      </c>
      <c r="F661" t="s">
        <v>1039</v>
      </c>
      <c r="G661" t="s">
        <v>1057</v>
      </c>
      <c r="H661" t="s">
        <v>1059</v>
      </c>
    </row>
    <row r="662" spans="2:8">
      <c r="B662" t="s">
        <v>388</v>
      </c>
      <c r="C662" t="s">
        <v>1040</v>
      </c>
      <c r="D662" t="s">
        <v>1040</v>
      </c>
      <c r="F662" t="s">
        <v>1040</v>
      </c>
      <c r="G662" t="s">
        <v>1057</v>
      </c>
      <c r="H662" t="s">
        <v>1059</v>
      </c>
    </row>
    <row r="663" spans="2:8">
      <c r="B663" t="s">
        <v>388</v>
      </c>
      <c r="C663" t="s">
        <v>1041</v>
      </c>
      <c r="D663" t="s">
        <v>1041</v>
      </c>
      <c r="F663" t="s">
        <v>1041</v>
      </c>
      <c r="G663" t="s">
        <v>1057</v>
      </c>
      <c r="H663" t="s">
        <v>1065</v>
      </c>
    </row>
    <row r="664" spans="2:8">
      <c r="B664" t="s">
        <v>388</v>
      </c>
      <c r="C664" t="s">
        <v>1042</v>
      </c>
      <c r="D664" t="s">
        <v>1042</v>
      </c>
      <c r="F664" t="s">
        <v>1042</v>
      </c>
      <c r="G664" t="s">
        <v>1057</v>
      </c>
      <c r="H664" t="s">
        <v>1065</v>
      </c>
    </row>
    <row r="665" spans="2:8">
      <c r="B665" t="s">
        <v>388</v>
      </c>
      <c r="C665" t="s">
        <v>1043</v>
      </c>
      <c r="D665" t="s">
        <v>1043</v>
      </c>
      <c r="F665" t="s">
        <v>1043</v>
      </c>
      <c r="G665" t="s">
        <v>1057</v>
      </c>
      <c r="H665" t="s">
        <v>1065</v>
      </c>
    </row>
    <row r="666" spans="2:8">
      <c r="B666" t="s">
        <v>388</v>
      </c>
      <c r="C666" t="s">
        <v>1044</v>
      </c>
      <c r="D666" t="s">
        <v>1044</v>
      </c>
      <c r="F666" t="s">
        <v>1044</v>
      </c>
      <c r="G666" t="s">
        <v>1057</v>
      </c>
      <c r="H666" t="s">
        <v>1065</v>
      </c>
    </row>
    <row r="667" spans="2:8">
      <c r="B667" t="s">
        <v>388</v>
      </c>
      <c r="C667" t="s">
        <v>1045</v>
      </c>
      <c r="D667" t="s">
        <v>1045</v>
      </c>
      <c r="F667" t="s">
        <v>1045</v>
      </c>
      <c r="G667" t="s">
        <v>1057</v>
      </c>
      <c r="H667" t="s">
        <v>1065</v>
      </c>
    </row>
    <row r="668" spans="2:8">
      <c r="B668" t="s">
        <v>388</v>
      </c>
      <c r="C668" t="s">
        <v>1046</v>
      </c>
      <c r="D668" t="s">
        <v>1046</v>
      </c>
      <c r="F668" t="s">
        <v>1046</v>
      </c>
      <c r="G668" t="s">
        <v>1057</v>
      </c>
      <c r="H668" t="s">
        <v>1065</v>
      </c>
    </row>
    <row r="669" spans="2:8">
      <c r="B669" t="s">
        <v>388</v>
      </c>
      <c r="C669" t="s">
        <v>1047</v>
      </c>
      <c r="D669" t="s">
        <v>1047</v>
      </c>
      <c r="F669" t="s">
        <v>1047</v>
      </c>
      <c r="G669" t="s">
        <v>1057</v>
      </c>
      <c r="H669" t="s">
        <v>1065</v>
      </c>
    </row>
    <row r="670" spans="2:8">
      <c r="B670" t="s">
        <v>388</v>
      </c>
      <c r="C670" t="s">
        <v>1048</v>
      </c>
      <c r="D670" t="s">
        <v>1048</v>
      </c>
      <c r="F670" t="s">
        <v>1048</v>
      </c>
      <c r="G670" t="s">
        <v>1057</v>
      </c>
      <c r="H670" t="s">
        <v>1065</v>
      </c>
    </row>
    <row r="671" spans="2:8">
      <c r="B671" t="s">
        <v>388</v>
      </c>
      <c r="C671" t="s">
        <v>1049</v>
      </c>
      <c r="D671" t="s">
        <v>1049</v>
      </c>
      <c r="F671" t="s">
        <v>1049</v>
      </c>
      <c r="G671" t="s">
        <v>1057</v>
      </c>
      <c r="H671" t="s">
        <v>1065</v>
      </c>
    </row>
    <row r="672" spans="2:8">
      <c r="B672" t="s">
        <v>388</v>
      </c>
      <c r="C672" t="s">
        <v>1050</v>
      </c>
      <c r="D672" t="s">
        <v>1050</v>
      </c>
      <c r="F672" t="s">
        <v>1050</v>
      </c>
      <c r="G672" t="s">
        <v>1057</v>
      </c>
      <c r="H672" t="s">
        <v>1065</v>
      </c>
    </row>
    <row r="673" spans="2:8">
      <c r="B673" t="s">
        <v>388</v>
      </c>
      <c r="C673" t="s">
        <v>1051</v>
      </c>
      <c r="D673" t="s">
        <v>1051</v>
      </c>
      <c r="F673" t="s">
        <v>1051</v>
      </c>
      <c r="G673" t="s">
        <v>1057</v>
      </c>
      <c r="H673" t="s">
        <v>1065</v>
      </c>
    </row>
    <row r="674" spans="2:8">
      <c r="B674" t="s">
        <v>388</v>
      </c>
      <c r="C674" t="s">
        <v>1052</v>
      </c>
      <c r="D674" t="s">
        <v>1052</v>
      </c>
      <c r="F674" t="s">
        <v>1052</v>
      </c>
      <c r="G674" t="s">
        <v>1057</v>
      </c>
      <c r="H674" t="s">
        <v>1065</v>
      </c>
    </row>
    <row r="675" spans="2:8">
      <c r="B675" t="s">
        <v>388</v>
      </c>
      <c r="C675" t="s">
        <v>1053</v>
      </c>
      <c r="D675" t="s">
        <v>1053</v>
      </c>
      <c r="F675" t="s">
        <v>1053</v>
      </c>
      <c r="G675" t="s">
        <v>1057</v>
      </c>
      <c r="H675" t="s">
        <v>1065</v>
      </c>
    </row>
    <row r="676" spans="2:8">
      <c r="B676" t="s">
        <v>388</v>
      </c>
      <c r="C676" t="s">
        <v>1054</v>
      </c>
      <c r="D676" t="s">
        <v>1054</v>
      </c>
      <c r="F676" t="s">
        <v>1054</v>
      </c>
      <c r="G676" t="s">
        <v>1057</v>
      </c>
      <c r="H676" t="s">
        <v>1065</v>
      </c>
    </row>
    <row r="677" spans="2:8">
      <c r="B677" t="s">
        <v>388</v>
      </c>
      <c r="C677" t="s">
        <v>1055</v>
      </c>
      <c r="D677" t="s">
        <v>1055</v>
      </c>
      <c r="F677" t="s">
        <v>1055</v>
      </c>
      <c r="G677" t="s">
        <v>1057</v>
      </c>
      <c r="H677" t="s">
        <v>1065</v>
      </c>
    </row>
    <row r="678" spans="2:8">
      <c r="B678" t="s">
        <v>388</v>
      </c>
      <c r="C678" t="s">
        <v>1056</v>
      </c>
      <c r="D678" t="s">
        <v>1056</v>
      </c>
      <c r="F678" t="s">
        <v>1056</v>
      </c>
      <c r="G678" t="s">
        <v>1057</v>
      </c>
      <c r="H678" t="s">
        <v>1065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1"/>
  <dimension ref="B1:X75"/>
  <sheetViews>
    <sheetView zoomScaleNormal="100" workbookViewId="0">
      <selection activeCell="A3" sqref="A3"/>
    </sheetView>
  </sheetViews>
  <sheetFormatPr defaultColWidth="14.73046875" defaultRowHeight="14.25"/>
  <cols>
    <col min="1" max="1" width="2.73046875" bestFit="1" customWidth="1"/>
    <col min="2" max="2" width="19.86328125" bestFit="1" customWidth="1"/>
    <col min="3" max="3" width="19.59765625" bestFit="1" customWidth="1"/>
    <col min="4" max="4" width="10.59765625" bestFit="1" customWidth="1"/>
    <col min="5" max="5" width="5" bestFit="1" customWidth="1"/>
    <col min="8" max="8" width="19.59765625" bestFit="1" customWidth="1"/>
    <col min="9" max="9" width="15.59765625" bestFit="1" customWidth="1"/>
    <col min="10" max="10" width="10.33203125" bestFit="1" customWidth="1"/>
    <col min="14" max="14" width="6.53125" bestFit="1" customWidth="1"/>
    <col min="15" max="15" width="19.19921875" bestFit="1" customWidth="1"/>
    <col min="16" max="16" width="7.06640625" bestFit="1" customWidth="1"/>
    <col min="17" max="17" width="9.6640625" bestFit="1" customWidth="1"/>
    <col min="18" max="18" width="6.53125" bestFit="1" customWidth="1"/>
    <col min="19" max="19" width="2.73046875" bestFit="1" customWidth="1"/>
    <col min="20" max="20" width="9.6640625" bestFit="1" customWidth="1"/>
    <col min="21" max="21" width="6.33203125" bestFit="1" customWidth="1"/>
    <col min="22" max="22" width="6.33203125" customWidth="1"/>
    <col min="23" max="23" width="2.73046875" bestFit="1" customWidth="1"/>
    <col min="24" max="24" width="13.06640625" bestFit="1" customWidth="1"/>
  </cols>
  <sheetData>
    <row r="1" spans="2:24">
      <c r="I1" t="s">
        <v>37</v>
      </c>
    </row>
    <row r="2" spans="2:24">
      <c r="I2" t="s">
        <v>260</v>
      </c>
      <c r="J2" t="s">
        <v>124</v>
      </c>
    </row>
    <row r="4" spans="2:24">
      <c r="B4" t="s">
        <v>62</v>
      </c>
      <c r="H4" t="s">
        <v>63</v>
      </c>
      <c r="O4" t="s">
        <v>296</v>
      </c>
    </row>
    <row r="5" spans="2:24">
      <c r="B5" t="s">
        <v>20</v>
      </c>
      <c r="C5" t="s">
        <v>2</v>
      </c>
      <c r="D5" t="s">
        <v>1</v>
      </c>
      <c r="E5" t="s">
        <v>10</v>
      </c>
      <c r="H5" t="s">
        <v>9</v>
      </c>
      <c r="I5" t="str">
        <f>"sg_"&amp;I2</f>
        <v>sg_ar6_r10</v>
      </c>
      <c r="J5" t="str">
        <f>"sg_"&amp;J2</f>
        <v>sg_timeslice</v>
      </c>
      <c r="N5" t="s">
        <v>297</v>
      </c>
      <c r="O5" t="s">
        <v>298</v>
      </c>
      <c r="P5" t="s">
        <v>299</v>
      </c>
      <c r="Q5" t="s">
        <v>124</v>
      </c>
      <c r="R5" t="s">
        <v>300</v>
      </c>
    </row>
    <row r="6" spans="2:24">
      <c r="B6" t="str">
        <f>"vs~"&amp;TEXT(P6,"0000")</f>
        <v>vs~0001</v>
      </c>
      <c r="C6" t="str">
        <f>H6</f>
        <v>e 1.5 deg no OS.kAnn</v>
      </c>
      <c r="H6" t="str">
        <f>_xlfn.TEXTJOIN(".",TRUE,I6:J6)</f>
        <v>e 1.5 deg no OS.kAnn</v>
      </c>
      <c r="I6" t="str">
        <f>VLOOKUP(R6,$W$6:$X$12,2,FALSE)</f>
        <v>e 1.5 deg no OS</v>
      </c>
      <c r="J6" t="str">
        <f>VLOOKUP(Q6,$T$6:$U$20,2,FALSE)</f>
        <v>kAnn</v>
      </c>
      <c r="L6" t="s">
        <v>250</v>
      </c>
      <c r="N6">
        <v>5</v>
      </c>
      <c r="O6" t="s">
        <v>301</v>
      </c>
      <c r="P6">
        <v>1</v>
      </c>
      <c r="Q6" t="s">
        <v>238</v>
      </c>
      <c r="R6" t="s">
        <v>285</v>
      </c>
      <c r="T6" t="s">
        <v>238</v>
      </c>
      <c r="U6" t="s">
        <v>379</v>
      </c>
      <c r="W6" t="s">
        <v>285</v>
      </c>
      <c r="X6" t="s">
        <v>258</v>
      </c>
    </row>
    <row r="7" spans="2:24">
      <c r="B7" t="str">
        <f t="shared" ref="B7:B60" si="0">"vs~"&amp;TEXT(P7,"0000")</f>
        <v>vs~0002</v>
      </c>
      <c r="C7" t="str">
        <f t="shared" ref="C7:C26" si="1">H7</f>
        <v>d 1.5 deg OS.kAnn</v>
      </c>
      <c r="H7" t="str">
        <f t="shared" ref="H7:H60" si="2">_xlfn.TEXTJOIN(".",TRUE,I7:J7)</f>
        <v>d 1.5 deg OS.kAnn</v>
      </c>
      <c r="I7" t="str">
        <f t="shared" ref="I7:I60" si="3">VLOOKUP(R7,$W$6:$X$12,2,FALSE)</f>
        <v>d 1.5 deg OS</v>
      </c>
      <c r="J7" t="str">
        <f t="shared" ref="J7:J60" si="4">VLOOKUP(Q7,$T$6:$U$20,2,FALSE)</f>
        <v>kAnn</v>
      </c>
      <c r="L7" t="s">
        <v>251</v>
      </c>
      <c r="N7">
        <v>5</v>
      </c>
      <c r="O7" t="s">
        <v>302</v>
      </c>
      <c r="P7">
        <v>2</v>
      </c>
      <c r="Q7" t="s">
        <v>238</v>
      </c>
      <c r="R7" t="s">
        <v>286</v>
      </c>
      <c r="T7" t="s">
        <v>307</v>
      </c>
      <c r="U7" t="s">
        <v>380</v>
      </c>
      <c r="W7" t="s">
        <v>286</v>
      </c>
      <c r="X7" t="s">
        <v>257</v>
      </c>
    </row>
    <row r="8" spans="2:24">
      <c r="B8" t="str">
        <f t="shared" si="0"/>
        <v>vs~0003</v>
      </c>
      <c r="C8" t="str">
        <f t="shared" si="1"/>
        <v>c 2 deg (67%).kAnn</v>
      </c>
      <c r="H8" t="str">
        <f t="shared" si="2"/>
        <v>c 2 deg (67%).kAnn</v>
      </c>
      <c r="I8" t="str">
        <f t="shared" si="3"/>
        <v>c 2 deg (67%)</v>
      </c>
      <c r="J8" t="str">
        <f t="shared" si="4"/>
        <v>kAnn</v>
      </c>
      <c r="L8" t="s">
        <v>252</v>
      </c>
      <c r="N8">
        <v>5</v>
      </c>
      <c r="O8" t="s">
        <v>303</v>
      </c>
      <c r="P8">
        <v>3</v>
      </c>
      <c r="Q8" t="s">
        <v>238</v>
      </c>
      <c r="R8" t="s">
        <v>287</v>
      </c>
      <c r="T8" t="s">
        <v>313</v>
      </c>
      <c r="U8" t="s">
        <v>381</v>
      </c>
      <c r="W8" t="s">
        <v>287</v>
      </c>
      <c r="X8" t="s">
        <v>256</v>
      </c>
    </row>
    <row r="9" spans="2:24">
      <c r="B9" t="str">
        <f t="shared" si="0"/>
        <v>vs~0004</v>
      </c>
      <c r="C9" t="str">
        <f t="shared" si="1"/>
        <v>b 2 deg (50%).kAnn</v>
      </c>
      <c r="H9" t="str">
        <f t="shared" si="2"/>
        <v>b 2 deg (50%).kAnn</v>
      </c>
      <c r="I9" t="str">
        <f t="shared" si="3"/>
        <v>b 2 deg (50%)</v>
      </c>
      <c r="J9" t="str">
        <f t="shared" si="4"/>
        <v>kAnn</v>
      </c>
      <c r="L9" t="s">
        <v>253</v>
      </c>
      <c r="N9">
        <v>5</v>
      </c>
      <c r="O9" t="s">
        <v>304</v>
      </c>
      <c r="P9">
        <v>4</v>
      </c>
      <c r="Q9" t="s">
        <v>238</v>
      </c>
      <c r="R9" t="s">
        <v>288</v>
      </c>
      <c r="T9" t="s">
        <v>319</v>
      </c>
      <c r="U9" t="s">
        <v>382</v>
      </c>
      <c r="W9" t="s">
        <v>288</v>
      </c>
      <c r="X9" t="s">
        <v>255</v>
      </c>
    </row>
    <row r="10" spans="2:24">
      <c r="B10" t="str">
        <f t="shared" si="0"/>
        <v>vs~0005</v>
      </c>
      <c r="C10" t="str">
        <f t="shared" si="1"/>
        <v>a 3 deg.kAnn</v>
      </c>
      <c r="H10" t="str">
        <f t="shared" si="2"/>
        <v>a 3 deg.kAnn</v>
      </c>
      <c r="I10" t="str">
        <f t="shared" si="3"/>
        <v>a 3 deg</v>
      </c>
      <c r="J10" t="str">
        <f t="shared" si="4"/>
        <v>kAnn</v>
      </c>
      <c r="L10" t="s">
        <v>254</v>
      </c>
      <c r="N10">
        <v>5</v>
      </c>
      <c r="O10" t="s">
        <v>305</v>
      </c>
      <c r="P10">
        <v>5</v>
      </c>
      <c r="Q10" t="s">
        <v>238</v>
      </c>
      <c r="R10" t="s">
        <v>289</v>
      </c>
      <c r="T10" t="s">
        <v>325</v>
      </c>
      <c r="U10" t="s">
        <v>383</v>
      </c>
      <c r="W10" t="s">
        <v>289</v>
      </c>
      <c r="X10" t="s">
        <v>259</v>
      </c>
    </row>
    <row r="11" spans="2:24">
      <c r="B11" t="str">
        <f t="shared" si="0"/>
        <v>vs~0006</v>
      </c>
      <c r="C11" t="str">
        <f t="shared" si="1"/>
        <v>e 1.5 deg no OS.k12</v>
      </c>
      <c r="H11" t="str">
        <f t="shared" si="2"/>
        <v>e 1.5 deg no OS.k12</v>
      </c>
      <c r="I11" t="str">
        <f t="shared" si="3"/>
        <v>e 1.5 deg no OS</v>
      </c>
      <c r="J11" t="str">
        <f t="shared" si="4"/>
        <v>k12</v>
      </c>
      <c r="N11">
        <v>5</v>
      </c>
      <c r="O11" t="s">
        <v>306</v>
      </c>
      <c r="P11">
        <v>6</v>
      </c>
      <c r="Q11" t="s">
        <v>307</v>
      </c>
      <c r="R11" t="s">
        <v>285</v>
      </c>
      <c r="T11" t="s">
        <v>331</v>
      </c>
      <c r="U11" t="s">
        <v>384</v>
      </c>
    </row>
    <row r="12" spans="2:24">
      <c r="B12" t="str">
        <f t="shared" si="0"/>
        <v>vs~0007</v>
      </c>
      <c r="C12" t="str">
        <f t="shared" si="1"/>
        <v>d 1.5 deg OS.k12</v>
      </c>
      <c r="H12" t="str">
        <f t="shared" si="2"/>
        <v>d 1.5 deg OS.k12</v>
      </c>
      <c r="I12" t="str">
        <f t="shared" si="3"/>
        <v>d 1.5 deg OS</v>
      </c>
      <c r="J12" t="str">
        <f t="shared" si="4"/>
        <v>k12</v>
      </c>
      <c r="N12">
        <v>5</v>
      </c>
      <c r="O12" t="s">
        <v>308</v>
      </c>
      <c r="P12">
        <v>7</v>
      </c>
      <c r="Q12" t="s">
        <v>307</v>
      </c>
      <c r="R12" t="s">
        <v>286</v>
      </c>
      <c r="T12" t="s">
        <v>337</v>
      </c>
      <c r="U12" t="s">
        <v>385</v>
      </c>
    </row>
    <row r="13" spans="2:24">
      <c r="B13" t="str">
        <f t="shared" si="0"/>
        <v>vs~0008</v>
      </c>
      <c r="C13" t="str">
        <f t="shared" si="1"/>
        <v>c 2 deg (67%).k12</v>
      </c>
      <c r="H13" t="str">
        <f t="shared" si="2"/>
        <v>c 2 deg (67%).k12</v>
      </c>
      <c r="I13" t="str">
        <f t="shared" si="3"/>
        <v>c 2 deg (67%)</v>
      </c>
      <c r="J13" t="str">
        <f t="shared" si="4"/>
        <v>k12</v>
      </c>
      <c r="N13">
        <v>5</v>
      </c>
      <c r="O13" t="s">
        <v>309</v>
      </c>
      <c r="P13">
        <v>8</v>
      </c>
      <c r="Q13" t="s">
        <v>307</v>
      </c>
      <c r="R13" t="s">
        <v>287</v>
      </c>
      <c r="T13" t="s">
        <v>343</v>
      </c>
      <c r="U13" t="s">
        <v>386</v>
      </c>
    </row>
    <row r="14" spans="2:24">
      <c r="B14" t="str">
        <f t="shared" si="0"/>
        <v>vs~0009</v>
      </c>
      <c r="C14" t="str">
        <f t="shared" si="1"/>
        <v>b 2 deg (50%).k12</v>
      </c>
      <c r="H14" t="str">
        <f t="shared" si="2"/>
        <v>b 2 deg (50%).k12</v>
      </c>
      <c r="I14" t="str">
        <f t="shared" si="3"/>
        <v>b 2 deg (50%)</v>
      </c>
      <c r="J14" t="str">
        <f t="shared" si="4"/>
        <v>k12</v>
      </c>
      <c r="N14">
        <v>5</v>
      </c>
      <c r="O14" t="s">
        <v>310</v>
      </c>
      <c r="P14">
        <v>9</v>
      </c>
      <c r="Q14" t="s">
        <v>307</v>
      </c>
      <c r="R14" t="s">
        <v>288</v>
      </c>
      <c r="T14" t="s">
        <v>349</v>
      </c>
      <c r="U14" t="s">
        <v>387</v>
      </c>
    </row>
    <row r="15" spans="2:24">
      <c r="B15" t="str">
        <f t="shared" si="0"/>
        <v>vs~0010</v>
      </c>
      <c r="C15" t="str">
        <f t="shared" si="1"/>
        <v>a 3 deg.k12</v>
      </c>
      <c r="H15" t="str">
        <f t="shared" si="2"/>
        <v>a 3 deg.k12</v>
      </c>
      <c r="I15" t="str">
        <f t="shared" si="3"/>
        <v>a 3 deg</v>
      </c>
      <c r="J15" t="str">
        <f t="shared" si="4"/>
        <v>k12</v>
      </c>
      <c r="N15">
        <v>5</v>
      </c>
      <c r="O15" t="s">
        <v>311</v>
      </c>
      <c r="P15">
        <v>10</v>
      </c>
      <c r="Q15" t="s">
        <v>307</v>
      </c>
      <c r="R15" t="s">
        <v>289</v>
      </c>
      <c r="T15" t="s">
        <v>230</v>
      </c>
      <c r="U15" t="s">
        <v>244</v>
      </c>
    </row>
    <row r="16" spans="2:24">
      <c r="B16" t="str">
        <f t="shared" si="0"/>
        <v>vs~0011</v>
      </c>
      <c r="C16" t="str">
        <f t="shared" si="1"/>
        <v>e 1.5 deg no OS.j12</v>
      </c>
      <c r="H16" t="str">
        <f t="shared" si="2"/>
        <v>e 1.5 deg no OS.j12</v>
      </c>
      <c r="I16" t="str">
        <f t="shared" si="3"/>
        <v>e 1.5 deg no OS</v>
      </c>
      <c r="J16" t="str">
        <f t="shared" si="4"/>
        <v>j12</v>
      </c>
      <c r="N16">
        <v>5</v>
      </c>
      <c r="O16" t="s">
        <v>312</v>
      </c>
      <c r="P16">
        <v>11</v>
      </c>
      <c r="Q16" t="s">
        <v>313</v>
      </c>
      <c r="R16" t="s">
        <v>285</v>
      </c>
      <c r="T16" t="s">
        <v>231</v>
      </c>
      <c r="U16" t="s">
        <v>241</v>
      </c>
    </row>
    <row r="17" spans="2:21">
      <c r="B17" t="str">
        <f t="shared" si="0"/>
        <v>vs~0012</v>
      </c>
      <c r="C17" t="str">
        <f t="shared" si="1"/>
        <v>d 1.5 deg OS.j12</v>
      </c>
      <c r="H17" t="str">
        <f t="shared" si="2"/>
        <v>d 1.5 deg OS.j12</v>
      </c>
      <c r="I17" t="str">
        <f t="shared" si="3"/>
        <v>d 1.5 deg OS</v>
      </c>
      <c r="J17" t="str">
        <f t="shared" si="4"/>
        <v>j12</v>
      </c>
      <c r="N17">
        <v>5</v>
      </c>
      <c r="O17" t="s">
        <v>314</v>
      </c>
      <c r="P17">
        <v>12</v>
      </c>
      <c r="Q17" t="s">
        <v>313</v>
      </c>
      <c r="R17" t="s">
        <v>286</v>
      </c>
      <c r="T17" t="s">
        <v>237</v>
      </c>
      <c r="U17" t="s">
        <v>243</v>
      </c>
    </row>
    <row r="18" spans="2:21">
      <c r="B18" t="str">
        <f t="shared" si="0"/>
        <v>vs~0013</v>
      </c>
      <c r="C18" t="str">
        <f t="shared" si="1"/>
        <v>c 2 deg (67%).j12</v>
      </c>
      <c r="H18" t="str">
        <f t="shared" si="2"/>
        <v>c 2 deg (67%).j12</v>
      </c>
      <c r="I18" t="str">
        <f t="shared" si="3"/>
        <v>c 2 deg (67%)</v>
      </c>
      <c r="J18" t="str">
        <f t="shared" si="4"/>
        <v>j12</v>
      </c>
      <c r="N18">
        <v>5</v>
      </c>
      <c r="O18" t="s">
        <v>315</v>
      </c>
      <c r="P18">
        <v>13</v>
      </c>
      <c r="Q18" t="s">
        <v>313</v>
      </c>
      <c r="R18" t="s">
        <v>287</v>
      </c>
      <c r="T18" t="s">
        <v>232</v>
      </c>
      <c r="U18" t="s">
        <v>242</v>
      </c>
    </row>
    <row r="19" spans="2:21">
      <c r="B19" t="str">
        <f t="shared" si="0"/>
        <v>vs~0014</v>
      </c>
      <c r="C19" t="str">
        <f t="shared" si="1"/>
        <v>b 2 deg (50%).j12</v>
      </c>
      <c r="H19" t="str">
        <f t="shared" si="2"/>
        <v>b 2 deg (50%).j12</v>
      </c>
      <c r="I19" t="str">
        <f t="shared" si="3"/>
        <v>b 2 deg (50%)</v>
      </c>
      <c r="J19" t="str">
        <f t="shared" si="4"/>
        <v>j12</v>
      </c>
      <c r="N19">
        <v>5</v>
      </c>
      <c r="O19" t="s">
        <v>316</v>
      </c>
      <c r="P19">
        <v>14</v>
      </c>
      <c r="Q19" t="s">
        <v>313</v>
      </c>
      <c r="R19" t="s">
        <v>288</v>
      </c>
      <c r="T19" t="s">
        <v>233</v>
      </c>
      <c r="U19" t="s">
        <v>240</v>
      </c>
    </row>
    <row r="20" spans="2:21">
      <c r="B20" t="str">
        <f t="shared" si="0"/>
        <v>vs~0015</v>
      </c>
      <c r="C20" t="str">
        <f t="shared" si="1"/>
        <v>a 3 deg.j12</v>
      </c>
      <c r="H20" t="str">
        <f t="shared" si="2"/>
        <v>a 3 deg.j12</v>
      </c>
      <c r="I20" t="str">
        <f t="shared" si="3"/>
        <v>a 3 deg</v>
      </c>
      <c r="J20" t="str">
        <f t="shared" si="4"/>
        <v>j12</v>
      </c>
      <c r="N20">
        <v>5</v>
      </c>
      <c r="O20" t="s">
        <v>317</v>
      </c>
      <c r="P20">
        <v>15</v>
      </c>
      <c r="Q20" t="s">
        <v>313</v>
      </c>
      <c r="R20" t="s">
        <v>289</v>
      </c>
    </row>
    <row r="21" spans="2:21">
      <c r="B21" t="str">
        <f t="shared" si="0"/>
        <v>vs~0016</v>
      </c>
      <c r="C21" t="str">
        <f t="shared" si="1"/>
        <v>e 1.5 deg no OS.i24</v>
      </c>
      <c r="H21" t="str">
        <f t="shared" si="2"/>
        <v>e 1.5 deg no OS.i24</v>
      </c>
      <c r="I21" t="str">
        <f t="shared" si="3"/>
        <v>e 1.5 deg no OS</v>
      </c>
      <c r="J21" t="str">
        <f t="shared" si="4"/>
        <v>i24</v>
      </c>
      <c r="N21">
        <v>5</v>
      </c>
      <c r="O21" t="s">
        <v>318</v>
      </c>
      <c r="P21">
        <v>16</v>
      </c>
      <c r="Q21" t="s">
        <v>319</v>
      </c>
      <c r="R21" t="s">
        <v>285</v>
      </c>
    </row>
    <row r="22" spans="2:21">
      <c r="B22" t="str">
        <f t="shared" si="0"/>
        <v>vs~0017</v>
      </c>
      <c r="C22" t="str">
        <f t="shared" si="1"/>
        <v>d 1.5 deg OS.i24</v>
      </c>
      <c r="H22" t="str">
        <f t="shared" si="2"/>
        <v>d 1.5 deg OS.i24</v>
      </c>
      <c r="I22" t="str">
        <f t="shared" si="3"/>
        <v>d 1.5 deg OS</v>
      </c>
      <c r="J22" t="str">
        <f t="shared" si="4"/>
        <v>i24</v>
      </c>
      <c r="N22">
        <v>5</v>
      </c>
      <c r="O22" t="s">
        <v>320</v>
      </c>
      <c r="P22">
        <v>17</v>
      </c>
      <c r="Q22" t="s">
        <v>319</v>
      </c>
      <c r="R22" t="s">
        <v>286</v>
      </c>
    </row>
    <row r="23" spans="2:21">
      <c r="B23" t="str">
        <f t="shared" si="0"/>
        <v>vs~0018</v>
      </c>
      <c r="C23" t="str">
        <f t="shared" si="1"/>
        <v>c 2 deg (67%).i24</v>
      </c>
      <c r="H23" t="str">
        <f t="shared" si="2"/>
        <v>c 2 deg (67%).i24</v>
      </c>
      <c r="I23" t="str">
        <f t="shared" si="3"/>
        <v>c 2 deg (67%)</v>
      </c>
      <c r="J23" t="str">
        <f t="shared" si="4"/>
        <v>i24</v>
      </c>
      <c r="N23">
        <v>5</v>
      </c>
      <c r="O23" t="s">
        <v>321</v>
      </c>
      <c r="P23">
        <v>18</v>
      </c>
      <c r="Q23" t="s">
        <v>319</v>
      </c>
      <c r="R23" t="s">
        <v>287</v>
      </c>
    </row>
    <row r="24" spans="2:21">
      <c r="B24" t="str">
        <f t="shared" si="0"/>
        <v>vs~0019</v>
      </c>
      <c r="C24" t="str">
        <f t="shared" si="1"/>
        <v>b 2 deg (50%).i24</v>
      </c>
      <c r="H24" t="str">
        <f t="shared" si="2"/>
        <v>b 2 deg (50%).i24</v>
      </c>
      <c r="I24" t="str">
        <f t="shared" si="3"/>
        <v>b 2 deg (50%)</v>
      </c>
      <c r="J24" t="str">
        <f t="shared" si="4"/>
        <v>i24</v>
      </c>
      <c r="N24">
        <v>5</v>
      </c>
      <c r="O24" t="s">
        <v>322</v>
      </c>
      <c r="P24">
        <v>19</v>
      </c>
      <c r="Q24" t="s">
        <v>319</v>
      </c>
      <c r="R24" t="s">
        <v>288</v>
      </c>
    </row>
    <row r="25" spans="2:21">
      <c r="B25" t="str">
        <f t="shared" si="0"/>
        <v>vs~0020</v>
      </c>
      <c r="C25" t="str">
        <f t="shared" si="1"/>
        <v>a 3 deg.i24</v>
      </c>
      <c r="H25" t="str">
        <f t="shared" si="2"/>
        <v>a 3 deg.i24</v>
      </c>
      <c r="I25" t="str">
        <f t="shared" si="3"/>
        <v>a 3 deg</v>
      </c>
      <c r="J25" t="str">
        <f t="shared" si="4"/>
        <v>i24</v>
      </c>
      <c r="N25">
        <v>5</v>
      </c>
      <c r="O25" t="s">
        <v>323</v>
      </c>
      <c r="P25">
        <v>20</v>
      </c>
      <c r="Q25" t="s">
        <v>319</v>
      </c>
      <c r="R25" t="s">
        <v>289</v>
      </c>
    </row>
    <row r="26" spans="2:21">
      <c r="B26" t="str">
        <f t="shared" si="0"/>
        <v>vs~0021</v>
      </c>
      <c r="C26" t="str">
        <f t="shared" si="1"/>
        <v>e 1.5 deg no OS.h48</v>
      </c>
      <c r="H26" t="str">
        <f t="shared" si="2"/>
        <v>e 1.5 deg no OS.h48</v>
      </c>
      <c r="I26" t="str">
        <f t="shared" si="3"/>
        <v>e 1.5 deg no OS</v>
      </c>
      <c r="J26" t="str">
        <f t="shared" si="4"/>
        <v>h48</v>
      </c>
      <c r="N26">
        <v>5</v>
      </c>
      <c r="O26" t="s">
        <v>324</v>
      </c>
      <c r="P26">
        <v>21</v>
      </c>
      <c r="Q26" t="s">
        <v>325</v>
      </c>
      <c r="R26" t="s">
        <v>285</v>
      </c>
    </row>
    <row r="27" spans="2:21">
      <c r="B27" t="str">
        <f t="shared" si="0"/>
        <v>vs~0022</v>
      </c>
      <c r="C27" t="str">
        <f t="shared" ref="C27:C40" si="5">H27</f>
        <v>d 1.5 deg OS.h48</v>
      </c>
      <c r="H27" t="str">
        <f t="shared" si="2"/>
        <v>d 1.5 deg OS.h48</v>
      </c>
      <c r="I27" t="str">
        <f t="shared" si="3"/>
        <v>d 1.5 deg OS</v>
      </c>
      <c r="J27" t="str">
        <f t="shared" si="4"/>
        <v>h48</v>
      </c>
      <c r="N27">
        <v>5</v>
      </c>
      <c r="O27" t="s">
        <v>326</v>
      </c>
      <c r="P27">
        <v>22</v>
      </c>
      <c r="Q27" t="s">
        <v>325</v>
      </c>
      <c r="R27" t="s">
        <v>286</v>
      </c>
    </row>
    <row r="28" spans="2:21">
      <c r="B28" t="str">
        <f t="shared" si="0"/>
        <v>vs~0023</v>
      </c>
      <c r="C28" t="str">
        <f t="shared" si="5"/>
        <v>c 2 deg (67%).h48</v>
      </c>
      <c r="H28" t="str">
        <f t="shared" si="2"/>
        <v>c 2 deg (67%).h48</v>
      </c>
      <c r="I28" t="str">
        <f t="shared" si="3"/>
        <v>c 2 deg (67%)</v>
      </c>
      <c r="J28" t="str">
        <f t="shared" si="4"/>
        <v>h48</v>
      </c>
      <c r="N28">
        <v>5</v>
      </c>
      <c r="O28" t="s">
        <v>327</v>
      </c>
      <c r="P28">
        <v>23</v>
      </c>
      <c r="Q28" t="s">
        <v>325</v>
      </c>
      <c r="R28" t="s">
        <v>287</v>
      </c>
    </row>
    <row r="29" spans="2:21">
      <c r="B29" t="str">
        <f t="shared" si="0"/>
        <v>vs~0024</v>
      </c>
      <c r="C29" t="str">
        <f t="shared" si="5"/>
        <v>b 2 deg (50%).h48</v>
      </c>
      <c r="H29" t="str">
        <f t="shared" si="2"/>
        <v>b 2 deg (50%).h48</v>
      </c>
      <c r="I29" t="str">
        <f t="shared" si="3"/>
        <v>b 2 deg (50%)</v>
      </c>
      <c r="J29" t="str">
        <f t="shared" si="4"/>
        <v>h48</v>
      </c>
      <c r="N29">
        <v>5</v>
      </c>
      <c r="O29" t="s">
        <v>328</v>
      </c>
      <c r="P29">
        <v>24</v>
      </c>
      <c r="Q29" t="s">
        <v>325</v>
      </c>
      <c r="R29" t="s">
        <v>288</v>
      </c>
    </row>
    <row r="30" spans="2:21">
      <c r="B30" t="str">
        <f t="shared" si="0"/>
        <v>vs~0025</v>
      </c>
      <c r="C30" t="str">
        <f t="shared" si="5"/>
        <v>a 3 deg.h48</v>
      </c>
      <c r="H30" t="str">
        <f t="shared" si="2"/>
        <v>a 3 deg.h48</v>
      </c>
      <c r="I30" t="str">
        <f t="shared" si="3"/>
        <v>a 3 deg</v>
      </c>
      <c r="J30" t="str">
        <f t="shared" si="4"/>
        <v>h48</v>
      </c>
      <c r="N30">
        <v>5</v>
      </c>
      <c r="O30" t="s">
        <v>329</v>
      </c>
      <c r="P30">
        <v>25</v>
      </c>
      <c r="Q30" t="s">
        <v>325</v>
      </c>
      <c r="R30" t="s">
        <v>289</v>
      </c>
    </row>
    <row r="31" spans="2:21">
      <c r="B31" t="str">
        <f t="shared" si="0"/>
        <v>vs~0026</v>
      </c>
      <c r="C31" t="str">
        <f t="shared" si="5"/>
        <v>e 1.5 deg no OS.g64</v>
      </c>
      <c r="H31" t="str">
        <f t="shared" si="2"/>
        <v>e 1.5 deg no OS.g64</v>
      </c>
      <c r="I31" t="str">
        <f t="shared" si="3"/>
        <v>e 1.5 deg no OS</v>
      </c>
      <c r="J31" t="str">
        <f t="shared" si="4"/>
        <v>g64</v>
      </c>
      <c r="N31">
        <v>5</v>
      </c>
      <c r="O31" t="s">
        <v>330</v>
      </c>
      <c r="P31">
        <v>26</v>
      </c>
      <c r="Q31" t="s">
        <v>331</v>
      </c>
      <c r="R31" t="s">
        <v>285</v>
      </c>
    </row>
    <row r="32" spans="2:21">
      <c r="B32" t="str">
        <f t="shared" si="0"/>
        <v>vs~0027</v>
      </c>
      <c r="C32" t="str">
        <f t="shared" si="5"/>
        <v>d 1.5 deg OS.g64</v>
      </c>
      <c r="H32" t="str">
        <f t="shared" si="2"/>
        <v>d 1.5 deg OS.g64</v>
      </c>
      <c r="I32" t="str">
        <f t="shared" si="3"/>
        <v>d 1.5 deg OS</v>
      </c>
      <c r="J32" t="str">
        <f t="shared" si="4"/>
        <v>g64</v>
      </c>
      <c r="N32">
        <v>5</v>
      </c>
      <c r="O32" t="s">
        <v>332</v>
      </c>
      <c r="P32">
        <v>27</v>
      </c>
      <c r="Q32" t="s">
        <v>331</v>
      </c>
      <c r="R32" t="s">
        <v>286</v>
      </c>
    </row>
    <row r="33" spans="2:18">
      <c r="B33" t="str">
        <f t="shared" si="0"/>
        <v>vs~0028</v>
      </c>
      <c r="C33" t="str">
        <f t="shared" si="5"/>
        <v>c 2 deg (67%).g64</v>
      </c>
      <c r="H33" t="str">
        <f t="shared" si="2"/>
        <v>c 2 deg (67%).g64</v>
      </c>
      <c r="I33" t="str">
        <f t="shared" si="3"/>
        <v>c 2 deg (67%)</v>
      </c>
      <c r="J33" t="str">
        <f t="shared" si="4"/>
        <v>g64</v>
      </c>
      <c r="N33">
        <v>5</v>
      </c>
      <c r="O33" t="s">
        <v>333</v>
      </c>
      <c r="P33">
        <v>28</v>
      </c>
      <c r="Q33" t="s">
        <v>331</v>
      </c>
      <c r="R33" t="s">
        <v>287</v>
      </c>
    </row>
    <row r="34" spans="2:18">
      <c r="B34" t="str">
        <f t="shared" si="0"/>
        <v>vs~0029</v>
      </c>
      <c r="C34" t="str">
        <f t="shared" si="5"/>
        <v>b 2 deg (50%).g64</v>
      </c>
      <c r="H34" t="str">
        <f t="shared" si="2"/>
        <v>b 2 deg (50%).g64</v>
      </c>
      <c r="I34" t="str">
        <f t="shared" si="3"/>
        <v>b 2 deg (50%)</v>
      </c>
      <c r="J34" t="str">
        <f t="shared" si="4"/>
        <v>g64</v>
      </c>
      <c r="N34">
        <v>5</v>
      </c>
      <c r="O34" t="s">
        <v>334</v>
      </c>
      <c r="P34">
        <v>29</v>
      </c>
      <c r="Q34" t="s">
        <v>331</v>
      </c>
      <c r="R34" t="s">
        <v>288</v>
      </c>
    </row>
    <row r="35" spans="2:18">
      <c r="B35" t="str">
        <f t="shared" si="0"/>
        <v>vs~0030</v>
      </c>
      <c r="C35" t="str">
        <f t="shared" si="5"/>
        <v>a 3 deg.g64</v>
      </c>
      <c r="H35" t="str">
        <f t="shared" si="2"/>
        <v>a 3 deg.g64</v>
      </c>
      <c r="I35" t="str">
        <f t="shared" si="3"/>
        <v>a 3 deg</v>
      </c>
      <c r="J35" t="str">
        <f t="shared" si="4"/>
        <v>g64</v>
      </c>
      <c r="N35">
        <v>5</v>
      </c>
      <c r="O35" t="s">
        <v>335</v>
      </c>
      <c r="P35">
        <v>30</v>
      </c>
      <c r="Q35" t="s">
        <v>331</v>
      </c>
      <c r="R35" t="s">
        <v>289</v>
      </c>
    </row>
    <row r="36" spans="2:18">
      <c r="B36" t="str">
        <f t="shared" si="0"/>
        <v>vs~0031</v>
      </c>
      <c r="C36" t="str">
        <f t="shared" si="5"/>
        <v>e 1.5 deg no OS.f97p50</v>
      </c>
      <c r="H36" t="str">
        <f t="shared" si="2"/>
        <v>e 1.5 deg no OS.f97p50</v>
      </c>
      <c r="I36" t="str">
        <f t="shared" si="3"/>
        <v>e 1.5 deg no OS</v>
      </c>
      <c r="J36" t="str">
        <f t="shared" si="4"/>
        <v>f97p50</v>
      </c>
      <c r="N36">
        <v>5</v>
      </c>
      <c r="O36" t="s">
        <v>336</v>
      </c>
      <c r="P36">
        <v>31</v>
      </c>
      <c r="Q36" t="s">
        <v>337</v>
      </c>
      <c r="R36" t="s">
        <v>285</v>
      </c>
    </row>
    <row r="37" spans="2:18">
      <c r="B37" t="str">
        <f t="shared" si="0"/>
        <v>vs~0032</v>
      </c>
      <c r="C37" t="str">
        <f t="shared" si="5"/>
        <v>d 1.5 deg OS.f97p50</v>
      </c>
      <c r="H37" t="str">
        <f t="shared" si="2"/>
        <v>d 1.5 deg OS.f97p50</v>
      </c>
      <c r="I37" t="str">
        <f t="shared" si="3"/>
        <v>d 1.5 deg OS</v>
      </c>
      <c r="J37" t="str">
        <f t="shared" si="4"/>
        <v>f97p50</v>
      </c>
      <c r="N37">
        <v>5</v>
      </c>
      <c r="O37" t="s">
        <v>338</v>
      </c>
      <c r="P37">
        <v>32</v>
      </c>
      <c r="Q37" t="s">
        <v>337</v>
      </c>
      <c r="R37" t="s">
        <v>286</v>
      </c>
    </row>
    <row r="38" spans="2:18">
      <c r="B38" t="str">
        <f t="shared" si="0"/>
        <v>vs~0033</v>
      </c>
      <c r="C38" t="str">
        <f t="shared" si="5"/>
        <v>c 2 deg (67%).f97p50</v>
      </c>
      <c r="H38" t="str">
        <f t="shared" si="2"/>
        <v>c 2 deg (67%).f97p50</v>
      </c>
      <c r="I38" t="str">
        <f t="shared" si="3"/>
        <v>c 2 deg (67%)</v>
      </c>
      <c r="J38" t="str">
        <f t="shared" si="4"/>
        <v>f97p50</v>
      </c>
      <c r="N38">
        <v>5</v>
      </c>
      <c r="O38" t="s">
        <v>339</v>
      </c>
      <c r="P38">
        <v>33</v>
      </c>
      <c r="Q38" t="s">
        <v>337</v>
      </c>
      <c r="R38" t="s">
        <v>287</v>
      </c>
    </row>
    <row r="39" spans="2:18">
      <c r="B39" t="str">
        <f t="shared" si="0"/>
        <v>vs~0034</v>
      </c>
      <c r="C39" t="str">
        <f t="shared" si="5"/>
        <v>b 2 deg (50%).f97p50</v>
      </c>
      <c r="H39" t="str">
        <f t="shared" si="2"/>
        <v>b 2 deg (50%).f97p50</v>
      </c>
      <c r="I39" t="str">
        <f t="shared" si="3"/>
        <v>b 2 deg (50%)</v>
      </c>
      <c r="J39" t="str">
        <f t="shared" si="4"/>
        <v>f97p50</v>
      </c>
      <c r="N39">
        <v>5</v>
      </c>
      <c r="O39" t="s">
        <v>340</v>
      </c>
      <c r="P39">
        <v>34</v>
      </c>
      <c r="Q39" t="s">
        <v>337</v>
      </c>
      <c r="R39" t="s">
        <v>288</v>
      </c>
    </row>
    <row r="40" spans="2:18">
      <c r="B40" t="str">
        <f t="shared" si="0"/>
        <v>vs~0035</v>
      </c>
      <c r="C40" t="str">
        <f t="shared" si="5"/>
        <v>a 3 deg.f97p50</v>
      </c>
      <c r="H40" t="str">
        <f t="shared" si="2"/>
        <v>a 3 deg.f97p50</v>
      </c>
      <c r="I40" t="str">
        <f t="shared" si="3"/>
        <v>a 3 deg</v>
      </c>
      <c r="J40" t="str">
        <f t="shared" si="4"/>
        <v>f97p50</v>
      </c>
      <c r="N40">
        <v>5</v>
      </c>
      <c r="O40" t="s">
        <v>341</v>
      </c>
      <c r="P40">
        <v>35</v>
      </c>
      <c r="Q40" t="s">
        <v>337</v>
      </c>
      <c r="R40" t="s">
        <v>289</v>
      </c>
    </row>
    <row r="41" spans="2:18">
      <c r="B41" t="str">
        <f t="shared" si="0"/>
        <v>vs~0036</v>
      </c>
      <c r="C41" t="str">
        <f t="shared" ref="C41:C55" si="6">H41</f>
        <v>e 1.5 deg no OS.f96p10</v>
      </c>
      <c r="H41" t="str">
        <f t="shared" si="2"/>
        <v>e 1.5 deg no OS.f96p10</v>
      </c>
      <c r="I41" t="str">
        <f t="shared" si="3"/>
        <v>e 1.5 deg no OS</v>
      </c>
      <c r="J41" t="str">
        <f t="shared" si="4"/>
        <v>f96p10</v>
      </c>
      <c r="N41">
        <v>5</v>
      </c>
      <c r="O41" t="s">
        <v>342</v>
      </c>
      <c r="P41">
        <v>36</v>
      </c>
      <c r="Q41" t="s">
        <v>343</v>
      </c>
      <c r="R41" t="s">
        <v>285</v>
      </c>
    </row>
    <row r="42" spans="2:18">
      <c r="B42" t="str">
        <f t="shared" si="0"/>
        <v>vs~0037</v>
      </c>
      <c r="C42" t="str">
        <f t="shared" si="6"/>
        <v>d 1.5 deg OS.f96p10</v>
      </c>
      <c r="H42" t="str">
        <f t="shared" si="2"/>
        <v>d 1.5 deg OS.f96p10</v>
      </c>
      <c r="I42" t="str">
        <f t="shared" si="3"/>
        <v>d 1.5 deg OS</v>
      </c>
      <c r="J42" t="str">
        <f t="shared" si="4"/>
        <v>f96p10</v>
      </c>
      <c r="N42">
        <v>5</v>
      </c>
      <c r="O42" t="s">
        <v>344</v>
      </c>
      <c r="P42">
        <v>37</v>
      </c>
      <c r="Q42" t="s">
        <v>343</v>
      </c>
      <c r="R42" t="s">
        <v>286</v>
      </c>
    </row>
    <row r="43" spans="2:18">
      <c r="B43" t="str">
        <f t="shared" si="0"/>
        <v>vs~0038</v>
      </c>
      <c r="C43" t="str">
        <f t="shared" si="6"/>
        <v>c 2 deg (67%).f96p10</v>
      </c>
      <c r="H43" t="str">
        <f t="shared" si="2"/>
        <v>c 2 deg (67%).f96p10</v>
      </c>
      <c r="I43" t="str">
        <f t="shared" si="3"/>
        <v>c 2 deg (67%)</v>
      </c>
      <c r="J43" t="str">
        <f t="shared" si="4"/>
        <v>f96p10</v>
      </c>
      <c r="N43">
        <v>5</v>
      </c>
      <c r="O43" t="s">
        <v>345</v>
      </c>
      <c r="P43">
        <v>38</v>
      </c>
      <c r="Q43" t="s">
        <v>343</v>
      </c>
      <c r="R43" t="s">
        <v>287</v>
      </c>
    </row>
    <row r="44" spans="2:18">
      <c r="B44" t="str">
        <f t="shared" si="0"/>
        <v>vs~0039</v>
      </c>
      <c r="C44" t="str">
        <f t="shared" si="6"/>
        <v>b 2 deg (50%).f96p10</v>
      </c>
      <c r="H44" t="str">
        <f t="shared" si="2"/>
        <v>b 2 deg (50%).f96p10</v>
      </c>
      <c r="I44" t="str">
        <f t="shared" si="3"/>
        <v>b 2 deg (50%)</v>
      </c>
      <c r="J44" t="str">
        <f t="shared" si="4"/>
        <v>f96p10</v>
      </c>
      <c r="N44">
        <v>5</v>
      </c>
      <c r="O44" t="s">
        <v>346</v>
      </c>
      <c r="P44">
        <v>39</v>
      </c>
      <c r="Q44" t="s">
        <v>343</v>
      </c>
      <c r="R44" t="s">
        <v>288</v>
      </c>
    </row>
    <row r="45" spans="2:18">
      <c r="B45" t="str">
        <f t="shared" si="0"/>
        <v>vs~0040</v>
      </c>
      <c r="C45" t="str">
        <f t="shared" si="6"/>
        <v>a 3 deg.f96p10</v>
      </c>
      <c r="H45" t="str">
        <f t="shared" si="2"/>
        <v>a 3 deg.f96p10</v>
      </c>
      <c r="I45" t="str">
        <f t="shared" si="3"/>
        <v>a 3 deg</v>
      </c>
      <c r="J45" t="str">
        <f t="shared" si="4"/>
        <v>f96p10</v>
      </c>
      <c r="N45">
        <v>5</v>
      </c>
      <c r="O45" t="s">
        <v>347</v>
      </c>
      <c r="P45">
        <v>40</v>
      </c>
      <c r="Q45" t="s">
        <v>343</v>
      </c>
      <c r="R45" t="s">
        <v>289</v>
      </c>
    </row>
    <row r="46" spans="2:18">
      <c r="B46" t="str">
        <f t="shared" si="0"/>
        <v>vs~0041</v>
      </c>
      <c r="C46" t="str">
        <f t="shared" si="6"/>
        <v>e 1.5 deg no OS.f96p90</v>
      </c>
      <c r="H46" t="str">
        <f t="shared" si="2"/>
        <v>e 1.5 deg no OS.f96p90</v>
      </c>
      <c r="I46" t="str">
        <f t="shared" si="3"/>
        <v>e 1.5 deg no OS</v>
      </c>
      <c r="J46" t="str">
        <f t="shared" si="4"/>
        <v>f96p90</v>
      </c>
      <c r="N46">
        <v>5</v>
      </c>
      <c r="O46" t="s">
        <v>348</v>
      </c>
      <c r="P46">
        <v>41</v>
      </c>
      <c r="Q46" t="s">
        <v>349</v>
      </c>
      <c r="R46" t="s">
        <v>285</v>
      </c>
    </row>
    <row r="47" spans="2:18">
      <c r="B47" t="str">
        <f t="shared" si="0"/>
        <v>vs~0042</v>
      </c>
      <c r="C47" t="str">
        <f t="shared" si="6"/>
        <v>d 1.5 deg OS.f96p90</v>
      </c>
      <c r="H47" t="str">
        <f t="shared" si="2"/>
        <v>d 1.5 deg OS.f96p90</v>
      </c>
      <c r="I47" t="str">
        <f t="shared" si="3"/>
        <v>d 1.5 deg OS</v>
      </c>
      <c r="J47" t="str">
        <f t="shared" si="4"/>
        <v>f96p90</v>
      </c>
      <c r="N47">
        <v>5</v>
      </c>
      <c r="O47" t="s">
        <v>350</v>
      </c>
      <c r="P47">
        <v>42</v>
      </c>
      <c r="Q47" t="s">
        <v>349</v>
      </c>
      <c r="R47" t="s">
        <v>286</v>
      </c>
    </row>
    <row r="48" spans="2:18">
      <c r="B48" t="str">
        <f t="shared" si="0"/>
        <v>vs~0043</v>
      </c>
      <c r="C48" t="str">
        <f t="shared" si="6"/>
        <v>c 2 deg (67%).f96p90</v>
      </c>
      <c r="H48" t="str">
        <f t="shared" si="2"/>
        <v>c 2 deg (67%).f96p90</v>
      </c>
      <c r="I48" t="str">
        <f t="shared" si="3"/>
        <v>c 2 deg (67%)</v>
      </c>
      <c r="J48" t="str">
        <f t="shared" si="4"/>
        <v>f96p90</v>
      </c>
      <c r="N48">
        <v>5</v>
      </c>
      <c r="O48" t="s">
        <v>351</v>
      </c>
      <c r="P48">
        <v>43</v>
      </c>
      <c r="Q48" t="s">
        <v>349</v>
      </c>
      <c r="R48" t="s">
        <v>287</v>
      </c>
    </row>
    <row r="49" spans="2:18">
      <c r="B49" t="str">
        <f t="shared" si="0"/>
        <v>vs~0044</v>
      </c>
      <c r="C49" t="str">
        <f t="shared" si="6"/>
        <v>b 2 deg (50%).f96p90</v>
      </c>
      <c r="H49" t="str">
        <f t="shared" si="2"/>
        <v>b 2 deg (50%).f96p90</v>
      </c>
      <c r="I49" t="str">
        <f t="shared" si="3"/>
        <v>b 2 deg (50%)</v>
      </c>
      <c r="J49" t="str">
        <f t="shared" si="4"/>
        <v>f96p90</v>
      </c>
      <c r="N49">
        <v>5</v>
      </c>
      <c r="O49" t="s">
        <v>352</v>
      </c>
      <c r="P49">
        <v>44</v>
      </c>
      <c r="Q49" t="s">
        <v>349</v>
      </c>
      <c r="R49" t="s">
        <v>288</v>
      </c>
    </row>
    <row r="50" spans="2:18">
      <c r="B50" t="str">
        <f t="shared" si="0"/>
        <v>vs~0045</v>
      </c>
      <c r="C50" t="str">
        <f t="shared" si="6"/>
        <v>a 3 deg.f96p90</v>
      </c>
      <c r="H50" t="str">
        <f t="shared" si="2"/>
        <v>a 3 deg.f96p90</v>
      </c>
      <c r="I50" t="str">
        <f t="shared" si="3"/>
        <v>a 3 deg</v>
      </c>
      <c r="J50" t="str">
        <f t="shared" si="4"/>
        <v>f96p90</v>
      </c>
      <c r="N50">
        <v>5</v>
      </c>
      <c r="O50" t="s">
        <v>353</v>
      </c>
      <c r="P50">
        <v>45</v>
      </c>
      <c r="Q50" t="s">
        <v>349</v>
      </c>
      <c r="R50" t="s">
        <v>289</v>
      </c>
    </row>
    <row r="51" spans="2:18">
      <c r="B51" t="str">
        <f t="shared" si="0"/>
        <v>vs~0046</v>
      </c>
      <c r="C51" t="str">
        <f t="shared" si="6"/>
        <v>e 1.5 deg no OS.e3d</v>
      </c>
      <c r="H51" t="str">
        <f t="shared" si="2"/>
        <v>e 1.5 deg no OS.e3d</v>
      </c>
      <c r="I51" t="str">
        <f t="shared" si="3"/>
        <v>e 1.5 deg no OS</v>
      </c>
      <c r="J51" t="str">
        <f t="shared" si="4"/>
        <v>e3d</v>
      </c>
      <c r="N51">
        <v>5</v>
      </c>
      <c r="O51" t="s">
        <v>354</v>
      </c>
      <c r="P51">
        <v>46</v>
      </c>
      <c r="Q51" t="s">
        <v>230</v>
      </c>
      <c r="R51" t="s">
        <v>285</v>
      </c>
    </row>
    <row r="52" spans="2:18">
      <c r="B52" t="str">
        <f t="shared" si="0"/>
        <v>vs~0047</v>
      </c>
      <c r="C52" t="str">
        <f t="shared" si="6"/>
        <v>d 1.5 deg OS.e3d</v>
      </c>
      <c r="H52" t="str">
        <f t="shared" si="2"/>
        <v>d 1.5 deg OS.e3d</v>
      </c>
      <c r="I52" t="str">
        <f t="shared" si="3"/>
        <v>d 1.5 deg OS</v>
      </c>
      <c r="J52" t="str">
        <f t="shared" si="4"/>
        <v>e3d</v>
      </c>
      <c r="N52">
        <v>5</v>
      </c>
      <c r="O52" t="s">
        <v>355</v>
      </c>
      <c r="P52">
        <v>47</v>
      </c>
      <c r="Q52" t="s">
        <v>230</v>
      </c>
      <c r="R52" t="s">
        <v>286</v>
      </c>
    </row>
    <row r="53" spans="2:18">
      <c r="B53" t="str">
        <f t="shared" si="0"/>
        <v>vs~0048</v>
      </c>
      <c r="C53" t="str">
        <f t="shared" si="6"/>
        <v>c 2 deg (67%).e3d</v>
      </c>
      <c r="H53" t="str">
        <f t="shared" si="2"/>
        <v>c 2 deg (67%).e3d</v>
      </c>
      <c r="I53" t="str">
        <f t="shared" si="3"/>
        <v>c 2 deg (67%)</v>
      </c>
      <c r="J53" t="str">
        <f t="shared" si="4"/>
        <v>e3d</v>
      </c>
      <c r="N53">
        <v>5</v>
      </c>
      <c r="O53" t="s">
        <v>356</v>
      </c>
      <c r="P53">
        <v>48</v>
      </c>
      <c r="Q53" t="s">
        <v>230</v>
      </c>
      <c r="R53" t="s">
        <v>287</v>
      </c>
    </row>
    <row r="54" spans="2:18">
      <c r="B54" t="str">
        <f t="shared" si="0"/>
        <v>vs~0049</v>
      </c>
      <c r="C54" t="str">
        <f t="shared" si="6"/>
        <v>b 2 deg (50%).e3d</v>
      </c>
      <c r="H54" t="str">
        <f t="shared" si="2"/>
        <v>b 2 deg (50%).e3d</v>
      </c>
      <c r="I54" t="str">
        <f t="shared" si="3"/>
        <v>b 2 deg (50%)</v>
      </c>
      <c r="J54" t="str">
        <f t="shared" si="4"/>
        <v>e3d</v>
      </c>
      <c r="N54">
        <v>5</v>
      </c>
      <c r="O54" t="s">
        <v>357</v>
      </c>
      <c r="P54">
        <v>49</v>
      </c>
      <c r="Q54" t="s">
        <v>230</v>
      </c>
      <c r="R54" t="s">
        <v>288</v>
      </c>
    </row>
    <row r="55" spans="2:18">
      <c r="B55" t="str">
        <f t="shared" si="0"/>
        <v>vs~0050</v>
      </c>
      <c r="C55" t="str">
        <f t="shared" si="6"/>
        <v>a 3 deg.e3d</v>
      </c>
      <c r="H55" t="str">
        <f t="shared" si="2"/>
        <v>a 3 deg.e3d</v>
      </c>
      <c r="I55" t="str">
        <f t="shared" si="3"/>
        <v>a 3 deg</v>
      </c>
      <c r="J55" t="str">
        <f t="shared" si="4"/>
        <v>e3d</v>
      </c>
      <c r="N55">
        <v>5</v>
      </c>
      <c r="O55" t="s">
        <v>358</v>
      </c>
      <c r="P55">
        <v>50</v>
      </c>
      <c r="Q55" t="s">
        <v>230</v>
      </c>
      <c r="R55" t="s">
        <v>289</v>
      </c>
    </row>
    <row r="56" spans="2:18">
      <c r="B56" t="str">
        <f t="shared" si="0"/>
        <v>vs~0051</v>
      </c>
      <c r="C56" t="str">
        <f t="shared" ref="C56:C60" si="7">H56</f>
        <v>e 1.5 deg no OS.d9d</v>
      </c>
      <c r="H56" t="str">
        <f t="shared" si="2"/>
        <v>e 1.5 deg no OS.d9d</v>
      </c>
      <c r="I56" t="str">
        <f t="shared" si="3"/>
        <v>e 1.5 deg no OS</v>
      </c>
      <c r="J56" t="str">
        <f t="shared" si="4"/>
        <v>d9d</v>
      </c>
      <c r="N56">
        <v>5</v>
      </c>
      <c r="O56" t="s">
        <v>359</v>
      </c>
      <c r="P56">
        <v>51</v>
      </c>
      <c r="Q56" t="s">
        <v>231</v>
      </c>
      <c r="R56" t="s">
        <v>285</v>
      </c>
    </row>
    <row r="57" spans="2:18">
      <c r="B57" t="str">
        <f t="shared" si="0"/>
        <v>vs~0052</v>
      </c>
      <c r="C57" t="str">
        <f t="shared" si="7"/>
        <v>d 1.5 deg OS.d9d</v>
      </c>
      <c r="H57" t="str">
        <f t="shared" si="2"/>
        <v>d 1.5 deg OS.d9d</v>
      </c>
      <c r="I57" t="str">
        <f t="shared" si="3"/>
        <v>d 1.5 deg OS</v>
      </c>
      <c r="J57" t="str">
        <f t="shared" si="4"/>
        <v>d9d</v>
      </c>
      <c r="N57">
        <v>5</v>
      </c>
      <c r="O57" t="s">
        <v>360</v>
      </c>
      <c r="P57">
        <v>52</v>
      </c>
      <c r="Q57" t="s">
        <v>231</v>
      </c>
      <c r="R57" t="s">
        <v>286</v>
      </c>
    </row>
    <row r="58" spans="2:18">
      <c r="B58" t="str">
        <f t="shared" si="0"/>
        <v>vs~0053</v>
      </c>
      <c r="C58" t="str">
        <f t="shared" si="7"/>
        <v>c 2 deg (67%).d9d</v>
      </c>
      <c r="H58" t="str">
        <f t="shared" si="2"/>
        <v>c 2 deg (67%).d9d</v>
      </c>
      <c r="I58" t="str">
        <f t="shared" si="3"/>
        <v>c 2 deg (67%)</v>
      </c>
      <c r="J58" t="str">
        <f t="shared" si="4"/>
        <v>d9d</v>
      </c>
      <c r="N58">
        <v>5</v>
      </c>
      <c r="O58" t="s">
        <v>361</v>
      </c>
      <c r="P58">
        <v>53</v>
      </c>
      <c r="Q58" t="s">
        <v>231</v>
      </c>
      <c r="R58" t="s">
        <v>287</v>
      </c>
    </row>
    <row r="59" spans="2:18">
      <c r="B59" t="str">
        <f t="shared" si="0"/>
        <v>vs~0054</v>
      </c>
      <c r="C59" t="str">
        <f t="shared" si="7"/>
        <v>b 2 deg (50%).d9d</v>
      </c>
      <c r="H59" t="str">
        <f t="shared" si="2"/>
        <v>b 2 deg (50%).d9d</v>
      </c>
      <c r="I59" t="str">
        <f t="shared" si="3"/>
        <v>b 2 deg (50%)</v>
      </c>
      <c r="J59" t="str">
        <f t="shared" si="4"/>
        <v>d9d</v>
      </c>
      <c r="N59">
        <v>5</v>
      </c>
      <c r="O59" t="s">
        <v>362</v>
      </c>
      <c r="P59">
        <v>54</v>
      </c>
      <c r="Q59" t="s">
        <v>231</v>
      </c>
      <c r="R59" t="s">
        <v>288</v>
      </c>
    </row>
    <row r="60" spans="2:18">
      <c r="B60" t="str">
        <f t="shared" si="0"/>
        <v>vs~0055</v>
      </c>
      <c r="C60" t="str">
        <f t="shared" si="7"/>
        <v>a 3 deg.d9d</v>
      </c>
      <c r="H60" t="str">
        <f t="shared" si="2"/>
        <v>a 3 deg.d9d</v>
      </c>
      <c r="I60" t="str">
        <f t="shared" si="3"/>
        <v>a 3 deg</v>
      </c>
      <c r="J60" t="str">
        <f t="shared" si="4"/>
        <v>d9d</v>
      </c>
      <c r="N60">
        <v>5</v>
      </c>
      <c r="O60" t="s">
        <v>363</v>
      </c>
      <c r="P60">
        <v>55</v>
      </c>
      <c r="Q60" t="s">
        <v>231</v>
      </c>
      <c r="R60" t="s">
        <v>289</v>
      </c>
    </row>
    <row r="61" spans="2:18">
      <c r="B61" t="str">
        <f t="shared" ref="B61:B75" si="8">"vs~"&amp;TEXT(P61,"0000")</f>
        <v>vs~0056</v>
      </c>
      <c r="C61" t="str">
        <f t="shared" ref="C61:C75" si="9">H61</f>
        <v>e 1.5 deg no OS.c15d</v>
      </c>
      <c r="H61" t="str">
        <f t="shared" ref="H61:H75" si="10">_xlfn.TEXTJOIN(".",TRUE,I61:J61)</f>
        <v>e 1.5 deg no OS.c15d</v>
      </c>
      <c r="I61" t="str">
        <f t="shared" ref="I61:I75" si="11">VLOOKUP(R61,$W$6:$X$12,2,FALSE)</f>
        <v>e 1.5 deg no OS</v>
      </c>
      <c r="J61" t="str">
        <f t="shared" ref="J61:J75" si="12">VLOOKUP(Q61,$T$6:$U$20,2,FALSE)</f>
        <v>c15d</v>
      </c>
      <c r="N61">
        <v>5</v>
      </c>
      <c r="O61" t="s">
        <v>364</v>
      </c>
      <c r="P61">
        <v>56</v>
      </c>
      <c r="Q61" t="s">
        <v>237</v>
      </c>
      <c r="R61" t="s">
        <v>285</v>
      </c>
    </row>
    <row r="62" spans="2:18">
      <c r="B62" t="str">
        <f t="shared" si="8"/>
        <v>vs~0057</v>
      </c>
      <c r="C62" t="str">
        <f t="shared" si="9"/>
        <v>d 1.5 deg OS.c15d</v>
      </c>
      <c r="H62" t="str">
        <f t="shared" si="10"/>
        <v>d 1.5 deg OS.c15d</v>
      </c>
      <c r="I62" t="str">
        <f t="shared" si="11"/>
        <v>d 1.5 deg OS</v>
      </c>
      <c r="J62" t="str">
        <f t="shared" si="12"/>
        <v>c15d</v>
      </c>
      <c r="N62">
        <v>5</v>
      </c>
      <c r="O62" t="s">
        <v>365</v>
      </c>
      <c r="P62">
        <v>57</v>
      </c>
      <c r="Q62" t="s">
        <v>237</v>
      </c>
      <c r="R62" t="s">
        <v>286</v>
      </c>
    </row>
    <row r="63" spans="2:18">
      <c r="B63" t="str">
        <f t="shared" si="8"/>
        <v>vs~0058</v>
      </c>
      <c r="C63" t="str">
        <f t="shared" si="9"/>
        <v>c 2 deg (67%).c15d</v>
      </c>
      <c r="H63" t="str">
        <f t="shared" si="10"/>
        <v>c 2 deg (67%).c15d</v>
      </c>
      <c r="I63" t="str">
        <f t="shared" si="11"/>
        <v>c 2 deg (67%)</v>
      </c>
      <c r="J63" t="str">
        <f t="shared" si="12"/>
        <v>c15d</v>
      </c>
      <c r="N63">
        <v>5</v>
      </c>
      <c r="O63" t="s">
        <v>366</v>
      </c>
      <c r="P63">
        <v>58</v>
      </c>
      <c r="Q63" t="s">
        <v>237</v>
      </c>
      <c r="R63" t="s">
        <v>287</v>
      </c>
    </row>
    <row r="64" spans="2:18">
      <c r="B64" t="str">
        <f t="shared" si="8"/>
        <v>vs~0059</v>
      </c>
      <c r="C64" t="str">
        <f t="shared" si="9"/>
        <v>b 2 deg (50%).c15d</v>
      </c>
      <c r="H64" t="str">
        <f t="shared" si="10"/>
        <v>b 2 deg (50%).c15d</v>
      </c>
      <c r="I64" t="str">
        <f t="shared" si="11"/>
        <v>b 2 deg (50%)</v>
      </c>
      <c r="J64" t="str">
        <f t="shared" si="12"/>
        <v>c15d</v>
      </c>
      <c r="N64">
        <v>5</v>
      </c>
      <c r="O64" t="s">
        <v>367</v>
      </c>
      <c r="P64">
        <v>59</v>
      </c>
      <c r="Q64" t="s">
        <v>237</v>
      </c>
      <c r="R64" t="s">
        <v>288</v>
      </c>
    </row>
    <row r="65" spans="2:18">
      <c r="B65" t="str">
        <f t="shared" si="8"/>
        <v>vs~0060</v>
      </c>
      <c r="C65" t="str">
        <f t="shared" si="9"/>
        <v>a 3 deg.c15d</v>
      </c>
      <c r="H65" t="str">
        <f t="shared" si="10"/>
        <v>a 3 deg.c15d</v>
      </c>
      <c r="I65" t="str">
        <f t="shared" si="11"/>
        <v>a 3 deg</v>
      </c>
      <c r="J65" t="str">
        <f t="shared" si="12"/>
        <v>c15d</v>
      </c>
      <c r="N65">
        <v>5</v>
      </c>
      <c r="O65" t="s">
        <v>368</v>
      </c>
      <c r="P65">
        <v>60</v>
      </c>
      <c r="Q65" t="s">
        <v>237</v>
      </c>
      <c r="R65" t="s">
        <v>289</v>
      </c>
    </row>
    <row r="66" spans="2:18">
      <c r="B66" t="str">
        <f t="shared" si="8"/>
        <v>vs~0061</v>
      </c>
      <c r="C66" t="str">
        <f t="shared" si="9"/>
        <v>e 1.5 deg no OS.b2w</v>
      </c>
      <c r="H66" t="str">
        <f t="shared" si="10"/>
        <v>e 1.5 deg no OS.b2w</v>
      </c>
      <c r="I66" t="str">
        <f t="shared" si="11"/>
        <v>e 1.5 deg no OS</v>
      </c>
      <c r="J66" t="str">
        <f t="shared" si="12"/>
        <v>b2w</v>
      </c>
      <c r="N66">
        <v>5</v>
      </c>
      <c r="O66" t="s">
        <v>369</v>
      </c>
      <c r="P66">
        <v>61</v>
      </c>
      <c r="Q66" t="s">
        <v>232</v>
      </c>
      <c r="R66" t="s">
        <v>285</v>
      </c>
    </row>
    <row r="67" spans="2:18">
      <c r="B67" t="str">
        <f t="shared" si="8"/>
        <v>vs~0062</v>
      </c>
      <c r="C67" t="str">
        <f t="shared" si="9"/>
        <v>d 1.5 deg OS.b2w</v>
      </c>
      <c r="H67" t="str">
        <f t="shared" si="10"/>
        <v>d 1.5 deg OS.b2w</v>
      </c>
      <c r="I67" t="str">
        <f t="shared" si="11"/>
        <v>d 1.5 deg OS</v>
      </c>
      <c r="J67" t="str">
        <f t="shared" si="12"/>
        <v>b2w</v>
      </c>
      <c r="N67">
        <v>5</v>
      </c>
      <c r="O67" t="s">
        <v>370</v>
      </c>
      <c r="P67">
        <v>62</v>
      </c>
      <c r="Q67" t="s">
        <v>232</v>
      </c>
      <c r="R67" t="s">
        <v>286</v>
      </c>
    </row>
    <row r="68" spans="2:18">
      <c r="B68" t="str">
        <f t="shared" si="8"/>
        <v>vs~0063</v>
      </c>
      <c r="C68" t="str">
        <f t="shared" si="9"/>
        <v>c 2 deg (67%).b2w</v>
      </c>
      <c r="H68" t="str">
        <f t="shared" si="10"/>
        <v>c 2 deg (67%).b2w</v>
      </c>
      <c r="I68" t="str">
        <f t="shared" si="11"/>
        <v>c 2 deg (67%)</v>
      </c>
      <c r="J68" t="str">
        <f t="shared" si="12"/>
        <v>b2w</v>
      </c>
      <c r="N68">
        <v>5</v>
      </c>
      <c r="O68" t="s">
        <v>371</v>
      </c>
      <c r="P68">
        <v>63</v>
      </c>
      <c r="Q68" t="s">
        <v>232</v>
      </c>
      <c r="R68" t="s">
        <v>287</v>
      </c>
    </row>
    <row r="69" spans="2:18">
      <c r="B69" t="str">
        <f t="shared" si="8"/>
        <v>vs~0064</v>
      </c>
      <c r="C69" t="str">
        <f t="shared" si="9"/>
        <v>b 2 deg (50%).b2w</v>
      </c>
      <c r="H69" t="str">
        <f t="shared" si="10"/>
        <v>b 2 deg (50%).b2w</v>
      </c>
      <c r="I69" t="str">
        <f t="shared" si="11"/>
        <v>b 2 deg (50%)</v>
      </c>
      <c r="J69" t="str">
        <f t="shared" si="12"/>
        <v>b2w</v>
      </c>
      <c r="N69">
        <v>5</v>
      </c>
      <c r="O69" t="s">
        <v>372</v>
      </c>
      <c r="P69">
        <v>64</v>
      </c>
      <c r="Q69" t="s">
        <v>232</v>
      </c>
      <c r="R69" t="s">
        <v>288</v>
      </c>
    </row>
    <row r="70" spans="2:18">
      <c r="B70" t="str">
        <f t="shared" si="8"/>
        <v>vs~0065</v>
      </c>
      <c r="C70" t="str">
        <f t="shared" si="9"/>
        <v>a 3 deg.b2w</v>
      </c>
      <c r="H70" t="str">
        <f t="shared" si="10"/>
        <v>a 3 deg.b2w</v>
      </c>
      <c r="I70" t="str">
        <f t="shared" si="11"/>
        <v>a 3 deg</v>
      </c>
      <c r="J70" t="str">
        <f t="shared" si="12"/>
        <v>b2w</v>
      </c>
      <c r="N70">
        <v>5</v>
      </c>
      <c r="O70" t="s">
        <v>373</v>
      </c>
      <c r="P70">
        <v>65</v>
      </c>
      <c r="Q70" t="s">
        <v>232</v>
      </c>
      <c r="R70" t="s">
        <v>289</v>
      </c>
    </row>
    <row r="71" spans="2:18">
      <c r="B71" t="str">
        <f t="shared" si="8"/>
        <v>vs~0066</v>
      </c>
      <c r="C71" t="str">
        <f t="shared" si="9"/>
        <v>e 1.5 deg no OS.a2w2d</v>
      </c>
      <c r="H71" t="str">
        <f t="shared" si="10"/>
        <v>e 1.5 deg no OS.a2w2d</v>
      </c>
      <c r="I71" t="str">
        <f t="shared" si="11"/>
        <v>e 1.5 deg no OS</v>
      </c>
      <c r="J71" t="str">
        <f t="shared" si="12"/>
        <v>a2w2d</v>
      </c>
      <c r="N71">
        <v>5</v>
      </c>
      <c r="O71" t="s">
        <v>374</v>
      </c>
      <c r="P71">
        <v>66</v>
      </c>
      <c r="Q71" t="s">
        <v>233</v>
      </c>
      <c r="R71" t="s">
        <v>285</v>
      </c>
    </row>
    <row r="72" spans="2:18">
      <c r="B72" t="str">
        <f t="shared" si="8"/>
        <v>vs~0067</v>
      </c>
      <c r="C72" t="str">
        <f t="shared" si="9"/>
        <v>d 1.5 deg OS.a2w2d</v>
      </c>
      <c r="H72" t="str">
        <f t="shared" si="10"/>
        <v>d 1.5 deg OS.a2w2d</v>
      </c>
      <c r="I72" t="str">
        <f t="shared" si="11"/>
        <v>d 1.5 deg OS</v>
      </c>
      <c r="J72" t="str">
        <f t="shared" si="12"/>
        <v>a2w2d</v>
      </c>
      <c r="N72">
        <v>5</v>
      </c>
      <c r="O72" t="s">
        <v>375</v>
      </c>
      <c r="P72">
        <v>67</v>
      </c>
      <c r="Q72" t="s">
        <v>233</v>
      </c>
      <c r="R72" t="s">
        <v>286</v>
      </c>
    </row>
    <row r="73" spans="2:18">
      <c r="B73" t="str">
        <f t="shared" si="8"/>
        <v>vs~0068</v>
      </c>
      <c r="C73" t="str">
        <f t="shared" si="9"/>
        <v>c 2 deg (67%).a2w2d</v>
      </c>
      <c r="H73" t="str">
        <f t="shared" si="10"/>
        <v>c 2 deg (67%).a2w2d</v>
      </c>
      <c r="I73" t="str">
        <f t="shared" si="11"/>
        <v>c 2 deg (67%)</v>
      </c>
      <c r="J73" t="str">
        <f t="shared" si="12"/>
        <v>a2w2d</v>
      </c>
      <c r="N73">
        <v>5</v>
      </c>
      <c r="O73" t="s">
        <v>376</v>
      </c>
      <c r="P73">
        <v>68</v>
      </c>
      <c r="Q73" t="s">
        <v>233</v>
      </c>
      <c r="R73" t="s">
        <v>287</v>
      </c>
    </row>
    <row r="74" spans="2:18">
      <c r="B74" t="str">
        <f t="shared" si="8"/>
        <v>vs~0069</v>
      </c>
      <c r="C74" t="str">
        <f t="shared" si="9"/>
        <v>b 2 deg (50%).a2w2d</v>
      </c>
      <c r="H74" t="str">
        <f t="shared" si="10"/>
        <v>b 2 deg (50%).a2w2d</v>
      </c>
      <c r="I74" t="str">
        <f t="shared" si="11"/>
        <v>b 2 deg (50%)</v>
      </c>
      <c r="J74" t="str">
        <f t="shared" si="12"/>
        <v>a2w2d</v>
      </c>
      <c r="N74">
        <v>5</v>
      </c>
      <c r="O74" t="s">
        <v>377</v>
      </c>
      <c r="P74">
        <v>69</v>
      </c>
      <c r="Q74" t="s">
        <v>233</v>
      </c>
      <c r="R74" t="s">
        <v>288</v>
      </c>
    </row>
    <row r="75" spans="2:18">
      <c r="B75" t="str">
        <f t="shared" si="8"/>
        <v>vs~0070</v>
      </c>
      <c r="C75" t="str">
        <f t="shared" si="9"/>
        <v>a 3 deg.a2w2d</v>
      </c>
      <c r="H75" t="str">
        <f t="shared" si="10"/>
        <v>a 3 deg.a2w2d</v>
      </c>
      <c r="I75" t="str">
        <f t="shared" si="11"/>
        <v>a 3 deg</v>
      </c>
      <c r="J75" t="str">
        <f t="shared" si="12"/>
        <v>a2w2d</v>
      </c>
      <c r="N75">
        <v>5</v>
      </c>
      <c r="O75" t="s">
        <v>378</v>
      </c>
      <c r="P75">
        <v>70</v>
      </c>
      <c r="Q75" t="s">
        <v>233</v>
      </c>
      <c r="R75" t="s">
        <v>289</v>
      </c>
    </row>
  </sheetData>
  <sortState xmlns:xlrd2="http://schemas.microsoft.com/office/spreadsheetml/2017/richdata2" ref="D59:D68">
    <sortCondition ref="D59:D68"/>
  </sortState>
  <phoneticPr fontId="18" type="noConversion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9"/>
  <dimension ref="A1:U15"/>
  <sheetViews>
    <sheetView zoomScaleNormal="100" workbookViewId="0">
      <pane ySplit="2" topLeftCell="A3" activePane="bottomLeft" state="frozen"/>
      <selection pane="bottomLeft" activeCell="N16" sqref="N16"/>
    </sheetView>
  </sheetViews>
  <sheetFormatPr defaultColWidth="9.1328125" defaultRowHeight="14.25"/>
  <cols>
    <col min="1" max="1" width="13.86328125" bestFit="1" customWidth="1"/>
    <col min="2" max="2" width="13.73046875" bestFit="1" customWidth="1"/>
    <col min="3" max="4" width="16.86328125" bestFit="1" customWidth="1"/>
    <col min="5" max="5" width="8.59765625" bestFit="1" customWidth="1"/>
    <col min="6" max="6" width="7.86328125" bestFit="1" customWidth="1"/>
    <col min="7" max="7" width="8.73046875" bestFit="1" customWidth="1"/>
    <col min="8" max="8" width="17.265625" bestFit="1" customWidth="1"/>
    <col min="9" max="9" width="12.73046875" bestFit="1" customWidth="1"/>
    <col min="10" max="10" width="8.59765625" bestFit="1" customWidth="1"/>
    <col min="11" max="12" width="8.73046875" bestFit="1" customWidth="1"/>
    <col min="13" max="13" width="9.265625" bestFit="1" customWidth="1"/>
    <col min="14" max="14" width="15.1328125" bestFit="1" customWidth="1"/>
    <col min="15" max="15" width="4.53125" bestFit="1" customWidth="1"/>
    <col min="16" max="16" width="22.59765625" bestFit="1" customWidth="1"/>
    <col min="17" max="17" width="8.6640625" bestFit="1" customWidth="1"/>
    <col min="18" max="18" width="6.53125" bestFit="1" customWidth="1"/>
    <col min="19" max="19" width="11.59765625" bestFit="1" customWidth="1"/>
    <col min="20" max="20" width="2.1328125" bestFit="1" customWidth="1"/>
    <col min="21" max="21" width="13.86328125" bestFit="1" customWidth="1"/>
    <col min="24" max="24" width="14.3984375" bestFit="1" customWidth="1"/>
    <col min="25" max="25" width="12.73046875" bestFit="1" customWidth="1"/>
    <col min="26" max="26" width="107.73046875" bestFit="1" customWidth="1"/>
  </cols>
  <sheetData>
    <row r="1" spans="1:21" ht="17.25" thickBot="1">
      <c r="A1" s="5" t="s">
        <v>21</v>
      </c>
    </row>
    <row r="2" spans="1:21" ht="15" thickTop="1" thickBot="1">
      <c r="A2" s="6" t="s">
        <v>11</v>
      </c>
      <c r="B2" s="6" t="s">
        <v>22</v>
      </c>
      <c r="C2" s="6" t="s">
        <v>12</v>
      </c>
      <c r="D2" s="6" t="s">
        <v>13</v>
      </c>
      <c r="E2" s="6" t="s">
        <v>17</v>
      </c>
      <c r="F2" s="6" t="s">
        <v>18</v>
      </c>
      <c r="G2" s="6" t="s">
        <v>19</v>
      </c>
      <c r="H2" s="6" t="s">
        <v>14</v>
      </c>
      <c r="I2" s="6" t="s">
        <v>15</v>
      </c>
      <c r="J2" s="6" t="s">
        <v>16</v>
      </c>
      <c r="K2" s="6" t="s">
        <v>0</v>
      </c>
      <c r="L2" s="6" t="s">
        <v>6</v>
      </c>
      <c r="M2" s="6" t="s">
        <v>23</v>
      </c>
      <c r="N2" s="6" t="s">
        <v>2</v>
      </c>
      <c r="O2" s="6" t="s">
        <v>1</v>
      </c>
      <c r="P2" s="6" t="s">
        <v>10</v>
      </c>
      <c r="Q2" s="6" t="s">
        <v>58</v>
      </c>
      <c r="R2" s="6" t="s">
        <v>59</v>
      </c>
    </row>
    <row r="3" spans="1:21">
      <c r="A3" t="s">
        <v>7</v>
      </c>
      <c r="C3" t="s">
        <v>115</v>
      </c>
      <c r="D3" s="2" t="s">
        <v>157</v>
      </c>
      <c r="K3" t="s">
        <v>8</v>
      </c>
      <c r="N3" t="s">
        <v>70</v>
      </c>
    </row>
    <row r="4" spans="1:21">
      <c r="A4" t="s">
        <v>36</v>
      </c>
      <c r="C4" t="s">
        <v>115</v>
      </c>
      <c r="D4" s="2" t="s">
        <v>157</v>
      </c>
      <c r="K4" t="s">
        <v>8</v>
      </c>
      <c r="N4" t="s">
        <v>79</v>
      </c>
      <c r="T4" s="8" t="s">
        <v>43</v>
      </c>
      <c r="U4" s="8"/>
    </row>
    <row r="5" spans="1:21">
      <c r="A5" t="s">
        <v>5</v>
      </c>
      <c r="C5" t="s">
        <v>116</v>
      </c>
      <c r="D5" s="2" t="s">
        <v>157</v>
      </c>
      <c r="I5" t="s">
        <v>261</v>
      </c>
      <c r="K5" t="s">
        <v>80</v>
      </c>
      <c r="N5" t="s">
        <v>81</v>
      </c>
      <c r="T5" s="3" t="s">
        <v>44</v>
      </c>
      <c r="U5" s="3" t="s">
        <v>52</v>
      </c>
    </row>
    <row r="6" spans="1:21">
      <c r="A6" t="s">
        <v>60</v>
      </c>
      <c r="C6" t="s">
        <v>143</v>
      </c>
      <c r="D6" s="2"/>
      <c r="H6" t="s">
        <v>26</v>
      </c>
      <c r="I6" s="2" t="s">
        <v>99</v>
      </c>
      <c r="K6" t="s">
        <v>86</v>
      </c>
      <c r="N6" t="s">
        <v>42</v>
      </c>
      <c r="Q6" t="s">
        <v>118</v>
      </c>
      <c r="T6" s="3"/>
      <c r="U6" s="3"/>
    </row>
    <row r="7" spans="1:21">
      <c r="A7" t="s">
        <v>5</v>
      </c>
      <c r="I7" s="2" t="s">
        <v>125</v>
      </c>
      <c r="K7" t="s">
        <v>127</v>
      </c>
      <c r="N7" t="s">
        <v>129</v>
      </c>
      <c r="T7" s="3"/>
      <c r="U7" s="3"/>
    </row>
    <row r="8" spans="1:21">
      <c r="A8" t="s">
        <v>5</v>
      </c>
      <c r="I8" s="2" t="s">
        <v>126</v>
      </c>
      <c r="K8" t="s">
        <v>128</v>
      </c>
      <c r="N8" t="s">
        <v>130</v>
      </c>
      <c r="T8" s="3"/>
      <c r="U8" s="3"/>
    </row>
    <row r="9" spans="1:21">
      <c r="A9" t="s">
        <v>30</v>
      </c>
      <c r="C9" t="s">
        <v>115</v>
      </c>
      <c r="D9" s="2" t="s">
        <v>117</v>
      </c>
      <c r="K9" t="s">
        <v>292</v>
      </c>
      <c r="N9" t="s">
        <v>82</v>
      </c>
    </row>
    <row r="10" spans="1:21">
      <c r="A10" s="4" t="s">
        <v>29</v>
      </c>
      <c r="B10" s="4" t="s">
        <v>56</v>
      </c>
      <c r="H10" t="s">
        <v>26</v>
      </c>
      <c r="K10" t="s">
        <v>83</v>
      </c>
      <c r="N10" t="s">
        <v>45</v>
      </c>
      <c r="P10" t="s">
        <v>46</v>
      </c>
      <c r="Q10" t="s">
        <v>47</v>
      </c>
    </row>
    <row r="11" spans="1:21">
      <c r="A11" s="4" t="s">
        <v>29</v>
      </c>
      <c r="B11" s="4" t="s">
        <v>56</v>
      </c>
      <c r="I11" t="s">
        <v>139</v>
      </c>
      <c r="K11" t="s">
        <v>140</v>
      </c>
      <c r="N11" t="s">
        <v>141</v>
      </c>
    </row>
    <row r="12" spans="1:21">
      <c r="A12" t="s">
        <v>48</v>
      </c>
      <c r="K12" t="s">
        <v>84</v>
      </c>
      <c r="N12" t="s">
        <v>49</v>
      </c>
      <c r="P12" t="s">
        <v>51</v>
      </c>
      <c r="Q12" t="s">
        <v>50</v>
      </c>
    </row>
    <row r="13" spans="1:21">
      <c r="A13" s="4" t="s">
        <v>57</v>
      </c>
      <c r="B13" s="4" t="s">
        <v>36</v>
      </c>
      <c r="K13" t="s">
        <v>83</v>
      </c>
      <c r="N13" t="s">
        <v>61</v>
      </c>
      <c r="Q13" t="s">
        <v>44</v>
      </c>
    </row>
    <row r="14" spans="1:21">
      <c r="A14" s="4" t="s">
        <v>290</v>
      </c>
      <c r="K14" t="s">
        <v>292</v>
      </c>
      <c r="N14" t="s">
        <v>293</v>
      </c>
      <c r="Q14" t="s">
        <v>50</v>
      </c>
    </row>
    <row r="15" spans="1:21">
      <c r="A15" s="4" t="s">
        <v>291</v>
      </c>
      <c r="K15" t="s">
        <v>292</v>
      </c>
      <c r="N15" t="s">
        <v>294</v>
      </c>
      <c r="Q15" t="s">
        <v>50</v>
      </c>
    </row>
  </sheetData>
  <mergeCells count="1">
    <mergeCell ref="T4:U4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8EC7F-95E3-4526-8B78-C58A96098159}">
  <dimension ref="C1:K3"/>
  <sheetViews>
    <sheetView zoomScaleNormal="100" workbookViewId="0"/>
  </sheetViews>
  <sheetFormatPr defaultRowHeight="14.25"/>
  <cols>
    <col min="3" max="3" width="17.53125" bestFit="1" customWidth="1"/>
    <col min="4" max="4" width="17.796875" bestFit="1" customWidth="1"/>
    <col min="5" max="5" width="24.1328125" bestFit="1" customWidth="1"/>
    <col min="6" max="6" width="9" bestFit="1" customWidth="1"/>
    <col min="7" max="7" width="8.19921875" bestFit="1" customWidth="1"/>
    <col min="8" max="8" width="5.796875" bestFit="1" customWidth="1"/>
    <col min="9" max="9" width="10.19921875" bestFit="1" customWidth="1"/>
    <col min="10" max="10" width="10.33203125" bestFit="1" customWidth="1"/>
    <col min="11" max="11" width="12.46484375" bestFit="1" customWidth="1"/>
  </cols>
  <sheetData>
    <row r="1" spans="3:11">
      <c r="C1" t="s">
        <v>103</v>
      </c>
    </row>
    <row r="2" spans="3:11">
      <c r="C2" t="s">
        <v>104</v>
      </c>
      <c r="D2" t="s">
        <v>105</v>
      </c>
      <c r="E2" s="1" t="s">
        <v>2</v>
      </c>
      <c r="F2" t="s">
        <v>0</v>
      </c>
      <c r="G2" t="s">
        <v>58</v>
      </c>
      <c r="H2" t="s">
        <v>106</v>
      </c>
      <c r="I2" t="s">
        <v>107</v>
      </c>
      <c r="J2" t="s">
        <v>108</v>
      </c>
      <c r="K2" t="s">
        <v>10</v>
      </c>
    </row>
    <row r="3" spans="3:11">
      <c r="C3" t="s">
        <v>81</v>
      </c>
      <c r="D3" t="s">
        <v>70</v>
      </c>
      <c r="E3" s="7" t="s">
        <v>109</v>
      </c>
      <c r="F3" t="s">
        <v>110</v>
      </c>
      <c r="G3" t="s">
        <v>44</v>
      </c>
      <c r="I3" t="s">
        <v>111</v>
      </c>
      <c r="J3" t="s">
        <v>44</v>
      </c>
    </row>
  </sheetData>
  <pageMargins left="0.7" right="0.7" top="0.75" bottom="0.75" header="0.3" footer="0.3"/>
  <pageSetup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44EBE-400A-4EA2-9DA1-076783A77DFC}">
  <dimension ref="A3:S23"/>
  <sheetViews>
    <sheetView workbookViewId="0">
      <selection activeCell="F19" sqref="F19"/>
    </sheetView>
  </sheetViews>
  <sheetFormatPr defaultRowHeight="14.25"/>
  <cols>
    <col min="1" max="19" width="19.265625" customWidth="1"/>
  </cols>
  <sheetData>
    <row r="3" spans="1:19" ht="17.25" thickBot="1">
      <c r="A3" s="5" t="s">
        <v>295</v>
      </c>
    </row>
    <row r="4" spans="1:19" ht="15" thickTop="1" thickBot="1">
      <c r="A4" s="6" t="s">
        <v>11</v>
      </c>
      <c r="B4" s="6" t="s">
        <v>12</v>
      </c>
      <c r="C4" s="6" t="s">
        <v>13</v>
      </c>
      <c r="D4" s="6" t="s">
        <v>17</v>
      </c>
      <c r="E4" s="6" t="s">
        <v>18</v>
      </c>
      <c r="F4" s="6" t="s">
        <v>19</v>
      </c>
      <c r="G4" s="6" t="s">
        <v>14</v>
      </c>
      <c r="H4" s="6" t="s">
        <v>15</v>
      </c>
      <c r="I4" s="6" t="s">
        <v>16</v>
      </c>
      <c r="J4" s="6" t="s">
        <v>0</v>
      </c>
      <c r="K4" s="6" t="s">
        <v>6</v>
      </c>
      <c r="L4" s="6" t="s">
        <v>23</v>
      </c>
      <c r="M4" s="6" t="s">
        <v>2</v>
      </c>
      <c r="N4" s="6" t="s">
        <v>1</v>
      </c>
      <c r="O4" s="6" t="s">
        <v>10</v>
      </c>
      <c r="P4" s="6" t="s">
        <v>58</v>
      </c>
      <c r="Q4" s="6" t="s">
        <v>106</v>
      </c>
      <c r="R4" s="6" t="s">
        <v>158</v>
      </c>
      <c r="S4" s="6" t="s">
        <v>159</v>
      </c>
    </row>
    <row r="5" spans="1:19">
      <c r="A5" t="s">
        <v>5</v>
      </c>
      <c r="B5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5" t="str">
        <f>_xlfn.TEXTJOIN(",",TRUE,CSET_MAP!$A$3:$A$43)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elec,hydrogen,ELC,buildings,industry,transport,EVs,fossil,renewable,bioenergy,nuclear</v>
      </c>
      <c r="J5" t="s">
        <v>160</v>
      </c>
      <c r="M5" t="s">
        <v>192</v>
      </c>
      <c r="S5">
        <v>-1</v>
      </c>
    </row>
    <row r="6" spans="1:19">
      <c r="A6" t="s">
        <v>161</v>
      </c>
      <c r="B6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6" t="str">
        <f>_xlfn.TEXTJOIN(",",TRUE,CSET_MAP!$A$3:$A$43)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elec,hydrogen,ELC,buildings,industry,transport,EVs,fossil,renewable,bioenergy,nuclear</v>
      </c>
      <c r="J6" t="s">
        <v>160</v>
      </c>
      <c r="M6" t="s">
        <v>193</v>
      </c>
      <c r="S6">
        <v>-1</v>
      </c>
    </row>
    <row r="10" spans="1:19" ht="17.25" thickBot="1">
      <c r="A10" s="5" t="s">
        <v>265</v>
      </c>
    </row>
    <row r="11" spans="1:19" ht="15" thickTop="1" thickBot="1">
      <c r="A11" s="6" t="s">
        <v>11</v>
      </c>
      <c r="B11" s="6" t="s">
        <v>12</v>
      </c>
      <c r="C11" s="6" t="s">
        <v>13</v>
      </c>
      <c r="D11" s="6" t="s">
        <v>17</v>
      </c>
      <c r="E11" s="6" t="s">
        <v>18</v>
      </c>
      <c r="F11" s="6" t="s">
        <v>19</v>
      </c>
      <c r="G11" s="6" t="s">
        <v>14</v>
      </c>
      <c r="H11" s="6" t="s">
        <v>15</v>
      </c>
      <c r="I11" s="6" t="s">
        <v>16</v>
      </c>
      <c r="J11" s="6" t="s">
        <v>0</v>
      </c>
      <c r="K11" s="6" t="s">
        <v>6</v>
      </c>
      <c r="L11" s="6" t="s">
        <v>23</v>
      </c>
      <c r="M11" s="6" t="s">
        <v>2</v>
      </c>
      <c r="N11" s="6" t="s">
        <v>1</v>
      </c>
      <c r="O11" s="6" t="s">
        <v>10</v>
      </c>
      <c r="P11" s="6" t="s">
        <v>58</v>
      </c>
      <c r="Q11" s="6" t="s">
        <v>106</v>
      </c>
      <c r="R11" s="6" t="s">
        <v>158</v>
      </c>
      <c r="S11" s="6" t="s">
        <v>159</v>
      </c>
    </row>
    <row r="12" spans="1:19">
      <c r="A12" t="s">
        <v>120</v>
      </c>
      <c r="B12" s="4" t="s">
        <v>279</v>
      </c>
    </row>
    <row r="13" spans="1:19">
      <c r="A13" t="s">
        <v>5</v>
      </c>
      <c r="F13" t="str">
        <f>H13</f>
        <v>bioenergy,coal,gas,geothermal,hydro,hydrogen,nuclear,oil,solar,windon,windoff</v>
      </c>
      <c r="H13" t="str">
        <f>_xlfn.TEXTJOIN(",",TRUE,CName_MAP!$A$3:$A$16)</f>
        <v>bioenergy,coal,gas,geothermal,hydro,hydrogen,nuclear,oil,solar,windon,windoff</v>
      </c>
      <c r="J13" t="s">
        <v>160</v>
      </c>
      <c r="M13" t="s">
        <v>274</v>
      </c>
      <c r="S13">
        <v>-1</v>
      </c>
    </row>
    <row r="14" spans="1:19">
      <c r="A14" t="s">
        <v>161</v>
      </c>
      <c r="B14" t="str">
        <f>B5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H14" t="str">
        <f>_xlfn.TEXTJOIN(",",TRUE,CName_MAP!$A$3:$A$16)</f>
        <v>bioenergy,coal,gas,geothermal,hydro,hydrogen,nuclear,oil,solar,windon,windoff</v>
      </c>
      <c r="J14" t="s">
        <v>160</v>
      </c>
      <c r="M14" t="s">
        <v>275</v>
      </c>
      <c r="S14">
        <v>-1</v>
      </c>
    </row>
    <row r="15" spans="1:19">
      <c r="A15" t="s">
        <v>120</v>
      </c>
      <c r="B15" s="4" t="s">
        <v>276</v>
      </c>
    </row>
    <row r="16" spans="1:19">
      <c r="A16" t="s">
        <v>5</v>
      </c>
      <c r="B16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16" t="str">
        <f>_xlfn.TEXTJOIN(",",TRUE,CSET_MAP!$A$3:$A$31)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</v>
      </c>
      <c r="J16" t="s">
        <v>160</v>
      </c>
      <c r="M16" t="s">
        <v>282</v>
      </c>
      <c r="S16">
        <v>-1</v>
      </c>
    </row>
    <row r="17" spans="1:19">
      <c r="A17" t="s">
        <v>161</v>
      </c>
      <c r="B17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17" t="str">
        <f>_xlfn.TEXTJOIN(",",TRUE,CSET_MAP!$A$3:$A$31)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</v>
      </c>
      <c r="J17" t="s">
        <v>160</v>
      </c>
      <c r="M17" t="s">
        <v>283</v>
      </c>
      <c r="S17">
        <v>-1</v>
      </c>
    </row>
    <row r="18" spans="1:19">
      <c r="A18" t="s">
        <v>120</v>
      </c>
      <c r="B18" s="4" t="s">
        <v>277</v>
      </c>
    </row>
    <row r="19" spans="1:19">
      <c r="A19" t="s">
        <v>5</v>
      </c>
      <c r="F19" t="str">
        <f>H19</f>
        <v>hydrogen</v>
      </c>
      <c r="H19" t="s">
        <v>185</v>
      </c>
      <c r="J19" t="s">
        <v>160</v>
      </c>
      <c r="M19" t="s">
        <v>274</v>
      </c>
      <c r="S19">
        <v>-1</v>
      </c>
    </row>
    <row r="20" spans="1:19">
      <c r="A20" t="s">
        <v>161</v>
      </c>
      <c r="F20" t="s">
        <v>185</v>
      </c>
      <c r="G20" t="str">
        <f>_xlfn.TEXTJOIN(",",TRUE,CSET_MAP!$A$3:$A$43)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elec,hydrogen,ELC,buildings,industry,transport,EVs,fossil,renewable,bioenergy,nuclear</v>
      </c>
      <c r="J20" t="s">
        <v>160</v>
      </c>
      <c r="M20" t="s">
        <v>284</v>
      </c>
      <c r="S20">
        <v>-1</v>
      </c>
    </row>
    <row r="23" spans="1:19">
      <c r="A23" t="s">
        <v>161</v>
      </c>
      <c r="E23" t="s">
        <v>185</v>
      </c>
      <c r="H23" t="s">
        <v>185</v>
      </c>
      <c r="J23" t="s">
        <v>160</v>
      </c>
      <c r="M23" t="s">
        <v>278</v>
      </c>
      <c r="S23">
        <v>-1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/>
  <dimension ref="A1:C47"/>
  <sheetViews>
    <sheetView workbookViewId="0">
      <selection activeCell="A12" sqref="A12:B13"/>
    </sheetView>
  </sheetViews>
  <sheetFormatPr defaultColWidth="9.1328125" defaultRowHeight="14.25"/>
  <cols>
    <col min="1" max="1" width="15.265625" bestFit="1" customWidth="1"/>
    <col min="2" max="3" width="11.59765625" bestFit="1" customWidth="1"/>
    <col min="6" max="6" width="11" bestFit="1" customWidth="1"/>
  </cols>
  <sheetData>
    <row r="1" spans="1:3">
      <c r="A1" s="1" t="s">
        <v>24</v>
      </c>
    </row>
    <row r="2" spans="1:3">
      <c r="A2" t="s">
        <v>25</v>
      </c>
      <c r="B2" t="s">
        <v>1</v>
      </c>
      <c r="C2" t="s">
        <v>10</v>
      </c>
    </row>
    <row r="3" spans="1:3">
      <c r="A3" t="s">
        <v>87</v>
      </c>
      <c r="B3" t="str">
        <f>A3</f>
        <v>CCGT</v>
      </c>
    </row>
    <row r="4" spans="1:3">
      <c r="A4" t="s">
        <v>88</v>
      </c>
      <c r="B4" t="str">
        <f t="shared" ref="B4:B47" si="0">A4</f>
        <v>Int Comb</v>
      </c>
    </row>
    <row r="5" spans="1:3">
      <c r="A5" t="s">
        <v>89</v>
      </c>
      <c r="B5" t="str">
        <f t="shared" si="0"/>
        <v>Gas_Oil Steam</v>
      </c>
    </row>
    <row r="6" spans="1:3">
      <c r="A6" t="s">
        <v>90</v>
      </c>
      <c r="B6" t="str">
        <f t="shared" si="0"/>
        <v>OCGT (Peaker)</v>
      </c>
    </row>
    <row r="7" spans="1:3">
      <c r="A7" t="s">
        <v>91</v>
      </c>
      <c r="B7" t="str">
        <f t="shared" si="0"/>
        <v>Subcritical Coal</v>
      </c>
    </row>
    <row r="8" spans="1:3">
      <c r="A8" t="s">
        <v>92</v>
      </c>
      <c r="B8" t="str">
        <f t="shared" si="0"/>
        <v>Supercritical Coal</v>
      </c>
    </row>
    <row r="9" spans="1:3">
      <c r="A9" t="s">
        <v>93</v>
      </c>
      <c r="B9" t="str">
        <f t="shared" si="0"/>
        <v>IGCC</v>
      </c>
    </row>
    <row r="10" spans="1:3">
      <c r="A10" t="s">
        <v>195</v>
      </c>
      <c r="B10" t="str">
        <f t="shared" si="0"/>
        <v>Bio Power</v>
      </c>
    </row>
    <row r="11" spans="1:3">
      <c r="A11" t="s">
        <v>196</v>
      </c>
      <c r="B11" t="str">
        <f t="shared" si="0"/>
        <v>Solar Util</v>
      </c>
    </row>
    <row r="12" spans="1:3">
      <c r="A12" t="s">
        <v>94</v>
      </c>
      <c r="B12" t="s">
        <v>280</v>
      </c>
    </row>
    <row r="13" spans="1:3">
      <c r="A13" t="s">
        <v>95</v>
      </c>
      <c r="B13" t="s">
        <v>281</v>
      </c>
    </row>
    <row r="14" spans="1:3">
      <c r="A14" t="s">
        <v>197</v>
      </c>
      <c r="B14" t="str">
        <f t="shared" si="0"/>
        <v>Geothermal P</v>
      </c>
    </row>
    <row r="15" spans="1:3">
      <c r="A15" t="s">
        <v>201</v>
      </c>
      <c r="B15" t="str">
        <f t="shared" si="0"/>
        <v>Hydro Dam</v>
      </c>
    </row>
    <row r="16" spans="1:3">
      <c r="A16" t="s">
        <v>198</v>
      </c>
      <c r="B16" t="str">
        <f t="shared" si="0"/>
        <v>Hydro RoR</v>
      </c>
    </row>
    <row r="17" spans="1:2">
      <c r="A17" t="s">
        <v>199</v>
      </c>
      <c r="B17" t="str">
        <f t="shared" si="0"/>
        <v>Nuclear P</v>
      </c>
    </row>
    <row r="18" spans="1:2">
      <c r="A18" t="s">
        <v>200</v>
      </c>
      <c r="B18" t="str">
        <f t="shared" si="0"/>
        <v>Nuclear SMR</v>
      </c>
    </row>
    <row r="19" spans="1:2">
      <c r="A19" t="s">
        <v>96</v>
      </c>
      <c r="B19" t="str">
        <f t="shared" si="0"/>
        <v>Hydro pumped stg</v>
      </c>
    </row>
    <row r="20" spans="1:2">
      <c r="A20" t="s">
        <v>97</v>
      </c>
      <c r="B20" t="str">
        <f t="shared" si="0"/>
        <v>Util Batt Stg</v>
      </c>
    </row>
    <row r="21" spans="1:2">
      <c r="A21" t="s">
        <v>98</v>
      </c>
      <c r="B21" t="str">
        <f t="shared" si="0"/>
        <v>EV Batt</v>
      </c>
    </row>
    <row r="22" spans="1:2">
      <c r="A22" t="s">
        <v>162</v>
      </c>
      <c r="B22" t="str">
        <f t="shared" si="0"/>
        <v>Demand</v>
      </c>
    </row>
    <row r="23" spans="1:2">
      <c r="A23" t="s">
        <v>228</v>
      </c>
      <c r="B23" t="str">
        <f t="shared" si="0"/>
        <v>Transformers Dn</v>
      </c>
    </row>
    <row r="24" spans="1:2">
      <c r="A24" t="s">
        <v>229</v>
      </c>
      <c r="B24" t="str">
        <f t="shared" si="0"/>
        <v>Transformers Up</v>
      </c>
    </row>
    <row r="25" spans="1:2">
      <c r="A25" t="s">
        <v>205</v>
      </c>
      <c r="B25" t="str">
        <f t="shared" si="0"/>
        <v>Grid-220V</v>
      </c>
    </row>
    <row r="26" spans="1:2">
      <c r="A26" t="s">
        <v>206</v>
      </c>
      <c r="B26" t="str">
        <f t="shared" si="0"/>
        <v>Grid-400V</v>
      </c>
    </row>
    <row r="27" spans="1:2">
      <c r="A27" t="s">
        <v>207</v>
      </c>
      <c r="B27" t="str">
        <f t="shared" si="0"/>
        <v>Grid-380V</v>
      </c>
    </row>
    <row r="28" spans="1:2">
      <c r="A28" t="s">
        <v>208</v>
      </c>
      <c r="B28" t="str">
        <f t="shared" si="0"/>
        <v>Grid-225V</v>
      </c>
    </row>
    <row r="29" spans="1:2">
      <c r="A29" t="s">
        <v>209</v>
      </c>
      <c r="B29" t="str">
        <f t="shared" si="0"/>
        <v>Grid-330V</v>
      </c>
    </row>
    <row r="30" spans="1:2">
      <c r="A30" t="s">
        <v>210</v>
      </c>
      <c r="B30" t="str">
        <f t="shared" si="0"/>
        <v>Grid-275V</v>
      </c>
    </row>
    <row r="31" spans="1:2">
      <c r="A31" t="s">
        <v>211</v>
      </c>
      <c r="B31" t="str">
        <f t="shared" si="0"/>
        <v>Grid-420V</v>
      </c>
    </row>
    <row r="32" spans="1:2">
      <c r="A32" t="s">
        <v>212</v>
      </c>
      <c r="B32" t="str">
        <f t="shared" si="0"/>
        <v>Grid-300V</v>
      </c>
    </row>
    <row r="33" spans="1:2">
      <c r="A33" t="s">
        <v>213</v>
      </c>
      <c r="B33" t="str">
        <f t="shared" si="0"/>
        <v>Grid-500V</v>
      </c>
    </row>
    <row r="34" spans="1:2">
      <c r="A34" t="s">
        <v>214</v>
      </c>
      <c r="B34" t="str">
        <f t="shared" si="0"/>
        <v>Grid-750V</v>
      </c>
    </row>
    <row r="35" spans="1:2">
      <c r="A35" t="s">
        <v>215</v>
      </c>
      <c r="B35" t="str">
        <f t="shared" si="0"/>
        <v>Grid-450V</v>
      </c>
    </row>
    <row r="36" spans="1:2">
      <c r="A36" t="s">
        <v>216</v>
      </c>
      <c r="B36" t="str">
        <f t="shared" si="0"/>
        <v>Grid-515V</v>
      </c>
    </row>
    <row r="37" spans="1:2">
      <c r="A37" t="s">
        <v>217</v>
      </c>
      <c r="B37" t="str">
        <f t="shared" si="0"/>
        <v>Grid-525V</v>
      </c>
    </row>
    <row r="38" spans="1:2">
      <c r="A38" t="s">
        <v>218</v>
      </c>
      <c r="B38" t="str">
        <f t="shared" si="0"/>
        <v>Grid-320V</v>
      </c>
    </row>
    <row r="39" spans="1:2">
      <c r="A39" t="s">
        <v>219</v>
      </c>
      <c r="B39" t="str">
        <f t="shared" si="0"/>
        <v>Grid-150V</v>
      </c>
    </row>
    <row r="40" spans="1:2">
      <c r="A40" t="s">
        <v>220</v>
      </c>
      <c r="B40" t="str">
        <f t="shared" si="0"/>
        <v>Grid-270V</v>
      </c>
    </row>
    <row r="41" spans="1:2">
      <c r="A41" t="s">
        <v>221</v>
      </c>
      <c r="B41" t="str">
        <f t="shared" si="0"/>
        <v>Grid-350V</v>
      </c>
    </row>
    <row r="42" spans="1:2">
      <c r="A42" t="s">
        <v>222</v>
      </c>
      <c r="B42" t="str">
        <f t="shared" si="0"/>
        <v>Grid-250V</v>
      </c>
    </row>
    <row r="43" spans="1:2">
      <c r="A43" t="s">
        <v>223</v>
      </c>
      <c r="B43" t="str">
        <f t="shared" si="0"/>
        <v>Grid-200V</v>
      </c>
    </row>
    <row r="44" spans="1:2">
      <c r="A44" t="s">
        <v>224</v>
      </c>
      <c r="B44" t="str">
        <f t="shared" si="0"/>
        <v>Grid-236V</v>
      </c>
    </row>
    <row r="45" spans="1:2">
      <c r="A45" t="s">
        <v>225</v>
      </c>
      <c r="B45" t="str">
        <f t="shared" si="0"/>
        <v>Grid-600V</v>
      </c>
    </row>
    <row r="46" spans="1:2">
      <c r="A46" t="s">
        <v>226</v>
      </c>
      <c r="B46" t="str">
        <f t="shared" si="0"/>
        <v>Aggregators</v>
      </c>
    </row>
    <row r="47" spans="1:2">
      <c r="A47" t="s">
        <v>227</v>
      </c>
      <c r="B47" t="str">
        <f t="shared" si="0"/>
        <v>DUMMY_IMP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766D8-7F73-4A5A-98A5-9C85D527817F}">
  <dimension ref="A1:C35"/>
  <sheetViews>
    <sheetView workbookViewId="0">
      <selection activeCell="B26" sqref="B26"/>
    </sheetView>
  </sheetViews>
  <sheetFormatPr defaultRowHeight="14.25"/>
  <cols>
    <col min="1" max="1" width="11" bestFit="1" customWidth="1"/>
  </cols>
  <sheetData>
    <row r="1" spans="1:3">
      <c r="A1" s="1" t="s">
        <v>71</v>
      </c>
    </row>
    <row r="2" spans="1:3">
      <c r="A2" t="s">
        <v>72</v>
      </c>
      <c r="B2" t="s">
        <v>1</v>
      </c>
      <c r="C2" t="s">
        <v>10</v>
      </c>
    </row>
    <row r="3" spans="1:3">
      <c r="A3" t="s">
        <v>163</v>
      </c>
      <c r="B3" t="str">
        <f>A3</f>
        <v>Elec-220V</v>
      </c>
    </row>
    <row r="4" spans="1:3">
      <c r="A4" t="s">
        <v>164</v>
      </c>
      <c r="B4" t="str">
        <f t="shared" ref="B4:B23" si="0">A4</f>
        <v>Elec-400V</v>
      </c>
    </row>
    <row r="5" spans="1:3">
      <c r="A5" t="s">
        <v>165</v>
      </c>
      <c r="B5" t="str">
        <f t="shared" si="0"/>
        <v>Elec-380V</v>
      </c>
    </row>
    <row r="6" spans="1:3">
      <c r="A6" t="s">
        <v>166</v>
      </c>
      <c r="B6" t="str">
        <f t="shared" si="0"/>
        <v>Elec-225V</v>
      </c>
    </row>
    <row r="7" spans="1:3">
      <c r="A7" t="s">
        <v>167</v>
      </c>
      <c r="B7" t="str">
        <f t="shared" si="0"/>
        <v>Elec-330V</v>
      </c>
    </row>
    <row r="8" spans="1:3">
      <c r="A8" t="s">
        <v>168</v>
      </c>
      <c r="B8" t="str">
        <f t="shared" si="0"/>
        <v>Elec-275V</v>
      </c>
    </row>
    <row r="9" spans="1:3">
      <c r="A9" t="s">
        <v>169</v>
      </c>
      <c r="B9" t="str">
        <f t="shared" si="0"/>
        <v>Elec-420V</v>
      </c>
    </row>
    <row r="10" spans="1:3">
      <c r="A10" t="s">
        <v>170</v>
      </c>
      <c r="B10" t="str">
        <f t="shared" si="0"/>
        <v>Elec-300V</v>
      </c>
    </row>
    <row r="11" spans="1:3">
      <c r="A11" t="s">
        <v>171</v>
      </c>
      <c r="B11" t="str">
        <f t="shared" si="0"/>
        <v>Elec-500V</v>
      </c>
    </row>
    <row r="12" spans="1:3">
      <c r="A12" t="s">
        <v>172</v>
      </c>
      <c r="B12" t="str">
        <f t="shared" si="0"/>
        <v>Elec-750V</v>
      </c>
    </row>
    <row r="13" spans="1:3">
      <c r="A13" t="s">
        <v>173</v>
      </c>
      <c r="B13" t="str">
        <f t="shared" si="0"/>
        <v>Elec-450V</v>
      </c>
    </row>
    <row r="14" spans="1:3">
      <c r="A14" t="s">
        <v>174</v>
      </c>
      <c r="B14" t="str">
        <f t="shared" si="0"/>
        <v>Elec-515V</v>
      </c>
    </row>
    <row r="15" spans="1:3">
      <c r="A15" t="s">
        <v>175</v>
      </c>
      <c r="B15" t="str">
        <f t="shared" si="0"/>
        <v>Elec-525V</v>
      </c>
    </row>
    <row r="16" spans="1:3">
      <c r="A16" t="s">
        <v>176</v>
      </c>
      <c r="B16" t="str">
        <f t="shared" si="0"/>
        <v>Elec-320V</v>
      </c>
    </row>
    <row r="17" spans="1:2">
      <c r="A17" t="s">
        <v>177</v>
      </c>
      <c r="B17" t="str">
        <f t="shared" si="0"/>
        <v>Elec-150V</v>
      </c>
    </row>
    <row r="18" spans="1:2">
      <c r="A18" t="s">
        <v>178</v>
      </c>
      <c r="B18" t="str">
        <f t="shared" si="0"/>
        <v>Elec-270V</v>
      </c>
    </row>
    <row r="19" spans="1:2">
      <c r="A19" t="s">
        <v>179</v>
      </c>
      <c r="B19" t="str">
        <f t="shared" si="0"/>
        <v>Elec-350V</v>
      </c>
    </row>
    <row r="20" spans="1:2">
      <c r="A20" t="s">
        <v>180</v>
      </c>
      <c r="B20" t="str">
        <f t="shared" si="0"/>
        <v>Elec-250V</v>
      </c>
    </row>
    <row r="21" spans="1:2">
      <c r="A21" t="s">
        <v>181</v>
      </c>
      <c r="B21" t="str">
        <f t="shared" si="0"/>
        <v>Elec-200V</v>
      </c>
    </row>
    <row r="22" spans="1:2">
      <c r="A22" t="s">
        <v>182</v>
      </c>
      <c r="B22" t="str">
        <f t="shared" si="0"/>
        <v>Elec-236V</v>
      </c>
    </row>
    <row r="23" spans="1:2">
      <c r="A23" t="s">
        <v>183</v>
      </c>
      <c r="B23" t="str">
        <f t="shared" si="0"/>
        <v>Elec-600V</v>
      </c>
    </row>
    <row r="24" spans="1:2">
      <c r="A24" t="s">
        <v>202</v>
      </c>
      <c r="B24" t="s">
        <v>276</v>
      </c>
    </row>
    <row r="25" spans="1:2">
      <c r="A25" t="s">
        <v>203</v>
      </c>
      <c r="B25" t="s">
        <v>276</v>
      </c>
    </row>
    <row r="26" spans="1:2">
      <c r="A26" t="s">
        <v>185</v>
      </c>
      <c r="B26" t="str">
        <f t="shared" ref="B26" si="1">A26</f>
        <v>hydrogen</v>
      </c>
    </row>
    <row r="27" spans="1:2">
      <c r="A27" t="s">
        <v>187</v>
      </c>
      <c r="B27" t="s">
        <v>276</v>
      </c>
    </row>
    <row r="28" spans="1:2">
      <c r="A28" t="s">
        <v>188</v>
      </c>
      <c r="B28" t="str">
        <f t="shared" ref="B28:B35" si="2">A28</f>
        <v>buildings</v>
      </c>
    </row>
    <row r="29" spans="1:2">
      <c r="A29" t="s">
        <v>189</v>
      </c>
      <c r="B29" t="str">
        <f t="shared" si="2"/>
        <v>industry</v>
      </c>
    </row>
    <row r="30" spans="1:2">
      <c r="A30" t="s">
        <v>190</v>
      </c>
      <c r="B30" t="str">
        <f t="shared" si="2"/>
        <v>transport</v>
      </c>
    </row>
    <row r="31" spans="1:2">
      <c r="A31" t="s">
        <v>191</v>
      </c>
      <c r="B31" t="str">
        <f t="shared" si="2"/>
        <v>EVs</v>
      </c>
    </row>
    <row r="32" spans="1:2">
      <c r="A32" s="7" t="s">
        <v>194</v>
      </c>
      <c r="B32" s="7" t="str">
        <f t="shared" si="2"/>
        <v>fossil</v>
      </c>
    </row>
    <row r="33" spans="1:2">
      <c r="A33" s="7" t="s">
        <v>204</v>
      </c>
      <c r="B33" s="7" t="str">
        <f t="shared" si="2"/>
        <v>renewable</v>
      </c>
    </row>
    <row r="34" spans="1:2">
      <c r="A34" s="7" t="s">
        <v>184</v>
      </c>
      <c r="B34" s="7" t="str">
        <f t="shared" si="2"/>
        <v>bioenergy</v>
      </c>
    </row>
    <row r="35" spans="1:2">
      <c r="A35" s="7" t="s">
        <v>186</v>
      </c>
      <c r="B35" s="7" t="str">
        <f t="shared" si="2"/>
        <v>nuclear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2"/>
  <dimension ref="A1:C13"/>
  <sheetViews>
    <sheetView workbookViewId="0">
      <pane ySplit="2" topLeftCell="A3" activePane="bottomLeft" state="frozen"/>
      <selection pane="bottomLeft" activeCell="B14" sqref="B14"/>
    </sheetView>
  </sheetViews>
  <sheetFormatPr defaultColWidth="9.1328125" defaultRowHeight="14.25"/>
  <cols>
    <col min="1" max="1" width="13.59765625" bestFit="1" customWidth="1"/>
    <col min="2" max="2" width="14.1328125" bestFit="1" customWidth="1"/>
    <col min="3" max="3" width="36.3984375" bestFit="1" customWidth="1"/>
    <col min="6" max="6" width="11" bestFit="1" customWidth="1"/>
  </cols>
  <sheetData>
    <row r="1" spans="1:3">
      <c r="A1" s="1" t="s">
        <v>27</v>
      </c>
    </row>
    <row r="2" spans="1:3">
      <c r="A2" t="s">
        <v>28</v>
      </c>
      <c r="B2" t="s">
        <v>1</v>
      </c>
      <c r="C2" t="s">
        <v>10</v>
      </c>
    </row>
    <row r="3" spans="1:3">
      <c r="A3" t="s">
        <v>184</v>
      </c>
      <c r="B3" t="str">
        <f>A3</f>
        <v>bioenergy</v>
      </c>
    </row>
    <row r="4" spans="1:3">
      <c r="A4" t="s">
        <v>136</v>
      </c>
      <c r="B4" t="str">
        <f t="shared" ref="B4:B11" si="0">A4</f>
        <v>coal</v>
      </c>
    </row>
    <row r="5" spans="1:3">
      <c r="A5" t="s">
        <v>137</v>
      </c>
      <c r="B5" t="str">
        <f t="shared" si="0"/>
        <v>gas</v>
      </c>
    </row>
    <row r="6" spans="1:3">
      <c r="A6" t="s">
        <v>266</v>
      </c>
      <c r="B6" t="str">
        <f t="shared" si="0"/>
        <v>geothermal</v>
      </c>
    </row>
    <row r="7" spans="1:3">
      <c r="A7" t="s">
        <v>267</v>
      </c>
      <c r="B7" t="str">
        <f t="shared" si="0"/>
        <v>hydro</v>
      </c>
    </row>
    <row r="8" spans="1:3">
      <c r="A8" t="s">
        <v>185</v>
      </c>
      <c r="B8" t="str">
        <f t="shared" si="0"/>
        <v>hydrogen</v>
      </c>
    </row>
    <row r="9" spans="1:3">
      <c r="A9" t="s">
        <v>186</v>
      </c>
      <c r="B9" t="str">
        <f t="shared" si="0"/>
        <v>nuclear</v>
      </c>
    </row>
    <row r="10" spans="1:3">
      <c r="A10" t="s">
        <v>268</v>
      </c>
      <c r="B10" t="str">
        <f t="shared" si="0"/>
        <v>oil</v>
      </c>
    </row>
    <row r="11" spans="1:3">
      <c r="A11" t="s">
        <v>269</v>
      </c>
      <c r="B11" t="str">
        <f t="shared" si="0"/>
        <v>solar</v>
      </c>
    </row>
    <row r="12" spans="1:3">
      <c r="A12" t="s">
        <v>270</v>
      </c>
      <c r="B12" t="s">
        <v>272</v>
      </c>
    </row>
    <row r="13" spans="1:3">
      <c r="A13" t="s">
        <v>271</v>
      </c>
      <c r="B13" t="s">
        <v>273</v>
      </c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57E82-8232-40A9-A839-CC5F79005B92}">
  <sheetPr codeName="Sheet3"/>
  <dimension ref="A1:C10"/>
  <sheetViews>
    <sheetView workbookViewId="0">
      <selection activeCell="A2" sqref="A2"/>
    </sheetView>
  </sheetViews>
  <sheetFormatPr defaultRowHeight="14.25"/>
  <cols>
    <col min="1" max="1" width="13.1328125" bestFit="1" customWidth="1"/>
    <col min="2" max="2" width="6.19921875" bestFit="1" customWidth="1"/>
    <col min="3" max="3" width="9.59765625" bestFit="1" customWidth="1"/>
  </cols>
  <sheetData>
    <row r="1" spans="1:3">
      <c r="A1" t="s">
        <v>156</v>
      </c>
    </row>
    <row r="2" spans="1:3">
      <c r="A2" t="s">
        <v>53</v>
      </c>
      <c r="B2" t="s">
        <v>54</v>
      </c>
      <c r="C2" t="s">
        <v>55</v>
      </c>
    </row>
    <row r="3" spans="1:3">
      <c r="A3" t="s">
        <v>148</v>
      </c>
      <c r="B3" t="s">
        <v>145</v>
      </c>
      <c r="C3" t="s">
        <v>146</v>
      </c>
    </row>
    <row r="4" spans="1:3">
      <c r="A4" t="s">
        <v>148</v>
      </c>
      <c r="B4" t="s">
        <v>144</v>
      </c>
      <c r="C4" t="s">
        <v>147</v>
      </c>
    </row>
    <row r="5" spans="1:3">
      <c r="A5" t="s">
        <v>149</v>
      </c>
      <c r="B5" t="s">
        <v>150</v>
      </c>
      <c r="C5" t="str">
        <f>LEFT(B5,2)</f>
        <v>S1</v>
      </c>
    </row>
    <row r="6" spans="1:3">
      <c r="A6" t="s">
        <v>149</v>
      </c>
      <c r="B6" t="s">
        <v>151</v>
      </c>
      <c r="C6" t="str">
        <f t="shared" ref="C6:C10" si="0">LEFT(B6,2)</f>
        <v>S2</v>
      </c>
    </row>
    <row r="7" spans="1:3">
      <c r="A7" t="s">
        <v>149</v>
      </c>
      <c r="B7" t="s">
        <v>152</v>
      </c>
      <c r="C7" t="str">
        <f t="shared" si="0"/>
        <v>S3</v>
      </c>
    </row>
    <row r="8" spans="1:3">
      <c r="A8" t="s">
        <v>149</v>
      </c>
      <c r="B8" t="s">
        <v>153</v>
      </c>
      <c r="C8" t="str">
        <f t="shared" si="0"/>
        <v>S4</v>
      </c>
    </row>
    <row r="9" spans="1:3">
      <c r="A9" t="s">
        <v>149</v>
      </c>
      <c r="B9" t="s">
        <v>154</v>
      </c>
      <c r="C9" t="str">
        <f t="shared" si="0"/>
        <v>S5</v>
      </c>
    </row>
    <row r="10" spans="1:3">
      <c r="A10" t="s">
        <v>149</v>
      </c>
      <c r="B10" t="s">
        <v>155</v>
      </c>
      <c r="C10" t="str">
        <f t="shared" si="0"/>
        <v>S6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DB714-E6AA-4E3E-B77B-62B65BA0E218}">
  <dimension ref="A1:G56"/>
  <sheetViews>
    <sheetView workbookViewId="0">
      <pane ySplit="2" topLeftCell="A39" activePane="bottomLeft" state="frozen"/>
      <selection pane="bottomLeft" activeCell="B39" sqref="B39"/>
    </sheetView>
  </sheetViews>
  <sheetFormatPr defaultRowHeight="14.25"/>
  <cols>
    <col min="1" max="1" width="14.86328125" bestFit="1" customWidth="1"/>
    <col min="2" max="2" width="11.06640625" bestFit="1" customWidth="1"/>
    <col min="3" max="4" width="15.265625" bestFit="1" customWidth="1"/>
    <col min="5" max="5" width="6.46484375" bestFit="1" customWidth="1"/>
    <col min="6" max="6" width="10.53125" bestFit="1" customWidth="1"/>
    <col min="7" max="7" width="7.33203125" bestFit="1" customWidth="1"/>
  </cols>
  <sheetData>
    <row r="1" spans="1:7" ht="17.25" thickBot="1">
      <c r="A1" s="5" t="s">
        <v>64</v>
      </c>
    </row>
    <row r="2" spans="1:7" ht="15" thickTop="1" thickBot="1">
      <c r="A2" s="6" t="s">
        <v>53</v>
      </c>
      <c r="B2" s="6" t="s">
        <v>54</v>
      </c>
      <c r="C2" s="6" t="s">
        <v>55</v>
      </c>
      <c r="D2" s="6" t="s">
        <v>65</v>
      </c>
      <c r="E2" s="6" t="s">
        <v>66</v>
      </c>
      <c r="F2" s="6" t="s">
        <v>67</v>
      </c>
      <c r="G2" s="6" t="s">
        <v>68</v>
      </c>
    </row>
    <row r="3" spans="1:7">
      <c r="A3" t="s">
        <v>119</v>
      </c>
      <c r="B3" t="s">
        <v>120</v>
      </c>
      <c r="C3" t="s">
        <v>121</v>
      </c>
    </row>
    <row r="4" spans="1:7">
      <c r="A4" t="s">
        <v>119</v>
      </c>
      <c r="B4" t="s">
        <v>122</v>
      </c>
      <c r="C4" t="s">
        <v>123</v>
      </c>
    </row>
    <row r="5" spans="1:7">
      <c r="A5" t="s">
        <v>69</v>
      </c>
      <c r="C5" t="str">
        <f>D5</f>
        <v>CCGT</v>
      </c>
      <c r="D5" t="s">
        <v>87</v>
      </c>
    </row>
    <row r="6" spans="1:7">
      <c r="A6" t="s">
        <v>69</v>
      </c>
      <c r="C6" t="str">
        <f t="shared" ref="C6:C49" si="0">D6</f>
        <v>Int Comb</v>
      </c>
      <c r="D6" t="s">
        <v>88</v>
      </c>
    </row>
    <row r="7" spans="1:7">
      <c r="A7" t="s">
        <v>69</v>
      </c>
      <c r="C7" t="str">
        <f t="shared" si="0"/>
        <v>Gas_Oil Steam</v>
      </c>
      <c r="D7" t="s">
        <v>89</v>
      </c>
    </row>
    <row r="8" spans="1:7">
      <c r="A8" t="s">
        <v>69</v>
      </c>
      <c r="C8" t="str">
        <f t="shared" si="0"/>
        <v>OCGT (Peaker)</v>
      </c>
      <c r="D8" t="s">
        <v>90</v>
      </c>
    </row>
    <row r="9" spans="1:7">
      <c r="A9" t="s">
        <v>69</v>
      </c>
      <c r="C9" t="str">
        <f t="shared" si="0"/>
        <v>Subcritical Coal</v>
      </c>
      <c r="D9" t="s">
        <v>91</v>
      </c>
    </row>
    <row r="10" spans="1:7">
      <c r="A10" t="s">
        <v>69</v>
      </c>
      <c r="C10" t="str">
        <f t="shared" si="0"/>
        <v>Supercritical Coal</v>
      </c>
      <c r="D10" t="s">
        <v>92</v>
      </c>
    </row>
    <row r="11" spans="1:7">
      <c r="A11" t="s">
        <v>69</v>
      </c>
      <c r="C11" t="str">
        <f t="shared" si="0"/>
        <v>IGCC</v>
      </c>
      <c r="D11" t="s">
        <v>93</v>
      </c>
    </row>
    <row r="12" spans="1:7">
      <c r="A12" t="s">
        <v>69</v>
      </c>
      <c r="C12" t="str">
        <f t="shared" si="0"/>
        <v>Bio Power</v>
      </c>
      <c r="D12" t="s">
        <v>195</v>
      </c>
    </row>
    <row r="13" spans="1:7">
      <c r="A13" t="s">
        <v>69</v>
      </c>
      <c r="C13" t="str">
        <f t="shared" si="0"/>
        <v>Solar Util</v>
      </c>
      <c r="D13" t="s">
        <v>196</v>
      </c>
    </row>
    <row r="14" spans="1:7">
      <c r="A14" t="s">
        <v>69</v>
      </c>
      <c r="C14" t="str">
        <f t="shared" si="0"/>
        <v>Wind onshore</v>
      </c>
      <c r="D14" t="s">
        <v>94</v>
      </c>
    </row>
    <row r="15" spans="1:7">
      <c r="A15" t="s">
        <v>69</v>
      </c>
      <c r="C15" t="str">
        <f t="shared" si="0"/>
        <v>Wind offshore</v>
      </c>
      <c r="D15" t="s">
        <v>95</v>
      </c>
    </row>
    <row r="16" spans="1:7">
      <c r="A16" t="s">
        <v>69</v>
      </c>
      <c r="C16" t="str">
        <f t="shared" si="0"/>
        <v>Geothermal P</v>
      </c>
      <c r="D16" t="s">
        <v>197</v>
      </c>
    </row>
    <row r="17" spans="1:4">
      <c r="A17" t="s">
        <v>69</v>
      </c>
      <c r="C17" t="str">
        <f t="shared" si="0"/>
        <v>Hydro Dam</v>
      </c>
      <c r="D17" t="s">
        <v>201</v>
      </c>
    </row>
    <row r="18" spans="1:4">
      <c r="A18" t="s">
        <v>69</v>
      </c>
      <c r="C18" t="str">
        <f t="shared" si="0"/>
        <v>Hydro RoR</v>
      </c>
      <c r="D18" t="s">
        <v>198</v>
      </c>
    </row>
    <row r="19" spans="1:4">
      <c r="A19" t="s">
        <v>69</v>
      </c>
      <c r="C19" t="str">
        <f t="shared" si="0"/>
        <v>Nuclear P</v>
      </c>
      <c r="D19" t="s">
        <v>199</v>
      </c>
    </row>
    <row r="20" spans="1:4">
      <c r="A20" t="s">
        <v>69</v>
      </c>
      <c r="C20" t="str">
        <f t="shared" si="0"/>
        <v>Nuclear SMR</v>
      </c>
      <c r="D20" t="s">
        <v>200</v>
      </c>
    </row>
    <row r="21" spans="1:4">
      <c r="A21" t="s">
        <v>69</v>
      </c>
      <c r="C21" t="str">
        <f t="shared" si="0"/>
        <v>Hydro pumped stg</v>
      </c>
      <c r="D21" t="s">
        <v>96</v>
      </c>
    </row>
    <row r="22" spans="1:4">
      <c r="A22" t="s">
        <v>69</v>
      </c>
      <c r="C22" t="str">
        <f t="shared" si="0"/>
        <v>Util Batt Stg</v>
      </c>
      <c r="D22" t="s">
        <v>97</v>
      </c>
    </row>
    <row r="23" spans="1:4">
      <c r="A23" t="s">
        <v>69</v>
      </c>
      <c r="C23" t="str">
        <f t="shared" si="0"/>
        <v>EV Batt</v>
      </c>
      <c r="D23" t="s">
        <v>98</v>
      </c>
    </row>
    <row r="24" spans="1:4">
      <c r="A24" t="s">
        <v>69</v>
      </c>
      <c r="C24" t="str">
        <f t="shared" si="0"/>
        <v>Demand</v>
      </c>
      <c r="D24" t="s">
        <v>162</v>
      </c>
    </row>
    <row r="25" spans="1:4">
      <c r="A25" t="s">
        <v>69</v>
      </c>
      <c r="C25" t="str">
        <f t="shared" si="0"/>
        <v>Transformers Dn</v>
      </c>
      <c r="D25" t="s">
        <v>228</v>
      </c>
    </row>
    <row r="26" spans="1:4">
      <c r="A26" t="s">
        <v>69</v>
      </c>
      <c r="C26" t="str">
        <f t="shared" si="0"/>
        <v>Transformers Up</v>
      </c>
      <c r="D26" t="s">
        <v>229</v>
      </c>
    </row>
    <row r="27" spans="1:4">
      <c r="A27" t="s">
        <v>69</v>
      </c>
      <c r="C27" t="str">
        <f t="shared" si="0"/>
        <v>Grid-220V</v>
      </c>
      <c r="D27" t="s">
        <v>205</v>
      </c>
    </row>
    <row r="28" spans="1:4">
      <c r="A28" t="s">
        <v>69</v>
      </c>
      <c r="C28" t="str">
        <f t="shared" si="0"/>
        <v>Grid-400V</v>
      </c>
      <c r="D28" t="s">
        <v>206</v>
      </c>
    </row>
    <row r="29" spans="1:4">
      <c r="A29" t="s">
        <v>69</v>
      </c>
      <c r="C29" t="str">
        <f t="shared" si="0"/>
        <v>Grid-380V</v>
      </c>
      <c r="D29" t="s">
        <v>207</v>
      </c>
    </row>
    <row r="30" spans="1:4">
      <c r="A30" t="s">
        <v>69</v>
      </c>
      <c r="C30" t="str">
        <f t="shared" si="0"/>
        <v>Grid-225V</v>
      </c>
      <c r="D30" t="s">
        <v>208</v>
      </c>
    </row>
    <row r="31" spans="1:4">
      <c r="A31" t="s">
        <v>69</v>
      </c>
      <c r="C31" t="str">
        <f t="shared" si="0"/>
        <v>Grid-330V</v>
      </c>
      <c r="D31" t="s">
        <v>209</v>
      </c>
    </row>
    <row r="32" spans="1:4">
      <c r="A32" t="s">
        <v>69</v>
      </c>
      <c r="C32" t="str">
        <f t="shared" si="0"/>
        <v>Grid-275V</v>
      </c>
      <c r="D32" t="s">
        <v>210</v>
      </c>
    </row>
    <row r="33" spans="1:4">
      <c r="A33" t="s">
        <v>69</v>
      </c>
      <c r="C33" t="str">
        <f t="shared" si="0"/>
        <v>Grid-420V</v>
      </c>
      <c r="D33" t="s">
        <v>211</v>
      </c>
    </row>
    <row r="34" spans="1:4">
      <c r="A34" t="s">
        <v>69</v>
      </c>
      <c r="C34" t="str">
        <f t="shared" si="0"/>
        <v>Grid-300V</v>
      </c>
      <c r="D34" t="s">
        <v>212</v>
      </c>
    </row>
    <row r="35" spans="1:4">
      <c r="A35" t="s">
        <v>69</v>
      </c>
      <c r="C35" t="str">
        <f t="shared" si="0"/>
        <v>Grid-500V</v>
      </c>
      <c r="D35" t="s">
        <v>213</v>
      </c>
    </row>
    <row r="36" spans="1:4">
      <c r="A36" t="s">
        <v>69</v>
      </c>
      <c r="C36" t="str">
        <f t="shared" si="0"/>
        <v>Grid-750V</v>
      </c>
      <c r="D36" t="s">
        <v>214</v>
      </c>
    </row>
    <row r="37" spans="1:4">
      <c r="A37" t="s">
        <v>69</v>
      </c>
      <c r="C37" t="str">
        <f t="shared" si="0"/>
        <v>Grid-450V</v>
      </c>
      <c r="D37" t="s">
        <v>215</v>
      </c>
    </row>
    <row r="38" spans="1:4">
      <c r="A38" t="s">
        <v>69</v>
      </c>
      <c r="C38" t="str">
        <f t="shared" si="0"/>
        <v>Grid-515V</v>
      </c>
      <c r="D38" t="s">
        <v>216</v>
      </c>
    </row>
    <row r="39" spans="1:4">
      <c r="A39" t="s">
        <v>69</v>
      </c>
      <c r="C39" t="str">
        <f t="shared" si="0"/>
        <v>Grid-525V</v>
      </c>
      <c r="D39" t="s">
        <v>217</v>
      </c>
    </row>
    <row r="40" spans="1:4">
      <c r="A40" t="s">
        <v>69</v>
      </c>
      <c r="C40" t="str">
        <f t="shared" si="0"/>
        <v>Grid-320V</v>
      </c>
      <c r="D40" t="s">
        <v>218</v>
      </c>
    </row>
    <row r="41" spans="1:4">
      <c r="A41" t="s">
        <v>69</v>
      </c>
      <c r="C41" t="str">
        <f t="shared" si="0"/>
        <v>Grid-150V</v>
      </c>
      <c r="D41" t="s">
        <v>219</v>
      </c>
    </row>
    <row r="42" spans="1:4">
      <c r="A42" t="s">
        <v>69</v>
      </c>
      <c r="C42" t="str">
        <f t="shared" si="0"/>
        <v>Grid-270V</v>
      </c>
      <c r="D42" t="s">
        <v>220</v>
      </c>
    </row>
    <row r="43" spans="1:4">
      <c r="A43" t="s">
        <v>69</v>
      </c>
      <c r="C43" t="str">
        <f t="shared" si="0"/>
        <v>Grid-350V</v>
      </c>
      <c r="D43" t="s">
        <v>221</v>
      </c>
    </row>
    <row r="44" spans="1:4">
      <c r="A44" t="s">
        <v>69</v>
      </c>
      <c r="C44" t="str">
        <f t="shared" si="0"/>
        <v>Grid-250V</v>
      </c>
      <c r="D44" t="s">
        <v>222</v>
      </c>
    </row>
    <row r="45" spans="1:4">
      <c r="A45" t="s">
        <v>69</v>
      </c>
      <c r="C45" t="str">
        <f t="shared" si="0"/>
        <v>Grid-200V</v>
      </c>
      <c r="D45" t="s">
        <v>223</v>
      </c>
    </row>
    <row r="46" spans="1:4">
      <c r="A46" t="s">
        <v>69</v>
      </c>
      <c r="C46" t="str">
        <f t="shared" si="0"/>
        <v>Grid-236V</v>
      </c>
      <c r="D46" t="s">
        <v>224</v>
      </c>
    </row>
    <row r="47" spans="1:4">
      <c r="A47" t="s">
        <v>69</v>
      </c>
      <c r="C47" t="str">
        <f t="shared" si="0"/>
        <v>Grid-600V</v>
      </c>
      <c r="D47" t="s">
        <v>225</v>
      </c>
    </row>
    <row r="48" spans="1:4">
      <c r="A48" t="s">
        <v>69</v>
      </c>
      <c r="C48" t="str">
        <f t="shared" si="0"/>
        <v>Aggregators</v>
      </c>
      <c r="D48" t="s">
        <v>226</v>
      </c>
    </row>
    <row r="49" spans="1:5">
      <c r="A49" t="s">
        <v>69</v>
      </c>
      <c r="C49" t="str">
        <f t="shared" si="0"/>
        <v>DUMMY_IMP</v>
      </c>
      <c r="D49" t="s">
        <v>227</v>
      </c>
    </row>
    <row r="50" spans="1:5">
      <c r="A50" t="s">
        <v>69</v>
      </c>
      <c r="B50" t="s">
        <v>262</v>
      </c>
      <c r="C50" t="s">
        <v>132</v>
      </c>
      <c r="E50" t="s">
        <v>136</v>
      </c>
    </row>
    <row r="51" spans="1:5">
      <c r="A51" t="s">
        <v>69</v>
      </c>
      <c r="B51" t="s">
        <v>262</v>
      </c>
      <c r="C51" t="s">
        <v>133</v>
      </c>
      <c r="E51" t="s">
        <v>137</v>
      </c>
    </row>
    <row r="52" spans="1:5">
      <c r="A52" t="s">
        <v>69</v>
      </c>
      <c r="B52" t="s">
        <v>138</v>
      </c>
      <c r="C52" t="s">
        <v>134</v>
      </c>
      <c r="E52" t="s">
        <v>136</v>
      </c>
    </row>
    <row r="53" spans="1:5">
      <c r="A53" t="s">
        <v>69</v>
      </c>
      <c r="B53" t="s">
        <v>138</v>
      </c>
      <c r="C53" t="s">
        <v>135</v>
      </c>
      <c r="E53" t="s">
        <v>137</v>
      </c>
    </row>
    <row r="54" spans="1:5">
      <c r="A54" t="s">
        <v>69</v>
      </c>
      <c r="B54" t="s">
        <v>100</v>
      </c>
      <c r="C54" t="s">
        <v>3</v>
      </c>
    </row>
    <row r="55" spans="1:5">
      <c r="A55" t="s">
        <v>69</v>
      </c>
      <c r="B55" t="s">
        <v>101</v>
      </c>
      <c r="C55" t="s">
        <v>102</v>
      </c>
    </row>
    <row r="56" spans="1:5">
      <c r="A56" t="s">
        <v>69</v>
      </c>
      <c r="B56" t="s">
        <v>113</v>
      </c>
      <c r="C56" t="s">
        <v>114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245E1-8745-41DD-8AE6-2F4FA19D9F1C}">
  <dimension ref="A1:H2"/>
  <sheetViews>
    <sheetView workbookViewId="0"/>
  </sheetViews>
  <sheetFormatPr defaultColWidth="9.1328125" defaultRowHeight="14.25"/>
  <cols>
    <col min="1" max="1" width="13.73046875" bestFit="1" customWidth="1"/>
    <col min="2" max="2" width="12.73046875" bestFit="1" customWidth="1"/>
    <col min="3" max="3" width="11" bestFit="1" customWidth="1"/>
    <col min="4" max="4" width="28.86328125" bestFit="1" customWidth="1"/>
    <col min="5" max="5" width="7.59765625" bestFit="1" customWidth="1"/>
    <col min="6" max="6" width="11.73046875" bestFit="1" customWidth="1"/>
    <col min="7" max="7" width="12.1328125" bestFit="1" customWidth="1"/>
    <col min="8" max="8" width="12.265625" bestFit="1" customWidth="1"/>
  </cols>
  <sheetData>
    <row r="1" spans="1:8">
      <c r="A1" t="s">
        <v>73</v>
      </c>
    </row>
    <row r="2" spans="1:8">
      <c r="A2" t="s">
        <v>53</v>
      </c>
      <c r="B2" t="s">
        <v>54</v>
      </c>
      <c r="C2" t="s">
        <v>55</v>
      </c>
      <c r="D2" t="s">
        <v>74</v>
      </c>
      <c r="E2" t="s">
        <v>75</v>
      </c>
      <c r="F2" t="s">
        <v>77</v>
      </c>
      <c r="G2" t="s">
        <v>76</v>
      </c>
      <c r="H2" t="s">
        <v>78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4"/>
  <dimension ref="A1:G3"/>
  <sheetViews>
    <sheetView workbookViewId="0"/>
  </sheetViews>
  <sheetFormatPr defaultRowHeight="14.25"/>
  <cols>
    <col min="4" max="4" width="10.86328125" bestFit="1" customWidth="1"/>
  </cols>
  <sheetData>
    <row r="1" spans="1:7">
      <c r="A1" t="s">
        <v>38</v>
      </c>
    </row>
    <row r="2" spans="1:7">
      <c r="A2" t="s">
        <v>32</v>
      </c>
      <c r="B2" t="s">
        <v>9</v>
      </c>
      <c r="C2" t="s">
        <v>39</v>
      </c>
      <c r="D2" t="s">
        <v>4</v>
      </c>
      <c r="E2" t="s">
        <v>0</v>
      </c>
      <c r="F2" t="s">
        <v>40</v>
      </c>
      <c r="G2" t="s">
        <v>41</v>
      </c>
    </row>
    <row r="3" spans="1:7">
      <c r="F3" s="2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31"/>
  <dimension ref="A1:D7"/>
  <sheetViews>
    <sheetView zoomScaleNormal="100" workbookViewId="0">
      <selection activeCell="D8" sqref="D8"/>
    </sheetView>
  </sheetViews>
  <sheetFormatPr defaultColWidth="9.1328125" defaultRowHeight="14.25"/>
  <cols>
    <col min="1" max="1" width="10.1328125" bestFit="1" customWidth="1"/>
    <col min="2" max="2" width="8.73046875" bestFit="1" customWidth="1"/>
    <col min="3" max="3" width="5.86328125" bestFit="1" customWidth="1"/>
    <col min="4" max="4" width="12" bestFit="1" customWidth="1"/>
    <col min="6" max="6" width="2" bestFit="1" customWidth="1"/>
    <col min="7" max="7" width="12.73046875" bestFit="1" customWidth="1"/>
    <col min="8" max="8" width="5" bestFit="1" customWidth="1"/>
    <col min="9" max="9" width="2" bestFit="1" customWidth="1"/>
    <col min="10" max="10" width="5" bestFit="1" customWidth="1"/>
  </cols>
  <sheetData>
    <row r="1" spans="1:4">
      <c r="A1" t="s">
        <v>31</v>
      </c>
    </row>
    <row r="2" spans="1:4">
      <c r="A2" t="s">
        <v>32</v>
      </c>
      <c r="B2" s="1" t="s">
        <v>33</v>
      </c>
      <c r="C2" s="1" t="s">
        <v>34</v>
      </c>
      <c r="D2" s="1" t="s">
        <v>35</v>
      </c>
    </row>
    <row r="3" spans="1:4">
      <c r="A3" t="s">
        <v>85</v>
      </c>
      <c r="B3" t="s">
        <v>86</v>
      </c>
      <c r="C3" t="s">
        <v>8</v>
      </c>
      <c r="D3">
        <f>1/8.76</f>
        <v>0.11415525114155252</v>
      </c>
    </row>
    <row r="4" spans="1:4">
      <c r="A4" t="s">
        <v>85</v>
      </c>
      <c r="B4" t="s">
        <v>110</v>
      </c>
      <c r="C4" t="s">
        <v>112</v>
      </c>
      <c r="D4">
        <f>1/8.76*100</f>
        <v>11.415525114155251</v>
      </c>
    </row>
    <row r="5" spans="1:4">
      <c r="A5" t="s">
        <v>85</v>
      </c>
      <c r="B5" t="s">
        <v>127</v>
      </c>
      <c r="C5" t="s">
        <v>131</v>
      </c>
      <c r="D5">
        <v>1E-3</v>
      </c>
    </row>
    <row r="6" spans="1:4">
      <c r="A6" t="s">
        <v>85</v>
      </c>
      <c r="B6" t="s">
        <v>128</v>
      </c>
      <c r="C6" t="s">
        <v>131</v>
      </c>
      <c r="D6">
        <v>-1E-3</v>
      </c>
    </row>
    <row r="7" spans="1:4">
      <c r="A7" t="s">
        <v>85</v>
      </c>
      <c r="B7" t="s">
        <v>140</v>
      </c>
      <c r="C7" t="s">
        <v>142</v>
      </c>
      <c r="D7">
        <v>-1000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BE7B7DF-CF6B-46C6-A28F-6AA404EDE044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ScenMap_OLD</vt:lpstr>
      <vt:lpstr>geolocation</vt:lpstr>
      <vt:lpstr>process_map_geo</vt:lpstr>
      <vt:lpstr>ScenMap</vt:lpstr>
      <vt:lpstr>TS_Defs</vt:lpstr>
      <vt:lpstr>TS_ratios</vt:lpstr>
      <vt:lpstr>Sankey</vt:lpstr>
      <vt:lpstr>PSet_MAP</vt:lpstr>
      <vt:lpstr>CSET_MAP</vt:lpstr>
      <vt:lpstr>CName_MAP</vt:lpstr>
      <vt:lpstr>timeslice map</vt:lpstr>
      <vt:lpstr>process map</vt:lpstr>
      <vt:lpstr>commodity map</vt:lpstr>
      <vt:lpstr>ATS</vt:lpstr>
      <vt:lpstr>UnitConv</vt:lpstr>
    </vt:vector>
  </TitlesOfParts>
  <Company>KanORS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cp:lastPrinted>2013-04-26T17:54:26Z</cp:lastPrinted>
  <dcterms:created xsi:type="dcterms:W3CDTF">2011-02-22T06:05:52Z</dcterms:created>
  <dcterms:modified xsi:type="dcterms:W3CDTF">2025-09-13T12:20:40Z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222404122352600</vt:r8>
  </property>
</Properties>
</file>